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uanl\Downloads\"/>
    </mc:Choice>
  </mc:AlternateContent>
  <xr:revisionPtr revIDLastSave="0" documentId="8_{79B58BF1-A91D-4D9F-86D9-1269DF9E78B6}" xr6:coauthVersionLast="47" xr6:coauthVersionMax="47" xr10:uidLastSave="{00000000-0000-0000-0000-000000000000}"/>
  <bookViews>
    <workbookView xWindow="-120" yWindow="-120" windowWidth="29040" windowHeight="15720" tabRatio="902" activeTab="1" xr2:uid="{D62A3A3B-6FA0-4DAA-89BC-434730893DC8}"/>
  </bookViews>
  <sheets>
    <sheet name="HOME" sheetId="64" r:id="rId1"/>
    <sheet name="P_HOME" sheetId="124" r:id="rId2"/>
    <sheet name="P_REQUISICOES" sheetId="65" r:id="rId3"/>
    <sheet name="P_EQUIPES" sheetId="74" r:id="rId4"/>
    <sheet name="P_LANCAMENTOS" sheetId="73" r:id="rId5"/>
    <sheet name="P_CONSULTA-BD" sheetId="87" r:id="rId6"/>
    <sheet name="L_HOME" sheetId="125" r:id="rId7"/>
    <sheet name="L_CLIENTES" sheetId="66" r:id="rId8"/>
    <sheet name="L_CONTROLE-DE-VEICULOS" sheetId="93" r:id="rId9"/>
    <sheet name="L_CRONOGRAMA-DE-ENTREGAS" sheetId="94" r:id="rId10"/>
    <sheet name="L_CLACULO-DO-FRETE" sheetId="95" r:id="rId11"/>
    <sheet name="L_RELATORIO-DE-ENTREGAS" sheetId="96" r:id="rId12"/>
    <sheet name="L_RASTREAMENTO-DE-ESTOQUE" sheetId="97" r:id="rId13"/>
    <sheet name="L_CADASTRO-DE-VEICULOS" sheetId="98" r:id="rId14"/>
    <sheet name="E_HOME" sheetId="126" r:id="rId15"/>
    <sheet name="E_PEDIDO-DE-PRODUCAO" sheetId="99" r:id="rId16"/>
    <sheet name="E_SAIDA-DE-MATERIAIS" sheetId="100" r:id="rId17"/>
    <sheet name="RH_HOME" sheetId="127" r:id="rId18"/>
    <sheet name="RH_CONTRATACAO" sheetId="101" r:id="rId19"/>
    <sheet name="RH_CADASTRAR-COLABORADOR" sheetId="102" r:id="rId20"/>
    <sheet name="RH_FOLHA-DE-PAGAMENTO" sheetId="103" r:id="rId21"/>
    <sheet name="RH_REFERENCIAIS" sheetId="104" r:id="rId22"/>
    <sheet name="F_HOME" sheetId="130" r:id="rId23"/>
    <sheet name="F_CUSTO-FIXO-E-VARIAVEL" sheetId="118" r:id="rId24"/>
    <sheet name="F_DRE" sheetId="119" r:id="rId25"/>
    <sheet name="F_VALORES-PRODUTOS" sheetId="120" r:id="rId26"/>
    <sheet name="C_HOME" sheetId="129" r:id="rId27"/>
    <sheet name="C_CADASTRAR-FORNECEDORES" sheetId="132" r:id="rId28"/>
    <sheet name="C_PROCURAR-FORNECEDORES" sheetId="133" r:id="rId29"/>
    <sheet name="C_CONTROLE-DE-MATERIA-PRIMA" sheetId="135" r:id="rId30"/>
    <sheet name="C_SOLICITAR-COMPRA" sheetId="134" r:id="rId31"/>
    <sheet name="C_SOLICITAR-COMPRA-TABELA" sheetId="136" r:id="rId32"/>
    <sheet name="C_REALIZAR-PEDIDO" sheetId="137" r:id="rId33"/>
    <sheet name="V_HOME" sheetId="128" r:id="rId34"/>
    <sheet name="V_CADASTRO-DE-CLIENTE" sheetId="144" r:id="rId35"/>
    <sheet name="V_CONTROLE-DE-VENDAS" sheetId="145" r:id="rId36"/>
    <sheet name="V_METAS" sheetId="146" r:id="rId37"/>
    <sheet name="V_RELATORIO-DE-CONTROLE" sheetId="147" r:id="rId38"/>
    <sheet name="V_RELATORIO-METAS" sheetId="148" r:id="rId39"/>
    <sheet name="BD_HOME" sheetId="131" r:id="rId40"/>
    <sheet name="BD_01" sheetId="121" r:id="rId41"/>
    <sheet name="BD_02" sheetId="143" r:id="rId42"/>
    <sheet name="BD_03" sheetId="122" r:id="rId43"/>
    <sheet name="BD_04" sheetId="123" r:id="rId44"/>
  </sheets>
  <externalReferences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8" hidden="1">'C_PROCURAR-FORNECEDORES'!$G$12:$O$26</definedName>
    <definedName name="QUEIJOS" localSheetId="41">#REF!</definedName>
    <definedName name="QUEIJOS">#REF!</definedName>
    <definedName name="QUEIJOS_OFC" localSheetId="41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146" l="1"/>
  <c r="K15" i="146"/>
  <c r="K19" i="146" s="1"/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<sst xmlns="http://schemas.openxmlformats.org/spreadsheetml/2006/main" count="1927" uniqueCount="768">
  <si>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</si>
  <si>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</si>
  <si>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</si>
  <si>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</si>
  <si>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</si>
  <si>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</si>
  <si>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</si>
  <si>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</si>
  <si>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</si>
  <si>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</si>
  <si>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</si>
  <si>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</si>
  <si>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</si>
  <si>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</si>
  <si>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</si>
  <si>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</si>
  <si>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</si>
  <si>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</si>
  <si>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</si>
  <si>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</si>
  <si>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</si>
  <si>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</si>
  <si>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</si>
  <si>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</si>
  <si>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</si>
  <si>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</si>
  <si>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</si>
  <si>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</si>
  <si>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</si>
  <si>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</si>
  <si>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</si>
  <si>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</si>
  <si>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</si>
  <si>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</si>
  <si>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</si>
  <si>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</si>
  <si>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</si>
  <si>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</si>
  <si>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</si>
  <si>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</si>
  <si>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</si>
  <si>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</si>
  <si>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</si>
  <si>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</si>
  <si>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</si>
  <si>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</si>
  <si>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</si>
  <si>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</si>
  <si>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</si>
  <si>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</si>
  <si>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</si>
  <si>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</si>
  <si>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</si>
  <si>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</si>
  <si>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</si>
  <si>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</si>
  <si>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</si>
  <si>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</si>
  <si>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</si>
  <si>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</si>
  <si>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</si>
  <si>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</si>
  <si>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</si>
  <si>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</si>
  <si>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</si>
  <si>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</si>
  <si>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</si>
  <si>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</si>
  <si>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</si>
  <si>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</si>
  <si>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</si>
  <si>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</si>
  <si>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</si>
  <si>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</si>
  <si>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</si>
  <si>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</si>
  <si>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</si>
  <si>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</si>
  <si>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</si>
  <si>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</si>
  <si>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</si>
  <si>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</si>
  <si>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</si>
  <si>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</si>
  <si>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</si>
  <si>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</si>
  <si>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</si>
  <si>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</si>
  <si>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</si>
  <si>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</si>
  <si>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</si>
  <si>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</si>
  <si>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</si>
  <si>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</si>
  <si>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</si>
  <si>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</si>
  <si>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</si>
  <si>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</si>
  <si>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</si>
  <si>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</si>
  <si>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</si>
  <si>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</si>
  <si>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</si>
  <si>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</si>
  <si>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</si>
  <si>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</si>
  <si>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</si>
  <si>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</si>
  <si>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</si>
  <si>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</si>
  <si>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</si>
  <si>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</si>
  <si>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</si>
  <si>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</si>
  <si>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</si>
  <si>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</si>
  <si>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</si>
  <si>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</si>
  <si>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</si>
  <si>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</si>
  <si>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</si>
  <si>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</si>
  <si>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</si>
  <si>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</si>
  <si>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</si>
  <si>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</si>
  <si>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</si>
  <si>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</si>
  <si>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</si>
  <si>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</si>
  <si>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</si>
  <si>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</si>
  <si>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</si>
  <si>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</si>
  <si>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</si>
  <si>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</si>
  <si>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</si>
  <si>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</si>
  <si>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</si>
  <si>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</si>
  <si>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</si>
  <si>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</si>
  <si>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</si>
  <si>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</si>
  <si>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</si>
  <si>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</si>
  <si>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</si>
  <si>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</si>
  <si>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</si>
  <si>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</si>
  <si>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</si>
  <si>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</si>
  <si>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</si>
  <si>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</si>
  <si>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</si>
  <si>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</si>
  <si>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</si>
  <si>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</si>
  <si>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</si>
  <si>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</si>
  <si>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</si>
  <si>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</si>
  <si>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</si>
  <si>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</si>
  <si>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</si>
  <si>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</si>
  <si>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</si>
  <si>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</si>
  <si>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</si>
  <si>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</si>
  <si>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</si>
  <si>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</si>
  <si>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</si>
  <si>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</si>
  <si>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</si>
  <si>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</si>
  <si>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</si>
  <si>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</si>
  <si>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</si>
  <si>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</si>
  <si>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</si>
  <si>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</si>
  <si>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</si>
  <si>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</si>
  <si>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</si>
  <si>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</si>
  <si>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</si>
  <si>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</si>
  <si>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</si>
  <si>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</si>
  <si>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</si>
  <si>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</si>
  <si>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</si>
  <si>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</si>
  <si>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</si>
  <si>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</si>
  <si>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</si>
  <si>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</si>
  <si>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</si>
  <si>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</si>
  <si>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</si>
  <si>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</si>
  <si>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</si>
  <si>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</si>
  <si>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</si>
  <si>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</si>
  <si>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</si>
  <si>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</si>
  <si>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</si>
  <si>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</si>
  <si>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</si>
  <si>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</si>
  <si>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</si>
  <si>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</si>
  <si>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</si>
  <si>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</si>
  <si>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</si>
  <si>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</si>
  <si>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</si>
  <si>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</si>
  <si>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</si>
  <si>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</si>
  <si>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</si>
  <si>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</si>
  <si>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</si>
  <si>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</si>
  <si>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</si>
  <si>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</si>
  <si>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</si>
  <si>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</si>
  <si>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</si>
  <si>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</si>
  <si>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</si>
  <si>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</si>
  <si>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</si>
  <si>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</si>
  <si>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</si>
  <si>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</si>
  <si>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</si>
  <si>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</si>
  <si>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</si>
  <si>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</si>
  <si>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</si>
  <si>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</si>
  <si>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</si>
  <si>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</si>
  <si>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</si>
  <si>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</si>
  <si>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</si>
  <si>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</si>
  <si>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</si>
  <si>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</si>
  <si>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</si>
  <si>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</si>
  <si>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</si>
  <si>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</si>
  <si>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</si>
  <si>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</si>
  <si>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</si>
  <si>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</si>
  <si>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</si>
  <si>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</si>
  <si>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</si>
  <si>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</si>
  <si>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</si>
  <si>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</si>
  <si>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</si>
  <si>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</si>
  <si>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</si>
  <si>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</si>
  <si>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</si>
  <si>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</si>
  <si>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</si>
  <si>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</si>
  <si>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</si>
  <si>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</si>
  <si>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</si>
  <si>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</si>
  <si>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</si>
  <si>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</si>
  <si>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</si>
  <si>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</si>
  <si>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</si>
  <si>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</si>
  <si>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</si>
  <si>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</si>
  <si>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</si>
  <si>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</si>
  <si>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</si>
  <si>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</si>
  <si>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</si>
  <si>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</si>
  <si>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</si>
  <si>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</si>
  <si>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</si>
  <si>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</si>
  <si>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</si>
  <si>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</si>
  <si>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</si>
  <si>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</si>
  <si>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</si>
  <si>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</si>
  <si>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</si>
  <si>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</si>
  <si>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</si>
  <si>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</si>
  <si>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</si>
  <si>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</si>
  <si>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</si>
  <si>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</si>
  <si>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</si>
  <si>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</si>
  <si>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</si>
  <si>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</si>
  <si>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</si>
  <si>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</si>
  <si>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</si>
  <si>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</si>
  <si>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</si>
  <si>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</si>
  <si>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</si>
  <si>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</si>
  <si>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</si>
  <si>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</si>
  <si>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</si>
  <si>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</si>
  <si>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</si>
  <si>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</si>
  <si>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</si>
  <si>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</si>
  <si>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</si>
  <si>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</si>
  <si>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</si>
  <si>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</si>
  <si>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</si>
  <si>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</si>
  <si>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</si>
  <si>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</si>
  <si>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</si>
  <si>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</si>
  <si>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</si>
  <si>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</si>
  <si>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</si>
  <si>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</si>
  <si>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</si>
  <si>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</si>
  <si>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</si>
  <si>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</si>
  <si>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</si>
  <si>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</si>
  <si>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</si>
  <si>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</si>
  <si>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</si>
  <si>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</si>
  <si>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</si>
  <si>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</si>
  <si>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</si>
  <si>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</si>
  <si>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</si>
  <si>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</si>
  <si>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</si>
  <si>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</si>
  <si>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</si>
  <si>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</si>
  <si>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</si>
  <si>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</si>
  <si>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</si>
  <si>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</si>
  <si>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</si>
  <si>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</si>
  <si>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</si>
  <si>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</si>
  <si>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</si>
  <si>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</si>
  <si>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</si>
  <si>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</si>
  <si>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</si>
  <si>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</si>
  <si>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</si>
  <si>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</si>
  <si>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</si>
  <si>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</si>
  <si>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</si>
  <si>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</si>
  <si>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</si>
  <si>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</si>
  <si>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</si>
  <si>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</si>
  <si>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</si>
  <si>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</si>
  <si>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</si>
  <si>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</si>
  <si>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</si>
  <si>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</si>
  <si>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</si>
  <si>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</si>
  <si>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</si>
  <si>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</si>
  <si>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</si>
  <si>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</si>
  <si>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</si>
  <si>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</si>
  <si>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</si>
  <si>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</si>
  <si>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</si>
  <si>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</si>
  <si>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</si>
  <si>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</si>
  <si>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</si>
  <si>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</si>
  <si>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</si>
  <si>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</si>
  <si>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</si>
  <si>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</si>
  <si>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</si>
  <si>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</si>
  <si>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</si>
  <si>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</si>
  <si>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</si>
  <si>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</si>
  <si>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</si>
  <si>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</si>
  <si>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</si>
  <si>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</si>
  <si>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</si>
  <si>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</si>
  <si>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</si>
  <si>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</si>
  <si>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</si>
  <si>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</si>
  <si>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</si>
  <si>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</si>
  <si>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</si>
  <si>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</si>
  <si>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</si>
  <si>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</si>
  <si>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</si>
  <si>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</si>
  <si>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</si>
  <si>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</si>
  <si>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</si>
  <si>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</si>
  <si>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</si>
  <si>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</si>
  <si>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</si>
  <si>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</si>
  <si>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</si>
  <si>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</si>
  <si>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</si>
  <si>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</si>
  <si>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</si>
  <si>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</si>
  <si>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</si>
  <si>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</si>
  <si>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</si>
  <si>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</si>
  <si>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</si>
  <si>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</si>
  <si>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</si>
  <si>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</si>
  <si>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</si>
  <si>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</si>
  <si>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</si>
  <si>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</si>
  <si>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</si>
  <si>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</si>
  <si>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</si>
  <si>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</si>
  <si>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</si>
  <si>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</si>
  <si>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</si>
  <si>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</si>
  <si>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</si>
  <si>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</si>
  <si>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</si>
  <si>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</si>
  <si>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</si>
  <si>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</si>
  <si>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</si>
  <si>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</si>
  <si>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</si>
  <si>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</si>
  <si>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</si>
  <si>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</si>
  <si>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</si>
  <si>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</si>
  <si>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</si>
  <si>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</si>
  <si>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</si>
  <si>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</si>
  <si>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</si>
  <si>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</si>
  <si>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</si>
  <si>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</si>
  <si>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</si>
  <si>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</si>
  <si>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</si>
  <si>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</si>
  <si>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</si>
  <si>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</si>
  <si>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</si>
  <si>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</si>
  <si>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</si>
  <si>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</si>
  <si>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</si>
  <si>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</si>
  <si>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</si>
  <si>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</si>
  <si>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</si>
  <si>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</si>
  <si>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</si>
  <si>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</si>
  <si>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</si>
  <si>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</si>
  <si>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</si>
  <si>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</si>
  <si>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</si>
  <si>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</si>
  <si>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</si>
  <si>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</si>
  <si>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</si>
  <si>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</si>
  <si>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</si>
  <si>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</si>
  <si>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</si>
  <si>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</si>
  <si>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</si>
  <si>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</si>
  <si>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</si>
  <si>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</si>
  <si>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</si>
  <si>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</si>
  <si>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</si>
  <si>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</si>
  <si>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</si>
  <si>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</si>
  <si>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</si>
  <si>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</si>
  <si>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</si>
  <si>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</si>
  <si>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</si>
  <si>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</si>
  <si>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</si>
  <si>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</si>
  <si>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</si>
  <si>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</si>
  <si>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</si>
  <si>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</si>
  <si>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</si>
  <si>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</si>
  <si>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</si>
  <si>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</si>
  <si>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</si>
  <si>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</si>
  <si>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</si>
  <si>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</si>
  <si>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</si>
  <si>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</si>
  <si>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</si>
  <si>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</si>
  <si>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</si>
  <si>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</si>
  <si>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</si>
  <si>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</si>
  <si>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</si>
  <si>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</si>
  <si>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</si>
  <si>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</si>
  <si>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</si>
  <si>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</si>
  <si>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</si>
  <si>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</si>
  <si>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</si>
  <si>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</si>
  <si>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</si>
  <si>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</si>
  <si>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</si>
  <si>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</si>
  <si>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</si>
  <si>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</si>
  <si>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</si>
  <si>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</si>
  <si>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</si>
  <si>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</si>
  <si>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</si>
  <si>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</si>
  <si>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</si>
  <si>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</si>
  <si>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</si>
  <si>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</si>
  <si>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</si>
  <si>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</si>
  <si>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</si>
  <si>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</si>
  <si>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</si>
  <si>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</si>
  <si>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</si>
  <si>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</si>
  <si>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</si>
  <si>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</si>
  <si>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</si>
  <si>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</si>
  <si>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</si>
  <si>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</si>
  <si>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</si>
  <si>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</si>
  <si>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</si>
  <si>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</si>
  <si>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</si>
  <si>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</si>
  <si>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</si>
  <si>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</si>
  <si>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</si>
  <si>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</si>
  <si>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</si>
  <si>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</si>
  <si>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</si>
  <si>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</si>
  <si>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</si>
  <si>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</si>
  <si>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</si>
  <si>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</si>
  <si>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</si>
  <si>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</si>
  <si>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</si>
  <si>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</si>
  <si>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</si>
  <si>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</si>
  <si>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</si>
  <si>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</si>
  <si>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</si>
  <si>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</si>
  <si>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</si>
  <si>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</si>
  <si>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</si>
  <si>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</si>
  <si>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</si>
  <si>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</si>
  <si>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</si>
  <si>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</si>
  <si>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</si>
  <si>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</si>
  <si>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</si>
  <si>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</si>
  <si>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</si>
  <si>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</si>
  <si>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</si>
  <si>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</si>
  <si>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</si>
  <si>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</si>
  <si>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</si>
  <si>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</si>
  <si>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</si>
  <si>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</si>
  <si>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</si>
  <si>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</si>
  <si>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</si>
  <si>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</si>
  <si>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</si>
  <si>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</si>
  <si>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</si>
  <si>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</si>
  <si>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</si>
  <si>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</si>
  <si>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</si>
  <si>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</si>
  <si>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</si>
  <si>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</si>
  <si>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</si>
  <si>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</si>
  <si>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</si>
  <si>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</si>
  <si>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</si>
  <si>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</si>
  <si>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</si>
  <si>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</si>
  <si>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</si>
  <si>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</si>
  <si>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</si>
  <si>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</si>
  <si>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</si>
  <si>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</si>
  <si>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</si>
  <si>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</si>
  <si>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</si>
  <si>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</si>
  <si>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</si>
  <si>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</si>
  <si>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</si>
  <si>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</si>
  <si>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</si>
  <si>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</si>
  <si>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</si>
  <si>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</si>
  <si>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</si>
  <si>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</si>
  <si>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</si>
  <si>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</si>
  <si>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</si>
  <si>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</si>
  <si>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</si>
  <si>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</si>
  <si>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</si>
  <si>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</si>
  <si>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</si>
  <si>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</si>
  <si>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</si>
  <si>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</si>
  <si>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</si>
  <si>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</si>
  <si>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</si>
  <si>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</si>
  <si>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</si>
  <si>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</si>
  <si>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</si>
  <si>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</si>
  <si>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</si>
  <si>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</si>
  <si>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</si>
  <si>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</si>
  <si>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</si>
  <si>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</si>
  <si>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</si>
  <si>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</si>
  <si>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</si>
  <si>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</si>
  <si>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</si>
  <si>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</si>
  <si>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</si>
  <si>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</si>
  <si>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</si>
  <si>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</si>
  <si>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</si>
  <si>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</si>
  <si>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</si>
  <si>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</si>
  <si>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</si>
  <si>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</si>
  <si>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</si>
  <si>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</si>
  <si>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</si>
  <si>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</si>
  <si>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</si>
  <si>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</si>
  <si>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</si>
  <si>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</si>
  <si>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</si>
  <si>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</si>
  <si>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</si>
  <si>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</si>
  <si>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</si>
  <si>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</si>
  <si>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</si>
  <si>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</si>
  <si>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</si>
  <si>
    <t>Beatriz</t>
  </si>
  <si>
    <t>João</t>
  </si>
  <si>
    <t>joquimsilva@email.com</t>
  </si>
  <si>
    <t>19 98572-4578</t>
  </si>
  <si>
    <t>SP</t>
  </si>
  <si>
    <t>campinas</t>
  </si>
  <si>
    <t>rua da mbaixadas</t>
  </si>
  <si>
    <t>joaquim</t>
  </si>
  <si>
    <t>09.091.029/0001-07</t>
  </si>
  <si>
    <t>19 98475-9876</t>
  </si>
  <si>
    <t>Hortolândia</t>
  </si>
  <si>
    <t>Rua dos Sertoes</t>
  </si>
  <si>
    <t>12950745/0111-01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</si>
</sst>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Arial"/>
      <family val="2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  <font>
      <u/>
      <sz val="16"/>
      <color theme="10"/>
      <name val="Arial"/>
      <family val="2"/>
    </font>
    <font>
      <sz val="24"/>
      <color theme="1"/>
      <name val="Calibri"/>
      <family val="2"/>
      <scheme val="minor"/>
    </font>
    <font>
      <b/>
      <sz val="24"/>
      <color theme="1"/>
      <name val="Arial"/>
      <family val="2"/>
    </font>
    <font>
      <b/>
      <sz val="24"/>
      <color theme="0"/>
      <name val="Arial"/>
      <family val="2"/>
    </font>
    <font>
      <sz val="24"/>
      <color rgb="FF000000"/>
      <name val="Calibri"/>
      <family val="2"/>
    </font>
    <font>
      <b/>
      <sz val="24"/>
      <color rgb="FF00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552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/>
    <xf numFmtId="0" fontId="2" fillId="13" borderId="0" xfId="0" applyFont="1" applyFill="1"/>
    <xf numFmtId="0" fontId="4" fillId="13" borderId="0" xfId="0" applyFont="1" applyFill="1"/>
    <xf numFmtId="0" fontId="11" fillId="13" borderId="44" xfId="0" applyFont="1" applyFill="1" applyBorder="1"/>
    <xf numFmtId="0" fontId="2" fillId="13" borderId="45" xfId="0" applyFont="1" applyFill="1" applyBorder="1"/>
    <xf numFmtId="0" fontId="4" fillId="13" borderId="45" xfId="0" applyFont="1" applyFill="1" applyBorder="1"/>
    <xf numFmtId="0" fontId="11" fillId="13" borderId="46" xfId="0" applyFont="1" applyFill="1" applyBorder="1"/>
    <xf numFmtId="0" fontId="2" fillId="13" borderId="47" xfId="0" applyFont="1" applyFill="1" applyBorder="1"/>
    <xf numFmtId="0" fontId="12" fillId="13" borderId="47" xfId="0" applyFont="1" applyFill="1" applyBorder="1"/>
    <xf numFmtId="0" fontId="4" fillId="13" borderId="47" xfId="0" applyFont="1" applyFill="1" applyBorder="1"/>
    <xf numFmtId="0" fontId="2" fillId="13" borderId="48" xfId="0" applyFont="1" applyFill="1" applyBorder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6" fillId="3" borderId="0" xfId="0" applyFont="1" applyFill="1" applyAlignment="1">
      <alignment vertical="center"/>
    </xf>
    <xf numFmtId="0" fontId="2" fillId="3" borderId="0" xfId="0" applyFont="1" applyFill="1"/>
    <xf numFmtId="0" fontId="9" fillId="3" borderId="0" xfId="0" applyFont="1" applyFill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6" fillId="2" borderId="52" xfId="0" applyFont="1" applyFill="1" applyBorder="1" applyAlignment="1">
      <alignment horizontal="center" vertical="center"/>
    </xf>
    <xf numFmtId="0" fontId="16" fillId="10" borderId="7" xfId="0" applyFont="1" applyFill="1" applyBorder="1" applyAlignment="1">
      <alignment horizontal="left" vertical="center"/>
    </xf>
    <xf numFmtId="0" fontId="16" fillId="10" borderId="0" xfId="0" applyFont="1" applyFill="1" applyAlignment="1">
      <alignment vertical="center"/>
    </xf>
    <xf numFmtId="0" fontId="16" fillId="10" borderId="8" xfId="0" applyFont="1" applyFill="1" applyBorder="1" applyAlignment="1">
      <alignment vertical="center"/>
    </xf>
    <xf numFmtId="0" fontId="16" fillId="10" borderId="9" xfId="0" applyFont="1" applyFill="1" applyBorder="1" applyAlignment="1">
      <alignment horizontal="left" vertical="center"/>
    </xf>
    <xf numFmtId="0" fontId="16" fillId="10" borderId="10" xfId="0" applyFont="1" applyFill="1" applyBorder="1" applyAlignment="1">
      <alignment vertical="center"/>
    </xf>
    <xf numFmtId="0" fontId="16" fillId="10" borderId="11" xfId="0" applyFont="1" applyFill="1" applyBorder="1" applyAlignment="1">
      <alignment vertical="center"/>
    </xf>
    <xf numFmtId="0" fontId="0" fillId="10" borderId="7" xfId="0" applyFill="1" applyBorder="1"/>
    <xf numFmtId="0" fontId="16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7" xfId="0" applyFill="1" applyBorder="1" applyAlignment="1">
      <alignment horizontal="center"/>
    </xf>
    <xf numFmtId="0" fontId="17" fillId="10" borderId="7" xfId="0" applyFont="1" applyFill="1" applyBorder="1" applyAlignment="1">
      <alignment horizontal="center" vertical="center"/>
    </xf>
    <xf numFmtId="0" fontId="17" fillId="10" borderId="0" xfId="0" applyFont="1" applyFill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Alignment="1">
      <alignment vertical="center"/>
    </xf>
    <xf numFmtId="0" fontId="0" fillId="10" borderId="0" xfId="0" applyFill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" fillId="11" borderId="0" xfId="0" applyFont="1" applyFill="1" applyAlignment="1">
      <alignment vertical="center"/>
    </xf>
    <xf numFmtId="0" fontId="13" fillId="3" borderId="0" xfId="0" applyFont="1" applyFill="1"/>
    <xf numFmtId="0" fontId="26" fillId="13" borderId="0" xfId="0" applyFont="1" applyFill="1"/>
    <xf numFmtId="0" fontId="21" fillId="2" borderId="1" xfId="0" applyFont="1" applyFill="1" applyBorder="1"/>
    <xf numFmtId="0" fontId="21" fillId="2" borderId="1" xfId="0" applyFont="1" applyFill="1" applyBorder="1" applyAlignment="1">
      <alignment horizontal="left"/>
    </xf>
    <xf numFmtId="0" fontId="30" fillId="2" borderId="1" xfId="2" applyFont="1" applyFill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22" fillId="10" borderId="7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29" fillId="10" borderId="7" xfId="0" applyFont="1" applyFill="1" applyBorder="1"/>
    <xf numFmtId="0" fontId="29" fillId="10" borderId="8" xfId="0" applyFont="1" applyFill="1" applyBorder="1"/>
    <xf numFmtId="0" fontId="21" fillId="10" borderId="7" xfId="0" applyFont="1" applyFill="1" applyBorder="1" applyAlignment="1">
      <alignment horizontal="left"/>
    </xf>
    <xf numFmtId="0" fontId="21" fillId="10" borderId="8" xfId="0" applyFont="1" applyFill="1" applyBorder="1" applyAlignment="1">
      <alignment horizontal="left"/>
    </xf>
    <xf numFmtId="0" fontId="21" fillId="11" borderId="8" xfId="0" applyFont="1" applyFill="1" applyBorder="1" applyAlignment="1">
      <alignment horizontal="left"/>
    </xf>
    <xf numFmtId="0" fontId="21" fillId="10" borderId="9" xfId="0" applyFont="1" applyFill="1" applyBorder="1" applyAlignment="1">
      <alignment horizontal="left"/>
    </xf>
    <xf numFmtId="0" fontId="21" fillId="10" borderId="10" xfId="0" applyFont="1" applyFill="1" applyBorder="1" applyAlignment="1">
      <alignment horizontal="left"/>
    </xf>
    <xf numFmtId="0" fontId="21" fillId="11" borderId="10" xfId="0" applyFont="1" applyFill="1" applyBorder="1" applyAlignment="1">
      <alignment horizontal="left"/>
    </xf>
    <xf numFmtId="0" fontId="21" fillId="11" borderId="11" xfId="0" applyFont="1" applyFill="1" applyBorder="1" applyAlignment="1">
      <alignment horizontal="left"/>
    </xf>
    <xf numFmtId="0" fontId="26" fillId="2" borderId="12" xfId="0" applyFont="1" applyFill="1" applyBorder="1"/>
    <xf numFmtId="0" fontId="31" fillId="2" borderId="17" xfId="0" applyFont="1" applyFill="1" applyBorder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4" xfId="0" applyFont="1" applyFill="1" applyBorder="1" applyAlignment="1">
      <alignment horizontal="center" vertical="center"/>
    </xf>
    <xf numFmtId="0" fontId="31" fillId="2" borderId="18" xfId="0" applyFont="1" applyFill="1" applyBorder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6" xfId="0" applyFont="1" applyFill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0" fontId="31" fillId="2" borderId="29" xfId="0" applyFont="1" applyFill="1" applyBorder="1" applyAlignment="1">
      <alignment horizontal="center" vertical="center"/>
    </xf>
    <xf numFmtId="0" fontId="31" fillId="2" borderId="3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2" fillId="10" borderId="7" xfId="0" applyFont="1" applyFill="1" applyBorder="1"/>
    <xf numFmtId="0" fontId="33" fillId="10" borderId="0" xfId="0" applyFont="1" applyFill="1" applyAlignment="1">
      <alignment horizontal="center" vertical="center"/>
    </xf>
    <xf numFmtId="0" fontId="33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5" fillId="9" borderId="1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5" fillId="11" borderId="0" xfId="0" applyFont="1" applyFill="1" applyAlignment="1">
      <alignment horizontal="left" vertical="center"/>
    </xf>
    <xf numFmtId="0" fontId="0" fillId="16" borderId="0" xfId="0" applyFill="1"/>
    <xf numFmtId="0" fontId="36" fillId="17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left" vertical="center" wrapText="1"/>
    </xf>
    <xf numFmtId="3" fontId="31" fillId="13" borderId="1" xfId="0" applyNumberFormat="1" applyFont="1" applyFill="1" applyBorder="1" applyAlignment="1">
      <alignment horizontal="left" vertical="center" wrapText="1"/>
    </xf>
    <xf numFmtId="0" fontId="36" fillId="17" borderId="1" xfId="0" applyFont="1" applyFill="1" applyBorder="1" applyAlignment="1">
      <alignment horizontal="left" vertical="center"/>
    </xf>
    <xf numFmtId="0" fontId="36" fillId="17" borderId="1" xfId="0" applyFont="1" applyFill="1" applyBorder="1" applyAlignment="1">
      <alignment horizontal="right" vertical="center"/>
    </xf>
    <xf numFmtId="14" fontId="31" fillId="13" borderId="1" xfId="0" applyNumberFormat="1" applyFont="1" applyFill="1" applyBorder="1" applyAlignment="1">
      <alignment horizontal="left" vertical="center" wrapText="1"/>
    </xf>
    <xf numFmtId="20" fontId="31" fillId="13" borderId="1" xfId="0" applyNumberFormat="1" applyFont="1" applyFill="1" applyBorder="1" applyAlignment="1">
      <alignment horizontal="left" vertical="center" wrapText="1"/>
    </xf>
    <xf numFmtId="2" fontId="31" fillId="13" borderId="1" xfId="0" applyNumberFormat="1" applyFont="1" applyFill="1" applyBorder="1" applyAlignment="1">
      <alignment horizontal="left" vertical="center" wrapText="1"/>
    </xf>
    <xf numFmtId="8" fontId="31" fillId="13" borderId="1" xfId="0" applyNumberFormat="1" applyFont="1" applyFill="1" applyBorder="1" applyAlignment="1">
      <alignment horizontal="left" vertical="center" wrapText="1"/>
    </xf>
    <xf numFmtId="0" fontId="24" fillId="10" borderId="0" xfId="0" applyFont="1" applyFill="1" applyAlignment="1">
      <alignment vertical="center"/>
    </xf>
    <xf numFmtId="0" fontId="20" fillId="10" borderId="0" xfId="0" applyFont="1" applyFill="1"/>
    <xf numFmtId="0" fontId="2" fillId="9" borderId="1" xfId="0" applyFont="1" applyFill="1" applyBorder="1"/>
    <xf numFmtId="0" fontId="0" fillId="8" borderId="1" xfId="0" applyFill="1" applyBorder="1"/>
    <xf numFmtId="0" fontId="24" fillId="13" borderId="0" xfId="0" applyFont="1" applyFill="1"/>
    <xf numFmtId="0" fontId="25" fillId="3" borderId="1" xfId="0" applyFont="1" applyFill="1" applyBorder="1" applyAlignment="1">
      <alignment horizontal="center" vertical="center"/>
    </xf>
    <xf numFmtId="0" fontId="35" fillId="10" borderId="0" xfId="0" applyFont="1" applyFill="1" applyAlignment="1">
      <alignment horizontal="left" vertical="center"/>
    </xf>
    <xf numFmtId="0" fontId="31" fillId="10" borderId="0" xfId="0" applyFont="1" applyFill="1" applyAlignment="1">
      <alignment horizontal="left" vertical="center"/>
    </xf>
    <xf numFmtId="0" fontId="35" fillId="18" borderId="52" xfId="0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/>
    </xf>
    <xf numFmtId="0" fontId="38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1" fillId="19" borderId="0" xfId="0" applyFont="1" applyFill="1"/>
    <xf numFmtId="0" fontId="39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7" fillId="21" borderId="54" xfId="0" applyFont="1" applyFill="1" applyBorder="1"/>
    <xf numFmtId="0" fontId="28" fillId="21" borderId="55" xfId="0" applyFont="1" applyFill="1" applyBorder="1"/>
    <xf numFmtId="0" fontId="28" fillId="21" borderId="51" xfId="0" applyFont="1" applyFill="1" applyBorder="1"/>
    <xf numFmtId="0" fontId="37" fillId="21" borderId="55" xfId="0" applyFont="1" applyFill="1" applyBorder="1"/>
    <xf numFmtId="0" fontId="37" fillId="21" borderId="51" xfId="0" applyFont="1" applyFill="1" applyBorder="1"/>
    <xf numFmtId="0" fontId="35" fillId="21" borderId="0" xfId="0" applyFont="1" applyFill="1"/>
    <xf numFmtId="0" fontId="34" fillId="21" borderId="0" xfId="0" applyFont="1" applyFill="1"/>
    <xf numFmtId="0" fontId="37" fillId="21" borderId="0" xfId="0" applyFont="1" applyFill="1"/>
    <xf numFmtId="0" fontId="35" fillId="20" borderId="1" xfId="0" applyFont="1" applyFill="1" applyBorder="1"/>
    <xf numFmtId="0" fontId="31" fillId="21" borderId="0" xfId="0" applyFont="1" applyFill="1"/>
    <xf numFmtId="0" fontId="31" fillId="10" borderId="36" xfId="0" applyFont="1" applyFill="1" applyBorder="1" applyAlignment="1">
      <alignment horizontal="left" vertical="center"/>
    </xf>
    <xf numFmtId="0" fontId="31" fillId="10" borderId="38" xfId="0" applyFont="1" applyFill="1" applyBorder="1" applyAlignment="1">
      <alignment horizontal="left" vertical="center"/>
    </xf>
    <xf numFmtId="0" fontId="36" fillId="17" borderId="34" xfId="0" applyFont="1" applyFill="1" applyBorder="1" applyAlignment="1">
      <alignment horizontal="center"/>
    </xf>
    <xf numFmtId="0" fontId="36" fillId="17" borderId="35" xfId="0" applyFont="1" applyFill="1" applyBorder="1" applyAlignment="1">
      <alignment horizontal="center"/>
    </xf>
    <xf numFmtId="44" fontId="31" fillId="10" borderId="37" xfId="0" applyNumberFormat="1" applyFont="1" applyFill="1" applyBorder="1" applyAlignment="1">
      <alignment horizontal="left" vertical="center"/>
    </xf>
    <xf numFmtId="44" fontId="31" fillId="10" borderId="40" xfId="0" applyNumberFormat="1" applyFont="1" applyFill="1" applyBorder="1" applyAlignment="1">
      <alignment horizontal="left" vertical="center"/>
    </xf>
    <xf numFmtId="0" fontId="35" fillId="18" borderId="1" xfId="0" applyFont="1" applyFill="1" applyBorder="1" applyAlignment="1">
      <alignment horizontal="center" vertical="center"/>
    </xf>
    <xf numFmtId="0" fontId="35" fillId="18" borderId="37" xfId="0" applyFont="1" applyFill="1" applyBorder="1" applyAlignment="1">
      <alignment vertical="center"/>
    </xf>
    <xf numFmtId="44" fontId="31" fillId="10" borderId="1" xfId="0" applyNumberFormat="1" applyFont="1" applyFill="1" applyBorder="1" applyAlignment="1">
      <alignment horizontal="left"/>
    </xf>
    <xf numFmtId="0" fontId="31" fillId="10" borderId="36" xfId="0" applyFont="1" applyFill="1" applyBorder="1" applyAlignment="1">
      <alignment horizontal="left"/>
    </xf>
    <xf numFmtId="9" fontId="31" fillId="10" borderId="1" xfId="0" applyNumberFormat="1" applyFont="1" applyFill="1" applyBorder="1" applyAlignment="1">
      <alignment horizontal="left" vertical="center"/>
    </xf>
    <xf numFmtId="164" fontId="31" fillId="10" borderId="37" xfId="0" applyNumberFormat="1" applyFont="1" applyFill="1" applyBorder="1" applyAlignment="1">
      <alignment horizontal="left" vertical="center"/>
    </xf>
    <xf numFmtId="44" fontId="31" fillId="10" borderId="36" xfId="0" applyNumberFormat="1" applyFont="1" applyFill="1" applyBorder="1" applyAlignment="1">
      <alignment horizontal="left"/>
    </xf>
    <xf numFmtId="10" fontId="31" fillId="10" borderId="1" xfId="0" applyNumberFormat="1" applyFont="1" applyFill="1" applyBorder="1" applyAlignment="1">
      <alignment horizontal="left" vertical="center"/>
    </xf>
    <xf numFmtId="0" fontId="31" fillId="10" borderId="38" xfId="0" applyFont="1" applyFill="1" applyBorder="1" applyAlignment="1">
      <alignment horizontal="left"/>
    </xf>
    <xf numFmtId="44" fontId="31" fillId="10" borderId="39" xfId="0" applyNumberFormat="1" applyFont="1" applyFill="1" applyBorder="1" applyAlignment="1">
      <alignment horizontal="left"/>
    </xf>
    <xf numFmtId="10" fontId="31" fillId="10" borderId="39" xfId="0" applyNumberFormat="1" applyFont="1" applyFill="1" applyBorder="1" applyAlignment="1">
      <alignment horizontal="left" vertical="center"/>
    </xf>
    <xf numFmtId="164" fontId="31" fillId="10" borderId="40" xfId="0" applyNumberFormat="1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left" vertical="center"/>
    </xf>
    <xf numFmtId="9" fontId="31" fillId="10" borderId="37" xfId="0" applyNumberFormat="1" applyFont="1" applyFill="1" applyBorder="1" applyAlignment="1">
      <alignment horizontal="left" vertical="center"/>
    </xf>
    <xf numFmtId="0" fontId="31" fillId="10" borderId="37" xfId="0" applyFont="1" applyFill="1" applyBorder="1" applyAlignment="1">
      <alignment horizontal="left" vertical="center"/>
    </xf>
    <xf numFmtId="0" fontId="31" fillId="10" borderId="39" xfId="0" applyFont="1" applyFill="1" applyBorder="1" applyAlignment="1">
      <alignment horizontal="left" vertical="center"/>
    </xf>
    <xf numFmtId="10" fontId="31" fillId="10" borderId="40" xfId="0" applyNumberFormat="1" applyFont="1" applyFill="1" applyBorder="1" applyAlignment="1">
      <alignment horizontal="left" vertical="center"/>
    </xf>
    <xf numFmtId="0" fontId="40" fillId="17" borderId="60" xfId="0" applyFont="1" applyFill="1" applyBorder="1"/>
    <xf numFmtId="9" fontId="31" fillId="10" borderId="61" xfId="0" applyNumberFormat="1" applyFont="1" applyFill="1" applyBorder="1" applyAlignment="1">
      <alignment horizontal="left"/>
    </xf>
    <xf numFmtId="0" fontId="8" fillId="13" borderId="10" xfId="0" applyFont="1" applyFill="1" applyBorder="1"/>
    <xf numFmtId="0" fontId="18" fillId="17" borderId="1" xfId="0" applyFont="1" applyFill="1" applyBorder="1"/>
    <xf numFmtId="0" fontId="31" fillId="10" borderId="62" xfId="0" applyFont="1" applyFill="1" applyBorder="1" applyAlignment="1">
      <alignment horizontal="left"/>
    </xf>
    <xf numFmtId="0" fontId="31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3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2" fillId="10" borderId="0" xfId="0" applyFont="1" applyFill="1" applyAlignment="1">
      <alignment vertical="center"/>
    </xf>
    <xf numFmtId="0" fontId="29" fillId="10" borderId="0" xfId="0" applyFont="1" applyFill="1"/>
    <xf numFmtId="0" fontId="21" fillId="10" borderId="0" xfId="0" applyFont="1" applyFill="1"/>
    <xf numFmtId="0" fontId="19" fillId="10" borderId="0" xfId="0" applyFont="1" applyFill="1" applyAlignment="1">
      <alignment horizontal="left"/>
    </xf>
    <xf numFmtId="0" fontId="21" fillId="10" borderId="0" xfId="0" applyFont="1" applyFill="1" applyAlignment="1">
      <alignment horizontal="left"/>
    </xf>
    <xf numFmtId="0" fontId="21" fillId="11" borderId="0" xfId="0" applyFont="1" applyFill="1" applyAlignment="1">
      <alignment horizontal="left"/>
    </xf>
    <xf numFmtId="0" fontId="29" fillId="10" borderId="9" xfId="0" applyFont="1" applyFill="1" applyBorder="1"/>
    <xf numFmtId="0" fontId="42" fillId="10" borderId="10" xfId="0" applyFont="1" applyFill="1" applyBorder="1"/>
    <xf numFmtId="0" fontId="29" fillId="10" borderId="10" xfId="0" applyFont="1" applyFill="1" applyBorder="1"/>
    <xf numFmtId="0" fontId="21" fillId="10" borderId="10" xfId="0" applyFont="1" applyFill="1" applyBorder="1"/>
    <xf numFmtId="0" fontId="29" fillId="10" borderId="11" xfId="0" applyFont="1" applyFill="1" applyBorder="1"/>
    <xf numFmtId="0" fontId="35" fillId="10" borderId="10" xfId="0" applyFont="1" applyFill="1" applyBorder="1" applyAlignment="1">
      <alignment horizontal="left"/>
    </xf>
    <xf numFmtId="0" fontId="31" fillId="10" borderId="10" xfId="0" applyFont="1" applyFill="1" applyBorder="1" applyAlignment="1">
      <alignment horizontal="left"/>
    </xf>
    <xf numFmtId="44" fontId="0" fillId="13" borderId="1" xfId="4" applyFont="1" applyFill="1" applyBorder="1"/>
    <xf numFmtId="44" fontId="41" fillId="13" borderId="1" xfId="4" applyFont="1" applyFill="1" applyBorder="1"/>
    <xf numFmtId="0" fontId="20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1" fillId="13" borderId="55" xfId="0" applyFont="1" applyFill="1" applyBorder="1"/>
    <xf numFmtId="0" fontId="31" fillId="13" borderId="1" xfId="0" applyFont="1" applyFill="1" applyBorder="1" applyAlignment="1">
      <alignment horizontal="center"/>
    </xf>
    <xf numFmtId="44" fontId="31" fillId="13" borderId="1" xfId="4" applyFont="1" applyFill="1" applyBorder="1" applyAlignment="1"/>
    <xf numFmtId="0" fontId="27" fillId="17" borderId="1" xfId="0" applyFont="1" applyFill="1" applyBorder="1" applyAlignment="1">
      <alignment horizontal="center" vertical="center"/>
    </xf>
    <xf numFmtId="0" fontId="36" fillId="17" borderId="55" xfId="0" applyFont="1" applyFill="1" applyBorder="1" applyAlignment="1">
      <alignment vertical="center"/>
    </xf>
    <xf numFmtId="0" fontId="36" fillId="17" borderId="1" xfId="0" applyFont="1" applyFill="1" applyBorder="1" applyAlignment="1">
      <alignment vertical="center"/>
    </xf>
    <xf numFmtId="0" fontId="31" fillId="13" borderId="1" xfId="0" applyFont="1" applyFill="1" applyBorder="1"/>
    <xf numFmtId="44" fontId="31" fillId="13" borderId="1" xfId="4" applyFont="1" applyFill="1" applyBorder="1" applyAlignment="1">
      <alignment horizontal="center"/>
    </xf>
    <xf numFmtId="0" fontId="31" fillId="10" borderId="1" xfId="0" applyFont="1" applyFill="1" applyBorder="1"/>
    <xf numFmtId="44" fontId="31" fillId="10" borderId="1" xfId="0" applyNumberFormat="1" applyFont="1" applyFill="1" applyBorder="1"/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1" fillId="13" borderId="1" xfId="4" applyFont="1" applyFill="1" applyBorder="1"/>
    <xf numFmtId="44" fontId="42" fillId="13" borderId="1" xfId="4" applyFont="1" applyFill="1" applyBorder="1"/>
    <xf numFmtId="0" fontId="31" fillId="13" borderId="13" xfId="0" applyFont="1" applyFill="1" applyBorder="1"/>
    <xf numFmtId="44" fontId="31" fillId="13" borderId="13" xfId="4" applyFont="1" applyFill="1" applyBorder="1"/>
    <xf numFmtId="44" fontId="42" fillId="13" borderId="13" xfId="4" applyFont="1" applyFill="1" applyBorder="1"/>
    <xf numFmtId="0" fontId="32" fillId="13" borderId="1" xfId="0" applyFont="1" applyFill="1" applyBorder="1"/>
    <xf numFmtId="0" fontId="36" fillId="17" borderId="13" xfId="0" applyFont="1" applyFill="1" applyBorder="1"/>
    <xf numFmtId="44" fontId="31" fillId="13" borderId="0" xfId="4" applyFont="1" applyFill="1"/>
    <xf numFmtId="0" fontId="27" fillId="17" borderId="1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2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5" fillId="10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27" fillId="12" borderId="34" xfId="0" applyFont="1" applyFill="1" applyBorder="1" applyAlignment="1">
      <alignment horizontal="center" vertical="center"/>
    </xf>
    <xf numFmtId="0" fontId="27" fillId="12" borderId="67" xfId="0" applyFont="1" applyFill="1" applyBorder="1" applyAlignment="1">
      <alignment horizontal="center" vertical="center"/>
    </xf>
    <xf numFmtId="0" fontId="27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1" fillId="2" borderId="1" xfId="0" applyFont="1" applyFill="1" applyBorder="1" applyAlignment="1">
      <alignment horizontal="left" vertical="center"/>
    </xf>
    <xf numFmtId="0" fontId="31" fillId="2" borderId="37" xfId="0" applyFont="1" applyFill="1" applyBorder="1" applyAlignment="1">
      <alignment horizontal="left" vertical="center"/>
    </xf>
    <xf numFmtId="0" fontId="31" fillId="2" borderId="37" xfId="0" applyFont="1" applyFill="1" applyBorder="1" applyAlignment="1">
      <alignment horizontal="left"/>
    </xf>
    <xf numFmtId="0" fontId="45" fillId="2" borderId="37" xfId="2" applyFont="1" applyFill="1" applyBorder="1" applyAlignment="1">
      <alignment horizontal="left" vertical="center"/>
    </xf>
    <xf numFmtId="0" fontId="45" fillId="2" borderId="37" xfId="2" applyFont="1" applyFill="1" applyBorder="1" applyAlignment="1">
      <alignment horizontal="left"/>
    </xf>
    <xf numFmtId="0" fontId="31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1" fillId="2" borderId="39" xfId="0" applyFont="1" applyFill="1" applyBorder="1" applyAlignment="1">
      <alignment horizontal="left" vertical="center"/>
    </xf>
    <xf numFmtId="0" fontId="31" fillId="2" borderId="40" xfId="0" applyFont="1" applyFill="1" applyBorder="1" applyAlignment="1">
      <alignment horizontal="left" vertical="center"/>
    </xf>
    <xf numFmtId="0" fontId="27" fillId="17" borderId="36" xfId="0" applyFont="1" applyFill="1" applyBorder="1" applyAlignment="1">
      <alignment horizontal="center"/>
    </xf>
    <xf numFmtId="0" fontId="27" fillId="17" borderId="37" xfId="0" applyFont="1" applyFill="1" applyBorder="1" applyAlignment="1">
      <alignment horizontal="center"/>
    </xf>
    <xf numFmtId="0" fontId="42" fillId="0" borderId="36" xfId="0" applyFont="1" applyBorder="1"/>
    <xf numFmtId="0" fontId="42" fillId="0" borderId="1" xfId="0" applyFont="1" applyBorder="1"/>
    <xf numFmtId="0" fontId="42" fillId="0" borderId="37" xfId="0" applyFont="1" applyBorder="1"/>
    <xf numFmtId="0" fontId="42" fillId="0" borderId="38" xfId="0" applyFont="1" applyBorder="1"/>
    <xf numFmtId="0" fontId="42" fillId="0" borderId="39" xfId="0" applyFont="1" applyBorder="1"/>
    <xf numFmtId="0" fontId="42" fillId="0" borderId="40" xfId="0" applyFont="1" applyBorder="1"/>
    <xf numFmtId="0" fontId="27" fillId="17" borderId="68" xfId="0" applyFont="1" applyFill="1" applyBorder="1" applyAlignment="1">
      <alignment horizontal="center"/>
    </xf>
    <xf numFmtId="0" fontId="27" fillId="17" borderId="2" xfId="0" applyFont="1" applyFill="1" applyBorder="1" applyAlignment="1">
      <alignment horizontal="center"/>
    </xf>
    <xf numFmtId="0" fontId="27" fillId="17" borderId="2" xfId="0" applyFont="1" applyFill="1" applyBorder="1" applyAlignment="1">
      <alignment horizontal="center" vertical="center"/>
    </xf>
    <xf numFmtId="0" fontId="27" fillId="17" borderId="33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0" fontId="27" fillId="12" borderId="56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left"/>
    </xf>
    <xf numFmtId="0" fontId="35" fillId="2" borderId="18" xfId="0" applyFont="1" applyFill="1" applyBorder="1" applyAlignment="1">
      <alignment horizontal="left"/>
    </xf>
    <xf numFmtId="0" fontId="47" fillId="2" borderId="1" xfId="0" applyFont="1" applyFill="1" applyBorder="1" applyAlignment="1">
      <alignment horizontal="left"/>
    </xf>
    <xf numFmtId="0" fontId="31" fillId="2" borderId="18" xfId="0" applyFont="1" applyFill="1" applyBorder="1" applyAlignment="1">
      <alignment horizontal="left"/>
    </xf>
    <xf numFmtId="0" fontId="27" fillId="17" borderId="36" xfId="0" applyFont="1" applyFill="1" applyBorder="1" applyAlignment="1">
      <alignment horizontal="center" vertical="center"/>
    </xf>
    <xf numFmtId="0" fontId="27" fillId="17" borderId="37" xfId="0" applyFont="1" applyFill="1" applyBorder="1" applyAlignment="1">
      <alignment horizontal="center" vertical="center"/>
    </xf>
    <xf numFmtId="0" fontId="42" fillId="0" borderId="36" xfId="0" applyFont="1" applyBorder="1" applyAlignment="1">
      <alignment horizontal="center" vertical="center"/>
    </xf>
    <xf numFmtId="0" fontId="35" fillId="10" borderId="0" xfId="0" applyFont="1" applyFill="1"/>
    <xf numFmtId="0" fontId="32" fillId="2" borderId="1" xfId="0" applyFont="1" applyFill="1" applyBorder="1"/>
    <xf numFmtId="0" fontId="42" fillId="10" borderId="0" xfId="0" applyFont="1" applyFill="1"/>
    <xf numFmtId="0" fontId="35" fillId="10" borderId="0" xfId="0" applyFont="1" applyFill="1" applyAlignment="1">
      <alignment horizontal="left"/>
    </xf>
    <xf numFmtId="0" fontId="32" fillId="2" borderId="1" xfId="0" applyFont="1" applyFill="1" applyBorder="1" applyAlignment="1">
      <alignment horizontal="left"/>
    </xf>
    <xf numFmtId="0" fontId="31" fillId="10" borderId="0" xfId="0" applyFont="1" applyFill="1" applyAlignment="1">
      <alignment horizontal="left"/>
    </xf>
    <xf numFmtId="0" fontId="48" fillId="2" borderId="1" xfId="2" applyFont="1" applyFill="1" applyBorder="1" applyAlignment="1">
      <alignment horizontal="left"/>
    </xf>
    <xf numFmtId="0" fontId="32" fillId="3" borderId="1" xfId="0" applyFont="1" applyFill="1" applyBorder="1" applyAlignment="1">
      <alignment horizontal="left"/>
    </xf>
    <xf numFmtId="165" fontId="32" fillId="3" borderId="1" xfId="0" applyNumberFormat="1" applyFont="1" applyFill="1" applyBorder="1" applyAlignment="1">
      <alignment horizontal="left"/>
    </xf>
    <xf numFmtId="0" fontId="49" fillId="17" borderId="1" xfId="0" applyFont="1" applyFill="1" applyBorder="1" applyAlignment="1">
      <alignment horizontal="left" vertical="center"/>
    </xf>
    <xf numFmtId="0" fontId="32" fillId="13" borderId="1" xfId="0" applyFont="1" applyFill="1" applyBorder="1" applyAlignment="1">
      <alignment horizontal="left" vertical="center"/>
    </xf>
    <xf numFmtId="44" fontId="32" fillId="13" borderId="1" xfId="4" applyFont="1" applyFill="1" applyBorder="1" applyAlignment="1">
      <alignment horizontal="left" vertical="center"/>
    </xf>
    <xf numFmtId="0" fontId="50" fillId="13" borderId="1" xfId="0" applyFont="1" applyFill="1" applyBorder="1" applyAlignment="1">
      <alignment horizontal="left" vertical="center" wrapText="1"/>
    </xf>
    <xf numFmtId="44" fontId="50" fillId="13" borderId="1" xfId="4" applyFont="1" applyFill="1" applyBorder="1" applyAlignment="1">
      <alignment horizontal="left" vertical="center" wrapText="1"/>
    </xf>
    <xf numFmtId="0" fontId="50" fillId="13" borderId="13" xfId="0" applyFont="1" applyFill="1" applyBorder="1" applyAlignment="1">
      <alignment horizontal="left" vertical="center" wrapText="1"/>
    </xf>
    <xf numFmtId="44" fontId="50" fillId="13" borderId="13" xfId="4" applyFont="1" applyFill="1" applyBorder="1" applyAlignment="1">
      <alignment horizontal="left" vertical="center" wrapText="1"/>
    </xf>
    <xf numFmtId="0" fontId="34" fillId="10" borderId="0" xfId="0" applyFont="1" applyFill="1" applyAlignment="1">
      <alignment horizontal="left" vertical="center"/>
    </xf>
    <xf numFmtId="0" fontId="36" fillId="10" borderId="0" xfId="0" applyFont="1" applyFill="1" applyAlignment="1">
      <alignment horizontal="left" vertical="center"/>
    </xf>
    <xf numFmtId="0" fontId="40" fillId="10" borderId="0" xfId="0" applyFont="1" applyFill="1" applyAlignment="1">
      <alignment horizontal="left" vertical="center"/>
    </xf>
    <xf numFmtId="0" fontId="51" fillId="2" borderId="1" xfId="2" applyFont="1" applyFill="1" applyBorder="1" applyAlignment="1">
      <alignment horizontal="left"/>
    </xf>
    <xf numFmtId="0" fontId="31" fillId="10" borderId="0" xfId="0" applyFont="1" applyFill="1"/>
    <xf numFmtId="0" fontId="29" fillId="2" borderId="0" xfId="0" applyFont="1" applyFill="1"/>
    <xf numFmtId="0" fontId="42" fillId="2" borderId="0" xfId="0" applyFont="1" applyFill="1"/>
    <xf numFmtId="0" fontId="21" fillId="2" borderId="0" xfId="0" applyFont="1" applyFill="1"/>
    <xf numFmtId="0" fontId="20" fillId="10" borderId="0" xfId="0" applyFont="1" applyFill="1" applyAlignment="1">
      <alignment horizontal="left" vertical="center"/>
    </xf>
    <xf numFmtId="165" fontId="21" fillId="11" borderId="0" xfId="0" applyNumberFormat="1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1" fillId="3" borderId="0" xfId="0" applyFont="1" applyFill="1" applyAlignment="1">
      <alignment horizontal="left"/>
    </xf>
    <xf numFmtId="0" fontId="8" fillId="10" borderId="0" xfId="0" applyFont="1" applyFill="1" applyAlignment="1">
      <alignment horizontal="left"/>
    </xf>
    <xf numFmtId="0" fontId="31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1" fillId="2" borderId="52" xfId="0" applyNumberFormat="1" applyFont="1" applyFill="1" applyBorder="1" applyAlignment="1">
      <alignment horizontal="left"/>
    </xf>
    <xf numFmtId="14" fontId="31" fillId="2" borderId="52" xfId="0" applyNumberFormat="1" applyFont="1" applyFill="1" applyBorder="1" applyAlignment="1">
      <alignment horizontal="left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8" fillId="10" borderId="10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35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5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31" fillId="0" borderId="1" xfId="0" applyFont="1" applyBorder="1"/>
    <xf numFmtId="0" fontId="31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2" fillId="8" borderId="1" xfId="0" applyFont="1" applyFill="1" applyBorder="1" applyAlignment="1">
      <alignment horizontal="center" vertical="center"/>
    </xf>
    <xf numFmtId="0" fontId="31" fillId="0" borderId="0" xfId="0" applyFont="1"/>
    <xf numFmtId="0" fontId="31" fillId="0" borderId="71" xfId="0" applyFont="1" applyBorder="1"/>
    <xf numFmtId="0" fontId="31" fillId="0" borderId="39" xfId="0" applyFont="1" applyBorder="1"/>
    <xf numFmtId="0" fontId="31" fillId="0" borderId="38" xfId="0" applyFont="1" applyBorder="1"/>
    <xf numFmtId="0" fontId="31" fillId="2" borderId="0" xfId="0" applyFont="1" applyFill="1"/>
    <xf numFmtId="0" fontId="31" fillId="0" borderId="1" xfId="0" applyFont="1" applyBorder="1" applyAlignment="1">
      <alignment horizontal="left" vertical="center"/>
    </xf>
    <xf numFmtId="0" fontId="31" fillId="0" borderId="55" xfId="0" applyFont="1" applyBorder="1"/>
    <xf numFmtId="0" fontId="31" fillId="0" borderId="36" xfId="0" applyFont="1" applyBorder="1" applyAlignment="1">
      <alignment horizontal="left" vertical="center"/>
    </xf>
    <xf numFmtId="0" fontId="31" fillId="2" borderId="0" xfId="0" applyFont="1" applyFill="1" applyAlignment="1">
      <alignment horizontal="left" vertical="center"/>
    </xf>
    <xf numFmtId="0" fontId="31" fillId="0" borderId="40" xfId="0" applyFont="1" applyBorder="1"/>
    <xf numFmtId="0" fontId="31" fillId="0" borderId="72" xfId="0" applyFont="1" applyBorder="1"/>
    <xf numFmtId="44" fontId="31" fillId="0" borderId="37" xfId="5" applyFont="1" applyBorder="1"/>
    <xf numFmtId="44" fontId="31" fillId="0" borderId="1" xfId="5" applyFont="1" applyBorder="1"/>
    <xf numFmtId="0" fontId="31" fillId="0" borderId="56" xfId="0" applyFont="1" applyBorder="1"/>
    <xf numFmtId="0" fontId="52" fillId="0" borderId="1" xfId="2" applyFont="1" applyBorder="1"/>
    <xf numFmtId="0" fontId="27" fillId="17" borderId="53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43" fillId="7" borderId="1" xfId="0" applyFont="1" applyFill="1" applyBorder="1" applyAlignment="1">
      <alignment horizontal="center"/>
    </xf>
    <xf numFmtId="0" fontId="43" fillId="7" borderId="65" xfId="0" applyFont="1" applyFill="1" applyBorder="1" applyAlignment="1">
      <alignment horizontal="center"/>
    </xf>
    <xf numFmtId="0" fontId="43" fillId="7" borderId="64" xfId="0" applyFont="1" applyFill="1" applyBorder="1" applyAlignment="1">
      <alignment horizontal="center"/>
    </xf>
    <xf numFmtId="0" fontId="43" fillId="2" borderId="0" xfId="0" applyFont="1" applyFill="1" applyAlignment="1">
      <alignment horizontal="center"/>
    </xf>
    <xf numFmtId="0" fontId="27" fillId="17" borderId="3" xfId="0" applyFont="1" applyFill="1" applyBorder="1" applyAlignment="1">
      <alignment horizontal="center"/>
    </xf>
    <xf numFmtId="0" fontId="43" fillId="7" borderId="66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2" fillId="2" borderId="37" xfId="2" applyFont="1" applyFill="1" applyBorder="1" applyAlignment="1">
      <alignment horizontal="left" vertical="center"/>
    </xf>
    <xf numFmtId="0" fontId="52" fillId="2" borderId="0" xfId="2" applyFont="1" applyFill="1" applyBorder="1" applyAlignment="1">
      <alignment horizontal="left" vertical="center"/>
    </xf>
    <xf numFmtId="0" fontId="31" fillId="0" borderId="37" xfId="0" applyFont="1" applyBorder="1"/>
    <xf numFmtId="0" fontId="31" fillId="0" borderId="36" xfId="0" applyFont="1" applyBorder="1"/>
    <xf numFmtId="0" fontId="52" fillId="2" borderId="37" xfId="2" applyFont="1" applyFill="1" applyBorder="1" applyAlignment="1">
      <alignment horizontal="left"/>
    </xf>
    <xf numFmtId="0" fontId="52" fillId="2" borderId="0" xfId="2" applyFont="1" applyFill="1" applyBorder="1" applyAlignment="1">
      <alignment horizontal="left"/>
    </xf>
    <xf numFmtId="0" fontId="31" fillId="2" borderId="33" xfId="0" applyFont="1" applyFill="1" applyBorder="1" applyAlignment="1">
      <alignment horizontal="left" vertical="center"/>
    </xf>
    <xf numFmtId="0" fontId="31" fillId="2" borderId="2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45" fillId="2" borderId="1" xfId="2" applyFont="1" applyFill="1" applyBorder="1" applyAlignment="1">
      <alignment horizontal="left"/>
    </xf>
    <xf numFmtId="0" fontId="27" fillId="3" borderId="0" xfId="0" applyFont="1" applyFill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34" fillId="8" borderId="25" xfId="0" applyFont="1" applyFill="1" applyBorder="1" applyAlignment="1">
      <alignment horizontal="center" vertical="center"/>
    </xf>
    <xf numFmtId="0" fontId="34" fillId="8" borderId="27" xfId="0" applyFont="1" applyFill="1" applyBorder="1" applyAlignment="1">
      <alignment horizontal="center" vertical="center"/>
    </xf>
    <xf numFmtId="0" fontId="34" fillId="8" borderId="23" xfId="0" applyFont="1" applyFill="1" applyBorder="1" applyAlignment="1">
      <alignment horizontal="center" vertical="center"/>
    </xf>
    <xf numFmtId="0" fontId="34" fillId="8" borderId="19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0" fontId="34" fillId="8" borderId="24" xfId="0" applyFont="1" applyFill="1" applyBorder="1" applyAlignment="1">
      <alignment horizontal="center" vertical="center"/>
    </xf>
    <xf numFmtId="0" fontId="31" fillId="13" borderId="52" xfId="0" applyFont="1" applyFill="1" applyBorder="1" applyAlignment="1">
      <alignment horizontal="left"/>
    </xf>
    <xf numFmtId="164" fontId="31" fillId="13" borderId="52" xfId="0" applyNumberFormat="1" applyFont="1" applyFill="1" applyBorder="1" applyAlignment="1">
      <alignment horizontal="left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4" fillId="10" borderId="7" xfId="0" applyFont="1" applyFill="1" applyBorder="1" applyAlignment="1">
      <alignment horizontal="center" vertical="center"/>
    </xf>
    <xf numFmtId="0" fontId="34" fillId="10" borderId="20" xfId="0" applyFont="1" applyFill="1" applyBorder="1" applyAlignment="1">
      <alignment horizontal="center" vertical="center"/>
    </xf>
    <xf numFmtId="0" fontId="27" fillId="5" borderId="4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7" fillId="5" borderId="21" xfId="0" applyFont="1" applyFill="1" applyBorder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0" fontId="27" fillId="5" borderId="22" xfId="0" applyFont="1" applyFill="1" applyBorder="1" applyAlignment="1">
      <alignment horizontal="center" vertical="center"/>
    </xf>
    <xf numFmtId="0" fontId="36" fillId="4" borderId="4" xfId="0" applyFont="1" applyFill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6" xfId="0" applyFont="1" applyFill="1" applyBorder="1" applyAlignment="1">
      <alignment horizontal="center" vertical="center"/>
    </xf>
    <xf numFmtId="0" fontId="36" fillId="4" borderId="21" xfId="0" applyFont="1" applyFill="1" applyBorder="1" applyAlignment="1">
      <alignment horizontal="center" vertical="center"/>
    </xf>
    <xf numFmtId="0" fontId="36" fillId="4" borderId="14" xfId="0" applyFont="1" applyFill="1" applyBorder="1" applyAlignment="1">
      <alignment horizontal="center" vertical="center"/>
    </xf>
    <xf numFmtId="0" fontId="36" fillId="4" borderId="22" xfId="0" applyFont="1" applyFill="1" applyBorder="1" applyAlignment="1">
      <alignment horizontal="center" vertical="center"/>
    </xf>
    <xf numFmtId="0" fontId="24" fillId="9" borderId="31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0" fontId="24" fillId="9" borderId="21" xfId="0" applyFont="1" applyFill="1" applyBorder="1" applyAlignment="1">
      <alignment horizontal="center" vertical="center"/>
    </xf>
    <xf numFmtId="0" fontId="24" fillId="9" borderId="3" xfId="0" applyFont="1" applyFill="1" applyBorder="1" applyAlignment="1">
      <alignment horizontal="center" vertical="center"/>
    </xf>
    <xf numFmtId="0" fontId="33" fillId="3" borderId="13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11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7" fillId="17" borderId="41" xfId="0" applyFont="1" applyFill="1" applyBorder="1" applyAlignment="1">
      <alignment horizontal="center" vertical="center"/>
    </xf>
    <xf numFmtId="0" fontId="27" fillId="17" borderId="42" xfId="0" applyFont="1" applyFill="1" applyBorder="1" applyAlignment="1">
      <alignment horizontal="center" vertical="center"/>
    </xf>
    <xf numFmtId="0" fontId="27" fillId="17" borderId="43" xfId="0" applyFont="1" applyFill="1" applyBorder="1" applyAlignment="1">
      <alignment horizontal="center" vertical="center"/>
    </xf>
    <xf numFmtId="0" fontId="27" fillId="17" borderId="44" xfId="0" applyFont="1" applyFill="1" applyBorder="1" applyAlignment="1">
      <alignment horizontal="center" vertical="center"/>
    </xf>
    <xf numFmtId="0" fontId="27" fillId="17" borderId="0" xfId="0" applyFont="1" applyFill="1" applyAlignment="1">
      <alignment horizontal="center" vertical="center"/>
    </xf>
    <xf numFmtId="0" fontId="27" fillId="17" borderId="45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18" fillId="17" borderId="6" xfId="0" applyFont="1" applyFill="1" applyBorder="1" applyAlignment="1">
      <alignment horizontal="center" vertical="center"/>
    </xf>
    <xf numFmtId="0" fontId="18" fillId="17" borderId="9" xfId="0" applyFont="1" applyFill="1" applyBorder="1" applyAlignment="1">
      <alignment horizontal="center" vertical="center"/>
    </xf>
    <xf numFmtId="0" fontId="18" fillId="17" borderId="10" xfId="0" applyFont="1" applyFill="1" applyBorder="1" applyAlignment="1">
      <alignment horizontal="center" vertical="center"/>
    </xf>
    <xf numFmtId="0" fontId="18" fillId="17" borderId="11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 vertical="center"/>
    </xf>
    <xf numFmtId="0" fontId="18" fillId="17" borderId="8" xfId="0" applyFont="1" applyFill="1" applyBorder="1" applyAlignment="1">
      <alignment horizontal="center" vertical="center"/>
    </xf>
    <xf numFmtId="0" fontId="36" fillId="17" borderId="57" xfId="0" applyFont="1" applyFill="1" applyBorder="1" applyAlignment="1">
      <alignment horizontal="center" vertical="center"/>
    </xf>
    <xf numFmtId="0" fontId="36" fillId="17" borderId="58" xfId="0" applyFont="1" applyFill="1" applyBorder="1" applyAlignment="1">
      <alignment horizontal="center" vertical="center"/>
    </xf>
    <xf numFmtId="0" fontId="36" fillId="17" borderId="59" xfId="0" applyFont="1" applyFill="1" applyBorder="1" applyAlignment="1">
      <alignment horizontal="center" vertical="center"/>
    </xf>
    <xf numFmtId="0" fontId="35" fillId="18" borderId="36" xfId="0" applyFont="1" applyFill="1" applyBorder="1" applyAlignment="1">
      <alignment horizontal="center" vertical="center"/>
    </xf>
    <xf numFmtId="0" fontId="35" fillId="18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left"/>
    </xf>
    <xf numFmtId="44" fontId="31" fillId="13" borderId="1" xfId="4" applyFont="1" applyFill="1" applyBorder="1" applyAlignment="1">
      <alignment horizontal="center"/>
    </xf>
    <xf numFmtId="0" fontId="36" fillId="17" borderId="1" xfId="0" applyFont="1" applyFill="1" applyBorder="1" applyAlignment="1">
      <alignment horizontal="center" vertical="center"/>
    </xf>
    <xf numFmtId="0" fontId="42" fillId="13" borderId="55" xfId="0" applyFont="1" applyFill="1" applyBorder="1" applyAlignment="1">
      <alignment horizontal="center"/>
    </xf>
    <xf numFmtId="0" fontId="42" fillId="13" borderId="56" xfId="0" applyFont="1" applyFill="1" applyBorder="1" applyAlignment="1">
      <alignment horizontal="center"/>
    </xf>
    <xf numFmtId="0" fontId="28" fillId="13" borderId="1" xfId="0" applyFont="1" applyFill="1" applyBorder="1" applyAlignment="1">
      <alignment horizontal="left"/>
    </xf>
    <xf numFmtId="0" fontId="27" fillId="17" borderId="55" xfId="0" applyFont="1" applyFill="1" applyBorder="1" applyAlignment="1">
      <alignment horizontal="center" vertical="center"/>
    </xf>
    <xf numFmtId="0" fontId="27" fillId="17" borderId="54" xfId="0" applyFont="1" applyFill="1" applyBorder="1" applyAlignment="1">
      <alignment horizontal="center" vertical="center"/>
    </xf>
    <xf numFmtId="0" fontId="27" fillId="17" borderId="56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/>
    </xf>
    <xf numFmtId="0" fontId="36" fillId="17" borderId="55" xfId="0" applyFont="1" applyFill="1" applyBorder="1" applyAlignment="1">
      <alignment horizontal="center" vertical="center"/>
    </xf>
    <xf numFmtId="0" fontId="36" fillId="17" borderId="54" xfId="0" applyFont="1" applyFill="1" applyBorder="1" applyAlignment="1">
      <alignment horizontal="center" vertical="center"/>
    </xf>
    <xf numFmtId="0" fontId="36" fillId="17" borderId="56" xfId="0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7" borderId="1" xfId="0" applyFont="1" applyFill="1" applyBorder="1" applyAlignment="1">
      <alignment horizontal="center" vertical="center"/>
    </xf>
    <xf numFmtId="0" fontId="27" fillId="22" borderId="57" xfId="0" applyFont="1" applyFill="1" applyBorder="1" applyAlignment="1">
      <alignment horizontal="center"/>
    </xf>
    <xf numFmtId="0" fontId="27" fillId="22" borderId="58" xfId="0" applyFont="1" applyFill="1" applyBorder="1" applyAlignment="1">
      <alignment horizontal="center"/>
    </xf>
    <xf numFmtId="0" fontId="27" fillId="22" borderId="59" xfId="0" applyFont="1" applyFill="1" applyBorder="1" applyAlignment="1">
      <alignment horizontal="center"/>
    </xf>
    <xf numFmtId="0" fontId="36" fillId="7" borderId="64" xfId="0" applyFont="1" applyFill="1" applyBorder="1" applyAlignment="1">
      <alignment horizontal="center" vertical="center"/>
    </xf>
    <xf numFmtId="0" fontId="36" fillId="7" borderId="65" xfId="0" applyFont="1" applyFill="1" applyBorder="1" applyAlignment="1">
      <alignment horizontal="center" vertical="center"/>
    </xf>
    <xf numFmtId="0" fontId="36" fillId="7" borderId="66" xfId="0" applyFont="1" applyFill="1" applyBorder="1" applyAlignment="1">
      <alignment horizontal="center" vertical="center"/>
    </xf>
    <xf numFmtId="0" fontId="36" fillId="22" borderId="57" xfId="0" applyFont="1" applyFill="1" applyBorder="1" applyAlignment="1">
      <alignment horizontal="center"/>
    </xf>
    <xf numFmtId="0" fontId="36" fillId="22" borderId="58" xfId="0" applyFont="1" applyFill="1" applyBorder="1" applyAlignment="1">
      <alignment horizontal="center"/>
    </xf>
    <xf numFmtId="0" fontId="36" fillId="22" borderId="59" xfId="0" applyFont="1" applyFill="1" applyBorder="1" applyAlignment="1">
      <alignment horizontal="center"/>
    </xf>
    <xf numFmtId="0" fontId="46" fillId="7" borderId="64" xfId="0" applyFont="1" applyFill="1" applyBorder="1" applyAlignment="1">
      <alignment horizontal="center"/>
    </xf>
    <xf numFmtId="0" fontId="46" fillId="7" borderId="65" xfId="0" applyFont="1" applyFill="1" applyBorder="1" applyAlignment="1">
      <alignment horizontal="center"/>
    </xf>
    <xf numFmtId="0" fontId="46" fillId="7" borderId="66" xfId="0" applyFont="1" applyFill="1" applyBorder="1" applyAlignment="1">
      <alignment horizontal="center"/>
    </xf>
    <xf numFmtId="0" fontId="36" fillId="7" borderId="14" xfId="0" applyFont="1" applyFill="1" applyBorder="1" applyAlignment="1">
      <alignment horizontal="center" vertical="center"/>
    </xf>
    <xf numFmtId="0" fontId="53" fillId="2" borderId="0" xfId="0" applyFont="1" applyFill="1"/>
    <xf numFmtId="0" fontId="55" fillId="3" borderId="0" xfId="0" applyFont="1" applyFill="1" applyAlignment="1">
      <alignment vertical="center"/>
    </xf>
    <xf numFmtId="0" fontId="55" fillId="6" borderId="4" xfId="0" applyFont="1" applyFill="1" applyBorder="1" applyAlignment="1">
      <alignment horizontal="center" vertical="center"/>
    </xf>
    <xf numFmtId="0" fontId="55" fillId="6" borderId="5" xfId="0" applyFont="1" applyFill="1" applyBorder="1" applyAlignment="1">
      <alignment horizontal="center" vertical="center"/>
    </xf>
    <xf numFmtId="0" fontId="55" fillId="6" borderId="6" xfId="0" applyFont="1" applyFill="1" applyBorder="1" applyAlignment="1">
      <alignment horizontal="center" vertical="center"/>
    </xf>
    <xf numFmtId="0" fontId="55" fillId="6" borderId="21" xfId="0" applyFont="1" applyFill="1" applyBorder="1" applyAlignment="1">
      <alignment horizontal="center" vertical="center"/>
    </xf>
    <xf numFmtId="0" fontId="55" fillId="6" borderId="14" xfId="0" applyFont="1" applyFill="1" applyBorder="1" applyAlignment="1">
      <alignment horizontal="center" vertical="center"/>
    </xf>
    <xf numFmtId="0" fontId="55" fillId="6" borderId="22" xfId="0" applyFont="1" applyFill="1" applyBorder="1" applyAlignment="1">
      <alignment horizontal="center" vertical="center"/>
    </xf>
    <xf numFmtId="0" fontId="54" fillId="8" borderId="31" xfId="0" applyFont="1" applyFill="1" applyBorder="1" applyAlignment="1">
      <alignment horizontal="center" vertical="center"/>
    </xf>
    <xf numFmtId="0" fontId="54" fillId="8" borderId="50" xfId="0" applyFont="1" applyFill="1" applyBorder="1" applyAlignment="1">
      <alignment horizontal="center" vertical="center"/>
    </xf>
    <xf numFmtId="0" fontId="54" fillId="8" borderId="63" xfId="0" applyFont="1" applyFill="1" applyBorder="1" applyAlignment="1">
      <alignment horizontal="center" vertical="center"/>
    </xf>
    <xf numFmtId="0" fontId="54" fillId="8" borderId="9" xfId="0" applyFont="1" applyFill="1" applyBorder="1" applyAlignment="1">
      <alignment horizontal="center" vertical="center"/>
    </xf>
    <xf numFmtId="0" fontId="54" fillId="8" borderId="10" xfId="0" applyFont="1" applyFill="1" applyBorder="1" applyAlignment="1">
      <alignment horizontal="center" vertical="center"/>
    </xf>
    <xf numFmtId="0" fontId="54" fillId="8" borderId="11" xfId="0" applyFont="1" applyFill="1" applyBorder="1" applyAlignment="1">
      <alignment horizontal="center" vertical="center"/>
    </xf>
    <xf numFmtId="0" fontId="55" fillId="12" borderId="4" xfId="0" applyFont="1" applyFill="1" applyBorder="1" applyAlignment="1">
      <alignment horizontal="center" vertical="center"/>
    </xf>
    <xf numFmtId="0" fontId="55" fillId="12" borderId="5" xfId="0" applyFont="1" applyFill="1" applyBorder="1" applyAlignment="1">
      <alignment horizontal="center" vertical="center"/>
    </xf>
    <xf numFmtId="0" fontId="55" fillId="12" borderId="6" xfId="0" applyFont="1" applyFill="1" applyBorder="1" applyAlignment="1">
      <alignment horizontal="center" vertical="center"/>
    </xf>
    <xf numFmtId="0" fontId="55" fillId="12" borderId="7" xfId="0" applyFont="1" applyFill="1" applyBorder="1" applyAlignment="1">
      <alignment horizontal="center" vertical="center"/>
    </xf>
    <xf numFmtId="0" fontId="55" fillId="12" borderId="0" xfId="0" applyFont="1" applyFill="1" applyAlignment="1">
      <alignment horizontal="center" vertical="center"/>
    </xf>
    <xf numFmtId="0" fontId="55" fillId="12" borderId="8" xfId="0" applyFont="1" applyFill="1" applyBorder="1" applyAlignment="1">
      <alignment horizontal="center" vertical="center"/>
    </xf>
    <xf numFmtId="0" fontId="55" fillId="12" borderId="9" xfId="0" applyFont="1" applyFill="1" applyBorder="1" applyAlignment="1">
      <alignment horizontal="center" vertical="center"/>
    </xf>
    <xf numFmtId="0" fontId="55" fillId="12" borderId="10" xfId="0" applyFont="1" applyFill="1" applyBorder="1" applyAlignment="1">
      <alignment horizontal="center" vertical="center"/>
    </xf>
    <xf numFmtId="0" fontId="55" fillId="12" borderId="11" xfId="0" applyFont="1" applyFill="1" applyBorder="1" applyAlignment="1">
      <alignment horizontal="center" vertical="center"/>
    </xf>
    <xf numFmtId="0" fontId="56" fillId="3" borderId="0" xfId="0" applyFont="1" applyFill="1"/>
    <xf numFmtId="0" fontId="56" fillId="11" borderId="7" xfId="0" applyFont="1" applyFill="1" applyBorder="1" applyAlignment="1">
      <alignment horizontal="left" vertical="center"/>
    </xf>
    <xf numFmtId="0" fontId="56" fillId="11" borderId="0" xfId="0" applyFont="1" applyFill="1" applyAlignment="1">
      <alignment horizontal="left" vertical="center"/>
    </xf>
    <xf numFmtId="0" fontId="56" fillId="11" borderId="0" xfId="0" applyFont="1" applyFill="1"/>
    <xf numFmtId="0" fontId="56" fillId="11" borderId="8" xfId="0" applyFont="1" applyFill="1" applyBorder="1"/>
    <xf numFmtId="0" fontId="56" fillId="11" borderId="7" xfId="0" applyFont="1" applyFill="1" applyBorder="1" applyAlignment="1">
      <alignment vertical="center"/>
    </xf>
    <xf numFmtId="0" fontId="56" fillId="11" borderId="0" xfId="0" applyFont="1" applyFill="1" applyAlignment="1">
      <alignment vertical="center"/>
    </xf>
    <xf numFmtId="0" fontId="57" fillId="3" borderId="0" xfId="0" applyFont="1" applyFill="1" applyAlignment="1">
      <alignment horizontal="center" vertical="center"/>
    </xf>
    <xf numFmtId="0" fontId="57" fillId="11" borderId="0" xfId="0" applyFont="1" applyFill="1" applyAlignment="1">
      <alignment horizontal="left" vertical="center"/>
    </xf>
    <xf numFmtId="0" fontId="57" fillId="9" borderId="1" xfId="0" applyFont="1" applyFill="1" applyBorder="1" applyAlignment="1">
      <alignment horizontal="center" vertical="center"/>
    </xf>
    <xf numFmtId="0" fontId="57" fillId="11" borderId="0" xfId="0" applyFont="1" applyFill="1" applyAlignment="1">
      <alignment vertical="center"/>
    </xf>
    <xf numFmtId="0" fontId="56" fillId="11" borderId="9" xfId="0" applyFont="1" applyFill="1" applyBorder="1" applyAlignment="1">
      <alignment horizontal="left" vertical="center"/>
    </xf>
    <xf numFmtId="0" fontId="56" fillId="11" borderId="10" xfId="0" applyFont="1" applyFill="1" applyBorder="1" applyAlignment="1">
      <alignment horizontal="left" vertical="center"/>
    </xf>
    <xf numFmtId="0" fontId="56" fillId="11" borderId="10" xfId="0" applyFont="1" applyFill="1" applyBorder="1"/>
    <xf numFmtId="0" fontId="56" fillId="11" borderId="11" xfId="0" applyFont="1" applyFill="1" applyBorder="1"/>
    <xf numFmtId="0" fontId="56" fillId="11" borderId="9" xfId="0" applyFont="1" applyFill="1" applyBorder="1" applyAlignment="1">
      <alignment vertical="center"/>
    </xf>
    <xf numFmtId="0" fontId="56" fillId="11" borderId="10" xfId="0" applyFont="1" applyFill="1" applyBorder="1" applyAlignment="1">
      <alignment vertical="center"/>
    </xf>
    <xf numFmtId="0" fontId="54" fillId="2" borderId="0" xfId="0" applyFont="1" applyFill="1" applyAlignment="1">
      <alignment vertical="center"/>
    </xf>
    <xf numFmtId="0" fontId="56" fillId="3" borderId="0" xfId="0" applyFont="1" applyFill="1" applyAlignment="1">
      <alignment horizontal="left" vertical="center"/>
    </xf>
    <xf numFmtId="0" fontId="56" fillId="3" borderId="0" xfId="0" applyFont="1" applyFill="1" applyAlignment="1">
      <alignment vertical="center"/>
    </xf>
    <xf numFmtId="0" fontId="57" fillId="3" borderId="0" xfId="0" applyFont="1" applyFill="1" applyAlignment="1">
      <alignment horizontal="left" vertical="center"/>
    </xf>
    <xf numFmtId="0" fontId="57" fillId="3" borderId="0" xfId="0" applyFont="1" applyFill="1" applyAlignment="1">
      <alignment vertical="center"/>
    </xf>
    <xf numFmtId="0" fontId="0" fillId="14" borderId="0" xfId="0" applyFill="1" applyAlignment="1">
      <alignment horizontal="center"/>
    </xf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97A"/>
      <color rgb="FF171717"/>
      <color rgb="FF3D5B7A"/>
      <color rgb="FFF13FF5"/>
      <color rgb="FF3A5775"/>
      <color rgb="FF8EA9DB"/>
      <color rgb="FF212121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V_HOME!A1"/><Relationship Id="rId3" Type="http://schemas.openxmlformats.org/officeDocument/2006/relationships/hyperlink" Target="#P_HOME!A1"/><Relationship Id="rId7" Type="http://schemas.openxmlformats.org/officeDocument/2006/relationships/hyperlink" Target="#RH_HOME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C_HOME!A1"/><Relationship Id="rId5" Type="http://schemas.openxmlformats.org/officeDocument/2006/relationships/hyperlink" Target="#E_HOME!A1"/><Relationship Id="rId4" Type="http://schemas.openxmlformats.org/officeDocument/2006/relationships/hyperlink" Target="#L_HOME!A1"/><Relationship Id="rId9" Type="http://schemas.openxmlformats.org/officeDocument/2006/relationships/hyperlink" Target="#F_HOME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P_HOME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EQUIPES!A1"/><Relationship Id="rId21" Type="http://schemas.microsoft.com/office/2007/relationships/hdphoto" Target="../media/hdphoto5.wdp"/><Relationship Id="rId7" Type="http://schemas.microsoft.com/office/2007/relationships/hdphoto" Target="../media/hdphoto1.wdp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F_HOME!A1"/><Relationship Id="rId33" Type="http://schemas.microsoft.com/office/2007/relationships/hdphoto" Target="../media/hdphoto9.wdp"/><Relationship Id="rId2" Type="http://schemas.openxmlformats.org/officeDocument/2006/relationships/hyperlink" Target="#PRODU&#199;&#195;O_LAN&#199;AMENTOS!A1"/><Relationship Id="rId16" Type="http://schemas.openxmlformats.org/officeDocument/2006/relationships/hyperlink" Target="#L_HOM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hyperlink" Target="#PRODU&#199;&#195;O_REQUISI&#199;&#213;ES!A1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BD_HOME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C_HOME!A1"/><Relationship Id="rId10" Type="http://schemas.openxmlformats.org/officeDocument/2006/relationships/hyperlink" Target="#Home!A1"/><Relationship Id="rId19" Type="http://schemas.openxmlformats.org/officeDocument/2006/relationships/hyperlink" Target="#E_HOME!A1"/><Relationship Id="rId31" Type="http://schemas.openxmlformats.org/officeDocument/2006/relationships/hyperlink" Target="#V_HOME!A1"/><Relationship Id="rId4" Type="http://schemas.openxmlformats.org/officeDocument/2006/relationships/hyperlink" Target="#PRODU&#199;&#195;O_CONSULTA!A1"/><Relationship Id="rId9" Type="http://schemas.openxmlformats.org/officeDocument/2006/relationships/hyperlink" Target="#HOME!A1"/><Relationship Id="rId14" Type="http://schemas.openxmlformats.org/officeDocument/2006/relationships/image" Target="../media/image6.png"/><Relationship Id="rId22" Type="http://schemas.openxmlformats.org/officeDocument/2006/relationships/hyperlink" Target="#RH_HOME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5.wdp"/><Relationship Id="rId26" Type="http://schemas.openxmlformats.org/officeDocument/2006/relationships/image" Target="../media/image11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6.wdp"/><Relationship Id="rId7" Type="http://schemas.openxmlformats.org/officeDocument/2006/relationships/hyperlink" Target="#Home!A1"/><Relationship Id="rId12" Type="http://schemas.microsoft.com/office/2007/relationships/hdphoto" Target="../media/hdphoto3.wdp"/><Relationship Id="rId17" Type="http://schemas.openxmlformats.org/officeDocument/2006/relationships/image" Target="../media/image8.png"/><Relationship Id="rId25" Type="http://schemas.openxmlformats.org/officeDocument/2006/relationships/hyperlink" Target="#HOME_COMPRAS!A1"/><Relationship Id="rId33" Type="http://schemas.microsoft.com/office/2007/relationships/hdphoto" Target="../media/hdphoto1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9.png"/><Relationship Id="rId29" Type="http://schemas.openxmlformats.org/officeDocument/2006/relationships/image" Target="../media/image12.png"/><Relationship Id="rId1" Type="http://schemas.openxmlformats.org/officeDocument/2006/relationships/image" Target="../media/image4.png"/><Relationship Id="rId6" Type="http://schemas.openxmlformats.org/officeDocument/2006/relationships/hyperlink" Target="#NOVO!A1"/><Relationship Id="rId11" Type="http://schemas.openxmlformats.org/officeDocument/2006/relationships/image" Target="../media/image13.png"/><Relationship Id="rId24" Type="http://schemas.microsoft.com/office/2007/relationships/hdphoto" Target="../media/hdphoto7.wdp"/><Relationship Id="rId32" Type="http://schemas.openxmlformats.org/officeDocument/2006/relationships/image" Target="../media/image3.png"/><Relationship Id="rId5" Type="http://schemas.openxmlformats.org/officeDocument/2006/relationships/hyperlink" Target="#PRODU&#199;&#195;O_CONSULTA!A1"/><Relationship Id="rId15" Type="http://schemas.microsoft.com/office/2007/relationships/hdphoto" Target="../media/hdphoto4.wdp"/><Relationship Id="rId23" Type="http://schemas.openxmlformats.org/officeDocument/2006/relationships/image" Target="../media/image10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hyperlink" Target="#HOME_FINANCAS!A1"/><Relationship Id="rId27" Type="http://schemas.microsoft.com/office/2007/relationships/hdphoto" Target="../media/hdphoto8.wdp"/><Relationship Id="rId30" Type="http://schemas.microsoft.com/office/2007/relationships/hdphoto" Target="../media/hdphoto9.wdp"/><Relationship Id="rId8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P_HOME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microsoft.com/office/2007/relationships/hdphoto" Target="../media/hdphoto1.wdp"/><Relationship Id="rId21" Type="http://schemas.microsoft.com/office/2007/relationships/hdphoto" Target="../media/hdphoto5.wdp"/><Relationship Id="rId7" Type="http://schemas.openxmlformats.org/officeDocument/2006/relationships/hyperlink" Target="#PRODU&#199;&#195;O_EQUIPES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F_HOME!A1"/><Relationship Id="rId33" Type="http://schemas.microsoft.com/office/2007/relationships/hdphoto" Target="../media/hdphoto9.wdp"/><Relationship Id="rId2" Type="http://schemas.openxmlformats.org/officeDocument/2006/relationships/image" Target="../media/image3.png"/><Relationship Id="rId16" Type="http://schemas.openxmlformats.org/officeDocument/2006/relationships/hyperlink" Target="#L_HOM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hyperlink" Target="#BD_HOME!A1"/><Relationship Id="rId6" Type="http://schemas.openxmlformats.org/officeDocument/2006/relationships/hyperlink" Target="#PRODU&#199;&#195;O_LAN&#199;AMENTOS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REQUISI&#199;&#213;ES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C_HOME!A1"/><Relationship Id="rId10" Type="http://schemas.openxmlformats.org/officeDocument/2006/relationships/hyperlink" Target="#Home!A1"/><Relationship Id="rId19" Type="http://schemas.openxmlformats.org/officeDocument/2006/relationships/hyperlink" Target="#E_HOME!A1"/><Relationship Id="rId31" Type="http://schemas.openxmlformats.org/officeDocument/2006/relationships/hyperlink" Target="#V_HOME!A1"/><Relationship Id="rId4" Type="http://schemas.openxmlformats.org/officeDocument/2006/relationships/image" Target="../media/image4.png"/><Relationship Id="rId9" Type="http://schemas.openxmlformats.org/officeDocument/2006/relationships/hyperlink" Target="#HOME!A1"/><Relationship Id="rId14" Type="http://schemas.openxmlformats.org/officeDocument/2006/relationships/image" Target="../media/image6.png"/><Relationship Id="rId22" Type="http://schemas.openxmlformats.org/officeDocument/2006/relationships/hyperlink" Target="#RH_HOME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hyperlink" Target="#PRODU&#199;&#195;O_CONSULTA!A1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5.wdp"/><Relationship Id="rId26" Type="http://schemas.openxmlformats.org/officeDocument/2006/relationships/image" Target="../media/image11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6.wdp"/><Relationship Id="rId7" Type="http://schemas.openxmlformats.org/officeDocument/2006/relationships/hyperlink" Target="#Home!A1"/><Relationship Id="rId12" Type="http://schemas.microsoft.com/office/2007/relationships/hdphoto" Target="../media/hdphoto3.wdp"/><Relationship Id="rId17" Type="http://schemas.openxmlformats.org/officeDocument/2006/relationships/image" Target="../media/image8.png"/><Relationship Id="rId25" Type="http://schemas.openxmlformats.org/officeDocument/2006/relationships/hyperlink" Target="#HOME_COMPRAS!A1"/><Relationship Id="rId33" Type="http://schemas.microsoft.com/office/2007/relationships/hdphoto" Target="../media/hdphoto1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9.png"/><Relationship Id="rId29" Type="http://schemas.openxmlformats.org/officeDocument/2006/relationships/image" Target="../media/image12.png"/><Relationship Id="rId1" Type="http://schemas.openxmlformats.org/officeDocument/2006/relationships/image" Target="../media/image4.png"/><Relationship Id="rId6" Type="http://schemas.openxmlformats.org/officeDocument/2006/relationships/hyperlink" Target="#NOVO!A1"/><Relationship Id="rId11" Type="http://schemas.openxmlformats.org/officeDocument/2006/relationships/image" Target="../media/image13.png"/><Relationship Id="rId24" Type="http://schemas.microsoft.com/office/2007/relationships/hdphoto" Target="../media/hdphoto7.wdp"/><Relationship Id="rId32" Type="http://schemas.openxmlformats.org/officeDocument/2006/relationships/image" Target="../media/image3.png"/><Relationship Id="rId5" Type="http://schemas.openxmlformats.org/officeDocument/2006/relationships/hyperlink" Target="#PRODU&#199;&#195;O_CONSULTA!A1"/><Relationship Id="rId15" Type="http://schemas.microsoft.com/office/2007/relationships/hdphoto" Target="../media/hdphoto4.wdp"/><Relationship Id="rId23" Type="http://schemas.openxmlformats.org/officeDocument/2006/relationships/image" Target="../media/image10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hyperlink" Target="#HOME_FINANCAS!A1"/><Relationship Id="rId27" Type="http://schemas.microsoft.com/office/2007/relationships/hdphoto" Target="../media/hdphoto8.wdp"/><Relationship Id="rId30" Type="http://schemas.microsoft.com/office/2007/relationships/hdphoto" Target="../media/hdphoto9.wdp"/><Relationship Id="rId8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COMPRAS!A1"/><Relationship Id="rId3" Type="http://schemas.openxmlformats.org/officeDocument/2006/relationships/hyperlink" Target="#PRODU&#199;&#195;O_REQUISI&#199;&#213;ES!A1"/><Relationship Id="rId21" Type="http://schemas.openxmlformats.org/officeDocument/2006/relationships/image" Target="../media/image9.png"/><Relationship Id="rId34" Type="http://schemas.microsoft.com/office/2007/relationships/hdphoto" Target="../media/hdphoto1.wdp"/><Relationship Id="rId7" Type="http://schemas.openxmlformats.org/officeDocument/2006/relationships/hyperlink" Target="#NOVO!A1"/><Relationship Id="rId12" Type="http://schemas.openxmlformats.org/officeDocument/2006/relationships/image" Target="../media/image13.png"/><Relationship Id="rId17" Type="http://schemas.openxmlformats.org/officeDocument/2006/relationships/hyperlink" Target="#HOME_ESTOQUE!A1"/><Relationship Id="rId25" Type="http://schemas.microsoft.com/office/2007/relationships/hdphoto" Target="../media/hdphoto7.wdp"/><Relationship Id="rId33" Type="http://schemas.openxmlformats.org/officeDocument/2006/relationships/image" Target="../media/image3.png"/><Relationship Id="rId2" Type="http://schemas.openxmlformats.org/officeDocument/2006/relationships/image" Target="../media/image4.png"/><Relationship Id="rId16" Type="http://schemas.microsoft.com/office/2007/relationships/hdphoto" Target="../media/hdphoto4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chart" Target="../charts/chart1.xml"/><Relationship Id="rId6" Type="http://schemas.openxmlformats.org/officeDocument/2006/relationships/hyperlink" Target="#PRODU&#199;&#195;O_CONSULTA!A1"/><Relationship Id="rId11" Type="http://schemas.openxmlformats.org/officeDocument/2006/relationships/hyperlink" Target="#PROD_HOME!A1"/><Relationship Id="rId24" Type="http://schemas.openxmlformats.org/officeDocument/2006/relationships/image" Target="../media/image10.png"/><Relationship Id="rId32" Type="http://schemas.openxmlformats.org/officeDocument/2006/relationships/hyperlink" Target="#HOME_BD!A1"/><Relationship Id="rId5" Type="http://schemas.openxmlformats.org/officeDocument/2006/relationships/hyperlink" Target="#PRODU&#199;&#195;O_EQUIPES!A1"/><Relationship Id="rId15" Type="http://schemas.openxmlformats.org/officeDocument/2006/relationships/image" Target="../media/image7.png"/><Relationship Id="rId23" Type="http://schemas.openxmlformats.org/officeDocument/2006/relationships/hyperlink" Target="#HOME_FINANCAS!A1"/><Relationship Id="rId28" Type="http://schemas.microsoft.com/office/2007/relationships/hdphoto" Target="../media/hdphoto8.wdp"/><Relationship Id="rId10" Type="http://schemas.microsoft.com/office/2007/relationships/hdphoto" Target="../media/hdphoto2.wdp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hyperlink" Target="#PRODU&#199;&#195;O_LAN&#199;AMENTOS!A1"/><Relationship Id="rId9" Type="http://schemas.openxmlformats.org/officeDocument/2006/relationships/image" Target="../media/image5.png"/><Relationship Id="rId14" Type="http://schemas.openxmlformats.org/officeDocument/2006/relationships/hyperlink" Target="#HOME_LOGISTICA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Relationship Id="rId8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openxmlformats.org/officeDocument/2006/relationships/hyperlink" Target="#E_HOME!A1"/><Relationship Id="rId26" Type="http://schemas.microsoft.com/office/2007/relationships/hdphoto" Target="../media/hdphoto7.wdp"/><Relationship Id="rId3" Type="http://schemas.microsoft.com/office/2007/relationships/hdphoto" Target="../media/hdphoto10.wdp"/><Relationship Id="rId21" Type="http://schemas.openxmlformats.org/officeDocument/2006/relationships/hyperlink" Target="#RH_HOME!A1"/><Relationship Id="rId7" Type="http://schemas.openxmlformats.org/officeDocument/2006/relationships/image" Target="../media/image4.png"/><Relationship Id="rId12" Type="http://schemas.openxmlformats.org/officeDocument/2006/relationships/hyperlink" Target="#P_HOME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2" Type="http://schemas.openxmlformats.org/officeDocument/2006/relationships/image" Target="../media/image14.png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231;&#227;o!A1"/><Relationship Id="rId6" Type="http://schemas.microsoft.com/office/2007/relationships/hdphoto" Target="../media/hdphoto1.wdp"/><Relationship Id="rId11" Type="http://schemas.microsoft.com/office/2007/relationships/hdphoto" Target="../media/hdphoto2.wdp"/><Relationship Id="rId24" Type="http://schemas.openxmlformats.org/officeDocument/2006/relationships/hyperlink" Target="#F_HOME!A1"/><Relationship Id="rId32" Type="http://schemas.microsoft.com/office/2007/relationships/hdphoto" Target="../media/hdphoto9.wdp"/><Relationship Id="rId5" Type="http://schemas.openxmlformats.org/officeDocument/2006/relationships/image" Target="../media/image3.png"/><Relationship Id="rId15" Type="http://schemas.openxmlformats.org/officeDocument/2006/relationships/hyperlink" Target="#L_HOM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hyperlink" Target="#BD_HOME!A1"/><Relationship Id="rId9" Type="http://schemas.openxmlformats.org/officeDocument/2006/relationships/hyperlink" Target="#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C_HOME!A1"/><Relationship Id="rId30" Type="http://schemas.openxmlformats.org/officeDocument/2006/relationships/hyperlink" Target="#V_HOM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openxmlformats.org/officeDocument/2006/relationships/hyperlink" Target="#E_HOME!A1"/><Relationship Id="rId26" Type="http://schemas.microsoft.com/office/2007/relationships/hdphoto" Target="../media/hdphoto7.wdp"/><Relationship Id="rId3" Type="http://schemas.microsoft.com/office/2007/relationships/hdphoto" Target="../media/hdphoto10.wdp"/><Relationship Id="rId21" Type="http://schemas.openxmlformats.org/officeDocument/2006/relationships/hyperlink" Target="#RH_HOME!A1"/><Relationship Id="rId7" Type="http://schemas.openxmlformats.org/officeDocument/2006/relationships/image" Target="../media/image4.png"/><Relationship Id="rId12" Type="http://schemas.openxmlformats.org/officeDocument/2006/relationships/hyperlink" Target="#P_HOME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2" Type="http://schemas.openxmlformats.org/officeDocument/2006/relationships/image" Target="../media/image14.png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231;&#227;o!A1"/><Relationship Id="rId6" Type="http://schemas.microsoft.com/office/2007/relationships/hdphoto" Target="../media/hdphoto1.wdp"/><Relationship Id="rId11" Type="http://schemas.microsoft.com/office/2007/relationships/hdphoto" Target="../media/hdphoto2.wdp"/><Relationship Id="rId24" Type="http://schemas.openxmlformats.org/officeDocument/2006/relationships/hyperlink" Target="#F_HOME!A1"/><Relationship Id="rId32" Type="http://schemas.microsoft.com/office/2007/relationships/hdphoto" Target="../media/hdphoto9.wdp"/><Relationship Id="rId5" Type="http://schemas.openxmlformats.org/officeDocument/2006/relationships/image" Target="../media/image3.png"/><Relationship Id="rId15" Type="http://schemas.openxmlformats.org/officeDocument/2006/relationships/hyperlink" Target="#L_HOM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hyperlink" Target="#BD_HOME!A1"/><Relationship Id="rId9" Type="http://schemas.openxmlformats.org/officeDocument/2006/relationships/hyperlink" Target="#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C_HOME!A1"/><Relationship Id="rId30" Type="http://schemas.openxmlformats.org/officeDocument/2006/relationships/hyperlink" Target="#V_HOM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16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16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16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16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16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16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image" Target="../media/image19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17.png"/><Relationship Id="rId17" Type="http://schemas.microsoft.com/office/2007/relationships/hdphoto" Target="../media/hdphoto7.wdp"/><Relationship Id="rId25" Type="http://schemas.microsoft.com/office/2007/relationships/hdphoto" Target="../media/hdphoto12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image" Target="../media/image18.png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17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17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image" Target="../media/image2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5" Type="http://schemas.microsoft.com/office/2007/relationships/hdphoto" Target="../media/hdphoto12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image" Target="../media/image18.png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20.png"/><Relationship Id="rId22" Type="http://schemas.openxmlformats.org/officeDocument/2006/relationships/image" Target="../media/image3.png"/><Relationship Id="rId27" Type="http://schemas.microsoft.com/office/2007/relationships/hdphoto" Target="../media/hdphoto13.wdp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20.png"/><Relationship Id="rId22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20.png"/><Relationship Id="rId22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20.png"/><Relationship Id="rId22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20.png"/><Relationship Id="rId22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image" Target="../media/image23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5" Type="http://schemas.microsoft.com/office/2007/relationships/hdphoto" Target="../media/hdphoto12.wdp"/><Relationship Id="rId2" Type="http://schemas.openxmlformats.org/officeDocument/2006/relationships/image" Target="../media/image15.png"/><Relationship Id="rId16" Type="http://schemas.openxmlformats.org/officeDocument/2006/relationships/image" Target="../media/image22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image" Target="../media/image18.png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22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22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22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26" Type="http://schemas.openxmlformats.org/officeDocument/2006/relationships/image" Target="../media/image25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5" Type="http://schemas.microsoft.com/office/2007/relationships/hdphoto" Target="../media/hdphoto12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image" Target="../media/image18.png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Relationship Id="rId27" Type="http://schemas.microsoft.com/office/2007/relationships/hdphoto" Target="../media/hdphoto14.wdp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hyperlink" Target="#SOLICITA&#199;&#213;ES!A1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hyperlink" Target="#N_CSOLICITAR!A1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image" Target="../media/image27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5" Type="http://schemas.microsoft.com/office/2007/relationships/hdphoto" Target="../media/hdphoto12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26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24" Type="http://schemas.openxmlformats.org/officeDocument/2006/relationships/image" Target="../media/image18.png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Relationship Id="rId27" Type="http://schemas.microsoft.com/office/2007/relationships/hdphoto" Target="../media/hdphoto15.wdp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26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26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26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26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9.wdp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microsoft.com/office/2007/relationships/hdphoto" Target="../media/hdphoto7.wdp"/><Relationship Id="rId2" Type="http://schemas.openxmlformats.org/officeDocument/2006/relationships/image" Target="../media/image15.png"/><Relationship Id="rId16" Type="http://schemas.openxmlformats.org/officeDocument/2006/relationships/image" Target="../media/image10.png"/><Relationship Id="rId20" Type="http://schemas.openxmlformats.org/officeDocument/2006/relationships/image" Target="../media/image26.png"/><Relationship Id="rId1" Type="http://schemas.openxmlformats.org/officeDocument/2006/relationships/hyperlink" Target="#Produ&#231;&#227;o!A1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openxmlformats.org/officeDocument/2006/relationships/hyperlink" Target="#Home!A1"/><Relationship Id="rId15" Type="http://schemas.microsoft.com/office/2007/relationships/hdphoto" Target="../media/hdphoto6.wdp"/><Relationship Id="rId23" Type="http://schemas.microsoft.com/office/2007/relationships/hdphoto" Target="../media/hdphoto1.wdp"/><Relationship Id="rId10" Type="http://schemas.openxmlformats.org/officeDocument/2006/relationships/image" Target="../media/image7.png"/><Relationship Id="rId19" Type="http://schemas.microsoft.com/office/2007/relationships/hdphoto" Target="../media/hdphoto8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9.png"/><Relationship Id="rId22" Type="http://schemas.openxmlformats.org/officeDocument/2006/relationships/image" Target="../media/image3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7.png"/><Relationship Id="rId18" Type="http://schemas.microsoft.com/office/2007/relationships/hdphoto" Target="../media/hdphoto6.wdp"/><Relationship Id="rId26" Type="http://schemas.microsoft.com/office/2007/relationships/hdphoto" Target="../media/hdphoto1.wdp"/><Relationship Id="rId3" Type="http://schemas.microsoft.com/office/2007/relationships/hdphoto" Target="../media/hdphoto11.wdp"/><Relationship Id="rId21" Type="http://schemas.openxmlformats.org/officeDocument/2006/relationships/image" Target="../media/image11.png"/><Relationship Id="rId7" Type="http://schemas.openxmlformats.org/officeDocument/2006/relationships/hyperlink" Target="#'B2'!A1"/><Relationship Id="rId12" Type="http://schemas.microsoft.com/office/2007/relationships/hdphoto" Target="../media/hdphoto3.wdp"/><Relationship Id="rId17" Type="http://schemas.openxmlformats.org/officeDocument/2006/relationships/image" Target="../media/image9.png"/><Relationship Id="rId25" Type="http://schemas.openxmlformats.org/officeDocument/2006/relationships/image" Target="../media/image28.png"/><Relationship Id="rId2" Type="http://schemas.openxmlformats.org/officeDocument/2006/relationships/image" Target="../media/image15.png"/><Relationship Id="rId16" Type="http://schemas.microsoft.com/office/2007/relationships/hdphoto" Target="../media/hdphoto5.wdp"/><Relationship Id="rId20" Type="http://schemas.microsoft.com/office/2007/relationships/hdphoto" Target="../media/hdphoto7.wdp"/><Relationship Id="rId29" Type="http://schemas.openxmlformats.org/officeDocument/2006/relationships/image" Target="../media/image29.png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6.png"/><Relationship Id="rId24" Type="http://schemas.microsoft.com/office/2007/relationships/hdphoto" Target="../media/hdphoto9.wdp"/><Relationship Id="rId5" Type="http://schemas.openxmlformats.org/officeDocument/2006/relationships/hyperlink" Target="#'B1'!A1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microsoft.com/office/2007/relationships/hdphoto" Target="../media/hdphoto12.wdp"/><Relationship Id="rId10" Type="http://schemas.microsoft.com/office/2007/relationships/hdphoto" Target="../media/hdphoto2.wdp"/><Relationship Id="rId19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5.png"/><Relationship Id="rId14" Type="http://schemas.microsoft.com/office/2007/relationships/hdphoto" Target="../media/hdphoto4.wdp"/><Relationship Id="rId22" Type="http://schemas.microsoft.com/office/2007/relationships/hdphoto" Target="../media/hdphoto8.wdp"/><Relationship Id="rId27" Type="http://schemas.openxmlformats.org/officeDocument/2006/relationships/image" Target="../media/image18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7.png"/><Relationship Id="rId18" Type="http://schemas.microsoft.com/office/2007/relationships/hdphoto" Target="../media/hdphoto6.wdp"/><Relationship Id="rId26" Type="http://schemas.microsoft.com/office/2007/relationships/hdphoto" Target="../media/hdphoto1.wdp"/><Relationship Id="rId3" Type="http://schemas.microsoft.com/office/2007/relationships/hdphoto" Target="../media/hdphoto11.wdp"/><Relationship Id="rId21" Type="http://schemas.openxmlformats.org/officeDocument/2006/relationships/image" Target="../media/image11.png"/><Relationship Id="rId7" Type="http://schemas.openxmlformats.org/officeDocument/2006/relationships/hyperlink" Target="#'B2'!A1"/><Relationship Id="rId12" Type="http://schemas.microsoft.com/office/2007/relationships/hdphoto" Target="../media/hdphoto3.wdp"/><Relationship Id="rId17" Type="http://schemas.openxmlformats.org/officeDocument/2006/relationships/image" Target="../media/image9.png"/><Relationship Id="rId25" Type="http://schemas.openxmlformats.org/officeDocument/2006/relationships/image" Target="../media/image28.png"/><Relationship Id="rId2" Type="http://schemas.openxmlformats.org/officeDocument/2006/relationships/image" Target="../media/image15.png"/><Relationship Id="rId16" Type="http://schemas.microsoft.com/office/2007/relationships/hdphoto" Target="../media/hdphoto5.wdp"/><Relationship Id="rId20" Type="http://schemas.microsoft.com/office/2007/relationships/hdphoto" Target="../media/hdphoto7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6.png"/><Relationship Id="rId24" Type="http://schemas.microsoft.com/office/2007/relationships/hdphoto" Target="../media/hdphoto9.wdp"/><Relationship Id="rId5" Type="http://schemas.openxmlformats.org/officeDocument/2006/relationships/hyperlink" Target="#'B1'!A1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10" Type="http://schemas.microsoft.com/office/2007/relationships/hdphoto" Target="../media/hdphoto2.wdp"/><Relationship Id="rId19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5.png"/><Relationship Id="rId14" Type="http://schemas.microsoft.com/office/2007/relationships/hdphoto" Target="../media/hdphoto4.wdp"/><Relationship Id="rId22" Type="http://schemas.microsoft.com/office/2007/relationships/hdphoto" Target="../media/hdphoto8.wdp"/></Relationships>
</file>

<file path=xl/drawings/_rels/drawing42.xml.rels><?xml version="1.0" encoding="UTF-8" standalone="yes"?>
<Relationships xmlns="http://schemas.openxmlformats.org/package/2006/relationships"><Relationship Id="rId8" Type="http://schemas.microsoft.com/office/2007/relationships/hdphoto" Target="../media/hdphoto17.wdp"/><Relationship Id="rId13" Type="http://schemas.openxmlformats.org/officeDocument/2006/relationships/image" Target="../media/image34.png"/><Relationship Id="rId18" Type="http://schemas.openxmlformats.org/officeDocument/2006/relationships/image" Target="../media/image37.png"/><Relationship Id="rId3" Type="http://schemas.openxmlformats.org/officeDocument/2006/relationships/hyperlink" Target="#Home!A1"/><Relationship Id="rId21" Type="http://schemas.openxmlformats.org/officeDocument/2006/relationships/image" Target="../media/image39.png"/><Relationship Id="rId7" Type="http://schemas.openxmlformats.org/officeDocument/2006/relationships/image" Target="../media/image31.png"/><Relationship Id="rId12" Type="http://schemas.microsoft.com/office/2007/relationships/hdphoto" Target="../media/hdphoto19.wdp"/><Relationship Id="rId17" Type="http://schemas.microsoft.com/office/2007/relationships/hdphoto" Target="../media/hdphoto21.wdp"/><Relationship Id="rId2" Type="http://schemas.microsoft.com/office/2007/relationships/hdphoto" Target="../media/hdphoto16.wdp"/><Relationship Id="rId16" Type="http://schemas.openxmlformats.org/officeDocument/2006/relationships/image" Target="../media/image36.png"/><Relationship Id="rId20" Type="http://schemas.openxmlformats.org/officeDocument/2006/relationships/image" Target="../media/image38.png"/><Relationship Id="rId1" Type="http://schemas.openxmlformats.org/officeDocument/2006/relationships/image" Target="../media/image30.png"/><Relationship Id="rId6" Type="http://schemas.openxmlformats.org/officeDocument/2006/relationships/hyperlink" Target="#Produ&#231;&#227;o!A1"/><Relationship Id="rId11" Type="http://schemas.openxmlformats.org/officeDocument/2006/relationships/image" Target="../media/image33.png"/><Relationship Id="rId5" Type="http://schemas.microsoft.com/office/2007/relationships/hdphoto" Target="../media/hdphoto2.wdp"/><Relationship Id="rId15" Type="http://schemas.openxmlformats.org/officeDocument/2006/relationships/image" Target="../media/image35.png"/><Relationship Id="rId10" Type="http://schemas.microsoft.com/office/2007/relationships/hdphoto" Target="../media/hdphoto18.wdp"/><Relationship Id="rId19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32.png"/><Relationship Id="rId14" Type="http://schemas.microsoft.com/office/2007/relationships/hdphoto" Target="../media/hdphoto20.wdp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7.png"/><Relationship Id="rId18" Type="http://schemas.microsoft.com/office/2007/relationships/hdphoto" Target="../media/hdphoto6.wdp"/><Relationship Id="rId26" Type="http://schemas.microsoft.com/office/2007/relationships/hdphoto" Target="../media/hdphoto1.wdp"/><Relationship Id="rId3" Type="http://schemas.microsoft.com/office/2007/relationships/hdphoto" Target="../media/hdphoto11.wdp"/><Relationship Id="rId21" Type="http://schemas.openxmlformats.org/officeDocument/2006/relationships/image" Target="../media/image11.png"/><Relationship Id="rId7" Type="http://schemas.openxmlformats.org/officeDocument/2006/relationships/hyperlink" Target="#'B2'!A1"/><Relationship Id="rId12" Type="http://schemas.microsoft.com/office/2007/relationships/hdphoto" Target="../media/hdphoto3.wdp"/><Relationship Id="rId17" Type="http://schemas.openxmlformats.org/officeDocument/2006/relationships/image" Target="../media/image9.png"/><Relationship Id="rId25" Type="http://schemas.openxmlformats.org/officeDocument/2006/relationships/image" Target="../media/image28.png"/><Relationship Id="rId2" Type="http://schemas.openxmlformats.org/officeDocument/2006/relationships/image" Target="../media/image15.png"/><Relationship Id="rId16" Type="http://schemas.microsoft.com/office/2007/relationships/hdphoto" Target="../media/hdphoto5.wdp"/><Relationship Id="rId20" Type="http://schemas.microsoft.com/office/2007/relationships/hdphoto" Target="../media/hdphoto7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6.png"/><Relationship Id="rId24" Type="http://schemas.microsoft.com/office/2007/relationships/hdphoto" Target="../media/hdphoto9.wdp"/><Relationship Id="rId5" Type="http://schemas.openxmlformats.org/officeDocument/2006/relationships/hyperlink" Target="#'B1'!A1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10" Type="http://schemas.microsoft.com/office/2007/relationships/hdphoto" Target="../media/hdphoto2.wdp"/><Relationship Id="rId19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5.png"/><Relationship Id="rId14" Type="http://schemas.microsoft.com/office/2007/relationships/hdphoto" Target="../media/hdphoto4.wdp"/><Relationship Id="rId22" Type="http://schemas.microsoft.com/office/2007/relationships/hdphoto" Target="../media/hdphoto8.wdp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7.png"/><Relationship Id="rId18" Type="http://schemas.microsoft.com/office/2007/relationships/hdphoto" Target="../media/hdphoto6.wdp"/><Relationship Id="rId26" Type="http://schemas.microsoft.com/office/2007/relationships/hdphoto" Target="../media/hdphoto1.wdp"/><Relationship Id="rId3" Type="http://schemas.microsoft.com/office/2007/relationships/hdphoto" Target="../media/hdphoto11.wdp"/><Relationship Id="rId21" Type="http://schemas.openxmlformats.org/officeDocument/2006/relationships/image" Target="../media/image11.png"/><Relationship Id="rId7" Type="http://schemas.openxmlformats.org/officeDocument/2006/relationships/hyperlink" Target="#'B2'!A1"/><Relationship Id="rId12" Type="http://schemas.microsoft.com/office/2007/relationships/hdphoto" Target="../media/hdphoto3.wdp"/><Relationship Id="rId17" Type="http://schemas.openxmlformats.org/officeDocument/2006/relationships/image" Target="../media/image9.png"/><Relationship Id="rId25" Type="http://schemas.openxmlformats.org/officeDocument/2006/relationships/image" Target="../media/image28.png"/><Relationship Id="rId2" Type="http://schemas.openxmlformats.org/officeDocument/2006/relationships/image" Target="../media/image15.png"/><Relationship Id="rId16" Type="http://schemas.microsoft.com/office/2007/relationships/hdphoto" Target="../media/hdphoto5.wdp"/><Relationship Id="rId20" Type="http://schemas.microsoft.com/office/2007/relationships/hdphoto" Target="../media/hdphoto7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6.png"/><Relationship Id="rId24" Type="http://schemas.microsoft.com/office/2007/relationships/hdphoto" Target="../media/hdphoto9.wdp"/><Relationship Id="rId5" Type="http://schemas.openxmlformats.org/officeDocument/2006/relationships/hyperlink" Target="#'B1'!A1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10" Type="http://schemas.microsoft.com/office/2007/relationships/hdphoto" Target="../media/hdphoto2.wdp"/><Relationship Id="rId19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5.png"/><Relationship Id="rId14" Type="http://schemas.microsoft.com/office/2007/relationships/hdphoto" Target="../media/hdphoto4.wdp"/><Relationship Id="rId22" Type="http://schemas.microsoft.com/office/2007/relationships/hdphoto" Target="../media/hdphoto8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578215" y="691749"/>
          <a:ext cx="18393145" cy="17305644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220176</xdr:colOff>
      <xdr:row>3</xdr:row>
      <xdr:rowOff>208536</xdr:rowOff>
    </xdr:from>
    <xdr:to>
      <xdr:col>11</xdr:col>
      <xdr:colOff>0</xdr:colOff>
      <xdr:row>6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D53B5-C183-41B7-BA06-5BE376667DEA}"/>
            </a:ext>
          </a:extLst>
        </xdr:cNvPr>
        <xdr:cNvSpPr>
          <a:spLocks noChangeAspect="1"/>
        </xdr:cNvSpPr>
      </xdr:nvSpPr>
      <xdr:spPr>
        <a:xfrm>
          <a:off x="3145712" y="1365143"/>
          <a:ext cx="3290467" cy="757571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22</xdr:col>
      <xdr:colOff>547202</xdr:colOff>
      <xdr:row>3</xdr:row>
      <xdr:rowOff>208244</xdr:rowOff>
    </xdr:from>
    <xdr:to>
      <xdr:col>28</xdr:col>
      <xdr:colOff>300658</xdr:colOff>
      <xdr:row>6</xdr:row>
      <xdr:rowOff>291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7F52C2-48CF-4196-809B-4AE5DB20EA0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>
          <a:spLocks noChangeAspect="1"/>
        </xdr:cNvSpPr>
      </xdr:nvSpPr>
      <xdr:spPr>
        <a:xfrm>
          <a:off x="13644077" y="1375057"/>
          <a:ext cx="3325331" cy="74454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14</xdr:col>
      <xdr:colOff>69443</xdr:colOff>
      <xdr:row>3</xdr:row>
      <xdr:rowOff>208244</xdr:rowOff>
    </xdr:from>
    <xdr:to>
      <xdr:col>19</xdr:col>
      <xdr:colOff>477759</xdr:colOff>
      <xdr:row>6</xdr:row>
      <xdr:rowOff>291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F89333-0539-4CA4-88F2-E7EEF6CC4FF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>
          <a:spLocks noChangeAspect="1"/>
        </xdr:cNvSpPr>
      </xdr:nvSpPr>
      <xdr:spPr>
        <a:xfrm>
          <a:off x="8403818" y="1375057"/>
          <a:ext cx="3384879" cy="74454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31</xdr:col>
      <xdr:colOff>370100</xdr:colOff>
      <xdr:row>3</xdr:row>
      <xdr:rowOff>208244</xdr:rowOff>
    </xdr:from>
    <xdr:to>
      <xdr:col>37</xdr:col>
      <xdr:colOff>140241</xdr:colOff>
      <xdr:row>6</xdr:row>
      <xdr:rowOff>291</xdr:rowOff>
    </xdr:to>
    <xdr:sp macro="" textlink="">
      <xdr:nvSpPr>
        <xdr:cNvPr id="44" name="Retângulo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0E6C6F-EC20-4CF1-A3A9-1F60DDD279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>
          <a:spLocks noChangeAspect="1"/>
        </xdr:cNvSpPr>
      </xdr:nvSpPr>
      <xdr:spPr>
        <a:xfrm>
          <a:off x="18824788" y="1375057"/>
          <a:ext cx="3342016" cy="74454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47625</xdr:colOff>
      <xdr:row>8</xdr:row>
      <xdr:rowOff>317045</xdr:rowOff>
    </xdr:from>
    <xdr:to>
      <xdr:col>29</xdr:col>
      <xdr:colOff>577129</xdr:colOff>
      <xdr:row>15</xdr:row>
      <xdr:rowOff>309562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2428CDD7-0245-434D-9755-ED4B5931DC62}"/>
            </a:ext>
          </a:extLst>
        </xdr:cNvPr>
        <xdr:cNvSpPr txBox="1">
          <a:spLocks noChangeAspect="1"/>
        </xdr:cNvSpPr>
      </xdr:nvSpPr>
      <xdr:spPr>
        <a:xfrm>
          <a:off x="6596063" y="2984045"/>
          <a:ext cx="11245129" cy="249283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 editAs="absolute">
    <xdr:from>
      <xdr:col>50</xdr:col>
      <xdr:colOff>306961</xdr:colOff>
      <xdr:row>0</xdr:row>
      <xdr:rowOff>0</xdr:rowOff>
    </xdr:from>
    <xdr:to>
      <xdr:col>53</xdr:col>
      <xdr:colOff>99403</xdr:colOff>
      <xdr:row>3</xdr:row>
      <xdr:rowOff>-1</xdr:rowOff>
    </xdr:to>
    <xdr:grpSp>
      <xdr:nvGrpSpPr>
        <xdr:cNvPr id="59" name="Agrupar 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D04456D-0B80-44D2-8AD3-14034D581990}"/>
            </a:ext>
          </a:extLst>
        </xdr:cNvPr>
        <xdr:cNvGrpSpPr/>
      </xdr:nvGrpSpPr>
      <xdr:grpSpPr>
        <a:xfrm>
          <a:off x="30072586" y="0"/>
          <a:ext cx="1578380" cy="1166812"/>
          <a:chOff x="31415083" y="0"/>
          <a:chExt cx="1598568" cy="1162049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CF3A77B4-CEE2-449F-87CF-33C2BFEDB69B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87BD613A-8D75-410E-BE84-DF163B917346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62" name="Imagem 61" descr="Ícone do banco de dados (símbolo png) preto">
            <a:extLst>
              <a:ext uri="{FF2B5EF4-FFF2-40B4-BE49-F238E27FC236}">
                <a16:creationId xmlns:a16="http://schemas.microsoft.com/office/drawing/2014/main" id="{EB396C2E-841B-495C-AA14-A546C519601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0</xdr:colOff>
      <xdr:row>0</xdr:row>
      <xdr:rowOff>8033</xdr:rowOff>
    </xdr:from>
    <xdr:to>
      <xdr:col>3</xdr:col>
      <xdr:colOff>509587</xdr:colOff>
      <xdr:row>2</xdr:row>
      <xdr:rowOff>777780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FC1ED6AA-2D1E-4845-9E1F-0559945BC2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9252" t="39637" r="14079" b="25703"/>
        <a:stretch/>
      </xdr:blipFill>
      <xdr:spPr>
        <a:xfrm>
          <a:off x="0" y="8033"/>
          <a:ext cx="2295525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423754</xdr:colOff>
      <xdr:row>0</xdr:row>
      <xdr:rowOff>0</xdr:rowOff>
    </xdr:from>
    <xdr:to>
      <xdr:col>9</xdr:col>
      <xdr:colOff>70193</xdr:colOff>
      <xdr:row>3</xdr:row>
      <xdr:rowOff>0</xdr:rowOff>
    </xdr:to>
    <xdr:grpSp>
      <xdr:nvGrpSpPr>
        <xdr:cNvPr id="64" name="Agrupar 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EFD6088-9C56-4246-B75A-254F59D9478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3995629" y="0"/>
          <a:ext cx="1432377" cy="1166813"/>
          <a:chOff x="1993654" y="0"/>
          <a:chExt cx="1022595" cy="781538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E51F38E4-15AB-48C9-8581-C4C1A6835AF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6" name="Imagem 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8DF405B-D040-42D3-8382-38F985D683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B94B4019-5726-4EE7-B14E-54E4E7A5577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579672</xdr:colOff>
      <xdr:row>0</xdr:row>
      <xdr:rowOff>0</xdr:rowOff>
    </xdr:from>
    <xdr:to>
      <xdr:col>14</xdr:col>
      <xdr:colOff>365111</xdr:colOff>
      <xdr:row>3</xdr:row>
      <xdr:rowOff>0</xdr:rowOff>
    </xdr:to>
    <xdr:grpSp>
      <xdr:nvGrpSpPr>
        <xdr:cNvPr id="68" name="Agrupar 6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19D348E-6883-4CE7-98AE-8C6C0A8A8724}"/>
            </a:ext>
          </a:extLst>
        </xdr:cNvPr>
        <xdr:cNvGrpSpPr/>
      </xdr:nvGrpSpPr>
      <xdr:grpSpPr>
        <a:xfrm>
          <a:off x="7128110" y="0"/>
          <a:ext cx="1571376" cy="1166813"/>
          <a:chOff x="5966368" y="0"/>
          <a:chExt cx="1591474" cy="1162050"/>
        </a:xfrm>
        <a:noFill/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8E52E8AC-200C-4786-96BE-264F323BB0E1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6AB27190-BA5D-48D9-9312-55ED091A853D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71" name="Imagem 17">
            <a:extLst>
              <a:ext uri="{FF2B5EF4-FFF2-40B4-BE49-F238E27FC236}">
                <a16:creationId xmlns:a16="http://schemas.microsoft.com/office/drawing/2014/main" id="{8A3A5FE8-8749-4004-94FB-C7B9DB5E0B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94" y="126203"/>
            <a:ext cx="595173" cy="619129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17</xdr:col>
      <xdr:colOff>279277</xdr:colOff>
      <xdr:row>0</xdr:row>
      <xdr:rowOff>0</xdr:rowOff>
    </xdr:from>
    <xdr:to>
      <xdr:col>20</xdr:col>
      <xdr:colOff>81243</xdr:colOff>
      <xdr:row>3</xdr:row>
      <xdr:rowOff>0</xdr:rowOff>
    </xdr:to>
    <xdr:grpSp>
      <xdr:nvGrpSpPr>
        <xdr:cNvPr id="72" name="Agrupar 7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AB9D888-1E9F-4E39-9381-E12722AFB5D8}"/>
            </a:ext>
          </a:extLst>
        </xdr:cNvPr>
        <xdr:cNvGrpSpPr/>
      </xdr:nvGrpSpPr>
      <xdr:grpSpPr>
        <a:xfrm>
          <a:off x="10399590" y="0"/>
          <a:ext cx="1587903" cy="1166813"/>
          <a:chOff x="9596894" y="0"/>
          <a:chExt cx="1598566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89939F3B-7044-4986-8128-37061302959A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66645818-D832-4083-8FA2-467D20B01B0C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B14A90AC-168F-4EC0-9605-3294F5ED0C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78377" y="136274"/>
            <a:ext cx="597825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590722</xdr:colOff>
      <xdr:row>0</xdr:row>
      <xdr:rowOff>0</xdr:rowOff>
    </xdr:from>
    <xdr:to>
      <xdr:col>25</xdr:col>
      <xdr:colOff>376177</xdr:colOff>
      <xdr:row>3</xdr:row>
      <xdr:rowOff>0</xdr:rowOff>
    </xdr:to>
    <xdr:grpSp>
      <xdr:nvGrpSpPr>
        <xdr:cNvPr id="76" name="Agrupar 7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CCF01701-D59B-49F9-B250-B59CF78B37A3}"/>
            </a:ext>
          </a:extLst>
        </xdr:cNvPr>
        <xdr:cNvGrpSpPr/>
      </xdr:nvGrpSpPr>
      <xdr:grpSpPr>
        <a:xfrm>
          <a:off x="13687597" y="0"/>
          <a:ext cx="1571393" cy="1166813"/>
          <a:chOff x="13234512" y="0"/>
          <a:chExt cx="1591491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F8B2EBDE-89ED-4031-AB10-638ED14B8985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C2B94396-F858-40A3-83E3-5585BCD75114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9" name="Imagem 17">
            <a:extLst>
              <a:ext uri="{FF2B5EF4-FFF2-40B4-BE49-F238E27FC236}">
                <a16:creationId xmlns:a16="http://schemas.microsoft.com/office/drawing/2014/main" id="{66E65B77-0FCC-4000-9830-BF6E5F3E29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290344</xdr:colOff>
      <xdr:row>0</xdr:row>
      <xdr:rowOff>0</xdr:rowOff>
    </xdr:from>
    <xdr:to>
      <xdr:col>31</xdr:col>
      <xdr:colOff>96333</xdr:colOff>
      <xdr:row>3</xdr:row>
      <xdr:rowOff>0</xdr:rowOff>
    </xdr:to>
    <xdr:grpSp>
      <xdr:nvGrpSpPr>
        <xdr:cNvPr id="80" name="Agrupar 7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065588D-0B30-4E77-96F9-86DDC0B2AC76}"/>
            </a:ext>
          </a:extLst>
        </xdr:cNvPr>
        <xdr:cNvGrpSpPr/>
      </xdr:nvGrpSpPr>
      <xdr:grpSpPr>
        <a:xfrm>
          <a:off x="16959094" y="0"/>
          <a:ext cx="1591927" cy="1166813"/>
          <a:chOff x="16865055" y="0"/>
          <a:chExt cx="1612288" cy="1162050"/>
        </a:xfrm>
      </xdr:grpSpPr>
      <xdr:sp macro="" textlink="">
        <xdr:nvSpPr>
          <xdr:cNvPr id="81" name="Retângulo 80">
            <a:extLst>
              <a:ext uri="{FF2B5EF4-FFF2-40B4-BE49-F238E27FC236}">
                <a16:creationId xmlns:a16="http://schemas.microsoft.com/office/drawing/2014/main" id="{55FC2B61-735F-4E84-A89E-F501F84A3E90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F8B964A3-3C67-4C44-84C3-227AD295DE54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83" name="Imagem 17">
            <a:extLst>
              <a:ext uri="{FF2B5EF4-FFF2-40B4-BE49-F238E27FC236}">
                <a16:creationId xmlns:a16="http://schemas.microsoft.com/office/drawing/2014/main" id="{A6DE1A7F-92C6-4134-BC25-33E2B02282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10500</xdr:colOff>
      <xdr:row>0</xdr:row>
      <xdr:rowOff>0</xdr:rowOff>
    </xdr:from>
    <xdr:to>
      <xdr:col>36</xdr:col>
      <xdr:colOff>392666</xdr:colOff>
      <xdr:row>3</xdr:row>
      <xdr:rowOff>0</xdr:rowOff>
    </xdr:to>
    <xdr:grpSp>
      <xdr:nvGrpSpPr>
        <xdr:cNvPr id="84" name="Agrupar 8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883BC40-99E5-4628-8DB8-4DD6D2382F56}"/>
            </a:ext>
          </a:extLst>
        </xdr:cNvPr>
        <xdr:cNvGrpSpPr/>
      </xdr:nvGrpSpPr>
      <xdr:grpSpPr>
        <a:xfrm>
          <a:off x="20251125" y="0"/>
          <a:ext cx="1572791" cy="1166813"/>
          <a:chOff x="20516395" y="0"/>
          <a:chExt cx="1592907" cy="1162050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68AF9E09-D32B-4EF5-A36A-09A3A4FB4E93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A648DB69-5685-470B-BDA3-8F8A0C9A9810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87" name="Imagem 17">
            <a:extLst>
              <a:ext uri="{FF2B5EF4-FFF2-40B4-BE49-F238E27FC236}">
                <a16:creationId xmlns:a16="http://schemas.microsoft.com/office/drawing/2014/main" id="{7D792D04-8C0E-4DF7-AD81-0F35974D65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39</xdr:col>
      <xdr:colOff>306832</xdr:colOff>
      <xdr:row>0</xdr:row>
      <xdr:rowOff>0</xdr:rowOff>
    </xdr:from>
    <xdr:to>
      <xdr:col>42</xdr:col>
      <xdr:colOff>90873</xdr:colOff>
      <xdr:row>3</xdr:row>
      <xdr:rowOff>0</xdr:rowOff>
    </xdr:to>
    <xdr:grpSp>
      <xdr:nvGrpSpPr>
        <xdr:cNvPr id="88" name="Agrupar 8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1CEF7A6-5D98-4587-BA9B-930281E3AB38}"/>
            </a:ext>
          </a:extLst>
        </xdr:cNvPr>
        <xdr:cNvGrpSpPr/>
      </xdr:nvGrpSpPr>
      <xdr:grpSpPr>
        <a:xfrm>
          <a:off x="23524020" y="0"/>
          <a:ext cx="1569978" cy="1166813"/>
          <a:chOff x="24148354" y="0"/>
          <a:chExt cx="1590058" cy="1162050"/>
        </a:xfrm>
      </xdr:grpSpPr>
      <xdr:sp macro="" textlink="">
        <xdr:nvSpPr>
          <xdr:cNvPr id="89" name="Retângulo 88">
            <a:extLst>
              <a:ext uri="{FF2B5EF4-FFF2-40B4-BE49-F238E27FC236}">
                <a16:creationId xmlns:a16="http://schemas.microsoft.com/office/drawing/2014/main" id="{8CBC4D43-D420-4E01-BE88-0596A92F5618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0" name="CaixaDeTexto 89">
            <a:extLst>
              <a:ext uri="{FF2B5EF4-FFF2-40B4-BE49-F238E27FC236}">
                <a16:creationId xmlns:a16="http://schemas.microsoft.com/office/drawing/2014/main" id="{11ACA968-A06B-4FE3-9742-548F341FED97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91" name="Imagem 17">
            <a:extLst>
              <a:ext uri="{FF2B5EF4-FFF2-40B4-BE49-F238E27FC236}">
                <a16:creationId xmlns:a16="http://schemas.microsoft.com/office/drawing/2014/main" id="{18566A6B-B16A-4D3B-835D-7BADD3917B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5039</xdr:colOff>
      <xdr:row>0</xdr:row>
      <xdr:rowOff>0</xdr:rowOff>
    </xdr:from>
    <xdr:to>
      <xdr:col>47</xdr:col>
      <xdr:colOff>392794</xdr:colOff>
      <xdr:row>3</xdr:row>
      <xdr:rowOff>0</xdr:rowOff>
    </xdr:to>
    <xdr:grpSp>
      <xdr:nvGrpSpPr>
        <xdr:cNvPr id="92" name="Agrupar 9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834C0F8B-EB2F-48C8-994C-D40E5D736D28}"/>
            </a:ext>
          </a:extLst>
        </xdr:cNvPr>
        <xdr:cNvGrpSpPr/>
      </xdr:nvGrpSpPr>
      <xdr:grpSpPr>
        <a:xfrm>
          <a:off x="26794102" y="0"/>
          <a:ext cx="1578380" cy="1166813"/>
          <a:chOff x="27777464" y="0"/>
          <a:chExt cx="1598568" cy="1162050"/>
        </a:xfrm>
      </xdr:grpSpPr>
      <xdr:sp macro="" textlink="">
        <xdr:nvSpPr>
          <xdr:cNvPr id="93" name="Retângulo 92">
            <a:extLst>
              <a:ext uri="{FF2B5EF4-FFF2-40B4-BE49-F238E27FC236}">
                <a16:creationId xmlns:a16="http://schemas.microsoft.com/office/drawing/2014/main" id="{36A93D19-A10A-4EFF-B358-088E0E756A90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47A89A4F-FF30-4C6F-8A4E-5689E3E73CC2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95" name="Imagem 17">
            <a:extLst>
              <a:ext uri="{FF2B5EF4-FFF2-40B4-BE49-F238E27FC236}">
                <a16:creationId xmlns:a16="http://schemas.microsoft.com/office/drawing/2014/main" id="{E7A722C9-8829-4838-A0D8-B4E4E1426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56</xdr:col>
      <xdr:colOff>13566</xdr:colOff>
      <xdr:row>1</xdr:row>
      <xdr:rowOff>0</xdr:rowOff>
    </xdr:from>
    <xdr:to>
      <xdr:col>57</xdr:col>
      <xdr:colOff>185377</xdr:colOff>
      <xdr:row>2</xdr:row>
      <xdr:rowOff>552439</xdr:rowOff>
    </xdr:to>
    <xdr:sp macro="[0]!BotaoComLogin" textlink="">
      <xdr:nvSpPr>
        <xdr:cNvPr id="96" name="Círculo: Vazio 95">
          <a:extLst>
            <a:ext uri="{FF2B5EF4-FFF2-40B4-BE49-F238E27FC236}">
              <a16:creationId xmlns:a16="http://schemas.microsoft.com/office/drawing/2014/main" id="{90D03116-FFD5-4052-8176-68A153D2A151}"/>
            </a:ext>
          </a:extLst>
        </xdr:cNvPr>
        <xdr:cNvSpPr>
          <a:spLocks noChangeAspect="1"/>
        </xdr:cNvSpPr>
      </xdr:nvSpPr>
      <xdr:spPr>
        <a:xfrm>
          <a:off x="33351066" y="190500"/>
          <a:ext cx="767124" cy="742939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2B69BB-D8D0-4B66-8E83-BEFC08A315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93B34E-644D-4A72-8B05-7CF85F9C2B5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19</xdr:col>
      <xdr:colOff>438150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F365E5-3773-41C5-9622-5912D2D3D27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37</xdr:col>
      <xdr:colOff>581029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69C37D11-1918-4489-92D8-BE537B525F1B}"/>
            </a:ext>
          </a:extLst>
        </xdr:cNvPr>
        <xdr:cNvGrpSpPr/>
      </xdr:nvGrpSpPr>
      <xdr:grpSpPr>
        <a:xfrm>
          <a:off x="2452688" y="0"/>
          <a:ext cx="30275216" cy="1166813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949DA68-9C3D-428F-BD5C-1AFDADB9BEB0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32</xdr:col>
      <xdr:colOff>412349</xdr:colOff>
      <xdr:row>0</xdr:row>
      <xdr:rowOff>0</xdr:rowOff>
    </xdr:from>
    <xdr:to>
      <xdr:col>32</xdr:col>
      <xdr:colOff>1990729</xdr:colOff>
      <xdr:row>3</xdr:row>
      <xdr:rowOff>-1</xdr:rowOff>
    </xdr:to>
    <xdr:grpSp>
      <xdr:nvGrpSpPr>
        <xdr:cNvPr id="58" name="Agrupar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62A363-C46A-429A-AF6B-B9CFFFD55383}"/>
            </a:ext>
          </a:extLst>
        </xdr:cNvPr>
        <xdr:cNvGrpSpPr/>
      </xdr:nvGrpSpPr>
      <xdr:grpSpPr>
        <a:xfrm>
          <a:off x="31059037" y="0"/>
          <a:ext cx="1578380" cy="1166812"/>
          <a:chOff x="31415083" y="0"/>
          <a:chExt cx="1598568" cy="1162049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6A220D63-15E4-489C-9A88-D60C603F940B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2071CCE8-4CF1-4CC2-AADE-0C6E8F9E1A67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61" name="Imagem 60" descr="Ícone do banco de dados (símbolo png) preto">
            <a:extLst>
              <a:ext uri="{FF2B5EF4-FFF2-40B4-BE49-F238E27FC236}">
                <a16:creationId xmlns:a16="http://schemas.microsoft.com/office/drawing/2014/main" id="{192837CA-FC55-40DC-BFFD-DFA75F5F45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0</xdr:colOff>
      <xdr:row>0</xdr:row>
      <xdr:rowOff>8033</xdr:rowOff>
    </xdr:from>
    <xdr:to>
      <xdr:col>3</xdr:col>
      <xdr:colOff>438150</xdr:colOff>
      <xdr:row>2</xdr:row>
      <xdr:rowOff>777780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8033"/>
          <a:ext cx="2295525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5</xdr:col>
      <xdr:colOff>0</xdr:colOff>
      <xdr:row>3</xdr:row>
      <xdr:rowOff>188644</xdr:rowOff>
    </xdr:from>
    <xdr:to>
      <xdr:col>9</xdr:col>
      <xdr:colOff>1002154</xdr:colOff>
      <xdr:row>5</xdr:row>
      <xdr:rowOff>177411</xdr:rowOff>
    </xdr:to>
    <xdr:sp macro="" textlink="">
      <xdr:nvSpPr>
        <xdr:cNvPr id="45" name="Retângulo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B9CA70-0F75-409B-B0EE-14FFCA1A810A}"/>
            </a:ext>
          </a:extLst>
        </xdr:cNvPr>
        <xdr:cNvSpPr/>
      </xdr:nvSpPr>
      <xdr:spPr>
        <a:xfrm>
          <a:off x="3025588" y="1354056"/>
          <a:ext cx="3411419" cy="76197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339252</xdr:colOff>
      <xdr:row>3</xdr:row>
      <xdr:rowOff>201150</xdr:rowOff>
    </xdr:from>
    <xdr:to>
      <xdr:col>18</xdr:col>
      <xdr:colOff>542015</xdr:colOff>
      <xdr:row>6</xdr:row>
      <xdr:rowOff>0</xdr:rowOff>
    </xdr:to>
    <xdr:sp macro="" textlink="">
      <xdr:nvSpPr>
        <xdr:cNvPr id="46" name="Retângulo 4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D7EF1C-B103-40EA-B6C4-4192331CED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3506164" y="1366562"/>
          <a:ext cx="3362822" cy="76255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10</xdr:col>
      <xdr:colOff>514553</xdr:colOff>
      <xdr:row>3</xdr:row>
      <xdr:rowOff>194605</xdr:rowOff>
    </xdr:from>
    <xdr:to>
      <xdr:col>14</xdr:col>
      <xdr:colOff>445853</xdr:colOff>
      <xdr:row>5</xdr:row>
      <xdr:rowOff>183955</xdr:rowOff>
    </xdr:to>
    <xdr:sp macro="" textlink="">
      <xdr:nvSpPr>
        <xdr:cNvPr id="47" name="Retângulo 4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D2263CB-8144-4D29-AD6F-CE2257763DD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8336259" y="1360017"/>
          <a:ext cx="3304270" cy="76255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21</xdr:col>
      <xdr:colOff>578288</xdr:colOff>
      <xdr:row>3</xdr:row>
      <xdr:rowOff>182100</xdr:rowOff>
    </xdr:from>
    <xdr:to>
      <xdr:col>24</xdr:col>
      <xdr:colOff>1733550</xdr:colOff>
      <xdr:row>5</xdr:row>
      <xdr:rowOff>171450</xdr:rowOff>
    </xdr:to>
    <xdr:sp macro="" textlink="">
      <xdr:nvSpPr>
        <xdr:cNvPr id="48" name="Retângulo 4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715832B-6E6D-4D2A-BC1A-91F0D2A099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8720612" y="1347512"/>
          <a:ext cx="3329203" cy="76255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6</xdr:col>
      <xdr:colOff>390485</xdr:colOff>
      <xdr:row>0</xdr:row>
      <xdr:rowOff>0</xdr:rowOff>
    </xdr:from>
    <xdr:to>
      <xdr:col>8</xdr:col>
      <xdr:colOff>608424</xdr:colOff>
      <xdr:row>3</xdr:row>
      <xdr:rowOff>0</xdr:rowOff>
    </xdr:to>
    <xdr:grpSp>
      <xdr:nvGrpSpPr>
        <xdr:cNvPr id="50" name="Agrupar 4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395F13E-97B4-4988-A2C1-07E115C63B8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105235" y="0"/>
          <a:ext cx="1432377" cy="1166813"/>
          <a:chOff x="1993654" y="0"/>
          <a:chExt cx="1022595" cy="781538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7C2AE7FB-DBE7-4EA2-9A50-B458DE893DD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4" name="Imagem 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9022DBD-6052-49B7-9CA9-A7EA309083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25" name="CaixaDeTexto 124">
            <a:extLst>
              <a:ext uri="{FF2B5EF4-FFF2-40B4-BE49-F238E27FC236}">
                <a16:creationId xmlns:a16="http://schemas.microsoft.com/office/drawing/2014/main" id="{0075C0C6-0AD1-454A-97B0-35DC34DB539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9</xdr:col>
      <xdr:colOff>1808534</xdr:colOff>
      <xdr:row>0</xdr:row>
      <xdr:rowOff>0</xdr:rowOff>
    </xdr:from>
    <xdr:to>
      <xdr:col>11</xdr:col>
      <xdr:colOff>379535</xdr:colOff>
      <xdr:row>3</xdr:row>
      <xdr:rowOff>0</xdr:rowOff>
    </xdr:to>
    <xdr:grpSp>
      <xdr:nvGrpSpPr>
        <xdr:cNvPr id="51" name="Agrupar 5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559A3A-3B63-4E79-A9D7-A043B5DF567B}"/>
            </a:ext>
          </a:extLst>
        </xdr:cNvPr>
        <xdr:cNvGrpSpPr/>
      </xdr:nvGrpSpPr>
      <xdr:grpSpPr>
        <a:xfrm>
          <a:off x="7356847" y="0"/>
          <a:ext cx="1571376" cy="1166813"/>
          <a:chOff x="5966368" y="0"/>
          <a:chExt cx="1591474" cy="1162050"/>
        </a:xfrm>
        <a:noFill/>
      </xdr:grpSpPr>
      <xdr:sp macro="" textlink="">
        <xdr:nvSpPr>
          <xdr:cNvPr id="120" name="Retângulo 119">
            <a:extLst>
              <a:ext uri="{FF2B5EF4-FFF2-40B4-BE49-F238E27FC236}">
                <a16:creationId xmlns:a16="http://schemas.microsoft.com/office/drawing/2014/main" id="{A9A5E404-9F2E-4A82-B50D-27F03B164A3B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CaixaDeTexto 120">
            <a:extLst>
              <a:ext uri="{FF2B5EF4-FFF2-40B4-BE49-F238E27FC236}">
                <a16:creationId xmlns:a16="http://schemas.microsoft.com/office/drawing/2014/main" id="{CD33D963-2C0F-4A5C-B47D-88B1A7406AB2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2" name="Imagem 17">
            <a:extLst>
              <a:ext uri="{FF2B5EF4-FFF2-40B4-BE49-F238E27FC236}">
                <a16:creationId xmlns:a16="http://schemas.microsoft.com/office/drawing/2014/main" id="{F3012B9D-F1A1-45A7-BA01-E2968B3F1D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94" y="126203"/>
            <a:ext cx="595173" cy="619129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13</xdr:col>
      <xdr:colOff>941470</xdr:colOff>
      <xdr:row>0</xdr:row>
      <xdr:rowOff>0</xdr:rowOff>
    </xdr:from>
    <xdr:to>
      <xdr:col>15</xdr:col>
      <xdr:colOff>338623</xdr:colOff>
      <xdr:row>3</xdr:row>
      <xdr:rowOff>0</xdr:rowOff>
    </xdr:to>
    <xdr:grpSp>
      <xdr:nvGrpSpPr>
        <xdr:cNvPr id="52" name="Agrupar 5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EDA2FEF-C064-4752-9305-D140472B605D}"/>
            </a:ext>
          </a:extLst>
        </xdr:cNvPr>
        <xdr:cNvGrpSpPr/>
      </xdr:nvGrpSpPr>
      <xdr:grpSpPr>
        <a:xfrm>
          <a:off x="10728408" y="0"/>
          <a:ext cx="1587903" cy="1166813"/>
          <a:chOff x="9596894" y="0"/>
          <a:chExt cx="1598566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CE7D064C-814D-41FC-8909-DDA2A3DC5C2A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8" name="CaixaDeTexto 117">
            <a:extLst>
              <a:ext uri="{FF2B5EF4-FFF2-40B4-BE49-F238E27FC236}">
                <a16:creationId xmlns:a16="http://schemas.microsoft.com/office/drawing/2014/main" id="{72238F4D-123B-4C2E-9250-E9D6345157B0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CF13DEB6-CF7D-4ECB-84B5-28C4EEEFB4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78377" y="136274"/>
            <a:ext cx="597825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767208</xdr:colOff>
      <xdr:row>0</xdr:row>
      <xdr:rowOff>0</xdr:rowOff>
    </xdr:from>
    <xdr:to>
      <xdr:col>17</xdr:col>
      <xdr:colOff>2338601</xdr:colOff>
      <xdr:row>3</xdr:row>
      <xdr:rowOff>0</xdr:rowOff>
    </xdr:to>
    <xdr:grpSp>
      <xdr:nvGrpSpPr>
        <xdr:cNvPr id="53" name="Agrupar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05BA8DD-D328-4DBF-931B-248BF2D6F9A6}"/>
            </a:ext>
          </a:extLst>
        </xdr:cNvPr>
        <xdr:cNvGrpSpPr/>
      </xdr:nvGrpSpPr>
      <xdr:grpSpPr>
        <a:xfrm>
          <a:off x="14126021" y="0"/>
          <a:ext cx="1571393" cy="1166813"/>
          <a:chOff x="13234512" y="0"/>
          <a:chExt cx="159149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5E5914E8-4081-4B72-9BC6-947901703315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B8E2AECE-060B-4C3E-85CA-C74A75331BC8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6" name="Imagem 17">
            <a:extLst>
              <a:ext uri="{FF2B5EF4-FFF2-40B4-BE49-F238E27FC236}">
                <a16:creationId xmlns:a16="http://schemas.microsoft.com/office/drawing/2014/main" id="{806690FF-2D07-434D-9062-B21ABA62C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362124</xdr:colOff>
      <xdr:row>0</xdr:row>
      <xdr:rowOff>0</xdr:rowOff>
    </xdr:from>
    <xdr:to>
      <xdr:col>22</xdr:col>
      <xdr:colOff>96676</xdr:colOff>
      <xdr:row>3</xdr:row>
      <xdr:rowOff>0</xdr:rowOff>
    </xdr:to>
    <xdr:grpSp>
      <xdr:nvGrpSpPr>
        <xdr:cNvPr id="54" name="Agrupar 5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EA791A8-38BC-4D65-850E-781C73D3CA3C}"/>
            </a:ext>
          </a:extLst>
        </xdr:cNvPr>
        <xdr:cNvGrpSpPr/>
      </xdr:nvGrpSpPr>
      <xdr:grpSpPr>
        <a:xfrm>
          <a:off x="17507124" y="0"/>
          <a:ext cx="1591927" cy="1166813"/>
          <a:chOff x="16865055" y="0"/>
          <a:chExt cx="1612288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DFCE6D8A-F035-4861-B797-B26C3B57119E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761038E-C258-4406-AF6F-B6D08BA7FE78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3" name="Imagem 17">
            <a:extLst>
              <a:ext uri="{FF2B5EF4-FFF2-40B4-BE49-F238E27FC236}">
                <a16:creationId xmlns:a16="http://schemas.microsoft.com/office/drawing/2014/main" id="{12B0BEBA-82B5-4147-BF6F-EC4D64B56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334761</xdr:colOff>
      <xdr:row>0</xdr:row>
      <xdr:rowOff>0</xdr:rowOff>
    </xdr:from>
    <xdr:to>
      <xdr:col>25</xdr:col>
      <xdr:colOff>26364</xdr:colOff>
      <xdr:row>3</xdr:row>
      <xdr:rowOff>0</xdr:rowOff>
    </xdr:to>
    <xdr:grpSp>
      <xdr:nvGrpSpPr>
        <xdr:cNvPr id="55" name="Agrupar 5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DE422F6-FAE2-4EF7-9F38-7402D9F8B040}"/>
            </a:ext>
          </a:extLst>
        </xdr:cNvPr>
        <xdr:cNvGrpSpPr/>
      </xdr:nvGrpSpPr>
      <xdr:grpSpPr>
        <a:xfrm>
          <a:off x="20908761" y="0"/>
          <a:ext cx="1572791" cy="1166813"/>
          <a:chOff x="20516395" y="0"/>
          <a:chExt cx="1592907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7CB1399D-3CEB-4E0B-9DA8-AD9579680DEB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C56B0819-8E14-4A19-89B4-A45C3A110A1C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0" name="Imagem 17">
            <a:extLst>
              <a:ext uri="{FF2B5EF4-FFF2-40B4-BE49-F238E27FC236}">
                <a16:creationId xmlns:a16="http://schemas.microsoft.com/office/drawing/2014/main" id="{F7EE0461-BE7B-4FC6-BF4C-1E887ABFB8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73949</xdr:colOff>
      <xdr:row>0</xdr:row>
      <xdr:rowOff>0</xdr:rowOff>
    </xdr:from>
    <xdr:to>
      <xdr:col>28</xdr:col>
      <xdr:colOff>1643927</xdr:colOff>
      <xdr:row>3</xdr:row>
      <xdr:rowOff>0</xdr:rowOff>
    </xdr:to>
    <xdr:grpSp>
      <xdr:nvGrpSpPr>
        <xdr:cNvPr id="56" name="Agrupar 55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A9EE820-86B4-41B7-94AB-604835F22FBF}"/>
            </a:ext>
          </a:extLst>
        </xdr:cNvPr>
        <xdr:cNvGrpSpPr/>
      </xdr:nvGrpSpPr>
      <xdr:grpSpPr>
        <a:xfrm>
          <a:off x="24291262" y="0"/>
          <a:ext cx="1569978" cy="1166813"/>
          <a:chOff x="24148354" y="0"/>
          <a:chExt cx="1590058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AC661D9-7CED-4464-BBBE-0AAA554D8146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CA1A0E86-3B72-4DC1-9D8E-238214C76CCF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7" name="Imagem 17">
            <a:extLst>
              <a:ext uri="{FF2B5EF4-FFF2-40B4-BE49-F238E27FC236}">
                <a16:creationId xmlns:a16="http://schemas.microsoft.com/office/drawing/2014/main" id="{284D5D20-D828-41DF-8AEA-3A04D02673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30</xdr:col>
      <xdr:colOff>238950</xdr:colOff>
      <xdr:row>0</xdr:row>
      <xdr:rowOff>0</xdr:rowOff>
    </xdr:from>
    <xdr:to>
      <xdr:col>30</xdr:col>
      <xdr:colOff>1817330</xdr:colOff>
      <xdr:row>3</xdr:row>
      <xdr:rowOff>0</xdr:rowOff>
    </xdr:to>
    <xdr:grpSp>
      <xdr:nvGrpSpPr>
        <xdr:cNvPr id="57" name="Agrupar 5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D88679D8-7566-45FC-B4F7-58537F3E1B21}"/>
            </a:ext>
          </a:extLst>
        </xdr:cNvPr>
        <xdr:cNvGrpSpPr/>
      </xdr:nvGrpSpPr>
      <xdr:grpSpPr>
        <a:xfrm>
          <a:off x="27670950" y="0"/>
          <a:ext cx="1578380" cy="1166813"/>
          <a:chOff x="27777464" y="0"/>
          <a:chExt cx="1598568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66ACB10B-4269-4975-A685-ECC4CFC67B25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F9D391BB-CE8D-4491-8D48-07726E10BC85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4" name="Imagem 17">
            <a:extLst>
              <a:ext uri="{FF2B5EF4-FFF2-40B4-BE49-F238E27FC236}">
                <a16:creationId xmlns:a16="http://schemas.microsoft.com/office/drawing/2014/main" id="{459164D9-3E9E-40F0-8E5A-5BCFC7ADC3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6A88D9-DB68-4D64-8735-15FD1356311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496021-B371-43CB-8642-C47CFDC6A81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8488F9-9981-4D2A-9F01-DC7E26D2D32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ABCC02B1-A50A-48F8-A79C-3441A7A848ED}"/>
            </a:ext>
          </a:extLst>
        </xdr:cNvPr>
        <xdr:cNvGrpSpPr/>
      </xdr:nvGrpSpPr>
      <xdr:grpSpPr>
        <a:xfrm>
          <a:off x="2476500" y="0"/>
          <a:ext cx="30503817" cy="1166813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BF6EFC-E490-4D2A-840F-79377E72CF3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317582-EF18-4A46-8403-6A19E9D1B05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7371E3-3366-46CA-BB76-3E5106C37E6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BA9A26B-439C-4B0D-99A5-61A8C787609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8CF4FBA7-2CF5-4240-9185-3EE5675BA1E7}"/>
            </a:ext>
          </a:extLst>
        </xdr:cNvPr>
        <xdr:cNvGrpSpPr/>
      </xdr:nvGrpSpPr>
      <xdr:grpSpPr>
        <a:xfrm>
          <a:off x="2381250" y="0"/>
          <a:ext cx="29789442" cy="1166813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BDBC924-189A-462D-A590-533780CA0E33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BEBA8EAE-BF5A-486C-A8C5-ECC9F3942E4B}">
                  <a14:imgProps xmlns:a14="http://schemas.microsoft.com/office/drawing/2010/main">
                    <a14:imgLayer r:embed="rId2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6"/>
              <a:extLst>
                <a:ext uri="{FF2B5EF4-FFF2-40B4-BE49-F238E27FC236}">
                  <a16:creationId xmlns:a16="http://schemas.microsoft.com/office/drawing/2014/main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210832</xdr:colOff>
      <xdr:row>2</xdr:row>
      <xdr:rowOff>133894</xdr:rowOff>
    </xdr:from>
    <xdr:to>
      <xdr:col>9</xdr:col>
      <xdr:colOff>79392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547657</xdr:colOff>
      <xdr:row>0</xdr:row>
      <xdr:rowOff>91651</xdr:rowOff>
    </xdr:from>
    <xdr:to>
      <xdr:col>8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142874</xdr:rowOff>
    </xdr:from>
    <xdr:to>
      <xdr:col>6</xdr:col>
      <xdr:colOff>36075</xdr:colOff>
      <xdr:row>5</xdr:row>
      <xdr:rowOff>132224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5DF1727-A9D7-4A1B-8222-8660498A2FC8}"/>
            </a:ext>
          </a:extLst>
        </xdr:cNvPr>
        <xdr:cNvSpPr/>
      </xdr:nvSpPr>
      <xdr:spPr>
        <a:xfrm>
          <a:off x="266700" y="1309687"/>
          <a:ext cx="334125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9</xdr:col>
      <xdr:colOff>357187</xdr:colOff>
      <xdr:row>3</xdr:row>
      <xdr:rowOff>142874</xdr:rowOff>
    </xdr:from>
    <xdr:to>
      <xdr:col>15</xdr:col>
      <xdr:colOff>88462</xdr:colOff>
      <xdr:row>5</xdr:row>
      <xdr:rowOff>132224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2D5A2DB-FEAD-456F-B2C5-A072ED17D0CE}"/>
            </a:ext>
          </a:extLst>
        </xdr:cNvPr>
        <xdr:cNvSpPr/>
      </xdr:nvSpPr>
      <xdr:spPr>
        <a:xfrm>
          <a:off x="5715000" y="1309687"/>
          <a:ext cx="33031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18</xdr:col>
      <xdr:colOff>44888</xdr:colOff>
      <xdr:row>3</xdr:row>
      <xdr:rowOff>161926</xdr:rowOff>
    </xdr:from>
    <xdr:to>
      <xdr:col>23</xdr:col>
      <xdr:colOff>390525</xdr:colOff>
      <xdr:row>5</xdr:row>
      <xdr:rowOff>151276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2706F00-EC02-4920-A70F-2D9617D44465}"/>
            </a:ext>
          </a:extLst>
        </xdr:cNvPr>
        <xdr:cNvSpPr/>
      </xdr:nvSpPr>
      <xdr:spPr>
        <a:xfrm>
          <a:off x="10760513" y="1328739"/>
          <a:ext cx="33222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26</xdr:col>
      <xdr:colOff>261938</xdr:colOff>
      <xdr:row>3</xdr:row>
      <xdr:rowOff>123826</xdr:rowOff>
    </xdr:from>
    <xdr:to>
      <xdr:col>31</xdr:col>
      <xdr:colOff>517087</xdr:colOff>
      <xdr:row>5</xdr:row>
      <xdr:rowOff>113176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8230C9D-C04C-4778-93C0-5978337F9EA0}"/>
            </a:ext>
          </a:extLst>
        </xdr:cNvPr>
        <xdr:cNvSpPr/>
      </xdr:nvSpPr>
      <xdr:spPr>
        <a:xfrm>
          <a:off x="15740063" y="1290639"/>
          <a:ext cx="3231712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34</xdr:col>
      <xdr:colOff>307521</xdr:colOff>
      <xdr:row>3</xdr:row>
      <xdr:rowOff>123826</xdr:rowOff>
    </xdr:from>
    <xdr:to>
      <xdr:col>40</xdr:col>
      <xdr:colOff>57846</xdr:colOff>
      <xdr:row>5</xdr:row>
      <xdr:rowOff>113176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425B81-E6F6-4470-BFA9-1B9AE0E9ADAA}"/>
            </a:ext>
          </a:extLst>
        </xdr:cNvPr>
        <xdr:cNvSpPr/>
      </xdr:nvSpPr>
      <xdr:spPr>
        <a:xfrm>
          <a:off x="20548146" y="1290639"/>
          <a:ext cx="33222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42</xdr:col>
      <xdr:colOff>491218</xdr:colOff>
      <xdr:row>3</xdr:row>
      <xdr:rowOff>123826</xdr:rowOff>
    </xdr:from>
    <xdr:to>
      <xdr:col>48</xdr:col>
      <xdr:colOff>246306</xdr:colOff>
      <xdr:row>5</xdr:row>
      <xdr:rowOff>113176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1549FAA-084C-4A68-9C75-F91A3732FF34}"/>
            </a:ext>
          </a:extLst>
        </xdr:cNvPr>
        <xdr:cNvSpPr/>
      </xdr:nvSpPr>
      <xdr:spPr>
        <a:xfrm>
          <a:off x="25494343" y="1290639"/>
          <a:ext cx="33269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15</xdr:col>
      <xdr:colOff>427305</xdr:colOff>
      <xdr:row>2</xdr:row>
      <xdr:rowOff>384583</xdr:rowOff>
    </xdr:from>
    <xdr:to>
      <xdr:col>18</xdr:col>
      <xdr:colOff>158573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DFE56BB2-CFDF-4B60-979B-50D43CFDB7D6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16</xdr:col>
      <xdr:colOff>190501</xdr:colOff>
      <xdr:row>7</xdr:row>
      <xdr:rowOff>342900</xdr:rowOff>
    </xdr:from>
    <xdr:to>
      <xdr:col>38</xdr:col>
      <xdr:colOff>504826</xdr:colOff>
      <xdr:row>15</xdr:row>
      <xdr:rowOff>57150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45BA2B2-90B5-47C0-B21B-1CBFD85D4085}"/>
            </a:ext>
          </a:extLst>
        </xdr:cNvPr>
        <xdr:cNvSpPr txBox="1"/>
      </xdr:nvSpPr>
      <xdr:spPr>
        <a:xfrm>
          <a:off x="9715501" y="2652713"/>
          <a:ext cx="13411200" cy="25717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LÓGISTICA</a:t>
          </a:r>
        </a:p>
      </xdr:txBody>
    </xdr:sp>
    <xdr:clientData/>
  </xdr:twoCellAnchor>
  <xdr:twoCellAnchor editAs="absolute">
    <xdr:from>
      <xdr:col>50</xdr:col>
      <xdr:colOff>306961</xdr:colOff>
      <xdr:row>0</xdr:row>
      <xdr:rowOff>0</xdr:rowOff>
    </xdr:from>
    <xdr:to>
      <xdr:col>53</xdr:col>
      <xdr:colOff>99403</xdr:colOff>
      <xdr:row>2</xdr:row>
      <xdr:rowOff>781706</xdr:rowOff>
    </xdr:to>
    <xdr:grpSp>
      <xdr:nvGrpSpPr>
        <xdr:cNvPr id="608" name="Agrupar 60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852AD-E95D-4A6C-8D95-0B8A5D81279D}"/>
            </a:ext>
          </a:extLst>
        </xdr:cNvPr>
        <xdr:cNvGrpSpPr/>
      </xdr:nvGrpSpPr>
      <xdr:grpSpPr>
        <a:xfrm>
          <a:off x="30072586" y="0"/>
          <a:ext cx="1578380" cy="1162706"/>
          <a:chOff x="31415083" y="0"/>
          <a:chExt cx="1598568" cy="1162049"/>
        </a:xfrm>
      </xdr:grpSpPr>
      <xdr:sp macro="" textlink="">
        <xdr:nvSpPr>
          <xdr:cNvPr id="609" name="Retângulo 608">
            <a:extLst>
              <a:ext uri="{FF2B5EF4-FFF2-40B4-BE49-F238E27FC236}">
                <a16:creationId xmlns:a16="http://schemas.microsoft.com/office/drawing/2014/main" id="{0894853B-58E1-4848-87BC-218AE44EE751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0" name="CaixaDeTexto 609">
            <a:extLst>
              <a:ext uri="{FF2B5EF4-FFF2-40B4-BE49-F238E27FC236}">
                <a16:creationId xmlns:a16="http://schemas.microsoft.com/office/drawing/2014/main" id="{BFE9F5FC-6628-4310-8D6C-F5BCAA80732C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611" name="Imagem 610" descr="Ícone do banco de dados (símbolo png) preto">
            <a:extLst>
              <a:ext uri="{FF2B5EF4-FFF2-40B4-BE49-F238E27FC236}">
                <a16:creationId xmlns:a16="http://schemas.microsoft.com/office/drawing/2014/main" id="{BCB807CA-9F87-4DBD-9F0B-A8983EF7AA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0</xdr:colOff>
      <xdr:row>0</xdr:row>
      <xdr:rowOff>8033</xdr:rowOff>
    </xdr:from>
    <xdr:to>
      <xdr:col>3</xdr:col>
      <xdr:colOff>509587</xdr:colOff>
      <xdr:row>2</xdr:row>
      <xdr:rowOff>773674</xdr:rowOff>
    </xdr:to>
    <xdr:pic>
      <xdr:nvPicPr>
        <xdr:cNvPr id="612" name="Imagem 611">
          <a:extLst>
            <a:ext uri="{FF2B5EF4-FFF2-40B4-BE49-F238E27FC236}">
              <a16:creationId xmlns:a16="http://schemas.microsoft.com/office/drawing/2014/main" id="{EA193110-FE43-44DE-8ED0-4185FDB6136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9252" t="39637" r="14079" b="25703"/>
        <a:stretch/>
      </xdr:blipFill>
      <xdr:spPr>
        <a:xfrm>
          <a:off x="0" y="8033"/>
          <a:ext cx="2283208" cy="1146641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576154</xdr:colOff>
      <xdr:row>0</xdr:row>
      <xdr:rowOff>0</xdr:rowOff>
    </xdr:from>
    <xdr:to>
      <xdr:col>9</xdr:col>
      <xdr:colOff>222593</xdr:colOff>
      <xdr:row>3</xdr:row>
      <xdr:rowOff>0</xdr:rowOff>
    </xdr:to>
    <xdr:grpSp>
      <xdr:nvGrpSpPr>
        <xdr:cNvPr id="613" name="Agrupar 6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4D2831C-CE7B-445F-82E1-91E21395117D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148029" y="0"/>
          <a:ext cx="1432377" cy="1166813"/>
          <a:chOff x="1993654" y="0"/>
          <a:chExt cx="1022595" cy="781538"/>
        </a:xfrm>
      </xdr:grpSpPr>
      <xdr:sp macro="" textlink="">
        <xdr:nvSpPr>
          <xdr:cNvPr id="614" name="Retângulo 613">
            <a:extLst>
              <a:ext uri="{FF2B5EF4-FFF2-40B4-BE49-F238E27FC236}">
                <a16:creationId xmlns:a16="http://schemas.microsoft.com/office/drawing/2014/main" id="{4D509273-45BF-4FFB-86D4-79DC13FBF5E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15" name="Imagem 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6D525E0-A723-480D-83ED-0EC5D5E64D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616" name="CaixaDeTexto 615">
            <a:extLst>
              <a:ext uri="{FF2B5EF4-FFF2-40B4-BE49-F238E27FC236}">
                <a16:creationId xmlns:a16="http://schemas.microsoft.com/office/drawing/2014/main" id="{5E520146-D9BF-4275-BEB7-45AFC70AA9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579672</xdr:colOff>
      <xdr:row>0</xdr:row>
      <xdr:rowOff>0</xdr:rowOff>
    </xdr:from>
    <xdr:to>
      <xdr:col>14</xdr:col>
      <xdr:colOff>365111</xdr:colOff>
      <xdr:row>3</xdr:row>
      <xdr:rowOff>0</xdr:rowOff>
    </xdr:to>
    <xdr:grpSp>
      <xdr:nvGrpSpPr>
        <xdr:cNvPr id="617" name="Agrupar 6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2A8CCA0-F677-42AF-B856-C8B15CB32D4E}"/>
            </a:ext>
          </a:extLst>
        </xdr:cNvPr>
        <xdr:cNvGrpSpPr/>
      </xdr:nvGrpSpPr>
      <xdr:grpSpPr>
        <a:xfrm>
          <a:off x="7128110" y="0"/>
          <a:ext cx="1571376" cy="1166813"/>
          <a:chOff x="5966368" y="0"/>
          <a:chExt cx="1591474" cy="1162050"/>
        </a:xfrm>
        <a:noFill/>
      </xdr:grpSpPr>
      <xdr:sp macro="" textlink="">
        <xdr:nvSpPr>
          <xdr:cNvPr id="618" name="Retângulo 617">
            <a:extLst>
              <a:ext uri="{FF2B5EF4-FFF2-40B4-BE49-F238E27FC236}">
                <a16:creationId xmlns:a16="http://schemas.microsoft.com/office/drawing/2014/main" id="{7D2E80AE-5DBF-49E7-9246-DF62CDC0683A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9" name="CaixaDeTexto 618">
            <a:extLst>
              <a:ext uri="{FF2B5EF4-FFF2-40B4-BE49-F238E27FC236}">
                <a16:creationId xmlns:a16="http://schemas.microsoft.com/office/drawing/2014/main" id="{EF5D7C74-D017-4D5F-81D6-BF30C920689F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20" name="Imagem 17">
            <a:extLst>
              <a:ext uri="{FF2B5EF4-FFF2-40B4-BE49-F238E27FC236}">
                <a16:creationId xmlns:a16="http://schemas.microsoft.com/office/drawing/2014/main" id="{21870973-70EF-4082-9F84-59668F9CA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94" y="126203"/>
            <a:ext cx="595173" cy="619129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17</xdr:col>
      <xdr:colOff>279277</xdr:colOff>
      <xdr:row>0</xdr:row>
      <xdr:rowOff>0</xdr:rowOff>
    </xdr:from>
    <xdr:to>
      <xdr:col>20</xdr:col>
      <xdr:colOff>81243</xdr:colOff>
      <xdr:row>3</xdr:row>
      <xdr:rowOff>0</xdr:rowOff>
    </xdr:to>
    <xdr:grpSp>
      <xdr:nvGrpSpPr>
        <xdr:cNvPr id="621" name="Agrupar 6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E864401-53D7-47E6-9887-9DD258BEB370}"/>
            </a:ext>
          </a:extLst>
        </xdr:cNvPr>
        <xdr:cNvGrpSpPr/>
      </xdr:nvGrpSpPr>
      <xdr:grpSpPr>
        <a:xfrm>
          <a:off x="10399590" y="0"/>
          <a:ext cx="1587903" cy="1166813"/>
          <a:chOff x="9596894" y="0"/>
          <a:chExt cx="1598566" cy="1162050"/>
        </a:xfrm>
      </xdr:grpSpPr>
      <xdr:sp macro="" textlink="">
        <xdr:nvSpPr>
          <xdr:cNvPr id="622" name="Retângulo 621">
            <a:extLst>
              <a:ext uri="{FF2B5EF4-FFF2-40B4-BE49-F238E27FC236}">
                <a16:creationId xmlns:a16="http://schemas.microsoft.com/office/drawing/2014/main" id="{4ED17E2F-F999-48A8-9680-73AAF48208A3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3" name="CaixaDeTexto 622">
            <a:extLst>
              <a:ext uri="{FF2B5EF4-FFF2-40B4-BE49-F238E27FC236}">
                <a16:creationId xmlns:a16="http://schemas.microsoft.com/office/drawing/2014/main" id="{344C93AF-A47F-4FC5-969F-A983FB3BAFFD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24" name="Imagem 623">
            <a:extLst>
              <a:ext uri="{FF2B5EF4-FFF2-40B4-BE49-F238E27FC236}">
                <a16:creationId xmlns:a16="http://schemas.microsoft.com/office/drawing/2014/main" id="{A7A7F01F-92AB-4FC5-B29F-D14B1039D6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78377" y="136274"/>
            <a:ext cx="597825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590722</xdr:colOff>
      <xdr:row>0</xdr:row>
      <xdr:rowOff>0</xdr:rowOff>
    </xdr:from>
    <xdr:to>
      <xdr:col>25</xdr:col>
      <xdr:colOff>376177</xdr:colOff>
      <xdr:row>3</xdr:row>
      <xdr:rowOff>0</xdr:rowOff>
    </xdr:to>
    <xdr:grpSp>
      <xdr:nvGrpSpPr>
        <xdr:cNvPr id="625" name="Agrupar 6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A82F271-A341-419C-88DF-B94D2C7AA249}"/>
            </a:ext>
          </a:extLst>
        </xdr:cNvPr>
        <xdr:cNvGrpSpPr/>
      </xdr:nvGrpSpPr>
      <xdr:grpSpPr>
        <a:xfrm>
          <a:off x="13687597" y="0"/>
          <a:ext cx="1571393" cy="1166813"/>
          <a:chOff x="13234512" y="0"/>
          <a:chExt cx="1591491" cy="1162050"/>
        </a:xfrm>
      </xdr:grpSpPr>
      <xdr:sp macro="" textlink="">
        <xdr:nvSpPr>
          <xdr:cNvPr id="626" name="Retângulo 625">
            <a:extLst>
              <a:ext uri="{FF2B5EF4-FFF2-40B4-BE49-F238E27FC236}">
                <a16:creationId xmlns:a16="http://schemas.microsoft.com/office/drawing/2014/main" id="{9DA38F79-5585-4E1C-9AEC-36D4796C3CCD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7" name="CaixaDeTexto 626">
            <a:extLst>
              <a:ext uri="{FF2B5EF4-FFF2-40B4-BE49-F238E27FC236}">
                <a16:creationId xmlns:a16="http://schemas.microsoft.com/office/drawing/2014/main" id="{ADCC3267-F7E2-468D-B227-BECF16BF25D4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28" name="Imagem 17">
            <a:extLst>
              <a:ext uri="{FF2B5EF4-FFF2-40B4-BE49-F238E27FC236}">
                <a16:creationId xmlns:a16="http://schemas.microsoft.com/office/drawing/2014/main" id="{8FDD01EA-82F2-4769-AB37-906845D17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290344</xdr:colOff>
      <xdr:row>0</xdr:row>
      <xdr:rowOff>0</xdr:rowOff>
    </xdr:from>
    <xdr:to>
      <xdr:col>31</xdr:col>
      <xdr:colOff>96333</xdr:colOff>
      <xdr:row>3</xdr:row>
      <xdr:rowOff>0</xdr:rowOff>
    </xdr:to>
    <xdr:grpSp>
      <xdr:nvGrpSpPr>
        <xdr:cNvPr id="629" name="Agrupar 62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2CA37AD-76C2-4CBC-A2F7-B7E4F75901E7}"/>
            </a:ext>
          </a:extLst>
        </xdr:cNvPr>
        <xdr:cNvGrpSpPr/>
      </xdr:nvGrpSpPr>
      <xdr:grpSpPr>
        <a:xfrm>
          <a:off x="16959094" y="0"/>
          <a:ext cx="1591927" cy="1166813"/>
          <a:chOff x="16865055" y="0"/>
          <a:chExt cx="1612288" cy="1162050"/>
        </a:xfrm>
      </xdr:grpSpPr>
      <xdr:sp macro="" textlink="">
        <xdr:nvSpPr>
          <xdr:cNvPr id="630" name="Retângulo 629">
            <a:extLst>
              <a:ext uri="{FF2B5EF4-FFF2-40B4-BE49-F238E27FC236}">
                <a16:creationId xmlns:a16="http://schemas.microsoft.com/office/drawing/2014/main" id="{1DB9BC34-24B3-4EF3-88C5-00BE0F314EC3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1" name="CaixaDeTexto 630">
            <a:extLst>
              <a:ext uri="{FF2B5EF4-FFF2-40B4-BE49-F238E27FC236}">
                <a16:creationId xmlns:a16="http://schemas.microsoft.com/office/drawing/2014/main" id="{5811E65B-DA90-4A48-B8B4-132F47EF3F6F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32" name="Imagem 17">
            <a:extLst>
              <a:ext uri="{FF2B5EF4-FFF2-40B4-BE49-F238E27FC236}">
                <a16:creationId xmlns:a16="http://schemas.microsoft.com/office/drawing/2014/main" id="{32268F3A-5430-4C66-8140-E7F7360AB3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10500</xdr:colOff>
      <xdr:row>0</xdr:row>
      <xdr:rowOff>0</xdr:rowOff>
    </xdr:from>
    <xdr:to>
      <xdr:col>36</xdr:col>
      <xdr:colOff>392666</xdr:colOff>
      <xdr:row>3</xdr:row>
      <xdr:rowOff>0</xdr:rowOff>
    </xdr:to>
    <xdr:grpSp>
      <xdr:nvGrpSpPr>
        <xdr:cNvPr id="633" name="Agrupar 63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F1D88EA-A478-4164-A54D-811E28FC9C55}"/>
            </a:ext>
          </a:extLst>
        </xdr:cNvPr>
        <xdr:cNvGrpSpPr/>
      </xdr:nvGrpSpPr>
      <xdr:grpSpPr>
        <a:xfrm>
          <a:off x="20251125" y="0"/>
          <a:ext cx="1572791" cy="1166813"/>
          <a:chOff x="20516395" y="0"/>
          <a:chExt cx="1592907" cy="1162050"/>
        </a:xfrm>
      </xdr:grpSpPr>
      <xdr:sp macro="" textlink="">
        <xdr:nvSpPr>
          <xdr:cNvPr id="634" name="Retângulo 633">
            <a:extLst>
              <a:ext uri="{FF2B5EF4-FFF2-40B4-BE49-F238E27FC236}">
                <a16:creationId xmlns:a16="http://schemas.microsoft.com/office/drawing/2014/main" id="{5D78508F-CC59-4134-A4F3-0B16BF2C8119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5" name="CaixaDeTexto 634">
            <a:extLst>
              <a:ext uri="{FF2B5EF4-FFF2-40B4-BE49-F238E27FC236}">
                <a16:creationId xmlns:a16="http://schemas.microsoft.com/office/drawing/2014/main" id="{68F7DD5E-86FA-4081-A365-56C888B9B0E1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36" name="Imagem 17">
            <a:extLst>
              <a:ext uri="{FF2B5EF4-FFF2-40B4-BE49-F238E27FC236}">
                <a16:creationId xmlns:a16="http://schemas.microsoft.com/office/drawing/2014/main" id="{BF04676B-2753-47F5-AB1F-F11A122054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39</xdr:col>
      <xdr:colOff>306832</xdr:colOff>
      <xdr:row>0</xdr:row>
      <xdr:rowOff>0</xdr:rowOff>
    </xdr:from>
    <xdr:to>
      <xdr:col>42</xdr:col>
      <xdr:colOff>90873</xdr:colOff>
      <xdr:row>3</xdr:row>
      <xdr:rowOff>0</xdr:rowOff>
    </xdr:to>
    <xdr:grpSp>
      <xdr:nvGrpSpPr>
        <xdr:cNvPr id="637" name="Agrupar 63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9D1389B-23E3-4B73-80DF-AB2B1C8BD868}"/>
            </a:ext>
          </a:extLst>
        </xdr:cNvPr>
        <xdr:cNvGrpSpPr/>
      </xdr:nvGrpSpPr>
      <xdr:grpSpPr>
        <a:xfrm>
          <a:off x="23524020" y="0"/>
          <a:ext cx="1569978" cy="1166813"/>
          <a:chOff x="24148354" y="0"/>
          <a:chExt cx="1590058" cy="1162050"/>
        </a:xfrm>
      </xdr:grpSpPr>
      <xdr:sp macro="" textlink="">
        <xdr:nvSpPr>
          <xdr:cNvPr id="638" name="Retângulo 637">
            <a:extLst>
              <a:ext uri="{FF2B5EF4-FFF2-40B4-BE49-F238E27FC236}">
                <a16:creationId xmlns:a16="http://schemas.microsoft.com/office/drawing/2014/main" id="{73E00B97-F640-40AE-B881-AA90F92D291E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9" name="CaixaDeTexto 638">
            <a:extLst>
              <a:ext uri="{FF2B5EF4-FFF2-40B4-BE49-F238E27FC236}">
                <a16:creationId xmlns:a16="http://schemas.microsoft.com/office/drawing/2014/main" id="{4F2AC940-D2C3-4B7F-B515-65B659E3A72D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40" name="Imagem 17">
            <a:extLst>
              <a:ext uri="{FF2B5EF4-FFF2-40B4-BE49-F238E27FC236}">
                <a16:creationId xmlns:a16="http://schemas.microsoft.com/office/drawing/2014/main" id="{7EA70D41-7E3B-4005-AB5A-BF534BC819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5039</xdr:colOff>
      <xdr:row>0</xdr:row>
      <xdr:rowOff>0</xdr:rowOff>
    </xdr:from>
    <xdr:to>
      <xdr:col>47</xdr:col>
      <xdr:colOff>392794</xdr:colOff>
      <xdr:row>3</xdr:row>
      <xdr:rowOff>0</xdr:rowOff>
    </xdr:to>
    <xdr:grpSp>
      <xdr:nvGrpSpPr>
        <xdr:cNvPr id="641" name="Agrupar 64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6E72225-E195-4446-B79A-736FB519411E}"/>
            </a:ext>
          </a:extLst>
        </xdr:cNvPr>
        <xdr:cNvGrpSpPr/>
      </xdr:nvGrpSpPr>
      <xdr:grpSpPr>
        <a:xfrm>
          <a:off x="26794102" y="0"/>
          <a:ext cx="1578380" cy="1166813"/>
          <a:chOff x="27777464" y="0"/>
          <a:chExt cx="1598568" cy="1162050"/>
        </a:xfrm>
      </xdr:grpSpPr>
      <xdr:sp macro="" textlink="">
        <xdr:nvSpPr>
          <xdr:cNvPr id="642" name="Retângulo 641">
            <a:extLst>
              <a:ext uri="{FF2B5EF4-FFF2-40B4-BE49-F238E27FC236}">
                <a16:creationId xmlns:a16="http://schemas.microsoft.com/office/drawing/2014/main" id="{4D0057F2-58D8-40DE-9B77-51D969C43CD4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3" name="CaixaDeTexto 642">
            <a:extLst>
              <a:ext uri="{FF2B5EF4-FFF2-40B4-BE49-F238E27FC236}">
                <a16:creationId xmlns:a16="http://schemas.microsoft.com/office/drawing/2014/main" id="{779AF86F-045A-4FB2-A833-B644095512E9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44" name="Imagem 17">
            <a:extLst>
              <a:ext uri="{FF2B5EF4-FFF2-40B4-BE49-F238E27FC236}">
                <a16:creationId xmlns:a16="http://schemas.microsoft.com/office/drawing/2014/main" id="{CD38894A-6D84-480D-B49A-85C076C2CF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56</xdr:col>
      <xdr:colOff>13566</xdr:colOff>
      <xdr:row>1</xdr:row>
      <xdr:rowOff>21437</xdr:rowOff>
    </xdr:from>
    <xdr:to>
      <xdr:col>57</xdr:col>
      <xdr:colOff>185377</xdr:colOff>
      <xdr:row>2</xdr:row>
      <xdr:rowOff>573876</xdr:rowOff>
    </xdr:to>
    <xdr:sp macro="[0]!BotaoComLogin" textlink="">
      <xdr:nvSpPr>
        <xdr:cNvPr id="645" name="Círculo: Vazio 644">
          <a:extLst>
            <a:ext uri="{FF2B5EF4-FFF2-40B4-BE49-F238E27FC236}">
              <a16:creationId xmlns:a16="http://schemas.microsoft.com/office/drawing/2014/main" id="{8489ADEB-E43A-4E8A-9ECA-0E19CD5E1A09}"/>
            </a:ext>
          </a:extLst>
        </xdr:cNvPr>
        <xdr:cNvSpPr>
          <a:spLocks noChangeAspect="1"/>
        </xdr:cNvSpPr>
      </xdr:nvSpPr>
      <xdr:spPr>
        <a:xfrm>
          <a:off x="33121152" y="211937"/>
          <a:ext cx="763018" cy="742939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306082</xdr:colOff>
      <xdr:row>2</xdr:row>
      <xdr:rowOff>133894</xdr:rowOff>
    </xdr:from>
    <xdr:to>
      <xdr:col>8</xdr:col>
      <xdr:colOff>769955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8</xdr:col>
      <xdr:colOff>47595</xdr:colOff>
      <xdr:row>0</xdr:row>
      <xdr:rowOff>91651</xdr:rowOff>
    </xdr:from>
    <xdr:to>
      <xdr:col>8</xdr:col>
      <xdr:colOff>407681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166687</xdr:rowOff>
    </xdr:from>
    <xdr:to>
      <xdr:col>6</xdr:col>
      <xdr:colOff>131325</xdr:colOff>
      <xdr:row>5</xdr:row>
      <xdr:rowOff>156037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9</xdr:col>
      <xdr:colOff>47625</xdr:colOff>
      <xdr:row>3</xdr:row>
      <xdr:rowOff>166687</xdr:rowOff>
    </xdr:from>
    <xdr:to>
      <xdr:col>10</xdr:col>
      <xdr:colOff>874275</xdr:colOff>
      <xdr:row>5</xdr:row>
      <xdr:rowOff>156037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10</xdr:col>
      <xdr:colOff>2616638</xdr:colOff>
      <xdr:row>3</xdr:row>
      <xdr:rowOff>185739</xdr:rowOff>
    </xdr:from>
    <xdr:to>
      <xdr:col>12</xdr:col>
      <xdr:colOff>319088</xdr:colOff>
      <xdr:row>5</xdr:row>
      <xdr:rowOff>175089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166688</xdr:colOff>
      <xdr:row>3</xdr:row>
      <xdr:rowOff>147639</xdr:rowOff>
    </xdr:from>
    <xdr:to>
      <xdr:col>13</xdr:col>
      <xdr:colOff>3398400</xdr:colOff>
      <xdr:row>5</xdr:row>
      <xdr:rowOff>136989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14</xdr:col>
      <xdr:colOff>1402896</xdr:colOff>
      <xdr:row>3</xdr:row>
      <xdr:rowOff>147639</xdr:rowOff>
    </xdr:from>
    <xdr:to>
      <xdr:col>16</xdr:col>
      <xdr:colOff>557908</xdr:colOff>
      <xdr:row>5</xdr:row>
      <xdr:rowOff>136989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395968</xdr:colOff>
      <xdr:row>3</xdr:row>
      <xdr:rowOff>147639</xdr:rowOff>
    </xdr:from>
    <xdr:to>
      <xdr:col>25</xdr:col>
      <xdr:colOff>151056</xdr:colOff>
      <xdr:row>5</xdr:row>
      <xdr:rowOff>136989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28</xdr:col>
      <xdr:colOff>507599</xdr:colOff>
      <xdr:row>0</xdr:row>
      <xdr:rowOff>0</xdr:rowOff>
    </xdr:from>
    <xdr:to>
      <xdr:col>31</xdr:col>
      <xdr:colOff>300042</xdr:colOff>
      <xdr:row>3</xdr:row>
      <xdr:rowOff>-1</xdr:rowOff>
    </xdr:to>
    <xdr:grpSp>
      <xdr:nvGrpSpPr>
        <xdr:cNvPr id="147" name="Agrupar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11F652D-F438-4C28-8DF9-54053F0FD613}"/>
            </a:ext>
          </a:extLst>
        </xdr:cNvPr>
        <xdr:cNvGrpSpPr/>
      </xdr:nvGrpSpPr>
      <xdr:grpSpPr>
        <a:xfrm>
          <a:off x="31059037" y="0"/>
          <a:ext cx="1578380" cy="1166812"/>
          <a:chOff x="31415083" y="0"/>
          <a:chExt cx="1598568" cy="1162049"/>
        </a:xfrm>
      </xdr:grpSpPr>
      <xdr:sp macro="" textlink="">
        <xdr:nvSpPr>
          <xdr:cNvPr id="148" name="Retângulo 147">
            <a:extLst>
              <a:ext uri="{FF2B5EF4-FFF2-40B4-BE49-F238E27FC236}">
                <a16:creationId xmlns:a16="http://schemas.microsoft.com/office/drawing/2014/main" id="{7DB75CA2-0340-4E99-A37E-F4117D853FF9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" name="CaixaDeTexto 148">
            <a:extLst>
              <a:ext uri="{FF2B5EF4-FFF2-40B4-BE49-F238E27FC236}">
                <a16:creationId xmlns:a16="http://schemas.microsoft.com/office/drawing/2014/main" id="{A15D5136-1F5D-4561-9239-420E2C4DF893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50" name="Imagem 149" descr="Ícone do banco de dados (símbolo png) preto">
            <a:extLst>
              <a:ext uri="{FF2B5EF4-FFF2-40B4-BE49-F238E27FC236}">
                <a16:creationId xmlns:a16="http://schemas.microsoft.com/office/drawing/2014/main" id="{DC89565B-5EF2-4350-AEE5-B031A9EC74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0</xdr:colOff>
      <xdr:row>0</xdr:row>
      <xdr:rowOff>8033</xdr:rowOff>
    </xdr:from>
    <xdr:to>
      <xdr:col>3</xdr:col>
      <xdr:colOff>509587</xdr:colOff>
      <xdr:row>2</xdr:row>
      <xdr:rowOff>777780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90589827-F0C7-4417-A819-728CA61630F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9252" t="39637" r="14079" b="25703"/>
        <a:stretch/>
      </xdr:blipFill>
      <xdr:spPr>
        <a:xfrm>
          <a:off x="0" y="8033"/>
          <a:ext cx="2295525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533360</xdr:colOff>
      <xdr:row>0</xdr:row>
      <xdr:rowOff>0</xdr:rowOff>
    </xdr:from>
    <xdr:to>
      <xdr:col>8</xdr:col>
      <xdr:colOff>775112</xdr:colOff>
      <xdr:row>3</xdr:row>
      <xdr:rowOff>0</xdr:rowOff>
    </xdr:to>
    <xdr:grpSp>
      <xdr:nvGrpSpPr>
        <xdr:cNvPr id="152" name="Agrupar 15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E6582E0-C702-4CDF-AFB8-01518C13337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105235" y="0"/>
          <a:ext cx="1432377" cy="1166813"/>
          <a:chOff x="1993654" y="0"/>
          <a:chExt cx="1022595" cy="781538"/>
        </a:xfrm>
      </xdr:grpSpPr>
      <xdr:sp macro="" textlink="">
        <xdr:nvSpPr>
          <xdr:cNvPr id="153" name="Retângulo 152">
            <a:extLst>
              <a:ext uri="{FF2B5EF4-FFF2-40B4-BE49-F238E27FC236}">
                <a16:creationId xmlns:a16="http://schemas.microsoft.com/office/drawing/2014/main" id="{4802BA45-1E81-4915-B235-EEA8456CF48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54" name="Imagem 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5790BA9-A129-4589-A883-FE253B96BE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5" name="CaixaDeTexto 154">
            <a:extLst>
              <a:ext uri="{FF2B5EF4-FFF2-40B4-BE49-F238E27FC236}">
                <a16:creationId xmlns:a16="http://schemas.microsoft.com/office/drawing/2014/main" id="{5EACE168-065C-4D3E-BD35-87BCBD2B9AD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9</xdr:col>
      <xdr:colOff>1584697</xdr:colOff>
      <xdr:row>0</xdr:row>
      <xdr:rowOff>0</xdr:rowOff>
    </xdr:from>
    <xdr:to>
      <xdr:col>10</xdr:col>
      <xdr:colOff>679573</xdr:colOff>
      <xdr:row>3</xdr:row>
      <xdr:rowOff>0</xdr:rowOff>
    </xdr:to>
    <xdr:grpSp>
      <xdr:nvGrpSpPr>
        <xdr:cNvPr id="156" name="Agrupar 15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7D3373E-A1D7-4D72-895C-6C10F98E7886}"/>
            </a:ext>
          </a:extLst>
        </xdr:cNvPr>
        <xdr:cNvGrpSpPr/>
      </xdr:nvGrpSpPr>
      <xdr:grpSpPr>
        <a:xfrm>
          <a:off x="7347322" y="0"/>
          <a:ext cx="1571376" cy="1166813"/>
          <a:chOff x="5966368" y="0"/>
          <a:chExt cx="1591474" cy="1162050"/>
        </a:xfrm>
        <a:noFill/>
      </xdr:grpSpPr>
      <xdr:sp macro="" textlink="">
        <xdr:nvSpPr>
          <xdr:cNvPr id="157" name="Retângulo 156">
            <a:extLst>
              <a:ext uri="{FF2B5EF4-FFF2-40B4-BE49-F238E27FC236}">
                <a16:creationId xmlns:a16="http://schemas.microsoft.com/office/drawing/2014/main" id="{CCA4CCBF-3740-4C2B-969D-C0380460BA4A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8" name="CaixaDeTexto 157">
            <a:extLst>
              <a:ext uri="{FF2B5EF4-FFF2-40B4-BE49-F238E27FC236}">
                <a16:creationId xmlns:a16="http://schemas.microsoft.com/office/drawing/2014/main" id="{0816EBFC-424C-4F58-B499-D6D19B393474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9" name="Imagem 17">
            <a:extLst>
              <a:ext uri="{FF2B5EF4-FFF2-40B4-BE49-F238E27FC236}">
                <a16:creationId xmlns:a16="http://schemas.microsoft.com/office/drawing/2014/main" id="{9E7E56C4-1A4A-4C04-901B-27B0F7A918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94" y="126203"/>
            <a:ext cx="595173" cy="619129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10</xdr:col>
      <xdr:colOff>2489283</xdr:colOff>
      <xdr:row>0</xdr:row>
      <xdr:rowOff>0</xdr:rowOff>
    </xdr:from>
    <xdr:to>
      <xdr:col>11</xdr:col>
      <xdr:colOff>695811</xdr:colOff>
      <xdr:row>3</xdr:row>
      <xdr:rowOff>0</xdr:rowOff>
    </xdr:to>
    <xdr:grpSp>
      <xdr:nvGrpSpPr>
        <xdr:cNvPr id="160" name="Agrupar 15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8951D70-17E4-45EB-8258-A83B660AD1B6}"/>
            </a:ext>
          </a:extLst>
        </xdr:cNvPr>
        <xdr:cNvGrpSpPr/>
      </xdr:nvGrpSpPr>
      <xdr:grpSpPr>
        <a:xfrm>
          <a:off x="10728408" y="0"/>
          <a:ext cx="1587903" cy="1166813"/>
          <a:chOff x="9596894" y="0"/>
          <a:chExt cx="1598566" cy="1162050"/>
        </a:xfrm>
      </xdr:grpSpPr>
      <xdr:sp macro="" textlink="">
        <xdr:nvSpPr>
          <xdr:cNvPr id="161" name="Retângulo 160">
            <a:extLst>
              <a:ext uri="{FF2B5EF4-FFF2-40B4-BE49-F238E27FC236}">
                <a16:creationId xmlns:a16="http://schemas.microsoft.com/office/drawing/2014/main" id="{B20E7B49-47A0-407E-9A6D-6B2EDB142A7F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2" name="CaixaDeTexto 161">
            <a:extLst>
              <a:ext uri="{FF2B5EF4-FFF2-40B4-BE49-F238E27FC236}">
                <a16:creationId xmlns:a16="http://schemas.microsoft.com/office/drawing/2014/main" id="{055E396E-B3F3-49D6-BA9D-D2ED071318A2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3" name="Imagem 162">
            <a:extLst>
              <a:ext uri="{FF2B5EF4-FFF2-40B4-BE49-F238E27FC236}">
                <a16:creationId xmlns:a16="http://schemas.microsoft.com/office/drawing/2014/main" id="{308A02DA-1500-48A4-BB3D-CF50A7AB1E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78377" y="136274"/>
            <a:ext cx="597825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267146</xdr:colOff>
      <xdr:row>0</xdr:row>
      <xdr:rowOff>0</xdr:rowOff>
    </xdr:from>
    <xdr:to>
      <xdr:col>13</xdr:col>
      <xdr:colOff>28789</xdr:colOff>
      <xdr:row>3</xdr:row>
      <xdr:rowOff>0</xdr:rowOff>
    </xdr:to>
    <xdr:grpSp>
      <xdr:nvGrpSpPr>
        <xdr:cNvPr id="164" name="Agrupar 16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AA228B-5374-46C2-A84B-64A9A2FF603B}"/>
            </a:ext>
          </a:extLst>
        </xdr:cNvPr>
        <xdr:cNvGrpSpPr/>
      </xdr:nvGrpSpPr>
      <xdr:grpSpPr>
        <a:xfrm>
          <a:off x="14126021" y="0"/>
          <a:ext cx="1571393" cy="1166813"/>
          <a:chOff x="13234512" y="0"/>
          <a:chExt cx="1591491" cy="1162050"/>
        </a:xfrm>
      </xdr:grpSpPr>
      <xdr:sp macro="" textlink="">
        <xdr:nvSpPr>
          <xdr:cNvPr id="165" name="Retângulo 164">
            <a:extLst>
              <a:ext uri="{FF2B5EF4-FFF2-40B4-BE49-F238E27FC236}">
                <a16:creationId xmlns:a16="http://schemas.microsoft.com/office/drawing/2014/main" id="{D3B338CA-7215-40ED-B644-F1385AFF7E4B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6" name="CaixaDeTexto 165">
            <a:extLst>
              <a:ext uri="{FF2B5EF4-FFF2-40B4-BE49-F238E27FC236}">
                <a16:creationId xmlns:a16="http://schemas.microsoft.com/office/drawing/2014/main" id="{80EBD63C-77B0-4F92-BB59-A9CAFB0FC90A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67" name="Imagem 17">
            <a:extLst>
              <a:ext uri="{FF2B5EF4-FFF2-40B4-BE49-F238E27FC236}">
                <a16:creationId xmlns:a16="http://schemas.microsoft.com/office/drawing/2014/main" id="{AFEF15A8-35B4-46C0-A13C-58D8D4BBB5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1838499</xdr:colOff>
      <xdr:row>0</xdr:row>
      <xdr:rowOff>0</xdr:rowOff>
    </xdr:from>
    <xdr:to>
      <xdr:col>13</xdr:col>
      <xdr:colOff>3430426</xdr:colOff>
      <xdr:row>3</xdr:row>
      <xdr:rowOff>0</xdr:rowOff>
    </xdr:to>
    <xdr:grpSp>
      <xdr:nvGrpSpPr>
        <xdr:cNvPr id="168" name="Agrupar 16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64DAD3B-547F-452F-BBAA-3FF18B0792FB}"/>
            </a:ext>
          </a:extLst>
        </xdr:cNvPr>
        <xdr:cNvGrpSpPr/>
      </xdr:nvGrpSpPr>
      <xdr:grpSpPr>
        <a:xfrm>
          <a:off x="17507124" y="0"/>
          <a:ext cx="1591927" cy="1166813"/>
          <a:chOff x="16865055" y="0"/>
          <a:chExt cx="1612288" cy="1162050"/>
        </a:xfrm>
      </xdr:grpSpPr>
      <xdr:sp macro="" textlink="">
        <xdr:nvSpPr>
          <xdr:cNvPr id="169" name="Retângulo 168">
            <a:extLst>
              <a:ext uri="{FF2B5EF4-FFF2-40B4-BE49-F238E27FC236}">
                <a16:creationId xmlns:a16="http://schemas.microsoft.com/office/drawing/2014/main" id="{D23ADC24-15A7-4B14-8571-59326D8125C9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" name="CaixaDeTexto 169">
            <a:extLst>
              <a:ext uri="{FF2B5EF4-FFF2-40B4-BE49-F238E27FC236}">
                <a16:creationId xmlns:a16="http://schemas.microsoft.com/office/drawing/2014/main" id="{5E571C40-4556-402F-90BC-AD3374C8E2BC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71" name="Imagem 17">
            <a:extLst>
              <a:ext uri="{FF2B5EF4-FFF2-40B4-BE49-F238E27FC236}">
                <a16:creationId xmlns:a16="http://schemas.microsoft.com/office/drawing/2014/main" id="{A5993FA9-48C6-4267-9B75-26EDE49898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1668261</xdr:colOff>
      <xdr:row>0</xdr:row>
      <xdr:rowOff>0</xdr:rowOff>
    </xdr:from>
    <xdr:to>
      <xdr:col>14</xdr:col>
      <xdr:colOff>3241052</xdr:colOff>
      <xdr:row>3</xdr:row>
      <xdr:rowOff>0</xdr:rowOff>
    </xdr:to>
    <xdr:grpSp>
      <xdr:nvGrpSpPr>
        <xdr:cNvPr id="172" name="Agrupar 17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150593-F889-4D58-889E-236B4367428D}"/>
            </a:ext>
          </a:extLst>
        </xdr:cNvPr>
        <xdr:cNvGrpSpPr/>
      </xdr:nvGrpSpPr>
      <xdr:grpSpPr>
        <a:xfrm>
          <a:off x="20908761" y="0"/>
          <a:ext cx="1572791" cy="1166813"/>
          <a:chOff x="20516395" y="0"/>
          <a:chExt cx="1592907" cy="1162050"/>
        </a:xfrm>
      </xdr:grpSpPr>
      <xdr:sp macro="" textlink="">
        <xdr:nvSpPr>
          <xdr:cNvPr id="173" name="Retângulo 172">
            <a:extLst>
              <a:ext uri="{FF2B5EF4-FFF2-40B4-BE49-F238E27FC236}">
                <a16:creationId xmlns:a16="http://schemas.microsoft.com/office/drawing/2014/main" id="{9B007FF1-FB19-4929-B037-E4430414CD3C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" name="CaixaDeTexto 173">
            <a:extLst>
              <a:ext uri="{FF2B5EF4-FFF2-40B4-BE49-F238E27FC236}">
                <a16:creationId xmlns:a16="http://schemas.microsoft.com/office/drawing/2014/main" id="{03515273-27E0-444B-8A13-7002A61B3769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75" name="Imagem 17">
            <a:extLst>
              <a:ext uri="{FF2B5EF4-FFF2-40B4-BE49-F238E27FC236}">
                <a16:creationId xmlns:a16="http://schemas.microsoft.com/office/drawing/2014/main" id="{EE9D3C8C-3617-46AD-8CB9-DA4AFF0E0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288262</xdr:colOff>
      <xdr:row>0</xdr:row>
      <xdr:rowOff>0</xdr:rowOff>
    </xdr:from>
    <xdr:to>
      <xdr:col>20</xdr:col>
      <xdr:colOff>72302</xdr:colOff>
      <xdr:row>3</xdr:row>
      <xdr:rowOff>0</xdr:rowOff>
    </xdr:to>
    <xdr:grpSp>
      <xdr:nvGrpSpPr>
        <xdr:cNvPr id="176" name="Agrupar 17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E347635B-27B9-46F8-93BC-97C95CDC1271}"/>
            </a:ext>
          </a:extLst>
        </xdr:cNvPr>
        <xdr:cNvGrpSpPr/>
      </xdr:nvGrpSpPr>
      <xdr:grpSpPr>
        <a:xfrm>
          <a:off x="24291262" y="0"/>
          <a:ext cx="1569978" cy="1166813"/>
          <a:chOff x="24148354" y="0"/>
          <a:chExt cx="1590058" cy="1162050"/>
        </a:xfrm>
      </xdr:grpSpPr>
      <xdr:sp macro="" textlink="">
        <xdr:nvSpPr>
          <xdr:cNvPr id="177" name="Retângulo 176">
            <a:extLst>
              <a:ext uri="{FF2B5EF4-FFF2-40B4-BE49-F238E27FC236}">
                <a16:creationId xmlns:a16="http://schemas.microsoft.com/office/drawing/2014/main" id="{38BD78CC-04DF-463C-9A14-A7A292823BBA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" name="CaixaDeTexto 177">
            <a:extLst>
              <a:ext uri="{FF2B5EF4-FFF2-40B4-BE49-F238E27FC236}">
                <a16:creationId xmlns:a16="http://schemas.microsoft.com/office/drawing/2014/main" id="{39EB53AB-DCF1-41CD-9B24-D4ED35E5F192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79" name="Imagem 17">
            <a:extLst>
              <a:ext uri="{FF2B5EF4-FFF2-40B4-BE49-F238E27FC236}">
                <a16:creationId xmlns:a16="http://schemas.microsoft.com/office/drawing/2014/main" id="{E9DA398B-211D-456F-AE61-B5A8A12B05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96075</xdr:colOff>
      <xdr:row>0</xdr:row>
      <xdr:rowOff>0</xdr:rowOff>
    </xdr:from>
    <xdr:to>
      <xdr:col>25</xdr:col>
      <xdr:colOff>483830</xdr:colOff>
      <xdr:row>3</xdr:row>
      <xdr:rowOff>0</xdr:rowOff>
    </xdr:to>
    <xdr:grpSp>
      <xdr:nvGrpSpPr>
        <xdr:cNvPr id="180" name="Agrupar 17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C5289C72-20CE-4F6B-8FA9-441E0C775326}"/>
            </a:ext>
          </a:extLst>
        </xdr:cNvPr>
        <xdr:cNvGrpSpPr/>
      </xdr:nvGrpSpPr>
      <xdr:grpSpPr>
        <a:xfrm>
          <a:off x="27670950" y="0"/>
          <a:ext cx="1578380" cy="1166813"/>
          <a:chOff x="27777464" y="0"/>
          <a:chExt cx="1598568" cy="1162050"/>
        </a:xfrm>
      </xdr:grpSpPr>
      <xdr:sp macro="" textlink="">
        <xdr:nvSpPr>
          <xdr:cNvPr id="181" name="Retângulo 180">
            <a:extLst>
              <a:ext uri="{FF2B5EF4-FFF2-40B4-BE49-F238E27FC236}">
                <a16:creationId xmlns:a16="http://schemas.microsoft.com/office/drawing/2014/main" id="{987B6603-6881-4F52-B64D-7D555F3D069B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" name="CaixaDeTexto 181">
            <a:extLst>
              <a:ext uri="{FF2B5EF4-FFF2-40B4-BE49-F238E27FC236}">
                <a16:creationId xmlns:a16="http://schemas.microsoft.com/office/drawing/2014/main" id="{891FD165-FC5A-42DA-9C5C-D937E27D598B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83" name="Imagem 17">
            <a:extLst>
              <a:ext uri="{FF2B5EF4-FFF2-40B4-BE49-F238E27FC236}">
                <a16:creationId xmlns:a16="http://schemas.microsoft.com/office/drawing/2014/main" id="{38A53A48-E476-4B58-901B-B62D5DCC62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9</xdr:col>
      <xdr:colOff>255150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811650</xdr:colOff>
      <xdr:row>3</xdr:row>
      <xdr:rowOff>209552</xdr:rowOff>
    </xdr:from>
    <xdr:to>
      <xdr:col>12</xdr:col>
      <xdr:colOff>19050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12</xdr:col>
      <xdr:colOff>1676400</xdr:colOff>
      <xdr:row>3</xdr:row>
      <xdr:rowOff>171452</xdr:rowOff>
    </xdr:from>
    <xdr:to>
      <xdr:col>14</xdr:col>
      <xdr:colOff>198000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14</xdr:col>
      <xdr:colOff>1821996</xdr:colOff>
      <xdr:row>3</xdr:row>
      <xdr:rowOff>171452</xdr:rowOff>
    </xdr:from>
    <xdr:to>
      <xdr:col>16</xdr:col>
      <xdr:colOff>991296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62593</xdr:colOff>
      <xdr:row>3</xdr:row>
      <xdr:rowOff>171452</xdr:rowOff>
    </xdr:from>
    <xdr:to>
      <xdr:col>20</xdr:col>
      <xdr:colOff>146293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25</xdr:col>
      <xdr:colOff>535308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381250" y="0"/>
          <a:ext cx="29681808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381250" y="0"/>
          <a:ext cx="29677046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381250" y="0"/>
          <a:ext cx="29638946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381250" y="0"/>
          <a:ext cx="29653233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381250" y="0"/>
          <a:ext cx="29667521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BE500F5-1A0D-4796-9C08-8E44D1E41E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D0518CC4-0496-44F6-8D67-0D262158F6B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5A19C7-1001-436A-BA8D-DE7C0A488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3E0D13BD-169F-4A33-9A11-C41271ABF9E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CF633B45-696B-477C-87BB-6B5068106CAB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0CDF32F-A78D-4349-B5C7-9C4F3F30D7E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87DFE145-8D40-41BF-AED1-EDD1BE12856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4966CE-6D04-428C-AB33-5794901DB9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174893</xdr:colOff>
      <xdr:row>0</xdr:row>
      <xdr:rowOff>0</xdr:rowOff>
    </xdr:from>
    <xdr:to>
      <xdr:col>12</xdr:col>
      <xdr:colOff>20460</xdr:colOff>
      <xdr:row>3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9305E3B6-E1C9-4F42-A98D-C5340039FC0F}"/>
            </a:ext>
          </a:extLst>
        </xdr:cNvPr>
        <xdr:cNvGrpSpPr/>
      </xdr:nvGrpSpPr>
      <xdr:grpSpPr>
        <a:xfrm>
          <a:off x="9318893" y="0"/>
          <a:ext cx="1536255" cy="1143000"/>
          <a:chOff x="9566543" y="0"/>
          <a:chExt cx="1598167" cy="1162050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4AAE57E6-8297-488D-ADBA-CA01AE27BBF0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45826F2C-AC0A-418C-A951-F21B3D83DE32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4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76A07E-8328-4103-9627-5B75C2E3E6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268304</xdr:colOff>
      <xdr:row>0</xdr:row>
      <xdr:rowOff>0</xdr:rowOff>
    </xdr:from>
    <xdr:to>
      <xdr:col>14</xdr:col>
      <xdr:colOff>106798</xdr:colOff>
      <xdr:row>3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4B25F83B-7BA5-40F9-9652-7C8D6C21AE8D}"/>
            </a:ext>
          </a:extLst>
        </xdr:cNvPr>
        <xdr:cNvGrpSpPr/>
      </xdr:nvGrpSpPr>
      <xdr:grpSpPr>
        <a:xfrm>
          <a:off x="12865117" y="0"/>
          <a:ext cx="1529181" cy="1143000"/>
          <a:chOff x="5781229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DC296931-7859-46C4-9A40-D228279D1F8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41C7928-DAEF-4414-B518-AF24D347EEE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113546B-28D2-4EDA-B99C-86807D692F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518862</xdr:colOff>
      <xdr:row>0</xdr:row>
      <xdr:rowOff>0</xdr:rowOff>
    </xdr:from>
    <xdr:to>
      <xdr:col>15</xdr:col>
      <xdr:colOff>1992816</xdr:colOff>
      <xdr:row>3</xdr:row>
      <xdr:rowOff>0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64BE674D-79B8-4EDF-A5BF-4C3D85E6E4EA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468941</xdr:colOff>
      <xdr:row>2</xdr:row>
      <xdr:rowOff>384583</xdr:rowOff>
    </xdr:from>
    <xdr:to>
      <xdr:col>15</xdr:col>
      <xdr:colOff>2080827</xdr:colOff>
      <xdr:row>2</xdr:row>
      <xdr:rowOff>762890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54DDC4A8-11A9-4AB5-B8FF-3FB9ACC17B6F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958126</xdr:colOff>
      <xdr:row>0</xdr:row>
      <xdr:rowOff>136274</xdr:rowOff>
    </xdr:from>
    <xdr:to>
      <xdr:col>15</xdr:col>
      <xdr:colOff>1553550</xdr:colOff>
      <xdr:row>2</xdr:row>
      <xdr:rowOff>354262</xdr:rowOff>
    </xdr:to>
    <xdr:pic>
      <xdr:nvPicPr>
        <xdr:cNvPr id="3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8BF06-1CA3-4504-983C-027533E1D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</xdr:spPr>
    </xdr:pic>
    <xdr:clientData/>
  </xdr:twoCellAnchor>
  <xdr:twoCellAnchor editAs="absolute">
    <xdr:from>
      <xdr:col>16</xdr:col>
      <xdr:colOff>995170</xdr:colOff>
      <xdr:row>0</xdr:row>
      <xdr:rowOff>0</xdr:rowOff>
    </xdr:from>
    <xdr:to>
      <xdr:col>17</xdr:col>
      <xdr:colOff>1177980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69A7C7FE-1A37-4D43-B78A-99665B3283E9}"/>
            </a:ext>
          </a:extLst>
        </xdr:cNvPr>
        <xdr:cNvGrpSpPr/>
      </xdr:nvGrpSpPr>
      <xdr:grpSpPr>
        <a:xfrm>
          <a:off x="19926108" y="0"/>
          <a:ext cx="1540122" cy="114300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41B11160-3E25-47F6-9251-DA6F7D1636C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B07EE2FF-8228-4D00-B378-06383719BCB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2EC9289-A4EA-49A8-AFE3-EF33BCADF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740023</xdr:colOff>
      <xdr:row>0</xdr:row>
      <xdr:rowOff>0</xdr:rowOff>
    </xdr:from>
    <xdr:to>
      <xdr:col>19</xdr:col>
      <xdr:colOff>157984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6FBB366F-AC77-4F5C-A481-91FFFA103559}"/>
            </a:ext>
          </a:extLst>
        </xdr:cNvPr>
        <xdr:cNvGrpSpPr/>
      </xdr:nvGrpSpPr>
      <xdr:grpSpPr>
        <a:xfrm>
          <a:off x="23433336" y="0"/>
          <a:ext cx="1513461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382B7D9B-E823-4339-A4CA-ABDAFEADD89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73EF69D-9FCE-4429-BB96-1C40B3D6C5D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BF4D750-7FDD-4B27-B23B-17493388E5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367728</xdr:colOff>
      <xdr:row>0</xdr:row>
      <xdr:rowOff>0</xdr:rowOff>
    </xdr:from>
    <xdr:to>
      <xdr:col>25</xdr:col>
      <xdr:colOff>137097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19DEFE1-6B71-4737-A7D3-0C9C31B4A0D4}"/>
            </a:ext>
          </a:extLst>
        </xdr:cNvPr>
        <xdr:cNvGrpSpPr/>
      </xdr:nvGrpSpPr>
      <xdr:grpSpPr>
        <a:xfrm>
          <a:off x="26942478" y="0"/>
          <a:ext cx="1555307" cy="114300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DB3635A-5DF0-4541-A571-6106199E808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1FCF268-BA30-45E8-938F-EE2D4C4DA77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C5E608-C8E8-4E60-9DB3-EB6103825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346839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7707D75-8C7D-4133-B63C-ADF2AF5655FB}"/>
            </a:ext>
          </a:extLst>
        </xdr:cNvPr>
        <xdr:cNvGrpSpPr/>
      </xdr:nvGrpSpPr>
      <xdr:grpSpPr>
        <a:xfrm>
          <a:off x="30493464" y="0"/>
          <a:ext cx="1555307" cy="114300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BCC29E6-8D39-4045-8DF8-CDCC2A237CD2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4A2A74D-917B-4085-8E9E-8E9CA64A13F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8F2B3C61-C79A-4E71-9274-CC5FDCCA79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C6B5881-0F4A-4880-9F67-7761EFE77DB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FCBB4D0-F71B-4CA9-A5CD-C517CB4C12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B48B437-397C-4525-AB52-9F47CA6997A2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EE2312D-0CF8-4AFC-8E63-A08CD1B16246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F643E4-2CC8-4AAB-9259-DEA9005DB329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1D771491-7546-4AE5-8501-22A6D5786081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2B89D2C-E41A-4A7D-BECF-0840569239CD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8AB116-3953-4980-A928-FBD7BDC7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26F6444-EB54-44C2-9499-4035EE105BF6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16C020D-D294-47F6-BD75-994B6390C98E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494B93B-34DE-41EA-9BEE-3B6D275E614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2DCAEAE-9E32-498A-A92E-0EE7DFE26C78}"/>
            </a:ext>
          </a:extLst>
        </xdr:cNvPr>
        <xdr:cNvGrpSpPr/>
      </xdr:nvGrpSpPr>
      <xdr:grpSpPr>
        <a:xfrm>
          <a:off x="20007070" y="0"/>
          <a:ext cx="1478210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7FBAF80-71CF-4ED3-A98A-E0622B66D6C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C3FD430-8FCB-4D14-BFC4-AA6BF7F5CCC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AC74F398-A5C1-4E8B-88B3-33CCF8E5A5D9}"/>
            </a:ext>
          </a:extLst>
        </xdr:cNvPr>
        <xdr:cNvGrpSpPr/>
      </xdr:nvGrpSpPr>
      <xdr:grpSpPr>
        <a:xfrm>
          <a:off x="23480961" y="0"/>
          <a:ext cx="156108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622DF0D-4CD4-4C43-B575-25313FAA2BE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CE72061-0A4D-425C-9897-5154EA04D60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B8A4BA2-A43F-4BC8-9411-E47FF32876D4}"/>
            </a:ext>
          </a:extLst>
        </xdr:cNvPr>
        <xdr:cNvGrpSpPr/>
      </xdr:nvGrpSpPr>
      <xdr:grpSpPr>
        <a:xfrm>
          <a:off x="27080591" y="0"/>
          <a:ext cx="1498156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BEFBEDA-6A68-432D-BDED-0358C6BEECA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FE1A22E-40D1-4EF6-A651-6B8A85098D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C2B9454-FD76-4E6A-BDA4-F7D300DEE349}"/>
            </a:ext>
          </a:extLst>
        </xdr:cNvPr>
        <xdr:cNvGrpSpPr/>
      </xdr:nvGrpSpPr>
      <xdr:grpSpPr>
        <a:xfrm>
          <a:off x="30574427" y="0"/>
          <a:ext cx="1555306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81AE58E8-C55A-43F2-AE46-122CAEC4B60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0636194-5295-42DB-8A57-0E8D32D12D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14</xdr:row>
      <xdr:rowOff>323850</xdr:rowOff>
    </xdr:from>
    <xdr:to>
      <xdr:col>25</xdr:col>
      <xdr:colOff>247650</xdr:colOff>
      <xdr:row>53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51816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1276350</xdr:colOff>
      <xdr:row>8</xdr:row>
      <xdr:rowOff>19050</xdr:rowOff>
    </xdr:from>
    <xdr:to>
      <xdr:col>23</xdr:col>
      <xdr:colOff>0</xdr:colOff>
      <xdr:row>15</xdr:row>
      <xdr:rowOff>95250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6D7FE784-1C3F-4ACD-A006-E112BD975693}"/>
            </a:ext>
          </a:extLst>
        </xdr:cNvPr>
        <xdr:cNvSpPr txBox="1"/>
      </xdr:nvSpPr>
      <xdr:spPr>
        <a:xfrm>
          <a:off x="12420600" y="27051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ESTOQUE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1256718</xdr:colOff>
      <xdr:row>24</xdr:row>
      <xdr:rowOff>359178</xdr:rowOff>
    </xdr:from>
    <xdr:to>
      <xdr:col>8</xdr:col>
      <xdr:colOff>210131</xdr:colOff>
      <xdr:row>35</xdr:row>
      <xdr:rowOff>34158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45E50BE2-F6F5-496E-B6F3-03D930461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99918" y="8836428"/>
          <a:ext cx="3582563" cy="3656430"/>
        </a:xfrm>
        <a:prstGeom prst="rect">
          <a:avLst/>
        </a:prstGeom>
        <a:noFill/>
      </xdr:spPr>
    </xdr:pic>
    <xdr:clientData/>
  </xdr:twoCellAnchor>
  <xdr:twoCellAnchor>
    <xdr:from>
      <xdr:col>25</xdr:col>
      <xdr:colOff>3504618</xdr:colOff>
      <xdr:row>24</xdr:row>
      <xdr:rowOff>359178</xdr:rowOff>
    </xdr:from>
    <xdr:to>
      <xdr:col>31</xdr:col>
      <xdr:colOff>533981</xdr:colOff>
      <xdr:row>35</xdr:row>
      <xdr:rowOff>34158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5986575-ADCE-4909-87CC-8C973E89D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45918" y="8836428"/>
          <a:ext cx="3582563" cy="3656430"/>
        </a:xfrm>
        <a:prstGeom prst="rect">
          <a:avLst/>
        </a:prstGeom>
        <a:noFill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007070" y="0"/>
          <a:ext cx="1478210" cy="114300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3480961" y="0"/>
          <a:ext cx="156108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080591" y="0"/>
          <a:ext cx="1498156" cy="114300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0574427" y="0"/>
          <a:ext cx="1555306" cy="114300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19949920" y="0"/>
          <a:ext cx="1563935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3523823" y="0"/>
          <a:ext cx="156108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123453" y="0"/>
          <a:ext cx="1469582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0588714" y="0"/>
          <a:ext cx="1555307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E2CD9B3-273E-4667-A8A1-7AD4D645FF4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1EDE200-6609-4923-A2C3-74C7F63EE37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83762A-C1CC-4DD4-91E2-B3BD143731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9CDBC5F-AB2B-4D38-942B-01EAD06BD8E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C8C6F6C-A81F-4F26-90B9-D9668568AAF4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598562F-4D86-489C-BC71-69188302207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17E1134-3242-4D78-A029-67ED53E1D5B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98C16D7-8822-4400-A9C5-B46457920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F0B7622-8580-4A13-AD8C-0F2275472BA9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0283CFA-BB93-41F8-8BBC-457CCA2FF93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657889-DBFE-48D5-A794-764C3F2A1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041F00E-0BB8-4CB0-9EDB-65EB142B5798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CD1ECB-1429-4E20-931F-1AA8DAA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B591F60-349E-4DA3-887D-26B4E9166E66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CF10132-7344-4563-93D4-946754F57B52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610A66-F315-45D0-86CF-DA83BF2F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DF502EB-C6C4-48A1-90D9-BB53DA865B28}"/>
            </a:ext>
          </a:extLst>
        </xdr:cNvPr>
        <xdr:cNvGrpSpPr/>
      </xdr:nvGrpSpPr>
      <xdr:grpSpPr>
        <a:xfrm>
          <a:off x="19945158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4F9304F-63CE-4519-9804-816AE2C63E1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3341ABB-9FAB-47BC-BA3F-1310B3237C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99EFD71-3963-4B82-9890-1C5C824006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A0FE77F-D33F-47D9-A1CB-A6B6C6A6B4C3}"/>
            </a:ext>
          </a:extLst>
        </xdr:cNvPr>
        <xdr:cNvGrpSpPr/>
      </xdr:nvGrpSpPr>
      <xdr:grpSpPr>
        <a:xfrm>
          <a:off x="23576211" y="0"/>
          <a:ext cx="14658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99FBD9C-F87E-4EA9-97C5-EAE0DDE525B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D9A18E7-8166-4D98-A40D-F71E0D30B1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9FDC37-AC96-4932-9847-DAEBBFBF6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201F466-65DE-4DFE-9D81-478A5C789467}"/>
            </a:ext>
          </a:extLst>
        </xdr:cNvPr>
        <xdr:cNvGrpSpPr/>
      </xdr:nvGrpSpPr>
      <xdr:grpSpPr>
        <a:xfrm>
          <a:off x="27037728" y="0"/>
          <a:ext cx="1569594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08477B7-ABF8-4FE6-A279-59D6171A3E5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1B0E8B6-D8A1-4163-98F1-EB967F3F70DE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8C0502-12D0-4CB8-A740-FE0E1CF25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BE39405-971B-4C24-9BFC-1491362B6831}"/>
            </a:ext>
          </a:extLst>
        </xdr:cNvPr>
        <xdr:cNvGrpSpPr/>
      </xdr:nvGrpSpPr>
      <xdr:grpSpPr>
        <a:xfrm>
          <a:off x="30645864" y="0"/>
          <a:ext cx="1483869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6801DDF7-A12C-4EFA-A452-AA8BF735355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8402D20-7A4B-47DB-96F6-5B4CB90FFCC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6FD48C7C-1F29-4BF5-803A-71FC368B56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15</xdr:row>
      <xdr:rowOff>76200</xdr:rowOff>
    </xdr:from>
    <xdr:to>
      <xdr:col>19</xdr:col>
      <xdr:colOff>438150</xdr:colOff>
      <xdr:row>53</xdr:row>
      <xdr:rowOff>275122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52959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1562682</xdr:colOff>
      <xdr:row>7</xdr:row>
      <xdr:rowOff>342900</xdr:rowOff>
    </xdr:from>
    <xdr:to>
      <xdr:col>16</xdr:col>
      <xdr:colOff>3429582</xdr:colOff>
      <xdr:row>15</xdr:row>
      <xdr:rowOff>57150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82A981D0-848C-4345-B128-6A229CDD8F2D}"/>
            </a:ext>
          </a:extLst>
        </xdr:cNvPr>
        <xdr:cNvSpPr txBox="1"/>
      </xdr:nvSpPr>
      <xdr:spPr>
        <a:xfrm>
          <a:off x="12706932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RH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38100</xdr:colOff>
      <xdr:row>24</xdr:row>
      <xdr:rowOff>321078</xdr:rowOff>
    </xdr:from>
    <xdr:to>
      <xdr:col>8</xdr:col>
      <xdr:colOff>496463</xdr:colOff>
      <xdr:row>34</xdr:row>
      <xdr:rowOff>358007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1A8B0C1-A404-4927-816D-A964C1A9D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86250" y="8798328"/>
          <a:ext cx="3582563" cy="3656429"/>
        </a:xfrm>
        <a:prstGeom prst="rect">
          <a:avLst/>
        </a:prstGeom>
        <a:noFill/>
      </xdr:spPr>
    </xdr:pic>
    <xdr:clientData/>
  </xdr:twoCellAnchor>
  <xdr:twoCellAnchor>
    <xdr:from>
      <xdr:col>23</xdr:col>
      <xdr:colOff>647700</xdr:colOff>
      <xdr:row>24</xdr:row>
      <xdr:rowOff>321078</xdr:rowOff>
    </xdr:from>
    <xdr:to>
      <xdr:col>25</xdr:col>
      <xdr:colOff>115463</xdr:colOff>
      <xdr:row>34</xdr:row>
      <xdr:rowOff>358007</xdr:rowOff>
    </xdr:to>
    <xdr:pic>
      <xdr:nvPicPr>
        <xdr:cNvPr id="47" name="Imagem 17">
          <a:extLst>
            <a:ext uri="{FF2B5EF4-FFF2-40B4-BE49-F238E27FC236}">
              <a16:creationId xmlns:a16="http://schemas.microsoft.com/office/drawing/2014/main" id="{CFB22664-93C8-4082-B995-91B7CF63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432250" y="8798328"/>
          <a:ext cx="3582563" cy="3656429"/>
        </a:xfrm>
        <a:prstGeom prst="rect">
          <a:avLst/>
        </a:prstGeom>
        <a:noFill/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19945158" y="0"/>
          <a:ext cx="1592510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3576211" y="0"/>
          <a:ext cx="146583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037728" y="0"/>
          <a:ext cx="156959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0645864" y="0"/>
          <a:ext cx="1483869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045170" y="0"/>
          <a:ext cx="1449635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3490486" y="0"/>
          <a:ext cx="1575373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075828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0583952" y="0"/>
          <a:ext cx="1555306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19959445" y="0"/>
          <a:ext cx="1530598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3476198" y="0"/>
          <a:ext cx="1589661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018678" y="0"/>
          <a:ext cx="1531494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0588714" y="0"/>
          <a:ext cx="1598169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3BC4571-A299-4C32-9B21-33153CED9B4A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465C5C58-B922-4713-94C7-CD9185507667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FA71C7-2B13-4EAB-B4B5-588288867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834E01D-E2DB-4C99-95D5-2847CF1C311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4F90988-21F3-4C1A-ADEA-CF6C66839ED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46E46A4-3C8B-4DDA-889F-C6FC396000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B6CDB6BD-EAE9-465F-B98A-782D92ECEF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C89B50-6B10-486E-AB00-3049237EBE6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047240F-DDDB-454D-A864-8C8DF090ED3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C3E61C-357A-4770-99C2-59A9AA2F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3884C30-36E5-40B7-B602-F0475AAC0C8D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1EF63FC-FA2B-466E-8AB3-C62567AD5E84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940C582-0F63-4984-9E45-F174BC1AF68A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F9F955-93DA-4B7B-8CA6-9C9180CDF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F7D76F7-DC03-4244-98C4-97666FF8AAB3}"/>
            </a:ext>
          </a:extLst>
        </xdr:cNvPr>
        <xdr:cNvGrpSpPr/>
      </xdr:nvGrpSpPr>
      <xdr:grpSpPr>
        <a:xfrm>
          <a:off x="12836542" y="0"/>
          <a:ext cx="153394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2E69ED-CBE3-486D-8276-BF9C3E7114E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3153655-0D48-4A1B-BDE7-D0BF79CDED8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6287B19-97DC-40B9-8936-37CACEF9E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FC77F513-CB84-41A3-AC4C-BFEF6BA51663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2DF2A64-5EE3-4137-AFA8-7E9FB83F53A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66DC67B-E864-45E8-817A-7F69E7FB78E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8FB404-E988-4713-AFE8-A1A8957C4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F4877AE-2545-4977-AC78-800C0A72BB96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8219D730-482A-4E5D-9BA5-300589A1ABE6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222E42-D2BE-4684-9F70-946627D27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3330805-1912-4F11-AFF6-7AA660872D28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579AF2A1-C9B7-482E-9D89-5D7090DEF6F6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1A55EB-A489-4C4D-BE10-34FE3896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F76E259-59EE-449A-81B9-F5F8046465FE}"/>
            </a:ext>
          </a:extLst>
        </xdr:cNvPr>
        <xdr:cNvGrpSpPr/>
      </xdr:nvGrpSpPr>
      <xdr:grpSpPr>
        <a:xfrm>
          <a:off x="26994866" y="0"/>
          <a:ext cx="159816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7F0D300-280D-42DE-A966-17C966CB8CC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178919A-5DA7-4676-9305-00F00244F0E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9BC28-A749-4258-9315-A60A31210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9B780B22-7872-4DE1-8EEB-4558A49F4FF6}"/>
            </a:ext>
          </a:extLst>
        </xdr:cNvPr>
        <xdr:cNvGrpSpPr/>
      </xdr:nvGrpSpPr>
      <xdr:grpSpPr>
        <a:xfrm>
          <a:off x="30531564" y="0"/>
          <a:ext cx="1555307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5119F51-85F9-4378-8005-3B1B64D6528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3D672DA5-8838-4872-A06B-D7A98AC8245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B1F702EF-4D23-4255-8FFA-6A11B30BCF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1409700</xdr:colOff>
      <xdr:row>15</xdr:row>
      <xdr:rowOff>0</xdr:rowOff>
    </xdr:from>
    <xdr:to>
      <xdr:col>21</xdr:col>
      <xdr:colOff>381000</xdr:colOff>
      <xdr:row>53</xdr:row>
      <xdr:rowOff>198922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535733</xdr:colOff>
      <xdr:row>8</xdr:row>
      <xdr:rowOff>0</xdr:rowOff>
    </xdr:from>
    <xdr:to>
      <xdr:col>18</xdr:col>
      <xdr:colOff>154733</xdr:colOff>
      <xdr:row>15</xdr:row>
      <xdr:rowOff>76200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B3CFEE21-BA4D-4FD8-BCBE-8FDF803B91DD}"/>
            </a:ext>
          </a:extLst>
        </xdr:cNvPr>
        <xdr:cNvSpPr txBox="1"/>
      </xdr:nvSpPr>
      <xdr:spPr>
        <a:xfrm>
          <a:off x="12365783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FINANÇAS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1578502</xdr:colOff>
      <xdr:row>25</xdr:row>
      <xdr:rowOff>14513</xdr:rowOff>
    </xdr:from>
    <xdr:to>
      <xdr:col>5</xdr:col>
      <xdr:colOff>64462</xdr:colOff>
      <xdr:row>34</xdr:row>
      <xdr:rowOff>340721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CB3BC692-38B2-4EE2-A66C-2CD8A64D4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6902" y="8853713"/>
          <a:ext cx="3438960" cy="3583758"/>
        </a:xfrm>
        <a:prstGeom prst="rect">
          <a:avLst/>
        </a:prstGeom>
        <a:noFill/>
      </xdr:spPr>
    </xdr:pic>
    <xdr:clientData/>
  </xdr:twoCellAnchor>
  <xdr:twoCellAnchor>
    <xdr:from>
      <xdr:col>23</xdr:col>
      <xdr:colOff>1902352</xdr:colOff>
      <xdr:row>25</xdr:row>
      <xdr:rowOff>14513</xdr:rowOff>
    </xdr:from>
    <xdr:to>
      <xdr:col>27</xdr:col>
      <xdr:colOff>7312</xdr:colOff>
      <xdr:row>34</xdr:row>
      <xdr:rowOff>340721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0D967B19-796C-4542-9B59-EB7711F63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2902" y="8853713"/>
          <a:ext cx="3438960" cy="3583758"/>
        </a:xfrm>
        <a:prstGeom prst="rect">
          <a:avLst/>
        </a:prstGeom>
        <a:noFill/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CDBAC92-CD02-476D-AF4A-707D3E0EFA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2836542" y="0"/>
          <a:ext cx="153394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640391</xdr:colOff>
      <xdr:row>0</xdr:row>
      <xdr:rowOff>0</xdr:rowOff>
    </xdr:from>
    <xdr:to>
      <xdr:col>14</xdr:col>
      <xdr:colOff>118677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356641" y="0"/>
          <a:ext cx="1549974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758741</xdr:colOff>
      <xdr:row>0</xdr:row>
      <xdr:rowOff>0</xdr:rowOff>
    </xdr:from>
    <xdr:to>
      <xdr:col>16</xdr:col>
      <xdr:colOff>500477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709420</xdr:colOff>
      <xdr:row>2</xdr:row>
      <xdr:rowOff>384583</xdr:rowOff>
    </xdr:from>
    <xdr:to>
      <xdr:col>16</xdr:col>
      <xdr:colOff>587430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1197586</xdr:colOff>
      <xdr:row>0</xdr:row>
      <xdr:rowOff>136274</xdr:rowOff>
    </xdr:from>
    <xdr:to>
      <xdr:col>16</xdr:col>
      <xdr:colOff>61629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19</xdr:col>
      <xdr:colOff>389206</xdr:colOff>
      <xdr:row>0</xdr:row>
      <xdr:rowOff>0</xdr:rowOff>
    </xdr:from>
    <xdr:to>
      <xdr:col>21</xdr:col>
      <xdr:colOff>623637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19</xdr:col>
      <xdr:colOff>339973</xdr:colOff>
      <xdr:row>2</xdr:row>
      <xdr:rowOff>384583</xdr:rowOff>
    </xdr:from>
    <xdr:to>
      <xdr:col>21</xdr:col>
      <xdr:colOff>710434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20</xdr:col>
      <xdr:colOff>217666</xdr:colOff>
      <xdr:row>0</xdr:row>
      <xdr:rowOff>136274</xdr:rowOff>
    </xdr:from>
    <xdr:to>
      <xdr:col>21</xdr:col>
      <xdr:colOff>185574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958278</xdr:colOff>
      <xdr:row>0</xdr:row>
      <xdr:rowOff>0</xdr:rowOff>
    </xdr:from>
    <xdr:to>
      <xdr:col>23</xdr:col>
      <xdr:colOff>2556447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7009153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480189</xdr:colOff>
      <xdr:row>0</xdr:row>
      <xdr:rowOff>0</xdr:rowOff>
    </xdr:from>
    <xdr:to>
      <xdr:col>28</xdr:col>
      <xdr:colOff>249558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0531564" y="0"/>
          <a:ext cx="1555307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4CCCB25-E24B-48CB-8393-8F2A43D22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428079" y="0"/>
          <a:ext cx="161188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6971053" y="0"/>
          <a:ext cx="155054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0531564" y="0"/>
          <a:ext cx="1569594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7F46F70-E375-41B5-BB7A-5203D29919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2793679" y="0"/>
          <a:ext cx="155299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385216" y="0"/>
          <a:ext cx="1530924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6947241" y="0"/>
          <a:ext cx="156959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0526802" y="0"/>
          <a:ext cx="1598169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77BEC7F-B84D-4616-ABBF-2FE2E09CCD8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5130CB73-7CB1-4A92-89B5-D246F61322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E8CF82-3EC3-4A1C-AC10-D522F6E88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E5BB574-E329-435D-A4F0-74B7CB93DF2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F56ACFB5-D050-4A21-B0CB-6387474C63E2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B36C216-2FE5-437C-A2B3-2E635286611A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5D3D41-68FC-4005-BB08-484B08E2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033FD16-E930-4BF9-BE46-B1E6302C4F46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C952D8B-7C8A-4232-B8AC-B50E6E81571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FF35378-75FD-4174-8970-0712F2D97573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815A45-0C62-4789-9074-FA96D7EEF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F2F2125-DFF3-4380-A4CF-D760848D4B40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3F63B15-BA65-4083-B9AB-E266074B815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A1DAF88-D56F-441E-843C-1CAE5A0B097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A7D733-EAF8-4CC5-B59E-64294D68C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40F052C-E3EC-4ECD-B71F-ECF75474CF0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A078A7D-97DD-4B1A-B779-3222E0A6BE9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BAE5E03-E6CD-40D0-BF7A-51010665676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FAC914-2630-4BE3-8898-708569F3B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2F63A7BF-D9BE-4BF0-8DEB-12BEFA65CB2D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490CA0B-AD87-453F-910C-B6CA027076A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34775F37-6327-493A-8FDC-4C6E081364F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0AB5AB-191F-426D-96AE-8173996B2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37DFE93D-2A47-4B7E-B6FD-37445D6BE0A4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7B8FA49-1E15-4B71-A6CE-B6E951261D02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F42E6-0D6A-4B7C-9C0B-CC18D9A0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FBA535-F8C0-4CFA-844B-96C95D2E75C3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BA07CAC-DE4C-46A9-AD0F-CB0C106EA83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257622-B45E-4F16-9076-EF2ACDE2DD2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E45C1A5-2539-4D67-A45E-9A863880A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4FC01CAC-88CC-46E1-9CAB-0E19162D3075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2B98FCD2-21D2-401F-B712-EC35ECBCEE4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AC07692E-C12A-4355-A95F-9E0AE0209B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C7A300B-7C6D-4512-AEC5-28C9FA2BEA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1257300</xdr:colOff>
      <xdr:row>16</xdr:row>
      <xdr:rowOff>133350</xdr:rowOff>
    </xdr:from>
    <xdr:to>
      <xdr:col>14</xdr:col>
      <xdr:colOff>781050</xdr:colOff>
      <xdr:row>54</xdr:row>
      <xdr:rowOff>332272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57150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364283</xdr:colOff>
      <xdr:row>8</xdr:row>
      <xdr:rowOff>152400</xdr:rowOff>
    </xdr:from>
    <xdr:to>
      <xdr:col>13</xdr:col>
      <xdr:colOff>1983533</xdr:colOff>
      <xdr:row>15</xdr:row>
      <xdr:rowOff>228600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E306E1E2-5C11-409C-87FD-9DE22D9EBBFA}"/>
            </a:ext>
          </a:extLst>
        </xdr:cNvPr>
        <xdr:cNvSpPr txBox="1"/>
      </xdr:nvSpPr>
      <xdr:spPr>
        <a:xfrm>
          <a:off x="12194333" y="28384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COMPRAS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1390650</xdr:colOff>
      <xdr:row>25</xdr:row>
      <xdr:rowOff>166913</xdr:rowOff>
    </xdr:from>
    <xdr:to>
      <xdr:col>4</xdr:col>
      <xdr:colOff>4862414</xdr:colOff>
      <xdr:row>35</xdr:row>
      <xdr:rowOff>131171</xdr:rowOff>
    </xdr:to>
    <xdr:pic>
      <xdr:nvPicPr>
        <xdr:cNvPr id="48" name="Imagem 17">
          <a:extLst>
            <a:ext uri="{FF2B5EF4-FFF2-40B4-BE49-F238E27FC236}">
              <a16:creationId xmlns:a16="http://schemas.microsoft.com/office/drawing/2014/main" id="{EFD6EF70-06A1-4F62-9FF2-FE300449B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29050" y="9006113"/>
          <a:ext cx="3471764" cy="3583758"/>
        </a:xfrm>
        <a:prstGeom prst="rect">
          <a:avLst/>
        </a:prstGeom>
        <a:noFill/>
      </xdr:spPr>
    </xdr:pic>
    <xdr:clientData/>
  </xdr:twoCellAnchor>
  <xdr:twoCellAnchor>
    <xdr:from>
      <xdr:col>15</xdr:col>
      <xdr:colOff>2038350</xdr:colOff>
      <xdr:row>25</xdr:row>
      <xdr:rowOff>166913</xdr:rowOff>
    </xdr:from>
    <xdr:to>
      <xdr:col>16</xdr:col>
      <xdr:colOff>480914</xdr:colOff>
      <xdr:row>35</xdr:row>
      <xdr:rowOff>131171</xdr:rowOff>
    </xdr:to>
    <xdr:pic>
      <xdr:nvPicPr>
        <xdr:cNvPr id="49" name="Imagem 17">
          <a:extLst>
            <a:ext uri="{FF2B5EF4-FFF2-40B4-BE49-F238E27FC236}">
              <a16:creationId xmlns:a16="http://schemas.microsoft.com/office/drawing/2014/main" id="{9D64A85B-6C72-4FE6-826F-7BC1886C1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975050" y="9006113"/>
          <a:ext cx="3471764" cy="3583758"/>
        </a:xfrm>
        <a:prstGeom prst="rect">
          <a:avLst/>
        </a:prstGeom>
        <a:noFill/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C00CF96-F69C-4CFB-B68E-EA5C2816606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46E750-0121-4F6C-B6E3-0CD157561CC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6C59BC-409D-4D0D-8456-64F6DD50F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E5F68BE-52E3-4DFF-B7FE-366F633E77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5FC8DB3-61D5-418B-828B-66B48CE2C91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D7E87DCD-AB9E-4E09-9CDB-5E74E4A3F5FC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67D2F-1030-4819-80A3-29F106A92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122864C-47D4-41AC-9877-2176DD006F3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CFF071-75BB-4108-A785-81C262B592A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15F9FF9-8944-4CAC-BFF7-9C34D97B78DB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683C47-CCCB-4581-8C87-5299DDCB4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67FCEE7-B83E-40CC-8033-635F44FFA62D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D472E35-0322-434A-BAD6-583B18EF6B8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946920D-AF54-46C9-A3F8-D0C21A8C578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63EE59-0A6E-453D-8146-A94BC32136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49E514-1394-44D8-AC4B-C1C5BBDF5ABD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0A17C05-0E68-4E21-AF3C-A11EE30AEA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AADB612-533C-4BA7-AB3A-A56E89AB794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A415D2C-AA7D-451B-BEB1-35BD7E196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890B27A4-80BB-43FD-AD3C-0EA880EE5843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EAF4DB-62A1-47F6-BD2E-AE60A6FF2F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3EFFC2E-6C63-4E37-919F-2CB3659D3A2A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A45D8A-8F4A-43D6-85CF-7AEF3E060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3F35492-FFD0-442B-B25E-568B58B7E56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303DC4A5-E058-4001-8CA0-348D1BC38924}"/>
            </a:ext>
          </a:extLst>
        </xdr:cNvPr>
        <xdr:cNvSpPr txBox="1"/>
      </xdr:nvSpPr>
      <xdr:spPr>
        <a:xfrm rot="10800000" flipH="1" flipV="1">
          <a:off x="2409913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4B59D-6DDA-4345-B3AB-2F615AE6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01D6369-7863-48D4-B67F-41F559FC91E2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876C235-4650-466E-9854-5F964DA07D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6C33E76-4026-483B-A93F-C10931BB4C6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0C154DC-9A6E-4C62-86C5-1851A7C4B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D4C716EF-93B1-42D8-AD52-DCC61558EE59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8BFBECF-B09A-476A-8BA8-95ACD8938FA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67F9333-A85A-477C-86B4-679E01E5152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79DC6F1-6E8C-4F1B-871C-4331170F62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0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B43FC-1998-4DE0-B19E-2C56B17D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C7F9D6E-D88A-4DD0-A90B-30A35151901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4158421-89B1-49D5-AD89-4640DEE89E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AB3A4-6C42-4593-A628-F37A12CB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56D72CD-2501-4609-B151-BC8C0CF7EC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250983C-13F0-4B6D-B1AF-CF3EC126D2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9F822E1-A075-4B8A-BA79-5BD3B443D924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E05F1-B743-4149-908C-585A2B79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7C27F721-CB52-4ABB-ACE6-BCD9CAA81B41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B9CBE5C-3109-4453-931B-5E1B82DB9A9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94D1A03-556F-412B-AC87-94299DF9386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41FE21-4D4F-4CC0-BEB1-BEBDD06E7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2359042</xdr:colOff>
      <xdr:row>0</xdr:row>
      <xdr:rowOff>0</xdr:rowOff>
    </xdr:from>
    <xdr:to>
      <xdr:col>8</xdr:col>
      <xdr:colOff>530661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85D8A21-4C93-4B48-BC87-2EF04100F007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65A4336-C9FD-4A5C-B3CF-ED9310AA772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01DF942-BBFE-402E-B1B4-7B5263EFDFD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6AAE0C-8DA8-43A6-93FD-D5D299C7B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2521579</xdr:colOff>
      <xdr:row>0</xdr:row>
      <xdr:rowOff>0</xdr:rowOff>
    </xdr:from>
    <xdr:to>
      <xdr:col>9</xdr:col>
      <xdr:colOff>1518852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6F02E98-CF04-462C-8759-E1B337D2952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4660DC-D82D-4BD5-B2FF-79A5A04707B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52F3B2-9A45-4923-93AE-D729BA6D685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263EA1E-C395-4969-BDFF-9756DDE47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3466908</xdr:colOff>
      <xdr:row>0</xdr:row>
      <xdr:rowOff>0</xdr:rowOff>
    </xdr:from>
    <xdr:to>
      <xdr:col>10</xdr:col>
      <xdr:colOff>315968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E172ADA-05E2-408D-87C1-7442A6137332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33A91DF2-BA41-402D-A7E8-1F12864E7CD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AA8AF18-8E21-4E9C-8FBC-262B57515F9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8B0BDF-8C25-435B-9277-69124D169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498744</xdr:colOff>
      <xdr:row>0</xdr:row>
      <xdr:rowOff>0</xdr:rowOff>
    </xdr:from>
    <xdr:to>
      <xdr:col>11</xdr:col>
      <xdr:colOff>1866650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5046D25C-76A5-468F-A283-75C453C03D31}"/>
            </a:ext>
          </a:extLst>
        </xdr:cNvPr>
        <xdr:cNvSpPr/>
      </xdr:nvSpPr>
      <xdr:spPr>
        <a:xfrm>
          <a:off x="24204564" y="0"/>
          <a:ext cx="136790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449511</xdr:colOff>
      <xdr:row>2</xdr:row>
      <xdr:rowOff>384583</xdr:rowOff>
    </xdr:from>
    <xdr:to>
      <xdr:col>11</xdr:col>
      <xdr:colOff>1953447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CE28964F-8CC5-4118-85D8-EF40DF2BD7D2}"/>
            </a:ext>
          </a:extLst>
        </xdr:cNvPr>
        <xdr:cNvSpPr txBox="1"/>
      </xdr:nvSpPr>
      <xdr:spPr>
        <a:xfrm rot="10800000" flipH="1" flipV="1">
          <a:off x="24155331" y="750343"/>
          <a:ext cx="150393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936804</xdr:colOff>
      <xdr:row>0</xdr:row>
      <xdr:rowOff>136274</xdr:rowOff>
    </xdr:from>
    <xdr:to>
      <xdr:col>11</xdr:col>
      <xdr:colOff>1428587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4917A-5D1D-433D-B14E-50CF0EA1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42624" y="136274"/>
          <a:ext cx="49178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3925316</xdr:colOff>
      <xdr:row>0</xdr:row>
      <xdr:rowOff>0</xdr:rowOff>
    </xdr:from>
    <xdr:to>
      <xdr:col>12</xdr:col>
      <xdr:colOff>1284860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9772C4FE-C4E9-4B72-8127-3C84886F8480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62FFABA3-D681-455A-9CAE-270BF69CB20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A1C5EE8A-F020-4CCB-8BF8-DCDD5E1024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A4AB2-2E36-4CBF-B836-020303CA6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1037402</xdr:colOff>
      <xdr:row>0</xdr:row>
      <xdr:rowOff>0</xdr:rowOff>
    </xdr:from>
    <xdr:to>
      <xdr:col>14</xdr:col>
      <xdr:colOff>587696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F01DAA6-D9F7-4D14-8B19-2F87835F9B4D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9711E3E-E95E-4E87-9A62-32D39C4C94A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E218793-8030-463E-8E70-631029E01D0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590113F-92FF-4193-9A31-37830A3D42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0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0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0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0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0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0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4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4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4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4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9CC5649-9F17-4441-80ED-BBBA98D9263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27103D3-6069-4E5E-88D3-C979064459B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BFBE395-DB06-4BA3-A93C-B8AC28C09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2835E5CA-15A6-442A-80A1-BA723492475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DAC72F8-1018-4124-80A5-46D035D9C96A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66F63D-A9F0-4D99-8A40-E24615D296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8EFC45-2248-460D-B75D-5251A5EFD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E8E6E7E4-4C74-4770-B1A5-AAD2846CFB35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D097893-9154-4BD5-B2EB-E7A92248EF3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5A12340-2DA5-42D0-96C3-DCF2AA022E8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70E6F-4F2C-432D-9131-98CE1B1FD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C2D7B5C-083F-4515-B473-3D5793DB688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F0A65FD-08A2-4667-9BDC-C9B94F1A93F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D0C7C1A-92DD-4FEE-A4CF-0D0BE0B669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8FAF6E-7DF1-4C9C-9C12-9C96249AD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9C9566-077F-4763-BFDB-90A7D4423C4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9DE8F79-59B2-4F85-B99B-5D33694F7D6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CA1BD02-C5CD-4052-BB5F-0FA4D1CCBCAB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21B5F5-813A-4629-AD8D-7749574B3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99B53B8-5143-4745-A2D1-D0F463BAA9CE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CA74B16D-1510-4496-BC6B-922411C742E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B1BA3E4-011D-495D-A37B-06416F34C3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03A4C2-E195-4756-A0FE-31776D0BF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AEF45D5D-5E1E-4D3D-91CB-9C29802C088E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C52D60C-F3C9-4B01-9CFB-3355FE3869C6}"/>
            </a:ext>
          </a:extLst>
        </xdr:cNvPr>
        <xdr:cNvSpPr txBox="1"/>
      </xdr:nvSpPr>
      <xdr:spPr>
        <a:xfrm rot="10800000" flipH="1" flipV="1">
          <a:off x="241067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CD6DA-B488-4604-8F77-3B13EFE92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650135CC-676F-4330-9C39-D637264942FF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33A55235-2ED3-4BDF-9D43-66C2E39E651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1DFCF0E0-DE53-48D0-B767-F50AFFF62F2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6521B1-81BE-4CFE-BE47-272684657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31EDF51E-31A6-4BB6-A483-A7CBD7848DB9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92BFCA1-3F6A-4446-A89D-1ED56297AB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41CF2156-CD18-4160-885F-A9741726409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FC8F3214-FF60-4AD1-B85F-8333FA4B87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2432605-FEC2-45C4-9E46-77B396FC3AB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090A2D9-C15B-4A92-BA7A-118A0AFE7F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A60834A-8C8A-43A3-BC5E-B38A157B9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BF042E33-5964-4835-AB0A-BA27FD630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BCF4BF4-21AA-4923-BCFB-BF6925AB71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5C84FB6-0121-4207-B70C-E5C1FE461A26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228C3-6CE1-417D-8C82-19CC862AD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7258144-6157-4041-943B-E71D6FA0D8FA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FE881BD-7F43-4727-B987-E326467959B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1EB51DD2-72D5-4A0F-B83E-7E596DE45A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891C4-973D-4B77-8D3B-F5EBC072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5C363B2-852A-4076-83F6-34D9E026EC7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1493698-80D6-4607-8E73-FD43C0A0690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D73C8B2-4CD6-4CC2-90D7-233E9044012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927E5-BE15-43E9-906B-DD4601805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2189DD1-2884-42A5-BFBC-E44959BFE4F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F267656-CA31-402B-8FD7-23DC3D04F25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D970A07-5740-41D1-9DEE-B922B5191069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1A1F7A-5C85-409C-995A-E8B6D6B07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28DC884-1401-42B2-8C29-570D7FAD7F5B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7E2CE00-48F8-4A44-BDDD-518FA66E569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67D713CC-3B86-4182-B868-70216D3F752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A64618-F28E-4D3A-823C-23A23C525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FCCAEE6-BB24-415A-B946-E1118E6DF0AC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1B843F5-B759-4D04-8B82-134EB9EAE302}"/>
            </a:ext>
          </a:extLst>
        </xdr:cNvPr>
        <xdr:cNvSpPr txBox="1"/>
      </xdr:nvSpPr>
      <xdr:spPr>
        <a:xfrm rot="10800000" flipH="1" flipV="1">
          <a:off x="2410675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F712CE-859E-4DBE-96C4-217BE8D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0C328F-FC53-4F62-B6FB-296C5A6BF928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7B5CA3BA-B909-4487-ACA5-16501DA076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3D59AEF7-D634-4E5D-97FD-91433DAD9F0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B936E2-C8DB-4585-A09B-847F7BD28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C7BF5F9-0196-4E29-BE01-05244D35317C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E34DFE9-CB6E-48E5-80A7-F74090BF55A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506176F0-59AA-41E7-AF25-4A8EC989028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AC622704-8915-4A65-96B5-FA532D6FB7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0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960A4B1-5D5A-408C-93CA-0E6548BB0C9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C482E92-19D6-4077-9887-39F5FB0F0F4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70A70F-F1A5-4A04-B8AF-7E083D962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1AC38AC-D8AB-45CC-8D1D-6AFEFC814F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579087</xdr:colOff>
      <xdr:row>0</xdr:row>
      <xdr:rowOff>0</xdr:rowOff>
    </xdr:from>
    <xdr:to>
      <xdr:col>6</xdr:col>
      <xdr:colOff>1091038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9E72FDC7-F48F-44D6-8384-EE5807EFDCED}"/>
            </a:ext>
          </a:extLst>
        </xdr:cNvPr>
        <xdr:cNvSpPr/>
      </xdr:nvSpPr>
      <xdr:spPr>
        <a:xfrm>
          <a:off x="5966427" y="0"/>
          <a:ext cx="14492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512436</xdr:colOff>
      <xdr:row>2</xdr:row>
      <xdr:rowOff>384583</xdr:rowOff>
    </xdr:from>
    <xdr:to>
      <xdr:col>6</xdr:col>
      <xdr:colOff>1160538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1D6F436-0848-40D7-9EDE-D38C4A98D6E3}"/>
            </a:ext>
          </a:extLst>
        </xdr:cNvPr>
        <xdr:cNvSpPr txBox="1"/>
      </xdr:nvSpPr>
      <xdr:spPr>
        <a:xfrm rot="10800000" flipH="1" flipV="1">
          <a:off x="5899776" y="750343"/>
          <a:ext cx="158536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75588</xdr:colOff>
      <xdr:row>0</xdr:row>
      <xdr:rowOff>126203</xdr:rowOff>
    </xdr:from>
    <xdr:to>
      <xdr:col>6</xdr:col>
      <xdr:colOff>661087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181F33-8F8B-4159-A39F-6B55F361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188" y="126203"/>
          <a:ext cx="585499" cy="603889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1822718</xdr:colOff>
      <xdr:row>0</xdr:row>
      <xdr:rowOff>0</xdr:rowOff>
    </xdr:from>
    <xdr:to>
      <xdr:col>9</xdr:col>
      <xdr:colOff>39510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176A13-9684-4D43-B3B6-A184F10D3130}"/>
            </a:ext>
          </a:extLst>
        </xdr:cNvPr>
        <xdr:cNvGrpSpPr/>
      </xdr:nvGrpSpPr>
      <xdr:grpSpPr>
        <a:xfrm>
          <a:off x="9252218" y="0"/>
          <a:ext cx="1598167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99F2C1F-8595-4B27-880B-0C8F2F30BB7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4E5373B-E7E4-4FB8-B2C1-FD37011952C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5C6A73-07AD-49A7-9F2C-C247A1FB0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363554</xdr:colOff>
      <xdr:row>0</xdr:row>
      <xdr:rowOff>0</xdr:rowOff>
    </xdr:from>
    <xdr:to>
      <xdr:col>10</xdr:col>
      <xdr:colOff>1911786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2F3DF24-2A5E-4E63-9AAE-79E9793510FE}"/>
            </a:ext>
          </a:extLst>
        </xdr:cNvPr>
        <xdr:cNvGrpSpPr/>
      </xdr:nvGrpSpPr>
      <xdr:grpSpPr>
        <a:xfrm>
          <a:off x="12841304" y="0"/>
          <a:ext cx="1548232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9A0F90-AE73-4EB0-8400-C14AEB0DE17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C77833-D743-451F-8DDD-84D82BC6DE7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350253-89CF-4985-B88C-2E3B522E7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1002341</xdr:colOff>
      <xdr:row>0</xdr:row>
      <xdr:rowOff>0</xdr:rowOff>
    </xdr:from>
    <xdr:to>
      <xdr:col>11</xdr:col>
      <xdr:colOff>2585652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4FE67A8-50DF-4681-8914-4200FBBA9117}"/>
            </a:ext>
          </a:extLst>
        </xdr:cNvPr>
        <xdr:cNvGrpSpPr/>
      </xdr:nvGrpSpPr>
      <xdr:grpSpPr>
        <a:xfrm>
          <a:off x="16337591" y="0"/>
          <a:ext cx="1583311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0EF29BE-A50C-4D26-BBC4-8C4D8A6C49A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C667568-1591-4307-9F05-DFFA781F6FC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5AC58B0-163E-4EB6-89BD-9BE19037A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647507</xdr:colOff>
      <xdr:row>0</xdr:row>
      <xdr:rowOff>0</xdr:rowOff>
    </xdr:from>
    <xdr:to>
      <xdr:col>13</xdr:col>
      <xdr:colOff>2154292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5F48E13-33A3-4D76-BB98-6CDC07E84EA9}"/>
            </a:ext>
          </a:extLst>
        </xdr:cNvPr>
        <xdr:cNvGrpSpPr/>
      </xdr:nvGrpSpPr>
      <xdr:grpSpPr>
        <a:xfrm>
          <a:off x="19959445" y="0"/>
          <a:ext cx="150678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5C40359-6D53-46FA-A3DD-C0CF1F70BB8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0F579E-0B27-4A0D-88E7-28F23E616A7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B2B4CA-A332-46BE-B8AD-0E328B02C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984518</xdr:colOff>
      <xdr:row>0</xdr:row>
      <xdr:rowOff>0</xdr:rowOff>
    </xdr:from>
    <xdr:to>
      <xdr:col>15</xdr:col>
      <xdr:colOff>485524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FD7E9AB-CF82-41CB-9220-106831E1566A}"/>
            </a:ext>
          </a:extLst>
        </xdr:cNvPr>
        <xdr:cNvSpPr/>
      </xdr:nvSpPr>
      <xdr:spPr>
        <a:xfrm>
          <a:off x="24156938" y="0"/>
          <a:ext cx="151268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935285</xdr:colOff>
      <xdr:row>2</xdr:row>
      <xdr:rowOff>384583</xdr:rowOff>
    </xdr:from>
    <xdr:to>
      <xdr:col>15</xdr:col>
      <xdr:colOff>572321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8BD3703-31E6-4B03-8C54-AA11A8D73FAF}"/>
            </a:ext>
          </a:extLst>
        </xdr:cNvPr>
        <xdr:cNvSpPr txBox="1"/>
      </xdr:nvSpPr>
      <xdr:spPr>
        <a:xfrm rot="10800000" flipH="1" flipV="1">
          <a:off x="24107705" y="750343"/>
          <a:ext cx="164871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1422578</xdr:colOff>
      <xdr:row>0</xdr:row>
      <xdr:rowOff>136274</xdr:rowOff>
    </xdr:from>
    <xdr:to>
      <xdr:col>15</xdr:col>
      <xdr:colOff>47461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B3D1C-77A1-4CC9-B1B1-AEECFB98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998" y="136274"/>
          <a:ext cx="63656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2487040</xdr:colOff>
      <xdr:row>0</xdr:row>
      <xdr:rowOff>0</xdr:rowOff>
    </xdr:from>
    <xdr:to>
      <xdr:col>15</xdr:col>
      <xdr:colOff>4066159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BDD53BF-E92E-43B0-A150-D6CFE72B28A6}"/>
            </a:ext>
          </a:extLst>
        </xdr:cNvPr>
        <xdr:cNvGrpSpPr/>
      </xdr:nvGrpSpPr>
      <xdr:grpSpPr>
        <a:xfrm>
          <a:off x="26942478" y="0"/>
          <a:ext cx="157911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C9489BCA-BF00-4019-97B3-D06CD274D0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96460177-A0CF-42BD-9E76-6606761B07D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A6FD7A-BEB8-40A3-B342-01599264F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94426</xdr:colOff>
      <xdr:row>0</xdr:row>
      <xdr:rowOff>0</xdr:rowOff>
    </xdr:from>
    <xdr:to>
      <xdr:col>19</xdr:col>
      <xdr:colOff>473395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99BB3BE-16D0-4627-AE1C-C74AC3358DCA}"/>
            </a:ext>
          </a:extLst>
        </xdr:cNvPr>
        <xdr:cNvGrpSpPr/>
      </xdr:nvGrpSpPr>
      <xdr:grpSpPr>
        <a:xfrm>
          <a:off x="30502989" y="0"/>
          <a:ext cx="15695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B916B9A-1E96-4BD0-8745-F8D27EDCCA8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A6B8D12-61CD-4D23-8D23-EE89A621816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3F03B5EB-DB6B-41D7-B577-1AD5739E05D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3254A76-DF30-4BB2-A209-E106BD201B5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2792303-CDE1-45D4-BC89-38D2345EA73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B98CF9-F677-4245-B05A-E41B43088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A1418A0-3387-48FC-8765-2886D7E35AA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7A3D9FD-CACC-4DDE-A40D-ECC363CDA58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41C1384-5691-49B9-990A-2C1849C861F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EC9BFC-1ADF-4270-BFD0-96F24590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8A6CF18-BD19-4CB8-BEFA-53C446E57752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4261F5-56D3-4AE1-BC5E-CBDA750DF4B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C9BA9E8-E830-49E2-9D3F-72854AC20F3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359ADD7-5E84-4BEF-A609-66E278893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A6E72EE5-564E-4431-A052-6EB14326FE3D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793C9B8-4853-4CA5-8E79-46A296A1F3D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66BCFCF7-A625-4752-A65C-669796F6399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4B41479-3CEA-478F-A50D-0B4C8B8C5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111B9C9-EE23-495E-BD5D-4E9C15CB8443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C60129A-87CA-4A09-8A92-B1519C4C793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F40D98B-11E3-41F4-BC7F-524494094A0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5610B77-B9DA-4528-AC1A-E8416411D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EB07E71-69AD-4E1D-BE70-12137F01F57F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5D9F1E59-6E7F-444E-8285-06C7FE25B0A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48F9589-C6CA-44D9-B4FC-5F6333828FA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4A3F71-3E23-474C-903E-E1DFB329E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1C51FCD1-78AC-488C-B2CA-D4B5386220B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DCDDF5F-A4C3-4622-B400-1BB6BEC38BEA}"/>
            </a:ext>
          </a:extLst>
        </xdr:cNvPr>
        <xdr:cNvSpPr txBox="1"/>
      </xdr:nvSpPr>
      <xdr:spPr>
        <a:xfrm rot="10800000" flipH="1" flipV="1">
          <a:off x="2409913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775064-DECD-49A8-B7F5-4995B43E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ABE12DC-BBC0-4A94-BE4F-56A46CAFCC48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54D10E89-DB85-4B1E-9C92-90927FAD209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C9B3A22D-8982-4D3E-AF0D-A050DC4F629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107A97-9EF0-4454-BC88-81C1AE723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7D34ED13-4F37-427E-921E-D5EDD4E1C316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E902FAB-4EB1-4742-8DCD-006C0E36DD4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2545F155-DA10-42AB-8199-B6573D2F424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C753B3CE-6D40-48F2-ACA3-D631A3844A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0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B7FAB36-F7FC-42D8-A40D-BDDE7FCA02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FA0A32B-E4A3-4454-938F-9D0640F27A4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357D252-C1E3-4A10-94BD-225761466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B1F5D71-897D-4465-9868-74DD10F7C97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E3B20B4-162C-4DC1-A215-3DC5D5CDC8C6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99D0537-2360-49D7-B7B9-15556180B42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B4B22F8-8233-45A4-9320-70150EAD212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7CF286-FC83-4B54-9708-36EEA571E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BC8FCCC-235C-4781-98A1-045CF690DD31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F4B3964-DC30-4560-B4D9-1E26010A7810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34A52-BEC7-430F-B626-BB3AED80A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9F19953-24B1-4DC5-A968-DBA02B513D9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539493A5-D564-4DB8-BB7B-31525028A809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5EFDE3-97F4-4C76-AAAA-663FC67A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65190E2-39D0-435E-A165-367C1FDFC5F0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987B95D-1E16-4828-9022-63A289F8FFF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BF4659-3CD6-49F5-BF5B-F29DB5814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6C495F-2803-407A-BFF8-32B438FD0FEF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96175DB-EEDB-423A-A78A-BFECB01735B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2B58EC1-806E-4DAB-B1DA-907538D3FD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9E22F8-6855-4C25-B9AE-0BFED69AB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D911652-DD39-46DE-BA4E-13F74C44F35B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26FA004-4446-4F49-8E41-A89BC089C6F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95BD5B2-3600-4848-B7D5-116B160AC07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0D2437-1BE8-4768-8827-BD7EB5575D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5C63D4B9-7F7A-4CC6-8856-DA1E88D02C7E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D6D5BA0-100C-447B-8454-8187F30D19DE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4876-AC9D-4993-AC4D-89C088B5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D60FCCA-4F1B-480D-A390-5FF39E76D117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5E18D26-292C-47B9-9007-D388AC755DF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1EB4955C-82D8-41A2-8B53-FB35D9057B1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BC915DA-434D-4599-B33A-203A43A8E0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15</xdr:row>
      <xdr:rowOff>0</xdr:rowOff>
    </xdr:from>
    <xdr:to>
      <xdr:col>14</xdr:col>
      <xdr:colOff>514350</xdr:colOff>
      <xdr:row>53</xdr:row>
      <xdr:rowOff>198922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19632</xdr:colOff>
      <xdr:row>7</xdr:row>
      <xdr:rowOff>323850</xdr:rowOff>
    </xdr:from>
    <xdr:to>
      <xdr:col>13</xdr:col>
      <xdr:colOff>1734132</xdr:colOff>
      <xdr:row>15</xdr:row>
      <xdr:rowOff>38100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A60037B2-EBFA-49D0-8B58-2CE333869070}"/>
            </a:ext>
          </a:extLst>
        </xdr:cNvPr>
        <xdr:cNvSpPr txBox="1"/>
      </xdr:nvSpPr>
      <xdr:spPr>
        <a:xfrm>
          <a:off x="12554532" y="26479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VENDAS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1750849</xdr:colOff>
      <xdr:row>24</xdr:row>
      <xdr:rowOff>302028</xdr:rowOff>
    </xdr:from>
    <xdr:to>
      <xdr:col>5</xdr:col>
      <xdr:colOff>269613</xdr:colOff>
      <xdr:row>34</xdr:row>
      <xdr:rowOff>338957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93D3F7AB-C26D-4106-93CA-5ADB82D9B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189249" y="8779278"/>
          <a:ext cx="3471764" cy="3656429"/>
        </a:xfrm>
        <a:prstGeom prst="rect">
          <a:avLst/>
        </a:prstGeom>
        <a:noFill/>
      </xdr:spPr>
    </xdr:pic>
    <xdr:clientData/>
  </xdr:twoCellAnchor>
  <xdr:twoCellAnchor>
    <xdr:from>
      <xdr:col>15</xdr:col>
      <xdr:colOff>1788949</xdr:colOff>
      <xdr:row>24</xdr:row>
      <xdr:rowOff>302028</xdr:rowOff>
    </xdr:from>
    <xdr:to>
      <xdr:col>16</xdr:col>
      <xdr:colOff>231513</xdr:colOff>
      <xdr:row>34</xdr:row>
      <xdr:rowOff>338957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60FFD11F-5D7B-4DB9-A086-42A2C9B9A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335249" y="8779278"/>
          <a:ext cx="3471764" cy="3656429"/>
        </a:xfrm>
        <a:prstGeom prst="rect">
          <a:avLst/>
        </a:prstGeom>
        <a:noFill/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1B43528-F9AD-49F0-9508-D2A0A26D917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567A84-FA24-4BE8-9978-637DF59FF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321360F-203F-47CE-9135-501C2E2D7549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977C954-05CD-4B26-BE12-224CB46903D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874E3E9-EDBE-4B44-94CB-8F3E71636AE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E797995-C7BE-4565-9F79-4CC86B219C0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6DDDCA-A09F-43A8-8FF6-4A468CE10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D8296C6B-2002-4CD5-805C-0738D7A2F9F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5C3DBCB-88EF-4357-B7E9-21686792248B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2DAE44A-94B6-40C5-A443-C44D06344A4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97C85D8-63E5-45CC-8C90-AF191B5294A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4A3DE6-2DB1-4A49-B6DB-EEB330161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C8B13264-AC93-4DAB-9215-1D9A0449F2C5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7E416A98-C78D-4C74-80E2-493933B4B605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DEC335-9993-4297-A573-52C488993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38A5E59-AA35-40EB-A736-674EE3FFCB8A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DAD36D9-1CCA-46BF-808C-5BF8E9AED294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5BE156-ABDC-45D6-B2D9-B48AA5440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B2D9501D-C1C3-458C-A2A8-4BAAE49F33A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2139DBF-6654-4E05-B42E-88EA1B8976FC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7E8AC6-8CC7-4810-9219-EAD9F18A5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507A104-25E4-4F3A-83DA-7EBD00CDCF73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2A2DC10-D3D6-41ED-AB77-8C6BBBFB3FD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D33434A-3976-4F76-BB49-41A6F419B1D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067A9E1-5E3E-42C5-838D-2B89A122A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3BAD891-5B2C-4C2B-A677-F27DC62CC986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E6F1C34-2349-4A24-9D50-FBF46F44838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AB5B0A1-1F90-4560-A60A-6FBAFB44E89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CC4D8D-3777-4DA5-BD06-B91D0884A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D6AB1FAC-E734-4393-B1D2-73889FAFB55C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02E4E0A-F2BB-47D1-97CA-4B449EE8817E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644327-9514-4EF7-B23B-617407BEF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F9295F4-DB45-4D78-9517-D6AB6BE563CB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11A7B01C-5BF1-4FA2-88D7-C1DDE7AF1C7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746C6BFE-4F96-4435-AE05-7EF9F262E55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47AF535F-0EB2-46F1-ABBA-431F0EED98D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8B9A075-68E8-4879-A49B-7A5EA7ED9F3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C00C0E6-68D2-4BFE-9D09-707C66FAC4E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46BF0-C4BF-4916-BA3E-AC17B633620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DE48FCA-52C1-4031-8822-568BCC35FCF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41ECE56-B29F-46D2-9930-F37B709102C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08688EFA-8ABA-4C87-A893-4FF8B983B6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0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A0A41C8-9FDA-4773-802F-415316DCB15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1A2F05A-3B61-4FEF-A478-77A2737D13D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80844-F3B1-4769-AC9C-CFB6E85E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D70A59E5-DFB7-47BE-A234-C19D7277B85F}"/>
            </a:ext>
          </a:extLst>
        </xdr:cNvPr>
        <xdr:cNvSpPr/>
      </xdr:nvSpPr>
      <xdr:spPr>
        <a:xfrm>
          <a:off x="25269825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9E70D87-A1B8-445C-8A70-0384E2A9E53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96BE99-8B51-478F-B976-5092CDA7854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7D669C0-9E76-4C15-B350-EB5D036730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2E75B2A-F5FD-4CDD-A770-DB0CF79C1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4B718BDF-1F33-4D3E-97AA-FEFE917303E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2D796C3-0154-4725-A4E8-76472637CEE8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32E38E0-035D-4FC7-BE6F-49D9C5AA7A8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2E8AAA5A-6C21-42E1-9FCC-A5BC9C89B3E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4E826A-1EBC-4B53-A4C4-DB135A96B8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71F1F73-167C-43AC-82B2-FE4BC1902FD4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144FCA0-C92C-4517-B721-A1A52255D41F}"/>
            </a:ext>
          </a:extLst>
        </xdr:cNvPr>
        <xdr:cNvSpPr txBox="1"/>
      </xdr:nvSpPr>
      <xdr:spPr>
        <a:xfrm rot="10800000" flipH="1" flipV="1">
          <a:off x="957416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FE9092-692C-4C45-8C67-80DC2566D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B70191A-CB86-45D8-8970-CD5C98BD3FD3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44EB5A8-9F33-4ECF-9C67-39B1F4E22AB5}"/>
            </a:ext>
          </a:extLst>
        </xdr:cNvPr>
        <xdr:cNvSpPr txBox="1"/>
      </xdr:nvSpPr>
      <xdr:spPr>
        <a:xfrm rot="10800000" flipH="1" flipV="1">
          <a:off x="1321087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207FDA-E5B0-4194-B13B-C9E274B02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395829E5-01A1-48A0-8725-8F70DCCA307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3ED2FEF4-F1EE-4743-8617-3BEFA82CFDCE}"/>
            </a:ext>
          </a:extLst>
        </xdr:cNvPr>
        <xdr:cNvSpPr txBox="1"/>
      </xdr:nvSpPr>
      <xdr:spPr>
        <a:xfrm rot="10800000" flipH="1" flipV="1">
          <a:off x="1685575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9F52E5-2523-42FE-8DFF-CA714485C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F6E7A58-B91A-4908-8490-A491D599BC14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D6FBCEC-E95A-414C-8333-ADB4FA2C165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854ED1-6A00-4631-849F-C94630FADA8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9B1847-11A6-4057-B023-375EC7D08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12C14D27-B3B7-4465-8AFD-9C33D6C8DA5B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A3BA37C-1F07-47BF-8309-C1E2D397007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F070F36-D7D8-478E-A9F9-24B114A1753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2BD5260-642A-4CD9-B0A0-977A2C9D00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BF1BF85-6A09-40DE-941B-942EC91C6F51}"/>
            </a:ext>
          </a:extLst>
        </xdr:cNvPr>
        <xdr:cNvSpPr/>
      </xdr:nvSpPr>
      <xdr:spPr>
        <a:xfrm>
          <a:off x="27799694" y="0"/>
          <a:ext cx="152046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E2180C9-D61C-41B9-A46E-2E8E0B40D9C0}"/>
            </a:ext>
          </a:extLst>
        </xdr:cNvPr>
        <xdr:cNvSpPr txBox="1"/>
      </xdr:nvSpPr>
      <xdr:spPr>
        <a:xfrm rot="10800000" flipH="1" flipV="1">
          <a:off x="27750198" y="750343"/>
          <a:ext cx="165722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6B2274-F897-4F7D-A626-B391BC513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42538" y="136274"/>
          <a:ext cx="634774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44B78B2-CE0D-431A-A505-8167FFF1B28A}"/>
            </a:ext>
          </a:extLst>
        </xdr:cNvPr>
        <xdr:cNvGrpSpPr/>
      </xdr:nvGrpSpPr>
      <xdr:grpSpPr>
        <a:xfrm>
          <a:off x="30622052" y="0"/>
          <a:ext cx="1462438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951C03F3-AEF8-470B-A2E2-E624F907BB5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DD652C70-CBAD-4DF1-9535-3AA4BAD0FAC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26D72047-74BE-48DB-A9BE-22E1588EAA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4E4E27E-1A0F-4163-8194-09D1934777BB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CDC1D25-4069-4057-A0BB-C474E973C9E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A24D736-D377-4403-A442-B465F290E87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0F3DC27-A6A5-4374-AFAD-2B58D6EB0D3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3F6FD8C-382E-4699-AE8C-61364687D837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E331176-9587-4A3F-97E9-69F286C872D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10</xdr:col>
      <xdr:colOff>381000</xdr:colOff>
      <xdr:row>33</xdr:row>
      <xdr:rowOff>57150</xdr:rowOff>
    </xdr:from>
    <xdr:to>
      <xdr:col>10</xdr:col>
      <xdr:colOff>3454036</xdr:colOff>
      <xdr:row>37</xdr:row>
      <xdr:rowOff>41569</xdr:rowOff>
    </xdr:to>
    <xdr:sp macro="[0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D9695B1-7EB5-4CEB-9A73-D973E82B528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38300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7</xdr:col>
      <xdr:colOff>1543050</xdr:colOff>
      <xdr:row>33</xdr:row>
      <xdr:rowOff>57150</xdr:rowOff>
    </xdr:from>
    <xdr:to>
      <xdr:col>9</xdr:col>
      <xdr:colOff>1301386</xdr:colOff>
      <xdr:row>37</xdr:row>
      <xdr:rowOff>41569</xdr:rowOff>
    </xdr:to>
    <xdr:sp macro="[0]!ProcvVBA_Executar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29C4BDF-98FF-41A3-806D-78B10A7A3C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23253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COMPLETAR FORMULÁRIO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51D2CA7-80E5-496F-8F21-2B46BFE32F9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153A3-6D37-48F5-8492-15F6CB2B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5BDC9EDD-D4D5-49F6-8F29-87B810FE26A6}"/>
            </a:ext>
          </a:extLst>
        </xdr:cNvPr>
        <xdr:cNvSpPr/>
      </xdr:nvSpPr>
      <xdr:spPr>
        <a:xfrm>
          <a:off x="2524125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128125C-0428-4625-B986-FE83D5D710C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3B01CAF-E9BB-4B8E-8FAE-9C0CBBA3251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78E2C35C-73CB-4480-B6E5-DBB27AAE8D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2321A99-10B9-4674-B313-18E2A87F7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604C29A-5CCA-4FA4-B432-EC729DB48D3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A60F8F3-9538-41D2-8B8E-431B4D45DE3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5298AE1-21A2-4FB5-B942-8D65A5D2A90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CAB9FCF-81F5-4F0C-8689-07B18ADAF55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15EB39-5D19-4EE5-AFD5-25C5685B2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4D370E-DA97-4E11-91C5-8AAD522C9253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DBFBC2E-5E4D-4899-8172-A0619D80B70A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D71CF4-2A1A-4021-971D-2D038177D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EB7A7D5C-6F25-46F7-84C9-A22603F6CB9C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D93ED7F-971D-457A-8EFD-CD72B5DD71B1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3BBA4F-977C-4545-8377-CC2D731AF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21BDA7D-266C-46BE-8D49-3C65C0769C34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65800B2-B3A7-413C-9003-0248DB5E30B2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139B93-76A8-4DE8-8231-2241B7404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886CAE5B-BE59-42B2-B0E9-9CE6C7050939}"/>
            </a:ext>
          </a:extLst>
        </xdr:cNvPr>
        <xdr:cNvGrpSpPr/>
      </xdr:nvGrpSpPr>
      <xdr:grpSpPr>
        <a:xfrm>
          <a:off x="19933516" y="0"/>
          <a:ext cx="1589864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BE36325-FAF1-4077-B089-4C7CD92524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D26BE41-148F-4EF1-9EE7-FAD7947E9E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09BEF4-22BD-41D3-AF77-7542492A3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2CC3917-2026-43A2-91F9-F567CF4E7BE5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049960C-C247-495D-A922-68096AC83E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E388CBF-4FF7-416C-8621-7B1EC5D8CDE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D4338DE-DC15-4CD5-AD5D-049763837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8DCA761-837D-4BA1-90AD-AC9EEA5E5FA5}"/>
            </a:ext>
          </a:extLst>
        </xdr:cNvPr>
        <xdr:cNvSpPr/>
      </xdr:nvSpPr>
      <xdr:spPr>
        <a:xfrm>
          <a:off x="27777787" y="0"/>
          <a:ext cx="1546183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8C619A31-E136-4FDF-9677-450822751B8B}"/>
            </a:ext>
          </a:extLst>
        </xdr:cNvPr>
        <xdr:cNvSpPr txBox="1"/>
      </xdr:nvSpPr>
      <xdr:spPr>
        <a:xfrm rot="10800000" flipH="1" flipV="1">
          <a:off x="27728291" y="750343"/>
          <a:ext cx="168294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D74AE-A28B-424A-A906-E431F38E3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20631" y="136274"/>
          <a:ext cx="578365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8A579C7-7443-4740-98E2-E0D145EC9E79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29F216F-0F6D-43E9-A7E3-5664FAD89BA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55E5E6D1-569A-4452-9262-9E350F8A9E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7DD303B-F289-49EC-9D72-EF22E8FC5C7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83423B6-B624-4F7E-BC5E-53ADF5836B2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57E4C0D-2DC7-4A0B-BDAE-F26EF97A3B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D13E0CCE-93AE-4E98-997D-D9F6F81F246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224F0652-D404-4421-83F2-2141E29D568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B9485A-81E6-446A-ACFB-24080583AC6A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DE76E1-0D85-483B-A39F-C393DDB16F9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0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71BF4E26-109E-404C-8D19-EC4CB80D8A7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9074656-E109-40C5-BC18-EB2BF08B782D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B7064-EB0E-4B4B-9E70-F93492044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613F1E82-CB11-4BB6-956B-574004B2EACD}"/>
            </a:ext>
          </a:extLst>
        </xdr:cNvPr>
        <xdr:cNvSpPr/>
      </xdr:nvSpPr>
      <xdr:spPr>
        <a:xfrm>
          <a:off x="2528697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B42E7FF-E11B-4D78-B5DC-42A8FB686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BEDB255-BA89-4086-BF57-C80FE398D86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3C367525-EF0D-4CFB-B335-952EA4CBAA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714028-AAFE-4516-B7AC-48FAF97AA0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A40E6E3-CF33-414B-BE86-1E11DB1993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F6E0785-95DB-4F44-BA31-07FF06139551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91D3B0E-8CBF-4A00-B64C-6FB56F5E80A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3CE3B24-33E5-424F-BD7F-0178C6714D0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B138EB-98F2-48D0-B8FB-998CAB5BA7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5E8286F-A857-4F98-BAD7-B320BC685BA5}"/>
            </a:ext>
          </a:extLst>
        </xdr:cNvPr>
        <xdr:cNvSpPr/>
      </xdr:nvSpPr>
      <xdr:spPr>
        <a:xfrm>
          <a:off x="9597942" y="0"/>
          <a:ext cx="140902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BE216D0-F6C5-4BAB-8009-0E1677DC2620}"/>
            </a:ext>
          </a:extLst>
        </xdr:cNvPr>
        <xdr:cNvSpPr txBox="1"/>
      </xdr:nvSpPr>
      <xdr:spPr>
        <a:xfrm rot="10800000" flipH="1" flipV="1">
          <a:off x="9548446" y="750343"/>
          <a:ext cx="154577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2A964E-9656-4745-BCBB-2A655E8FA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29809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B9C46248-5E1C-416F-805E-8E9E5F1C9D5D}"/>
            </a:ext>
          </a:extLst>
        </xdr:cNvPr>
        <xdr:cNvSpPr/>
      </xdr:nvSpPr>
      <xdr:spPr>
        <a:xfrm>
          <a:off x="13232528" y="0"/>
          <a:ext cx="14168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8D4C1010-1257-4DF1-965E-79AA5D8FB69E}"/>
            </a:ext>
          </a:extLst>
        </xdr:cNvPr>
        <xdr:cNvSpPr txBox="1"/>
      </xdr:nvSpPr>
      <xdr:spPr>
        <a:xfrm rot="10800000" flipH="1" flipV="1">
          <a:off x="13183251" y="750343"/>
          <a:ext cx="155299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5D726-19B5-4AEA-9C05-39916397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4948" y="136274"/>
          <a:ext cx="55200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6656C2B-1C17-4C1D-A21D-361CE90091D9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1F20486C-423B-4C35-A6F2-6AC872FD6838}"/>
            </a:ext>
          </a:extLst>
        </xdr:cNvPr>
        <xdr:cNvSpPr txBox="1"/>
      </xdr:nvSpPr>
      <xdr:spPr>
        <a:xfrm rot="10800000" flipH="1" flipV="1">
          <a:off x="1684051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0F0E3-CF96-4038-BE81-A840EA1C0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512C577-2A56-4BEC-97E3-F9DFC53FB2E0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E8710F5-9A47-4301-BF98-D050C4AC86E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81EC089-FFA8-495B-9268-FE6B67898B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5AF28A-0960-4211-9E8C-863493237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798EC85-6967-4098-841E-14CD2407A57C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9E0CFF0-5F31-48E9-8C1A-CAFC842ACED2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F9C4D46-9F56-461D-8CC3-AB2C120F8D6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2A84EDB-BCFA-4998-A3BA-6BA03B5EB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A0DDAAB0-77EC-43FC-B570-4DA231B4A6DF}"/>
            </a:ext>
          </a:extLst>
        </xdr:cNvPr>
        <xdr:cNvSpPr/>
      </xdr:nvSpPr>
      <xdr:spPr>
        <a:xfrm>
          <a:off x="27723494" y="0"/>
          <a:ext cx="155475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6753BDEC-CC0F-4178-A88B-5D38683D5411}"/>
            </a:ext>
          </a:extLst>
        </xdr:cNvPr>
        <xdr:cNvSpPr txBox="1"/>
      </xdr:nvSpPr>
      <xdr:spPr>
        <a:xfrm rot="10800000" flipH="1" flipV="1">
          <a:off x="27673998" y="750343"/>
          <a:ext cx="16915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5090E1-C21B-45D4-8814-B791C4CD4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9683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11535D89-B3FF-4640-92A1-E8E99C2FE73B}"/>
            </a:ext>
          </a:extLst>
        </xdr:cNvPr>
        <xdr:cNvGrpSpPr/>
      </xdr:nvGrpSpPr>
      <xdr:grpSpPr>
        <a:xfrm>
          <a:off x="30622052" y="0"/>
          <a:ext cx="1464819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56C5881E-4C25-458B-A2DA-FC5D3F4EAF78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422858C9-F350-4F90-A5B5-04C81E6EC7A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E4FBEE6F-84C8-456D-9A66-4474323579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7B0165-AEBD-461A-8BFB-1372A1D3B521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15AC9C3-8BC3-4B92-BA67-13AFF60437E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B139AE0-09BE-4E97-A8C0-420B147CEF5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2640E36-C810-4589-A4FD-80C910EDDFD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994F9BA-AFAB-4B0D-9380-5ADE69856731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DFE2EDE-B11B-4AAF-98CE-2B39B1B319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46A18DE-D145-4419-A094-E6DBE4170650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4127B2-9F85-4EA2-9800-27ACD53EE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934F6A51-DEFB-4179-BC2E-89D034200EDE}"/>
            </a:ext>
          </a:extLst>
        </xdr:cNvPr>
        <xdr:cNvSpPr/>
      </xdr:nvSpPr>
      <xdr:spPr>
        <a:xfrm>
          <a:off x="25404400" y="1390650"/>
          <a:ext cx="378279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BD6FAC7-7FB8-4BE1-8CAE-58518C8103D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6C29DAD-58A2-400F-A8B7-5F32C0345C7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3176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3EC4ABA-E93B-435E-8232-5F1C35B2CBC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676D29-B3BD-47A3-9DEE-4C943843EA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2C9B80B-24CC-4ECD-8FB1-3B5A623008F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922E203-711F-4616-B300-83865ED6769B}"/>
            </a:ext>
          </a:extLst>
        </xdr:cNvPr>
        <xdr:cNvGrpSpPr/>
      </xdr:nvGrpSpPr>
      <xdr:grpSpPr>
        <a:xfrm>
          <a:off x="5869567" y="0"/>
          <a:ext cx="1455006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87F3001-91BF-4193-81A8-99BD52307D5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556A270-3B1B-4648-9ED8-B59D9BC36FF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52ED034-F412-4417-BD7B-3E4EE1B296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6AF8E72-9FD7-44DE-8B91-AE7C18B27171}"/>
            </a:ext>
          </a:extLst>
        </xdr:cNvPr>
        <xdr:cNvSpPr/>
      </xdr:nvSpPr>
      <xdr:spPr>
        <a:xfrm>
          <a:off x="9582838" y="0"/>
          <a:ext cx="146399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57908C7-21DB-4609-8ACD-23130BAAF07E}"/>
            </a:ext>
          </a:extLst>
        </xdr:cNvPr>
        <xdr:cNvSpPr txBox="1"/>
      </xdr:nvSpPr>
      <xdr:spPr>
        <a:xfrm rot="10800000" flipH="1" flipV="1">
          <a:off x="9533342" y="750343"/>
          <a:ext cx="160075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DC0291-7566-417E-8BFF-F0B77F442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69678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EB65EA5-AD7E-4F35-9AE9-CAB2153C7CFF}"/>
            </a:ext>
          </a:extLst>
        </xdr:cNvPr>
        <xdr:cNvSpPr/>
      </xdr:nvSpPr>
      <xdr:spPr>
        <a:xfrm>
          <a:off x="13275526" y="0"/>
          <a:ext cx="147399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A33163B9-4118-4486-94B9-7EB9FA680724}"/>
            </a:ext>
          </a:extLst>
        </xdr:cNvPr>
        <xdr:cNvSpPr txBox="1"/>
      </xdr:nvSpPr>
      <xdr:spPr>
        <a:xfrm rot="10800000" flipH="1" flipV="1">
          <a:off x="13226249" y="750343"/>
          <a:ext cx="161014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3758C-B4F6-44CE-BA12-BBCD910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07946" y="136274"/>
          <a:ext cx="584658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65B16AD-132D-4C38-97E9-CB407E0B4483}"/>
            </a:ext>
          </a:extLst>
        </xdr:cNvPr>
        <xdr:cNvSpPr/>
      </xdr:nvSpPr>
      <xdr:spPr>
        <a:xfrm>
          <a:off x="16950711" y="0"/>
          <a:ext cx="15331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CADDC46-DAC2-4227-93D1-CFF0709D3F89}"/>
            </a:ext>
          </a:extLst>
        </xdr:cNvPr>
        <xdr:cNvSpPr txBox="1"/>
      </xdr:nvSpPr>
      <xdr:spPr>
        <a:xfrm rot="10800000" flipH="1" flipV="1">
          <a:off x="16900790" y="750343"/>
          <a:ext cx="1671078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F0B578-6A19-4088-B684-F60CEB33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400181" y="136274"/>
          <a:ext cx="638422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DE91A-4455-4A17-8783-8D9F8569D190}"/>
            </a:ext>
          </a:extLst>
        </xdr:cNvPr>
        <xdr:cNvGrpSpPr/>
      </xdr:nvGrpSpPr>
      <xdr:grpSpPr>
        <a:xfrm>
          <a:off x="20022719" y="0"/>
          <a:ext cx="1582304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0A5D0FA-858B-42E5-93E7-195508FBEFF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0E42609-B647-4C15-9071-4210C5CB57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B5ABBC-2ED4-4826-AF83-DE9185B97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167163</xdr:colOff>
      <xdr:row>0</xdr:row>
      <xdr:rowOff>0</xdr:rowOff>
    </xdr:from>
    <xdr:to>
      <xdr:col>20</xdr:col>
      <xdr:colOff>374220</xdr:colOff>
      <xdr:row>3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4A4178F-2388-4F8A-BC43-B3B367521840}"/>
            </a:ext>
          </a:extLst>
        </xdr:cNvPr>
        <xdr:cNvSpPr/>
      </xdr:nvSpPr>
      <xdr:spPr>
        <a:xfrm>
          <a:off x="24315636" y="0"/>
          <a:ext cx="1426257" cy="113607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118857</xdr:colOff>
      <xdr:row>2</xdr:row>
      <xdr:rowOff>388251</xdr:rowOff>
    </xdr:from>
    <xdr:to>
      <xdr:col>20</xdr:col>
      <xdr:colOff>459383</xdr:colOff>
      <xdr:row>2</xdr:row>
      <xdr:rowOff>758101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7ABD1DE3-FC89-4F7F-AC67-F1C922004552}"/>
            </a:ext>
          </a:extLst>
        </xdr:cNvPr>
        <xdr:cNvSpPr txBox="1"/>
      </xdr:nvSpPr>
      <xdr:spPr>
        <a:xfrm rot="10800000" flipH="1" flipV="1">
          <a:off x="24267330" y="748469"/>
          <a:ext cx="1559726" cy="369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18</xdr:col>
      <xdr:colOff>587449</xdr:colOff>
      <xdr:row>0</xdr:row>
      <xdr:rowOff>133227</xdr:rowOff>
    </xdr:from>
    <xdr:to>
      <xdr:col>19</xdr:col>
      <xdr:colOff>554007</xdr:colOff>
      <xdr:row>2</xdr:row>
      <xdr:rowOff>358605</xdr:rowOff>
    </xdr:to>
    <xdr:pic>
      <xdr:nvPicPr>
        <xdr:cNvPr id="30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5868C7-7C64-45E0-A2BC-0A6CCA4D5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745447" y="133227"/>
          <a:ext cx="566633" cy="585596"/>
        </a:xfrm>
        <a:prstGeom prst="rect">
          <a:avLst/>
        </a:prstGeom>
      </xdr:spPr>
    </xdr:pic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65937A7-358D-4373-A351-10A0B11EBAA2}"/>
            </a:ext>
          </a:extLst>
        </xdr:cNvPr>
        <xdr:cNvSpPr/>
      </xdr:nvSpPr>
      <xdr:spPr>
        <a:xfrm>
          <a:off x="27945699" y="0"/>
          <a:ext cx="1513798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4944D15D-DB49-451E-995C-727FB8F2ED2E}"/>
            </a:ext>
          </a:extLst>
        </xdr:cNvPr>
        <xdr:cNvSpPr txBox="1"/>
      </xdr:nvSpPr>
      <xdr:spPr>
        <a:xfrm rot="10800000" flipH="1" flipV="1">
          <a:off x="27896203" y="750343"/>
          <a:ext cx="165055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72EAC-1C80-4556-BD36-588FA83D1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416437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4D20B97E-64CF-4BFB-AA29-D546239DCFAD}"/>
            </a:ext>
          </a:extLst>
        </xdr:cNvPr>
        <xdr:cNvGrpSpPr/>
      </xdr:nvGrpSpPr>
      <xdr:grpSpPr>
        <a:xfrm>
          <a:off x="30904399" y="0"/>
          <a:ext cx="1484550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DAE8672-BD38-486E-BB9D-2E5BD85812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5525F558-4F94-4CB9-92FA-4A53AFF9D0D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9B4D7458-C446-44C0-A120-234B9A9EEA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CA06473-5145-464E-99EE-3897761A937F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99F8039-F6E2-4C8B-A314-14668DAE2D2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DDF37B-DFB8-44E8-A818-283542BB6AE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0DB4D05-4465-41BE-B43A-8920A37533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B048BD-F207-4AB4-9B18-A78337D79038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2C5CF71-ABC0-40C2-ACA8-886593437DA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BD07B83-611B-4406-85AB-75F68C538C9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A01FB93-AC42-46FF-9914-006EF2EB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413D06B-76E4-4C2A-AD60-9844EABAB2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333A52C-010B-4211-A2DA-B4633C8D20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07CC45A-EAD9-4A10-93EC-377E0DC5474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92A525-064E-4B3E-BB43-F6D6F506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ECAF027-CE3A-4041-A311-7640BC42D9B5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AD4FE20-3852-4F57-AED6-C1CA633B064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AF141FBC-BD6C-4EEF-B4FA-75A7D62E4669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2680A8-FAF7-449B-925E-43F5752CC2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2F1F2A1-C022-437D-90A7-CD881B5B6308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E2F2E785-0F8E-41B4-BE9B-9B486B4BFDEB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45696C5A-5FC4-49B1-95D3-0271276525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BBFED1-7478-4F77-BF99-DD1592DB0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3C72147B-507E-4516-A069-9AB29FFA67AE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515E3B8-5000-40EB-9E31-5218BBC63D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2907940-6193-4A70-B156-AB127ABFDCCC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28863C-7EF4-4E1D-96AD-F5603DBAE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E44F146A-B31A-436A-9576-5618F99C6C90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2B770D0B-1329-4874-8001-4BB3A4B1B816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460404-EC98-49D0-BE0A-4C7F5E2F7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C6C9ED7-1213-4360-A48A-FB41C883BA74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5E62309-5768-457E-B308-A8EDE1AA6F35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96F19-CF5E-44AB-B068-296C1E8D9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C56A230-F0F7-4201-A449-71A3E6816F01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390369C-8FAE-42B9-803A-628A1AB3F5C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EA95A5A-2A28-42ED-91C5-5579003958B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989076-EAD3-46D2-A634-1AFFC3002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724DD14-0A71-4254-AE32-09F00B5E15A4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18F7B293-9725-4843-81B9-837D4A10FC7E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CB9C244-F667-44FF-B71F-3050A242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133350</xdr:colOff>
      <xdr:row>15</xdr:row>
      <xdr:rowOff>19050</xdr:rowOff>
    </xdr:from>
    <xdr:to>
      <xdr:col>14</xdr:col>
      <xdr:colOff>304800</xdr:colOff>
      <xdr:row>53</xdr:row>
      <xdr:rowOff>217972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5238750"/>
          <a:ext cx="15449550" cy="13953022"/>
        </a:xfrm>
        <a:prstGeom prst="rect">
          <a:avLst/>
        </a:prstGeom>
      </xdr:spPr>
    </xdr:pic>
    <xdr:clientData/>
  </xdr:twoCellAnchor>
  <xdr:twoCellAnchor>
    <xdr:from>
      <xdr:col>7</xdr:col>
      <xdr:colOff>328831</xdr:colOff>
      <xdr:row>8</xdr:row>
      <xdr:rowOff>0</xdr:rowOff>
    </xdr:from>
    <xdr:to>
      <xdr:col>12</xdr:col>
      <xdr:colOff>1433731</xdr:colOff>
      <xdr:row>15</xdr:row>
      <xdr:rowOff>76200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2B42A0EE-4319-4A0D-B2B7-52CD30D6816A}"/>
            </a:ext>
          </a:extLst>
        </xdr:cNvPr>
        <xdr:cNvSpPr txBox="1"/>
      </xdr:nvSpPr>
      <xdr:spPr>
        <a:xfrm>
          <a:off x="12368431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BANCO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DADOS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1581150</xdr:colOff>
      <xdr:row>25</xdr:row>
      <xdr:rowOff>36341</xdr:rowOff>
    </xdr:from>
    <xdr:to>
      <xdr:col>5</xdr:col>
      <xdr:colOff>67110</xdr:colOff>
      <xdr:row>34</xdr:row>
      <xdr:rowOff>318893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B0CF7CEE-B0F9-4DA5-B005-B07EB736E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9550" y="8875541"/>
          <a:ext cx="3438960" cy="3540102"/>
        </a:xfrm>
        <a:prstGeom prst="rect">
          <a:avLst/>
        </a:prstGeom>
        <a:noFill/>
      </xdr:spPr>
    </xdr:pic>
    <xdr:clientData/>
  </xdr:twoCellAnchor>
  <xdr:twoCellAnchor>
    <xdr:from>
      <xdr:col>19</xdr:col>
      <xdr:colOff>133350</xdr:colOff>
      <xdr:row>25</xdr:row>
      <xdr:rowOff>36341</xdr:rowOff>
    </xdr:from>
    <xdr:to>
      <xdr:col>21</xdr:col>
      <xdr:colOff>1781610</xdr:colOff>
      <xdr:row>34</xdr:row>
      <xdr:rowOff>318893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27E99DBF-429D-4AFD-BB7B-634B415C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5550" y="8875541"/>
          <a:ext cx="3438960" cy="3540102"/>
        </a:xfrm>
        <a:prstGeom prst="rect">
          <a:avLst/>
        </a:prstGeom>
        <a:noFill/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4BECF93-7C09-4009-B3BA-85E85622C19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1"/>
    <xdr:ext cx="1819224" cy="781370"/>
    <xdr:grpSp>
      <xdr:nvGrpSpPr>
        <xdr:cNvPr id="2" name="Agrupar 1">
          <a:extLst>
            <a:ext uri="{FF2B5EF4-FFF2-40B4-BE49-F238E27FC236}">
              <a16:creationId xmlns:a16="http://schemas.microsoft.com/office/drawing/2014/main" id="{EDC0CFCC-6BFB-4B9A-907A-AFDD5DC26400}"/>
            </a:ext>
          </a:extLst>
        </xdr:cNvPr>
        <xdr:cNvGrpSpPr/>
      </xdr:nvGrpSpPr>
      <xdr:grpSpPr>
        <a:xfrm>
          <a:off x="0" y="1"/>
          <a:ext cx="1819224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4A1AF65-239E-4BC3-ACB4-EE4BB601F1A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31D3A7A-CABC-4463-AB5A-365F153772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absoluteAnchor>
  <xdr:absoluteAnchor>
    <xdr:pos x="1969941" y="0"/>
    <xdr:ext cx="1094354" cy="781050"/>
    <xdr:grpSp>
      <xdr:nvGrpSpPr>
        <xdr:cNvPr id="5" name="Agrupar 4">
          <a:extLst>
            <a:ext uri="{FF2B5EF4-FFF2-40B4-BE49-F238E27FC236}">
              <a16:creationId xmlns:a16="http://schemas.microsoft.com/office/drawing/2014/main" id="{11474580-09C3-4A85-A50E-FB865EC252C6}"/>
            </a:ext>
          </a:extLst>
        </xdr:cNvPr>
        <xdr:cNvGrpSpPr/>
      </xdr:nvGrpSpPr>
      <xdr:grpSpPr>
        <a:xfrm>
          <a:off x="1969941" y="0"/>
          <a:ext cx="1094354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AF88A7D-E5B8-4DA6-803D-395921E7FD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D4E235-99E9-44D8-8A8F-F079B6E4D8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628133E-6B13-4588-9D9D-91FF7F60FBE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absoluteAnchor>
  <xdr:absoluteAnchor>
    <xdr:pos x="4437891" y="0"/>
    <xdr:ext cx="1055474" cy="781050"/>
    <xdr:grpSp>
      <xdr:nvGrpSpPr>
        <xdr:cNvPr id="9" name="Agrupar 8">
          <a:extLst>
            <a:ext uri="{FF2B5EF4-FFF2-40B4-BE49-F238E27FC236}">
              <a16:creationId xmlns:a16="http://schemas.microsoft.com/office/drawing/2014/main" id="{335DEBA5-FDD9-4317-967A-057464845958}"/>
            </a:ext>
          </a:extLst>
        </xdr:cNvPr>
        <xdr:cNvGrpSpPr/>
      </xdr:nvGrpSpPr>
      <xdr:grpSpPr>
        <a:xfrm>
          <a:off x="4437891" y="0"/>
          <a:ext cx="1055474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A90852B2-C958-4237-A4ED-B8D3ADFF684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59FA9FF-9037-452C-820F-7FE88C8906BB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1699034-88D6-4F83-B34F-633A91DA0F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absoluteAnchor>
  <xdr:absoluteAnchor>
    <xdr:pos x="5734823" y="0"/>
    <xdr:ext cx="990997" cy="781050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B42B4502-017E-42AF-ADDC-303097ADE49B}"/>
            </a:ext>
          </a:extLst>
        </xdr:cNvPr>
        <xdr:cNvSpPr/>
      </xdr:nvSpPr>
      <xdr:spPr>
        <a:xfrm>
          <a:off x="5734823" y="0"/>
          <a:ext cx="990997" cy="781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5708112" y="514894"/>
    <xdr:ext cx="1209853" cy="25443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4EE517E-ECEE-486C-BC81-097616AEBA58}"/>
            </a:ext>
          </a:extLst>
        </xdr:cNvPr>
        <xdr:cNvSpPr txBox="1"/>
      </xdr:nvSpPr>
      <xdr:spPr>
        <a:xfrm rot="10800000" flipH="1" flipV="1">
          <a:off x="5708112" y="514894"/>
          <a:ext cx="120985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absoluteAnchor>
  <xdr:absoluteAnchor>
    <xdr:pos x="6009519" y="91651"/>
    <xdr:ext cx="411125" cy="402850"/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2AE4AD-B941-4620-8EFA-7D6049DED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09519" y="91651"/>
          <a:ext cx="411125" cy="402850"/>
        </a:xfrm>
        <a:prstGeom prst="rect">
          <a:avLst/>
        </a:prstGeom>
      </xdr:spPr>
    </xdr:pic>
    <xdr:clientData/>
  </xdr:absoluteAnchor>
  <xdr:absoluteAnchor>
    <xdr:pos x="7130740" y="0"/>
    <xdr:ext cx="1050030" cy="781050"/>
    <xdr:grpSp>
      <xdr:nvGrpSpPr>
        <xdr:cNvPr id="16" name="Agrupar 15">
          <a:extLst>
            <a:ext uri="{FF2B5EF4-FFF2-40B4-BE49-F238E27FC236}">
              <a16:creationId xmlns:a16="http://schemas.microsoft.com/office/drawing/2014/main" id="{DBFCAD72-0CA3-4613-A2EA-4BE134E0160A}"/>
            </a:ext>
          </a:extLst>
        </xdr:cNvPr>
        <xdr:cNvGrpSpPr/>
      </xdr:nvGrpSpPr>
      <xdr:grpSpPr>
        <a:xfrm>
          <a:off x="7130740" y="0"/>
          <a:ext cx="1050030" cy="781050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56B09C5D-504C-42B9-82CE-84C7083F297E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72DAF5AE-DBD1-4DE8-88B2-9C236307D2B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CAF9D9-9BCC-40B9-A75F-DBE866EF4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absoluteAnchor>
  <xdr:absoluteAnchor>
    <xdr:pos x="8428116" y="0"/>
    <xdr:ext cx="986173" cy="781050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12250DB-9DF8-4F7A-91BE-FB49F4CC78CD}"/>
            </a:ext>
          </a:extLst>
        </xdr:cNvPr>
        <xdr:cNvSpPr/>
      </xdr:nvSpPr>
      <xdr:spPr>
        <a:xfrm>
          <a:off x="8428116" y="0"/>
          <a:ext cx="986173" cy="781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8393543" y="509194"/>
    <xdr:ext cx="1081700" cy="251614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7DBD12FD-D3B1-42E2-A544-F2FCF831B5F8}"/>
            </a:ext>
          </a:extLst>
        </xdr:cNvPr>
        <xdr:cNvSpPr txBox="1"/>
      </xdr:nvSpPr>
      <xdr:spPr>
        <a:xfrm rot="10800000" flipH="1" flipV="1">
          <a:off x="8393543" y="509194"/>
          <a:ext cx="1081700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absoluteAnchor>
  <xdr:absoluteAnchor>
    <xdr:pos x="8735743" y="90636"/>
    <xdr:ext cx="405553" cy="398390"/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1C5CF-B635-4D9B-97B4-0C8D5620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35743" y="90636"/>
          <a:ext cx="405553" cy="398390"/>
        </a:xfrm>
        <a:prstGeom prst="rect">
          <a:avLst/>
        </a:prstGeom>
      </xdr:spPr>
    </xdr:pic>
    <xdr:clientData/>
  </xdr:absoluteAnchor>
  <xdr:absoluteAnchor>
    <xdr:pos x="9687041" y="0"/>
    <xdr:ext cx="1172730" cy="781050"/>
    <xdr:grpSp>
      <xdr:nvGrpSpPr>
        <xdr:cNvPr id="23" name="Agrupar 22">
          <a:extLst>
            <a:ext uri="{FF2B5EF4-FFF2-40B4-BE49-F238E27FC236}">
              <a16:creationId xmlns:a16="http://schemas.microsoft.com/office/drawing/2014/main" id="{87EB7914-7652-40E4-9F8C-B6A810FDFE02}"/>
            </a:ext>
          </a:extLst>
        </xdr:cNvPr>
        <xdr:cNvGrpSpPr/>
      </xdr:nvGrpSpPr>
      <xdr:grpSpPr>
        <a:xfrm>
          <a:off x="9687041" y="0"/>
          <a:ext cx="1172730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E32C819-820B-4AB9-A713-D4C1498669B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A721F74-5071-434B-B865-D47EA021E6F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6CD85B7-217D-400C-977A-5DCCF2859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absoluteAnchor>
  <xdr:absoluteAnchor>
    <xdr:pos x="11071559" y="0"/>
    <xdr:ext cx="1116336" cy="781050"/>
    <xdr:grpSp>
      <xdr:nvGrpSpPr>
        <xdr:cNvPr id="27" name="Agrupar 26">
          <a:extLst>
            <a:ext uri="{FF2B5EF4-FFF2-40B4-BE49-F238E27FC236}">
              <a16:creationId xmlns:a16="http://schemas.microsoft.com/office/drawing/2014/main" id="{D84E4C39-E9D5-459E-A554-2344B4425B51}"/>
            </a:ext>
          </a:extLst>
        </xdr:cNvPr>
        <xdr:cNvGrpSpPr/>
      </xdr:nvGrpSpPr>
      <xdr:grpSpPr>
        <a:xfrm>
          <a:off x="11071559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C63C406-63B7-4EBB-AA10-D99FE158BA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72D78A3-F1B6-48BA-B2F8-F85FA976024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0CF58B0-13D8-4B0D-BD72-A6F842CE27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absoluteAnchor>
  <xdr:absoluteAnchor>
    <xdr:pos x="3178397" y="0"/>
    <xdr:ext cx="1059915" cy="781050"/>
    <xdr:grpSp>
      <xdr:nvGrpSpPr>
        <xdr:cNvPr id="31" name="Agrupar 30">
          <a:extLst>
            <a:ext uri="{FF2B5EF4-FFF2-40B4-BE49-F238E27FC236}">
              <a16:creationId xmlns:a16="http://schemas.microsoft.com/office/drawing/2014/main" id="{14B9661D-B788-4449-BD55-3B90553E2A33}"/>
            </a:ext>
          </a:extLst>
        </xdr:cNvPr>
        <xdr:cNvGrpSpPr/>
      </xdr:nvGrpSpPr>
      <xdr:grpSpPr>
        <a:xfrm>
          <a:off x="3178397" y="0"/>
          <a:ext cx="1059915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084F55E-DF7D-438E-AECC-37A85ECBCD2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2C07A43-4D2B-4FE4-B006-4BCD03CC6ED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8823DE-74D5-47E4-B252-F90160BF01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absoluteAnchor>
  <xdr:absoluteAnchor>
    <xdr:pos x="0" y="1"/>
    <xdr:ext cx="1819741" cy="761999"/>
    <xdr:pic>
      <xdr:nvPicPr>
        <xdr:cNvPr id="35" name="Imagem 34">
          <a:extLst>
            <a:ext uri="{FF2B5EF4-FFF2-40B4-BE49-F238E27FC236}">
              <a16:creationId xmlns:a16="http://schemas.microsoft.com/office/drawing/2014/main" id="{A3C23A8C-8B96-40E7-B32A-548916CE61C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"/>
          <a:ext cx="1819741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absoluteAnchor>
  <xdr:absoluteAnchor>
    <xdr:pos x="12295413" y="10885"/>
    <xdr:ext cx="1052012" cy="781050"/>
    <xdr:grpSp>
      <xdr:nvGrpSpPr>
        <xdr:cNvPr id="36" name="Agrupar 35">
          <a:extLst>
            <a:ext uri="{FF2B5EF4-FFF2-40B4-BE49-F238E27FC236}">
              <a16:creationId xmlns:a16="http://schemas.microsoft.com/office/drawing/2014/main" id="{F6DE3206-C252-47C0-8290-6356459CBE67}"/>
            </a:ext>
          </a:extLst>
        </xdr:cNvPr>
        <xdr:cNvGrpSpPr/>
      </xdr:nvGrpSpPr>
      <xdr:grpSpPr>
        <a:xfrm>
          <a:off x="12295413" y="10885"/>
          <a:ext cx="1052012" cy="781050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132043F6-E5D7-49A9-9AAA-C2EB3F969E57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AFF3D456-7F28-4A24-A8EA-1C610326FAE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absoluteAnchor>
  <xdr:absoluteAnchor>
    <xdr:pos x="25327841" y="54429"/>
    <xdr:ext cx="413932" cy="431935"/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B4AE489E-3CA1-4EF2-B878-1158DD263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841" y="54429"/>
          <a:ext cx="413932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609600" y="857252"/>
    <xdr:ext cx="1902849" cy="428400"/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C6F226-3A04-4B5C-AB07-8943EAE4AC5F}"/>
            </a:ext>
          </a:extLst>
        </xdr:cNvPr>
        <xdr:cNvSpPr/>
      </xdr:nvSpPr>
      <xdr:spPr>
        <a:xfrm>
          <a:off x="609600" y="857252"/>
          <a:ext cx="1902849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absoluteAnchor>
  <xdr:absoluteAnchor>
    <xdr:pos x="3100792" y="857252"/>
    <xdr:ext cx="1793649" cy="428400"/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DB51C8C-4C97-4253-8271-D529C0F0666C}"/>
            </a:ext>
          </a:extLst>
        </xdr:cNvPr>
        <xdr:cNvSpPr/>
      </xdr:nvSpPr>
      <xdr:spPr>
        <a:xfrm>
          <a:off x="3100792" y="857252"/>
          <a:ext cx="1793649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22566829" y="87086"/>
    <xdr:ext cx="434714" cy="431935"/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AB2C852-50B9-473B-AC1E-4544444C8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66829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5451761" y="850325"/>
    <xdr:ext cx="1987612" cy="428400"/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EB75970D-DAF7-4C0D-ABD0-537EB1246B8F}"/>
            </a:ext>
          </a:extLst>
        </xdr:cNvPr>
        <xdr:cNvSpPr/>
      </xdr:nvSpPr>
      <xdr:spPr>
        <a:xfrm>
          <a:off x="5451761" y="850325"/>
          <a:ext cx="198761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12569536" y="83125"/>
    <xdr:ext cx="434714" cy="431935"/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A3ED01CF-8A86-4A5B-A6B4-3ED5C5055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9536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82AD5F8-F59F-4212-AF1A-8962A208BDE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323656" y="0"/>
          <a:ext cx="160578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2924172" y="0"/>
          <a:ext cx="1546326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441414" y="0"/>
          <a:ext cx="156521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127263" y="0"/>
          <a:ext cx="150101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3</xdr:row>
      <xdr:rowOff>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C6A949E-7B38-47DE-A91F-CEA9BA0BD17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366518" y="0"/>
          <a:ext cx="1505775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2871784" y="0"/>
          <a:ext cx="159871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422364" y="0"/>
          <a:ext cx="162712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127263" y="0"/>
          <a:ext cx="160578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esktop/Pastin/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 (2)"/>
      <sheetName val="TAM"/>
    </sheetNames>
    <definedNames>
      <definedName name="BotaoComLogi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  <sheetName val="13_11(VBA) MacrosCompras4.0"/>
    </sheetNames>
    <definedNames>
      <definedName name="MaiorPmenorPreço"/>
      <definedName name="MenoPMaiorPreç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drawing" Target="../drawings/drawing42.xm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printerSettings" Target="../printerSettings/printerSettings41.bin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oquimsilva@email.com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3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zoomScale="40" zoomScaleNormal="40" workbookViewId="0"/>
  </sheetViews>
  <sheetFormatPr defaultColWidth="8.85546875" defaultRowHeight="15" zeroHeight="1" x14ac:dyDescent="0.25"/>
  <cols>
    <col min="1" max="48" width="8.85546875" customWidth="1"/>
    <col min="49" max="49" width="105.7109375" customWidth="1"/>
    <col min="50" max="16383" width="0" hidden="1" customWidth="1"/>
    <col min="16384" max="16384" width="84.7109375" customWidth="1"/>
  </cols>
  <sheetData>
    <row r="1" spans="1:49" ht="61.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15" customHeight="1" x14ac:dyDescent="0.4">
      <c r="A2" s="422" t="s">
        <v>0</v>
      </c>
      <c r="B2" s="42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22"/>
      <c r="AP2" s="422"/>
      <c r="AQ2" s="422"/>
      <c r="AR2" s="422"/>
      <c r="AS2" s="422"/>
      <c r="AT2" s="422"/>
      <c r="AU2" s="422"/>
      <c r="AV2" s="422"/>
      <c r="AW2" s="422"/>
    </row>
    <row r="3" spans="1:49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25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2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P1:P8"/>
  <sheetViews>
    <sheetView tabSelected="1" zoomScale="40" zoomScaleNormal="40" workbookViewId="0">
      <selection activeCell="AC28" sqref="AC28"/>
    </sheetView>
  </sheetViews>
  <sheetFormatPr defaultColWidth="8.85546875" defaultRowHeight="29.1" customHeight="1" x14ac:dyDescent="0.25"/>
  <cols>
    <col min="1" max="2" width="8.85546875" style="23"/>
    <col min="3" max="3" width="8.85546875" style="23" customWidth="1"/>
    <col min="4" max="4" width="8.85546875" style="23"/>
    <col min="5" max="22" width="8.85546875" style="23" customWidth="1"/>
    <col min="23" max="16384" width="8.85546875" style="23"/>
  </cols>
  <sheetData>
    <row r="1" s="2" customFormat="1" ht="15" x14ac:dyDescent="0.25"/>
    <row r="2" s="2" customFormat="1" ht="15" x14ac:dyDescent="0.25"/>
    <row r="3" s="2" customFormat="1" ht="61.5" customHeight="1" x14ac:dyDescent="0.25"/>
    <row r="4" s="22" customFormat="1" ht="45.75" customHeight="1" x14ac:dyDescent="0.25"/>
    <row r="5" s="22" customFormat="1" ht="15" x14ac:dyDescent="0.25"/>
    <row r="6" s="22" customFormat="1" ht="15" x14ac:dyDescent="0.25"/>
    <row r="7" s="22" customFormat="1" ht="15" x14ac:dyDescent="0.25"/>
    <row r="8" s="551" customFormat="1" ht="29.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39"/>
  <sheetViews>
    <sheetView zoomScale="40" zoomScaleNormal="40" workbookViewId="0">
      <selection activeCell="Q13" sqref="Q13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  <col min="17" max="17" width="34" customWidth="1"/>
    <col min="18" max="18" width="15.7109375" customWidth="1"/>
    <col min="19" max="19" width="21.28515625" customWidth="1"/>
    <col min="20" max="20" width="19.28515625" bestFit="1" customWidth="1"/>
    <col min="21" max="21" width="14.5703125" bestFit="1" customWidth="1"/>
    <col min="22" max="22" width="26.7109375" bestFit="1" customWidth="1"/>
    <col min="52" max="53" width="8.85546875"/>
  </cols>
  <sheetData>
    <row r="1" spans="1:62" s="2" customFormat="1" x14ac:dyDescent="0.25"/>
    <row r="2" spans="1:62" s="2" customFormat="1" x14ac:dyDescent="0.25"/>
    <row r="3" spans="1:62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62" ht="46.15" customHeight="1" x14ac:dyDescent="0.25">
      <c r="A4" s="423"/>
      <c r="B4" s="423"/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F4" s="423"/>
      <c r="AG4" s="423"/>
      <c r="AH4" s="423"/>
      <c r="AI4" s="423"/>
      <c r="AJ4" s="423"/>
      <c r="AK4" s="423"/>
      <c r="AL4" s="423"/>
      <c r="AM4" s="423"/>
      <c r="AN4" s="423"/>
      <c r="AO4" s="423"/>
      <c r="AP4" s="423"/>
      <c r="AQ4" s="423"/>
      <c r="AR4" s="423"/>
      <c r="AS4" s="423"/>
      <c r="AT4" s="423"/>
      <c r="AU4" s="423"/>
      <c r="AV4" s="423"/>
      <c r="AW4" s="423"/>
      <c r="AX4" s="423"/>
      <c r="AY4" s="423"/>
      <c r="AZ4" s="423"/>
      <c r="BA4" s="423"/>
      <c r="BB4" s="423"/>
      <c r="BC4" s="423"/>
      <c r="BD4" s="423"/>
      <c r="BE4" s="423"/>
      <c r="BF4" s="423"/>
      <c r="BG4" s="423"/>
      <c r="BH4" s="423"/>
      <c r="BI4" s="423"/>
      <c r="BJ4" s="423"/>
    </row>
    <row r="5" spans="1:62" x14ac:dyDescent="0.25">
      <c r="A5" s="423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F5" s="423"/>
      <c r="AG5" s="423"/>
      <c r="AH5" s="423"/>
      <c r="AI5" s="423"/>
      <c r="AJ5" s="423"/>
      <c r="AK5" s="423"/>
      <c r="AL5" s="423"/>
      <c r="AM5" s="423"/>
      <c r="AN5" s="423"/>
      <c r="AO5" s="423"/>
      <c r="AP5" s="423"/>
      <c r="AQ5" s="423"/>
      <c r="AR5" s="423"/>
      <c r="AS5" s="423"/>
      <c r="AT5" s="423"/>
      <c r="AU5" s="423"/>
      <c r="AV5" s="423"/>
      <c r="AW5" s="423"/>
      <c r="AX5" s="423"/>
      <c r="AY5" s="423"/>
      <c r="AZ5" s="423"/>
      <c r="BA5" s="423"/>
      <c r="BB5" s="423"/>
      <c r="BC5" s="423"/>
      <c r="BD5" s="423"/>
      <c r="BE5" s="423"/>
      <c r="BF5" s="423"/>
      <c r="BG5" s="423"/>
      <c r="BH5" s="423"/>
      <c r="BI5" s="423"/>
      <c r="BJ5" s="423"/>
    </row>
    <row r="6" spans="1:62" x14ac:dyDescent="0.25">
      <c r="A6" s="423"/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3"/>
      <c r="W6" s="423"/>
      <c r="X6" s="423"/>
      <c r="Y6" s="423"/>
      <c r="Z6" s="423"/>
      <c r="AA6" s="423"/>
      <c r="AB6" s="423"/>
      <c r="AC6" s="423"/>
      <c r="AD6" s="423"/>
      <c r="AE6" s="423"/>
      <c r="AF6" s="423"/>
      <c r="AG6" s="423"/>
      <c r="AH6" s="423"/>
      <c r="AI6" s="423"/>
      <c r="AJ6" s="423"/>
      <c r="AK6" s="423"/>
      <c r="AL6" s="423"/>
      <c r="AM6" s="423"/>
      <c r="AN6" s="423"/>
      <c r="AO6" s="423"/>
      <c r="AP6" s="423"/>
      <c r="AQ6" s="423"/>
      <c r="AR6" s="423"/>
      <c r="AS6" s="423"/>
      <c r="AT6" s="423"/>
      <c r="AU6" s="423"/>
      <c r="AV6" s="423"/>
      <c r="AW6" s="423"/>
      <c r="AX6" s="423"/>
      <c r="AY6" s="423"/>
      <c r="AZ6" s="423"/>
      <c r="BA6" s="423"/>
      <c r="BB6" s="423"/>
      <c r="BC6" s="423"/>
      <c r="BD6" s="423"/>
      <c r="BE6" s="423"/>
      <c r="BF6" s="423"/>
      <c r="BG6" s="423"/>
      <c r="BH6" s="423"/>
      <c r="BI6" s="423"/>
      <c r="BJ6" s="423"/>
    </row>
    <row r="7" spans="1:62" x14ac:dyDescent="0.25">
      <c r="A7" s="423"/>
      <c r="B7" s="423"/>
      <c r="C7" s="423"/>
      <c r="D7" s="423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/>
      <c r="AI7" s="423"/>
      <c r="AJ7" s="423"/>
      <c r="AK7" s="423"/>
      <c r="AL7" s="423"/>
      <c r="AM7" s="423"/>
      <c r="AN7" s="423"/>
      <c r="AO7" s="423"/>
      <c r="AP7" s="423"/>
      <c r="AQ7" s="423"/>
      <c r="AR7" s="423"/>
      <c r="AS7" s="423"/>
      <c r="AT7" s="423"/>
      <c r="AU7" s="423"/>
      <c r="AV7" s="423"/>
      <c r="AW7" s="423"/>
      <c r="AX7" s="423"/>
      <c r="AY7" s="423"/>
      <c r="AZ7" s="423"/>
      <c r="BA7" s="423"/>
      <c r="BB7" s="423"/>
      <c r="BC7" s="423"/>
      <c r="BD7" s="423"/>
      <c r="BE7" s="423"/>
      <c r="BF7" s="423"/>
      <c r="BG7" s="423"/>
      <c r="BH7" s="423"/>
      <c r="BI7" s="423"/>
      <c r="BJ7" s="423"/>
    </row>
    <row r="9" spans="1:62" ht="14.45" customHeight="1" x14ac:dyDescent="0.25"/>
    <row r="10" spans="1:62" ht="14.45" customHeight="1" thickBot="1" x14ac:dyDescent="0.3"/>
    <row r="11" spans="1:62" ht="25.15" customHeight="1" x14ac:dyDescent="0.25">
      <c r="Q11" s="428" t="s">
        <v>1</v>
      </c>
      <c r="R11" s="429"/>
      <c r="S11" s="429"/>
      <c r="T11" s="429"/>
      <c r="U11" s="429"/>
      <c r="V11" s="430"/>
    </row>
    <row r="12" spans="1:62" ht="25.15" customHeight="1" x14ac:dyDescent="0.25">
      <c r="Q12" s="431"/>
      <c r="R12" s="432"/>
      <c r="S12" s="432"/>
      <c r="T12" s="432"/>
      <c r="U12" s="432"/>
      <c r="V12" s="433"/>
    </row>
    <row r="13" spans="1:62" ht="75" customHeight="1" x14ac:dyDescent="0.25">
      <c r="Q13" s="416" t="s">
        <v>2</v>
      </c>
      <c r="R13" s="417" t="s">
        <v>3</v>
      </c>
      <c r="S13" s="417" t="s">
        <v>4</v>
      </c>
      <c r="T13" s="417" t="s">
        <v>5</v>
      </c>
      <c r="U13" s="418" t="s">
        <v>6</v>
      </c>
      <c r="V13" s="419" t="s">
        <v>7</v>
      </c>
    </row>
    <row r="14" spans="1:62" ht="60" customHeight="1" x14ac:dyDescent="0.25">
      <c r="Q14" s="414" t="s">
        <v>8</v>
      </c>
      <c r="R14" s="90">
        <v>2</v>
      </c>
      <c r="S14" s="91">
        <v>1</v>
      </c>
      <c r="T14" s="91">
        <v>0</v>
      </c>
      <c r="U14" s="91">
        <v>1</v>
      </c>
      <c r="V14" s="92">
        <v>2</v>
      </c>
    </row>
    <row r="15" spans="1:62" ht="60" customHeight="1" x14ac:dyDescent="0.25">
      <c r="Q15" s="414" t="s">
        <v>9</v>
      </c>
      <c r="R15" s="93">
        <v>2</v>
      </c>
      <c r="S15" s="94">
        <v>1</v>
      </c>
      <c r="T15" s="94">
        <v>0</v>
      </c>
      <c r="U15" s="94">
        <v>2</v>
      </c>
      <c r="V15" s="95">
        <v>1</v>
      </c>
    </row>
    <row r="16" spans="1:62" ht="60" customHeight="1" x14ac:dyDescent="0.25">
      <c r="Q16" s="414" t="s">
        <v>10</v>
      </c>
      <c r="R16" s="93">
        <v>1</v>
      </c>
      <c r="S16" s="94">
        <v>1</v>
      </c>
      <c r="T16" s="94">
        <v>5</v>
      </c>
      <c r="U16" s="94">
        <v>3</v>
      </c>
      <c r="V16" s="95">
        <v>2</v>
      </c>
    </row>
    <row r="17" spans="17:22" ht="60" customHeight="1" thickBot="1" x14ac:dyDescent="0.3">
      <c r="Q17" s="415" t="s">
        <v>11</v>
      </c>
      <c r="R17" s="96">
        <v>4</v>
      </c>
      <c r="S17" s="97">
        <v>1</v>
      </c>
      <c r="T17" s="97">
        <v>0</v>
      </c>
      <c r="U17" s="97">
        <v>4</v>
      </c>
      <c r="V17" s="98">
        <v>1</v>
      </c>
    </row>
    <row r="20" spans="17:22" ht="14.45" customHeight="1" x14ac:dyDescent="0.25"/>
    <row r="21" spans="17:22" ht="14.45" customHeight="1" thickBot="1" x14ac:dyDescent="0.3"/>
    <row r="22" spans="17:22" ht="25.5" customHeight="1" x14ac:dyDescent="0.25">
      <c r="R22" s="434" t="s">
        <v>10</v>
      </c>
      <c r="S22" s="435"/>
      <c r="T22" s="435"/>
      <c r="U22" s="436"/>
    </row>
    <row r="23" spans="17:22" ht="25.5" customHeight="1" x14ac:dyDescent="0.25">
      <c r="R23" s="437"/>
      <c r="S23" s="438"/>
      <c r="T23" s="438"/>
      <c r="U23" s="439"/>
    </row>
    <row r="24" spans="17:22" ht="37.5" customHeight="1" x14ac:dyDescent="0.25">
      <c r="R24" s="440" t="s">
        <v>12</v>
      </c>
      <c r="S24" s="441"/>
      <c r="T24" s="444">
        <v>1</v>
      </c>
      <c r="U24" s="424"/>
    </row>
    <row r="25" spans="17:22" ht="37.5" customHeight="1" x14ac:dyDescent="0.25">
      <c r="R25" s="442"/>
      <c r="S25" s="443"/>
      <c r="T25" s="445"/>
      <c r="U25" s="425"/>
    </row>
    <row r="26" spans="17:22" ht="15" customHeight="1" x14ac:dyDescent="0.25">
      <c r="R26" s="3"/>
      <c r="S26" s="4"/>
      <c r="T26" s="5" t="s">
        <v>13</v>
      </c>
      <c r="U26" s="6" t="s">
        <v>13</v>
      </c>
    </row>
    <row r="27" spans="17:22" ht="23.25" x14ac:dyDescent="0.25">
      <c r="R27" s="426" t="s">
        <v>3</v>
      </c>
      <c r="S27" s="427"/>
      <c r="T27" s="99">
        <f>VLOOKUP(R22,Q14:V17,2,FALSE)*T24</f>
        <v>1</v>
      </c>
      <c r="U27" s="7"/>
    </row>
    <row r="28" spans="17:22" ht="28.5" x14ac:dyDescent="0.35">
      <c r="R28" s="100"/>
      <c r="S28" s="101" t="s">
        <v>13</v>
      </c>
      <c r="T28" s="10" t="s">
        <v>13</v>
      </c>
      <c r="U28" s="6" t="s">
        <v>13</v>
      </c>
    </row>
    <row r="29" spans="17:22" ht="23.25" x14ac:dyDescent="0.25">
      <c r="R29" s="426" t="s">
        <v>4</v>
      </c>
      <c r="S29" s="427"/>
      <c r="T29" s="99">
        <f>VLOOKUP(R22,Q14:V17,3,FALSE)*T24</f>
        <v>1</v>
      </c>
      <c r="U29" s="7"/>
    </row>
    <row r="30" spans="17:22" ht="28.5" x14ac:dyDescent="0.25">
      <c r="R30" s="102"/>
      <c r="S30" s="101" t="s">
        <v>13</v>
      </c>
      <c r="T30" s="10" t="s">
        <v>13</v>
      </c>
      <c r="U30" s="6" t="s">
        <v>13</v>
      </c>
    </row>
    <row r="31" spans="17:22" ht="23.25" x14ac:dyDescent="0.25">
      <c r="R31" s="426" t="s">
        <v>5</v>
      </c>
      <c r="S31" s="427"/>
      <c r="T31" s="99">
        <f>VLOOKUP(R22,Q14:V17,4,FALSE)*T24</f>
        <v>5</v>
      </c>
      <c r="U31" s="7"/>
    </row>
    <row r="32" spans="17:22" ht="28.5" x14ac:dyDescent="0.35">
      <c r="R32" s="100"/>
      <c r="S32" s="101" t="s">
        <v>13</v>
      </c>
      <c r="T32" s="10" t="s">
        <v>13</v>
      </c>
      <c r="U32" s="6" t="s">
        <v>13</v>
      </c>
    </row>
    <row r="33" spans="18:21" ht="23.25" x14ac:dyDescent="0.25">
      <c r="R33" s="426" t="s">
        <v>6</v>
      </c>
      <c r="S33" s="427"/>
      <c r="T33" s="99">
        <f>VLOOKUP(R22,Q14:V17,5,FALSE)*T24</f>
        <v>3</v>
      </c>
      <c r="U33" s="7"/>
    </row>
    <row r="34" spans="18:21" ht="28.5" x14ac:dyDescent="0.25">
      <c r="R34" s="102"/>
      <c r="S34" s="101"/>
      <c r="T34" s="103"/>
      <c r="U34" s="6"/>
    </row>
    <row r="35" spans="18:21" ht="23.25" x14ac:dyDescent="0.25">
      <c r="R35" s="426" t="s">
        <v>7</v>
      </c>
      <c r="S35" s="427"/>
      <c r="T35" s="99">
        <f>VLOOKUP(R22,Q14:V17,6,FALSE)*T24</f>
        <v>2</v>
      </c>
      <c r="U35" s="7"/>
    </row>
    <row r="36" spans="18:21" ht="28.5" x14ac:dyDescent="0.25">
      <c r="R36" s="3"/>
      <c r="S36" s="10"/>
      <c r="T36" s="9"/>
      <c r="U36" s="11"/>
    </row>
    <row r="37" spans="18:21" ht="28.5" x14ac:dyDescent="0.25">
      <c r="R37" s="3"/>
      <c r="S37" s="10"/>
      <c r="T37" s="9"/>
      <c r="U37" s="11"/>
    </row>
    <row r="38" spans="18:21" ht="28.5" x14ac:dyDescent="0.45">
      <c r="R38" s="3"/>
      <c r="S38" s="12"/>
      <c r="T38" s="12"/>
      <c r="U38" s="13"/>
    </row>
    <row r="39" spans="18:21" ht="29.25" thickBot="1" x14ac:dyDescent="0.5">
      <c r="R39" s="14"/>
      <c r="S39" s="15"/>
      <c r="T39" s="15"/>
      <c r="U39" s="16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M1:AF63"/>
  <sheetViews>
    <sheetView zoomScale="40" zoomScaleNormal="40" workbookViewId="0">
      <selection activeCell="N51" sqref="N51"/>
    </sheetView>
  </sheetViews>
  <sheetFormatPr defaultRowHeight="31.5" x14ac:dyDescent="0.5"/>
  <cols>
    <col min="1" max="7" width="9.140625" style="506"/>
    <col min="8" max="8" width="8.85546875" style="506" customWidth="1"/>
    <col min="9" max="9" width="9.140625" style="506"/>
    <col min="10" max="10" width="35.7109375" style="506" customWidth="1"/>
    <col min="11" max="13" width="9.140625" style="506"/>
    <col min="14" max="14" width="23.42578125" style="506" customWidth="1"/>
    <col min="15" max="15" width="9.140625" style="506"/>
    <col min="16" max="16" width="11.42578125" style="506" customWidth="1"/>
    <col min="17" max="17" width="9.140625" style="506"/>
    <col min="18" max="18" width="47.42578125" style="506" customWidth="1"/>
    <col min="19" max="22" width="9.140625" style="506"/>
    <col min="23" max="23" width="17.28515625" style="506" customWidth="1"/>
    <col min="24" max="24" width="6.28515625" style="506" customWidth="1"/>
    <col min="25" max="25" width="28.28515625" style="506" customWidth="1"/>
    <col min="26" max="26" width="9.140625" style="506"/>
    <col min="27" max="27" width="6.28515625" style="506" customWidth="1"/>
    <col min="28" max="28" width="10.5703125" style="506" customWidth="1"/>
    <col min="29" max="29" width="39.42578125" style="506" customWidth="1"/>
    <col min="30" max="30" width="8.85546875" style="506" customWidth="1"/>
    <col min="31" max="31" width="39.42578125" style="506" customWidth="1"/>
    <col min="32" max="32" width="8.85546875" style="506" customWidth="1"/>
    <col min="33" max="33" width="35.7109375" style="506" customWidth="1"/>
    <col min="34" max="16384" width="9.140625" style="506"/>
  </cols>
  <sheetData>
    <row r="1" spans="18:27" s="2" customFormat="1" ht="15" x14ac:dyDescent="0.25"/>
    <row r="2" spans="18:27" s="2" customFormat="1" ht="15" x14ac:dyDescent="0.25"/>
    <row r="3" spans="18:27" s="2" customFormat="1" ht="61.5" customHeight="1" x14ac:dyDescent="0.25"/>
    <row r="4" spans="18:27" s="22" customFormat="1" ht="45.75" customHeight="1" x14ac:dyDescent="0.25"/>
    <row r="5" spans="18:27" s="22" customFormat="1" ht="15" x14ac:dyDescent="0.25"/>
    <row r="6" spans="18:27" s="22" customFormat="1" ht="15" x14ac:dyDescent="0.25"/>
    <row r="7" spans="18:27" s="22" customFormat="1" ht="15" x14ac:dyDescent="0.25"/>
    <row r="8" spans="18:27" ht="28.9" customHeight="1" x14ac:dyDescent="0.5"/>
    <row r="9" spans="18:27" ht="28.9" customHeight="1" x14ac:dyDescent="0.5"/>
    <row r="10" spans="18:27" ht="28.9" customHeight="1" x14ac:dyDescent="0.5"/>
    <row r="11" spans="18:27" ht="28.9" customHeight="1" thickBot="1" x14ac:dyDescent="0.55000000000000004">
      <c r="T11" s="507"/>
      <c r="U11" s="507"/>
      <c r="V11" s="507"/>
      <c r="W11" s="507"/>
      <c r="X11" s="507"/>
      <c r="Y11" s="507"/>
      <c r="Z11" s="507"/>
      <c r="AA11" s="507"/>
    </row>
    <row r="12" spans="18:27" ht="28.9" customHeight="1" x14ac:dyDescent="0.5">
      <c r="R12" s="508" t="s">
        <v>14</v>
      </c>
      <c r="S12" s="509"/>
      <c r="T12" s="509"/>
      <c r="U12" s="509"/>
      <c r="V12" s="509"/>
      <c r="W12" s="509"/>
      <c r="X12" s="509"/>
      <c r="Y12" s="509"/>
      <c r="Z12" s="509"/>
      <c r="AA12" s="510"/>
    </row>
    <row r="13" spans="18:27" ht="28.9" customHeight="1" x14ac:dyDescent="0.5">
      <c r="R13" s="511"/>
      <c r="S13" s="512"/>
      <c r="T13" s="512"/>
      <c r="U13" s="512"/>
      <c r="V13" s="512"/>
      <c r="W13" s="512"/>
      <c r="X13" s="512"/>
      <c r="Y13" s="512"/>
      <c r="Z13" s="512"/>
      <c r="AA13" s="513"/>
    </row>
    <row r="14" spans="18:27" ht="28.9" customHeight="1" x14ac:dyDescent="0.5">
      <c r="R14" s="514" t="s">
        <v>15</v>
      </c>
      <c r="S14" s="515"/>
      <c r="T14" s="515"/>
      <c r="U14" s="515"/>
      <c r="V14" s="515"/>
      <c r="W14" s="515"/>
      <c r="X14" s="515"/>
      <c r="Y14" s="515"/>
      <c r="Z14" s="515"/>
      <c r="AA14" s="516"/>
    </row>
    <row r="15" spans="18:27" ht="28.9" customHeight="1" thickBot="1" x14ac:dyDescent="0.55000000000000004">
      <c r="R15" s="517"/>
      <c r="S15" s="518"/>
      <c r="T15" s="518"/>
      <c r="U15" s="518"/>
      <c r="V15" s="518"/>
      <c r="W15" s="518"/>
      <c r="X15" s="518"/>
      <c r="Y15" s="518"/>
      <c r="Z15" s="518"/>
      <c r="AA15" s="519"/>
    </row>
    <row r="16" spans="18:27" ht="28.9" customHeight="1" x14ac:dyDescent="0.5"/>
    <row r="17" spans="13:32" ht="28.9" customHeight="1" thickBot="1" x14ac:dyDescent="0.55000000000000004">
      <c r="AE17" s="507"/>
      <c r="AF17" s="507"/>
    </row>
    <row r="18" spans="13:32" ht="28.9" customHeight="1" x14ac:dyDescent="0.5">
      <c r="M18" s="520" t="s">
        <v>16</v>
      </c>
      <c r="N18" s="521"/>
      <c r="O18" s="521"/>
      <c r="P18" s="521"/>
      <c r="Q18" s="521"/>
      <c r="R18" s="521"/>
      <c r="S18" s="522"/>
      <c r="X18" s="520" t="s">
        <v>16</v>
      </c>
      <c r="Y18" s="521"/>
      <c r="Z18" s="521"/>
      <c r="AA18" s="521"/>
      <c r="AB18" s="521"/>
      <c r="AC18" s="521"/>
      <c r="AD18" s="522"/>
      <c r="AE18" s="507"/>
      <c r="AF18" s="507"/>
    </row>
    <row r="19" spans="13:32" ht="28.9" customHeight="1" x14ac:dyDescent="0.5">
      <c r="M19" s="523"/>
      <c r="N19" s="524"/>
      <c r="O19" s="524"/>
      <c r="P19" s="524"/>
      <c r="Q19" s="524"/>
      <c r="R19" s="524"/>
      <c r="S19" s="525"/>
      <c r="X19" s="523"/>
      <c r="Y19" s="524"/>
      <c r="Z19" s="524"/>
      <c r="AA19" s="524"/>
      <c r="AB19" s="524"/>
      <c r="AC19" s="524"/>
      <c r="AD19" s="525"/>
      <c r="AE19" s="507"/>
      <c r="AF19" s="507"/>
    </row>
    <row r="20" spans="13:32" ht="28.9" customHeight="1" thickBot="1" x14ac:dyDescent="0.55000000000000004">
      <c r="M20" s="526"/>
      <c r="N20" s="527"/>
      <c r="O20" s="527"/>
      <c r="P20" s="527"/>
      <c r="Q20" s="527"/>
      <c r="R20" s="527"/>
      <c r="S20" s="528"/>
      <c r="X20" s="526"/>
      <c r="Y20" s="527"/>
      <c r="Z20" s="527"/>
      <c r="AA20" s="527"/>
      <c r="AB20" s="527"/>
      <c r="AC20" s="527"/>
      <c r="AD20" s="528"/>
      <c r="AE20" s="529"/>
      <c r="AF20" s="529"/>
    </row>
    <row r="21" spans="13:32" ht="28.9" customHeight="1" x14ac:dyDescent="0.5">
      <c r="M21" s="530" t="s">
        <v>13</v>
      </c>
      <c r="N21" s="531" t="s">
        <v>13</v>
      </c>
      <c r="O21" s="531" t="s">
        <v>13</v>
      </c>
      <c r="P21" s="531" t="s">
        <v>13</v>
      </c>
      <c r="Q21" s="531" t="s">
        <v>13</v>
      </c>
      <c r="R21" s="532" t="s">
        <v>13</v>
      </c>
      <c r="S21" s="533" t="s">
        <v>13</v>
      </c>
      <c r="X21" s="534" t="s">
        <v>13</v>
      </c>
      <c r="Y21" s="535" t="s">
        <v>13</v>
      </c>
      <c r="Z21" s="535" t="s">
        <v>13</v>
      </c>
      <c r="AA21" s="535" t="s">
        <v>13</v>
      </c>
      <c r="AB21" s="535" t="s">
        <v>13</v>
      </c>
      <c r="AC21" s="532" t="s">
        <v>13</v>
      </c>
      <c r="AD21" s="533" t="s">
        <v>13</v>
      </c>
      <c r="AE21" s="536"/>
      <c r="AF21" s="529"/>
    </row>
    <row r="22" spans="13:32" ht="28.9" customHeight="1" x14ac:dyDescent="0.5">
      <c r="M22" s="530" t="s">
        <v>13</v>
      </c>
      <c r="N22" s="537" t="s">
        <v>17</v>
      </c>
      <c r="O22" s="531"/>
      <c r="P22" s="531" t="s">
        <v>13</v>
      </c>
      <c r="Q22" s="531" t="s">
        <v>13</v>
      </c>
      <c r="R22" s="538" t="s">
        <v>18</v>
      </c>
      <c r="S22" s="533" t="s">
        <v>13</v>
      </c>
      <c r="X22" s="534" t="s">
        <v>13</v>
      </c>
      <c r="Y22" s="539" t="s">
        <v>17</v>
      </c>
      <c r="Z22" s="535"/>
      <c r="AA22" s="535" t="s">
        <v>13</v>
      </c>
      <c r="AB22" s="535" t="s">
        <v>13</v>
      </c>
      <c r="AC22" s="538" t="s">
        <v>19</v>
      </c>
      <c r="AD22" s="533" t="s">
        <v>13</v>
      </c>
      <c r="AE22" s="529"/>
      <c r="AF22" s="529"/>
    </row>
    <row r="23" spans="13:32" ht="28.9" customHeight="1" x14ac:dyDescent="0.5">
      <c r="M23" s="530" t="s">
        <v>13</v>
      </c>
      <c r="N23" s="531" t="s">
        <v>13</v>
      </c>
      <c r="O23" s="531" t="s">
        <v>13</v>
      </c>
      <c r="P23" s="531" t="s">
        <v>13</v>
      </c>
      <c r="Q23" s="531" t="s">
        <v>13</v>
      </c>
      <c r="R23" s="532" t="s">
        <v>13</v>
      </c>
      <c r="S23" s="533" t="s">
        <v>13</v>
      </c>
      <c r="X23" s="530" t="s">
        <v>13</v>
      </c>
      <c r="Y23" s="531" t="s">
        <v>13</v>
      </c>
      <c r="Z23" s="531" t="s">
        <v>13</v>
      </c>
      <c r="AA23" s="531" t="s">
        <v>13</v>
      </c>
      <c r="AB23" s="531" t="s">
        <v>13</v>
      </c>
      <c r="AC23" s="532" t="s">
        <v>13</v>
      </c>
      <c r="AD23" s="533" t="s">
        <v>13</v>
      </c>
      <c r="AE23" s="536"/>
      <c r="AF23" s="529"/>
    </row>
    <row r="24" spans="13:32" ht="28.9" customHeight="1" x14ac:dyDescent="0.5">
      <c r="M24" s="530" t="s">
        <v>13</v>
      </c>
      <c r="N24" s="537" t="s">
        <v>20</v>
      </c>
      <c r="O24" s="531"/>
      <c r="P24" s="531" t="s">
        <v>13</v>
      </c>
      <c r="Q24" s="531" t="s">
        <v>13</v>
      </c>
      <c r="R24" s="538" t="s">
        <v>21</v>
      </c>
      <c r="S24" s="533" t="s">
        <v>13</v>
      </c>
      <c r="X24" s="534" t="s">
        <v>13</v>
      </c>
      <c r="Y24" s="539" t="s">
        <v>20</v>
      </c>
      <c r="Z24" s="531"/>
      <c r="AA24" s="531" t="s">
        <v>13</v>
      </c>
      <c r="AB24" s="531" t="s">
        <v>13</v>
      </c>
      <c r="AC24" s="538" t="s">
        <v>22</v>
      </c>
      <c r="AD24" s="533" t="s">
        <v>13</v>
      </c>
      <c r="AE24" s="529"/>
      <c r="AF24" s="529"/>
    </row>
    <row r="25" spans="13:32" ht="28.9" customHeight="1" x14ac:dyDescent="0.5">
      <c r="M25" s="530" t="s">
        <v>13</v>
      </c>
      <c r="N25" s="531" t="s">
        <v>13</v>
      </c>
      <c r="O25" s="531" t="s">
        <v>13</v>
      </c>
      <c r="P25" s="531" t="s">
        <v>13</v>
      </c>
      <c r="Q25" s="531" t="s">
        <v>13</v>
      </c>
      <c r="R25" s="532" t="s">
        <v>13</v>
      </c>
      <c r="S25" s="533" t="s">
        <v>13</v>
      </c>
      <c r="X25" s="534" t="s">
        <v>13</v>
      </c>
      <c r="Y25" s="535" t="s">
        <v>13</v>
      </c>
      <c r="Z25" s="531" t="s">
        <v>13</v>
      </c>
      <c r="AA25" s="531" t="s">
        <v>13</v>
      </c>
      <c r="AB25" s="531" t="s">
        <v>13</v>
      </c>
      <c r="AC25" s="532" t="s">
        <v>13</v>
      </c>
      <c r="AD25" s="533" t="s">
        <v>13</v>
      </c>
      <c r="AE25" s="529"/>
      <c r="AF25" s="529"/>
    </row>
    <row r="26" spans="13:32" ht="28.9" customHeight="1" thickBot="1" x14ac:dyDescent="0.55000000000000004">
      <c r="M26" s="540" t="s">
        <v>13</v>
      </c>
      <c r="N26" s="541" t="s">
        <v>13</v>
      </c>
      <c r="O26" s="541" t="s">
        <v>13</v>
      </c>
      <c r="P26" s="541" t="s">
        <v>13</v>
      </c>
      <c r="Q26" s="541" t="s">
        <v>13</v>
      </c>
      <c r="R26" s="542" t="s">
        <v>13</v>
      </c>
      <c r="S26" s="543" t="s">
        <v>13</v>
      </c>
      <c r="X26" s="544" t="s">
        <v>13</v>
      </c>
      <c r="Y26" s="545" t="s">
        <v>13</v>
      </c>
      <c r="Z26" s="541" t="s">
        <v>13</v>
      </c>
      <c r="AA26" s="541" t="s">
        <v>13</v>
      </c>
      <c r="AB26" s="541" t="s">
        <v>13</v>
      </c>
      <c r="AC26" s="542" t="s">
        <v>13</v>
      </c>
      <c r="AD26" s="543" t="s">
        <v>13</v>
      </c>
    </row>
    <row r="27" spans="13:32" ht="28.9" customHeight="1" x14ac:dyDescent="0.5"/>
    <row r="28" spans="13:32" ht="28.9" customHeight="1" thickBot="1" x14ac:dyDescent="0.55000000000000004">
      <c r="AE28" s="507"/>
      <c r="AF28" s="507"/>
    </row>
    <row r="29" spans="13:32" ht="28.9" customHeight="1" x14ac:dyDescent="0.5">
      <c r="M29" s="520" t="s">
        <v>16</v>
      </c>
      <c r="N29" s="521"/>
      <c r="O29" s="521"/>
      <c r="P29" s="521"/>
      <c r="Q29" s="521"/>
      <c r="R29" s="521"/>
      <c r="S29" s="522"/>
      <c r="X29" s="520" t="s">
        <v>16</v>
      </c>
      <c r="Y29" s="521"/>
      <c r="Z29" s="521"/>
      <c r="AA29" s="521"/>
      <c r="AB29" s="521"/>
      <c r="AC29" s="521"/>
      <c r="AD29" s="522"/>
      <c r="AE29" s="507"/>
      <c r="AF29" s="507"/>
    </row>
    <row r="30" spans="13:32" ht="28.9" customHeight="1" x14ac:dyDescent="0.5">
      <c r="M30" s="523"/>
      <c r="N30" s="524"/>
      <c r="O30" s="524"/>
      <c r="P30" s="524"/>
      <c r="Q30" s="524"/>
      <c r="R30" s="524"/>
      <c r="S30" s="525"/>
      <c r="X30" s="523"/>
      <c r="Y30" s="524"/>
      <c r="Z30" s="524"/>
      <c r="AA30" s="524"/>
      <c r="AB30" s="524"/>
      <c r="AC30" s="524"/>
      <c r="AD30" s="525"/>
      <c r="AE30" s="507"/>
      <c r="AF30" s="507"/>
    </row>
    <row r="31" spans="13:32" ht="28.9" customHeight="1" thickBot="1" x14ac:dyDescent="0.55000000000000004">
      <c r="M31" s="526"/>
      <c r="N31" s="527"/>
      <c r="O31" s="527"/>
      <c r="P31" s="527"/>
      <c r="Q31" s="527"/>
      <c r="R31" s="527"/>
      <c r="S31" s="528"/>
      <c r="X31" s="526"/>
      <c r="Y31" s="527"/>
      <c r="Z31" s="527"/>
      <c r="AA31" s="527"/>
      <c r="AB31" s="527"/>
      <c r="AC31" s="527"/>
      <c r="AD31" s="528"/>
      <c r="AE31" s="529"/>
      <c r="AF31" s="529"/>
    </row>
    <row r="32" spans="13:32" ht="28.9" customHeight="1" x14ac:dyDescent="0.5">
      <c r="M32" s="530" t="s">
        <v>13</v>
      </c>
      <c r="N32" s="531" t="s">
        <v>13</v>
      </c>
      <c r="O32" s="531" t="s">
        <v>13</v>
      </c>
      <c r="P32" s="531" t="s">
        <v>13</v>
      </c>
      <c r="Q32" s="531" t="s">
        <v>13</v>
      </c>
      <c r="R32" s="532" t="s">
        <v>13</v>
      </c>
      <c r="S32" s="533" t="s">
        <v>13</v>
      </c>
      <c r="X32" s="534" t="s">
        <v>13</v>
      </c>
      <c r="Y32" s="535" t="s">
        <v>13</v>
      </c>
      <c r="Z32" s="535" t="s">
        <v>13</v>
      </c>
      <c r="AA32" s="535" t="s">
        <v>13</v>
      </c>
      <c r="AB32" s="535" t="s">
        <v>13</v>
      </c>
      <c r="AC32" s="532" t="s">
        <v>13</v>
      </c>
      <c r="AD32" s="533" t="s">
        <v>13</v>
      </c>
      <c r="AE32" s="536"/>
      <c r="AF32" s="529"/>
    </row>
    <row r="33" spans="13:32" ht="28.9" customHeight="1" x14ac:dyDescent="0.5">
      <c r="M33" s="530" t="s">
        <v>13</v>
      </c>
      <c r="N33" s="537" t="s">
        <v>17</v>
      </c>
      <c r="O33" s="531"/>
      <c r="P33" s="531" t="s">
        <v>13</v>
      </c>
      <c r="Q33" s="531" t="s">
        <v>13</v>
      </c>
      <c r="R33" s="538" t="s">
        <v>23</v>
      </c>
      <c r="S33" s="533" t="s">
        <v>13</v>
      </c>
      <c r="X33" s="534" t="s">
        <v>13</v>
      </c>
      <c r="Y33" s="539" t="s">
        <v>17</v>
      </c>
      <c r="Z33" s="535"/>
      <c r="AA33" s="535" t="s">
        <v>13</v>
      </c>
      <c r="AB33" s="535" t="s">
        <v>13</v>
      </c>
      <c r="AC33" s="538" t="s">
        <v>24</v>
      </c>
      <c r="AD33" s="533" t="s">
        <v>13</v>
      </c>
      <c r="AE33" s="529"/>
      <c r="AF33" s="529"/>
    </row>
    <row r="34" spans="13:32" ht="28.9" customHeight="1" x14ac:dyDescent="0.5">
      <c r="M34" s="530" t="s">
        <v>13</v>
      </c>
      <c r="N34" s="531" t="s">
        <v>13</v>
      </c>
      <c r="O34" s="531" t="s">
        <v>13</v>
      </c>
      <c r="P34" s="531" t="s">
        <v>13</v>
      </c>
      <c r="Q34" s="531" t="s">
        <v>13</v>
      </c>
      <c r="R34" s="532" t="s">
        <v>13</v>
      </c>
      <c r="S34" s="533" t="s">
        <v>13</v>
      </c>
      <c r="X34" s="530" t="s">
        <v>13</v>
      </c>
      <c r="Y34" s="531" t="s">
        <v>13</v>
      </c>
      <c r="Z34" s="531" t="s">
        <v>13</v>
      </c>
      <c r="AA34" s="531" t="s">
        <v>13</v>
      </c>
      <c r="AB34" s="531" t="s">
        <v>13</v>
      </c>
      <c r="AC34" s="532" t="s">
        <v>13</v>
      </c>
      <c r="AD34" s="533" t="s">
        <v>13</v>
      </c>
      <c r="AE34" s="536"/>
      <c r="AF34" s="529"/>
    </row>
    <row r="35" spans="13:32" ht="28.9" customHeight="1" x14ac:dyDescent="0.5">
      <c r="M35" s="530" t="s">
        <v>13</v>
      </c>
      <c r="N35" s="537" t="s">
        <v>20</v>
      </c>
      <c r="O35" s="531"/>
      <c r="P35" s="531" t="s">
        <v>13</v>
      </c>
      <c r="Q35" s="531" t="s">
        <v>13</v>
      </c>
      <c r="R35" s="538" t="s">
        <v>25</v>
      </c>
      <c r="S35" s="533" t="s">
        <v>13</v>
      </c>
      <c r="X35" s="530" t="s">
        <v>13</v>
      </c>
      <c r="Y35" s="537" t="s">
        <v>20</v>
      </c>
      <c r="Z35" s="531"/>
      <c r="AA35" s="531" t="s">
        <v>13</v>
      </c>
      <c r="AB35" s="531" t="s">
        <v>13</v>
      </c>
      <c r="AC35" s="538" t="s">
        <v>26</v>
      </c>
      <c r="AD35" s="533" t="s">
        <v>13</v>
      </c>
      <c r="AE35" s="529"/>
      <c r="AF35" s="529"/>
    </row>
    <row r="36" spans="13:32" ht="28.9" customHeight="1" x14ac:dyDescent="0.5">
      <c r="M36" s="530" t="s">
        <v>13</v>
      </c>
      <c r="N36" s="531" t="s">
        <v>13</v>
      </c>
      <c r="O36" s="531" t="s">
        <v>13</v>
      </c>
      <c r="P36" s="531" t="s">
        <v>13</v>
      </c>
      <c r="Q36" s="531" t="s">
        <v>13</v>
      </c>
      <c r="R36" s="532" t="s">
        <v>13</v>
      </c>
      <c r="S36" s="533" t="s">
        <v>13</v>
      </c>
      <c r="X36" s="530" t="s">
        <v>13</v>
      </c>
      <c r="Y36" s="531" t="s">
        <v>13</v>
      </c>
      <c r="Z36" s="531" t="s">
        <v>13</v>
      </c>
      <c r="AA36" s="531" t="s">
        <v>13</v>
      </c>
      <c r="AB36" s="531" t="s">
        <v>13</v>
      </c>
      <c r="AC36" s="532" t="s">
        <v>13</v>
      </c>
      <c r="AD36" s="533" t="s">
        <v>13</v>
      </c>
      <c r="AE36" s="529"/>
      <c r="AF36" s="529"/>
    </row>
    <row r="37" spans="13:32" ht="28.9" customHeight="1" thickBot="1" x14ac:dyDescent="0.55000000000000004">
      <c r="M37" s="540" t="s">
        <v>13</v>
      </c>
      <c r="N37" s="541" t="s">
        <v>13</v>
      </c>
      <c r="O37" s="541" t="s">
        <v>13</v>
      </c>
      <c r="P37" s="541" t="s">
        <v>13</v>
      </c>
      <c r="Q37" s="541" t="s">
        <v>13</v>
      </c>
      <c r="R37" s="542" t="s">
        <v>13</v>
      </c>
      <c r="S37" s="543" t="s">
        <v>13</v>
      </c>
      <c r="X37" s="540" t="s">
        <v>13</v>
      </c>
      <c r="Y37" s="541" t="s">
        <v>13</v>
      </c>
      <c r="Z37" s="541" t="s">
        <v>13</v>
      </c>
      <c r="AA37" s="541" t="s">
        <v>13</v>
      </c>
      <c r="AB37" s="541" t="s">
        <v>13</v>
      </c>
      <c r="AC37" s="542" t="s">
        <v>13</v>
      </c>
      <c r="AD37" s="543" t="s">
        <v>13</v>
      </c>
    </row>
    <row r="38" spans="13:32" ht="28.9" customHeight="1" x14ac:dyDescent="0.5">
      <c r="T38" s="507"/>
      <c r="U38" s="507"/>
      <c r="V38" s="507"/>
      <c r="W38" s="507"/>
      <c r="X38" s="507"/>
      <c r="Y38" s="507"/>
      <c r="Z38" s="507"/>
      <c r="AA38" s="507"/>
    </row>
    <row r="39" spans="13:32" ht="28.9" customHeight="1" x14ac:dyDescent="0.5">
      <c r="T39" s="507"/>
      <c r="U39" s="507"/>
      <c r="V39" s="507"/>
      <c r="W39" s="507"/>
      <c r="X39" s="507"/>
      <c r="Y39" s="507"/>
      <c r="Z39" s="507"/>
      <c r="AA39" s="507"/>
    </row>
    <row r="40" spans="13:32" ht="28.9" customHeight="1" x14ac:dyDescent="0.5">
      <c r="T40" s="546"/>
      <c r="U40" s="546"/>
      <c r="V40" s="546"/>
      <c r="W40" s="546"/>
      <c r="X40" s="546"/>
      <c r="Y40" s="546"/>
      <c r="Z40" s="546"/>
      <c r="AA40" s="546"/>
    </row>
    <row r="41" spans="13:32" ht="28.9" customHeight="1" x14ac:dyDescent="0.5">
      <c r="T41" s="546"/>
      <c r="U41" s="546"/>
      <c r="V41" s="546"/>
      <c r="W41" s="546"/>
      <c r="X41" s="546"/>
      <c r="Y41" s="546"/>
      <c r="Z41" s="546"/>
      <c r="AA41" s="546"/>
    </row>
    <row r="42" spans="13:32" ht="28.9" customHeight="1" x14ac:dyDescent="0.5"/>
    <row r="43" spans="13:32" ht="28.9" customHeight="1" x14ac:dyDescent="0.5"/>
    <row r="44" spans="13:32" x14ac:dyDescent="0.5">
      <c r="O44" s="507"/>
      <c r="P44" s="507"/>
      <c r="Q44" s="507"/>
      <c r="R44" s="507"/>
      <c r="S44" s="507"/>
      <c r="T44" s="507"/>
      <c r="U44" s="507"/>
      <c r="Z44" s="507"/>
      <c r="AA44" s="507"/>
      <c r="AB44" s="507"/>
      <c r="AC44" s="507"/>
      <c r="AD44" s="507"/>
      <c r="AE44" s="507"/>
      <c r="AF44" s="507"/>
    </row>
    <row r="45" spans="13:32" x14ac:dyDescent="0.5">
      <c r="O45" s="507"/>
      <c r="P45" s="507"/>
      <c r="Q45" s="507"/>
      <c r="R45" s="507"/>
      <c r="S45" s="507"/>
      <c r="T45" s="507"/>
      <c r="U45" s="507"/>
      <c r="Z45" s="507"/>
      <c r="AA45" s="507"/>
      <c r="AB45" s="507"/>
      <c r="AC45" s="507"/>
      <c r="AD45" s="507"/>
      <c r="AE45" s="507"/>
      <c r="AF45" s="507"/>
    </row>
    <row r="46" spans="13:32" x14ac:dyDescent="0.5">
      <c r="O46" s="507"/>
      <c r="P46" s="507"/>
      <c r="Q46" s="507"/>
      <c r="R46" s="507"/>
      <c r="S46" s="507"/>
      <c r="T46" s="507"/>
      <c r="U46" s="507"/>
      <c r="Z46" s="507"/>
      <c r="AA46" s="507"/>
      <c r="AB46" s="507"/>
      <c r="AC46" s="507"/>
      <c r="AD46" s="507"/>
      <c r="AE46" s="507"/>
      <c r="AF46" s="507"/>
    </row>
    <row r="47" spans="13:32" x14ac:dyDescent="0.5">
      <c r="O47" s="547"/>
      <c r="P47" s="547"/>
      <c r="Q47" s="547"/>
      <c r="R47" s="547"/>
      <c r="S47" s="547"/>
      <c r="T47" s="529"/>
      <c r="U47" s="529"/>
      <c r="Z47" s="548"/>
      <c r="AA47" s="548"/>
      <c r="AB47" s="548"/>
      <c r="AC47" s="548"/>
      <c r="AD47" s="548"/>
      <c r="AE47" s="529"/>
      <c r="AF47" s="529"/>
    </row>
    <row r="48" spans="13:32" x14ac:dyDescent="0.5">
      <c r="O48" s="547"/>
      <c r="P48" s="549"/>
      <c r="Q48" s="547"/>
      <c r="R48" s="547"/>
      <c r="S48" s="547"/>
      <c r="T48" s="536"/>
      <c r="U48" s="529"/>
      <c r="Z48" s="548"/>
      <c r="AA48" s="550"/>
      <c r="AB48" s="548"/>
      <c r="AC48" s="548"/>
      <c r="AD48" s="548"/>
      <c r="AE48" s="536"/>
      <c r="AF48" s="529"/>
    </row>
    <row r="49" spans="15:32" x14ac:dyDescent="0.5">
      <c r="O49" s="547"/>
      <c r="P49" s="547"/>
      <c r="Q49" s="547"/>
      <c r="R49" s="547"/>
      <c r="S49" s="547"/>
      <c r="T49" s="529"/>
      <c r="U49" s="529"/>
      <c r="Z49" s="547"/>
      <c r="AA49" s="547"/>
      <c r="AB49" s="547"/>
      <c r="AC49" s="547"/>
      <c r="AD49" s="547"/>
      <c r="AE49" s="529"/>
      <c r="AF49" s="529"/>
    </row>
    <row r="50" spans="15:32" x14ac:dyDescent="0.5">
      <c r="O50" s="547"/>
      <c r="P50" s="549"/>
      <c r="Q50" s="547"/>
      <c r="R50" s="547"/>
      <c r="S50" s="547"/>
      <c r="T50" s="550"/>
      <c r="U50" s="529"/>
      <c r="Z50" s="548"/>
      <c r="AA50" s="550"/>
      <c r="AB50" s="547"/>
      <c r="AC50" s="547"/>
      <c r="AD50" s="547"/>
      <c r="AE50" s="536"/>
      <c r="AF50" s="529"/>
    </row>
    <row r="51" spans="15:32" x14ac:dyDescent="0.5">
      <c r="O51" s="547"/>
      <c r="P51" s="547"/>
      <c r="Q51" s="547"/>
      <c r="R51" s="547"/>
      <c r="S51" s="547"/>
      <c r="T51" s="529"/>
      <c r="U51" s="529"/>
      <c r="Z51" s="548"/>
      <c r="AA51" s="548"/>
      <c r="AB51" s="547"/>
      <c r="AC51" s="547"/>
      <c r="AD51" s="547"/>
      <c r="AE51" s="529"/>
      <c r="AF51" s="529"/>
    </row>
    <row r="52" spans="15:32" x14ac:dyDescent="0.5">
      <c r="O52" s="547"/>
      <c r="P52" s="547"/>
      <c r="Q52" s="547"/>
      <c r="R52" s="547"/>
      <c r="S52" s="547"/>
      <c r="T52" s="529"/>
      <c r="U52" s="529"/>
      <c r="Z52" s="548"/>
      <c r="AA52" s="548"/>
      <c r="AB52" s="547"/>
      <c r="AC52" s="547"/>
      <c r="AD52" s="547"/>
      <c r="AE52" s="529"/>
      <c r="AF52" s="529"/>
    </row>
    <row r="55" spans="15:32" x14ac:dyDescent="0.5">
      <c r="O55" s="507"/>
      <c r="P55" s="507"/>
      <c r="Q55" s="507"/>
      <c r="R55" s="507"/>
      <c r="S55" s="507"/>
      <c r="T55" s="507"/>
      <c r="U55" s="507"/>
      <c r="Z55" s="507"/>
      <c r="AA55" s="507"/>
      <c r="AB55" s="507"/>
      <c r="AC55" s="507"/>
      <c r="AD55" s="507"/>
      <c r="AE55" s="507"/>
      <c r="AF55" s="507"/>
    </row>
    <row r="56" spans="15:32" x14ac:dyDescent="0.5">
      <c r="O56" s="507"/>
      <c r="P56" s="507"/>
      <c r="Q56" s="507"/>
      <c r="R56" s="507"/>
      <c r="S56" s="507"/>
      <c r="T56" s="507"/>
      <c r="U56" s="507"/>
      <c r="Z56" s="507"/>
      <c r="AA56" s="507"/>
      <c r="AB56" s="507"/>
      <c r="AC56" s="507"/>
      <c r="AD56" s="507"/>
      <c r="AE56" s="507"/>
      <c r="AF56" s="507"/>
    </row>
    <row r="57" spans="15:32" x14ac:dyDescent="0.5">
      <c r="O57" s="507"/>
      <c r="P57" s="507"/>
      <c r="Q57" s="507"/>
      <c r="R57" s="507"/>
      <c r="S57" s="507"/>
      <c r="T57" s="507"/>
      <c r="U57" s="507"/>
      <c r="Z57" s="507"/>
      <c r="AA57" s="507"/>
      <c r="AB57" s="507"/>
      <c r="AC57" s="507"/>
      <c r="AD57" s="507"/>
      <c r="AE57" s="507"/>
      <c r="AF57" s="507"/>
    </row>
    <row r="58" spans="15:32" x14ac:dyDescent="0.5">
      <c r="O58" s="547"/>
      <c r="P58" s="547"/>
      <c r="Q58" s="547"/>
      <c r="R58" s="547"/>
      <c r="S58" s="547"/>
      <c r="T58" s="529"/>
      <c r="U58" s="529"/>
      <c r="Z58" s="548"/>
      <c r="AA58" s="548"/>
      <c r="AB58" s="548"/>
      <c r="AC58" s="548"/>
      <c r="AD58" s="548"/>
      <c r="AE58" s="529"/>
      <c r="AF58" s="529"/>
    </row>
    <row r="59" spans="15:32" x14ac:dyDescent="0.5">
      <c r="O59" s="547"/>
      <c r="P59" s="549"/>
      <c r="Q59" s="547"/>
      <c r="R59" s="547"/>
      <c r="S59" s="547"/>
      <c r="T59" s="536"/>
      <c r="U59" s="529"/>
      <c r="Z59" s="548"/>
      <c r="AA59" s="550"/>
      <c r="AB59" s="548"/>
      <c r="AC59" s="548"/>
      <c r="AD59" s="548"/>
      <c r="AE59" s="536"/>
      <c r="AF59" s="529"/>
    </row>
    <row r="60" spans="15:32" x14ac:dyDescent="0.5">
      <c r="O60" s="547"/>
      <c r="P60" s="547"/>
      <c r="Q60" s="547"/>
      <c r="R60" s="547"/>
      <c r="S60" s="547"/>
      <c r="T60" s="529"/>
      <c r="U60" s="529"/>
      <c r="Z60" s="547"/>
      <c r="AA60" s="547"/>
      <c r="AB60" s="547"/>
      <c r="AC60" s="547"/>
      <c r="AD60" s="547"/>
      <c r="AE60" s="529"/>
      <c r="AF60" s="529"/>
    </row>
    <row r="61" spans="15:32" x14ac:dyDescent="0.5">
      <c r="O61" s="547"/>
      <c r="P61" s="549"/>
      <c r="Q61" s="547"/>
      <c r="R61" s="547"/>
      <c r="S61" s="547"/>
      <c r="T61" s="536"/>
      <c r="U61" s="529"/>
      <c r="Z61" s="547"/>
      <c r="AA61" s="549"/>
      <c r="AB61" s="547"/>
      <c r="AC61" s="547"/>
      <c r="AD61" s="547"/>
      <c r="AE61" s="536"/>
      <c r="AF61" s="529"/>
    </row>
    <row r="62" spans="15:32" x14ac:dyDescent="0.5">
      <c r="O62" s="547"/>
      <c r="P62" s="547"/>
      <c r="Q62" s="547"/>
      <c r="R62" s="547"/>
      <c r="S62" s="547"/>
      <c r="T62" s="529"/>
      <c r="U62" s="529"/>
      <c r="Z62" s="547"/>
      <c r="AA62" s="547"/>
      <c r="AB62" s="547"/>
      <c r="AC62" s="547"/>
      <c r="AD62" s="547"/>
      <c r="AE62" s="529"/>
      <c r="AF62" s="529"/>
    </row>
    <row r="63" spans="15:32" x14ac:dyDescent="0.5">
      <c r="O63" s="547"/>
      <c r="P63" s="547"/>
      <c r="Q63" s="547"/>
      <c r="R63" s="547"/>
      <c r="S63" s="547"/>
      <c r="T63" s="529"/>
      <c r="U63" s="529"/>
      <c r="Z63" s="547"/>
      <c r="AA63" s="547"/>
      <c r="AB63" s="547"/>
      <c r="AC63" s="547"/>
      <c r="AD63" s="547"/>
      <c r="AE63" s="529"/>
      <c r="AF63" s="529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zoomScale="40" zoomScaleNormal="40" workbookViewId="0">
      <selection activeCell="A20" sqref="A20:XFD20"/>
    </sheetView>
  </sheetViews>
  <sheetFormatPr defaultRowHeight="15" x14ac:dyDescent="0.25"/>
  <cols>
    <col min="6" max="6" width="23.5703125" bestFit="1" customWidth="1"/>
    <col min="10" max="10" width="34.7109375" customWidth="1"/>
    <col min="11" max="11" width="8.85546875" customWidth="1"/>
    <col min="19" max="19" width="47.7109375" bestFit="1" customWidth="1"/>
    <col min="21" max="21" width="11.42578125" customWidth="1"/>
    <col min="23" max="23" width="47.42578125" customWidth="1"/>
  </cols>
  <sheetData>
    <row r="1" spans="1:5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5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54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54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25"/>
    <row r="9" spans="1:54" ht="28.9" customHeight="1" x14ac:dyDescent="0.25">
      <c r="E9" s="39"/>
      <c r="F9" s="39"/>
      <c r="G9" s="39"/>
      <c r="H9" s="39"/>
      <c r="I9" s="39"/>
      <c r="J9" s="39"/>
      <c r="K9" s="39"/>
    </row>
    <row r="10" spans="1:54" ht="28.9" customHeight="1" x14ac:dyDescent="0.25">
      <c r="E10" s="39"/>
      <c r="F10" s="39"/>
      <c r="G10" s="39"/>
      <c r="H10" s="39"/>
      <c r="I10" s="39"/>
      <c r="J10" s="39"/>
      <c r="K10" s="39"/>
    </row>
    <row r="11" spans="1:54" ht="28.9" customHeight="1" x14ac:dyDescent="0.25">
      <c r="E11" s="39"/>
      <c r="F11" s="39"/>
      <c r="G11" s="39"/>
      <c r="H11" s="39"/>
      <c r="I11" s="39"/>
      <c r="J11" s="39"/>
      <c r="K11" s="39"/>
    </row>
    <row r="12" spans="1:54" ht="28.9" customHeight="1" x14ac:dyDescent="0.45">
      <c r="E12" s="106"/>
      <c r="F12" s="106"/>
      <c r="G12" s="106"/>
      <c r="H12" s="106"/>
      <c r="I12" s="106"/>
      <c r="J12" s="40"/>
      <c r="K12" s="40"/>
    </row>
    <row r="13" spans="1:54" ht="28.9" customHeight="1" x14ac:dyDescent="0.45">
      <c r="E13" s="106"/>
      <c r="F13" s="108"/>
      <c r="G13" s="107"/>
      <c r="H13" s="106"/>
      <c r="I13" s="106"/>
      <c r="J13" s="41"/>
      <c r="K13" s="40"/>
    </row>
    <row r="14" spans="1:54" ht="28.9" customHeight="1" x14ac:dyDescent="0.45">
      <c r="E14" s="106"/>
      <c r="F14" s="106"/>
      <c r="G14" s="106"/>
      <c r="H14" s="106"/>
      <c r="I14" s="106"/>
      <c r="J14" s="40"/>
      <c r="K14" s="40"/>
    </row>
    <row r="15" spans="1:54" ht="28.9" customHeight="1" thickBot="1" x14ac:dyDescent="0.5">
      <c r="E15" s="106"/>
      <c r="F15" s="108"/>
      <c r="G15" s="107"/>
      <c r="H15" s="106"/>
      <c r="I15" s="106"/>
      <c r="J15" s="41"/>
      <c r="K15" s="40"/>
    </row>
    <row r="16" spans="1:54" ht="28.9" customHeight="1" x14ac:dyDescent="0.45">
      <c r="E16" s="106"/>
      <c r="F16" s="106"/>
      <c r="G16" s="106"/>
      <c r="H16" s="106"/>
      <c r="I16" s="106"/>
      <c r="J16" s="40"/>
      <c r="K16" s="40"/>
      <c r="R16" s="446" t="s">
        <v>27</v>
      </c>
      <c r="S16" s="447"/>
      <c r="T16" s="447"/>
      <c r="U16" s="447"/>
      <c r="V16" s="447"/>
      <c r="W16" s="447"/>
      <c r="X16" s="448"/>
    </row>
    <row r="17" spans="5:24" ht="28.9" customHeight="1" x14ac:dyDescent="0.45">
      <c r="E17" s="106"/>
      <c r="F17" s="106"/>
      <c r="G17" s="106"/>
      <c r="H17" s="106"/>
      <c r="I17" s="106"/>
      <c r="J17" s="40"/>
      <c r="K17" s="40"/>
      <c r="R17" s="449"/>
      <c r="S17" s="450"/>
      <c r="T17" s="450"/>
      <c r="U17" s="450"/>
      <c r="V17" s="450"/>
      <c r="W17" s="450"/>
      <c r="X17" s="451"/>
    </row>
    <row r="18" spans="5:24" ht="28.9" customHeight="1" thickBot="1" x14ac:dyDescent="0.5">
      <c r="E18" s="40"/>
      <c r="F18" s="40"/>
      <c r="G18" s="40"/>
      <c r="H18" s="40"/>
      <c r="I18" s="40"/>
      <c r="J18" s="40"/>
      <c r="K18" s="40"/>
      <c r="R18" s="452"/>
      <c r="S18" s="453"/>
      <c r="T18" s="453"/>
      <c r="U18" s="453"/>
      <c r="V18" s="453"/>
      <c r="W18" s="453"/>
      <c r="X18" s="454"/>
    </row>
    <row r="19" spans="5:24" ht="28.9" customHeight="1" x14ac:dyDescent="0.45">
      <c r="E19" s="40"/>
      <c r="F19" s="40"/>
      <c r="G19" s="40"/>
      <c r="H19" s="40"/>
      <c r="I19" s="40"/>
      <c r="J19" s="40"/>
      <c r="K19" s="40"/>
      <c r="R19" s="17" t="s">
        <v>13</v>
      </c>
      <c r="S19" s="19" t="s">
        <v>13</v>
      </c>
      <c r="T19" s="19" t="s">
        <v>13</v>
      </c>
      <c r="U19" s="19" t="s">
        <v>13</v>
      </c>
      <c r="V19" s="19" t="s">
        <v>13</v>
      </c>
      <c r="W19" s="12" t="s">
        <v>13</v>
      </c>
      <c r="X19" s="13" t="s">
        <v>13</v>
      </c>
    </row>
    <row r="20" spans="5:24" ht="28.9" customHeight="1" x14ac:dyDescent="0.45">
      <c r="E20" s="40"/>
      <c r="F20" s="40"/>
      <c r="G20" s="40"/>
      <c r="H20" s="40"/>
      <c r="I20" s="40"/>
      <c r="J20" s="40"/>
      <c r="K20" s="40"/>
      <c r="R20" s="17" t="s">
        <v>13</v>
      </c>
      <c r="S20" s="105" t="s">
        <v>28</v>
      </c>
      <c r="T20" s="18"/>
      <c r="U20" s="19" t="s">
        <v>13</v>
      </c>
      <c r="V20" s="19" t="s">
        <v>13</v>
      </c>
      <c r="W20" s="125" t="s">
        <v>11</v>
      </c>
      <c r="X20" s="13" t="s">
        <v>13</v>
      </c>
    </row>
    <row r="21" spans="5:24" ht="28.9" customHeight="1" x14ac:dyDescent="0.45">
      <c r="E21" s="40"/>
      <c r="F21" s="40"/>
      <c r="G21" s="40"/>
      <c r="H21" s="40"/>
      <c r="I21" s="40"/>
      <c r="J21" s="40"/>
      <c r="K21" s="40"/>
      <c r="R21" s="17" t="s">
        <v>13</v>
      </c>
      <c r="S21" s="19" t="s">
        <v>13</v>
      </c>
      <c r="T21" s="19" t="s">
        <v>13</v>
      </c>
      <c r="U21" s="19" t="s">
        <v>13</v>
      </c>
      <c r="V21" s="19" t="s">
        <v>13</v>
      </c>
      <c r="W21" s="12" t="s">
        <v>13</v>
      </c>
      <c r="X21" s="13" t="s">
        <v>13</v>
      </c>
    </row>
    <row r="22" spans="5:24" ht="28.9" customHeight="1" x14ac:dyDescent="0.45">
      <c r="R22" s="17" t="s">
        <v>13</v>
      </c>
      <c r="S22" s="105" t="s">
        <v>29</v>
      </c>
      <c r="T22" s="18"/>
      <c r="U22" s="19" t="s">
        <v>13</v>
      </c>
      <c r="V22" s="19" t="s">
        <v>13</v>
      </c>
      <c r="W22" s="125">
        <v>100</v>
      </c>
      <c r="X22" s="13" t="s">
        <v>13</v>
      </c>
    </row>
    <row r="23" spans="5:24" ht="28.9" customHeight="1" x14ac:dyDescent="0.45">
      <c r="R23" s="17" t="s">
        <v>13</v>
      </c>
      <c r="S23" s="19" t="s">
        <v>13</v>
      </c>
      <c r="T23" s="19" t="s">
        <v>13</v>
      </c>
      <c r="U23" s="19" t="s">
        <v>13</v>
      </c>
      <c r="V23" s="19" t="s">
        <v>13</v>
      </c>
      <c r="W23" s="12" t="s">
        <v>13</v>
      </c>
      <c r="X23" s="13" t="s">
        <v>13</v>
      </c>
    </row>
    <row r="24" spans="5:24" ht="28.9" customHeight="1" x14ac:dyDescent="0.45">
      <c r="R24" s="17" t="s">
        <v>13</v>
      </c>
      <c r="S24" s="19" t="s">
        <v>13</v>
      </c>
      <c r="T24" s="19" t="s">
        <v>13</v>
      </c>
      <c r="U24" s="19" t="s">
        <v>13</v>
      </c>
      <c r="V24" s="19" t="s">
        <v>13</v>
      </c>
      <c r="W24" s="12" t="s">
        <v>13</v>
      </c>
      <c r="X24" s="13" t="s">
        <v>13</v>
      </c>
    </row>
    <row r="25" spans="5:24" ht="28.9" customHeight="1" x14ac:dyDescent="0.45">
      <c r="R25" s="17" t="s">
        <v>13</v>
      </c>
      <c r="S25" s="19" t="s">
        <v>13</v>
      </c>
      <c r="T25" s="19" t="s">
        <v>13</v>
      </c>
      <c r="U25" s="19" t="s">
        <v>13</v>
      </c>
      <c r="V25" s="19" t="s">
        <v>13</v>
      </c>
      <c r="W25" s="12" t="s">
        <v>13</v>
      </c>
      <c r="X25" s="13" t="s">
        <v>13</v>
      </c>
    </row>
    <row r="26" spans="5:24" ht="28.9" customHeight="1" x14ac:dyDescent="0.45">
      <c r="R26" s="17" t="s">
        <v>13</v>
      </c>
      <c r="S26" s="19" t="s">
        <v>13</v>
      </c>
      <c r="T26" s="19" t="s">
        <v>13</v>
      </c>
      <c r="U26" s="19" t="s">
        <v>13</v>
      </c>
      <c r="V26" s="19" t="s">
        <v>13</v>
      </c>
      <c r="W26" s="12" t="s">
        <v>13</v>
      </c>
      <c r="X26" s="13" t="s">
        <v>13</v>
      </c>
    </row>
    <row r="27" spans="5:24" ht="28.9" customHeight="1" thickBot="1" x14ac:dyDescent="0.5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5" t="s">
        <v>13</v>
      </c>
      <c r="X27" s="16" t="s">
        <v>13</v>
      </c>
    </row>
    <row r="28" spans="5:24" ht="28.9" customHeight="1" x14ac:dyDescent="0.25"/>
    <row r="29" spans="5:24" ht="28.9" customHeight="1" x14ac:dyDescent="0.25"/>
    <row r="30" spans="5:24" ht="28.9" customHeight="1" x14ac:dyDescent="0.25">
      <c r="E30" s="39"/>
      <c r="F30" s="39"/>
      <c r="G30" s="39"/>
      <c r="H30" s="39"/>
      <c r="I30" s="39"/>
      <c r="J30" s="39"/>
      <c r="K30" s="39"/>
    </row>
    <row r="31" spans="5:24" ht="28.9" customHeight="1" x14ac:dyDescent="0.25">
      <c r="E31" s="39"/>
      <c r="F31" s="39"/>
      <c r="G31" s="39"/>
      <c r="H31" s="39"/>
      <c r="I31" s="39"/>
      <c r="J31" s="39"/>
      <c r="K31" s="39"/>
    </row>
    <row r="32" spans="5:24" ht="28.9" customHeight="1" x14ac:dyDescent="0.25">
      <c r="E32" s="39"/>
      <c r="F32" s="39"/>
      <c r="G32" s="39"/>
      <c r="H32" s="39"/>
      <c r="I32" s="39"/>
      <c r="J32" s="39"/>
      <c r="K32" s="39"/>
    </row>
    <row r="33" spans="5:11" ht="28.9" customHeight="1" x14ac:dyDescent="0.45">
      <c r="E33" s="106"/>
      <c r="F33" s="106"/>
      <c r="G33" s="106"/>
      <c r="H33" s="106"/>
      <c r="I33" s="106"/>
      <c r="J33" s="40"/>
      <c r="K33" s="40"/>
    </row>
    <row r="34" spans="5:11" ht="28.9" customHeight="1" x14ac:dyDescent="0.45">
      <c r="E34" s="106"/>
      <c r="F34" s="108"/>
      <c r="G34" s="107"/>
      <c r="H34" s="106"/>
      <c r="I34" s="106"/>
      <c r="J34" s="41"/>
      <c r="K34" s="40"/>
    </row>
    <row r="35" spans="5:11" ht="28.9" customHeight="1" x14ac:dyDescent="0.45">
      <c r="E35" s="106"/>
      <c r="F35" s="106"/>
      <c r="G35" s="106"/>
      <c r="H35" s="106"/>
      <c r="I35" s="106"/>
      <c r="J35" s="40"/>
      <c r="K35" s="40"/>
    </row>
    <row r="36" spans="5:11" ht="28.9" customHeight="1" x14ac:dyDescent="0.45">
      <c r="E36" s="106"/>
      <c r="F36" s="108"/>
      <c r="G36" s="107"/>
      <c r="H36" s="106"/>
      <c r="I36" s="106"/>
      <c r="J36" s="41"/>
      <c r="K36" s="40"/>
    </row>
    <row r="37" spans="5:11" ht="28.9" customHeight="1" x14ac:dyDescent="0.45">
      <c r="E37" s="106"/>
      <c r="F37" s="106"/>
      <c r="G37" s="106"/>
      <c r="H37" s="106"/>
      <c r="I37" s="106"/>
      <c r="J37" s="40"/>
      <c r="K37" s="40"/>
    </row>
    <row r="38" spans="5:11" ht="28.9" customHeight="1" x14ac:dyDescent="0.45">
      <c r="E38" s="106"/>
      <c r="F38" s="108"/>
      <c r="G38" s="106"/>
      <c r="H38" s="106"/>
      <c r="I38" s="106"/>
      <c r="J38" s="40"/>
      <c r="K38" s="40"/>
    </row>
    <row r="39" spans="5:11" ht="28.9" customHeight="1" x14ac:dyDescent="0.45">
      <c r="E39" s="106"/>
      <c r="F39" s="106"/>
      <c r="G39" s="106"/>
      <c r="H39" s="106"/>
      <c r="I39" s="106"/>
      <c r="J39" s="40"/>
      <c r="K39" s="40"/>
    </row>
    <row r="40" spans="5:11" ht="28.9" customHeight="1" x14ac:dyDescent="0.45">
      <c r="E40" s="106"/>
      <c r="F40" s="108"/>
      <c r="G40" s="107"/>
      <c r="H40" s="106"/>
      <c r="I40" s="106"/>
      <c r="J40" s="41"/>
      <c r="K40" s="40"/>
    </row>
    <row r="41" spans="5:11" ht="28.9" customHeight="1" x14ac:dyDescent="0.25"/>
    <row r="42" spans="5:11" ht="28.9" customHeight="1" x14ac:dyDescent="0.25"/>
    <row r="43" spans="5:11" ht="28.9" customHeight="1" x14ac:dyDescent="0.25"/>
    <row r="44" spans="5:11" ht="28.9" customHeight="1" x14ac:dyDescent="0.25"/>
    <row r="45" spans="5:11" ht="28.9" customHeight="1" x14ac:dyDescent="0.25"/>
    <row r="46" spans="5:11" ht="28.9" customHeight="1" x14ac:dyDescent="0.25"/>
    <row r="47" spans="5:11" ht="28.9" customHeight="1" x14ac:dyDescent="0.25"/>
    <row r="48" spans="5:11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A79200-F749-45A2-B0D2-249B7A0735E0}">
          <x14:formula1>
            <xm:f>P_REQUISICOES!$Q$14:$Q$17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zoomScale="40" zoomScaleNormal="40" workbookViewId="0"/>
  </sheetViews>
  <sheetFormatPr defaultColWidth="8.85546875" defaultRowHeight="15" x14ac:dyDescent="0.25"/>
  <cols>
    <col min="6" max="6" width="23.5703125" bestFit="1" customWidth="1"/>
    <col min="10" max="10" width="34.7109375" customWidth="1"/>
    <col min="11" max="11" width="8.85546875" customWidth="1"/>
    <col min="20" max="20" width="47.7109375" bestFit="1" customWidth="1"/>
    <col min="22" max="22" width="11.42578125" customWidth="1"/>
    <col min="24" max="24" width="47.42578125" customWidth="1"/>
  </cols>
  <sheetData>
    <row r="1" spans="1:5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5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54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54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25"/>
    <row r="9" spans="1:54" ht="28.9" customHeight="1" x14ac:dyDescent="0.25">
      <c r="E9" s="455"/>
      <c r="F9" s="455"/>
      <c r="G9" s="455"/>
      <c r="H9" s="455"/>
      <c r="I9" s="455"/>
      <c r="J9" s="455"/>
      <c r="K9" s="455"/>
    </row>
    <row r="10" spans="1:54" ht="28.9" customHeight="1" thickBot="1" x14ac:dyDescent="0.3">
      <c r="E10" s="455"/>
      <c r="F10" s="455"/>
      <c r="G10" s="455"/>
      <c r="H10" s="455"/>
      <c r="I10" s="455"/>
      <c r="J10" s="455"/>
      <c r="K10" s="455"/>
    </row>
    <row r="11" spans="1:54" ht="28.9" customHeight="1" x14ac:dyDescent="0.25">
      <c r="E11" s="455"/>
      <c r="F11" s="455"/>
      <c r="G11" s="455"/>
      <c r="H11" s="455"/>
      <c r="I11" s="455"/>
      <c r="J11" s="455"/>
      <c r="K11" s="455"/>
      <c r="S11" s="446" t="s">
        <v>754</v>
      </c>
      <c r="T11" s="447"/>
      <c r="U11" s="447"/>
      <c r="V11" s="447"/>
      <c r="W11" s="447"/>
      <c r="X11" s="447"/>
      <c r="Y11" s="448"/>
    </row>
    <row r="12" spans="1:54" ht="28.9" customHeight="1" x14ac:dyDescent="0.45">
      <c r="E12" s="106"/>
      <c r="F12" s="106"/>
      <c r="G12" s="106"/>
      <c r="H12" s="106"/>
      <c r="I12" s="106"/>
      <c r="J12" s="40"/>
      <c r="K12" s="40"/>
      <c r="S12" s="449"/>
      <c r="T12" s="450"/>
      <c r="U12" s="450"/>
      <c r="V12" s="450"/>
      <c r="W12" s="450"/>
      <c r="X12" s="450"/>
      <c r="Y12" s="451"/>
    </row>
    <row r="13" spans="1:54" ht="28.9" customHeight="1" x14ac:dyDescent="0.45">
      <c r="E13" s="106"/>
      <c r="F13" s="108"/>
      <c r="G13" s="107"/>
      <c r="H13" s="106"/>
      <c r="I13" s="106"/>
      <c r="J13" s="41"/>
      <c r="K13" s="40"/>
      <c r="S13" s="449"/>
      <c r="T13" s="450"/>
      <c r="U13" s="450"/>
      <c r="V13" s="450"/>
      <c r="W13" s="450"/>
      <c r="X13" s="450"/>
      <c r="Y13" s="451"/>
    </row>
    <row r="14" spans="1:54" ht="28.9" customHeight="1" x14ac:dyDescent="0.45">
      <c r="E14" s="106"/>
      <c r="F14" s="106"/>
      <c r="G14" s="106"/>
      <c r="H14" s="106"/>
      <c r="I14" s="106"/>
      <c r="J14" s="40"/>
      <c r="K14" s="40"/>
      <c r="S14" s="17" t="s">
        <v>13</v>
      </c>
      <c r="T14" s="19" t="s">
        <v>13</v>
      </c>
      <c r="U14" s="19" t="s">
        <v>13</v>
      </c>
      <c r="V14" s="19" t="s">
        <v>13</v>
      </c>
      <c r="W14" s="19" t="s">
        <v>13</v>
      </c>
      <c r="X14" s="12" t="s">
        <v>13</v>
      </c>
      <c r="Y14" s="13" t="s">
        <v>13</v>
      </c>
    </row>
    <row r="15" spans="1:54" ht="28.9" customHeight="1" x14ac:dyDescent="0.45">
      <c r="E15" s="106"/>
      <c r="F15" s="108"/>
      <c r="G15" s="107"/>
      <c r="H15" s="106"/>
      <c r="I15" s="106"/>
      <c r="J15" s="41"/>
      <c r="K15" s="40"/>
      <c r="S15" s="17" t="s">
        <v>13</v>
      </c>
      <c r="T15" s="105" t="s">
        <v>28</v>
      </c>
      <c r="U15" s="18"/>
      <c r="V15" s="19" t="s">
        <v>13</v>
      </c>
      <c r="W15" s="19" t="s">
        <v>13</v>
      </c>
      <c r="X15" s="125" t="s">
        <v>9</v>
      </c>
      <c r="Y15" s="13" t="s">
        <v>13</v>
      </c>
    </row>
    <row r="16" spans="1:54" ht="28.9" customHeight="1" x14ac:dyDescent="0.45">
      <c r="E16" s="106"/>
      <c r="F16" s="106"/>
      <c r="G16" s="106"/>
      <c r="H16" s="106"/>
      <c r="I16" s="106"/>
      <c r="J16" s="40"/>
      <c r="K16" s="40"/>
      <c r="S16" s="17" t="s">
        <v>13</v>
      </c>
      <c r="T16" s="19" t="s">
        <v>13</v>
      </c>
      <c r="U16" s="19" t="s">
        <v>13</v>
      </c>
      <c r="V16" s="19" t="s">
        <v>13</v>
      </c>
      <c r="W16" s="19" t="s">
        <v>13</v>
      </c>
      <c r="X16" s="12" t="s">
        <v>13</v>
      </c>
      <c r="Y16" s="13" t="s">
        <v>13</v>
      </c>
    </row>
    <row r="17" spans="5:25" ht="28.9" customHeight="1" x14ac:dyDescent="0.45">
      <c r="E17" s="106"/>
      <c r="F17" s="108"/>
      <c r="G17" s="106"/>
      <c r="H17" s="106"/>
      <c r="I17" s="106"/>
      <c r="J17" s="40"/>
      <c r="K17" s="40"/>
      <c r="S17" s="17" t="s">
        <v>13</v>
      </c>
      <c r="T17" s="105" t="s">
        <v>29</v>
      </c>
      <c r="U17" s="18"/>
      <c r="V17" s="19" t="s">
        <v>13</v>
      </c>
      <c r="W17" s="19" t="s">
        <v>13</v>
      </c>
      <c r="X17" s="104"/>
      <c r="Y17" s="13" t="s">
        <v>13</v>
      </c>
    </row>
    <row r="18" spans="5:25" ht="28.9" customHeight="1" x14ac:dyDescent="0.45">
      <c r="E18" s="106"/>
      <c r="F18" s="106"/>
      <c r="G18" s="106"/>
      <c r="H18" s="106"/>
      <c r="I18" s="106"/>
      <c r="J18" s="40"/>
      <c r="K18" s="40"/>
      <c r="S18" s="17" t="s">
        <v>13</v>
      </c>
      <c r="T18" s="19" t="s">
        <v>13</v>
      </c>
      <c r="U18" s="19" t="s">
        <v>13</v>
      </c>
      <c r="V18" s="19" t="s">
        <v>13</v>
      </c>
      <c r="W18" s="19" t="s">
        <v>13</v>
      </c>
      <c r="X18" s="12" t="s">
        <v>13</v>
      </c>
      <c r="Y18" s="13" t="s">
        <v>13</v>
      </c>
    </row>
    <row r="19" spans="5:25" ht="28.9" customHeight="1" x14ac:dyDescent="0.45">
      <c r="E19" s="106"/>
      <c r="F19" s="108"/>
      <c r="G19" s="107"/>
      <c r="H19" s="106"/>
      <c r="I19" s="106"/>
      <c r="J19" s="41"/>
      <c r="K19" s="40"/>
      <c r="S19" s="17" t="s">
        <v>13</v>
      </c>
      <c r="T19" s="109" t="s">
        <v>30</v>
      </c>
      <c r="U19" s="19" t="s">
        <v>13</v>
      </c>
      <c r="V19" s="19" t="s">
        <v>13</v>
      </c>
      <c r="W19" s="19" t="s">
        <v>13</v>
      </c>
      <c r="X19" s="104"/>
      <c r="Y19" s="13" t="s">
        <v>13</v>
      </c>
    </row>
    <row r="20" spans="5:25" ht="28.9" customHeight="1" x14ac:dyDescent="0.45">
      <c r="E20" s="40"/>
      <c r="F20" s="40"/>
      <c r="G20" s="40"/>
      <c r="H20" s="40"/>
      <c r="I20" s="40"/>
      <c r="J20" s="40"/>
      <c r="K20" s="40"/>
      <c r="S20" s="17" t="s">
        <v>13</v>
      </c>
      <c r="T20" s="19" t="s">
        <v>13</v>
      </c>
      <c r="U20" s="19" t="s">
        <v>13</v>
      </c>
      <c r="V20" s="19" t="s">
        <v>13</v>
      </c>
      <c r="W20" s="19" t="s">
        <v>13</v>
      </c>
      <c r="X20" s="12" t="s">
        <v>13</v>
      </c>
      <c r="Y20" s="13" t="s">
        <v>13</v>
      </c>
    </row>
    <row r="21" spans="5:25" ht="28.9" customHeight="1" thickBot="1" x14ac:dyDescent="0.5">
      <c r="E21" s="40"/>
      <c r="F21" s="40"/>
      <c r="G21" s="40"/>
      <c r="H21" s="40"/>
      <c r="I21" s="40"/>
      <c r="J21" s="40"/>
      <c r="K21" s="40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5" t="s">
        <v>13</v>
      </c>
      <c r="Y21" s="16" t="s">
        <v>13</v>
      </c>
    </row>
    <row r="22" spans="5:25" ht="28.9" customHeight="1" x14ac:dyDescent="0.45">
      <c r="S22" s="106" t="s">
        <v>13</v>
      </c>
      <c r="T22" s="106" t="s">
        <v>13</v>
      </c>
      <c r="U22" s="106" t="s">
        <v>13</v>
      </c>
      <c r="V22" s="106" t="s">
        <v>13</v>
      </c>
      <c r="W22" s="106" t="s">
        <v>13</v>
      </c>
      <c r="X22" s="40" t="s">
        <v>13</v>
      </c>
      <c r="Y22" s="40" t="s">
        <v>13</v>
      </c>
    </row>
    <row r="23" spans="5:25" ht="28.9" customHeight="1" x14ac:dyDescent="0.25"/>
    <row r="24" spans="5:25" ht="28.9" customHeight="1" x14ac:dyDescent="0.25"/>
    <row r="25" spans="5:25" ht="28.9" customHeight="1" x14ac:dyDescent="0.25"/>
    <row r="26" spans="5:25" ht="28.9" customHeight="1" x14ac:dyDescent="0.25"/>
    <row r="27" spans="5:25" ht="28.9" customHeight="1" x14ac:dyDescent="0.25"/>
    <row r="28" spans="5:25" ht="28.9" customHeight="1" x14ac:dyDescent="0.25"/>
    <row r="29" spans="5:25" ht="28.9" customHeight="1" x14ac:dyDescent="0.25"/>
    <row r="30" spans="5:25" ht="28.9" customHeight="1" x14ac:dyDescent="0.25"/>
    <row r="31" spans="5:25" ht="28.9" customHeight="1" x14ac:dyDescent="0.25"/>
    <row r="32" spans="5:2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  <row r="68" ht="28.9" customHeight="1" x14ac:dyDescent="0.25"/>
    <row r="69" ht="28.9" customHeight="1" x14ac:dyDescent="0.25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E60889-2432-44FF-A233-4199733CE87B}">
          <x14:formula1>
            <xm:f>P_REQUISICOES!$Q$14:$Q$17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A67"/>
  <sheetViews>
    <sheetView zoomScale="40" zoomScaleNormal="40" workbookViewId="0"/>
  </sheetViews>
  <sheetFormatPr defaultColWidth="8.85546875" defaultRowHeight="15" x14ac:dyDescent="0.25"/>
  <cols>
    <col min="1" max="4" width="8.85546875" style="23"/>
    <col min="5" max="16" width="8.85546875" style="23" customWidth="1"/>
    <col min="17" max="16384" width="8.85546875" style="23"/>
  </cols>
  <sheetData>
    <row r="1" s="2" customFormat="1" x14ac:dyDescent="0.25"/>
    <row r="2" s="2" customFormat="1" x14ac:dyDescent="0.25"/>
    <row r="3" s="2" customFormat="1" ht="61.5" customHeight="1" x14ac:dyDescent="0.25"/>
    <row r="4" s="22" customFormat="1" ht="45.75" customHeight="1" x14ac:dyDescent="0.25"/>
    <row r="5" s="22" customFormat="1" x14ac:dyDescent="0.25"/>
    <row r="6" s="22" customFormat="1" x14ac:dyDescent="0.25"/>
    <row r="7" s="22" customFormat="1" x14ac:dyDescent="0.25"/>
    <row r="8" ht="28.9" customHeight="1" x14ac:dyDescent="0.25"/>
    <row r="9" ht="28.9" customHeight="1" x14ac:dyDescent="0.25"/>
    <row r="10" ht="28.9" customHeight="1" x14ac:dyDescent="0.25"/>
    <row r="11" ht="28.9" customHeight="1" x14ac:dyDescent="0.25"/>
    <row r="12" ht="28.9" customHeight="1" x14ac:dyDescent="0.25"/>
    <row r="13" ht="28.9" customHeight="1" x14ac:dyDescent="0.25"/>
    <row r="14" ht="28.9" customHeight="1" x14ac:dyDescent="0.25"/>
    <row r="15" ht="28.9" customHeight="1" x14ac:dyDescent="0.25"/>
    <row r="16" ht="28.9" customHeight="1" x14ac:dyDescent="0.25"/>
    <row r="17" ht="28.9" customHeight="1" x14ac:dyDescent="0.25"/>
    <row r="18" ht="28.9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28.9" customHeight="1" x14ac:dyDescent="0.25"/>
    <row r="26" ht="28.9" customHeight="1" x14ac:dyDescent="0.25"/>
    <row r="27" ht="28.9" customHeight="1" x14ac:dyDescent="0.25"/>
    <row r="28" ht="28.9" customHeight="1" x14ac:dyDescent="0.25"/>
    <row r="29" ht="28.9" customHeight="1" x14ac:dyDescent="0.25"/>
    <row r="30" ht="28.9" customHeight="1" x14ac:dyDescent="0.25"/>
    <row r="31" ht="28.9" customHeight="1" x14ac:dyDescent="0.25"/>
    <row r="32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s="23" customFormat="1" ht="28.9" customHeight="1" x14ac:dyDescent="0.25"/>
    <row r="66" s="23" customFormat="1" ht="28.9" customHeight="1" x14ac:dyDescent="0.25"/>
    <row r="67" s="23" customFormat="1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I1:O67"/>
  <sheetViews>
    <sheetView zoomScale="40" zoomScaleNormal="40" workbookViewId="0">
      <selection activeCell="X29" sqref="X29"/>
    </sheetView>
  </sheetViews>
  <sheetFormatPr defaultColWidth="8.85546875" defaultRowHeight="29.1" customHeight="1" x14ac:dyDescent="0.25"/>
  <cols>
    <col min="1" max="8" width="8.85546875" style="23"/>
    <col min="9" max="9" width="14.85546875" style="23" bestFit="1" customWidth="1"/>
    <col min="10" max="10" width="37" style="23" bestFit="1" customWidth="1"/>
    <col min="11" max="11" width="50.85546875" style="23" bestFit="1" customWidth="1"/>
    <col min="12" max="12" width="33.42578125" style="23" bestFit="1" customWidth="1"/>
    <col min="13" max="13" width="27" style="23" bestFit="1" customWidth="1"/>
    <col min="14" max="14" width="53.42578125" style="23" bestFit="1" customWidth="1"/>
    <col min="15" max="15" width="53.7109375" style="23" bestFit="1" customWidth="1"/>
    <col min="16" max="16384" width="8.85546875" style="23"/>
  </cols>
  <sheetData>
    <row r="1" spans="9:15" s="2" customFormat="1" ht="15" x14ac:dyDescent="0.25"/>
    <row r="2" spans="9:15" s="2" customFormat="1" ht="15" x14ac:dyDescent="0.25"/>
    <row r="3" spans="9:15" s="2" customFormat="1" ht="61.5" customHeight="1" x14ac:dyDescent="0.25"/>
    <row r="4" spans="9:15" s="22" customFormat="1" ht="45.75" customHeight="1" x14ac:dyDescent="0.25"/>
    <row r="5" spans="9:15" s="22" customFormat="1" ht="15" x14ac:dyDescent="0.25"/>
    <row r="6" spans="9:15" s="22" customFormat="1" ht="15" x14ac:dyDescent="0.25"/>
    <row r="7" spans="9:15" s="22" customFormat="1" ht="15" x14ac:dyDescent="0.25"/>
    <row r="12" spans="9:15" ht="29.1" customHeight="1" x14ac:dyDescent="0.25">
      <c r="I12" s="111" t="s">
        <v>400</v>
      </c>
      <c r="J12" s="111" t="s">
        <v>32</v>
      </c>
      <c r="K12" s="111" t="s">
        <v>33</v>
      </c>
      <c r="L12" s="111" t="s">
        <v>34</v>
      </c>
      <c r="M12" s="111" t="s">
        <v>35</v>
      </c>
      <c r="N12" s="111" t="s">
        <v>36</v>
      </c>
      <c r="O12" s="111" t="s">
        <v>37</v>
      </c>
    </row>
    <row r="13" spans="9:15" ht="29.1" customHeight="1" x14ac:dyDescent="0.25">
      <c r="I13" s="112">
        <v>1</v>
      </c>
      <c r="J13" s="112" t="s">
        <v>38</v>
      </c>
      <c r="K13" s="112" t="s">
        <v>39</v>
      </c>
      <c r="L13" s="112" t="s">
        <v>40</v>
      </c>
      <c r="M13" s="112" t="s">
        <v>41</v>
      </c>
      <c r="N13" s="112" t="s">
        <v>42</v>
      </c>
      <c r="O13" s="112" t="s">
        <v>43</v>
      </c>
    </row>
    <row r="14" spans="9:15" ht="29.1" customHeight="1" x14ac:dyDescent="0.25">
      <c r="I14" s="112">
        <f>I13+1</f>
        <v>2</v>
      </c>
      <c r="J14" s="112" t="s">
        <v>44</v>
      </c>
      <c r="K14" s="112" t="s">
        <v>45</v>
      </c>
      <c r="L14" s="112" t="s">
        <v>40</v>
      </c>
      <c r="M14" s="112" t="s">
        <v>46</v>
      </c>
      <c r="N14" s="112" t="s">
        <v>47</v>
      </c>
      <c r="O14" s="112" t="s">
        <v>48</v>
      </c>
    </row>
    <row r="15" spans="9:15" ht="29.1" customHeight="1" x14ac:dyDescent="0.25">
      <c r="I15" s="112">
        <f t="shared" ref="I15:I32" si="0">I14+1</f>
        <v>3</v>
      </c>
      <c r="J15" s="112" t="s">
        <v>49</v>
      </c>
      <c r="K15" s="112" t="s">
        <v>50</v>
      </c>
      <c r="L15" s="112" t="s">
        <v>51</v>
      </c>
      <c r="M15" s="112" t="s">
        <v>52</v>
      </c>
      <c r="N15" s="112" t="s">
        <v>53</v>
      </c>
      <c r="O15" s="112" t="s">
        <v>54</v>
      </c>
    </row>
    <row r="16" spans="9:15" ht="29.1" customHeight="1" x14ac:dyDescent="0.25">
      <c r="I16" s="112">
        <f t="shared" si="0"/>
        <v>4</v>
      </c>
      <c r="J16" s="112" t="s">
        <v>55</v>
      </c>
      <c r="K16" s="112" t="s">
        <v>56</v>
      </c>
      <c r="L16" s="112" t="s">
        <v>57</v>
      </c>
      <c r="M16" s="112" t="s">
        <v>58</v>
      </c>
      <c r="N16" s="112" t="s">
        <v>59</v>
      </c>
      <c r="O16" s="112" t="s">
        <v>60</v>
      </c>
    </row>
    <row r="17" spans="9:15" ht="29.1" customHeight="1" x14ac:dyDescent="0.25">
      <c r="I17" s="112">
        <f t="shared" si="0"/>
        <v>5</v>
      </c>
      <c r="J17" s="112" t="s">
        <v>61</v>
      </c>
      <c r="K17" s="112" t="s">
        <v>62</v>
      </c>
      <c r="L17" s="112" t="s">
        <v>63</v>
      </c>
      <c r="M17" s="112" t="s">
        <v>64</v>
      </c>
      <c r="N17" s="112" t="s">
        <v>65</v>
      </c>
      <c r="O17" s="112" t="s">
        <v>66</v>
      </c>
    </row>
    <row r="18" spans="9:15" ht="29.1" customHeight="1" x14ac:dyDescent="0.25">
      <c r="I18" s="112">
        <f t="shared" si="0"/>
        <v>6</v>
      </c>
      <c r="J18" s="112" t="s">
        <v>67</v>
      </c>
      <c r="K18" s="112" t="s">
        <v>68</v>
      </c>
      <c r="L18" s="112" t="s">
        <v>69</v>
      </c>
      <c r="M18" s="112" t="s">
        <v>70</v>
      </c>
      <c r="N18" s="112" t="s">
        <v>71</v>
      </c>
      <c r="O18" s="112" t="s">
        <v>72</v>
      </c>
    </row>
    <row r="19" spans="9:15" ht="29.1" customHeight="1" x14ac:dyDescent="0.25">
      <c r="I19" s="112">
        <f t="shared" si="0"/>
        <v>7</v>
      </c>
      <c r="J19" s="112" t="s">
        <v>73</v>
      </c>
      <c r="K19" s="112" t="s">
        <v>74</v>
      </c>
      <c r="L19" s="112" t="s">
        <v>75</v>
      </c>
      <c r="M19" s="112" t="s">
        <v>76</v>
      </c>
      <c r="N19" s="112" t="s">
        <v>77</v>
      </c>
      <c r="O19" s="112" t="s">
        <v>78</v>
      </c>
    </row>
    <row r="20" spans="9:15" ht="29.1" customHeight="1" x14ac:dyDescent="0.25">
      <c r="I20" s="112">
        <f t="shared" si="0"/>
        <v>8</v>
      </c>
      <c r="J20" s="112" t="s">
        <v>79</v>
      </c>
      <c r="K20" s="112" t="s">
        <v>80</v>
      </c>
      <c r="L20" s="112" t="s">
        <v>81</v>
      </c>
      <c r="M20" s="112" t="s">
        <v>82</v>
      </c>
      <c r="N20" s="112" t="s">
        <v>83</v>
      </c>
      <c r="O20" s="112" t="s">
        <v>84</v>
      </c>
    </row>
    <row r="21" spans="9:15" ht="29.1" customHeight="1" x14ac:dyDescent="0.25">
      <c r="I21" s="112">
        <f t="shared" si="0"/>
        <v>9</v>
      </c>
      <c r="J21" s="112" t="s">
        <v>85</v>
      </c>
      <c r="K21" s="112" t="s">
        <v>86</v>
      </c>
      <c r="L21" s="112" t="s">
        <v>87</v>
      </c>
      <c r="M21" s="112" t="s">
        <v>88</v>
      </c>
      <c r="N21" s="112" t="s">
        <v>89</v>
      </c>
      <c r="O21" s="112" t="s">
        <v>90</v>
      </c>
    </row>
    <row r="22" spans="9:15" ht="29.1" customHeight="1" x14ac:dyDescent="0.25">
      <c r="I22" s="112">
        <f t="shared" si="0"/>
        <v>10</v>
      </c>
      <c r="J22" s="112" t="s">
        <v>91</v>
      </c>
      <c r="K22" s="112" t="s">
        <v>92</v>
      </c>
      <c r="L22" s="112" t="s">
        <v>93</v>
      </c>
      <c r="M22" s="112" t="s">
        <v>94</v>
      </c>
      <c r="N22" s="112" t="s">
        <v>95</v>
      </c>
      <c r="O22" s="112" t="s">
        <v>96</v>
      </c>
    </row>
    <row r="23" spans="9:15" ht="29.1" customHeight="1" x14ac:dyDescent="0.25">
      <c r="I23" s="112">
        <f t="shared" si="0"/>
        <v>11</v>
      </c>
      <c r="J23" s="112" t="s">
        <v>97</v>
      </c>
      <c r="K23" s="112" t="s">
        <v>98</v>
      </c>
      <c r="L23" s="112" t="s">
        <v>99</v>
      </c>
      <c r="M23" s="112" t="s">
        <v>100</v>
      </c>
      <c r="N23" s="112" t="s">
        <v>101</v>
      </c>
      <c r="O23" s="112" t="s">
        <v>102</v>
      </c>
    </row>
    <row r="24" spans="9:15" ht="29.1" customHeight="1" x14ac:dyDescent="0.25">
      <c r="I24" s="112">
        <f t="shared" si="0"/>
        <v>12</v>
      </c>
      <c r="J24" s="112" t="s">
        <v>103</v>
      </c>
      <c r="K24" s="112" t="s">
        <v>104</v>
      </c>
      <c r="L24" s="112" t="s">
        <v>105</v>
      </c>
      <c r="M24" s="112" t="s">
        <v>106</v>
      </c>
      <c r="N24" s="112" t="s">
        <v>107</v>
      </c>
      <c r="O24" s="112" t="s">
        <v>108</v>
      </c>
    </row>
    <row r="25" spans="9:15" ht="29.1" customHeight="1" x14ac:dyDescent="0.25">
      <c r="I25" s="112">
        <f t="shared" si="0"/>
        <v>13</v>
      </c>
      <c r="J25" s="112" t="s">
        <v>109</v>
      </c>
      <c r="K25" s="112" t="s">
        <v>110</v>
      </c>
      <c r="L25" s="112" t="s">
        <v>111</v>
      </c>
      <c r="M25" s="112" t="s">
        <v>112</v>
      </c>
      <c r="N25" s="112" t="s">
        <v>113</v>
      </c>
      <c r="O25" s="112" t="s">
        <v>114</v>
      </c>
    </row>
    <row r="26" spans="9:15" ht="29.1" customHeight="1" x14ac:dyDescent="0.25">
      <c r="I26" s="112">
        <f t="shared" si="0"/>
        <v>14</v>
      </c>
      <c r="J26" s="112" t="s">
        <v>115</v>
      </c>
      <c r="K26" s="112" t="s">
        <v>116</v>
      </c>
      <c r="L26" s="112" t="s">
        <v>117</v>
      </c>
      <c r="M26" s="112" t="s">
        <v>118</v>
      </c>
      <c r="N26" s="112" t="s">
        <v>119</v>
      </c>
      <c r="O26" s="112" t="s">
        <v>120</v>
      </c>
    </row>
    <row r="27" spans="9:15" ht="29.1" customHeight="1" x14ac:dyDescent="0.25">
      <c r="I27" s="112">
        <f t="shared" si="0"/>
        <v>15</v>
      </c>
      <c r="J27" s="112" t="s">
        <v>121</v>
      </c>
      <c r="K27" s="112" t="s">
        <v>122</v>
      </c>
      <c r="L27" s="112" t="s">
        <v>123</v>
      </c>
      <c r="M27" s="112" t="s">
        <v>124</v>
      </c>
      <c r="N27" s="112" t="s">
        <v>125</v>
      </c>
      <c r="O27" s="112" t="s">
        <v>126</v>
      </c>
    </row>
    <row r="28" spans="9:15" ht="29.1" customHeight="1" x14ac:dyDescent="0.25">
      <c r="I28" s="112">
        <f t="shared" si="0"/>
        <v>16</v>
      </c>
      <c r="J28" s="112" t="s">
        <v>127</v>
      </c>
      <c r="K28" s="112" t="s">
        <v>128</v>
      </c>
      <c r="L28" s="112" t="s">
        <v>129</v>
      </c>
      <c r="M28" s="112" t="s">
        <v>130</v>
      </c>
      <c r="N28" s="112" t="s">
        <v>131</v>
      </c>
      <c r="O28" s="112" t="s">
        <v>102</v>
      </c>
    </row>
    <row r="29" spans="9:15" ht="29.1" customHeight="1" x14ac:dyDescent="0.25">
      <c r="I29" s="112">
        <f t="shared" si="0"/>
        <v>17</v>
      </c>
      <c r="J29" s="112" t="s">
        <v>132</v>
      </c>
      <c r="K29" s="112" t="s">
        <v>133</v>
      </c>
      <c r="L29" s="112" t="s">
        <v>134</v>
      </c>
      <c r="M29" s="112" t="s">
        <v>135</v>
      </c>
      <c r="N29" s="112" t="s">
        <v>136</v>
      </c>
      <c r="O29" s="112" t="s">
        <v>108</v>
      </c>
    </row>
    <row r="30" spans="9:15" ht="29.1" customHeight="1" x14ac:dyDescent="0.25">
      <c r="I30" s="112">
        <f t="shared" si="0"/>
        <v>18</v>
      </c>
      <c r="J30" s="112" t="s">
        <v>137</v>
      </c>
      <c r="K30" s="112" t="s">
        <v>138</v>
      </c>
      <c r="L30" s="112" t="s">
        <v>139</v>
      </c>
      <c r="M30" s="112" t="s">
        <v>140</v>
      </c>
      <c r="N30" s="112" t="s">
        <v>141</v>
      </c>
      <c r="O30" s="112" t="s">
        <v>142</v>
      </c>
    </row>
    <row r="31" spans="9:15" ht="29.1" customHeight="1" x14ac:dyDescent="0.25">
      <c r="I31" s="112">
        <f t="shared" si="0"/>
        <v>19</v>
      </c>
      <c r="J31" s="112" t="s">
        <v>143</v>
      </c>
      <c r="K31" s="112" t="s">
        <v>144</v>
      </c>
      <c r="L31" s="112" t="s">
        <v>145</v>
      </c>
      <c r="M31" s="112" t="s">
        <v>146</v>
      </c>
      <c r="N31" s="112" t="s">
        <v>147</v>
      </c>
      <c r="O31" s="112" t="s">
        <v>96</v>
      </c>
    </row>
    <row r="32" spans="9:15" ht="29.1" customHeight="1" x14ac:dyDescent="0.25">
      <c r="I32" s="112">
        <f t="shared" si="0"/>
        <v>20</v>
      </c>
      <c r="J32" s="112" t="s">
        <v>148</v>
      </c>
      <c r="K32" s="112" t="s">
        <v>149</v>
      </c>
      <c r="L32" s="112" t="s">
        <v>150</v>
      </c>
      <c r="M32" s="112" t="s">
        <v>151</v>
      </c>
      <c r="N32" s="112" t="s">
        <v>152</v>
      </c>
      <c r="O32" s="112" t="s">
        <v>78</v>
      </c>
    </row>
    <row r="33" s="23" customFormat="1" ht="29.1" customHeight="1" x14ac:dyDescent="0.25"/>
    <row r="34" s="23" customFormat="1" ht="29.1" customHeight="1" x14ac:dyDescent="0.25"/>
    <row r="35" s="23" customFormat="1" ht="29.1" customHeight="1" x14ac:dyDescent="0.25"/>
    <row r="36" s="23" customFormat="1" ht="29.1" customHeight="1" x14ac:dyDescent="0.25"/>
    <row r="37" s="23" customFormat="1" ht="29.1" customHeight="1" x14ac:dyDescent="0.25"/>
    <row r="38" s="23" customFormat="1" ht="29.1" customHeight="1" x14ac:dyDescent="0.25"/>
    <row r="39" s="23" customFormat="1" ht="29.1" customHeight="1" x14ac:dyDescent="0.25"/>
    <row r="40" s="23" customFormat="1" ht="29.1" customHeight="1" x14ac:dyDescent="0.25"/>
    <row r="41" s="23" customFormat="1" ht="29.1" customHeight="1" x14ac:dyDescent="0.25"/>
    <row r="42" s="23" customFormat="1" ht="29.1" customHeight="1" x14ac:dyDescent="0.25"/>
    <row r="43" s="23" customFormat="1" ht="29.1" customHeight="1" x14ac:dyDescent="0.25"/>
    <row r="44" s="23" customFormat="1" ht="29.1" customHeight="1" x14ac:dyDescent="0.25"/>
    <row r="45" s="23" customFormat="1" ht="29.1" customHeight="1" x14ac:dyDescent="0.25"/>
    <row r="46" s="23" customFormat="1" ht="29.1" customHeight="1" x14ac:dyDescent="0.25"/>
    <row r="47" s="23" customFormat="1" ht="29.1" customHeight="1" x14ac:dyDescent="0.25"/>
    <row r="48" s="23" customFormat="1" ht="29.1" customHeight="1" x14ac:dyDescent="0.25"/>
    <row r="49" s="23" customFormat="1" ht="29.1" customHeight="1" x14ac:dyDescent="0.25"/>
    <row r="50" s="23" customFormat="1" ht="29.1" customHeight="1" x14ac:dyDescent="0.25"/>
    <row r="51" s="23" customFormat="1" ht="29.1" customHeight="1" x14ac:dyDescent="0.25"/>
    <row r="52" s="23" customFormat="1" ht="29.1" customHeight="1" x14ac:dyDescent="0.25"/>
    <row r="53" s="23" customFormat="1" ht="29.1" customHeight="1" x14ac:dyDescent="0.25"/>
    <row r="54" s="23" customFormat="1" ht="29.1" customHeight="1" x14ac:dyDescent="0.25"/>
    <row r="55" s="23" customFormat="1" ht="29.1" customHeight="1" x14ac:dyDescent="0.25"/>
    <row r="56" s="23" customFormat="1" ht="29.1" customHeight="1" x14ac:dyDescent="0.25"/>
    <row r="57" s="23" customFormat="1" ht="29.1" customHeight="1" x14ac:dyDescent="0.25"/>
    <row r="58" s="23" customFormat="1" ht="29.1" customHeight="1" x14ac:dyDescent="0.25"/>
    <row r="59" s="23" customFormat="1" ht="29.1" customHeight="1" x14ac:dyDescent="0.25"/>
    <row r="60" s="23" customFormat="1" ht="29.1" customHeight="1" x14ac:dyDescent="0.25"/>
    <row r="61" s="23" customFormat="1" ht="29.1" customHeight="1" x14ac:dyDescent="0.25"/>
    <row r="62" s="23" customFormat="1" ht="29.1" customHeight="1" x14ac:dyDescent="0.25"/>
    <row r="63" s="23" customFormat="1" ht="29.1" customHeight="1" x14ac:dyDescent="0.25"/>
    <row r="64" s="23" customFormat="1" ht="29.1" customHeight="1" x14ac:dyDescent="0.25"/>
    <row r="65" s="23" customFormat="1" ht="29.1" customHeight="1" x14ac:dyDescent="0.25"/>
    <row r="66" s="23" customFormat="1" ht="29.1" customHeight="1" x14ac:dyDescent="0.25"/>
    <row r="67" s="23" customFormat="1" ht="29.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customWidth="1"/>
    <col min="6" max="6" width="21.85546875" bestFit="1" customWidth="1"/>
    <col min="7" max="7" width="26" bestFit="1" customWidth="1"/>
    <col min="8" max="8" width="30.5703125" customWidth="1"/>
    <col min="9" max="9" width="12.140625" bestFit="1" customWidth="1"/>
    <col min="10" max="10" width="12.7109375" bestFit="1" customWidth="1"/>
    <col min="11" max="11" width="5.7109375" bestFit="1" customWidth="1"/>
    <col min="12" max="12" width="61" customWidth="1"/>
    <col min="13" max="13" width="26.5703125" customWidth="1"/>
    <col min="14" max="14" width="44.28515625" bestFit="1" customWidth="1"/>
    <col min="15" max="15" width="28.7109375" bestFit="1" customWidth="1"/>
    <col min="16" max="16" width="32.7109375" bestFit="1" customWidth="1"/>
    <col min="17" max="17" width="37.28515625" bestFit="1" customWidth="1"/>
    <col min="18" max="18" width="30.42578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11" t="s">
        <v>31</v>
      </c>
      <c r="L13" s="114" t="s">
        <v>153</v>
      </c>
      <c r="M13" s="114" t="s">
        <v>154</v>
      </c>
      <c r="N13" s="115" t="s">
        <v>155</v>
      </c>
      <c r="O13" s="114" t="s">
        <v>156</v>
      </c>
      <c r="P13" s="114" t="s">
        <v>157</v>
      </c>
      <c r="Q13" s="114" t="s">
        <v>158</v>
      </c>
      <c r="R13" s="114" t="s">
        <v>159</v>
      </c>
    </row>
    <row r="14" spans="1:51" ht="28.9" customHeight="1" x14ac:dyDescent="0.25">
      <c r="K14" s="112">
        <v>1</v>
      </c>
      <c r="L14" s="112" t="s">
        <v>160</v>
      </c>
      <c r="M14" s="112" t="s">
        <v>161</v>
      </c>
      <c r="N14" s="113">
        <v>10000</v>
      </c>
      <c r="O14" s="112" t="s">
        <v>162</v>
      </c>
      <c r="P14" s="112" t="s">
        <v>163</v>
      </c>
      <c r="Q14" s="112" t="s">
        <v>41</v>
      </c>
      <c r="R14" s="112" t="s">
        <v>164</v>
      </c>
    </row>
    <row r="15" spans="1:51" ht="28.9" customHeight="1" x14ac:dyDescent="0.25">
      <c r="K15" s="112">
        <f>K14+1</f>
        <v>2</v>
      </c>
      <c r="L15" s="112" t="s">
        <v>165</v>
      </c>
      <c r="M15" s="112" t="s">
        <v>166</v>
      </c>
      <c r="N15" s="113">
        <v>2000</v>
      </c>
      <c r="O15" s="112" t="s">
        <v>167</v>
      </c>
      <c r="P15" s="112" t="s">
        <v>168</v>
      </c>
      <c r="Q15" s="112" t="s">
        <v>169</v>
      </c>
      <c r="R15" s="112" t="s">
        <v>170</v>
      </c>
    </row>
    <row r="16" spans="1:51" ht="28.9" customHeight="1" x14ac:dyDescent="0.25">
      <c r="K16" s="112">
        <f t="shared" ref="K16:K33" si="0">K15+1</f>
        <v>3</v>
      </c>
      <c r="L16" s="112" t="s">
        <v>171</v>
      </c>
      <c r="M16" s="112" t="s">
        <v>161</v>
      </c>
      <c r="N16" s="113">
        <v>15000</v>
      </c>
      <c r="O16" s="112" t="s">
        <v>172</v>
      </c>
      <c r="P16" s="112" t="s">
        <v>173</v>
      </c>
      <c r="Q16" s="112" t="s">
        <v>174</v>
      </c>
      <c r="R16" s="112" t="s">
        <v>175</v>
      </c>
    </row>
    <row r="17" spans="11:18" ht="28.9" customHeight="1" x14ac:dyDescent="0.25">
      <c r="K17" s="112">
        <f t="shared" si="0"/>
        <v>4</v>
      </c>
      <c r="L17" s="112" t="s">
        <v>176</v>
      </c>
      <c r="M17" s="112" t="s">
        <v>177</v>
      </c>
      <c r="N17" s="113">
        <v>1200</v>
      </c>
      <c r="O17" s="112" t="s">
        <v>178</v>
      </c>
      <c r="P17" s="112" t="s">
        <v>179</v>
      </c>
      <c r="Q17" s="112" t="s">
        <v>58</v>
      </c>
      <c r="R17" s="112" t="s">
        <v>164</v>
      </c>
    </row>
    <row r="18" spans="11:18" ht="28.9" customHeight="1" x14ac:dyDescent="0.25">
      <c r="K18" s="112">
        <f t="shared" si="0"/>
        <v>5</v>
      </c>
      <c r="L18" s="112" t="s">
        <v>180</v>
      </c>
      <c r="M18" s="112" t="s">
        <v>161</v>
      </c>
      <c r="N18" s="113">
        <v>12500</v>
      </c>
      <c r="O18" s="112" t="s">
        <v>181</v>
      </c>
      <c r="P18" s="112" t="s">
        <v>61</v>
      </c>
      <c r="Q18" s="112" t="s">
        <v>182</v>
      </c>
      <c r="R18" s="112" t="s">
        <v>164</v>
      </c>
    </row>
    <row r="19" spans="11:18" ht="28.9" customHeight="1" x14ac:dyDescent="0.25">
      <c r="K19" s="112">
        <f t="shared" si="0"/>
        <v>6</v>
      </c>
      <c r="L19" s="112" t="s">
        <v>183</v>
      </c>
      <c r="M19" s="112" t="s">
        <v>161</v>
      </c>
      <c r="N19" s="113">
        <v>8000</v>
      </c>
      <c r="O19" s="112" t="s">
        <v>184</v>
      </c>
      <c r="P19" s="112" t="s">
        <v>185</v>
      </c>
      <c r="Q19" s="112" t="s">
        <v>186</v>
      </c>
      <c r="R19" s="112" t="s">
        <v>175</v>
      </c>
    </row>
    <row r="20" spans="11:18" ht="28.9" customHeight="1" x14ac:dyDescent="0.25">
      <c r="K20" s="112">
        <f t="shared" si="0"/>
        <v>7</v>
      </c>
      <c r="L20" s="112" t="s">
        <v>187</v>
      </c>
      <c r="M20" s="112" t="s">
        <v>166</v>
      </c>
      <c r="N20" s="113">
        <v>2500</v>
      </c>
      <c r="O20" s="112" t="s">
        <v>188</v>
      </c>
      <c r="P20" s="112" t="s">
        <v>189</v>
      </c>
      <c r="Q20" s="112" t="s">
        <v>190</v>
      </c>
      <c r="R20" s="112" t="s">
        <v>170</v>
      </c>
    </row>
    <row r="21" spans="11:18" ht="28.9" customHeight="1" x14ac:dyDescent="0.25">
      <c r="K21" s="112">
        <f t="shared" si="0"/>
        <v>8</v>
      </c>
      <c r="L21" s="112" t="s">
        <v>191</v>
      </c>
      <c r="M21" s="112" t="s">
        <v>177</v>
      </c>
      <c r="N21" s="113">
        <v>1800</v>
      </c>
      <c r="O21" s="112" t="s">
        <v>192</v>
      </c>
      <c r="P21" s="112" t="s">
        <v>193</v>
      </c>
      <c r="Q21" s="112" t="s">
        <v>82</v>
      </c>
      <c r="R21" s="112" t="s">
        <v>164</v>
      </c>
    </row>
    <row r="22" spans="11:18" ht="28.9" customHeight="1" x14ac:dyDescent="0.25">
      <c r="K22" s="112">
        <f t="shared" si="0"/>
        <v>9</v>
      </c>
      <c r="L22" s="112" t="s">
        <v>194</v>
      </c>
      <c r="M22" s="112" t="s">
        <v>161</v>
      </c>
      <c r="N22" s="113">
        <v>10500</v>
      </c>
      <c r="O22" s="112" t="s">
        <v>195</v>
      </c>
      <c r="P22" s="112" t="s">
        <v>85</v>
      </c>
      <c r="Q22" s="112" t="s">
        <v>88</v>
      </c>
      <c r="R22" s="112" t="s">
        <v>164</v>
      </c>
    </row>
    <row r="23" spans="11:18" ht="28.9" customHeight="1" x14ac:dyDescent="0.25">
      <c r="K23" s="112">
        <f t="shared" si="0"/>
        <v>10</v>
      </c>
      <c r="L23" s="112" t="s">
        <v>196</v>
      </c>
      <c r="M23" s="112" t="s">
        <v>166</v>
      </c>
      <c r="N23" s="113">
        <v>2200</v>
      </c>
      <c r="O23" s="112" t="s">
        <v>197</v>
      </c>
      <c r="P23" s="112" t="s">
        <v>198</v>
      </c>
      <c r="Q23" s="112" t="s">
        <v>94</v>
      </c>
      <c r="R23" s="112" t="s">
        <v>170</v>
      </c>
    </row>
    <row r="24" spans="11:18" ht="28.9" customHeight="1" x14ac:dyDescent="0.25">
      <c r="K24" s="112">
        <f t="shared" si="0"/>
        <v>11</v>
      </c>
      <c r="L24" s="112" t="s">
        <v>199</v>
      </c>
      <c r="M24" s="112" t="s">
        <v>161</v>
      </c>
      <c r="N24" s="113">
        <v>14000</v>
      </c>
      <c r="O24" s="112" t="s">
        <v>200</v>
      </c>
      <c r="P24" s="112" t="s">
        <v>97</v>
      </c>
      <c r="Q24" s="112" t="s">
        <v>100</v>
      </c>
      <c r="R24" s="112" t="s">
        <v>164</v>
      </c>
    </row>
    <row r="25" spans="11:18" ht="28.9" customHeight="1" x14ac:dyDescent="0.25">
      <c r="K25" s="112">
        <f t="shared" si="0"/>
        <v>12</v>
      </c>
      <c r="L25" s="112" t="s">
        <v>201</v>
      </c>
      <c r="M25" s="112" t="s">
        <v>177</v>
      </c>
      <c r="N25" s="113">
        <v>1000</v>
      </c>
      <c r="O25" s="112" t="s">
        <v>202</v>
      </c>
      <c r="P25" s="112" t="s">
        <v>203</v>
      </c>
      <c r="Q25" s="112" t="s">
        <v>106</v>
      </c>
      <c r="R25" s="112" t="s">
        <v>175</v>
      </c>
    </row>
    <row r="26" spans="11:18" ht="28.9" customHeight="1" x14ac:dyDescent="0.25">
      <c r="K26" s="112">
        <f t="shared" si="0"/>
        <v>13</v>
      </c>
      <c r="L26" s="112" t="s">
        <v>204</v>
      </c>
      <c r="M26" s="112" t="s">
        <v>161</v>
      </c>
      <c r="N26" s="113">
        <v>13000</v>
      </c>
      <c r="O26" s="112" t="s">
        <v>205</v>
      </c>
      <c r="P26" s="112" t="s">
        <v>109</v>
      </c>
      <c r="Q26" s="112" t="s">
        <v>112</v>
      </c>
      <c r="R26" s="112" t="s">
        <v>164</v>
      </c>
    </row>
    <row r="27" spans="11:18" ht="28.9" customHeight="1" x14ac:dyDescent="0.25">
      <c r="K27" s="112">
        <f t="shared" si="0"/>
        <v>14</v>
      </c>
      <c r="L27" s="112" t="s">
        <v>206</v>
      </c>
      <c r="M27" s="112" t="s">
        <v>166</v>
      </c>
      <c r="N27" s="113">
        <v>1900</v>
      </c>
      <c r="O27" s="112" t="s">
        <v>207</v>
      </c>
      <c r="P27" s="112" t="s">
        <v>115</v>
      </c>
      <c r="Q27" s="112" t="s">
        <v>118</v>
      </c>
      <c r="R27" s="112" t="s">
        <v>170</v>
      </c>
    </row>
    <row r="28" spans="11:18" ht="28.9" customHeight="1" x14ac:dyDescent="0.25">
      <c r="K28" s="112">
        <f t="shared" si="0"/>
        <v>15</v>
      </c>
      <c r="L28" s="112" t="s">
        <v>208</v>
      </c>
      <c r="M28" s="112" t="s">
        <v>161</v>
      </c>
      <c r="N28" s="113">
        <v>16000</v>
      </c>
      <c r="O28" s="112" t="s">
        <v>209</v>
      </c>
      <c r="P28" s="112" t="s">
        <v>121</v>
      </c>
      <c r="Q28" s="112" t="s">
        <v>124</v>
      </c>
      <c r="R28" s="112" t="s">
        <v>164</v>
      </c>
    </row>
    <row r="29" spans="11:18" ht="28.9" customHeight="1" x14ac:dyDescent="0.25">
      <c r="K29" s="112">
        <f t="shared" si="0"/>
        <v>16</v>
      </c>
      <c r="L29" s="112" t="s">
        <v>210</v>
      </c>
      <c r="M29" s="112" t="s">
        <v>177</v>
      </c>
      <c r="N29" s="113">
        <v>1500</v>
      </c>
      <c r="O29" s="112" t="s">
        <v>211</v>
      </c>
      <c r="P29" s="112" t="s">
        <v>127</v>
      </c>
      <c r="Q29" s="112" t="s">
        <v>130</v>
      </c>
      <c r="R29" s="112" t="s">
        <v>164</v>
      </c>
    </row>
    <row r="30" spans="11:18" ht="28.9" customHeight="1" x14ac:dyDescent="0.25">
      <c r="K30" s="112">
        <f t="shared" si="0"/>
        <v>17</v>
      </c>
      <c r="L30" s="112" t="s">
        <v>212</v>
      </c>
      <c r="M30" s="112" t="s">
        <v>166</v>
      </c>
      <c r="N30" s="113">
        <v>2300</v>
      </c>
      <c r="O30" s="112" t="s">
        <v>213</v>
      </c>
      <c r="P30" s="112" t="s">
        <v>132</v>
      </c>
      <c r="Q30" s="112" t="s">
        <v>135</v>
      </c>
      <c r="R30" s="112" t="s">
        <v>175</v>
      </c>
    </row>
    <row r="31" spans="11:18" ht="28.9" customHeight="1" x14ac:dyDescent="0.25">
      <c r="K31" s="112">
        <f t="shared" si="0"/>
        <v>18</v>
      </c>
      <c r="L31" s="112" t="s">
        <v>214</v>
      </c>
      <c r="M31" s="112" t="s">
        <v>161</v>
      </c>
      <c r="N31" s="113">
        <v>11000</v>
      </c>
      <c r="O31" s="112" t="s">
        <v>215</v>
      </c>
      <c r="P31" s="112" t="s">
        <v>137</v>
      </c>
      <c r="Q31" s="112" t="s">
        <v>140</v>
      </c>
      <c r="R31" s="112" t="s">
        <v>164</v>
      </c>
    </row>
    <row r="32" spans="11:18" ht="28.9" customHeight="1" x14ac:dyDescent="0.25">
      <c r="K32" s="112">
        <f t="shared" si="0"/>
        <v>19</v>
      </c>
      <c r="L32" s="112" t="s">
        <v>216</v>
      </c>
      <c r="M32" s="112" t="s">
        <v>166</v>
      </c>
      <c r="N32" s="113">
        <v>1700</v>
      </c>
      <c r="O32" s="112" t="s">
        <v>217</v>
      </c>
      <c r="P32" s="112" t="s">
        <v>143</v>
      </c>
      <c r="Q32" s="112" t="s">
        <v>146</v>
      </c>
      <c r="R32" s="112" t="s">
        <v>170</v>
      </c>
    </row>
    <row r="33" spans="11:18" ht="28.9" customHeight="1" x14ac:dyDescent="0.25">
      <c r="K33" s="112">
        <f t="shared" si="0"/>
        <v>20</v>
      </c>
      <c r="L33" s="112" t="s">
        <v>218</v>
      </c>
      <c r="M33" s="112" t="s">
        <v>177</v>
      </c>
      <c r="N33" s="113">
        <v>1300</v>
      </c>
      <c r="O33" s="112" t="s">
        <v>219</v>
      </c>
      <c r="P33" s="112" t="s">
        <v>148</v>
      </c>
      <c r="Q33" s="112" t="s">
        <v>151</v>
      </c>
      <c r="R33" s="112" t="s">
        <v>164</v>
      </c>
    </row>
    <row r="34" spans="11:18" ht="28.9" customHeight="1" x14ac:dyDescent="0.25"/>
    <row r="35" spans="11:18" ht="28.9" customHeight="1" x14ac:dyDescent="0.25"/>
    <row r="36" spans="11:18" ht="28.9" customHeight="1" x14ac:dyDescent="0.25"/>
    <row r="37" spans="11:18" ht="28.9" customHeight="1" x14ac:dyDescent="0.25"/>
    <row r="38" spans="11:18" ht="28.9" customHeight="1" x14ac:dyDescent="0.25"/>
    <row r="39" spans="11:18" ht="28.9" customHeight="1" x14ac:dyDescent="0.25"/>
    <row r="40" spans="11:18" ht="28.9" customHeight="1" x14ac:dyDescent="0.25"/>
    <row r="41" spans="11:18" ht="28.9" customHeight="1" x14ac:dyDescent="0.25"/>
    <row r="42" spans="11:18" ht="28.9" customHeight="1" x14ac:dyDescent="0.25"/>
    <row r="43" spans="11:18" ht="28.9" customHeight="1" x14ac:dyDescent="0.25"/>
    <row r="44" spans="11:18" ht="28.9" customHeight="1" x14ac:dyDescent="0.25"/>
    <row r="45" spans="11:18" ht="28.9" customHeight="1" x14ac:dyDescent="0.25"/>
    <row r="46" spans="11:18" ht="28.9" customHeight="1" x14ac:dyDescent="0.25"/>
    <row r="47" spans="11:18" ht="28.9" customHeight="1" x14ac:dyDescent="0.25"/>
    <row r="48" spans="11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140625" bestFit="1" customWidth="1"/>
    <col min="12" max="12" width="27.7109375" bestFit="1" customWidth="1"/>
    <col min="13" max="13" width="24.28515625" bestFit="1" customWidth="1"/>
    <col min="14" max="14" width="29.85546875" bestFit="1" customWidth="1"/>
    <col min="15" max="15" width="52.28515625" bestFit="1" customWidth="1"/>
    <col min="16" max="16" width="27.7109375" bestFit="1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11" t="s">
        <v>220</v>
      </c>
      <c r="L13" s="111" t="s">
        <v>221</v>
      </c>
      <c r="M13" s="115" t="s">
        <v>222</v>
      </c>
      <c r="N13" s="111" t="s">
        <v>32</v>
      </c>
      <c r="O13" s="111" t="s">
        <v>223</v>
      </c>
      <c r="P13" s="111" t="s">
        <v>224</v>
      </c>
      <c r="Q13" s="111" t="s">
        <v>225</v>
      </c>
      <c r="R13" s="111" t="s">
        <v>226</v>
      </c>
      <c r="S13" s="111" t="s">
        <v>227</v>
      </c>
    </row>
    <row r="14" spans="1:51" ht="28.9" customHeight="1" x14ac:dyDescent="0.25">
      <c r="K14" s="112">
        <v>1</v>
      </c>
      <c r="L14" s="116">
        <v>45604</v>
      </c>
      <c r="M14" s="117">
        <v>0.33333333333333331</v>
      </c>
      <c r="N14" s="112" t="s">
        <v>38</v>
      </c>
      <c r="O14" s="112" t="s">
        <v>228</v>
      </c>
      <c r="P14" s="112" t="s">
        <v>229</v>
      </c>
      <c r="Q14" s="112">
        <v>10</v>
      </c>
      <c r="R14" s="112" t="s">
        <v>161</v>
      </c>
      <c r="S14" s="112" t="s">
        <v>230</v>
      </c>
    </row>
    <row r="15" spans="1:51" ht="28.9" customHeight="1" x14ac:dyDescent="0.25">
      <c r="K15" s="112">
        <f>K14+1</f>
        <v>2</v>
      </c>
      <c r="L15" s="116">
        <v>45604</v>
      </c>
      <c r="M15" s="117">
        <v>0.39583333333333331</v>
      </c>
      <c r="N15" s="112" t="s">
        <v>44</v>
      </c>
      <c r="O15" s="112" t="s">
        <v>231</v>
      </c>
      <c r="P15" s="112" t="s">
        <v>232</v>
      </c>
      <c r="Q15" s="112">
        <v>2</v>
      </c>
      <c r="R15" s="112" t="s">
        <v>166</v>
      </c>
      <c r="S15" s="112" t="s">
        <v>233</v>
      </c>
    </row>
    <row r="16" spans="1:51" ht="28.9" customHeight="1" x14ac:dyDescent="0.25">
      <c r="K16" s="112">
        <f t="shared" ref="K16:K33" si="0">K15+1</f>
        <v>3</v>
      </c>
      <c r="L16" s="116">
        <v>45604</v>
      </c>
      <c r="M16" s="117">
        <v>0.32291666666666669</v>
      </c>
      <c r="N16" s="112" t="s">
        <v>49</v>
      </c>
      <c r="O16" s="112" t="s">
        <v>234</v>
      </c>
      <c r="P16" s="112" t="s">
        <v>235</v>
      </c>
      <c r="Q16" s="112">
        <v>50</v>
      </c>
      <c r="R16" s="112" t="s">
        <v>177</v>
      </c>
      <c r="S16" s="112" t="s">
        <v>230</v>
      </c>
    </row>
    <row r="17" spans="11:19" ht="28.9" customHeight="1" x14ac:dyDescent="0.25">
      <c r="K17" s="112">
        <f t="shared" si="0"/>
        <v>4</v>
      </c>
      <c r="L17" s="116">
        <v>45604</v>
      </c>
      <c r="M17" s="117">
        <v>0.41666666666666669</v>
      </c>
      <c r="N17" s="112" t="s">
        <v>55</v>
      </c>
      <c r="O17" s="112" t="s">
        <v>236</v>
      </c>
      <c r="P17" s="112" t="s">
        <v>237</v>
      </c>
      <c r="Q17" s="112">
        <v>15</v>
      </c>
      <c r="R17" s="112" t="s">
        <v>161</v>
      </c>
      <c r="S17" s="112" t="s">
        <v>230</v>
      </c>
    </row>
    <row r="18" spans="11:19" ht="28.9" customHeight="1" x14ac:dyDescent="0.25">
      <c r="K18" s="112">
        <f t="shared" si="0"/>
        <v>5</v>
      </c>
      <c r="L18" s="116">
        <v>45604</v>
      </c>
      <c r="M18" s="117">
        <v>0.34375</v>
      </c>
      <c r="N18" s="112" t="s">
        <v>61</v>
      </c>
      <c r="O18" s="112" t="s">
        <v>238</v>
      </c>
      <c r="P18" s="112" t="s">
        <v>229</v>
      </c>
      <c r="Q18" s="112">
        <v>100</v>
      </c>
      <c r="R18" s="112" t="s">
        <v>161</v>
      </c>
      <c r="S18" s="112" t="s">
        <v>239</v>
      </c>
    </row>
    <row r="19" spans="11:19" ht="28.9" customHeight="1" x14ac:dyDescent="0.25">
      <c r="K19" s="112">
        <f t="shared" si="0"/>
        <v>6</v>
      </c>
      <c r="L19" s="116">
        <v>45604</v>
      </c>
      <c r="M19" s="117">
        <v>0.375</v>
      </c>
      <c r="N19" s="112" t="s">
        <v>67</v>
      </c>
      <c r="O19" s="112" t="s">
        <v>240</v>
      </c>
      <c r="P19" s="112" t="s">
        <v>232</v>
      </c>
      <c r="Q19" s="112">
        <v>200</v>
      </c>
      <c r="R19" s="112" t="s">
        <v>166</v>
      </c>
      <c r="S19" s="112" t="s">
        <v>230</v>
      </c>
    </row>
    <row r="20" spans="11:19" ht="28.9" customHeight="1" x14ac:dyDescent="0.25">
      <c r="K20" s="112">
        <f t="shared" si="0"/>
        <v>7</v>
      </c>
      <c r="L20" s="116">
        <v>45604</v>
      </c>
      <c r="M20" s="117">
        <v>0.45833333333333331</v>
      </c>
      <c r="N20" s="112" t="s">
        <v>73</v>
      </c>
      <c r="O20" s="112" t="s">
        <v>241</v>
      </c>
      <c r="P20" s="112" t="s">
        <v>235</v>
      </c>
      <c r="Q20" s="112">
        <v>30</v>
      </c>
      <c r="R20" s="112" t="s">
        <v>177</v>
      </c>
      <c r="S20" s="112" t="s">
        <v>233</v>
      </c>
    </row>
    <row r="21" spans="11:19" ht="28.9" customHeight="1" x14ac:dyDescent="0.25">
      <c r="K21" s="112">
        <f t="shared" si="0"/>
        <v>8</v>
      </c>
      <c r="L21" s="116">
        <v>45604</v>
      </c>
      <c r="M21" s="117">
        <v>0.3125</v>
      </c>
      <c r="N21" s="112" t="s">
        <v>79</v>
      </c>
      <c r="O21" s="112" t="s">
        <v>242</v>
      </c>
      <c r="P21" s="112" t="s">
        <v>237</v>
      </c>
      <c r="Q21" s="112">
        <v>20</v>
      </c>
      <c r="R21" s="112" t="s">
        <v>161</v>
      </c>
      <c r="S21" s="112" t="s">
        <v>230</v>
      </c>
    </row>
    <row r="22" spans="11:19" ht="28.9" customHeight="1" x14ac:dyDescent="0.25">
      <c r="K22" s="112">
        <f t="shared" si="0"/>
        <v>9</v>
      </c>
      <c r="L22" s="116">
        <v>45604</v>
      </c>
      <c r="M22" s="117">
        <v>0.40625</v>
      </c>
      <c r="N22" s="112" t="s">
        <v>85</v>
      </c>
      <c r="O22" s="112" t="s">
        <v>243</v>
      </c>
      <c r="P22" s="112" t="s">
        <v>229</v>
      </c>
      <c r="Q22" s="112">
        <v>500</v>
      </c>
      <c r="R22" s="112" t="s">
        <v>161</v>
      </c>
      <c r="S22" s="112" t="s">
        <v>230</v>
      </c>
    </row>
    <row r="23" spans="11:19" ht="28.9" customHeight="1" x14ac:dyDescent="0.25">
      <c r="K23" s="112">
        <f t="shared" si="0"/>
        <v>10</v>
      </c>
      <c r="L23" s="116">
        <v>45604</v>
      </c>
      <c r="M23" s="117">
        <v>0.42708333333333331</v>
      </c>
      <c r="N23" s="112" t="s">
        <v>91</v>
      </c>
      <c r="O23" s="112" t="s">
        <v>244</v>
      </c>
      <c r="P23" s="112" t="s">
        <v>232</v>
      </c>
      <c r="Q23" s="112">
        <v>5</v>
      </c>
      <c r="R23" s="112" t="s">
        <v>166</v>
      </c>
      <c r="S23" s="112" t="s">
        <v>239</v>
      </c>
    </row>
    <row r="24" spans="11:19" ht="28.9" customHeight="1" x14ac:dyDescent="0.25">
      <c r="K24" s="112">
        <f t="shared" si="0"/>
        <v>11</v>
      </c>
      <c r="L24" s="116">
        <v>45604</v>
      </c>
      <c r="M24" s="117">
        <v>0.47916666666666669</v>
      </c>
      <c r="N24" s="112" t="s">
        <v>97</v>
      </c>
      <c r="O24" s="112" t="s">
        <v>245</v>
      </c>
      <c r="P24" s="112" t="s">
        <v>235</v>
      </c>
      <c r="Q24" s="112">
        <v>40</v>
      </c>
      <c r="R24" s="112" t="s">
        <v>161</v>
      </c>
      <c r="S24" s="112" t="s">
        <v>230</v>
      </c>
    </row>
    <row r="25" spans="11:19" ht="28.9" customHeight="1" x14ac:dyDescent="0.25">
      <c r="K25" s="112">
        <f t="shared" si="0"/>
        <v>12</v>
      </c>
      <c r="L25" s="116">
        <v>45604</v>
      </c>
      <c r="M25" s="117">
        <v>0.36458333333333331</v>
      </c>
      <c r="N25" s="112" t="s">
        <v>103</v>
      </c>
      <c r="O25" s="112" t="s">
        <v>246</v>
      </c>
      <c r="P25" s="112" t="s">
        <v>237</v>
      </c>
      <c r="Q25" s="112">
        <v>80</v>
      </c>
      <c r="R25" s="112" t="s">
        <v>177</v>
      </c>
      <c r="S25" s="112" t="s">
        <v>233</v>
      </c>
    </row>
    <row r="26" spans="11:19" ht="28.9" customHeight="1" x14ac:dyDescent="0.25">
      <c r="K26" s="112">
        <f t="shared" si="0"/>
        <v>13</v>
      </c>
      <c r="L26" s="116">
        <v>45604</v>
      </c>
      <c r="M26" s="117">
        <v>0.38541666666666669</v>
      </c>
      <c r="N26" s="112" t="s">
        <v>109</v>
      </c>
      <c r="O26" s="112" t="s">
        <v>247</v>
      </c>
      <c r="P26" s="112" t="s">
        <v>229</v>
      </c>
      <c r="Q26" s="112">
        <v>20</v>
      </c>
      <c r="R26" s="112" t="s">
        <v>161</v>
      </c>
      <c r="S26" s="112" t="s">
        <v>230</v>
      </c>
    </row>
    <row r="27" spans="11:19" ht="28.9" customHeight="1" x14ac:dyDescent="0.25">
      <c r="K27" s="112">
        <f t="shared" si="0"/>
        <v>14</v>
      </c>
      <c r="L27" s="116">
        <v>45604</v>
      </c>
      <c r="M27" s="117">
        <v>0.29166666666666669</v>
      </c>
      <c r="N27" s="112" t="s">
        <v>115</v>
      </c>
      <c r="O27" s="112" t="s">
        <v>248</v>
      </c>
      <c r="P27" s="112" t="s">
        <v>232</v>
      </c>
      <c r="Q27" s="112">
        <v>35</v>
      </c>
      <c r="R27" s="112" t="s">
        <v>166</v>
      </c>
      <c r="S27" s="112" t="s">
        <v>230</v>
      </c>
    </row>
    <row r="28" spans="11:19" ht="28.9" customHeight="1" x14ac:dyDescent="0.25">
      <c r="K28" s="112">
        <f t="shared" si="0"/>
        <v>15</v>
      </c>
      <c r="L28" s="116">
        <v>45604</v>
      </c>
      <c r="M28" s="117">
        <v>0.4375</v>
      </c>
      <c r="N28" s="112" t="s">
        <v>121</v>
      </c>
      <c r="O28" s="112" t="s">
        <v>249</v>
      </c>
      <c r="P28" s="112" t="s">
        <v>235</v>
      </c>
      <c r="Q28" s="112">
        <v>300</v>
      </c>
      <c r="R28" s="112" t="s">
        <v>161</v>
      </c>
      <c r="S28" s="112" t="s">
        <v>239</v>
      </c>
    </row>
    <row r="29" spans="11:19" ht="28.9" customHeight="1" x14ac:dyDescent="0.25">
      <c r="K29" s="112">
        <f t="shared" si="0"/>
        <v>16</v>
      </c>
      <c r="L29" s="116">
        <v>45604</v>
      </c>
      <c r="M29" s="117">
        <v>0.40972222222222221</v>
      </c>
      <c r="N29" s="112" t="s">
        <v>127</v>
      </c>
      <c r="O29" s="112" t="s">
        <v>250</v>
      </c>
      <c r="P29" s="112" t="s">
        <v>237</v>
      </c>
      <c r="Q29" s="112">
        <v>60</v>
      </c>
      <c r="R29" s="112" t="s">
        <v>177</v>
      </c>
      <c r="S29" s="112" t="s">
        <v>230</v>
      </c>
    </row>
    <row r="30" spans="11:19" ht="28.9" customHeight="1" x14ac:dyDescent="0.25">
      <c r="K30" s="112">
        <f t="shared" si="0"/>
        <v>17</v>
      </c>
      <c r="L30" s="116">
        <v>45604</v>
      </c>
      <c r="M30" s="117">
        <v>0.34722222222222221</v>
      </c>
      <c r="N30" s="112" t="s">
        <v>132</v>
      </c>
      <c r="O30" s="112" t="s">
        <v>251</v>
      </c>
      <c r="P30" s="112" t="s">
        <v>229</v>
      </c>
      <c r="Q30" s="112">
        <v>15</v>
      </c>
      <c r="R30" s="112" t="s">
        <v>166</v>
      </c>
      <c r="S30" s="112" t="s">
        <v>233</v>
      </c>
    </row>
    <row r="31" spans="11:19" ht="28.9" customHeight="1" x14ac:dyDescent="0.25">
      <c r="K31" s="112">
        <f t="shared" si="0"/>
        <v>18</v>
      </c>
      <c r="L31" s="116">
        <v>45604</v>
      </c>
      <c r="M31" s="117">
        <v>0.48958333333333331</v>
      </c>
      <c r="N31" s="112" t="s">
        <v>137</v>
      </c>
      <c r="O31" s="112" t="s">
        <v>252</v>
      </c>
      <c r="P31" s="112" t="s">
        <v>232</v>
      </c>
      <c r="Q31" s="112">
        <v>70</v>
      </c>
      <c r="R31" s="112" t="s">
        <v>161</v>
      </c>
      <c r="S31" s="112" t="s">
        <v>230</v>
      </c>
    </row>
    <row r="32" spans="11:19" ht="28.9" customHeight="1" x14ac:dyDescent="0.25">
      <c r="K32" s="112">
        <f t="shared" si="0"/>
        <v>19</v>
      </c>
      <c r="L32" s="116">
        <v>45604</v>
      </c>
      <c r="M32" s="117">
        <v>0.38194444444444442</v>
      </c>
      <c r="N32" s="112" t="s">
        <v>143</v>
      </c>
      <c r="O32" s="112" t="s">
        <v>253</v>
      </c>
      <c r="P32" s="112" t="s">
        <v>235</v>
      </c>
      <c r="Q32" s="112">
        <v>120</v>
      </c>
      <c r="R32" s="112" t="s">
        <v>166</v>
      </c>
      <c r="S32" s="112" t="s">
        <v>230</v>
      </c>
    </row>
    <row r="33" spans="11:19" ht="28.9" customHeight="1" x14ac:dyDescent="0.25">
      <c r="K33" s="112">
        <f t="shared" si="0"/>
        <v>20</v>
      </c>
      <c r="L33" s="116">
        <v>45604</v>
      </c>
      <c r="M33" s="117">
        <v>0.44444444444444442</v>
      </c>
      <c r="N33" s="112" t="s">
        <v>148</v>
      </c>
      <c r="O33" s="112" t="s">
        <v>254</v>
      </c>
      <c r="P33" s="112" t="s">
        <v>237</v>
      </c>
      <c r="Q33" s="112">
        <v>25</v>
      </c>
      <c r="R33" s="112" t="s">
        <v>177</v>
      </c>
      <c r="S33" s="112" t="s">
        <v>230</v>
      </c>
    </row>
    <row r="34" spans="11:19" ht="28.9" customHeight="1" x14ac:dyDescent="0.25"/>
    <row r="35" spans="11:19" ht="28.9" customHeight="1" x14ac:dyDescent="0.25"/>
    <row r="36" spans="11:19" ht="28.9" customHeight="1" x14ac:dyDescent="0.25"/>
    <row r="37" spans="11:19" ht="28.9" customHeight="1" x14ac:dyDescent="0.25"/>
    <row r="38" spans="11:19" ht="28.9" customHeight="1" x14ac:dyDescent="0.25"/>
    <row r="39" spans="11:19" ht="28.9" customHeight="1" x14ac:dyDescent="0.25"/>
    <row r="40" spans="11:19" ht="28.9" customHeight="1" x14ac:dyDescent="0.25"/>
    <row r="41" spans="11:19" ht="28.9" customHeight="1" x14ac:dyDescent="0.25"/>
    <row r="42" spans="11:19" ht="28.9" customHeight="1" x14ac:dyDescent="0.25"/>
    <row r="43" spans="11:19" ht="28.9" customHeight="1" x14ac:dyDescent="0.25"/>
    <row r="44" spans="11:19" ht="28.9" customHeight="1" x14ac:dyDescent="0.25"/>
    <row r="45" spans="11:19" ht="28.9" customHeight="1" x14ac:dyDescent="0.25"/>
    <row r="46" spans="11:19" ht="28.9" customHeight="1" x14ac:dyDescent="0.25"/>
    <row r="47" spans="11:19" ht="28.9" customHeight="1" x14ac:dyDescent="0.25"/>
    <row r="48" spans="11:19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42578125" bestFit="1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bestFit="1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14" t="s">
        <v>220</v>
      </c>
      <c r="L13" s="114" t="s">
        <v>255</v>
      </c>
      <c r="M13" s="114" t="s">
        <v>256</v>
      </c>
      <c r="N13" s="114" t="s">
        <v>257</v>
      </c>
      <c r="O13" s="114" t="s">
        <v>258</v>
      </c>
      <c r="P13" s="114" t="s">
        <v>259</v>
      </c>
    </row>
    <row r="14" spans="1:51" ht="28.9" customHeight="1" x14ac:dyDescent="0.25">
      <c r="K14" s="112">
        <v>1</v>
      </c>
      <c r="L14" s="118">
        <v>50</v>
      </c>
      <c r="M14" s="113">
        <v>1000</v>
      </c>
      <c r="N14" s="119">
        <f>L14*M14</f>
        <v>50000</v>
      </c>
      <c r="O14" s="119">
        <f>L14*M14+N14</f>
        <v>100000</v>
      </c>
      <c r="P14" s="112" t="s">
        <v>260</v>
      </c>
    </row>
    <row r="15" spans="1:51" ht="28.9" customHeight="1" x14ac:dyDescent="0.25">
      <c r="K15" s="112">
        <f>K14+1</f>
        <v>2</v>
      </c>
      <c r="L15" s="118">
        <v>120</v>
      </c>
      <c r="M15" s="112">
        <v>800</v>
      </c>
      <c r="N15" s="119">
        <v>400</v>
      </c>
      <c r="O15" s="119">
        <v>600</v>
      </c>
      <c r="P15" s="112" t="s">
        <v>261</v>
      </c>
    </row>
    <row r="16" spans="1:51" ht="28.9" customHeight="1" x14ac:dyDescent="0.25">
      <c r="K16" s="112">
        <f t="shared" ref="K16:K33" si="0">K15+1</f>
        <v>3</v>
      </c>
      <c r="L16" s="118">
        <v>30</v>
      </c>
      <c r="M16" s="112">
        <v>500</v>
      </c>
      <c r="N16" s="119">
        <v>250</v>
      </c>
      <c r="O16" s="119">
        <v>400</v>
      </c>
      <c r="P16" s="112" t="s">
        <v>262</v>
      </c>
    </row>
    <row r="17" spans="11:16" ht="28.9" customHeight="1" x14ac:dyDescent="0.25">
      <c r="K17" s="112">
        <f t="shared" si="0"/>
        <v>4</v>
      </c>
      <c r="L17" s="118">
        <v>200</v>
      </c>
      <c r="M17" s="113">
        <v>1200</v>
      </c>
      <c r="N17" s="119">
        <v>600</v>
      </c>
      <c r="O17" s="119">
        <v>900</v>
      </c>
      <c r="P17" s="112" t="s">
        <v>263</v>
      </c>
    </row>
    <row r="18" spans="11:16" ht="28.9" customHeight="1" x14ac:dyDescent="0.25">
      <c r="K18" s="112">
        <f t="shared" si="0"/>
        <v>5</v>
      </c>
      <c r="L18" s="118">
        <v>15</v>
      </c>
      <c r="M18" s="113">
        <v>2000</v>
      </c>
      <c r="N18" s="119">
        <v>700</v>
      </c>
      <c r="O18" s="119">
        <v>1000</v>
      </c>
      <c r="P18" s="112" t="s">
        <v>264</v>
      </c>
    </row>
    <row r="19" spans="11:16" ht="28.9" customHeight="1" x14ac:dyDescent="0.25">
      <c r="K19" s="112">
        <f t="shared" si="0"/>
        <v>6</v>
      </c>
      <c r="L19" s="118">
        <v>80</v>
      </c>
      <c r="M19" s="113">
        <v>1500</v>
      </c>
      <c r="N19" s="119">
        <v>500</v>
      </c>
      <c r="O19" s="119">
        <v>800</v>
      </c>
      <c r="P19" s="112" t="s">
        <v>265</v>
      </c>
    </row>
    <row r="20" spans="11:16" ht="28.9" customHeight="1" x14ac:dyDescent="0.25">
      <c r="K20" s="112">
        <f t="shared" si="0"/>
        <v>7</v>
      </c>
      <c r="L20" s="118">
        <v>60</v>
      </c>
      <c r="M20" s="112">
        <v>400</v>
      </c>
      <c r="N20" s="119">
        <v>200</v>
      </c>
      <c r="O20" s="119">
        <v>300</v>
      </c>
      <c r="P20" s="112" t="s">
        <v>266</v>
      </c>
    </row>
    <row r="21" spans="11:16" ht="28.9" customHeight="1" x14ac:dyDescent="0.25">
      <c r="K21" s="112">
        <f t="shared" si="0"/>
        <v>8</v>
      </c>
      <c r="L21" s="118">
        <v>180</v>
      </c>
      <c r="M21" s="113">
        <v>2500</v>
      </c>
      <c r="N21" s="119">
        <v>800</v>
      </c>
      <c r="O21" s="119">
        <v>1200</v>
      </c>
      <c r="P21" s="112" t="s">
        <v>267</v>
      </c>
    </row>
    <row r="22" spans="11:16" ht="28.9" customHeight="1" x14ac:dyDescent="0.25">
      <c r="K22" s="112">
        <f t="shared" si="0"/>
        <v>9</v>
      </c>
      <c r="L22" s="118">
        <v>90</v>
      </c>
      <c r="M22" s="113">
        <v>1800</v>
      </c>
      <c r="N22" s="119">
        <v>550</v>
      </c>
      <c r="O22" s="119">
        <v>850</v>
      </c>
      <c r="P22" s="112" t="s">
        <v>268</v>
      </c>
    </row>
    <row r="23" spans="11:16" ht="28.9" customHeight="1" x14ac:dyDescent="0.25">
      <c r="K23" s="112">
        <f t="shared" si="0"/>
        <v>10</v>
      </c>
      <c r="L23" s="118">
        <v>40</v>
      </c>
      <c r="M23" s="112">
        <v>600</v>
      </c>
      <c r="N23" s="119">
        <v>300</v>
      </c>
      <c r="O23" s="119">
        <v>500</v>
      </c>
      <c r="P23" s="112" t="s">
        <v>269</v>
      </c>
    </row>
    <row r="24" spans="11:16" ht="28.9" customHeight="1" x14ac:dyDescent="0.25">
      <c r="K24" s="112">
        <f t="shared" si="0"/>
        <v>11</v>
      </c>
      <c r="L24" s="118">
        <v>150</v>
      </c>
      <c r="M24" s="113">
        <v>1000</v>
      </c>
      <c r="N24" s="119">
        <v>600</v>
      </c>
      <c r="O24" s="119">
        <v>950</v>
      </c>
      <c r="P24" s="112" t="s">
        <v>270</v>
      </c>
    </row>
    <row r="25" spans="11:16" ht="28.9" customHeight="1" x14ac:dyDescent="0.25">
      <c r="K25" s="112">
        <f t="shared" si="0"/>
        <v>12</v>
      </c>
      <c r="L25" s="118">
        <v>20</v>
      </c>
      <c r="M25" s="112">
        <v>700</v>
      </c>
      <c r="N25" s="119">
        <v>250</v>
      </c>
      <c r="O25" s="119">
        <v>400</v>
      </c>
      <c r="P25" s="112" t="s">
        <v>271</v>
      </c>
    </row>
    <row r="26" spans="11:16" ht="28.9" customHeight="1" x14ac:dyDescent="0.25">
      <c r="K26" s="112">
        <f t="shared" si="0"/>
        <v>13</v>
      </c>
      <c r="L26" s="118">
        <v>170</v>
      </c>
      <c r="M26" s="113">
        <v>2000</v>
      </c>
      <c r="N26" s="119">
        <v>750</v>
      </c>
      <c r="O26" s="119">
        <v>1150</v>
      </c>
      <c r="P26" s="112" t="s">
        <v>272</v>
      </c>
    </row>
    <row r="27" spans="11:16" ht="28.9" customHeight="1" x14ac:dyDescent="0.25">
      <c r="K27" s="112">
        <f t="shared" si="0"/>
        <v>14</v>
      </c>
      <c r="L27" s="118">
        <v>35</v>
      </c>
      <c r="M27" s="112">
        <v>900</v>
      </c>
      <c r="N27" s="119">
        <v>350</v>
      </c>
      <c r="O27" s="119">
        <v>550</v>
      </c>
      <c r="P27" s="112" t="s">
        <v>273</v>
      </c>
    </row>
    <row r="28" spans="11:16" ht="28.9" customHeight="1" x14ac:dyDescent="0.25">
      <c r="K28" s="112">
        <f t="shared" si="0"/>
        <v>15</v>
      </c>
      <c r="L28" s="118">
        <v>220</v>
      </c>
      <c r="M28" s="113">
        <v>2500</v>
      </c>
      <c r="N28" s="119">
        <v>900</v>
      </c>
      <c r="O28" s="119">
        <v>1400</v>
      </c>
      <c r="P28" s="112" t="s">
        <v>274</v>
      </c>
    </row>
    <row r="29" spans="11:16" ht="28.9" customHeight="1" x14ac:dyDescent="0.25">
      <c r="K29" s="112">
        <f t="shared" si="0"/>
        <v>16</v>
      </c>
      <c r="L29" s="118">
        <v>110</v>
      </c>
      <c r="M29" s="113">
        <v>1100</v>
      </c>
      <c r="N29" s="119">
        <v>450</v>
      </c>
      <c r="O29" s="119">
        <v>700</v>
      </c>
      <c r="P29" s="112" t="s">
        <v>275</v>
      </c>
    </row>
    <row r="30" spans="11:16" ht="28.9" customHeight="1" x14ac:dyDescent="0.25">
      <c r="K30" s="112">
        <f t="shared" si="0"/>
        <v>17</v>
      </c>
      <c r="L30" s="118">
        <v>75</v>
      </c>
      <c r="M30" s="113">
        <v>1300</v>
      </c>
      <c r="N30" s="119">
        <v>500</v>
      </c>
      <c r="O30" s="119">
        <v>750</v>
      </c>
      <c r="P30" s="112" t="s">
        <v>276</v>
      </c>
    </row>
    <row r="31" spans="11:16" ht="28.9" customHeight="1" x14ac:dyDescent="0.25">
      <c r="K31" s="112">
        <f t="shared" si="0"/>
        <v>18</v>
      </c>
      <c r="L31" s="118">
        <v>25</v>
      </c>
      <c r="M31" s="112">
        <v>950</v>
      </c>
      <c r="N31" s="119">
        <v>300</v>
      </c>
      <c r="O31" s="119">
        <v>450</v>
      </c>
      <c r="P31" s="112" t="s">
        <v>277</v>
      </c>
    </row>
    <row r="32" spans="11:16" ht="28.9" customHeight="1" x14ac:dyDescent="0.25">
      <c r="K32" s="112">
        <f t="shared" si="0"/>
        <v>19</v>
      </c>
      <c r="L32" s="118">
        <v>140</v>
      </c>
      <c r="M32" s="113">
        <v>1600</v>
      </c>
      <c r="N32" s="119">
        <v>650</v>
      </c>
      <c r="O32" s="119">
        <v>1000</v>
      </c>
      <c r="P32" s="112" t="s">
        <v>278</v>
      </c>
    </row>
    <row r="33" spans="11:16" ht="28.9" customHeight="1" x14ac:dyDescent="0.25">
      <c r="K33" s="112">
        <f t="shared" si="0"/>
        <v>20</v>
      </c>
      <c r="L33" s="118">
        <v>50</v>
      </c>
      <c r="M33" s="112">
        <v>850</v>
      </c>
      <c r="N33" s="119">
        <v>350</v>
      </c>
      <c r="O33" s="119">
        <v>550</v>
      </c>
      <c r="P33" s="11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140625" bestFit="1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bestFit="1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14" t="s">
        <v>220</v>
      </c>
      <c r="L13" s="114" t="s">
        <v>255</v>
      </c>
      <c r="M13" s="114" t="s">
        <v>256</v>
      </c>
      <c r="N13" s="114" t="s">
        <v>257</v>
      </c>
      <c r="O13" s="114" t="s">
        <v>258</v>
      </c>
      <c r="P13" s="114" t="s">
        <v>259</v>
      </c>
    </row>
    <row r="14" spans="1:51" ht="28.9" customHeight="1" x14ac:dyDescent="0.25">
      <c r="K14" s="112">
        <v>1</v>
      </c>
      <c r="L14" s="118">
        <v>50</v>
      </c>
      <c r="M14" s="113">
        <v>1000</v>
      </c>
      <c r="N14" s="119">
        <f>L14*M14</f>
        <v>50000</v>
      </c>
      <c r="O14" s="119">
        <f>L14*M14+N14</f>
        <v>100000</v>
      </c>
      <c r="P14" s="112" t="s">
        <v>260</v>
      </c>
    </row>
    <row r="15" spans="1:51" ht="28.9" customHeight="1" x14ac:dyDescent="0.25">
      <c r="K15" s="112">
        <f>K14+1</f>
        <v>2</v>
      </c>
      <c r="L15" s="118">
        <v>120</v>
      </c>
      <c r="M15" s="112">
        <v>800</v>
      </c>
      <c r="N15" s="119">
        <v>400</v>
      </c>
      <c r="O15" s="119">
        <v>600</v>
      </c>
      <c r="P15" s="112" t="s">
        <v>261</v>
      </c>
    </row>
    <row r="16" spans="1:51" ht="28.9" customHeight="1" x14ac:dyDescent="0.25">
      <c r="K16" s="112">
        <f t="shared" ref="K16:K33" si="0">K15+1</f>
        <v>3</v>
      </c>
      <c r="L16" s="118">
        <v>30</v>
      </c>
      <c r="M16" s="112">
        <v>500</v>
      </c>
      <c r="N16" s="119">
        <v>250</v>
      </c>
      <c r="O16" s="119">
        <v>400</v>
      </c>
      <c r="P16" s="112" t="s">
        <v>262</v>
      </c>
    </row>
    <row r="17" spans="11:16" ht="28.9" customHeight="1" x14ac:dyDescent="0.25">
      <c r="K17" s="112">
        <f t="shared" si="0"/>
        <v>4</v>
      </c>
      <c r="L17" s="118">
        <v>200</v>
      </c>
      <c r="M17" s="113">
        <v>1200</v>
      </c>
      <c r="N17" s="119">
        <v>600</v>
      </c>
      <c r="O17" s="119">
        <v>900</v>
      </c>
      <c r="P17" s="112" t="s">
        <v>263</v>
      </c>
    </row>
    <row r="18" spans="11:16" ht="28.9" customHeight="1" x14ac:dyDescent="0.25">
      <c r="K18" s="112">
        <f t="shared" si="0"/>
        <v>5</v>
      </c>
      <c r="L18" s="118">
        <v>15</v>
      </c>
      <c r="M18" s="113">
        <v>2000</v>
      </c>
      <c r="N18" s="119">
        <v>700</v>
      </c>
      <c r="O18" s="119">
        <v>1000</v>
      </c>
      <c r="P18" s="112" t="s">
        <v>264</v>
      </c>
    </row>
    <row r="19" spans="11:16" ht="28.9" customHeight="1" x14ac:dyDescent="0.25">
      <c r="K19" s="112">
        <f t="shared" si="0"/>
        <v>6</v>
      </c>
      <c r="L19" s="118">
        <v>80</v>
      </c>
      <c r="M19" s="113">
        <v>1500</v>
      </c>
      <c r="N19" s="119">
        <v>500</v>
      </c>
      <c r="O19" s="119">
        <v>800</v>
      </c>
      <c r="P19" s="112" t="s">
        <v>265</v>
      </c>
    </row>
    <row r="20" spans="11:16" ht="28.9" customHeight="1" x14ac:dyDescent="0.25">
      <c r="K20" s="112">
        <f t="shared" si="0"/>
        <v>7</v>
      </c>
      <c r="L20" s="118">
        <v>60</v>
      </c>
      <c r="M20" s="112">
        <v>400</v>
      </c>
      <c r="N20" s="119">
        <v>200</v>
      </c>
      <c r="O20" s="119">
        <v>300</v>
      </c>
      <c r="P20" s="112" t="s">
        <v>266</v>
      </c>
    </row>
    <row r="21" spans="11:16" ht="28.9" customHeight="1" x14ac:dyDescent="0.25">
      <c r="K21" s="112">
        <f t="shared" si="0"/>
        <v>8</v>
      </c>
      <c r="L21" s="118">
        <v>180</v>
      </c>
      <c r="M21" s="113">
        <v>2500</v>
      </c>
      <c r="N21" s="119">
        <v>800</v>
      </c>
      <c r="O21" s="119">
        <v>1200</v>
      </c>
      <c r="P21" s="112" t="s">
        <v>267</v>
      </c>
    </row>
    <row r="22" spans="11:16" ht="28.9" customHeight="1" x14ac:dyDescent="0.25">
      <c r="K22" s="112">
        <f t="shared" si="0"/>
        <v>9</v>
      </c>
      <c r="L22" s="118">
        <v>90</v>
      </c>
      <c r="M22" s="113">
        <v>1800</v>
      </c>
      <c r="N22" s="119">
        <v>550</v>
      </c>
      <c r="O22" s="119">
        <v>850</v>
      </c>
      <c r="P22" s="112" t="s">
        <v>268</v>
      </c>
    </row>
    <row r="23" spans="11:16" ht="28.9" customHeight="1" x14ac:dyDescent="0.25">
      <c r="K23" s="112">
        <f t="shared" si="0"/>
        <v>10</v>
      </c>
      <c r="L23" s="118">
        <v>40</v>
      </c>
      <c r="M23" s="112">
        <v>600</v>
      </c>
      <c r="N23" s="119">
        <v>300</v>
      </c>
      <c r="O23" s="119">
        <v>500</v>
      </c>
      <c r="P23" s="112" t="s">
        <v>269</v>
      </c>
    </row>
    <row r="24" spans="11:16" ht="28.9" customHeight="1" x14ac:dyDescent="0.25">
      <c r="K24" s="112">
        <f t="shared" si="0"/>
        <v>11</v>
      </c>
      <c r="L24" s="118">
        <v>150</v>
      </c>
      <c r="M24" s="113">
        <v>1000</v>
      </c>
      <c r="N24" s="119">
        <v>600</v>
      </c>
      <c r="O24" s="119">
        <v>950</v>
      </c>
      <c r="P24" s="112" t="s">
        <v>270</v>
      </c>
    </row>
    <row r="25" spans="11:16" ht="28.9" customHeight="1" x14ac:dyDescent="0.25">
      <c r="K25" s="112">
        <f t="shared" si="0"/>
        <v>12</v>
      </c>
      <c r="L25" s="118">
        <v>20</v>
      </c>
      <c r="M25" s="112">
        <v>700</v>
      </c>
      <c r="N25" s="119">
        <v>250</v>
      </c>
      <c r="O25" s="119">
        <v>400</v>
      </c>
      <c r="P25" s="112" t="s">
        <v>271</v>
      </c>
    </row>
    <row r="26" spans="11:16" ht="28.9" customHeight="1" x14ac:dyDescent="0.25">
      <c r="K26" s="112">
        <f t="shared" si="0"/>
        <v>13</v>
      </c>
      <c r="L26" s="118">
        <v>170</v>
      </c>
      <c r="M26" s="113">
        <v>2000</v>
      </c>
      <c r="N26" s="119">
        <v>750</v>
      </c>
      <c r="O26" s="119">
        <v>1150</v>
      </c>
      <c r="P26" s="112" t="s">
        <v>272</v>
      </c>
    </row>
    <row r="27" spans="11:16" ht="28.9" customHeight="1" x14ac:dyDescent="0.25">
      <c r="K27" s="112">
        <f t="shared" si="0"/>
        <v>14</v>
      </c>
      <c r="L27" s="118">
        <v>35</v>
      </c>
      <c r="M27" s="112">
        <v>900</v>
      </c>
      <c r="N27" s="119">
        <v>350</v>
      </c>
      <c r="O27" s="119">
        <v>550</v>
      </c>
      <c r="P27" s="112" t="s">
        <v>273</v>
      </c>
    </row>
    <row r="28" spans="11:16" ht="28.9" customHeight="1" x14ac:dyDescent="0.25">
      <c r="K28" s="112">
        <f t="shared" si="0"/>
        <v>15</v>
      </c>
      <c r="L28" s="118">
        <v>220</v>
      </c>
      <c r="M28" s="113">
        <v>2500</v>
      </c>
      <c r="N28" s="119">
        <v>900</v>
      </c>
      <c r="O28" s="119">
        <v>1400</v>
      </c>
      <c r="P28" s="112" t="s">
        <v>274</v>
      </c>
    </row>
    <row r="29" spans="11:16" ht="28.9" customHeight="1" x14ac:dyDescent="0.25">
      <c r="K29" s="112">
        <f t="shared" si="0"/>
        <v>16</v>
      </c>
      <c r="L29" s="118">
        <v>110</v>
      </c>
      <c r="M29" s="113">
        <v>1100</v>
      </c>
      <c r="N29" s="119">
        <v>450</v>
      </c>
      <c r="O29" s="119">
        <v>700</v>
      </c>
      <c r="P29" s="112" t="s">
        <v>275</v>
      </c>
    </row>
    <row r="30" spans="11:16" ht="28.9" customHeight="1" x14ac:dyDescent="0.25">
      <c r="K30" s="112">
        <f t="shared" si="0"/>
        <v>17</v>
      </c>
      <c r="L30" s="118">
        <v>75</v>
      </c>
      <c r="M30" s="113">
        <v>1300</v>
      </c>
      <c r="N30" s="119">
        <v>500</v>
      </c>
      <c r="O30" s="119">
        <v>750</v>
      </c>
      <c r="P30" s="112" t="s">
        <v>276</v>
      </c>
    </row>
    <row r="31" spans="11:16" ht="28.9" customHeight="1" x14ac:dyDescent="0.25">
      <c r="K31" s="112">
        <f t="shared" si="0"/>
        <v>18</v>
      </c>
      <c r="L31" s="118">
        <v>25</v>
      </c>
      <c r="M31" s="112">
        <v>950</v>
      </c>
      <c r="N31" s="119">
        <v>300</v>
      </c>
      <c r="O31" s="119">
        <v>450</v>
      </c>
      <c r="P31" s="112" t="s">
        <v>277</v>
      </c>
    </row>
    <row r="32" spans="11:16" ht="28.9" customHeight="1" x14ac:dyDescent="0.25">
      <c r="K32" s="112">
        <f t="shared" si="0"/>
        <v>19</v>
      </c>
      <c r="L32" s="118">
        <v>140</v>
      </c>
      <c r="M32" s="113">
        <v>1600</v>
      </c>
      <c r="N32" s="119">
        <v>650</v>
      </c>
      <c r="O32" s="119">
        <v>1000</v>
      </c>
      <c r="P32" s="112" t="s">
        <v>278</v>
      </c>
    </row>
    <row r="33" spans="11:16" ht="28.9" customHeight="1" x14ac:dyDescent="0.25">
      <c r="K33" s="112">
        <f t="shared" si="0"/>
        <v>20</v>
      </c>
      <c r="L33" s="118">
        <v>50</v>
      </c>
      <c r="M33" s="112">
        <v>850</v>
      </c>
      <c r="N33" s="119">
        <v>350</v>
      </c>
      <c r="O33" s="119">
        <v>550</v>
      </c>
      <c r="P33" s="11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14" t="s">
        <v>220</v>
      </c>
      <c r="L13" s="114" t="s">
        <v>255</v>
      </c>
      <c r="M13" s="114" t="s">
        <v>256</v>
      </c>
      <c r="N13" s="114" t="s">
        <v>257</v>
      </c>
      <c r="O13" s="114" t="s">
        <v>258</v>
      </c>
      <c r="P13" s="114" t="s">
        <v>259</v>
      </c>
    </row>
    <row r="14" spans="1:51" ht="28.9" customHeight="1" x14ac:dyDescent="0.25">
      <c r="K14" s="112">
        <v>1</v>
      </c>
      <c r="L14" s="118">
        <v>50</v>
      </c>
      <c r="M14" s="113">
        <v>1000</v>
      </c>
      <c r="N14" s="119">
        <f>L14*M14</f>
        <v>50000</v>
      </c>
      <c r="O14" s="119">
        <f>L14*M14+N14</f>
        <v>100000</v>
      </c>
      <c r="P14" s="112" t="s">
        <v>260</v>
      </c>
    </row>
    <row r="15" spans="1:51" ht="28.9" customHeight="1" x14ac:dyDescent="0.25">
      <c r="K15" s="112">
        <f>K14+1</f>
        <v>2</v>
      </c>
      <c r="L15" s="118">
        <v>120</v>
      </c>
      <c r="M15" s="112">
        <v>800</v>
      </c>
      <c r="N15" s="119">
        <v>400</v>
      </c>
      <c r="O15" s="119">
        <v>600</v>
      </c>
      <c r="P15" s="112" t="s">
        <v>261</v>
      </c>
    </row>
    <row r="16" spans="1:51" ht="28.9" customHeight="1" x14ac:dyDescent="0.25">
      <c r="K16" s="112">
        <f t="shared" ref="K16:K33" si="0">K15+1</f>
        <v>3</v>
      </c>
      <c r="L16" s="118">
        <v>30</v>
      </c>
      <c r="M16" s="112">
        <v>500</v>
      </c>
      <c r="N16" s="119">
        <v>250</v>
      </c>
      <c r="O16" s="119">
        <v>400</v>
      </c>
      <c r="P16" s="112" t="s">
        <v>262</v>
      </c>
    </row>
    <row r="17" spans="11:16" ht="28.9" customHeight="1" x14ac:dyDescent="0.25">
      <c r="K17" s="112">
        <f t="shared" si="0"/>
        <v>4</v>
      </c>
      <c r="L17" s="118">
        <v>200</v>
      </c>
      <c r="M17" s="113">
        <v>1200</v>
      </c>
      <c r="N17" s="119">
        <v>600</v>
      </c>
      <c r="O17" s="119">
        <v>900</v>
      </c>
      <c r="P17" s="112" t="s">
        <v>263</v>
      </c>
    </row>
    <row r="18" spans="11:16" ht="28.9" customHeight="1" x14ac:dyDescent="0.25">
      <c r="K18" s="112">
        <f t="shared" si="0"/>
        <v>5</v>
      </c>
      <c r="L18" s="118">
        <v>15</v>
      </c>
      <c r="M18" s="113">
        <v>2000</v>
      </c>
      <c r="N18" s="119">
        <v>700</v>
      </c>
      <c r="O18" s="119">
        <v>1000</v>
      </c>
      <c r="P18" s="112" t="s">
        <v>264</v>
      </c>
    </row>
    <row r="19" spans="11:16" ht="28.9" customHeight="1" x14ac:dyDescent="0.25">
      <c r="K19" s="112">
        <f t="shared" si="0"/>
        <v>6</v>
      </c>
      <c r="L19" s="118">
        <v>80</v>
      </c>
      <c r="M19" s="113">
        <v>1500</v>
      </c>
      <c r="N19" s="119">
        <v>500</v>
      </c>
      <c r="O19" s="119">
        <v>800</v>
      </c>
      <c r="P19" s="112" t="s">
        <v>265</v>
      </c>
    </row>
    <row r="20" spans="11:16" ht="28.9" customHeight="1" x14ac:dyDescent="0.25">
      <c r="K20" s="112">
        <f t="shared" si="0"/>
        <v>7</v>
      </c>
      <c r="L20" s="118">
        <v>60</v>
      </c>
      <c r="M20" s="112">
        <v>400</v>
      </c>
      <c r="N20" s="119">
        <v>200</v>
      </c>
      <c r="O20" s="119">
        <v>300</v>
      </c>
      <c r="P20" s="112" t="s">
        <v>266</v>
      </c>
    </row>
    <row r="21" spans="11:16" ht="28.9" customHeight="1" x14ac:dyDescent="0.25">
      <c r="K21" s="112">
        <f t="shared" si="0"/>
        <v>8</v>
      </c>
      <c r="L21" s="118">
        <v>180</v>
      </c>
      <c r="M21" s="113">
        <v>2500</v>
      </c>
      <c r="N21" s="119">
        <v>800</v>
      </c>
      <c r="O21" s="119">
        <v>1200</v>
      </c>
      <c r="P21" s="112" t="s">
        <v>267</v>
      </c>
    </row>
    <row r="22" spans="11:16" ht="28.9" customHeight="1" x14ac:dyDescent="0.25">
      <c r="K22" s="112">
        <f t="shared" si="0"/>
        <v>9</v>
      </c>
      <c r="L22" s="118">
        <v>90</v>
      </c>
      <c r="M22" s="113">
        <v>1800</v>
      </c>
      <c r="N22" s="119">
        <v>550</v>
      </c>
      <c r="O22" s="119">
        <v>850</v>
      </c>
      <c r="P22" s="112" t="s">
        <v>268</v>
      </c>
    </row>
    <row r="23" spans="11:16" ht="28.9" customHeight="1" x14ac:dyDescent="0.25">
      <c r="K23" s="112">
        <f t="shared" si="0"/>
        <v>10</v>
      </c>
      <c r="L23" s="118">
        <v>40</v>
      </c>
      <c r="M23" s="112">
        <v>600</v>
      </c>
      <c r="N23" s="119">
        <v>300</v>
      </c>
      <c r="O23" s="119">
        <v>500</v>
      </c>
      <c r="P23" s="112" t="s">
        <v>269</v>
      </c>
    </row>
    <row r="24" spans="11:16" ht="28.9" customHeight="1" x14ac:dyDescent="0.25">
      <c r="K24" s="112">
        <f t="shared" si="0"/>
        <v>11</v>
      </c>
      <c r="L24" s="118">
        <v>150</v>
      </c>
      <c r="M24" s="113">
        <v>1000</v>
      </c>
      <c r="N24" s="119">
        <v>600</v>
      </c>
      <c r="O24" s="119">
        <v>950</v>
      </c>
      <c r="P24" s="112" t="s">
        <v>270</v>
      </c>
    </row>
    <row r="25" spans="11:16" ht="28.9" customHeight="1" x14ac:dyDescent="0.25">
      <c r="K25" s="112">
        <f t="shared" si="0"/>
        <v>12</v>
      </c>
      <c r="L25" s="118">
        <v>20</v>
      </c>
      <c r="M25" s="112">
        <v>700</v>
      </c>
      <c r="N25" s="119">
        <v>250</v>
      </c>
      <c r="O25" s="119">
        <v>400</v>
      </c>
      <c r="P25" s="112" t="s">
        <v>271</v>
      </c>
    </row>
    <row r="26" spans="11:16" ht="28.9" customHeight="1" x14ac:dyDescent="0.25">
      <c r="K26" s="112">
        <f t="shared" si="0"/>
        <v>13</v>
      </c>
      <c r="L26" s="118">
        <v>170</v>
      </c>
      <c r="M26" s="113">
        <v>2000</v>
      </c>
      <c r="N26" s="119">
        <v>750</v>
      </c>
      <c r="O26" s="119">
        <v>1150</v>
      </c>
      <c r="P26" s="112" t="s">
        <v>272</v>
      </c>
    </row>
    <row r="27" spans="11:16" ht="28.9" customHeight="1" x14ac:dyDescent="0.25">
      <c r="K27" s="112">
        <f t="shared" si="0"/>
        <v>14</v>
      </c>
      <c r="L27" s="118">
        <v>35</v>
      </c>
      <c r="M27" s="112">
        <v>900</v>
      </c>
      <c r="N27" s="119">
        <v>350</v>
      </c>
      <c r="O27" s="119">
        <v>550</v>
      </c>
      <c r="P27" s="112" t="s">
        <v>273</v>
      </c>
    </row>
    <row r="28" spans="11:16" ht="28.9" customHeight="1" x14ac:dyDescent="0.25">
      <c r="K28" s="112">
        <f t="shared" si="0"/>
        <v>15</v>
      </c>
      <c r="L28" s="118">
        <v>220</v>
      </c>
      <c r="M28" s="113">
        <v>2500</v>
      </c>
      <c r="N28" s="119">
        <v>900</v>
      </c>
      <c r="O28" s="119">
        <v>1400</v>
      </c>
      <c r="P28" s="112" t="s">
        <v>274</v>
      </c>
    </row>
    <row r="29" spans="11:16" ht="28.9" customHeight="1" x14ac:dyDescent="0.25">
      <c r="K29" s="112">
        <f t="shared" si="0"/>
        <v>16</v>
      </c>
      <c r="L29" s="118">
        <v>110</v>
      </c>
      <c r="M29" s="113">
        <v>1100</v>
      </c>
      <c r="N29" s="119">
        <v>450</v>
      </c>
      <c r="O29" s="119">
        <v>700</v>
      </c>
      <c r="P29" s="112" t="s">
        <v>275</v>
      </c>
    </row>
    <row r="30" spans="11:16" ht="28.9" customHeight="1" x14ac:dyDescent="0.25">
      <c r="K30" s="112">
        <f t="shared" si="0"/>
        <v>17</v>
      </c>
      <c r="L30" s="118">
        <v>75</v>
      </c>
      <c r="M30" s="113">
        <v>1300</v>
      </c>
      <c r="N30" s="119">
        <v>500</v>
      </c>
      <c r="O30" s="119">
        <v>750</v>
      </c>
      <c r="P30" s="112" t="s">
        <v>276</v>
      </c>
    </row>
    <row r="31" spans="11:16" ht="28.9" customHeight="1" x14ac:dyDescent="0.25">
      <c r="K31" s="112">
        <f t="shared" si="0"/>
        <v>18</v>
      </c>
      <c r="L31" s="118">
        <v>25</v>
      </c>
      <c r="M31" s="112">
        <v>950</v>
      </c>
      <c r="N31" s="119">
        <v>300</v>
      </c>
      <c r="O31" s="119">
        <v>450</v>
      </c>
      <c r="P31" s="112" t="s">
        <v>277</v>
      </c>
    </row>
    <row r="32" spans="11:16" ht="28.9" customHeight="1" x14ac:dyDescent="0.25">
      <c r="K32" s="112">
        <f t="shared" si="0"/>
        <v>19</v>
      </c>
      <c r="L32" s="118">
        <v>140</v>
      </c>
      <c r="M32" s="113">
        <v>1600</v>
      </c>
      <c r="N32" s="119">
        <v>650</v>
      </c>
      <c r="O32" s="119">
        <v>1000</v>
      </c>
      <c r="P32" s="112" t="s">
        <v>278</v>
      </c>
    </row>
    <row r="33" spans="11:16" ht="28.9" customHeight="1" x14ac:dyDescent="0.25">
      <c r="K33" s="112">
        <f t="shared" si="0"/>
        <v>20</v>
      </c>
      <c r="L33" s="118">
        <v>50</v>
      </c>
      <c r="M33" s="112">
        <v>850</v>
      </c>
      <c r="N33" s="119">
        <v>350</v>
      </c>
      <c r="O33" s="119">
        <v>550</v>
      </c>
      <c r="P33" s="11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14" t="s">
        <v>220</v>
      </c>
      <c r="L13" s="114" t="s">
        <v>255</v>
      </c>
      <c r="M13" s="114" t="s">
        <v>256</v>
      </c>
      <c r="N13" s="114" t="s">
        <v>257</v>
      </c>
      <c r="O13" s="114" t="s">
        <v>258</v>
      </c>
      <c r="P13" s="114" t="s">
        <v>259</v>
      </c>
    </row>
    <row r="14" spans="1:51" ht="28.9" customHeight="1" x14ac:dyDescent="0.25">
      <c r="K14" s="112">
        <v>1</v>
      </c>
      <c r="L14" s="118">
        <v>50</v>
      </c>
      <c r="M14" s="113">
        <v>1000</v>
      </c>
      <c r="N14" s="119">
        <f>L14*M14</f>
        <v>50000</v>
      </c>
      <c r="O14" s="119">
        <f>L14*M14+N14</f>
        <v>100000</v>
      </c>
      <c r="P14" s="112" t="s">
        <v>260</v>
      </c>
    </row>
    <row r="15" spans="1:51" ht="28.9" customHeight="1" x14ac:dyDescent="0.25">
      <c r="K15" s="112">
        <f>K14+1</f>
        <v>2</v>
      </c>
      <c r="L15" s="118">
        <v>120</v>
      </c>
      <c r="M15" s="112">
        <v>800</v>
      </c>
      <c r="N15" s="119">
        <v>400</v>
      </c>
      <c r="O15" s="119">
        <v>600</v>
      </c>
      <c r="P15" s="112" t="s">
        <v>261</v>
      </c>
    </row>
    <row r="16" spans="1:51" ht="28.9" customHeight="1" x14ac:dyDescent="0.25">
      <c r="K16" s="112">
        <f t="shared" ref="K16:K33" si="0">K15+1</f>
        <v>3</v>
      </c>
      <c r="L16" s="118">
        <v>30</v>
      </c>
      <c r="M16" s="112">
        <v>500</v>
      </c>
      <c r="N16" s="119">
        <v>250</v>
      </c>
      <c r="O16" s="119">
        <v>400</v>
      </c>
      <c r="P16" s="112" t="s">
        <v>262</v>
      </c>
    </row>
    <row r="17" spans="11:16" ht="28.9" customHeight="1" x14ac:dyDescent="0.25">
      <c r="K17" s="112">
        <f t="shared" si="0"/>
        <v>4</v>
      </c>
      <c r="L17" s="118">
        <v>200</v>
      </c>
      <c r="M17" s="113">
        <v>1200</v>
      </c>
      <c r="N17" s="119">
        <v>600</v>
      </c>
      <c r="O17" s="119">
        <v>900</v>
      </c>
      <c r="P17" s="112" t="s">
        <v>263</v>
      </c>
    </row>
    <row r="18" spans="11:16" ht="28.9" customHeight="1" x14ac:dyDescent="0.25">
      <c r="K18" s="112">
        <f t="shared" si="0"/>
        <v>5</v>
      </c>
      <c r="L18" s="118">
        <v>15</v>
      </c>
      <c r="M18" s="113">
        <v>2000</v>
      </c>
      <c r="N18" s="119">
        <v>700</v>
      </c>
      <c r="O18" s="119">
        <v>1000</v>
      </c>
      <c r="P18" s="112" t="s">
        <v>264</v>
      </c>
    </row>
    <row r="19" spans="11:16" ht="28.9" customHeight="1" x14ac:dyDescent="0.25">
      <c r="K19" s="112">
        <f t="shared" si="0"/>
        <v>6</v>
      </c>
      <c r="L19" s="118">
        <v>80</v>
      </c>
      <c r="M19" s="113">
        <v>1500</v>
      </c>
      <c r="N19" s="119">
        <v>500</v>
      </c>
      <c r="O19" s="119">
        <v>800</v>
      </c>
      <c r="P19" s="112" t="s">
        <v>265</v>
      </c>
    </row>
    <row r="20" spans="11:16" ht="28.9" customHeight="1" x14ac:dyDescent="0.25">
      <c r="K20" s="112">
        <f t="shared" si="0"/>
        <v>7</v>
      </c>
      <c r="L20" s="118">
        <v>60</v>
      </c>
      <c r="M20" s="112">
        <v>400</v>
      </c>
      <c r="N20" s="119">
        <v>200</v>
      </c>
      <c r="O20" s="119">
        <v>300</v>
      </c>
      <c r="P20" s="112" t="s">
        <v>266</v>
      </c>
    </row>
    <row r="21" spans="11:16" ht="28.9" customHeight="1" x14ac:dyDescent="0.25">
      <c r="K21" s="112">
        <f t="shared" si="0"/>
        <v>8</v>
      </c>
      <c r="L21" s="118">
        <v>180</v>
      </c>
      <c r="M21" s="113">
        <v>2500</v>
      </c>
      <c r="N21" s="119">
        <v>800</v>
      </c>
      <c r="O21" s="119">
        <v>1200</v>
      </c>
      <c r="P21" s="112" t="s">
        <v>267</v>
      </c>
    </row>
    <row r="22" spans="11:16" ht="28.9" customHeight="1" x14ac:dyDescent="0.25">
      <c r="K22" s="112">
        <f t="shared" si="0"/>
        <v>9</v>
      </c>
      <c r="L22" s="118">
        <v>90</v>
      </c>
      <c r="M22" s="113">
        <v>1800</v>
      </c>
      <c r="N22" s="119">
        <v>550</v>
      </c>
      <c r="O22" s="119">
        <v>850</v>
      </c>
      <c r="P22" s="112" t="s">
        <v>268</v>
      </c>
    </row>
    <row r="23" spans="11:16" ht="28.9" customHeight="1" x14ac:dyDescent="0.25">
      <c r="K23" s="112">
        <f t="shared" si="0"/>
        <v>10</v>
      </c>
      <c r="L23" s="118">
        <v>40</v>
      </c>
      <c r="M23" s="112">
        <v>600</v>
      </c>
      <c r="N23" s="119">
        <v>300</v>
      </c>
      <c r="O23" s="119">
        <v>500</v>
      </c>
      <c r="P23" s="112" t="s">
        <v>269</v>
      </c>
    </row>
    <row r="24" spans="11:16" ht="28.9" customHeight="1" x14ac:dyDescent="0.25">
      <c r="K24" s="112">
        <f t="shared" si="0"/>
        <v>11</v>
      </c>
      <c r="L24" s="118">
        <v>150</v>
      </c>
      <c r="M24" s="113">
        <v>1000</v>
      </c>
      <c r="N24" s="119">
        <v>600</v>
      </c>
      <c r="O24" s="119">
        <v>950</v>
      </c>
      <c r="P24" s="112" t="s">
        <v>270</v>
      </c>
    </row>
    <row r="25" spans="11:16" ht="28.9" customHeight="1" x14ac:dyDescent="0.25">
      <c r="K25" s="112">
        <f t="shared" si="0"/>
        <v>12</v>
      </c>
      <c r="L25" s="118">
        <v>20</v>
      </c>
      <c r="M25" s="112">
        <v>700</v>
      </c>
      <c r="N25" s="119">
        <v>250</v>
      </c>
      <c r="O25" s="119">
        <v>400</v>
      </c>
      <c r="P25" s="112" t="s">
        <v>271</v>
      </c>
    </row>
    <row r="26" spans="11:16" ht="28.9" customHeight="1" x14ac:dyDescent="0.25">
      <c r="K26" s="112">
        <f t="shared" si="0"/>
        <v>13</v>
      </c>
      <c r="L26" s="118">
        <v>170</v>
      </c>
      <c r="M26" s="113">
        <v>2000</v>
      </c>
      <c r="N26" s="119">
        <v>750</v>
      </c>
      <c r="O26" s="119">
        <v>1150</v>
      </c>
      <c r="P26" s="112" t="s">
        <v>272</v>
      </c>
    </row>
    <row r="27" spans="11:16" ht="28.9" customHeight="1" x14ac:dyDescent="0.25">
      <c r="K27" s="112">
        <f t="shared" si="0"/>
        <v>14</v>
      </c>
      <c r="L27" s="118">
        <v>35</v>
      </c>
      <c r="M27" s="112">
        <v>900</v>
      </c>
      <c r="N27" s="119">
        <v>350</v>
      </c>
      <c r="O27" s="119">
        <v>550</v>
      </c>
      <c r="P27" s="112" t="s">
        <v>273</v>
      </c>
    </row>
    <row r="28" spans="11:16" ht="28.9" customHeight="1" x14ac:dyDescent="0.25">
      <c r="K28" s="112">
        <f t="shared" si="0"/>
        <v>15</v>
      </c>
      <c r="L28" s="118">
        <v>220</v>
      </c>
      <c r="M28" s="113">
        <v>2500</v>
      </c>
      <c r="N28" s="119">
        <v>900</v>
      </c>
      <c r="O28" s="119">
        <v>1400</v>
      </c>
      <c r="P28" s="112" t="s">
        <v>274</v>
      </c>
    </row>
    <row r="29" spans="11:16" ht="28.9" customHeight="1" x14ac:dyDescent="0.25">
      <c r="K29" s="112">
        <f t="shared" si="0"/>
        <v>16</v>
      </c>
      <c r="L29" s="118">
        <v>110</v>
      </c>
      <c r="M29" s="113">
        <v>1100</v>
      </c>
      <c r="N29" s="119">
        <v>450</v>
      </c>
      <c r="O29" s="119">
        <v>700</v>
      </c>
      <c r="P29" s="112" t="s">
        <v>275</v>
      </c>
    </row>
    <row r="30" spans="11:16" ht="28.9" customHeight="1" x14ac:dyDescent="0.25">
      <c r="K30" s="112">
        <f t="shared" si="0"/>
        <v>17</v>
      </c>
      <c r="L30" s="118">
        <v>75</v>
      </c>
      <c r="M30" s="113">
        <v>1300</v>
      </c>
      <c r="N30" s="119">
        <v>500</v>
      </c>
      <c r="O30" s="119">
        <v>750</v>
      </c>
      <c r="P30" s="112" t="s">
        <v>276</v>
      </c>
    </row>
    <row r="31" spans="11:16" ht="28.9" customHeight="1" x14ac:dyDescent="0.25">
      <c r="K31" s="112">
        <f t="shared" si="0"/>
        <v>18</v>
      </c>
      <c r="L31" s="118">
        <v>25</v>
      </c>
      <c r="M31" s="112">
        <v>950</v>
      </c>
      <c r="N31" s="119">
        <v>300</v>
      </c>
      <c r="O31" s="119">
        <v>450</v>
      </c>
      <c r="P31" s="112" t="s">
        <v>277</v>
      </c>
    </row>
    <row r="32" spans="11:16" ht="28.9" customHeight="1" x14ac:dyDescent="0.25">
      <c r="K32" s="112">
        <f t="shared" si="0"/>
        <v>19</v>
      </c>
      <c r="L32" s="118">
        <v>140</v>
      </c>
      <c r="M32" s="113">
        <v>1600</v>
      </c>
      <c r="N32" s="119">
        <v>650</v>
      </c>
      <c r="O32" s="119">
        <v>1000</v>
      </c>
      <c r="P32" s="112" t="s">
        <v>278</v>
      </c>
    </row>
    <row r="33" spans="11:16" ht="28.9" customHeight="1" x14ac:dyDescent="0.25">
      <c r="K33" s="112">
        <f t="shared" si="0"/>
        <v>20</v>
      </c>
      <c r="L33" s="118">
        <v>50</v>
      </c>
      <c r="M33" s="112">
        <v>850</v>
      </c>
      <c r="N33" s="119">
        <v>350</v>
      </c>
      <c r="O33" s="119">
        <v>550</v>
      </c>
      <c r="P33" s="11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47.7109375" customWidth="1"/>
    <col min="16" max="16" width="2.7109375" bestFit="1" customWidth="1"/>
    <col min="17" max="17" width="20.42578125" bestFit="1" customWidth="1"/>
    <col min="18" max="18" width="2.7109375" bestFit="1" customWidth="1"/>
    <col min="19" max="19" width="46.85546875" customWidth="1"/>
    <col min="24" max="24" width="23.42578125" bestFit="1" customWidth="1"/>
    <col min="25" max="25" width="2.7109375" bestFit="1" customWidth="1"/>
    <col min="26" max="26" width="51.140625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9" customHeight="1" x14ac:dyDescent="0.25"/>
    <row r="61" spans="1:42" ht="28.9" customHeight="1" x14ac:dyDescent="0.25"/>
    <row r="62" spans="1:42" ht="28.9" customHeight="1" x14ac:dyDescent="0.25"/>
    <row r="63" spans="1:42" ht="28.9" customHeight="1" x14ac:dyDescent="0.25"/>
    <row r="64" spans="1:4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47.7109375" customWidth="1"/>
    <col min="16" max="16" width="2.7109375" bestFit="1" customWidth="1"/>
    <col min="17" max="17" width="20.42578125" bestFit="1" customWidth="1"/>
    <col min="18" max="18" width="2.7109375" bestFit="1" customWidth="1"/>
    <col min="19" max="19" width="46.85546875" customWidth="1"/>
    <col min="24" max="24" width="23.42578125" bestFit="1" customWidth="1"/>
    <col min="25" max="25" width="2.7109375" bestFit="1" customWidth="1"/>
    <col min="26" max="26" width="51.140625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thickBot="1" x14ac:dyDescent="0.3"/>
    <row r="14" spans="1:51" ht="28.9" customHeight="1" x14ac:dyDescent="0.25">
      <c r="N14" s="446" t="s">
        <v>280</v>
      </c>
      <c r="O14" s="447"/>
      <c r="P14" s="447"/>
      <c r="Q14" s="447"/>
      <c r="R14" s="447"/>
      <c r="S14" s="447"/>
      <c r="T14" s="448"/>
      <c r="W14" s="456" t="s">
        <v>281</v>
      </c>
      <c r="X14" s="457"/>
      <c r="Y14" s="457"/>
      <c r="Z14" s="457"/>
      <c r="AA14" s="458"/>
    </row>
    <row r="15" spans="1:51" ht="28.9" customHeight="1" x14ac:dyDescent="0.25">
      <c r="N15" s="449"/>
      <c r="O15" s="450"/>
      <c r="P15" s="450"/>
      <c r="Q15" s="450"/>
      <c r="R15" s="450"/>
      <c r="S15" s="450"/>
      <c r="T15" s="451"/>
      <c r="W15" s="459"/>
      <c r="X15" s="460"/>
      <c r="Y15" s="460"/>
      <c r="Z15" s="460"/>
      <c r="AA15" s="461"/>
    </row>
    <row r="16" spans="1:51" ht="28.9" customHeight="1" x14ac:dyDescent="0.25">
      <c r="N16" s="449"/>
      <c r="O16" s="450"/>
      <c r="P16" s="450"/>
      <c r="Q16" s="450"/>
      <c r="R16" s="450"/>
      <c r="S16" s="450"/>
      <c r="T16" s="451"/>
      <c r="W16" s="459"/>
      <c r="X16" s="460"/>
      <c r="Y16" s="460"/>
      <c r="Z16" s="460"/>
      <c r="AA16" s="461"/>
    </row>
    <row r="17" spans="14:27" ht="28.9" customHeight="1" x14ac:dyDescent="0.45">
      <c r="N17" s="17" t="s">
        <v>13</v>
      </c>
      <c r="O17" s="19" t="s">
        <v>13</v>
      </c>
      <c r="P17" s="19" t="s">
        <v>13</v>
      </c>
      <c r="Q17" s="19" t="s">
        <v>13</v>
      </c>
      <c r="R17" s="19" t="s">
        <v>13</v>
      </c>
      <c r="S17" s="12" t="s">
        <v>13</v>
      </c>
      <c r="T17" s="13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9" customHeight="1" x14ac:dyDescent="0.45">
      <c r="N18" s="17" t="s">
        <v>13</v>
      </c>
      <c r="O18" s="105" t="s">
        <v>3</v>
      </c>
      <c r="P18" s="18"/>
      <c r="Q18" s="19" t="s">
        <v>13</v>
      </c>
      <c r="R18" s="19" t="s">
        <v>13</v>
      </c>
      <c r="S18" s="373">
        <v>1</v>
      </c>
      <c r="T18" s="13" t="s">
        <v>13</v>
      </c>
      <c r="W18" s="29" t="s">
        <v>13</v>
      </c>
      <c r="X18" s="124" t="s">
        <v>282</v>
      </c>
      <c r="Y18" s="28"/>
      <c r="Z18" s="89"/>
      <c r="AA18" s="31" t="s">
        <v>13</v>
      </c>
    </row>
    <row r="19" spans="14:27" ht="28.9" customHeight="1" x14ac:dyDescent="0.45">
      <c r="N19" s="17" t="s">
        <v>13</v>
      </c>
      <c r="O19" s="19" t="s">
        <v>13</v>
      </c>
      <c r="P19" s="19" t="s">
        <v>13</v>
      </c>
      <c r="Q19" s="19" t="s">
        <v>13</v>
      </c>
      <c r="R19" s="19" t="s">
        <v>13</v>
      </c>
      <c r="S19" s="10" t="s">
        <v>13</v>
      </c>
      <c r="T19" s="13" t="s">
        <v>13</v>
      </c>
      <c r="W19" s="29" t="s">
        <v>13</v>
      </c>
      <c r="X19" s="73"/>
      <c r="Y19" s="27"/>
      <c r="Z19" s="27"/>
      <c r="AA19" s="30" t="s">
        <v>13</v>
      </c>
    </row>
    <row r="20" spans="14:27" ht="28.9" customHeight="1" x14ac:dyDescent="0.45">
      <c r="N20" s="17" t="s">
        <v>13</v>
      </c>
      <c r="O20" s="120" t="s">
        <v>4</v>
      </c>
      <c r="P20" s="18"/>
      <c r="Q20" s="19" t="s">
        <v>13</v>
      </c>
      <c r="R20" s="19" t="s">
        <v>13</v>
      </c>
      <c r="S20" s="373">
        <v>1</v>
      </c>
      <c r="T20" s="13" t="s">
        <v>13</v>
      </c>
      <c r="W20" s="29" t="s">
        <v>13</v>
      </c>
      <c r="X20" s="124" t="s">
        <v>283</v>
      </c>
      <c r="Y20" s="28"/>
      <c r="Z20" s="89"/>
      <c r="AA20" s="31" t="s">
        <v>13</v>
      </c>
    </row>
    <row r="21" spans="14:27" ht="28.9" customHeight="1" x14ac:dyDescent="0.45">
      <c r="N21" s="17" t="s">
        <v>13</v>
      </c>
      <c r="O21" s="121"/>
      <c r="P21" s="19" t="s">
        <v>13</v>
      </c>
      <c r="Q21" s="19" t="s">
        <v>13</v>
      </c>
      <c r="R21" s="19" t="s">
        <v>13</v>
      </c>
      <c r="S21" s="10" t="s">
        <v>13</v>
      </c>
      <c r="T21" s="13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9" customHeight="1" x14ac:dyDescent="0.45">
      <c r="N22" s="17" t="s">
        <v>13</v>
      </c>
      <c r="O22" s="120" t="s">
        <v>5</v>
      </c>
      <c r="P22" s="19" t="s">
        <v>13</v>
      </c>
      <c r="Q22" s="19" t="s">
        <v>13</v>
      </c>
      <c r="R22" s="19" t="s">
        <v>13</v>
      </c>
      <c r="S22" s="374">
        <v>5</v>
      </c>
      <c r="T22" s="13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9" customHeight="1" x14ac:dyDescent="0.45">
      <c r="N23" s="17" t="s">
        <v>13</v>
      </c>
      <c r="O23" s="121"/>
      <c r="P23" s="19" t="s">
        <v>13</v>
      </c>
      <c r="Q23" s="19" t="s">
        <v>13</v>
      </c>
      <c r="R23" s="19" t="s">
        <v>13</v>
      </c>
      <c r="S23" s="10" t="s">
        <v>13</v>
      </c>
      <c r="T23" s="13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9" customHeight="1" x14ac:dyDescent="0.45">
      <c r="N24" s="17" t="s">
        <v>13</v>
      </c>
      <c r="O24" s="120" t="s">
        <v>6</v>
      </c>
      <c r="P24" s="19" t="s">
        <v>13</v>
      </c>
      <c r="Q24" s="19" t="s">
        <v>13</v>
      </c>
      <c r="R24" s="19" t="s">
        <v>13</v>
      </c>
      <c r="S24" s="374">
        <v>3</v>
      </c>
      <c r="T24" s="13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9" customHeight="1" x14ac:dyDescent="0.45">
      <c r="N25" s="17" t="s">
        <v>13</v>
      </c>
      <c r="O25" s="121"/>
      <c r="P25" s="19" t="s">
        <v>13</v>
      </c>
      <c r="Q25" s="19" t="s">
        <v>13</v>
      </c>
      <c r="R25" s="19" t="s">
        <v>13</v>
      </c>
      <c r="S25" s="10" t="s">
        <v>13</v>
      </c>
      <c r="T25" s="13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9" customHeight="1" x14ac:dyDescent="0.45">
      <c r="N26" s="56"/>
      <c r="O26" s="120" t="s">
        <v>7</v>
      </c>
      <c r="P26" s="67"/>
      <c r="Q26" s="67"/>
      <c r="R26" s="67"/>
      <c r="S26" s="375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9" customHeight="1" thickBot="1" x14ac:dyDescent="0.5">
      <c r="N27" s="56"/>
      <c r="O27" s="67"/>
      <c r="P27" s="67"/>
      <c r="Q27" s="67"/>
      <c r="R27" s="67"/>
      <c r="S27" s="67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9" customHeight="1" x14ac:dyDescent="0.25">
      <c r="N28" s="56"/>
      <c r="O28" s="67"/>
      <c r="P28" s="67"/>
      <c r="Q28" s="67"/>
      <c r="R28" s="67"/>
      <c r="S28" s="67"/>
      <c r="T28" s="7"/>
    </row>
    <row r="29" spans="14:27" ht="28.9" customHeight="1" x14ac:dyDescent="0.25">
      <c r="N29" s="56"/>
      <c r="O29" s="67"/>
      <c r="P29" s="67"/>
      <c r="Q29" s="67"/>
      <c r="R29" s="67"/>
      <c r="S29" s="67"/>
      <c r="T29" s="7"/>
    </row>
    <row r="30" spans="14:27" ht="28.9" customHeight="1" x14ac:dyDescent="0.25">
      <c r="N30" s="56"/>
      <c r="O30" s="67"/>
      <c r="P30" s="67"/>
      <c r="Q30" s="67"/>
      <c r="R30" s="67"/>
      <c r="S30" s="67"/>
      <c r="T30" s="7"/>
    </row>
    <row r="31" spans="14:27" ht="28.9" customHeight="1" thickBot="1" x14ac:dyDescent="0.3">
      <c r="N31" s="68"/>
      <c r="O31" s="69"/>
      <c r="P31" s="69"/>
      <c r="Q31" s="69"/>
      <c r="R31" s="69"/>
      <c r="S31" s="69"/>
      <c r="T31" s="70"/>
    </row>
    <row r="32" spans="14:27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47.7109375" customWidth="1"/>
    <col min="16" max="16" width="2.7109375" bestFit="1" customWidth="1"/>
    <col min="17" max="17" width="20.42578125" bestFit="1" customWidth="1"/>
    <col min="18" max="18" width="2.7109375" bestFit="1" customWidth="1"/>
    <col min="19" max="19" width="31.28515625" customWidth="1"/>
    <col min="24" max="24" width="23.42578125" bestFit="1" customWidth="1"/>
    <col min="25" max="25" width="2.7109375" bestFit="1" customWidth="1"/>
    <col min="26" max="26" width="51.140625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</row>
    <row r="5" spans="1:5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</row>
    <row r="6" spans="1:51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</row>
    <row r="7" spans="1:51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thickBot="1" x14ac:dyDescent="0.3"/>
    <row r="14" spans="1:51" ht="28.9" customHeight="1" x14ac:dyDescent="0.25">
      <c r="N14" s="446" t="s">
        <v>280</v>
      </c>
      <c r="O14" s="447"/>
      <c r="P14" s="447"/>
      <c r="Q14" s="447"/>
      <c r="R14" s="447"/>
      <c r="S14" s="447"/>
      <c r="T14" s="448"/>
    </row>
    <row r="15" spans="1:51" ht="28.9" customHeight="1" x14ac:dyDescent="0.25">
      <c r="N15" s="449"/>
      <c r="O15" s="450"/>
      <c r="P15" s="450"/>
      <c r="Q15" s="450"/>
      <c r="R15" s="450"/>
      <c r="S15" s="450"/>
      <c r="T15" s="451"/>
    </row>
    <row r="16" spans="1:51" ht="28.9" customHeight="1" x14ac:dyDescent="0.25">
      <c r="N16" s="449"/>
      <c r="O16" s="450"/>
      <c r="P16" s="450"/>
      <c r="Q16" s="450"/>
      <c r="R16" s="450"/>
      <c r="S16" s="450"/>
      <c r="T16" s="451"/>
    </row>
    <row r="17" spans="14:20" ht="28.9" customHeight="1" x14ac:dyDescent="0.45">
      <c r="N17" s="17" t="s">
        <v>13</v>
      </c>
      <c r="O17" s="19" t="s">
        <v>13</v>
      </c>
      <c r="P17" s="19" t="s">
        <v>13</v>
      </c>
      <c r="Q17" s="19" t="s">
        <v>13</v>
      </c>
      <c r="R17" s="19" t="s">
        <v>13</v>
      </c>
      <c r="S17" s="12" t="s">
        <v>13</v>
      </c>
      <c r="T17" s="13" t="s">
        <v>13</v>
      </c>
    </row>
    <row r="18" spans="14:20" ht="28.9" customHeight="1" x14ac:dyDescent="0.45">
      <c r="N18" s="17" t="s">
        <v>13</v>
      </c>
      <c r="O18" s="105" t="s">
        <v>3</v>
      </c>
      <c r="P18" s="18"/>
      <c r="Q18" s="19" t="s">
        <v>13</v>
      </c>
      <c r="R18" s="19" t="s">
        <v>13</v>
      </c>
      <c r="S18" s="104"/>
      <c r="T18" s="13" t="s">
        <v>13</v>
      </c>
    </row>
    <row r="19" spans="14:20" ht="28.9" customHeight="1" x14ac:dyDescent="0.45">
      <c r="N19" s="17" t="s">
        <v>13</v>
      </c>
      <c r="O19" s="19" t="s">
        <v>13</v>
      </c>
      <c r="P19" s="19" t="s">
        <v>13</v>
      </c>
      <c r="Q19" s="19" t="s">
        <v>13</v>
      </c>
      <c r="R19" s="19" t="s">
        <v>13</v>
      </c>
      <c r="S19" s="12" t="s">
        <v>13</v>
      </c>
      <c r="T19" s="13" t="s">
        <v>13</v>
      </c>
    </row>
    <row r="20" spans="14:20" ht="28.9" customHeight="1" x14ac:dyDescent="0.45">
      <c r="N20" s="17" t="s">
        <v>13</v>
      </c>
      <c r="O20" s="120" t="s">
        <v>4</v>
      </c>
      <c r="P20" s="18"/>
      <c r="Q20" s="19" t="s">
        <v>13</v>
      </c>
      <c r="R20" s="19" t="s">
        <v>13</v>
      </c>
      <c r="S20" s="104"/>
      <c r="T20" s="13" t="s">
        <v>13</v>
      </c>
    </row>
    <row r="21" spans="14:20" ht="28.9" customHeight="1" x14ac:dyDescent="0.45">
      <c r="N21" s="17" t="s">
        <v>13</v>
      </c>
      <c r="O21" s="121"/>
      <c r="P21" s="19" t="s">
        <v>13</v>
      </c>
      <c r="Q21" s="19" t="s">
        <v>13</v>
      </c>
      <c r="R21" s="19" t="s">
        <v>13</v>
      </c>
      <c r="S21" s="12" t="s">
        <v>13</v>
      </c>
      <c r="T21" s="13" t="s">
        <v>13</v>
      </c>
    </row>
    <row r="22" spans="14:20" ht="28.9" customHeight="1" x14ac:dyDescent="0.45">
      <c r="N22" s="17" t="s">
        <v>13</v>
      </c>
      <c r="O22" s="120" t="s">
        <v>5</v>
      </c>
      <c r="P22" s="19" t="s">
        <v>13</v>
      </c>
      <c r="Q22" s="19" t="s">
        <v>13</v>
      </c>
      <c r="R22" s="19" t="s">
        <v>13</v>
      </c>
      <c r="S22" s="122" t="s">
        <v>13</v>
      </c>
      <c r="T22" s="13" t="s">
        <v>13</v>
      </c>
    </row>
    <row r="23" spans="14:20" ht="28.9" customHeight="1" x14ac:dyDescent="0.45">
      <c r="N23" s="17" t="s">
        <v>13</v>
      </c>
      <c r="O23" s="121"/>
      <c r="P23" s="19" t="s">
        <v>13</v>
      </c>
      <c r="Q23" s="19" t="s">
        <v>13</v>
      </c>
      <c r="R23" s="19" t="s">
        <v>13</v>
      </c>
      <c r="S23" s="12" t="s">
        <v>13</v>
      </c>
      <c r="T23" s="13" t="s">
        <v>13</v>
      </c>
    </row>
    <row r="24" spans="14:20" ht="28.9" customHeight="1" x14ac:dyDescent="0.45">
      <c r="N24" s="17" t="s">
        <v>13</v>
      </c>
      <c r="O24" s="120" t="s">
        <v>6</v>
      </c>
      <c r="P24" s="19" t="s">
        <v>13</v>
      </c>
      <c r="Q24" s="19" t="s">
        <v>13</v>
      </c>
      <c r="R24" s="19" t="s">
        <v>13</v>
      </c>
      <c r="S24" s="122" t="s">
        <v>13</v>
      </c>
      <c r="T24" s="13" t="s">
        <v>13</v>
      </c>
    </row>
    <row r="25" spans="14:20" ht="28.9" customHeight="1" x14ac:dyDescent="0.45">
      <c r="N25" s="17" t="s">
        <v>13</v>
      </c>
      <c r="O25" s="121"/>
      <c r="P25" s="19" t="s">
        <v>13</v>
      </c>
      <c r="Q25" s="19" t="s">
        <v>13</v>
      </c>
      <c r="R25" s="19" t="s">
        <v>13</v>
      </c>
      <c r="S25" s="12" t="s">
        <v>13</v>
      </c>
      <c r="T25" s="13" t="s">
        <v>13</v>
      </c>
    </row>
    <row r="26" spans="14:20" ht="28.9" customHeight="1" x14ac:dyDescent="0.25">
      <c r="N26" s="56"/>
      <c r="O26" s="120" t="s">
        <v>7</v>
      </c>
      <c r="P26" s="67"/>
      <c r="Q26" s="67"/>
      <c r="R26" s="67"/>
      <c r="S26" s="123"/>
      <c r="T26" s="7"/>
    </row>
    <row r="27" spans="14:20" ht="28.9" customHeight="1" x14ac:dyDescent="0.25">
      <c r="N27" s="56"/>
      <c r="O27" s="67"/>
      <c r="P27" s="67"/>
      <c r="Q27" s="67"/>
      <c r="R27" s="67"/>
      <c r="S27" s="67"/>
      <c r="T27" s="7"/>
    </row>
    <row r="28" spans="14:20" ht="28.9" customHeight="1" x14ac:dyDescent="0.25">
      <c r="N28" s="56"/>
      <c r="O28" s="67"/>
      <c r="P28" s="67"/>
      <c r="Q28" s="67"/>
      <c r="R28" s="67"/>
      <c r="S28" s="67"/>
      <c r="T28" s="7"/>
    </row>
    <row r="29" spans="14:20" ht="28.9" customHeight="1" x14ac:dyDescent="0.25">
      <c r="N29" s="56"/>
      <c r="O29" s="67"/>
      <c r="P29" s="67"/>
      <c r="Q29" s="67"/>
      <c r="R29" s="67"/>
      <c r="S29" s="67"/>
      <c r="T29" s="7"/>
    </row>
    <row r="30" spans="14:20" ht="28.9" customHeight="1" x14ac:dyDescent="0.25">
      <c r="N30" s="56"/>
      <c r="O30" s="67"/>
      <c r="P30" s="67"/>
      <c r="Q30" s="67"/>
      <c r="R30" s="67"/>
      <c r="S30" s="67"/>
      <c r="T30" s="7"/>
    </row>
    <row r="31" spans="14:20" ht="28.9" customHeight="1" thickBot="1" x14ac:dyDescent="0.3">
      <c r="N31" s="68"/>
      <c r="O31" s="69"/>
      <c r="P31" s="69"/>
      <c r="Q31" s="69"/>
      <c r="R31" s="69"/>
      <c r="S31" s="69"/>
      <c r="T31" s="70"/>
    </row>
    <row r="32" spans="14:20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99.28515625" bestFit="1" customWidth="1"/>
    <col min="16" max="16" width="11.28515625" customWidth="1"/>
    <col min="17" max="17" width="56.1406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9" customHeight="1" x14ac:dyDescent="0.25"/>
    <row r="57" spans="1:37" ht="28.9" customHeight="1" x14ac:dyDescent="0.25"/>
    <row r="58" spans="1:37" ht="28.9" customHeight="1" x14ac:dyDescent="0.25"/>
    <row r="59" spans="1:37" ht="28.9" customHeight="1" x14ac:dyDescent="0.25"/>
    <row r="60" spans="1:37" ht="28.9" customHeight="1" x14ac:dyDescent="0.25"/>
    <row r="61" spans="1:37" ht="28.9" customHeight="1" x14ac:dyDescent="0.25"/>
    <row r="62" spans="1:37" ht="28.9" customHeight="1" x14ac:dyDescent="0.25"/>
    <row r="63" spans="1:37" ht="28.9" customHeight="1" x14ac:dyDescent="0.25"/>
    <row r="64" spans="1:37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99.28515625" bestFit="1" customWidth="1"/>
    <col min="16" max="16" width="11.28515625" customWidth="1"/>
    <col min="17" max="17" width="56.1406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/>
    <row r="13" spans="1:49" ht="28.9" customHeight="1" thickBot="1" x14ac:dyDescent="0.3"/>
    <row r="14" spans="1:49" ht="28.9" customHeight="1" x14ac:dyDescent="0.25">
      <c r="N14" s="446" t="s">
        <v>654</v>
      </c>
      <c r="O14" s="447"/>
      <c r="P14" s="447"/>
      <c r="Q14" s="447"/>
      <c r="R14" s="448"/>
    </row>
    <row r="15" spans="1:49" ht="28.9" customHeight="1" x14ac:dyDescent="0.25">
      <c r="N15" s="449"/>
      <c r="O15" s="450"/>
      <c r="P15" s="450"/>
      <c r="Q15" s="450"/>
      <c r="R15" s="451"/>
    </row>
    <row r="16" spans="1:49" ht="28.9" customHeight="1" x14ac:dyDescent="0.25">
      <c r="N16" s="449"/>
      <c r="O16" s="450"/>
      <c r="P16" s="450"/>
      <c r="Q16" s="450"/>
      <c r="R16" s="451"/>
    </row>
    <row r="17" spans="14:18" ht="28.9" customHeight="1" x14ac:dyDescent="0.45">
      <c r="N17" s="17" t="s">
        <v>13</v>
      </c>
      <c r="O17" s="19" t="s">
        <v>13</v>
      </c>
      <c r="P17" s="19" t="s">
        <v>13</v>
      </c>
      <c r="Q17" s="12" t="s">
        <v>13</v>
      </c>
      <c r="R17" s="13" t="s">
        <v>13</v>
      </c>
    </row>
    <row r="18" spans="14:18" ht="28.9" customHeight="1" x14ac:dyDescent="0.45">
      <c r="N18" s="17" t="s">
        <v>13</v>
      </c>
      <c r="O18" s="105" t="s">
        <v>284</v>
      </c>
      <c r="P18" s="19" t="s">
        <v>13</v>
      </c>
      <c r="Q18" s="125"/>
      <c r="R18" s="13" t="s">
        <v>13</v>
      </c>
    </row>
    <row r="19" spans="14:18" ht="28.9" customHeight="1" x14ac:dyDescent="0.45">
      <c r="N19" s="17" t="s">
        <v>13</v>
      </c>
      <c r="O19" s="19" t="s">
        <v>13</v>
      </c>
      <c r="P19" s="19" t="s">
        <v>13</v>
      </c>
      <c r="Q19" s="12" t="s">
        <v>13</v>
      </c>
      <c r="R19" s="13" t="s">
        <v>13</v>
      </c>
    </row>
    <row r="20" spans="14:18" ht="28.9" customHeight="1" x14ac:dyDescent="0.45">
      <c r="N20" s="17" t="s">
        <v>13</v>
      </c>
      <c r="O20" s="120" t="s">
        <v>285</v>
      </c>
      <c r="P20" s="19" t="s">
        <v>13</v>
      </c>
      <c r="Q20" s="125"/>
      <c r="R20" s="13" t="s">
        <v>13</v>
      </c>
    </row>
    <row r="21" spans="14:18" ht="28.9" customHeight="1" x14ac:dyDescent="0.45">
      <c r="N21" s="17" t="s">
        <v>13</v>
      </c>
      <c r="O21" s="121"/>
      <c r="P21" s="19" t="s">
        <v>13</v>
      </c>
      <c r="Q21" s="12" t="s">
        <v>13</v>
      </c>
      <c r="R21" s="13" t="s">
        <v>13</v>
      </c>
    </row>
    <row r="22" spans="14:18" ht="28.9" customHeight="1" x14ac:dyDescent="0.45">
      <c r="N22" s="17" t="s">
        <v>13</v>
      </c>
      <c r="O22" s="67"/>
      <c r="P22" s="67"/>
      <c r="Q22" s="67"/>
      <c r="R22" s="13" t="s">
        <v>13</v>
      </c>
    </row>
    <row r="23" spans="14:18" ht="28.9" customHeight="1" x14ac:dyDescent="0.45">
      <c r="N23" s="17" t="s">
        <v>13</v>
      </c>
      <c r="O23" s="67"/>
      <c r="P23" s="67"/>
      <c r="Q23" s="67"/>
      <c r="R23" s="13" t="s">
        <v>13</v>
      </c>
    </row>
    <row r="24" spans="14:18" ht="28.9" customHeight="1" x14ac:dyDescent="0.45">
      <c r="N24" s="17" t="s">
        <v>13</v>
      </c>
      <c r="O24" s="67"/>
      <c r="P24" s="67"/>
      <c r="Q24" s="67"/>
      <c r="R24" s="13" t="s">
        <v>13</v>
      </c>
    </row>
    <row r="25" spans="14:18" ht="28.9" customHeight="1" x14ac:dyDescent="0.45">
      <c r="N25" s="17" t="s">
        <v>13</v>
      </c>
      <c r="O25" s="67"/>
      <c r="P25" s="67"/>
      <c r="Q25" s="67"/>
      <c r="R25" s="13" t="s">
        <v>13</v>
      </c>
    </row>
    <row r="26" spans="14:18" ht="28.9" customHeight="1" thickBot="1" x14ac:dyDescent="0.3">
      <c r="N26" s="68"/>
      <c r="O26" s="69"/>
      <c r="P26" s="69"/>
      <c r="Q26" s="69"/>
      <c r="R26" s="70"/>
    </row>
    <row r="27" spans="14:18" ht="28.9" customHeight="1" x14ac:dyDescent="0.25"/>
    <row r="28" spans="14:18" ht="28.9" customHeight="1" thickBot="1" x14ac:dyDescent="0.3"/>
    <row r="29" spans="14:18" ht="28.9" customHeight="1" x14ac:dyDescent="0.25">
      <c r="N29" s="446" t="s">
        <v>651</v>
      </c>
      <c r="O29" s="447"/>
      <c r="P29" s="447"/>
      <c r="Q29" s="447"/>
      <c r="R29" s="448"/>
    </row>
    <row r="30" spans="14:18" ht="28.9" customHeight="1" x14ac:dyDescent="0.25">
      <c r="N30" s="449"/>
      <c r="O30" s="450"/>
      <c r="P30" s="450"/>
      <c r="Q30" s="450"/>
      <c r="R30" s="451"/>
    </row>
    <row r="31" spans="14:18" ht="28.9" customHeight="1" x14ac:dyDescent="0.25">
      <c r="N31" s="449"/>
      <c r="O31" s="450"/>
      <c r="P31" s="450"/>
      <c r="Q31" s="450"/>
      <c r="R31" s="451"/>
    </row>
    <row r="32" spans="14:18" ht="28.9" customHeight="1" x14ac:dyDescent="0.45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9" customHeight="1" x14ac:dyDescent="0.45">
      <c r="N33" s="17" t="s">
        <v>13</v>
      </c>
      <c r="O33" s="105" t="s">
        <v>652</v>
      </c>
      <c r="P33" s="19" t="s">
        <v>13</v>
      </c>
      <c r="Q33" s="125"/>
      <c r="R33" s="13" t="s">
        <v>13</v>
      </c>
    </row>
    <row r="34" spans="14:18" ht="28.9" customHeight="1" x14ac:dyDescent="0.45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9" customHeight="1" x14ac:dyDescent="0.45">
      <c r="N35" s="17" t="s">
        <v>13</v>
      </c>
      <c r="O35" s="120" t="s">
        <v>653</v>
      </c>
      <c r="P35" s="19" t="s">
        <v>13</v>
      </c>
      <c r="Q35" s="125"/>
      <c r="R35" s="13" t="s">
        <v>13</v>
      </c>
    </row>
    <row r="36" spans="14:18" ht="28.9" customHeight="1" x14ac:dyDescent="0.45">
      <c r="N36" s="17" t="s">
        <v>13</v>
      </c>
      <c r="O36" s="121"/>
      <c r="P36" s="19" t="s">
        <v>13</v>
      </c>
      <c r="Q36" s="12" t="s">
        <v>13</v>
      </c>
      <c r="R36" s="13" t="s">
        <v>13</v>
      </c>
    </row>
    <row r="37" spans="14:18" ht="28.9" customHeight="1" x14ac:dyDescent="0.45">
      <c r="N37" s="17" t="s">
        <v>13</v>
      </c>
      <c r="O37" s="67"/>
      <c r="P37" s="67"/>
      <c r="Q37" s="67"/>
      <c r="R37" s="13" t="s">
        <v>13</v>
      </c>
    </row>
    <row r="38" spans="14:18" ht="28.9" customHeight="1" x14ac:dyDescent="0.45">
      <c r="N38" s="17" t="s">
        <v>13</v>
      </c>
      <c r="O38" s="67"/>
      <c r="P38" s="67"/>
      <c r="Q38" s="67"/>
      <c r="R38" s="13" t="s">
        <v>13</v>
      </c>
    </row>
    <row r="39" spans="14:18" ht="28.9" customHeight="1" x14ac:dyDescent="0.45">
      <c r="N39" s="17" t="s">
        <v>13</v>
      </c>
      <c r="O39" s="67"/>
      <c r="P39" s="67"/>
      <c r="Q39" s="67"/>
      <c r="R39" s="13" t="s">
        <v>13</v>
      </c>
    </row>
    <row r="40" spans="14:18" ht="28.9" customHeight="1" x14ac:dyDescent="0.45">
      <c r="N40" s="17" t="s">
        <v>13</v>
      </c>
      <c r="O40" s="67"/>
      <c r="P40" s="67"/>
      <c r="Q40" s="67"/>
      <c r="R40" s="13" t="s">
        <v>13</v>
      </c>
    </row>
    <row r="41" spans="14:18" ht="28.9" customHeight="1" thickBot="1" x14ac:dyDescent="0.3">
      <c r="N41" s="68"/>
      <c r="O41" s="69"/>
      <c r="P41" s="69"/>
      <c r="Q41" s="69"/>
      <c r="R41" s="70"/>
    </row>
    <row r="42" spans="14:18" ht="28.9" customHeight="1" x14ac:dyDescent="0.25"/>
    <row r="43" spans="14:18" ht="28.9" customHeight="1" x14ac:dyDescent="0.25"/>
    <row r="44" spans="14:18" ht="28.9" customHeight="1" x14ac:dyDescent="0.25"/>
    <row r="45" spans="14:18" ht="28.9" customHeight="1" x14ac:dyDescent="0.25"/>
    <row r="46" spans="14:18" ht="28.9" customHeight="1" x14ac:dyDescent="0.25"/>
    <row r="47" spans="14:18" ht="28.9" customHeight="1" x14ac:dyDescent="0.25"/>
    <row r="48" spans="14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9" customWidth="1"/>
    <col min="14" max="14" width="30.71093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thickBot="1" x14ac:dyDescent="0.3"/>
    <row r="13" spans="1:49" ht="28.9" customHeight="1" x14ac:dyDescent="0.25">
      <c r="M13" s="462" t="s">
        <v>286</v>
      </c>
      <c r="N13" s="463"/>
      <c r="O13" s="463"/>
      <c r="P13" s="463"/>
      <c r="Q13" s="464"/>
    </row>
    <row r="14" spans="1:49" ht="28.9" customHeight="1" thickBot="1" x14ac:dyDescent="0.3">
      <c r="M14" s="465"/>
      <c r="N14" s="466"/>
      <c r="O14" s="466"/>
      <c r="P14" s="466"/>
      <c r="Q14" s="467"/>
    </row>
    <row r="15" spans="1:49" ht="28.9" customHeight="1" thickBot="1" x14ac:dyDescent="0.3">
      <c r="M15" s="8"/>
      <c r="N15" s="44"/>
      <c r="O15" s="44"/>
      <c r="P15" s="44"/>
      <c r="Q15" s="45"/>
    </row>
    <row r="16" spans="1:49" ht="28.9" customHeight="1" thickBot="1" x14ac:dyDescent="0.3">
      <c r="M16" s="8"/>
      <c r="N16" s="126" t="s">
        <v>287</v>
      </c>
      <c r="O16" s="44"/>
      <c r="P16" s="42"/>
      <c r="Q16" s="45"/>
    </row>
    <row r="17" spans="13:17" ht="28.9" customHeight="1" thickBot="1" x14ac:dyDescent="0.3">
      <c r="M17" s="8"/>
      <c r="N17" s="126"/>
      <c r="O17" s="44"/>
      <c r="P17" s="44"/>
      <c r="Q17" s="45"/>
    </row>
    <row r="18" spans="13:17" ht="28.9" customHeight="1" thickBot="1" x14ac:dyDescent="0.3">
      <c r="M18" s="8"/>
      <c r="N18" s="126" t="s">
        <v>288</v>
      </c>
      <c r="O18" s="44"/>
      <c r="P18" s="42"/>
      <c r="Q18" s="45"/>
    </row>
    <row r="19" spans="13:17" ht="28.9" customHeight="1" thickBot="1" x14ac:dyDescent="0.3">
      <c r="M19" s="8"/>
      <c r="N19" s="126"/>
      <c r="O19" s="44"/>
      <c r="P19" s="44"/>
      <c r="Q19" s="45"/>
    </row>
    <row r="20" spans="13:17" ht="28.9" customHeight="1" thickBot="1" x14ac:dyDescent="0.3">
      <c r="M20" s="8"/>
      <c r="N20" s="126" t="s">
        <v>289</v>
      </c>
      <c r="O20" s="44"/>
      <c r="P20" s="42"/>
      <c r="Q20" s="45"/>
    </row>
    <row r="21" spans="13:17" ht="28.9" customHeight="1" thickBot="1" x14ac:dyDescent="0.3">
      <c r="M21" s="8"/>
      <c r="N21" s="126"/>
      <c r="O21" s="44"/>
      <c r="P21" s="44"/>
      <c r="Q21" s="45"/>
    </row>
    <row r="22" spans="13:17" ht="28.9" customHeight="1" thickBot="1" x14ac:dyDescent="0.3">
      <c r="M22" s="8"/>
      <c r="N22" s="126" t="s">
        <v>290</v>
      </c>
      <c r="O22" s="44"/>
      <c r="P22" s="42"/>
      <c r="Q22" s="45"/>
    </row>
    <row r="23" spans="13:17" ht="28.9" customHeight="1" thickBot="1" x14ac:dyDescent="0.3">
      <c r="M23" s="8"/>
      <c r="N23" s="126"/>
      <c r="O23" s="44"/>
      <c r="P23" s="44"/>
      <c r="Q23" s="45"/>
    </row>
    <row r="24" spans="13:17" ht="28.9" customHeight="1" thickBot="1" x14ac:dyDescent="0.3">
      <c r="M24" s="8"/>
      <c r="N24" s="126" t="s">
        <v>291</v>
      </c>
      <c r="O24" s="44"/>
      <c r="P24" s="42"/>
      <c r="Q24" s="45"/>
    </row>
    <row r="25" spans="13:17" ht="28.9" customHeight="1" thickBot="1" x14ac:dyDescent="0.3">
      <c r="M25" s="8"/>
      <c r="N25" s="126"/>
      <c r="O25" s="44"/>
      <c r="P25" s="44"/>
      <c r="Q25" s="45"/>
    </row>
    <row r="26" spans="13:17" ht="28.9" customHeight="1" thickBot="1" x14ac:dyDescent="0.3">
      <c r="M26" s="8"/>
      <c r="N26" s="126" t="s">
        <v>292</v>
      </c>
      <c r="O26" s="44"/>
      <c r="P26" s="42"/>
      <c r="Q26" s="45"/>
    </row>
    <row r="27" spans="13:17" ht="28.9" customHeight="1" thickBot="1" x14ac:dyDescent="0.3">
      <c r="M27" s="8"/>
      <c r="N27" s="126"/>
      <c r="O27" s="44"/>
      <c r="P27" s="44"/>
      <c r="Q27" s="45"/>
    </row>
    <row r="28" spans="13:17" ht="28.9" customHeight="1" thickBot="1" x14ac:dyDescent="0.3">
      <c r="M28" s="8"/>
      <c r="N28" s="126" t="s">
        <v>293</v>
      </c>
      <c r="O28" s="44"/>
      <c r="P28" s="42"/>
      <c r="Q28" s="45"/>
    </row>
    <row r="29" spans="13:17" ht="28.9" customHeight="1" thickBot="1" x14ac:dyDescent="0.3">
      <c r="M29" s="8"/>
      <c r="N29" s="126"/>
      <c r="O29" s="44"/>
      <c r="P29" s="44"/>
      <c r="Q29" s="45"/>
    </row>
    <row r="30" spans="13:17" ht="28.9" customHeight="1" thickBot="1" x14ac:dyDescent="0.3">
      <c r="M30" s="8"/>
      <c r="N30" s="126" t="s">
        <v>294</v>
      </c>
      <c r="O30" s="44"/>
      <c r="P30" s="42"/>
      <c r="Q30" s="45"/>
    </row>
    <row r="31" spans="13:17" ht="28.9" customHeight="1" thickBot="1" x14ac:dyDescent="0.3">
      <c r="M31" s="8"/>
      <c r="N31" s="126"/>
      <c r="O31" s="44"/>
      <c r="P31" s="44"/>
      <c r="Q31" s="45"/>
    </row>
    <row r="32" spans="13:17" ht="28.9" customHeight="1" thickBot="1" x14ac:dyDescent="0.3">
      <c r="M32" s="8"/>
      <c r="N32" s="126" t="s">
        <v>295</v>
      </c>
      <c r="O32" s="44"/>
      <c r="P32" s="42"/>
      <c r="Q32" s="45"/>
    </row>
    <row r="33" spans="13:17" ht="28.9" customHeight="1" thickBot="1" x14ac:dyDescent="0.3">
      <c r="M33" s="8"/>
      <c r="N33" s="127"/>
      <c r="O33" s="44"/>
      <c r="P33" s="44"/>
      <c r="Q33" s="45"/>
    </row>
    <row r="34" spans="13:17" ht="28.9" customHeight="1" thickBot="1" x14ac:dyDescent="0.3">
      <c r="M34" s="8"/>
      <c r="N34" s="126" t="s">
        <v>296</v>
      </c>
      <c r="O34" s="44"/>
      <c r="P34" s="42"/>
      <c r="Q34" s="45"/>
    </row>
    <row r="35" spans="13:17" ht="28.9" customHeight="1" thickBot="1" x14ac:dyDescent="0.3">
      <c r="M35" s="8"/>
      <c r="N35" s="127"/>
      <c r="O35" s="44"/>
      <c r="P35" s="44"/>
      <c r="Q35" s="45"/>
    </row>
    <row r="36" spans="13:17" ht="28.9" customHeight="1" thickBot="1" x14ac:dyDescent="0.3">
      <c r="M36" s="8"/>
      <c r="N36" s="126" t="s">
        <v>297</v>
      </c>
      <c r="O36" s="44"/>
      <c r="P36" s="43"/>
      <c r="Q36" s="45"/>
    </row>
    <row r="37" spans="13:17" ht="28.9" customHeight="1" thickBot="1" x14ac:dyDescent="0.3">
      <c r="M37" s="8"/>
      <c r="N37" s="127"/>
      <c r="O37" s="44"/>
      <c r="P37" s="44"/>
      <c r="Q37" s="45"/>
    </row>
    <row r="38" spans="13:17" ht="28.9" customHeight="1" thickBot="1" x14ac:dyDescent="0.35">
      <c r="M38" s="8"/>
      <c r="N38" s="126" t="s">
        <v>298</v>
      </c>
      <c r="O38" s="44"/>
      <c r="P38" s="128" t="s">
        <v>300</v>
      </c>
      <c r="Q38" s="45"/>
    </row>
    <row r="39" spans="13:17" ht="28.9" customHeight="1" thickBot="1" x14ac:dyDescent="0.3">
      <c r="M39" s="8"/>
      <c r="N39" s="127"/>
      <c r="O39" s="44"/>
      <c r="P39" s="44"/>
      <c r="Q39" s="45"/>
    </row>
    <row r="40" spans="13:17" ht="28.9" customHeight="1" thickBot="1" x14ac:dyDescent="0.3">
      <c r="M40" s="8"/>
      <c r="N40" s="126" t="s">
        <v>299</v>
      </c>
      <c r="O40" s="44"/>
      <c r="P40" s="42"/>
      <c r="Q40" s="45"/>
    </row>
    <row r="41" spans="13:17" ht="28.9" customHeight="1" x14ac:dyDescent="0.25">
      <c r="M41" s="8"/>
      <c r="N41" s="44"/>
      <c r="O41" s="44"/>
      <c r="P41" s="44"/>
      <c r="Q41" s="45"/>
    </row>
    <row r="42" spans="13:17" ht="28.9" customHeight="1" x14ac:dyDescent="0.25">
      <c r="M42" s="8"/>
      <c r="N42" s="44"/>
      <c r="O42" s="44"/>
      <c r="P42" s="44"/>
      <c r="Q42" s="45"/>
    </row>
    <row r="43" spans="13:17" ht="28.9" customHeight="1" x14ac:dyDescent="0.25">
      <c r="M43" s="8"/>
      <c r="N43" s="44"/>
      <c r="O43" s="44"/>
      <c r="P43" s="44"/>
      <c r="Q43" s="45"/>
    </row>
    <row r="44" spans="13:17" ht="28.9" customHeight="1" x14ac:dyDescent="0.25">
      <c r="M44" s="8"/>
      <c r="N44" s="44"/>
      <c r="O44" s="44"/>
      <c r="P44" s="44"/>
      <c r="Q44" s="45"/>
    </row>
    <row r="45" spans="13:17" ht="28.9" customHeight="1" x14ac:dyDescent="0.25">
      <c r="M45" s="8"/>
      <c r="N45" s="44"/>
      <c r="O45" s="44"/>
      <c r="P45" s="44"/>
      <c r="Q45" s="45"/>
    </row>
    <row r="46" spans="13:17" ht="28.9" customHeight="1" thickBot="1" x14ac:dyDescent="0.3">
      <c r="M46" s="46"/>
      <c r="N46" s="47"/>
      <c r="O46" s="47"/>
      <c r="P46" s="47"/>
      <c r="Q46" s="48"/>
    </row>
    <row r="47" spans="13:17" ht="28.9" customHeight="1" x14ac:dyDescent="0.25"/>
    <row r="48" spans="13:17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11.28515625" customWidth="1"/>
    <col min="7" max="7" width="26" bestFit="1" customWidth="1"/>
    <col min="8" max="8" width="19.42578125" bestFit="1" customWidth="1"/>
    <col min="9" max="9" width="104.28515625" bestFit="1" customWidth="1"/>
    <col min="10" max="10" width="12.7109375" customWidth="1"/>
    <col min="11" max="11" width="4.5703125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thickBot="1" x14ac:dyDescent="0.3"/>
    <row r="10" spans="1:49" ht="28.9" customHeight="1" x14ac:dyDescent="0.25">
      <c r="D10" s="462" t="s">
        <v>301</v>
      </c>
      <c r="E10" s="463"/>
      <c r="F10" s="464"/>
      <c r="H10" s="133"/>
      <c r="I10" s="134"/>
      <c r="J10" s="134"/>
      <c r="K10" s="134"/>
      <c r="L10" s="134"/>
      <c r="M10" s="134"/>
      <c r="N10" s="134"/>
      <c r="O10" s="134"/>
      <c r="P10" s="135"/>
    </row>
    <row r="11" spans="1:49" ht="28.9" customHeight="1" x14ac:dyDescent="0.25">
      <c r="D11" s="468"/>
      <c r="E11" s="469"/>
      <c r="F11" s="470"/>
      <c r="H11" s="136"/>
      <c r="I11" s="130" t="s">
        <v>401</v>
      </c>
      <c r="J11" s="137"/>
      <c r="K11" s="137"/>
      <c r="L11" s="137"/>
      <c r="M11" s="137"/>
      <c r="N11" s="138" t="s">
        <v>306</v>
      </c>
      <c r="O11" s="137"/>
      <c r="P11" s="139"/>
    </row>
    <row r="12" spans="1:49" ht="28.9" customHeight="1" x14ac:dyDescent="0.4">
      <c r="D12" s="468"/>
      <c r="E12" s="469"/>
      <c r="F12" s="470"/>
      <c r="H12" s="136"/>
      <c r="I12" s="140" t="s">
        <v>307</v>
      </c>
      <c r="J12" s="137"/>
      <c r="K12" s="137"/>
      <c r="L12" s="137"/>
      <c r="M12" s="137"/>
      <c r="N12" s="132" t="s">
        <v>308</v>
      </c>
      <c r="O12" s="137"/>
      <c r="P12" s="139"/>
    </row>
    <row r="13" spans="1:49" ht="28.9" customHeight="1" x14ac:dyDescent="0.3">
      <c r="D13" s="60"/>
      <c r="E13" s="61"/>
      <c r="F13" s="62"/>
      <c r="H13" s="136"/>
      <c r="I13" s="140" t="s">
        <v>309</v>
      </c>
      <c r="J13" s="137"/>
      <c r="K13" s="137"/>
      <c r="L13" s="137"/>
      <c r="M13" s="137"/>
      <c r="N13" s="141"/>
      <c r="O13" s="137"/>
      <c r="P13" s="139"/>
    </row>
    <row r="14" spans="1:49" ht="28.9" customHeight="1" x14ac:dyDescent="0.25">
      <c r="D14" s="63"/>
      <c r="E14" s="129" t="s">
        <v>302</v>
      </c>
      <c r="F14" s="64"/>
      <c r="H14" s="142"/>
      <c r="I14" s="143"/>
      <c r="J14" s="143"/>
      <c r="K14" s="143"/>
      <c r="L14" s="143"/>
      <c r="M14" s="143"/>
      <c r="N14" s="143"/>
      <c r="O14" s="143"/>
      <c r="P14" s="144"/>
    </row>
    <row r="15" spans="1:49" ht="28.9" customHeight="1" thickBot="1" x14ac:dyDescent="0.3">
      <c r="D15" s="65"/>
      <c r="E15" s="66"/>
      <c r="F15" s="64"/>
      <c r="H15" s="145"/>
      <c r="I15" s="146"/>
      <c r="J15" s="146"/>
      <c r="K15" s="146"/>
      <c r="L15" s="146"/>
      <c r="M15" s="146"/>
      <c r="N15" s="146"/>
      <c r="O15" s="146"/>
      <c r="P15" s="147"/>
    </row>
    <row r="16" spans="1:49" ht="28.9" customHeight="1" thickBot="1" x14ac:dyDescent="0.45">
      <c r="D16" s="59"/>
      <c r="E16" s="37"/>
      <c r="F16" s="7"/>
      <c r="H16" s="148"/>
      <c r="I16" s="171" t="s">
        <v>310</v>
      </c>
      <c r="J16" s="149"/>
      <c r="K16" s="149"/>
      <c r="L16" s="149"/>
      <c r="M16" s="149"/>
      <c r="N16" s="131" t="s">
        <v>311</v>
      </c>
      <c r="O16" s="149"/>
      <c r="P16" s="150"/>
    </row>
    <row r="17" spans="4:16" ht="28.9" customHeight="1" x14ac:dyDescent="0.25">
      <c r="D17" s="59"/>
      <c r="E17" s="58"/>
      <c r="F17" s="7"/>
      <c r="H17" s="148"/>
      <c r="I17" s="151"/>
      <c r="J17" s="149"/>
      <c r="K17" s="149"/>
      <c r="L17" s="149"/>
      <c r="M17" s="149"/>
      <c r="N17" s="151"/>
      <c r="O17" s="149"/>
      <c r="P17" s="150"/>
    </row>
    <row r="18" spans="4:16" ht="28.9" customHeight="1" x14ac:dyDescent="0.25">
      <c r="D18" s="56"/>
      <c r="E18" s="129" t="s">
        <v>303</v>
      </c>
      <c r="F18" s="7"/>
      <c r="H18" s="148"/>
      <c r="I18" s="152"/>
      <c r="J18" s="152"/>
      <c r="K18" s="152"/>
      <c r="L18" s="152"/>
      <c r="M18" s="152"/>
      <c r="N18" s="152"/>
      <c r="O18" s="152"/>
      <c r="P18" s="153"/>
    </row>
    <row r="19" spans="4:16" ht="28.9" customHeight="1" thickBot="1" x14ac:dyDescent="0.45">
      <c r="D19" s="56"/>
      <c r="E19" s="58"/>
      <c r="F19" s="7"/>
      <c r="H19" s="154"/>
      <c r="I19" s="172" t="s">
        <v>312</v>
      </c>
      <c r="J19" s="155"/>
      <c r="K19" s="155"/>
      <c r="L19" s="175" t="s">
        <v>313</v>
      </c>
      <c r="M19" s="175" t="s">
        <v>314</v>
      </c>
      <c r="N19" s="156"/>
      <c r="O19" s="172" t="s">
        <v>315</v>
      </c>
      <c r="P19" s="156"/>
    </row>
    <row r="20" spans="4:16" ht="28.9" customHeight="1" thickBot="1" x14ac:dyDescent="0.3">
      <c r="D20" s="56"/>
      <c r="E20" s="38"/>
      <c r="F20" s="7"/>
      <c r="H20" s="157"/>
      <c r="I20" s="173" t="s">
        <v>316</v>
      </c>
      <c r="J20" s="155"/>
      <c r="K20" s="155"/>
      <c r="L20" s="158"/>
      <c r="M20" s="158"/>
      <c r="N20" s="156"/>
      <c r="O20" s="155"/>
      <c r="P20" s="156"/>
    </row>
    <row r="21" spans="4:16" ht="28.9" customHeight="1" x14ac:dyDescent="0.25">
      <c r="D21" s="56"/>
      <c r="E21" s="58"/>
      <c r="F21" s="7"/>
      <c r="H21" s="157"/>
      <c r="I21" s="174" t="s">
        <v>317</v>
      </c>
      <c r="J21" s="159"/>
      <c r="K21" s="159"/>
      <c r="L21" s="157"/>
      <c r="M21" s="157"/>
      <c r="N21" s="160"/>
      <c r="O21" s="159"/>
      <c r="P21" s="160"/>
    </row>
    <row r="22" spans="4:16" ht="28.9" customHeight="1" x14ac:dyDescent="0.25">
      <c r="D22" s="56"/>
      <c r="E22" s="129" t="s">
        <v>304</v>
      </c>
      <c r="F22" s="52"/>
      <c r="H22" s="157"/>
      <c r="I22" s="173" t="s">
        <v>318</v>
      </c>
      <c r="J22" s="155"/>
      <c r="K22" s="155"/>
      <c r="L22" s="158"/>
      <c r="M22" s="158"/>
      <c r="N22" s="156"/>
      <c r="O22" s="155"/>
      <c r="P22" s="156"/>
    </row>
    <row r="23" spans="4:16" ht="28.9" customHeight="1" thickBot="1" x14ac:dyDescent="0.3">
      <c r="D23" s="56"/>
      <c r="E23" s="57"/>
      <c r="F23" s="52"/>
      <c r="H23" s="157"/>
      <c r="I23" s="174" t="s">
        <v>319</v>
      </c>
      <c r="J23" s="159"/>
      <c r="K23" s="159"/>
      <c r="L23" s="157"/>
      <c r="M23" s="157"/>
      <c r="N23" s="160"/>
      <c r="O23" s="159"/>
      <c r="P23" s="160"/>
    </row>
    <row r="24" spans="4:16" ht="28.9" customHeight="1" thickBot="1" x14ac:dyDescent="0.3">
      <c r="D24" s="56"/>
      <c r="E24" s="49"/>
      <c r="F24" s="52"/>
      <c r="H24" s="157"/>
      <c r="I24" s="173" t="s">
        <v>320</v>
      </c>
      <c r="J24" s="155"/>
      <c r="K24" s="155"/>
      <c r="L24" s="158"/>
      <c r="M24" s="158"/>
      <c r="N24" s="156"/>
      <c r="O24" s="155"/>
      <c r="P24" s="156"/>
    </row>
    <row r="25" spans="4:16" ht="28.9" customHeight="1" x14ac:dyDescent="0.25">
      <c r="D25" s="56"/>
      <c r="E25" s="57"/>
      <c r="F25" s="52"/>
      <c r="H25" s="161"/>
      <c r="I25" s="161"/>
      <c r="J25" s="162"/>
      <c r="K25" s="162"/>
      <c r="L25" s="161"/>
      <c r="M25" s="161"/>
      <c r="N25" s="163"/>
      <c r="O25" s="162"/>
      <c r="P25" s="163"/>
    </row>
    <row r="26" spans="4:16" ht="28.9" customHeight="1" x14ac:dyDescent="0.4">
      <c r="D26" s="56"/>
      <c r="E26" s="129" t="s">
        <v>305</v>
      </c>
      <c r="F26" s="52"/>
      <c r="H26" s="157"/>
      <c r="I26" s="176" t="s">
        <v>321</v>
      </c>
      <c r="J26" s="159"/>
      <c r="K26" s="159"/>
      <c r="L26" s="159"/>
      <c r="M26" s="176" t="s">
        <v>322</v>
      </c>
      <c r="N26" s="160"/>
      <c r="O26" s="179" t="s">
        <v>323</v>
      </c>
      <c r="P26" s="160"/>
    </row>
    <row r="27" spans="4:16" ht="28.9" customHeight="1" thickBot="1" x14ac:dyDescent="0.3">
      <c r="D27" s="56"/>
      <c r="E27" s="57"/>
      <c r="F27" s="52"/>
      <c r="H27" s="157"/>
      <c r="I27" s="157"/>
      <c r="J27" s="159"/>
      <c r="K27" s="159"/>
      <c r="L27" s="159"/>
      <c r="M27" s="157"/>
      <c r="N27" s="160"/>
      <c r="O27" s="159"/>
      <c r="P27" s="160"/>
    </row>
    <row r="28" spans="4:16" ht="28.9" customHeight="1" thickBot="1" x14ac:dyDescent="0.3">
      <c r="D28" s="56"/>
      <c r="E28" s="49"/>
      <c r="F28" s="52"/>
      <c r="H28" s="157"/>
      <c r="I28" s="157"/>
      <c r="J28" s="159"/>
      <c r="K28" s="159"/>
      <c r="L28" s="159"/>
      <c r="M28" s="157"/>
      <c r="N28" s="160"/>
      <c r="O28" s="159"/>
      <c r="P28" s="160"/>
    </row>
    <row r="29" spans="4:16" ht="28.9" customHeight="1" x14ac:dyDescent="0.25">
      <c r="D29" s="50"/>
      <c r="E29" s="51"/>
      <c r="F29" s="52"/>
      <c r="H29" s="157"/>
      <c r="I29" s="157"/>
      <c r="J29" s="159"/>
      <c r="K29" s="159"/>
      <c r="L29" s="159"/>
      <c r="M29" s="157"/>
      <c r="N29" s="160"/>
      <c r="O29" s="159"/>
      <c r="P29" s="160"/>
    </row>
    <row r="30" spans="4:16" ht="28.9" customHeight="1" x14ac:dyDescent="0.25">
      <c r="D30" s="50"/>
      <c r="E30" s="51"/>
      <c r="F30" s="52"/>
      <c r="H30" s="157"/>
      <c r="I30" s="161"/>
      <c r="J30" s="162"/>
      <c r="K30" s="162"/>
      <c r="L30" s="162"/>
      <c r="M30" s="157"/>
      <c r="N30" s="160"/>
      <c r="O30" s="159"/>
      <c r="P30" s="160"/>
    </row>
    <row r="31" spans="4:16" ht="28.9" customHeight="1" x14ac:dyDescent="0.25">
      <c r="D31" s="50"/>
      <c r="E31" s="51"/>
      <c r="F31" s="52"/>
      <c r="H31" s="145"/>
      <c r="I31" s="146"/>
      <c r="J31" s="146"/>
      <c r="K31" s="146"/>
      <c r="L31" s="146"/>
      <c r="M31" s="146"/>
      <c r="N31" s="146"/>
      <c r="O31" s="146"/>
      <c r="P31" s="147"/>
    </row>
    <row r="32" spans="4:16" ht="28.9" customHeight="1" x14ac:dyDescent="0.3">
      <c r="D32" s="50"/>
      <c r="E32" s="51"/>
      <c r="F32" s="52"/>
      <c r="H32" s="148"/>
      <c r="I32" s="180" t="s">
        <v>316</v>
      </c>
      <c r="J32" s="164"/>
      <c r="K32" s="165"/>
      <c r="L32" s="165"/>
      <c r="M32" s="165"/>
      <c r="N32" s="165"/>
      <c r="O32" s="166"/>
      <c r="P32" s="150"/>
    </row>
    <row r="33" spans="1:16" ht="28.9" customHeight="1" x14ac:dyDescent="0.3">
      <c r="D33" s="50"/>
      <c r="E33" s="51"/>
      <c r="F33" s="52"/>
      <c r="H33" s="148"/>
      <c r="I33" s="180" t="s">
        <v>324</v>
      </c>
      <c r="J33" s="164"/>
      <c r="K33" s="165"/>
      <c r="L33" s="165"/>
      <c r="M33" s="165"/>
      <c r="N33" s="165"/>
      <c r="O33" s="166"/>
      <c r="P33" s="150"/>
    </row>
    <row r="34" spans="1:16" ht="28.9" customHeight="1" thickBot="1" x14ac:dyDescent="0.35">
      <c r="D34" s="53"/>
      <c r="E34" s="54"/>
      <c r="F34" s="55"/>
      <c r="H34" s="148"/>
      <c r="I34" s="180" t="s">
        <v>325</v>
      </c>
      <c r="J34" s="164"/>
      <c r="K34" s="165"/>
      <c r="L34" s="165"/>
      <c r="M34" s="165"/>
      <c r="N34" s="165"/>
      <c r="O34" s="166"/>
      <c r="P34" s="150"/>
    </row>
    <row r="35" spans="1:16" ht="28.9" customHeight="1" x14ac:dyDescent="0.3">
      <c r="H35" s="148"/>
      <c r="I35" s="180" t="s">
        <v>326</v>
      </c>
      <c r="J35" s="164"/>
      <c r="K35" s="165"/>
      <c r="L35" s="165"/>
      <c r="M35" s="165"/>
      <c r="N35" s="165"/>
      <c r="O35" s="166"/>
      <c r="P35" s="150"/>
    </row>
    <row r="36" spans="1:16" ht="28.9" customHeight="1" x14ac:dyDescent="0.25">
      <c r="H36" s="167"/>
      <c r="I36" s="152"/>
      <c r="J36" s="152"/>
      <c r="K36" s="152"/>
      <c r="L36" s="152"/>
      <c r="M36" s="152"/>
      <c r="N36" s="152"/>
      <c r="O36" s="152"/>
      <c r="P36" s="153"/>
    </row>
    <row r="37" spans="1:16" ht="28.9" customHeight="1" x14ac:dyDescent="0.25">
      <c r="H37" s="168"/>
      <c r="I37" s="169"/>
      <c r="J37" s="169"/>
      <c r="K37" s="169"/>
      <c r="L37" s="169"/>
      <c r="M37" s="169"/>
      <c r="N37" s="169"/>
      <c r="O37" s="169"/>
      <c r="P37" s="170"/>
    </row>
    <row r="38" spans="1:16" ht="28.9" customHeight="1" x14ac:dyDescent="0.35">
      <c r="H38" s="157"/>
      <c r="I38" s="178" t="s">
        <v>327</v>
      </c>
      <c r="J38" s="159"/>
      <c r="K38" s="159"/>
      <c r="L38" s="159"/>
      <c r="M38" s="159"/>
      <c r="N38" s="159"/>
      <c r="O38" s="159"/>
      <c r="P38" s="160"/>
    </row>
    <row r="39" spans="1:16" ht="28.9" customHeight="1" x14ac:dyDescent="0.25">
      <c r="H39" s="157"/>
      <c r="I39" s="159"/>
      <c r="J39" s="159"/>
      <c r="K39" s="159"/>
      <c r="L39" s="159"/>
      <c r="M39" s="159"/>
      <c r="N39" s="159"/>
      <c r="O39" s="159"/>
      <c r="P39" s="160"/>
    </row>
    <row r="40" spans="1:16" ht="28.9" customHeight="1" x14ac:dyDescent="0.25">
      <c r="H40" s="157"/>
      <c r="I40" s="162"/>
      <c r="J40" s="162"/>
      <c r="K40" s="162"/>
      <c r="L40" s="159"/>
      <c r="M40" s="162"/>
      <c r="N40" s="162"/>
      <c r="O40" s="162"/>
      <c r="P40" s="160"/>
    </row>
    <row r="41" spans="1:16" ht="28.9" customHeight="1" x14ac:dyDescent="0.3">
      <c r="H41" s="157"/>
      <c r="I41" s="177" t="s">
        <v>328</v>
      </c>
      <c r="J41" s="159"/>
      <c r="K41" s="159"/>
      <c r="L41" s="159"/>
      <c r="M41" s="181" t="s">
        <v>329</v>
      </c>
      <c r="N41" s="159"/>
      <c r="O41" s="159"/>
      <c r="P41" s="160"/>
    </row>
    <row r="42" spans="1:16" ht="28.9" customHeight="1" x14ac:dyDescent="0.25">
      <c r="H42" s="161"/>
      <c r="I42" s="162"/>
      <c r="J42" s="162"/>
      <c r="K42" s="162"/>
      <c r="L42" s="162"/>
      <c r="M42" s="162"/>
      <c r="N42" s="162"/>
      <c r="O42" s="162"/>
      <c r="P42" s="163"/>
    </row>
    <row r="43" spans="1:16" ht="28.9" customHeight="1" x14ac:dyDescent="0.25"/>
    <row r="44" spans="1:16" ht="28.9" customHeight="1" x14ac:dyDescent="0.25"/>
    <row r="45" spans="1:16" ht="28.9" customHeight="1" x14ac:dyDescent="0.25"/>
    <row r="46" spans="1:16" ht="28.9" customHeight="1" x14ac:dyDescent="0.25"/>
    <row r="47" spans="1:16" ht="28.9" customHeight="1" x14ac:dyDescent="0.25"/>
    <row r="48" spans="1:16" ht="28.9" customHeight="1" x14ac:dyDescent="0.25">
      <c r="A48" t="s">
        <v>402</v>
      </c>
    </row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thickBot="1" x14ac:dyDescent="0.3"/>
    <row r="10" spans="1:49" ht="28.9" customHeight="1" x14ac:dyDescent="0.35">
      <c r="E10" s="184" t="s">
        <v>330</v>
      </c>
      <c r="F10" s="185" t="s">
        <v>297</v>
      </c>
      <c r="H10" s="471" t="s">
        <v>351</v>
      </c>
      <c r="I10" s="472"/>
      <c r="J10" s="472"/>
      <c r="K10" s="473"/>
    </row>
    <row r="11" spans="1:49" ht="28.9" customHeight="1" x14ac:dyDescent="0.25">
      <c r="E11" s="182" t="s">
        <v>331</v>
      </c>
      <c r="F11" s="186">
        <v>5000</v>
      </c>
      <c r="H11" s="474" t="s">
        <v>352</v>
      </c>
      <c r="I11" s="475"/>
      <c r="J11" s="188" t="s">
        <v>353</v>
      </c>
      <c r="K11" s="189" t="s">
        <v>354</v>
      </c>
    </row>
    <row r="12" spans="1:49" ht="28.9" customHeight="1" x14ac:dyDescent="0.3">
      <c r="E12" s="182" t="s">
        <v>332</v>
      </c>
      <c r="F12" s="186">
        <v>3000</v>
      </c>
      <c r="H12" s="191" t="s">
        <v>355</v>
      </c>
      <c r="I12" s="190">
        <v>2259.1999999999998</v>
      </c>
      <c r="J12" s="192">
        <v>0</v>
      </c>
      <c r="K12" s="193">
        <v>0</v>
      </c>
    </row>
    <row r="13" spans="1:49" ht="28.9" customHeight="1" x14ac:dyDescent="0.3">
      <c r="E13" s="182" t="s">
        <v>333</v>
      </c>
      <c r="F13" s="186">
        <v>2000</v>
      </c>
      <c r="H13" s="194">
        <f>I12</f>
        <v>2259.1999999999998</v>
      </c>
      <c r="I13" s="190">
        <v>2826.65</v>
      </c>
      <c r="J13" s="195">
        <v>7.4999999999999997E-2</v>
      </c>
      <c r="K13" s="193">
        <v>164.44</v>
      </c>
    </row>
    <row r="14" spans="1:49" ht="28.9" customHeight="1" x14ac:dyDescent="0.3">
      <c r="E14" s="182" t="s">
        <v>334</v>
      </c>
      <c r="F14" s="186">
        <v>5000</v>
      </c>
      <c r="H14" s="194">
        <f>I13</f>
        <v>2826.65</v>
      </c>
      <c r="I14" s="190">
        <v>3751.05</v>
      </c>
      <c r="J14" s="195">
        <v>0.15</v>
      </c>
      <c r="K14" s="193">
        <v>381.44</v>
      </c>
    </row>
    <row r="15" spans="1:49" ht="28.9" customHeight="1" x14ac:dyDescent="0.3">
      <c r="E15" s="182" t="s">
        <v>335</v>
      </c>
      <c r="F15" s="186">
        <v>3000</v>
      </c>
      <c r="H15" s="194">
        <f>I14</f>
        <v>3751.05</v>
      </c>
      <c r="I15" s="190">
        <v>4664.68</v>
      </c>
      <c r="J15" s="195">
        <v>0.22500000000000001</v>
      </c>
      <c r="K15" s="193">
        <v>662.77</v>
      </c>
    </row>
    <row r="16" spans="1:49" ht="28.9" customHeight="1" thickBot="1" x14ac:dyDescent="0.35">
      <c r="E16" s="182" t="s">
        <v>336</v>
      </c>
      <c r="F16" s="186">
        <v>2000</v>
      </c>
      <c r="H16" s="196" t="s">
        <v>356</v>
      </c>
      <c r="I16" s="197">
        <f>I15</f>
        <v>4664.68</v>
      </c>
      <c r="J16" s="198">
        <v>0.27500000000000002</v>
      </c>
      <c r="K16" s="199">
        <v>896</v>
      </c>
    </row>
    <row r="17" spans="5:11" ht="28.9" customHeight="1" thickBot="1" x14ac:dyDescent="0.3">
      <c r="E17" s="182" t="s">
        <v>337</v>
      </c>
      <c r="F17" s="186">
        <v>5000</v>
      </c>
    </row>
    <row r="18" spans="5:11" ht="28.9" customHeight="1" x14ac:dyDescent="0.25">
      <c r="E18" s="182" t="s">
        <v>338</v>
      </c>
      <c r="F18" s="186">
        <v>3000</v>
      </c>
      <c r="H18" s="471" t="s">
        <v>315</v>
      </c>
      <c r="I18" s="472"/>
      <c r="J18" s="472"/>
      <c r="K18" s="473"/>
    </row>
    <row r="19" spans="5:11" ht="28.9" customHeight="1" x14ac:dyDescent="0.25">
      <c r="E19" s="182" t="s">
        <v>14</v>
      </c>
      <c r="F19" s="186">
        <v>5000</v>
      </c>
      <c r="H19" s="182" t="s">
        <v>319</v>
      </c>
      <c r="I19" s="192">
        <v>0.11</v>
      </c>
      <c r="J19" s="200" t="s">
        <v>319</v>
      </c>
      <c r="K19" s="201">
        <v>0.11</v>
      </c>
    </row>
    <row r="20" spans="5:11" ht="28.9" customHeight="1" x14ac:dyDescent="0.25">
      <c r="E20" s="182" t="s">
        <v>339</v>
      </c>
      <c r="F20" s="186">
        <v>3000</v>
      </c>
      <c r="H20" s="182" t="s">
        <v>357</v>
      </c>
      <c r="I20" s="200" t="s">
        <v>358</v>
      </c>
      <c r="J20" s="200" t="s">
        <v>357</v>
      </c>
      <c r="K20" s="202" t="s">
        <v>358</v>
      </c>
    </row>
    <row r="21" spans="5:11" ht="28.9" customHeight="1" thickBot="1" x14ac:dyDescent="0.3">
      <c r="E21" s="182" t="s">
        <v>340</v>
      </c>
      <c r="F21" s="186">
        <v>2000</v>
      </c>
      <c r="H21" s="183" t="s">
        <v>359</v>
      </c>
      <c r="I21" s="198">
        <v>1.4999999999999999E-2</v>
      </c>
      <c r="J21" s="203" t="s">
        <v>359</v>
      </c>
      <c r="K21" s="204">
        <v>1.4999999999999999E-2</v>
      </c>
    </row>
    <row r="22" spans="5:11" ht="28.9" customHeight="1" thickBot="1" x14ac:dyDescent="0.3">
      <c r="E22" s="182" t="s">
        <v>341</v>
      </c>
      <c r="F22" s="186">
        <v>5000</v>
      </c>
    </row>
    <row r="23" spans="5:11" ht="28.9" customHeight="1" x14ac:dyDescent="0.35">
      <c r="E23" s="182" t="s">
        <v>342</v>
      </c>
      <c r="F23" s="186">
        <v>3000</v>
      </c>
      <c r="H23" s="205" t="s">
        <v>360</v>
      </c>
    </row>
    <row r="24" spans="5:11" ht="28.9" customHeight="1" thickBot="1" x14ac:dyDescent="0.35">
      <c r="E24" s="182" t="s">
        <v>343</v>
      </c>
      <c r="F24" s="186">
        <v>2000</v>
      </c>
      <c r="H24" s="206">
        <v>0.08</v>
      </c>
    </row>
    <row r="25" spans="5:11" ht="28.9" customHeight="1" x14ac:dyDescent="0.25">
      <c r="E25" s="182" t="s">
        <v>344</v>
      </c>
      <c r="F25" s="186">
        <v>5000</v>
      </c>
    </row>
    <row r="26" spans="5:11" ht="28.9" customHeight="1" x14ac:dyDescent="0.25">
      <c r="E26" s="182" t="s">
        <v>345</v>
      </c>
      <c r="F26" s="186">
        <v>4000</v>
      </c>
    </row>
    <row r="27" spans="5:11" ht="28.9" customHeight="1" x14ac:dyDescent="0.25">
      <c r="E27" s="182" t="s">
        <v>346</v>
      </c>
      <c r="F27" s="186">
        <v>3000</v>
      </c>
    </row>
    <row r="28" spans="5:11" ht="28.9" customHeight="1" x14ac:dyDescent="0.25">
      <c r="E28" s="182" t="s">
        <v>347</v>
      </c>
      <c r="F28" s="186">
        <v>2000</v>
      </c>
    </row>
    <row r="29" spans="5:11" ht="28.9" customHeight="1" x14ac:dyDescent="0.25">
      <c r="E29" s="182" t="s">
        <v>348</v>
      </c>
      <c r="F29" s="186">
        <v>5000</v>
      </c>
    </row>
    <row r="30" spans="5:11" ht="28.9" customHeight="1" x14ac:dyDescent="0.25">
      <c r="E30" s="182" t="s">
        <v>349</v>
      </c>
      <c r="F30" s="186">
        <v>3000</v>
      </c>
    </row>
    <row r="31" spans="5:11" ht="28.9" customHeight="1" thickBot="1" x14ac:dyDescent="0.3">
      <c r="E31" s="183" t="s">
        <v>350</v>
      </c>
      <c r="F31" s="187">
        <v>2000</v>
      </c>
    </row>
    <row r="32" spans="5:11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10.140625" bestFit="1" customWidth="1"/>
    <col min="11" max="11" width="22.42578125" customWidth="1"/>
    <col min="12" max="12" width="15.28515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9" customHeight="1" x14ac:dyDescent="0.25"/>
    <row r="64" spans="1:3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10.140625" bestFit="1" customWidth="1"/>
    <col min="11" max="11" width="14.85546875" bestFit="1" customWidth="1"/>
    <col min="12" max="12" width="15.28515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>
      <c r="C10" s="482" t="s">
        <v>581</v>
      </c>
      <c r="D10" s="483"/>
      <c r="E10" s="483"/>
      <c r="F10" s="483"/>
      <c r="G10" s="484"/>
      <c r="I10" s="254" t="s">
        <v>596</v>
      </c>
      <c r="J10" s="111" t="s">
        <v>597</v>
      </c>
      <c r="K10" s="111" t="s">
        <v>598</v>
      </c>
      <c r="M10" s="255" t="s">
        <v>606</v>
      </c>
      <c r="N10" s="255" t="s">
        <v>597</v>
      </c>
      <c r="O10" s="111" t="s">
        <v>598</v>
      </c>
      <c r="Q10" s="478" t="s">
        <v>611</v>
      </c>
      <c r="R10" s="478"/>
      <c r="S10" s="478"/>
      <c r="T10" s="478"/>
      <c r="U10" s="478"/>
      <c r="V10" s="478"/>
      <c r="W10" s="478"/>
      <c r="X10" s="478"/>
    </row>
    <row r="11" spans="1:49" ht="28.9" customHeight="1" x14ac:dyDescent="0.35">
      <c r="C11" s="485" t="s">
        <v>582</v>
      </c>
      <c r="D11" s="485"/>
      <c r="E11" s="485"/>
      <c r="F11" s="485"/>
      <c r="G11" s="246" t="s">
        <v>583</v>
      </c>
      <c r="I11" s="250" t="s">
        <v>599</v>
      </c>
      <c r="J11" s="251">
        <v>1</v>
      </c>
      <c r="K11" s="252" t="e">
        <f>('[5]N_RHREF '!#REF!-'[5]N_RHREF '!#REF!-'[5]N_RHREF '!#REF!-'[5]N_RHREF '!#REF!-'[5]N_RHREF '!#REF!)</f>
        <v>#REF!</v>
      </c>
      <c r="M11" s="256" t="s">
        <v>599</v>
      </c>
      <c r="N11" s="256"/>
      <c r="O11" s="257" t="e">
        <f>'[5]N_RHREF '!#REF!</f>
        <v>#REF!</v>
      </c>
      <c r="Q11" s="476" t="s">
        <v>612</v>
      </c>
      <c r="R11" s="476"/>
      <c r="S11" s="476"/>
      <c r="T11" s="476"/>
      <c r="U11" s="476"/>
      <c r="V11" s="476"/>
      <c r="W11" s="479"/>
      <c r="X11" s="480"/>
    </row>
    <row r="12" spans="1:49" ht="28.9" customHeight="1" x14ac:dyDescent="0.3">
      <c r="C12" s="481" t="s">
        <v>584</v>
      </c>
      <c r="D12" s="481"/>
      <c r="E12" s="481"/>
      <c r="F12" s="481"/>
      <c r="G12" s="245">
        <v>450</v>
      </c>
      <c r="I12" s="250" t="s">
        <v>600</v>
      </c>
      <c r="J12" s="251">
        <v>4</v>
      </c>
      <c r="K12" s="252" t="e">
        <f>'[5]N_RHREF '!#REF!</f>
        <v>#REF!</v>
      </c>
      <c r="M12" s="256" t="s">
        <v>606</v>
      </c>
      <c r="N12" s="256"/>
      <c r="O12" s="257" t="e">
        <f>'[5]N_RHREF '!#REF!</f>
        <v>#REF!</v>
      </c>
      <c r="Q12" s="476" t="s">
        <v>613</v>
      </c>
      <c r="R12" s="476"/>
      <c r="S12" s="476"/>
      <c r="T12" s="476"/>
      <c r="U12" s="476"/>
      <c r="V12" s="476"/>
      <c r="W12" s="477">
        <f>(K29*L29)+(K30*L30)+(K31*L31)</f>
        <v>0</v>
      </c>
      <c r="X12" s="477"/>
    </row>
    <row r="13" spans="1:49" ht="28.9" customHeight="1" x14ac:dyDescent="0.3">
      <c r="C13" s="481" t="s">
        <v>585</v>
      </c>
      <c r="D13" s="481"/>
      <c r="E13" s="481"/>
      <c r="F13" s="481"/>
      <c r="G13" s="245">
        <v>4500</v>
      </c>
      <c r="I13" s="250" t="s">
        <v>601</v>
      </c>
      <c r="J13" s="251">
        <v>4</v>
      </c>
      <c r="K13" s="252" t="e">
        <f>'[5]N_RHREF '!#REF!</f>
        <v>#REF!</v>
      </c>
      <c r="Q13" s="476" t="s">
        <v>614</v>
      </c>
      <c r="R13" s="476"/>
      <c r="S13" s="476"/>
      <c r="T13" s="476"/>
      <c r="U13" s="476"/>
      <c r="V13" s="476"/>
      <c r="W13" s="477"/>
      <c r="X13" s="477"/>
    </row>
    <row r="14" spans="1:49" ht="28.9" customHeight="1" x14ac:dyDescent="0.3">
      <c r="C14" s="481" t="s">
        <v>586</v>
      </c>
      <c r="D14" s="481"/>
      <c r="E14" s="481"/>
      <c r="F14" s="481"/>
      <c r="G14" s="245">
        <v>37500</v>
      </c>
      <c r="J14" s="247"/>
      <c r="K14" s="248"/>
      <c r="M14" s="254" t="s">
        <v>607</v>
      </c>
      <c r="N14" s="111" t="s">
        <v>597</v>
      </c>
      <c r="O14" s="111" t="s">
        <v>598</v>
      </c>
      <c r="Q14" s="476" t="s">
        <v>615</v>
      </c>
      <c r="R14" s="476"/>
      <c r="S14" s="476"/>
      <c r="T14" s="476"/>
      <c r="U14" s="476"/>
      <c r="V14" s="476"/>
      <c r="W14" s="477"/>
      <c r="X14" s="477"/>
    </row>
    <row r="15" spans="1:49" ht="28.9" customHeight="1" x14ac:dyDescent="0.3">
      <c r="C15" s="481" t="s">
        <v>587</v>
      </c>
      <c r="D15" s="481"/>
      <c r="E15" s="481"/>
      <c r="F15" s="481"/>
      <c r="G15" s="245"/>
      <c r="I15" s="255" t="s">
        <v>602</v>
      </c>
      <c r="J15" s="255" t="s">
        <v>597</v>
      </c>
      <c r="K15" s="111" t="s">
        <v>598</v>
      </c>
      <c r="M15" s="250" t="s">
        <v>599</v>
      </c>
      <c r="N15" s="251"/>
      <c r="O15" s="252" t="e">
        <f>'[5]N_RHREF '!#REF!</f>
        <v>#REF!</v>
      </c>
    </row>
    <row r="16" spans="1:49" ht="28.9" customHeight="1" x14ac:dyDescent="0.3">
      <c r="C16" s="481" t="s">
        <v>588</v>
      </c>
      <c r="D16" s="481"/>
      <c r="E16" s="481"/>
      <c r="F16" s="481"/>
      <c r="G16" s="245"/>
      <c r="I16" s="256" t="s">
        <v>599</v>
      </c>
      <c r="J16" s="256"/>
      <c r="K16" s="257" t="e">
        <f>'[5]N_RHREF '!#REF!</f>
        <v>#REF!</v>
      </c>
      <c r="M16" s="250" t="s">
        <v>603</v>
      </c>
      <c r="N16" s="251"/>
      <c r="O16" s="252">
        <f>'[5]N_RHREF '!J1</f>
        <v>0</v>
      </c>
    </row>
    <row r="17" spans="3:15" ht="28.9" customHeight="1" x14ac:dyDescent="0.3">
      <c r="C17" s="481" t="s">
        <v>295</v>
      </c>
      <c r="D17" s="481"/>
      <c r="E17" s="481"/>
      <c r="F17" s="481"/>
      <c r="G17" s="245"/>
      <c r="I17" s="256" t="s">
        <v>603</v>
      </c>
      <c r="J17" s="256"/>
      <c r="K17" s="257" t="e">
        <f>'[5]N_RHREF '!#REF!</f>
        <v>#REF!</v>
      </c>
      <c r="M17" s="250" t="s">
        <v>601</v>
      </c>
      <c r="N17" s="251"/>
      <c r="O17" s="252">
        <f>'[5]N_RHREF '!J2</f>
        <v>0</v>
      </c>
    </row>
    <row r="18" spans="3:15" ht="28.9" customHeight="1" x14ac:dyDescent="0.3">
      <c r="C18" s="481" t="s">
        <v>589</v>
      </c>
      <c r="D18" s="481"/>
      <c r="E18" s="481"/>
      <c r="F18" s="481"/>
      <c r="G18" s="245">
        <v>130</v>
      </c>
      <c r="I18" s="256" t="s">
        <v>604</v>
      </c>
      <c r="J18" s="256"/>
      <c r="K18" s="257" t="e">
        <f>'[5]N_RHREF '!#REF!</f>
        <v>#REF!</v>
      </c>
    </row>
    <row r="19" spans="3:15" ht="28.9" customHeight="1" x14ac:dyDescent="0.3">
      <c r="C19" s="481" t="s">
        <v>590</v>
      </c>
      <c r="D19" s="481"/>
      <c r="E19" s="481"/>
      <c r="F19" s="481"/>
      <c r="G19" s="245">
        <v>45000</v>
      </c>
      <c r="J19" s="230"/>
      <c r="K19" s="249"/>
      <c r="M19" s="254" t="s">
        <v>608</v>
      </c>
      <c r="N19" s="111" t="s">
        <v>597</v>
      </c>
      <c r="O19" s="111" t="s">
        <v>598</v>
      </c>
    </row>
    <row r="20" spans="3:15" ht="28.9" customHeight="1" x14ac:dyDescent="0.3">
      <c r="C20" s="481" t="s">
        <v>591</v>
      </c>
      <c r="D20" s="481"/>
      <c r="E20" s="481"/>
      <c r="F20" s="481"/>
      <c r="G20" s="245"/>
      <c r="I20" s="255" t="s">
        <v>605</v>
      </c>
      <c r="J20" s="255" t="s">
        <v>597</v>
      </c>
      <c r="K20" s="111" t="s">
        <v>598</v>
      </c>
      <c r="M20" s="250" t="s">
        <v>599</v>
      </c>
      <c r="N20" s="251"/>
      <c r="O20" s="252">
        <f>'[5]N_RHREF '!J3</f>
        <v>0</v>
      </c>
    </row>
    <row r="21" spans="3:15" ht="28.9" customHeight="1" x14ac:dyDescent="0.3">
      <c r="C21" s="481" t="s">
        <v>592</v>
      </c>
      <c r="D21" s="481"/>
      <c r="E21" s="481"/>
      <c r="F21" s="481"/>
      <c r="G21" s="245"/>
      <c r="I21" s="256" t="s">
        <v>599</v>
      </c>
      <c r="J21" s="256"/>
      <c r="K21" s="257" t="e">
        <f>'[5]N_RHREF '!#REF!</f>
        <v>#REF!</v>
      </c>
      <c r="M21" s="250" t="s">
        <v>609</v>
      </c>
      <c r="N21" s="251"/>
      <c r="O21" s="252">
        <f>'[5]N_RHREF '!J4</f>
        <v>0</v>
      </c>
    </row>
    <row r="22" spans="3:15" ht="28.9" customHeight="1" x14ac:dyDescent="0.3">
      <c r="C22" s="481" t="s">
        <v>593</v>
      </c>
      <c r="D22" s="481"/>
      <c r="E22" s="481"/>
      <c r="F22" s="481"/>
      <c r="G22" s="245">
        <v>2500</v>
      </c>
      <c r="I22" s="256" t="s">
        <v>603</v>
      </c>
      <c r="J22" s="256"/>
      <c r="K22" s="257" t="e">
        <f>'[5]N_RHREF '!#REF!</f>
        <v>#REF!</v>
      </c>
      <c r="M22" s="250" t="s">
        <v>603</v>
      </c>
      <c r="N22" s="251"/>
      <c r="O22" s="252">
        <f>'[5]N_RHREF '!J5</f>
        <v>0</v>
      </c>
    </row>
    <row r="23" spans="3:15" ht="28.9" customHeight="1" x14ac:dyDescent="0.3">
      <c r="C23" s="481" t="s">
        <v>594</v>
      </c>
      <c r="D23" s="481"/>
      <c r="E23" s="481"/>
      <c r="F23" s="481"/>
      <c r="G23" s="245">
        <v>6000</v>
      </c>
      <c r="I23" s="256" t="s">
        <v>604</v>
      </c>
      <c r="J23" s="256"/>
      <c r="K23" s="257" t="e">
        <f>'[5]N_RHREF '!#REF!</f>
        <v>#REF!</v>
      </c>
      <c r="M23" s="256" t="s">
        <v>604</v>
      </c>
      <c r="N23" s="258"/>
      <c r="O23" s="259">
        <f>'[5]N_RHREF '!J6</f>
        <v>0</v>
      </c>
    </row>
    <row r="24" spans="3:15" ht="28.9" customHeight="1" x14ac:dyDescent="0.3">
      <c r="C24" s="481" t="s">
        <v>573</v>
      </c>
      <c r="D24" s="481"/>
      <c r="E24" s="481"/>
      <c r="F24" s="481"/>
      <c r="G24" s="245"/>
    </row>
    <row r="25" spans="3:15" ht="28.9" customHeight="1" x14ac:dyDescent="0.3">
      <c r="C25" s="481" t="s">
        <v>595</v>
      </c>
      <c r="D25" s="481"/>
      <c r="E25" s="481"/>
      <c r="F25" s="481"/>
      <c r="G25" s="245"/>
      <c r="M25" s="254" t="s">
        <v>610</v>
      </c>
      <c r="N25" s="111" t="s">
        <v>597</v>
      </c>
      <c r="O25" s="111" t="s">
        <v>598</v>
      </c>
    </row>
    <row r="26" spans="3:15" ht="28.9" customHeight="1" x14ac:dyDescent="0.3">
      <c r="M26" s="250" t="s">
        <v>599</v>
      </c>
      <c r="N26" s="251"/>
      <c r="O26" s="252">
        <f>'[5]N_RHREF '!J7</f>
        <v>0</v>
      </c>
    </row>
    <row r="27" spans="3:15" ht="28.9" customHeight="1" x14ac:dyDescent="0.3">
      <c r="M27" s="250" t="s">
        <v>609</v>
      </c>
      <c r="N27" s="251"/>
      <c r="O27" s="252">
        <f>'[5]N_RHREF '!J8</f>
        <v>0</v>
      </c>
    </row>
    <row r="28" spans="3:15" ht="28.9" customHeight="1" x14ac:dyDescent="0.3">
      <c r="M28" s="250" t="s">
        <v>601</v>
      </c>
      <c r="N28" s="251"/>
      <c r="O28" s="252">
        <f>'[5]N_RHREF '!J9</f>
        <v>2259.1999999999998</v>
      </c>
    </row>
    <row r="29" spans="3:15" ht="28.9" customHeight="1" x14ac:dyDescent="0.25"/>
    <row r="30" spans="3:15" ht="28.9" customHeight="1" x14ac:dyDescent="0.25"/>
    <row r="31" spans="3:15" ht="28.9" customHeight="1" x14ac:dyDescent="0.25"/>
    <row r="32" spans="3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5">
    <mergeCell ref="C19:F19"/>
    <mergeCell ref="C20:F20"/>
    <mergeCell ref="C11:F11"/>
    <mergeCell ref="C12:F12"/>
    <mergeCell ref="C13:F13"/>
    <mergeCell ref="C14:F14"/>
    <mergeCell ref="C10:G10"/>
    <mergeCell ref="C15:F15"/>
    <mergeCell ref="C16:F16"/>
    <mergeCell ref="C17:F17"/>
    <mergeCell ref="C18:F18"/>
    <mergeCell ref="C21:F21"/>
    <mergeCell ref="C22:F22"/>
    <mergeCell ref="C23:F23"/>
    <mergeCell ref="C24:F24"/>
    <mergeCell ref="C25:F25"/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81.7109375" bestFit="1" customWidth="1"/>
    <col min="11" max="11" width="22.42578125" customWidth="1"/>
    <col min="12" max="12" width="16.7109375" bestFit="1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>
      <c r="J10" s="254" t="s">
        <v>616</v>
      </c>
      <c r="K10" s="111" t="s">
        <v>617</v>
      </c>
      <c r="L10" s="111" t="s">
        <v>618</v>
      </c>
    </row>
    <row r="11" spans="1:49" ht="28.9" customHeight="1" x14ac:dyDescent="0.35">
      <c r="J11" s="256"/>
      <c r="K11" s="272"/>
      <c r="L11" s="273"/>
    </row>
    <row r="12" spans="1:49" ht="28.9" customHeight="1" x14ac:dyDescent="0.35">
      <c r="J12" s="274" t="s">
        <v>619</v>
      </c>
      <c r="K12" s="275"/>
      <c r="L12" s="276"/>
    </row>
    <row r="13" spans="1:49" ht="28.9" customHeight="1" x14ac:dyDescent="0.25">
      <c r="J13" s="261"/>
      <c r="K13" s="262"/>
      <c r="L13" s="263"/>
    </row>
    <row r="14" spans="1:49" ht="28.9" customHeight="1" x14ac:dyDescent="0.25">
      <c r="J14" s="264"/>
      <c r="K14" s="265"/>
      <c r="L14" s="266"/>
    </row>
    <row r="15" spans="1:49" ht="28.9" customHeight="1" x14ac:dyDescent="0.35">
      <c r="J15" s="277" t="s">
        <v>620</v>
      </c>
      <c r="K15" s="260"/>
      <c r="L15" s="244"/>
    </row>
    <row r="16" spans="1:49" ht="28.9" customHeight="1" x14ac:dyDescent="0.35">
      <c r="J16" s="277" t="s">
        <v>621</v>
      </c>
      <c r="K16" s="260"/>
      <c r="L16" s="244"/>
    </row>
    <row r="17" spans="10:12" ht="28.9" customHeight="1" x14ac:dyDescent="0.35">
      <c r="J17" s="278" t="s">
        <v>622</v>
      </c>
      <c r="K17" s="267"/>
      <c r="L17" s="268"/>
    </row>
    <row r="18" spans="10:12" ht="28.9" customHeight="1" x14ac:dyDescent="0.25">
      <c r="J18" s="269"/>
      <c r="K18" s="270"/>
      <c r="L18" s="271"/>
    </row>
    <row r="19" spans="10:12" ht="28.9" customHeight="1" x14ac:dyDescent="0.25">
      <c r="J19" s="486" t="s">
        <v>623</v>
      </c>
      <c r="K19" s="487"/>
      <c r="L19" s="488"/>
    </row>
    <row r="20" spans="10:12" ht="28.9" customHeight="1" x14ac:dyDescent="0.3">
      <c r="J20" s="256" t="s">
        <v>624</v>
      </c>
      <c r="K20" s="272">
        <f>[5]N_CUSTOFIXOEVARIAVEL!Q20</f>
        <v>0</v>
      </c>
      <c r="L20" s="272"/>
    </row>
    <row r="21" spans="10:12" ht="28.9" customHeight="1" x14ac:dyDescent="0.3">
      <c r="J21" s="256" t="s">
        <v>625</v>
      </c>
      <c r="K21" s="272">
        <f>[5]N_CUSTOFIXOEVARIAVEL!Q21</f>
        <v>0</v>
      </c>
      <c r="L21" s="272"/>
    </row>
    <row r="22" spans="10:12" ht="28.9" customHeight="1" x14ac:dyDescent="0.35">
      <c r="J22" s="256" t="s">
        <v>586</v>
      </c>
      <c r="K22" s="272">
        <f>[5]N_CUSTOFIXOEVARIAVEL!Q22</f>
        <v>0</v>
      </c>
      <c r="L22" s="273"/>
    </row>
    <row r="23" spans="10:12" ht="28.9" customHeight="1" x14ac:dyDescent="0.35">
      <c r="J23" s="256" t="s">
        <v>626</v>
      </c>
      <c r="K23" s="272"/>
      <c r="L23" s="273"/>
    </row>
    <row r="24" spans="10:12" ht="28.9" customHeight="1" x14ac:dyDescent="0.35">
      <c r="J24" s="256" t="s">
        <v>627</v>
      </c>
      <c r="K24" s="272"/>
      <c r="L24" s="273"/>
    </row>
    <row r="25" spans="10:12" ht="28.9" customHeight="1" x14ac:dyDescent="0.3">
      <c r="J25" s="256" t="s">
        <v>628</v>
      </c>
      <c r="K25" s="272"/>
      <c r="L25" s="272"/>
    </row>
    <row r="26" spans="10:12" ht="28.9" customHeight="1" x14ac:dyDescent="0.3">
      <c r="J26" s="256" t="s">
        <v>629</v>
      </c>
      <c r="K26" s="279">
        <f>[5]N_CUSTOFIXOEVARIAVEL!Q26</f>
        <v>0</v>
      </c>
      <c r="L26" s="272"/>
    </row>
    <row r="27" spans="10:12" ht="28.9" customHeight="1" x14ac:dyDescent="0.3">
      <c r="J27" s="256" t="s">
        <v>630</v>
      </c>
      <c r="K27" s="272">
        <f>[5]N_CUSTOFIXOEVARIAVEL!Q27</f>
        <v>0</v>
      </c>
      <c r="L27" s="272"/>
    </row>
    <row r="28" spans="10:12" ht="28.9" customHeight="1" x14ac:dyDescent="0.3">
      <c r="J28" s="256" t="s">
        <v>631</v>
      </c>
      <c r="K28" s="272"/>
      <c r="L28" s="272"/>
    </row>
    <row r="29" spans="10:12" ht="28.9" customHeight="1" x14ac:dyDescent="0.3">
      <c r="J29" s="256" t="s">
        <v>632</v>
      </c>
      <c r="K29" s="272"/>
      <c r="L29" s="272"/>
    </row>
    <row r="30" spans="10:12" ht="28.9" customHeight="1" x14ac:dyDescent="0.3">
      <c r="J30" s="256" t="s">
        <v>633</v>
      </c>
      <c r="K30" s="272">
        <f>[5]N_CUSTOFIXOEVARIAVEL!Q30</f>
        <v>0</v>
      </c>
      <c r="L30" s="272"/>
    </row>
    <row r="31" spans="10:12" ht="28.9" customHeight="1" x14ac:dyDescent="0.3">
      <c r="J31" s="256" t="s">
        <v>634</v>
      </c>
      <c r="K31" s="272">
        <f>[5]N_CUSTOFIXOEVARIAVEL!Q31</f>
        <v>0</v>
      </c>
      <c r="L31" s="272"/>
    </row>
    <row r="32" spans="10:12" ht="28.9" customHeight="1" x14ac:dyDescent="0.3">
      <c r="J32" s="256" t="s">
        <v>635</v>
      </c>
      <c r="K32" s="272"/>
      <c r="L32" s="272"/>
    </row>
    <row r="33" spans="10:12" ht="28.9" customHeight="1" x14ac:dyDescent="0.3">
      <c r="J33" s="256" t="s">
        <v>636</v>
      </c>
      <c r="K33" s="272"/>
      <c r="L33" s="272"/>
    </row>
    <row r="34" spans="10:12" ht="28.9" customHeight="1" x14ac:dyDescent="0.3">
      <c r="J34" s="256" t="s">
        <v>637</v>
      </c>
      <c r="K34" s="272"/>
      <c r="L34" s="272"/>
    </row>
    <row r="35" spans="10:12" ht="28.9" customHeight="1" x14ac:dyDescent="0.3">
      <c r="J35" s="256" t="s">
        <v>638</v>
      </c>
      <c r="K35" s="272"/>
      <c r="L35" s="272"/>
    </row>
    <row r="36" spans="10:12" ht="28.9" customHeight="1" x14ac:dyDescent="0.3">
      <c r="J36" s="256" t="s">
        <v>639</v>
      </c>
      <c r="K36" s="272"/>
      <c r="L36" s="272"/>
    </row>
    <row r="37" spans="10:12" ht="28.9" customHeight="1" x14ac:dyDescent="0.3">
      <c r="J37" s="256" t="s">
        <v>640</v>
      </c>
      <c r="K37" s="272"/>
      <c r="L37" s="272"/>
    </row>
    <row r="38" spans="10:12" ht="28.9" customHeight="1" x14ac:dyDescent="0.3">
      <c r="J38" s="256" t="s">
        <v>641</v>
      </c>
      <c r="K38" s="272"/>
      <c r="L38" s="272"/>
    </row>
    <row r="39" spans="10:12" ht="28.9" customHeight="1" x14ac:dyDescent="0.3">
      <c r="J39" s="256" t="s">
        <v>642</v>
      </c>
      <c r="K39" s="272"/>
      <c r="L39" s="272"/>
    </row>
    <row r="40" spans="10:12" ht="28.9" customHeight="1" x14ac:dyDescent="0.25"/>
    <row r="41" spans="10:12" ht="28.9" customHeight="1" x14ac:dyDescent="0.25"/>
    <row r="42" spans="10:12" ht="28.9" customHeight="1" x14ac:dyDescent="0.25"/>
    <row r="43" spans="10:12" ht="28.9" customHeight="1" x14ac:dyDescent="0.25"/>
    <row r="44" spans="10:12" ht="28.9" customHeight="1" x14ac:dyDescent="0.25"/>
    <row r="45" spans="10:12" ht="28.9" customHeight="1" x14ac:dyDescent="0.25"/>
    <row r="46" spans="10:12" ht="28.9" customHeight="1" x14ac:dyDescent="0.25"/>
    <row r="47" spans="10:12" ht="28.9" customHeight="1" x14ac:dyDescent="0.25"/>
    <row r="48" spans="10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32.28515625" bestFit="1" customWidth="1"/>
    <col min="9" max="9" width="22.85546875" bestFit="1" customWidth="1"/>
    <col min="10" max="10" width="49.5703125" customWidth="1"/>
    <col min="11" max="11" width="22.42578125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</row>
    <row r="5" spans="1:4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</row>
    <row r="6" spans="1:4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</row>
    <row r="7" spans="1:4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H11" s="254" t="s">
        <v>9</v>
      </c>
      <c r="I11" s="111" t="s">
        <v>597</v>
      </c>
      <c r="J11" s="255" t="s">
        <v>643</v>
      </c>
      <c r="K11" s="281"/>
      <c r="L11" s="254" t="s">
        <v>11</v>
      </c>
      <c r="M11" s="111" t="s">
        <v>597</v>
      </c>
      <c r="N11" s="255" t="s">
        <v>643</v>
      </c>
    </row>
    <row r="12" spans="1:47" ht="28.9" customHeight="1" x14ac:dyDescent="0.35">
      <c r="H12" s="256" t="s">
        <v>3</v>
      </c>
      <c r="I12" s="282">
        <f>[5]N_PRODREQ!N31</f>
        <v>0</v>
      </c>
      <c r="J12" s="272"/>
      <c r="L12" s="256" t="s">
        <v>3</v>
      </c>
      <c r="M12" s="282"/>
      <c r="N12" s="272"/>
    </row>
    <row r="13" spans="1:47" ht="28.9" customHeight="1" x14ac:dyDescent="0.35">
      <c r="H13" s="256" t="s">
        <v>4</v>
      </c>
      <c r="I13" s="282">
        <f>[5]N_PRODREQ!N33</f>
        <v>0</v>
      </c>
      <c r="J13" s="272"/>
      <c r="L13" s="256" t="s">
        <v>4</v>
      </c>
      <c r="M13" s="282"/>
      <c r="N13" s="272"/>
    </row>
    <row r="14" spans="1:47" ht="28.9" customHeight="1" x14ac:dyDescent="0.35">
      <c r="H14" s="256" t="s">
        <v>644</v>
      </c>
      <c r="I14" s="282">
        <f>[5]N_PRODREQ!N35</f>
        <v>0</v>
      </c>
      <c r="J14" s="273"/>
      <c r="L14" s="256" t="s">
        <v>644</v>
      </c>
      <c r="M14" s="282"/>
      <c r="N14" s="273"/>
    </row>
    <row r="15" spans="1:47" ht="28.9" customHeight="1" x14ac:dyDescent="0.35">
      <c r="H15" s="256" t="s">
        <v>645</v>
      </c>
      <c r="I15" s="282">
        <f>[5]N_PRODREQ!N37</f>
        <v>0</v>
      </c>
      <c r="J15" s="273"/>
      <c r="L15" s="256" t="s">
        <v>645</v>
      </c>
      <c r="M15" s="282"/>
      <c r="N15" s="273"/>
    </row>
    <row r="16" spans="1:47" ht="28.9" customHeight="1" x14ac:dyDescent="0.35">
      <c r="H16" s="256" t="s">
        <v>646</v>
      </c>
      <c r="I16" s="282">
        <f>[5]N_PRODREQ!N39</f>
        <v>0</v>
      </c>
      <c r="J16" s="273"/>
      <c r="L16" s="256" t="s">
        <v>646</v>
      </c>
      <c r="M16" s="282"/>
      <c r="N16" s="273"/>
    </row>
    <row r="17" spans="8:14" ht="28.9" customHeight="1" x14ac:dyDescent="0.25"/>
    <row r="18" spans="8:14" ht="28.9" customHeight="1" x14ac:dyDescent="0.25"/>
    <row r="19" spans="8:14" ht="28.9" customHeight="1" x14ac:dyDescent="0.25">
      <c r="H19" s="254" t="s">
        <v>647</v>
      </c>
      <c r="I19" s="111" t="s">
        <v>597</v>
      </c>
      <c r="J19" s="255" t="s">
        <v>643</v>
      </c>
      <c r="K19" s="281"/>
      <c r="L19" s="254" t="s">
        <v>10</v>
      </c>
      <c r="M19" s="111" t="s">
        <v>597</v>
      </c>
      <c r="N19" s="255" t="s">
        <v>643</v>
      </c>
    </row>
    <row r="20" spans="8:14" ht="28.9" customHeight="1" x14ac:dyDescent="0.35">
      <c r="H20" s="256" t="s">
        <v>3</v>
      </c>
      <c r="I20" s="282"/>
      <c r="J20" s="272"/>
      <c r="L20" s="256" t="s">
        <v>3</v>
      </c>
      <c r="M20" s="282"/>
      <c r="N20" s="272"/>
    </row>
    <row r="21" spans="8:14" ht="28.9" customHeight="1" x14ac:dyDescent="0.35">
      <c r="H21" s="256" t="s">
        <v>4</v>
      </c>
      <c r="I21" s="282"/>
      <c r="J21" s="272"/>
      <c r="L21" s="256" t="s">
        <v>4</v>
      </c>
      <c r="M21" s="282"/>
      <c r="N21" s="272"/>
    </row>
    <row r="22" spans="8:14" ht="28.9" customHeight="1" x14ac:dyDescent="0.35">
      <c r="H22" s="256" t="s">
        <v>644</v>
      </c>
      <c r="I22" s="282"/>
      <c r="J22" s="273"/>
      <c r="L22" s="256" t="s">
        <v>644</v>
      </c>
      <c r="M22" s="282"/>
      <c r="N22" s="273"/>
    </row>
    <row r="23" spans="8:14" ht="28.9" customHeight="1" x14ac:dyDescent="0.35">
      <c r="H23" s="256" t="s">
        <v>645</v>
      </c>
      <c r="I23" s="282"/>
      <c r="J23" s="273"/>
      <c r="L23" s="256" t="s">
        <v>645</v>
      </c>
      <c r="M23" s="282"/>
      <c r="N23" s="273"/>
    </row>
    <row r="24" spans="8:14" ht="28.9" customHeight="1" x14ac:dyDescent="0.35">
      <c r="H24" s="256" t="s">
        <v>646</v>
      </c>
      <c r="I24" s="282"/>
      <c r="J24" s="273"/>
      <c r="L24" s="256" t="s">
        <v>646</v>
      </c>
      <c r="M24" s="282"/>
      <c r="N24" s="273"/>
    </row>
    <row r="25" spans="8:14" ht="28.9" customHeight="1" x14ac:dyDescent="0.25"/>
    <row r="26" spans="8:14" ht="28.9" customHeight="1" x14ac:dyDescent="0.25"/>
    <row r="27" spans="8:14" ht="28.9" customHeight="1" x14ac:dyDescent="0.25"/>
    <row r="28" spans="8:14" ht="28.9" customHeight="1" x14ac:dyDescent="0.25"/>
    <row r="29" spans="8:14" ht="28.9" customHeight="1" x14ac:dyDescent="0.25"/>
    <row r="30" spans="8:14" ht="28.9" customHeight="1" x14ac:dyDescent="0.25"/>
    <row r="31" spans="8:14" ht="28.9" customHeight="1" x14ac:dyDescent="0.25"/>
    <row r="32" spans="8:1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2" t="s">
        <v>579</v>
      </c>
      <c r="I12" s="463"/>
      <c r="J12" s="463"/>
      <c r="K12" s="463"/>
      <c r="L12" s="463"/>
      <c r="M12" s="464"/>
    </row>
    <row r="13" spans="1:49" ht="28.9" customHeight="1" x14ac:dyDescent="0.25">
      <c r="G13" t="s">
        <v>655</v>
      </c>
      <c r="H13" s="468"/>
      <c r="I13" s="469"/>
      <c r="J13" s="469"/>
      <c r="K13" s="469"/>
      <c r="L13" s="469"/>
      <c r="M13" s="470"/>
    </row>
    <row r="14" spans="1:49" ht="28.9" customHeight="1" x14ac:dyDescent="0.25">
      <c r="H14" s="78"/>
      <c r="I14" s="231"/>
      <c r="J14" s="231"/>
      <c r="K14" s="231"/>
      <c r="L14" s="231"/>
      <c r="M14" s="79"/>
    </row>
    <row r="15" spans="1:49" ht="28.9" customHeight="1" x14ac:dyDescent="0.35">
      <c r="H15" s="80"/>
      <c r="I15" s="328" t="s">
        <v>373</v>
      </c>
      <c r="J15" s="232"/>
      <c r="K15" s="232"/>
      <c r="L15" s="329"/>
      <c r="M15" s="81"/>
    </row>
    <row r="16" spans="1:49" ht="28.9" customHeight="1" x14ac:dyDescent="0.35">
      <c r="H16" s="80"/>
      <c r="I16" s="330"/>
      <c r="J16" s="232"/>
      <c r="K16" s="232"/>
      <c r="L16" s="233"/>
      <c r="M16" s="81"/>
    </row>
    <row r="17" spans="8:13" ht="28.9" customHeight="1" x14ac:dyDescent="0.35">
      <c r="H17" s="82"/>
      <c r="I17" s="331" t="s">
        <v>375</v>
      </c>
      <c r="J17" s="234"/>
      <c r="K17" s="235"/>
      <c r="L17" s="332"/>
      <c r="M17" s="83"/>
    </row>
    <row r="18" spans="8:13" ht="28.9" customHeight="1" x14ac:dyDescent="0.3">
      <c r="H18" s="82"/>
      <c r="I18" s="331"/>
      <c r="J18" s="234"/>
      <c r="K18" s="235"/>
      <c r="L18" s="235"/>
      <c r="M18" s="83"/>
    </row>
    <row r="19" spans="8:13" ht="28.9" customHeight="1" x14ac:dyDescent="0.35">
      <c r="H19" s="82"/>
      <c r="I19" s="331" t="s">
        <v>362</v>
      </c>
      <c r="J19" s="234"/>
      <c r="K19" s="235"/>
      <c r="L19" s="332"/>
      <c r="M19" s="83"/>
    </row>
    <row r="20" spans="8:13" ht="28.9" customHeight="1" x14ac:dyDescent="0.3">
      <c r="H20" s="82"/>
      <c r="I20" s="333"/>
      <c r="J20" s="235"/>
      <c r="K20" s="235"/>
      <c r="L20" s="235"/>
      <c r="M20" s="83"/>
    </row>
    <row r="21" spans="8:13" ht="28.9" customHeight="1" x14ac:dyDescent="0.35">
      <c r="H21" s="82"/>
      <c r="I21" s="331" t="s">
        <v>36</v>
      </c>
      <c r="J21" s="235"/>
      <c r="K21" s="235"/>
      <c r="L21" s="334"/>
      <c r="M21" s="83"/>
    </row>
    <row r="22" spans="8:13" ht="28.9" customHeight="1" x14ac:dyDescent="0.3">
      <c r="H22" s="82"/>
      <c r="I22" s="333"/>
      <c r="J22" s="235"/>
      <c r="K22" s="235"/>
      <c r="L22" s="235"/>
      <c r="M22" s="83"/>
    </row>
    <row r="23" spans="8:13" ht="28.9" customHeight="1" x14ac:dyDescent="0.35">
      <c r="H23" s="82"/>
      <c r="I23" s="331" t="s">
        <v>35</v>
      </c>
      <c r="J23" s="235"/>
      <c r="K23" s="235"/>
      <c r="L23" s="332"/>
      <c r="M23" s="83"/>
    </row>
    <row r="24" spans="8:13" ht="28.9" customHeight="1" x14ac:dyDescent="0.3">
      <c r="H24" s="82"/>
      <c r="I24" s="333"/>
      <c r="J24" s="235"/>
      <c r="K24" s="235"/>
      <c r="L24" s="235"/>
      <c r="M24" s="83"/>
    </row>
    <row r="25" spans="8:13" ht="28.9" customHeight="1" x14ac:dyDescent="0.35">
      <c r="H25" s="82"/>
      <c r="I25" s="331" t="s">
        <v>380</v>
      </c>
      <c r="J25" s="235"/>
      <c r="K25" s="235"/>
      <c r="L25" s="332"/>
      <c r="M25" s="83"/>
    </row>
    <row r="26" spans="8:13" ht="28.9" customHeight="1" x14ac:dyDescent="0.3">
      <c r="H26" s="82"/>
      <c r="I26" s="333"/>
      <c r="J26" s="235"/>
      <c r="K26" s="236"/>
      <c r="L26" s="236"/>
      <c r="M26" s="84"/>
    </row>
    <row r="27" spans="8:13" ht="28.9" customHeight="1" x14ac:dyDescent="0.35">
      <c r="H27" s="82"/>
      <c r="I27" s="331" t="s">
        <v>382</v>
      </c>
      <c r="J27" s="235"/>
      <c r="K27" s="236"/>
      <c r="L27" s="335"/>
      <c r="M27" s="84"/>
    </row>
    <row r="28" spans="8:13" ht="28.9" customHeight="1" x14ac:dyDescent="0.35">
      <c r="H28" s="80"/>
      <c r="I28" s="330"/>
      <c r="J28" s="232"/>
      <c r="K28" s="232"/>
      <c r="L28" s="233"/>
      <c r="M28" s="81"/>
    </row>
    <row r="29" spans="8:13" ht="28.9" customHeight="1" x14ac:dyDescent="0.35">
      <c r="H29" s="82"/>
      <c r="I29" s="331" t="s">
        <v>384</v>
      </c>
      <c r="J29" s="235"/>
      <c r="K29" s="236"/>
      <c r="L29" s="335"/>
      <c r="M29" s="84"/>
    </row>
    <row r="30" spans="8:13" ht="28.9" customHeight="1" x14ac:dyDescent="0.3">
      <c r="H30" s="82"/>
      <c r="I30" s="333"/>
      <c r="J30" s="235"/>
      <c r="K30" s="236"/>
      <c r="L30" s="236"/>
      <c r="M30" s="84"/>
    </row>
    <row r="31" spans="8:13" ht="28.9" customHeight="1" x14ac:dyDescent="0.35">
      <c r="H31" s="82"/>
      <c r="I31" s="331" t="s">
        <v>386</v>
      </c>
      <c r="J31" s="235"/>
      <c r="K31" s="236"/>
      <c r="L31" s="336"/>
      <c r="M31" s="84"/>
    </row>
    <row r="32" spans="8:13" ht="28.9" customHeight="1" x14ac:dyDescent="0.25">
      <c r="H32" s="82"/>
      <c r="I32" s="235"/>
      <c r="J32" s="235"/>
      <c r="K32" s="236"/>
      <c r="L32" s="236"/>
      <c r="M32" s="84"/>
    </row>
    <row r="33" spans="8:13" ht="28.9" customHeight="1" x14ac:dyDescent="0.25">
      <c r="H33" s="82"/>
      <c r="I33" s="235"/>
      <c r="J33" s="235"/>
      <c r="K33" s="236"/>
      <c r="L33" s="236"/>
      <c r="M33" s="84"/>
    </row>
    <row r="34" spans="8:13" ht="28.9" customHeight="1" x14ac:dyDescent="0.25">
      <c r="H34" s="82"/>
      <c r="I34" s="235"/>
      <c r="J34" s="235"/>
      <c r="K34" s="236"/>
      <c r="L34" s="236" t="s">
        <v>655</v>
      </c>
      <c r="M34" s="84"/>
    </row>
    <row r="35" spans="8:13" ht="28.9" customHeight="1" x14ac:dyDescent="0.25">
      <c r="H35" s="82"/>
      <c r="I35" s="235"/>
      <c r="J35" s="235"/>
      <c r="K35" s="236"/>
      <c r="L35" s="236"/>
      <c r="M35" s="84"/>
    </row>
    <row r="36" spans="8:13" ht="28.9" customHeight="1" thickBot="1" x14ac:dyDescent="0.3">
      <c r="H36" s="85"/>
      <c r="I36" s="86"/>
      <c r="J36" s="86"/>
      <c r="K36" s="87"/>
      <c r="L36" s="87"/>
      <c r="M36" s="88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50.5703125" bestFit="1" customWidth="1"/>
    <col min="9" max="9" width="38.7109375" bestFit="1" customWidth="1"/>
    <col min="10" max="10" width="70.5703125" bestFit="1" customWidth="1"/>
    <col min="11" max="11" width="28.7109375" bestFit="1" customWidth="1"/>
    <col min="12" max="12" width="63.42578125" bestFit="1" customWidth="1"/>
    <col min="13" max="13" width="34.28515625" customWidth="1"/>
    <col min="14" max="14" width="28.5703125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>
      <c r="G12" s="337" t="s">
        <v>220</v>
      </c>
      <c r="H12" s="337" t="s">
        <v>656</v>
      </c>
      <c r="I12" s="337" t="s">
        <v>362</v>
      </c>
      <c r="J12" s="337" t="s">
        <v>294</v>
      </c>
      <c r="K12" s="337" t="s">
        <v>407</v>
      </c>
      <c r="L12" s="337" t="s">
        <v>293</v>
      </c>
      <c r="M12" s="337" t="s">
        <v>657</v>
      </c>
      <c r="N12" s="337" t="s">
        <v>282</v>
      </c>
      <c r="O12" s="337" t="s">
        <v>658</v>
      </c>
    </row>
    <row r="13" spans="1:49" ht="28.9" customHeight="1" x14ac:dyDescent="0.25">
      <c r="G13" s="338" t="s">
        <v>659</v>
      </c>
      <c r="H13" s="338" t="s">
        <v>660</v>
      </c>
      <c r="I13" s="338" t="s">
        <v>661</v>
      </c>
      <c r="J13" s="338" t="s">
        <v>662</v>
      </c>
      <c r="K13" s="338" t="s">
        <v>663</v>
      </c>
      <c r="L13" s="338" t="s">
        <v>664</v>
      </c>
      <c r="M13" s="338" t="s">
        <v>665</v>
      </c>
      <c r="N13" s="338" t="s">
        <v>666</v>
      </c>
      <c r="O13" s="339">
        <v>2.5</v>
      </c>
    </row>
    <row r="14" spans="1:49" ht="28.9" customHeight="1" x14ac:dyDescent="0.25">
      <c r="G14" s="338" t="s">
        <v>667</v>
      </c>
      <c r="H14" s="340" t="s">
        <v>668</v>
      </c>
      <c r="I14" s="340" t="s">
        <v>669</v>
      </c>
      <c r="J14" s="340" t="s">
        <v>670</v>
      </c>
      <c r="K14" s="340" t="s">
        <v>671</v>
      </c>
      <c r="L14" s="340" t="s">
        <v>672</v>
      </c>
      <c r="M14" s="340" t="s">
        <v>665</v>
      </c>
      <c r="N14" s="340" t="s">
        <v>666</v>
      </c>
      <c r="O14" s="341">
        <v>2.5</v>
      </c>
    </row>
    <row r="15" spans="1:49" ht="28.9" customHeight="1" x14ac:dyDescent="0.25">
      <c r="G15" s="338" t="s">
        <v>673</v>
      </c>
      <c r="H15" s="340" t="s">
        <v>674</v>
      </c>
      <c r="I15" s="340" t="s">
        <v>675</v>
      </c>
      <c r="J15" s="340" t="s">
        <v>676</v>
      </c>
      <c r="K15" s="340" t="s">
        <v>677</v>
      </c>
      <c r="L15" s="340" t="s">
        <v>678</v>
      </c>
      <c r="M15" s="340" t="s">
        <v>383</v>
      </c>
      <c r="N15" s="340" t="s">
        <v>679</v>
      </c>
      <c r="O15" s="341">
        <v>3.85</v>
      </c>
    </row>
    <row r="16" spans="1:49" ht="28.9" customHeight="1" x14ac:dyDescent="0.25">
      <c r="G16" s="338" t="s">
        <v>680</v>
      </c>
      <c r="H16" s="340" t="s">
        <v>681</v>
      </c>
      <c r="I16" s="340" t="s">
        <v>682</v>
      </c>
      <c r="J16" s="340" t="s">
        <v>683</v>
      </c>
      <c r="K16" s="340" t="s">
        <v>684</v>
      </c>
      <c r="L16" s="340" t="s">
        <v>685</v>
      </c>
      <c r="M16" s="340" t="s">
        <v>383</v>
      </c>
      <c r="N16" s="340" t="s">
        <v>666</v>
      </c>
      <c r="O16" s="341">
        <v>2.5</v>
      </c>
    </row>
    <row r="17" spans="6:15" ht="28.9" customHeight="1" x14ac:dyDescent="0.25">
      <c r="G17" s="338" t="s">
        <v>686</v>
      </c>
      <c r="H17" s="338" t="s">
        <v>687</v>
      </c>
      <c r="I17" s="338" t="s">
        <v>688</v>
      </c>
      <c r="J17" s="338" t="s">
        <v>689</v>
      </c>
      <c r="K17" s="338" t="s">
        <v>690</v>
      </c>
      <c r="L17" s="338" t="s">
        <v>691</v>
      </c>
      <c r="M17" s="338" t="s">
        <v>665</v>
      </c>
      <c r="N17" s="338" t="s">
        <v>679</v>
      </c>
      <c r="O17" s="339">
        <v>3.25</v>
      </c>
    </row>
    <row r="18" spans="6:15" ht="28.9" customHeight="1" x14ac:dyDescent="0.25">
      <c r="G18" s="338" t="s">
        <v>692</v>
      </c>
      <c r="H18" s="340" t="s">
        <v>693</v>
      </c>
      <c r="I18" s="340" t="s">
        <v>694</v>
      </c>
      <c r="J18" s="340" t="s">
        <v>695</v>
      </c>
      <c r="K18" s="340" t="s">
        <v>696</v>
      </c>
      <c r="L18" s="340" t="s">
        <v>697</v>
      </c>
      <c r="M18" s="342" t="s">
        <v>665</v>
      </c>
      <c r="N18" s="342" t="s">
        <v>679</v>
      </c>
      <c r="O18" s="343">
        <v>2.75</v>
      </c>
    </row>
    <row r="19" spans="6:15" ht="28.9" customHeight="1" x14ac:dyDescent="0.25">
      <c r="G19" s="338" t="s">
        <v>374</v>
      </c>
      <c r="H19" s="338" t="s">
        <v>376</v>
      </c>
      <c r="I19" s="338" t="s">
        <v>377</v>
      </c>
      <c r="J19" s="338" t="s">
        <v>378</v>
      </c>
      <c r="K19" s="338" t="s">
        <v>379</v>
      </c>
      <c r="L19" s="338" t="s">
        <v>381</v>
      </c>
      <c r="M19" s="338" t="s">
        <v>383</v>
      </c>
      <c r="N19" s="338" t="s">
        <v>679</v>
      </c>
      <c r="O19" s="339">
        <v>2.5</v>
      </c>
    </row>
    <row r="20" spans="6:15" ht="28.9" customHeight="1" x14ac:dyDescent="0.25">
      <c r="G20" s="338" t="s">
        <v>698</v>
      </c>
      <c r="H20" s="340" t="s">
        <v>699</v>
      </c>
      <c r="I20" s="340" t="s">
        <v>700</v>
      </c>
      <c r="J20" s="340" t="s">
        <v>701</v>
      </c>
      <c r="K20" s="340" t="s">
        <v>702</v>
      </c>
      <c r="L20" s="340" t="s">
        <v>703</v>
      </c>
      <c r="M20" s="340" t="s">
        <v>383</v>
      </c>
      <c r="N20" s="340" t="s">
        <v>385</v>
      </c>
      <c r="O20" s="341">
        <v>4.3</v>
      </c>
    </row>
    <row r="21" spans="6:15" ht="28.9" customHeight="1" x14ac:dyDescent="0.25">
      <c r="G21" s="338" t="s">
        <v>374</v>
      </c>
      <c r="H21" s="338" t="s">
        <v>376</v>
      </c>
      <c r="I21" s="338" t="s">
        <v>377</v>
      </c>
      <c r="J21" s="338" t="s">
        <v>378</v>
      </c>
      <c r="K21" s="338" t="s">
        <v>379</v>
      </c>
      <c r="L21" s="338" t="s">
        <v>381</v>
      </c>
      <c r="M21" s="338" t="s">
        <v>383</v>
      </c>
      <c r="N21" s="338" t="s">
        <v>385</v>
      </c>
      <c r="O21" s="339">
        <v>4.5</v>
      </c>
    </row>
    <row r="22" spans="6:15" ht="28.9" customHeight="1" x14ac:dyDescent="0.25">
      <c r="G22" s="338" t="s">
        <v>704</v>
      </c>
      <c r="H22" s="340" t="s">
        <v>705</v>
      </c>
      <c r="I22" s="340" t="s">
        <v>706</v>
      </c>
      <c r="J22" s="340" t="s">
        <v>707</v>
      </c>
      <c r="K22" s="340" t="s">
        <v>708</v>
      </c>
      <c r="L22" s="340" t="s">
        <v>709</v>
      </c>
      <c r="M22" s="340" t="s">
        <v>665</v>
      </c>
      <c r="N22" s="340" t="s">
        <v>385</v>
      </c>
      <c r="O22" s="341">
        <v>5</v>
      </c>
    </row>
    <row r="23" spans="6:15" ht="28.9" customHeight="1" x14ac:dyDescent="0.25">
      <c r="G23" s="338" t="s">
        <v>710</v>
      </c>
      <c r="H23" s="340" t="s">
        <v>711</v>
      </c>
      <c r="I23" s="340" t="s">
        <v>712</v>
      </c>
      <c r="J23" s="340" t="s">
        <v>713</v>
      </c>
      <c r="K23" s="340" t="s">
        <v>714</v>
      </c>
      <c r="L23" s="340" t="s">
        <v>715</v>
      </c>
      <c r="M23" s="340" t="s">
        <v>383</v>
      </c>
      <c r="N23" s="340" t="s">
        <v>716</v>
      </c>
      <c r="O23" s="341">
        <v>11.5</v>
      </c>
    </row>
    <row r="24" spans="6:15" ht="28.9" customHeight="1" x14ac:dyDescent="0.25">
      <c r="G24" s="338" t="s">
        <v>717</v>
      </c>
      <c r="H24" s="340" t="s">
        <v>718</v>
      </c>
      <c r="I24" s="340" t="s">
        <v>719</v>
      </c>
      <c r="J24" s="340" t="s">
        <v>720</v>
      </c>
      <c r="K24" s="340" t="s">
        <v>721</v>
      </c>
      <c r="L24" s="340" t="s">
        <v>722</v>
      </c>
      <c r="M24" s="340" t="s">
        <v>665</v>
      </c>
      <c r="N24" s="340" t="s">
        <v>716</v>
      </c>
      <c r="O24" s="341">
        <v>11.75</v>
      </c>
    </row>
    <row r="25" spans="6:15" ht="28.9" customHeight="1" x14ac:dyDescent="0.25">
      <c r="F25" t="s">
        <v>743</v>
      </c>
      <c r="G25" s="338" t="s">
        <v>723</v>
      </c>
      <c r="H25" s="338" t="s">
        <v>724</v>
      </c>
      <c r="I25" s="338" t="s">
        <v>725</v>
      </c>
      <c r="J25" s="338" t="s">
        <v>726</v>
      </c>
      <c r="K25" s="338" t="s">
        <v>727</v>
      </c>
      <c r="L25" s="338" t="s">
        <v>728</v>
      </c>
      <c r="M25" s="338" t="s">
        <v>383</v>
      </c>
      <c r="N25" s="338" t="s">
        <v>716</v>
      </c>
      <c r="O25" s="339">
        <v>12</v>
      </c>
    </row>
    <row r="26" spans="6:15" ht="28.9" customHeight="1" x14ac:dyDescent="0.25">
      <c r="G26" s="338" t="s">
        <v>729</v>
      </c>
      <c r="H26" s="340" t="s">
        <v>730</v>
      </c>
      <c r="I26" s="340" t="s">
        <v>731</v>
      </c>
      <c r="J26" s="340" t="s">
        <v>732</v>
      </c>
      <c r="K26" s="340" t="s">
        <v>733</v>
      </c>
      <c r="L26" s="340" t="s">
        <v>734</v>
      </c>
      <c r="M26" s="340" t="s">
        <v>665</v>
      </c>
      <c r="N26" s="340" t="s">
        <v>735</v>
      </c>
      <c r="O26" s="341">
        <v>17</v>
      </c>
    </row>
    <row r="27" spans="6:15" ht="28.9" customHeight="1" x14ac:dyDescent="0.25">
      <c r="G27" s="338" t="s">
        <v>736</v>
      </c>
      <c r="H27" s="340" t="s">
        <v>737</v>
      </c>
      <c r="I27" s="340" t="s">
        <v>738</v>
      </c>
      <c r="J27" s="340" t="s">
        <v>739</v>
      </c>
      <c r="K27" s="340" t="s">
        <v>740</v>
      </c>
      <c r="L27" s="340" t="s">
        <v>741</v>
      </c>
      <c r="M27" s="340" t="s">
        <v>383</v>
      </c>
      <c r="N27" s="340" t="s">
        <v>735</v>
      </c>
      <c r="O27" s="341">
        <v>16.149999999999999</v>
      </c>
    </row>
    <row r="28" spans="6:15" ht="28.9" customHeight="1" x14ac:dyDescent="0.25">
      <c r="G28" s="338" t="s">
        <v>659</v>
      </c>
      <c r="H28" s="338" t="s">
        <v>660</v>
      </c>
      <c r="I28" s="338" t="s">
        <v>661</v>
      </c>
      <c r="J28" s="338" t="s">
        <v>662</v>
      </c>
      <c r="K28" s="338" t="s">
        <v>663</v>
      </c>
      <c r="L28" s="338" t="s">
        <v>664</v>
      </c>
      <c r="M28" s="338" t="s">
        <v>383</v>
      </c>
      <c r="N28" s="338" t="s">
        <v>735</v>
      </c>
      <c r="O28" s="339">
        <v>15.65</v>
      </c>
    </row>
    <row r="29" spans="6:15" ht="28.9" customHeight="1" x14ac:dyDescent="0.25"/>
    <row r="30" spans="6:15" ht="28.9" customHeight="1" x14ac:dyDescent="0.25"/>
    <row r="31" spans="6:15" ht="28.9" customHeight="1" x14ac:dyDescent="0.25"/>
    <row r="32" spans="6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2" t="s">
        <v>580</v>
      </c>
      <c r="I12" s="463"/>
      <c r="J12" s="463"/>
      <c r="K12" s="463"/>
      <c r="L12" s="463"/>
      <c r="M12" s="464"/>
    </row>
    <row r="13" spans="1:49" ht="28.9" customHeight="1" x14ac:dyDescent="0.25">
      <c r="H13" s="468"/>
      <c r="I13" s="469"/>
      <c r="J13" s="469"/>
      <c r="K13" s="469"/>
      <c r="L13" s="469"/>
      <c r="M13" s="470"/>
    </row>
    <row r="14" spans="1:49" ht="28.9" customHeight="1" x14ac:dyDescent="0.25">
      <c r="H14" s="78"/>
      <c r="I14" s="231"/>
      <c r="J14" s="231"/>
      <c r="K14" s="231"/>
      <c r="L14" s="231"/>
      <c r="M14" s="79"/>
    </row>
    <row r="15" spans="1:49" ht="28.9" customHeight="1" x14ac:dyDescent="0.35">
      <c r="H15" s="80"/>
      <c r="I15" s="328" t="s">
        <v>387</v>
      </c>
      <c r="J15" s="330"/>
      <c r="K15" s="232"/>
      <c r="L15" s="74"/>
      <c r="M15" s="81"/>
    </row>
    <row r="16" spans="1:49" ht="28.9" customHeight="1" x14ac:dyDescent="0.35">
      <c r="H16" s="80"/>
      <c r="I16" s="328"/>
      <c r="J16" s="330"/>
      <c r="K16" s="232"/>
      <c r="L16" s="233"/>
      <c r="M16" s="81"/>
    </row>
    <row r="17" spans="8:13" ht="28.9" customHeight="1" x14ac:dyDescent="0.3">
      <c r="H17" s="82"/>
      <c r="I17" s="328" t="s">
        <v>388</v>
      </c>
      <c r="J17" s="331"/>
      <c r="K17" s="235"/>
      <c r="L17" s="75"/>
      <c r="M17" s="83"/>
    </row>
    <row r="18" spans="8:13" ht="28.9" customHeight="1" x14ac:dyDescent="0.3">
      <c r="H18" s="82"/>
      <c r="I18" s="328"/>
      <c r="J18" s="331"/>
      <c r="K18" s="235"/>
      <c r="L18" s="235"/>
      <c r="M18" s="83"/>
    </row>
    <row r="19" spans="8:13" ht="28.9" customHeight="1" x14ac:dyDescent="0.3">
      <c r="H19" s="82"/>
      <c r="I19" s="328" t="s">
        <v>389</v>
      </c>
      <c r="J19" s="331"/>
      <c r="K19" s="235"/>
      <c r="L19" s="75"/>
      <c r="M19" s="83"/>
    </row>
    <row r="20" spans="8:13" ht="28.9" customHeight="1" x14ac:dyDescent="0.3">
      <c r="H20" s="82"/>
      <c r="I20" s="328"/>
      <c r="J20" s="333"/>
      <c r="K20" s="235"/>
      <c r="L20" s="235"/>
      <c r="M20" s="83"/>
    </row>
    <row r="21" spans="8:13" ht="28.9" customHeight="1" x14ac:dyDescent="0.3">
      <c r="H21" s="82"/>
      <c r="I21" s="328" t="s">
        <v>390</v>
      </c>
      <c r="J21" s="333"/>
      <c r="K21" s="235"/>
      <c r="L21" s="76"/>
      <c r="M21" s="83"/>
    </row>
    <row r="22" spans="8:13" ht="28.9" customHeight="1" x14ac:dyDescent="0.3">
      <c r="H22" s="82"/>
      <c r="I22" s="348"/>
      <c r="J22" s="333"/>
      <c r="K22" s="235"/>
      <c r="L22" s="235"/>
      <c r="M22" s="83"/>
    </row>
    <row r="23" spans="8:13" ht="28.9" customHeight="1" x14ac:dyDescent="0.3">
      <c r="H23" s="82"/>
      <c r="I23" s="328" t="s">
        <v>391</v>
      </c>
      <c r="J23" s="333"/>
      <c r="K23" s="235"/>
      <c r="L23" s="75"/>
      <c r="M23" s="83"/>
    </row>
    <row r="24" spans="8:13" ht="28.9" customHeight="1" x14ac:dyDescent="0.3">
      <c r="H24" s="82"/>
      <c r="I24" s="333"/>
      <c r="J24" s="333"/>
      <c r="K24" s="235"/>
      <c r="L24" s="235"/>
      <c r="M24" s="83"/>
    </row>
    <row r="25" spans="8:13" ht="28.9" customHeight="1" x14ac:dyDescent="0.3">
      <c r="H25" s="82"/>
      <c r="I25" s="331"/>
      <c r="J25" s="333"/>
      <c r="K25" s="235"/>
      <c r="L25" s="235"/>
      <c r="M25" s="83"/>
    </row>
    <row r="26" spans="8:13" ht="28.9" customHeight="1" x14ac:dyDescent="0.3">
      <c r="H26" s="82"/>
      <c r="I26" s="333"/>
      <c r="J26" s="333"/>
      <c r="K26" s="236"/>
      <c r="L26" s="236"/>
      <c r="M26" s="84"/>
    </row>
    <row r="27" spans="8:13" ht="28.9" customHeight="1" x14ac:dyDescent="0.3">
      <c r="H27" s="82"/>
      <c r="I27" s="331"/>
      <c r="J27" s="333"/>
      <c r="K27" s="236"/>
      <c r="L27" s="236"/>
      <c r="M27" s="84"/>
    </row>
    <row r="28" spans="8:13" ht="28.9" customHeight="1" thickBot="1" x14ac:dyDescent="0.4">
      <c r="H28" s="237"/>
      <c r="I28" s="238"/>
      <c r="J28" s="239"/>
      <c r="K28" s="239"/>
      <c r="L28" s="240"/>
      <c r="M28" s="241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2" t="s">
        <v>394</v>
      </c>
      <c r="I12" s="463"/>
      <c r="J12" s="463"/>
      <c r="K12" s="463"/>
      <c r="L12" s="463"/>
      <c r="M12" s="464"/>
    </row>
    <row r="13" spans="1:49" ht="28.9" customHeight="1" x14ac:dyDescent="0.25">
      <c r="H13" s="468"/>
      <c r="I13" s="469"/>
      <c r="J13" s="469"/>
      <c r="K13" s="469"/>
      <c r="L13" s="469"/>
      <c r="M13" s="470"/>
    </row>
    <row r="14" spans="1:49" ht="28.9" customHeight="1" x14ac:dyDescent="0.25">
      <c r="H14" s="78"/>
      <c r="I14" s="231"/>
      <c r="J14" s="231"/>
      <c r="K14" s="231"/>
      <c r="L14" s="231"/>
      <c r="M14" s="79"/>
    </row>
    <row r="15" spans="1:49" ht="28.9" customHeight="1" x14ac:dyDescent="0.35">
      <c r="H15" s="80"/>
      <c r="I15" s="344" t="s">
        <v>392</v>
      </c>
      <c r="J15" s="330"/>
      <c r="K15" s="232"/>
      <c r="L15" s="329"/>
      <c r="M15" s="81"/>
    </row>
    <row r="16" spans="1:49" ht="28.9" customHeight="1" x14ac:dyDescent="0.35">
      <c r="H16" s="80"/>
      <c r="I16" s="345"/>
      <c r="J16" s="330"/>
      <c r="K16" s="232"/>
      <c r="L16" s="233"/>
      <c r="M16" s="81"/>
    </row>
    <row r="17" spans="8:13" ht="28.9" customHeight="1" x14ac:dyDescent="0.35">
      <c r="H17" s="82"/>
      <c r="I17" s="344" t="s">
        <v>393</v>
      </c>
      <c r="J17" s="331"/>
      <c r="K17" s="235"/>
      <c r="L17" s="332"/>
      <c r="M17" s="83"/>
    </row>
    <row r="18" spans="8:13" ht="28.9" customHeight="1" x14ac:dyDescent="0.3">
      <c r="H18" s="82"/>
      <c r="I18" s="346"/>
      <c r="J18" s="331"/>
      <c r="K18" s="235"/>
      <c r="L18" s="235"/>
      <c r="M18" s="83"/>
    </row>
    <row r="19" spans="8:13" ht="28.9" customHeight="1" x14ac:dyDescent="0.35">
      <c r="H19" s="82"/>
      <c r="I19" s="344" t="s">
        <v>384</v>
      </c>
      <c r="J19" s="331"/>
      <c r="K19" s="235"/>
      <c r="L19" s="332"/>
      <c r="M19" s="83"/>
    </row>
    <row r="20" spans="8:13" ht="28.9" customHeight="1" x14ac:dyDescent="0.3">
      <c r="H20" s="82"/>
      <c r="I20" s="346"/>
      <c r="J20" s="333"/>
      <c r="K20" s="235"/>
      <c r="L20" s="235"/>
      <c r="M20" s="83"/>
    </row>
    <row r="21" spans="8:13" ht="28.9" customHeight="1" x14ac:dyDescent="0.35">
      <c r="H21" s="82"/>
      <c r="I21" s="344" t="s">
        <v>225</v>
      </c>
      <c r="J21" s="333"/>
      <c r="K21" s="235"/>
      <c r="L21" s="347"/>
      <c r="M21" s="83"/>
    </row>
    <row r="22" spans="8:13" ht="28.9" customHeight="1" x14ac:dyDescent="0.3">
      <c r="H22" s="82"/>
      <c r="I22" s="348"/>
      <c r="J22" s="333"/>
      <c r="K22" s="235"/>
      <c r="L22" s="235"/>
      <c r="M22" s="83"/>
    </row>
    <row r="23" spans="8:13" ht="28.9" customHeight="1" x14ac:dyDescent="0.3">
      <c r="H23" s="82"/>
      <c r="I23" s="328"/>
      <c r="J23" s="333"/>
      <c r="K23" s="235"/>
      <c r="L23" s="235"/>
      <c r="M23" s="83"/>
    </row>
    <row r="24" spans="8:13" ht="28.9" customHeight="1" x14ac:dyDescent="0.3">
      <c r="H24" s="82"/>
      <c r="I24" s="333"/>
      <c r="J24" s="333"/>
      <c r="K24" s="235"/>
      <c r="L24" s="235"/>
      <c r="M24" s="83"/>
    </row>
    <row r="25" spans="8:13" ht="28.9" customHeight="1" x14ac:dyDescent="0.3">
      <c r="H25" s="82"/>
      <c r="I25" s="331"/>
      <c r="J25" s="333"/>
      <c r="K25" s="235"/>
      <c r="L25" s="235"/>
      <c r="M25" s="83"/>
    </row>
    <row r="26" spans="8:13" ht="28.9" customHeight="1" x14ac:dyDescent="0.3">
      <c r="H26" s="82"/>
      <c r="I26" s="333"/>
      <c r="J26" s="333"/>
      <c r="K26" s="236"/>
      <c r="L26" s="236"/>
      <c r="M26" s="84"/>
    </row>
    <row r="27" spans="8:13" ht="28.9" customHeight="1" thickBot="1" x14ac:dyDescent="0.35">
      <c r="H27" s="85"/>
      <c r="I27" s="242"/>
      <c r="J27" s="243"/>
      <c r="K27" s="87"/>
      <c r="L27" s="87"/>
      <c r="M27" s="88"/>
    </row>
    <row r="28" spans="8:13" ht="28.9" customHeight="1" x14ac:dyDescent="0.35">
      <c r="H28" s="349"/>
      <c r="I28" s="350"/>
      <c r="J28" s="349"/>
      <c r="K28" s="349"/>
      <c r="L28" s="351"/>
      <c r="M28" s="349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>
      <selection activeCell="P52" sqref="P52"/>
    </sheetView>
  </sheetViews>
  <sheetFormatPr defaultColWidth="8.85546875" defaultRowHeight="15" x14ac:dyDescent="0.25"/>
  <cols>
    <col min="5" max="5" width="43" bestFit="1" customWidth="1"/>
    <col min="6" max="6" width="13.7109375" bestFit="1" customWidth="1"/>
    <col min="7" max="7" width="19.140625" customWidth="1"/>
    <col min="8" max="8" width="28" customWidth="1"/>
    <col min="9" max="9" width="22.85546875" bestFit="1" customWidth="1"/>
    <col min="10" max="10" width="25" customWidth="1"/>
    <col min="11" max="11" width="43" bestFit="1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>
      <c r="K11" s="111" t="s">
        <v>392</v>
      </c>
      <c r="L11" s="111" t="s">
        <v>393</v>
      </c>
      <c r="M11" s="111" t="s">
        <v>384</v>
      </c>
      <c r="N11" s="111" t="s">
        <v>225</v>
      </c>
    </row>
    <row r="12" spans="1:49" ht="28.9" customHeight="1" x14ac:dyDescent="0.35">
      <c r="H12" s="349"/>
      <c r="I12" s="350"/>
      <c r="J12" s="349"/>
      <c r="K12" s="329" t="s">
        <v>742</v>
      </c>
      <c r="L12" s="332" t="s">
        <v>742</v>
      </c>
      <c r="M12" s="332" t="s">
        <v>742</v>
      </c>
      <c r="N12" s="347" t="s">
        <v>742</v>
      </c>
    </row>
    <row r="13" spans="1:49" ht="28.9" customHeight="1" x14ac:dyDescent="0.25">
      <c r="K13" s="74"/>
      <c r="L13" s="75"/>
      <c r="M13" s="75"/>
      <c r="N13" s="76"/>
    </row>
    <row r="14" spans="1:49" ht="28.9" customHeight="1" x14ac:dyDescent="0.25">
      <c r="K14" s="349"/>
      <c r="L14" s="351"/>
      <c r="M14" s="349"/>
    </row>
    <row r="15" spans="1:49" ht="28.9" customHeight="1" x14ac:dyDescent="0.25"/>
    <row r="16" spans="1:49" ht="28.9" customHeight="1" x14ac:dyDescent="0.25"/>
    <row r="17" ht="28.9" customHeight="1" x14ac:dyDescent="0.25"/>
    <row r="18" ht="28.9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28.9" customHeight="1" x14ac:dyDescent="0.25"/>
    <row r="26" ht="28.9" customHeight="1" x14ac:dyDescent="0.25"/>
    <row r="27" ht="28.9" customHeight="1" x14ac:dyDescent="0.25"/>
    <row r="28" ht="28.9" customHeight="1" x14ac:dyDescent="0.25"/>
    <row r="29" ht="28.9" customHeight="1" x14ac:dyDescent="0.25"/>
    <row r="30" ht="28.9" customHeight="1" x14ac:dyDescent="0.25"/>
    <row r="31" ht="28.9" customHeight="1" x14ac:dyDescent="0.25"/>
    <row r="32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2" t="s">
        <v>399</v>
      </c>
      <c r="I12" s="463"/>
      <c r="J12" s="463"/>
      <c r="K12" s="463"/>
      <c r="L12" s="463"/>
      <c r="M12" s="464"/>
    </row>
    <row r="13" spans="1:49" ht="28.9" customHeight="1" x14ac:dyDescent="0.25">
      <c r="H13" s="468"/>
      <c r="I13" s="469"/>
      <c r="J13" s="469"/>
      <c r="K13" s="469"/>
      <c r="L13" s="469"/>
      <c r="M13" s="470"/>
    </row>
    <row r="14" spans="1:49" ht="28.9" customHeight="1" x14ac:dyDescent="0.25">
      <c r="H14" s="78"/>
      <c r="I14" s="231"/>
      <c r="J14" s="231"/>
      <c r="K14" s="231"/>
      <c r="L14" s="231"/>
      <c r="M14" s="79"/>
    </row>
    <row r="15" spans="1:49" ht="28.9" customHeight="1" x14ac:dyDescent="0.25">
      <c r="H15" s="80"/>
      <c r="I15" s="126" t="s">
        <v>395</v>
      </c>
      <c r="J15" s="232"/>
      <c r="K15" s="232"/>
      <c r="L15" s="74"/>
      <c r="M15" s="81"/>
    </row>
    <row r="16" spans="1:49" ht="28.9" customHeight="1" x14ac:dyDescent="0.25">
      <c r="H16" s="80"/>
      <c r="I16" s="126"/>
      <c r="J16" s="232"/>
      <c r="K16" s="232"/>
      <c r="L16" s="233"/>
      <c r="M16" s="81"/>
    </row>
    <row r="17" spans="8:13" ht="28.9" customHeight="1" x14ac:dyDescent="0.25">
      <c r="H17" s="82"/>
      <c r="I17" s="126" t="s">
        <v>373</v>
      </c>
      <c r="J17" s="234"/>
      <c r="K17" s="235"/>
      <c r="L17" s="75"/>
      <c r="M17" s="83"/>
    </row>
    <row r="18" spans="8:13" ht="28.9" customHeight="1" x14ac:dyDescent="0.25">
      <c r="H18" s="82"/>
      <c r="I18" s="126"/>
      <c r="J18" s="234"/>
      <c r="K18" s="235"/>
      <c r="L18" s="235"/>
      <c r="M18" s="83"/>
    </row>
    <row r="19" spans="8:13" ht="28.9" customHeight="1" x14ac:dyDescent="0.25">
      <c r="H19" s="82"/>
      <c r="I19" s="126" t="s">
        <v>396</v>
      </c>
      <c r="J19" s="234"/>
      <c r="K19" s="235"/>
      <c r="L19" s="75"/>
      <c r="M19" s="83"/>
    </row>
    <row r="20" spans="8:13" ht="28.9" customHeight="1" x14ac:dyDescent="0.25">
      <c r="H20" s="82"/>
      <c r="I20" s="126"/>
      <c r="J20" s="235"/>
      <c r="K20" s="235"/>
      <c r="L20" s="235"/>
      <c r="M20" s="83"/>
    </row>
    <row r="21" spans="8:13" ht="28.9" customHeight="1" x14ac:dyDescent="0.25">
      <c r="H21" s="82"/>
      <c r="I21" s="126" t="s">
        <v>35</v>
      </c>
      <c r="J21" s="235"/>
      <c r="K21" s="235"/>
      <c r="L21" s="76"/>
      <c r="M21" s="83"/>
    </row>
    <row r="22" spans="8:13" ht="28.9" customHeight="1" x14ac:dyDescent="0.25">
      <c r="H22" s="82"/>
      <c r="I22" s="126"/>
      <c r="J22" s="235"/>
      <c r="K22" s="235"/>
      <c r="L22" s="235"/>
      <c r="M22" s="83"/>
    </row>
    <row r="23" spans="8:13" ht="28.9" customHeight="1" x14ac:dyDescent="0.25">
      <c r="H23" s="82"/>
      <c r="I23" s="126" t="s">
        <v>384</v>
      </c>
      <c r="J23" s="235"/>
      <c r="K23" s="235"/>
      <c r="L23" s="75"/>
      <c r="M23" s="83"/>
    </row>
    <row r="24" spans="8:13" ht="28.9" customHeight="1" x14ac:dyDescent="0.25">
      <c r="H24" s="82"/>
      <c r="I24" s="352"/>
      <c r="J24" s="235"/>
      <c r="K24" s="235"/>
      <c r="L24" s="235"/>
      <c r="M24" s="83"/>
    </row>
    <row r="25" spans="8:13" ht="28.9" customHeight="1" x14ac:dyDescent="0.25">
      <c r="H25" s="82"/>
      <c r="I25" s="126" t="s">
        <v>397</v>
      </c>
      <c r="J25" s="235"/>
      <c r="K25" s="235"/>
      <c r="L25" s="75"/>
      <c r="M25" s="83"/>
    </row>
    <row r="26" spans="8:13" ht="28.9" customHeight="1" x14ac:dyDescent="0.25">
      <c r="H26" s="82"/>
      <c r="I26" s="126"/>
      <c r="J26" s="235"/>
      <c r="K26" s="236"/>
      <c r="L26" s="236"/>
      <c r="M26" s="84"/>
    </row>
    <row r="27" spans="8:13" ht="28.9" customHeight="1" x14ac:dyDescent="0.25">
      <c r="H27" s="82"/>
      <c r="I27" s="126" t="s">
        <v>225</v>
      </c>
      <c r="J27" s="235"/>
      <c r="K27" s="236"/>
      <c r="L27" s="77"/>
      <c r="M27" s="84"/>
    </row>
    <row r="28" spans="8:13" ht="28.9" customHeight="1" x14ac:dyDescent="0.25">
      <c r="H28" s="80"/>
      <c r="I28" s="126"/>
      <c r="J28" s="232"/>
      <c r="K28" s="232"/>
      <c r="L28" s="233"/>
      <c r="M28" s="81"/>
    </row>
    <row r="29" spans="8:13" ht="28.9" customHeight="1" x14ac:dyDescent="0.25">
      <c r="H29" s="82"/>
      <c r="I29" s="126" t="s">
        <v>398</v>
      </c>
      <c r="J29" s="235"/>
      <c r="K29" s="236"/>
      <c r="L29" s="77"/>
      <c r="M29" s="84"/>
    </row>
    <row r="30" spans="8:13" ht="28.9" customHeight="1" x14ac:dyDescent="0.3">
      <c r="H30" s="82"/>
      <c r="I30" s="333"/>
      <c r="J30" s="235"/>
      <c r="K30" s="236"/>
      <c r="L30" s="236"/>
      <c r="M30" s="84"/>
    </row>
    <row r="31" spans="8:13" ht="28.9" customHeight="1" x14ac:dyDescent="0.3">
      <c r="H31" s="82"/>
      <c r="I31" s="331"/>
      <c r="J31" s="235"/>
      <c r="K31" s="236"/>
      <c r="L31" s="353"/>
      <c r="M31" s="84"/>
    </row>
    <row r="32" spans="8:13" ht="28.9" customHeight="1" x14ac:dyDescent="0.25">
      <c r="H32" s="82"/>
      <c r="I32" s="235"/>
      <c r="J32" s="235"/>
      <c r="K32" s="236"/>
      <c r="L32" s="236"/>
      <c r="M32" s="84"/>
    </row>
    <row r="33" spans="8:13" ht="28.9" customHeight="1" x14ac:dyDescent="0.25">
      <c r="H33" s="82"/>
      <c r="I33" s="235"/>
      <c r="J33" s="235"/>
      <c r="K33" s="236"/>
      <c r="L33" s="236"/>
      <c r="M33" s="84"/>
    </row>
    <row r="34" spans="8:13" ht="28.9" customHeight="1" x14ac:dyDescent="0.25">
      <c r="H34" s="82"/>
      <c r="I34" s="235"/>
      <c r="J34" s="235"/>
      <c r="K34" s="236"/>
      <c r="L34" s="236"/>
      <c r="M34" s="84"/>
    </row>
    <row r="35" spans="8:13" ht="28.9" customHeight="1" thickBot="1" x14ac:dyDescent="0.3">
      <c r="H35" s="85"/>
      <c r="I35" s="86"/>
      <c r="J35" s="86"/>
      <c r="K35" s="87"/>
      <c r="L35" s="87"/>
      <c r="M35" s="88"/>
    </row>
    <row r="36" spans="8:13" ht="28.9" customHeight="1" x14ac:dyDescent="0.25">
      <c r="H36" s="354"/>
      <c r="I36" s="354"/>
      <c r="J36" s="354"/>
      <c r="K36" s="355"/>
      <c r="L36" s="355"/>
      <c r="M36" s="355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9" customHeight="1" x14ac:dyDescent="0.25"/>
    <row r="59" spans="1:22" ht="28.9" customHeight="1" x14ac:dyDescent="0.25"/>
    <row r="60" spans="1:22" ht="28.9" customHeight="1" x14ac:dyDescent="0.25"/>
    <row r="61" spans="1:22" ht="28.9" customHeight="1" x14ac:dyDescent="0.25"/>
    <row r="62" spans="1:22" ht="28.9" customHeight="1" x14ac:dyDescent="0.25"/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D2C6-E902-402F-9110-FAAF3CE33041}">
  <sheetPr codeName="Planilha41">
    <tabColor rgb="FF7030A0"/>
  </sheetPr>
  <dimension ref="A1:AW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2" t="s">
        <v>404</v>
      </c>
      <c r="I12" s="463"/>
      <c r="J12" s="463"/>
      <c r="K12" s="463"/>
      <c r="L12" s="464"/>
    </row>
    <row r="13" spans="1:49" ht="28.9" customHeight="1" thickBot="1" x14ac:dyDescent="0.3">
      <c r="H13" s="465"/>
      <c r="I13" s="466"/>
      <c r="J13" s="466"/>
      <c r="K13" s="466"/>
      <c r="L13" s="467"/>
    </row>
    <row r="14" spans="1:49" ht="28.9" customHeight="1" thickBot="1" x14ac:dyDescent="0.3">
      <c r="H14" s="8"/>
      <c r="I14" s="44"/>
      <c r="J14" s="44"/>
      <c r="K14" s="44"/>
      <c r="L14" s="45"/>
    </row>
    <row r="15" spans="1:49" ht="28.9" customHeight="1" thickBot="1" x14ac:dyDescent="0.35">
      <c r="H15" s="8"/>
      <c r="I15" s="126" t="s">
        <v>362</v>
      </c>
      <c r="J15" s="356"/>
      <c r="K15" s="357"/>
      <c r="L15" s="45"/>
    </row>
    <row r="16" spans="1:49" ht="28.9" customHeight="1" thickBot="1" x14ac:dyDescent="0.3">
      <c r="H16" s="8"/>
      <c r="I16" s="126"/>
      <c r="J16" s="356"/>
      <c r="K16" s="356"/>
      <c r="L16" s="45"/>
    </row>
    <row r="17" spans="8:12" ht="28.9" customHeight="1" thickBot="1" x14ac:dyDescent="0.35">
      <c r="H17" s="8"/>
      <c r="I17" s="126" t="s">
        <v>287</v>
      </c>
      <c r="J17" s="356"/>
      <c r="K17" s="357"/>
      <c r="L17" s="45"/>
    </row>
    <row r="18" spans="8:12" ht="28.9" customHeight="1" thickBot="1" x14ac:dyDescent="0.3">
      <c r="H18" s="8"/>
      <c r="I18" s="126"/>
      <c r="J18" s="356"/>
      <c r="K18" s="356"/>
      <c r="L18" s="45"/>
    </row>
    <row r="19" spans="8:12" ht="28.9" customHeight="1" thickBot="1" x14ac:dyDescent="0.35">
      <c r="H19" s="8"/>
      <c r="I19" s="126" t="s">
        <v>293</v>
      </c>
      <c r="J19" s="356"/>
      <c r="K19" s="357"/>
      <c r="L19" s="45"/>
    </row>
    <row r="20" spans="8:12" ht="28.9" customHeight="1" thickBot="1" x14ac:dyDescent="0.3">
      <c r="H20" s="8"/>
      <c r="I20" s="126"/>
      <c r="J20" s="356"/>
      <c r="K20" s="356"/>
      <c r="L20" s="45"/>
    </row>
    <row r="21" spans="8:12" ht="28.9" customHeight="1" thickBot="1" x14ac:dyDescent="0.35">
      <c r="H21" s="8"/>
      <c r="I21" s="126" t="s">
        <v>403</v>
      </c>
      <c r="J21" s="356"/>
      <c r="K21" s="357"/>
      <c r="L21" s="45"/>
    </row>
    <row r="22" spans="8:12" ht="28.9" customHeight="1" thickBot="1" x14ac:dyDescent="0.3">
      <c r="H22" s="8"/>
      <c r="I22" s="126"/>
      <c r="J22" s="356"/>
      <c r="K22" s="356"/>
      <c r="L22" s="45"/>
    </row>
    <row r="23" spans="8:12" ht="28.9" customHeight="1" thickBot="1" x14ac:dyDescent="0.35">
      <c r="H23" s="8"/>
      <c r="I23" s="126" t="s">
        <v>408</v>
      </c>
      <c r="J23" s="356"/>
      <c r="K23" s="357"/>
      <c r="L23" s="45"/>
    </row>
    <row r="24" spans="8:12" ht="28.9" customHeight="1" thickBot="1" x14ac:dyDescent="0.3">
      <c r="H24" s="8"/>
      <c r="I24" s="126"/>
      <c r="J24" s="356"/>
      <c r="K24" s="356"/>
      <c r="L24" s="45"/>
    </row>
    <row r="25" spans="8:12" ht="28.9" customHeight="1" thickBot="1" x14ac:dyDescent="0.35">
      <c r="H25" s="8"/>
      <c r="I25" s="126" t="s">
        <v>407</v>
      </c>
      <c r="J25" s="356"/>
      <c r="K25" s="357"/>
      <c r="L25" s="45"/>
    </row>
    <row r="26" spans="8:12" ht="28.9" customHeight="1" thickBot="1" x14ac:dyDescent="0.3">
      <c r="H26" s="8"/>
      <c r="I26" s="126"/>
      <c r="J26" s="356"/>
      <c r="K26" s="356"/>
      <c r="L26" s="45"/>
    </row>
    <row r="27" spans="8:12" ht="28.9" customHeight="1" thickBot="1" x14ac:dyDescent="0.3">
      <c r="H27" s="8"/>
      <c r="I27" s="126" t="s">
        <v>294</v>
      </c>
      <c r="J27" s="356"/>
      <c r="K27" s="358"/>
      <c r="L27" s="45"/>
    </row>
    <row r="28" spans="8:12" ht="28.9" customHeight="1" x14ac:dyDescent="0.25">
      <c r="H28" s="56"/>
      <c r="I28" s="67"/>
      <c r="J28" s="67"/>
      <c r="K28" s="67"/>
      <c r="L28" s="7"/>
    </row>
    <row r="29" spans="8:12" ht="28.9" customHeight="1" x14ac:dyDescent="0.25">
      <c r="H29" s="56"/>
      <c r="I29" s="67"/>
      <c r="J29" s="67"/>
      <c r="K29" s="67"/>
      <c r="L29" s="7"/>
    </row>
    <row r="30" spans="8:12" ht="28.9" customHeight="1" x14ac:dyDescent="0.25">
      <c r="H30" s="56"/>
      <c r="I30" s="67"/>
      <c r="J30" s="67"/>
      <c r="K30" s="67"/>
      <c r="L30" s="7"/>
    </row>
    <row r="31" spans="8:12" ht="28.9" customHeight="1" x14ac:dyDescent="0.25">
      <c r="H31" s="56"/>
      <c r="I31" s="67"/>
      <c r="J31" s="67"/>
      <c r="K31" s="67"/>
      <c r="L31" s="7"/>
    </row>
    <row r="32" spans="8:12" ht="28.9" customHeight="1" x14ac:dyDescent="0.25">
      <c r="H32" s="56"/>
      <c r="I32" s="67"/>
      <c r="J32" s="67"/>
      <c r="K32" s="67"/>
      <c r="L32" s="7"/>
    </row>
    <row r="33" spans="8:12" ht="28.9" customHeight="1" x14ac:dyDescent="0.25">
      <c r="H33" s="56"/>
      <c r="I33" s="67"/>
      <c r="J33" s="67"/>
      <c r="K33" s="67"/>
      <c r="L33" s="7"/>
    </row>
    <row r="34" spans="8:12" ht="28.9" customHeight="1" thickBot="1" x14ac:dyDescent="0.3">
      <c r="H34" s="68"/>
      <c r="I34" s="69"/>
      <c r="J34" s="69"/>
      <c r="K34" s="69"/>
      <c r="L34" s="70"/>
    </row>
    <row r="35" spans="8:12" ht="28.9" customHeight="1" x14ac:dyDescent="0.25"/>
    <row r="36" spans="8:12" ht="28.9" customHeight="1" x14ac:dyDescent="0.25"/>
    <row r="37" spans="8:12" ht="28.9" customHeight="1" x14ac:dyDescent="0.25"/>
    <row r="38" spans="8:12" ht="28.9" customHeight="1" x14ac:dyDescent="0.25"/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37D3-57ED-43EA-9692-214AE70D6578}">
  <sheetPr codeName="Planilha42">
    <tabColor rgb="FF7030A0"/>
  </sheetPr>
  <dimension ref="A1:AW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54.7109375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2" t="s">
        <v>368</v>
      </c>
      <c r="I12" s="463"/>
      <c r="J12" s="463"/>
      <c r="K12" s="463"/>
      <c r="L12" s="464"/>
    </row>
    <row r="13" spans="1:49" ht="28.9" customHeight="1" thickBot="1" x14ac:dyDescent="0.3">
      <c r="H13" s="465"/>
      <c r="I13" s="466"/>
      <c r="J13" s="466"/>
      <c r="K13" s="466"/>
      <c r="L13" s="467"/>
    </row>
    <row r="14" spans="1:49" ht="28.9" customHeight="1" thickBot="1" x14ac:dyDescent="0.3">
      <c r="H14" s="8"/>
      <c r="I14" s="44"/>
      <c r="J14" s="44"/>
      <c r="K14" s="44"/>
      <c r="L14" s="45"/>
    </row>
    <row r="15" spans="1:49" ht="28.9" customHeight="1" thickBot="1" x14ac:dyDescent="0.35">
      <c r="H15" s="8"/>
      <c r="I15" s="359" t="s">
        <v>362</v>
      </c>
      <c r="J15" s="44"/>
      <c r="K15" s="357" t="s">
        <v>479</v>
      </c>
      <c r="L15" s="45"/>
    </row>
    <row r="16" spans="1:49" ht="28.9" customHeight="1" thickBot="1" x14ac:dyDescent="0.35">
      <c r="H16" s="8"/>
      <c r="I16" s="71" t="s">
        <v>13</v>
      </c>
      <c r="J16" s="44"/>
      <c r="K16" s="333"/>
      <c r="L16" s="45"/>
    </row>
    <row r="17" spans="8:12" ht="28.9" customHeight="1" thickBot="1" x14ac:dyDescent="0.35">
      <c r="H17" s="8"/>
      <c r="I17" s="359" t="s">
        <v>363</v>
      </c>
      <c r="J17" s="44"/>
      <c r="K17" s="420" t="s">
        <v>478</v>
      </c>
      <c r="L17" s="45"/>
    </row>
    <row r="18" spans="8:12" ht="28.9" customHeight="1" thickBot="1" x14ac:dyDescent="0.35">
      <c r="H18" s="8"/>
      <c r="I18" s="71" t="s">
        <v>13</v>
      </c>
      <c r="J18" s="44"/>
      <c r="K18" s="333"/>
      <c r="L18" s="45"/>
    </row>
    <row r="19" spans="8:12" ht="28.9" customHeight="1" thickBot="1" x14ac:dyDescent="0.35">
      <c r="H19" s="8"/>
      <c r="I19" s="359" t="s">
        <v>293</v>
      </c>
      <c r="J19" s="44"/>
      <c r="K19" s="420" t="s">
        <v>481</v>
      </c>
      <c r="L19" s="45"/>
    </row>
    <row r="20" spans="8:12" ht="28.9" customHeight="1" thickBot="1" x14ac:dyDescent="0.35">
      <c r="H20" s="8"/>
      <c r="I20" s="71" t="s">
        <v>13</v>
      </c>
      <c r="J20" s="44"/>
      <c r="K20" s="333"/>
      <c r="L20" s="45"/>
    </row>
    <row r="21" spans="8:12" ht="28.9" customHeight="1" thickBot="1" x14ac:dyDescent="0.35">
      <c r="H21" s="8"/>
      <c r="I21" s="359" t="s">
        <v>282</v>
      </c>
      <c r="J21" s="44"/>
      <c r="K21" s="357" t="s">
        <v>232</v>
      </c>
      <c r="L21" s="45"/>
    </row>
    <row r="22" spans="8:12" ht="28.9" customHeight="1" thickBot="1" x14ac:dyDescent="0.35">
      <c r="H22" s="8"/>
      <c r="I22" s="71" t="s">
        <v>13</v>
      </c>
      <c r="J22" s="44"/>
      <c r="K22" s="333"/>
      <c r="L22" s="45"/>
    </row>
    <row r="23" spans="8:12" ht="28.9" customHeight="1" thickBot="1" x14ac:dyDescent="0.35">
      <c r="H23" s="8"/>
      <c r="I23" s="359" t="s">
        <v>283</v>
      </c>
      <c r="J23" s="44"/>
      <c r="K23" s="357">
        <v>9</v>
      </c>
      <c r="L23" s="45"/>
    </row>
    <row r="24" spans="8:12" ht="28.9" customHeight="1" thickBot="1" x14ac:dyDescent="0.35">
      <c r="H24" s="8"/>
      <c r="I24" s="71" t="s">
        <v>13</v>
      </c>
      <c r="J24" s="44"/>
      <c r="K24" s="333"/>
      <c r="L24" s="45"/>
    </row>
    <row r="25" spans="8:12" ht="28.9" customHeight="1" thickBot="1" x14ac:dyDescent="0.35">
      <c r="H25" s="8"/>
      <c r="I25" s="359" t="s">
        <v>364</v>
      </c>
      <c r="J25" s="44"/>
      <c r="K25" s="360">
        <v>10</v>
      </c>
      <c r="L25" s="45"/>
    </row>
    <row r="26" spans="8:12" ht="28.9" customHeight="1" thickBot="1" x14ac:dyDescent="0.35">
      <c r="H26" s="8"/>
      <c r="I26" s="71" t="s">
        <v>13</v>
      </c>
      <c r="J26" s="44"/>
      <c r="K26" s="333"/>
      <c r="L26" s="45"/>
    </row>
    <row r="27" spans="8:12" ht="28.9" customHeight="1" thickBot="1" x14ac:dyDescent="0.35">
      <c r="H27" s="8"/>
      <c r="I27" s="359" t="s">
        <v>365</v>
      </c>
      <c r="J27" s="44"/>
      <c r="K27" s="421">
        <v>90</v>
      </c>
      <c r="L27" s="45"/>
    </row>
    <row r="28" spans="8:12" ht="28.9" customHeight="1" thickBot="1" x14ac:dyDescent="0.35">
      <c r="H28" s="56"/>
      <c r="I28" s="71"/>
      <c r="J28" s="67"/>
      <c r="K28" s="333"/>
      <c r="L28" s="7"/>
    </row>
    <row r="29" spans="8:12" ht="28.9" customHeight="1" thickBot="1" x14ac:dyDescent="0.35">
      <c r="H29" s="56"/>
      <c r="I29" s="359" t="s">
        <v>366</v>
      </c>
      <c r="J29" s="67"/>
      <c r="K29" s="361"/>
      <c r="L29" s="7"/>
    </row>
    <row r="30" spans="8:12" ht="28.9" customHeight="1" thickBot="1" x14ac:dyDescent="0.35">
      <c r="H30" s="56"/>
      <c r="I30" s="71"/>
      <c r="J30" s="67"/>
      <c r="K30" s="333"/>
      <c r="L30" s="7"/>
    </row>
    <row r="31" spans="8:12" ht="28.9" customHeight="1" thickBot="1" x14ac:dyDescent="0.35">
      <c r="H31" s="56"/>
      <c r="I31" s="359" t="s">
        <v>367</v>
      </c>
      <c r="J31" s="67"/>
      <c r="K31" s="357" t="s">
        <v>744</v>
      </c>
      <c r="L31" s="7"/>
    </row>
    <row r="32" spans="8:12" ht="28.9" customHeight="1" x14ac:dyDescent="0.25">
      <c r="H32" s="56"/>
      <c r="I32" s="51"/>
      <c r="J32" s="67"/>
      <c r="K32" s="67"/>
      <c r="L32" s="7"/>
    </row>
    <row r="33" spans="8:12" ht="28.9" customHeight="1" x14ac:dyDescent="0.25">
      <c r="H33" s="56"/>
      <c r="I33" s="67"/>
      <c r="J33" s="67"/>
      <c r="K33" s="67"/>
      <c r="L33" s="7"/>
    </row>
    <row r="34" spans="8:12" ht="28.9" customHeight="1" x14ac:dyDescent="0.25">
      <c r="H34" s="56"/>
      <c r="I34" s="67"/>
      <c r="J34" s="67"/>
      <c r="K34" s="67"/>
      <c r="L34" s="7"/>
    </row>
    <row r="35" spans="8:12" ht="28.9" customHeight="1" x14ac:dyDescent="0.25">
      <c r="H35" s="56"/>
      <c r="I35" s="67"/>
      <c r="J35" s="67"/>
      <c r="K35" s="67"/>
      <c r="L35" s="7"/>
    </row>
    <row r="36" spans="8:12" ht="28.9" customHeight="1" x14ac:dyDescent="0.25">
      <c r="H36" s="56"/>
      <c r="I36" s="67"/>
      <c r="J36" s="67"/>
      <c r="K36" s="67"/>
      <c r="L36" s="7"/>
    </row>
    <row r="37" spans="8:12" ht="28.9" customHeight="1" x14ac:dyDescent="0.25">
      <c r="H37" s="56"/>
      <c r="I37" s="67"/>
      <c r="J37" s="67"/>
      <c r="K37" s="67"/>
      <c r="L37" s="7"/>
    </row>
    <row r="38" spans="8:12" ht="28.9" customHeight="1" thickBot="1" x14ac:dyDescent="0.3">
      <c r="H38" s="68"/>
      <c r="I38" s="69"/>
      <c r="J38" s="69"/>
      <c r="K38" s="69"/>
      <c r="L38" s="70"/>
    </row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67BC99-1231-4D1E-B95A-BB751BF3AE71}">
          <x14:formula1>
            <xm:f>V_METAS!$N$22:$N$25</xm:f>
          </x14:formula1>
          <xm:sqref>K21</xm:sqref>
        </x14:dataValidation>
        <x14:dataValidation type="list" allowBlank="1" showInputMessage="1" showErrorMessage="1" xr:uid="{5F75004B-09C4-4126-9C99-67CB23115D0F}">
          <x14:formula1>
            <xm:f>BD_02!$C$8:$C$30</xm:f>
          </x14:formula1>
          <xm:sqref>K15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C2E0-F22E-4168-B43D-80B606AFEC7D}">
  <sheetPr codeName="Planilha43">
    <tabColor rgb="FF7030A0"/>
  </sheetPr>
  <dimension ref="A1:AW64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42.42578125" customWidth="1"/>
    <col min="12" max="12" width="25.42578125" bestFit="1" customWidth="1"/>
    <col min="13" max="13" width="29" bestFit="1" customWidth="1"/>
    <col min="14" max="14" width="51.140625" customWidth="1"/>
    <col min="15" max="15" width="42.57031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</row>
    <row r="5" spans="1:49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</row>
    <row r="6" spans="1:49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</row>
    <row r="7" spans="1:49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4">
      <c r="H12" s="462" t="s">
        <v>369</v>
      </c>
      <c r="I12" s="463"/>
      <c r="J12" s="463"/>
      <c r="K12" s="463"/>
      <c r="L12" s="464"/>
      <c r="N12" s="208" t="s">
        <v>370</v>
      </c>
      <c r="O12" s="208" t="s">
        <v>283</v>
      </c>
    </row>
    <row r="13" spans="1:49" ht="28.9" customHeight="1" thickBot="1" x14ac:dyDescent="0.35">
      <c r="H13" s="465"/>
      <c r="I13" s="466"/>
      <c r="J13" s="466"/>
      <c r="K13" s="466"/>
      <c r="L13" s="467"/>
      <c r="N13" s="209" t="s">
        <v>745</v>
      </c>
      <c r="O13" s="210">
        <v>1600</v>
      </c>
    </row>
    <row r="14" spans="1:49" ht="28.9" customHeight="1" thickBot="1" x14ac:dyDescent="0.35">
      <c r="H14" s="362"/>
      <c r="I14" s="363"/>
      <c r="J14" s="363"/>
      <c r="K14" s="364"/>
      <c r="L14" s="365"/>
      <c r="N14" s="333"/>
      <c r="O14" s="333"/>
    </row>
    <row r="15" spans="1:49" ht="28.9" customHeight="1" thickBot="1" x14ac:dyDescent="0.35">
      <c r="H15" s="8"/>
      <c r="I15" s="359" t="s">
        <v>746</v>
      </c>
      <c r="J15" s="44"/>
      <c r="K15" s="357">
        <f>SUM('V_RELATORIO-DE-CONTROLE'!H10:H52)</f>
        <v>8000</v>
      </c>
      <c r="L15" s="45"/>
    </row>
    <row r="16" spans="1:49" ht="28.9" customHeight="1" thickBot="1" x14ac:dyDescent="0.35">
      <c r="H16" s="8"/>
      <c r="I16" s="359"/>
      <c r="J16" s="44"/>
      <c r="K16" s="333"/>
      <c r="L16" s="45"/>
    </row>
    <row r="17" spans="8:15" ht="28.9" customHeight="1" thickBot="1" x14ac:dyDescent="0.35">
      <c r="H17" s="8"/>
      <c r="I17" s="359" t="s">
        <v>747</v>
      </c>
      <c r="J17" s="44"/>
      <c r="K17" s="357">
        <f>O13</f>
        <v>1600</v>
      </c>
      <c r="L17" s="45"/>
    </row>
    <row r="18" spans="8:15" ht="28.9" customHeight="1" thickBot="1" x14ac:dyDescent="0.35">
      <c r="H18" s="8"/>
      <c r="I18" s="359"/>
      <c r="J18" s="44"/>
      <c r="K18" s="333"/>
      <c r="L18" s="45"/>
    </row>
    <row r="19" spans="8:15" ht="28.9" customHeight="1" thickBot="1" x14ac:dyDescent="0.35">
      <c r="H19" s="8"/>
      <c r="I19" s="359" t="s">
        <v>748</v>
      </c>
      <c r="J19" s="44"/>
      <c r="K19" s="357" t="str">
        <f>IF(K15&gt;K17,"META ATINGIDA","META NÃO ATINGIDA")</f>
        <v>META ATINGIDA</v>
      </c>
      <c r="L19" s="45"/>
    </row>
    <row r="20" spans="8:15" ht="28.9" customHeight="1" x14ac:dyDescent="0.3">
      <c r="H20" s="8"/>
      <c r="I20" s="359"/>
      <c r="J20" s="44"/>
      <c r="K20" s="348"/>
      <c r="L20" s="45"/>
    </row>
    <row r="21" spans="8:15" ht="28.9" customHeight="1" x14ac:dyDescent="0.4">
      <c r="H21" s="8"/>
      <c r="I21" s="67"/>
      <c r="J21" s="44"/>
      <c r="K21" s="44"/>
      <c r="L21" s="45"/>
      <c r="N21" s="208" t="s">
        <v>749</v>
      </c>
      <c r="O21" s="208" t="s">
        <v>405</v>
      </c>
    </row>
    <row r="22" spans="8:15" ht="28.9" customHeight="1" x14ac:dyDescent="0.3">
      <c r="H22" s="8"/>
      <c r="I22" s="67"/>
      <c r="J22" s="44"/>
      <c r="K22" s="44"/>
      <c r="L22" s="45"/>
      <c r="N22" s="366" t="s">
        <v>750</v>
      </c>
      <c r="O22" s="367">
        <v>20</v>
      </c>
    </row>
    <row r="23" spans="8:15" ht="28.9" customHeight="1" x14ac:dyDescent="0.3">
      <c r="H23" s="8"/>
      <c r="I23" s="67"/>
      <c r="J23" s="44"/>
      <c r="K23" s="44"/>
      <c r="L23" s="45"/>
      <c r="N23" s="366" t="s">
        <v>371</v>
      </c>
      <c r="O23" s="367">
        <v>20</v>
      </c>
    </row>
    <row r="24" spans="8:15" ht="28.9" customHeight="1" x14ac:dyDescent="0.3">
      <c r="H24" s="8"/>
      <c r="I24" s="67"/>
      <c r="J24" s="44"/>
      <c r="K24" s="44"/>
      <c r="L24" s="45"/>
      <c r="N24" s="366" t="s">
        <v>232</v>
      </c>
      <c r="O24" s="367">
        <v>20</v>
      </c>
    </row>
    <row r="25" spans="8:15" ht="28.9" customHeight="1" thickBot="1" x14ac:dyDescent="0.35">
      <c r="H25" s="46"/>
      <c r="I25" s="69"/>
      <c r="J25" s="47"/>
      <c r="K25" s="207"/>
      <c r="L25" s="48"/>
      <c r="N25" s="368" t="s">
        <v>372</v>
      </c>
      <c r="O25" s="367">
        <v>20</v>
      </c>
    </row>
    <row r="26" spans="8:15" ht="28.9" customHeight="1" x14ac:dyDescent="0.25"/>
    <row r="27" spans="8:15" ht="28.9" customHeight="1" x14ac:dyDescent="0.25"/>
    <row r="28" spans="8:15" ht="28.9" customHeight="1" x14ac:dyDescent="0.25"/>
    <row r="29" spans="8:15" ht="28.9" customHeight="1" x14ac:dyDescent="0.25"/>
    <row r="30" spans="8:15" ht="28.9" customHeight="1" x14ac:dyDescent="0.25"/>
    <row r="31" spans="8:15" ht="28.9" customHeight="1" x14ac:dyDescent="0.25"/>
    <row r="32" spans="8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48889-C73A-46ED-ABD3-5C0AE81875A0}">
  <sheetPr codeName="Planilha45">
    <tabColor rgb="FF7030A0"/>
  </sheetPr>
  <dimension ref="B1:AS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2" max="2" width="32.42578125" customWidth="1"/>
    <col min="3" max="3" width="37.85546875" customWidth="1"/>
    <col min="4" max="4" width="44.28515625" customWidth="1"/>
    <col min="5" max="5" width="49.5703125" customWidth="1"/>
    <col min="6" max="6" width="57.5703125" customWidth="1"/>
    <col min="7" max="7" width="39.85546875" customWidth="1"/>
    <col min="8" max="8" width="47.85546875" customWidth="1"/>
    <col min="9" max="9" width="43.28515625" customWidth="1"/>
    <col min="10" max="10" width="47.85546875" bestFit="1" customWidth="1"/>
    <col min="11" max="11" width="29.28515625" customWidth="1"/>
    <col min="12" max="12" width="73.42578125" customWidth="1"/>
    <col min="13" max="13" width="15.5703125" customWidth="1"/>
    <col min="18" max="18" width="23.42578125" bestFit="1" customWidth="1"/>
    <col min="19" max="19" width="2.7109375" bestFit="1" customWidth="1"/>
    <col min="20" max="20" width="51.140625" customWidth="1"/>
  </cols>
  <sheetData>
    <row r="1" spans="2:4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2:45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2:45" ht="61.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2:45" ht="46.15" customHeight="1" x14ac:dyDescent="0.25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</row>
    <row r="5" spans="2:45" x14ac:dyDescent="0.25"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</row>
    <row r="6" spans="2:45" x14ac:dyDescent="0.25"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</row>
    <row r="7" spans="2:45" x14ac:dyDescent="0.25"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</row>
    <row r="8" spans="2:45" ht="28.9" customHeight="1" x14ac:dyDescent="0.25"/>
    <row r="9" spans="2:45" ht="28.9" customHeight="1" thickBot="1" x14ac:dyDescent="0.3">
      <c r="B9" s="369" t="s">
        <v>362</v>
      </c>
      <c r="C9" s="369" t="s">
        <v>363</v>
      </c>
      <c r="D9" s="369" t="s">
        <v>293</v>
      </c>
      <c r="E9" s="369" t="s">
        <v>282</v>
      </c>
      <c r="F9" s="369" t="s">
        <v>283</v>
      </c>
      <c r="G9" s="369" t="s">
        <v>364</v>
      </c>
      <c r="H9" s="369" t="s">
        <v>365</v>
      </c>
      <c r="I9" s="369" t="s">
        <v>366</v>
      </c>
      <c r="J9" s="369" t="s">
        <v>367</v>
      </c>
    </row>
    <row r="10" spans="2:45" ht="28.9" customHeight="1" thickBot="1" x14ac:dyDescent="0.35">
      <c r="B10" s="357" t="s">
        <v>496</v>
      </c>
      <c r="C10" s="370" t="s">
        <v>495</v>
      </c>
      <c r="D10" s="370" t="s">
        <v>498</v>
      </c>
      <c r="E10" s="357" t="s">
        <v>232</v>
      </c>
      <c r="F10" s="357">
        <v>400</v>
      </c>
      <c r="G10" s="370">
        <v>20</v>
      </c>
      <c r="H10" s="370">
        <v>8000</v>
      </c>
      <c r="I10" s="361"/>
      <c r="J10" s="357" t="s">
        <v>751</v>
      </c>
    </row>
    <row r="11" spans="2:45" ht="28.9" customHeight="1" thickBot="1" x14ac:dyDescent="0.35">
      <c r="B11" s="357"/>
      <c r="C11" s="370"/>
      <c r="D11" s="370"/>
      <c r="E11" s="357"/>
      <c r="F11" s="357"/>
      <c r="G11" s="370"/>
      <c r="H11" s="370"/>
      <c r="I11" s="361"/>
      <c r="J11" s="357"/>
    </row>
    <row r="12" spans="2:45" ht="28.9" customHeight="1" thickBot="1" x14ac:dyDescent="0.35">
      <c r="B12" s="357"/>
      <c r="C12" s="370"/>
      <c r="D12" s="370"/>
      <c r="E12" s="357"/>
      <c r="F12" s="357"/>
      <c r="G12" s="370"/>
      <c r="H12" s="370"/>
      <c r="I12" s="361"/>
      <c r="J12" s="357"/>
      <c r="K12" s="371"/>
    </row>
    <row r="13" spans="2:45" ht="28.9" customHeight="1" x14ac:dyDescent="0.3">
      <c r="B13" s="370"/>
      <c r="C13" s="370"/>
      <c r="D13" s="370"/>
      <c r="E13" s="370"/>
      <c r="F13" s="370"/>
      <c r="G13" s="370"/>
      <c r="H13" s="370"/>
      <c r="I13" s="370"/>
      <c r="J13" s="370"/>
    </row>
    <row r="14" spans="2:45" ht="28.9" customHeight="1" x14ac:dyDescent="0.3">
      <c r="B14" s="370"/>
      <c r="C14" s="370"/>
      <c r="D14" s="370"/>
      <c r="E14" s="370"/>
      <c r="F14" s="370"/>
      <c r="G14" s="370"/>
      <c r="H14" s="370"/>
      <c r="I14" s="370"/>
      <c r="J14" s="370"/>
    </row>
    <row r="15" spans="2:45" ht="28.9" customHeight="1" x14ac:dyDescent="0.3">
      <c r="B15" s="370"/>
      <c r="C15" s="370"/>
      <c r="D15" s="370"/>
      <c r="E15" s="370"/>
      <c r="F15" s="370"/>
      <c r="G15" s="370"/>
      <c r="H15" s="370"/>
      <c r="I15" s="370"/>
      <c r="J15" s="370"/>
    </row>
    <row r="16" spans="2:45" ht="28.9" customHeight="1" x14ac:dyDescent="0.3">
      <c r="B16" s="370"/>
      <c r="C16" s="370"/>
      <c r="D16" s="370"/>
      <c r="E16" s="370"/>
      <c r="F16" s="370"/>
      <c r="G16" s="370"/>
      <c r="H16" s="370"/>
      <c r="I16" s="370"/>
      <c r="J16" s="370"/>
    </row>
    <row r="17" spans="2:10" ht="28.9" customHeight="1" x14ac:dyDescent="0.3">
      <c r="B17" s="370"/>
      <c r="C17" s="370"/>
      <c r="D17" s="370"/>
      <c r="E17" s="370"/>
      <c r="F17" s="370"/>
      <c r="G17" s="370"/>
      <c r="H17" s="370"/>
      <c r="I17" s="370"/>
      <c r="J17" s="370"/>
    </row>
    <row r="18" spans="2:10" ht="28.9" customHeight="1" x14ac:dyDescent="0.3">
      <c r="B18" s="370"/>
      <c r="C18" s="370"/>
      <c r="D18" s="370"/>
      <c r="E18" s="370"/>
      <c r="F18" s="370"/>
      <c r="G18" s="370"/>
      <c r="H18" s="370"/>
      <c r="I18" s="370"/>
      <c r="J18" s="370"/>
    </row>
    <row r="19" spans="2:10" ht="28.9" customHeight="1" x14ac:dyDescent="0.3">
      <c r="B19" s="370"/>
      <c r="C19" s="370"/>
      <c r="D19" s="370"/>
      <c r="E19" s="370"/>
      <c r="F19" s="370"/>
      <c r="G19" s="370"/>
      <c r="H19" s="370"/>
      <c r="I19" s="370"/>
      <c r="J19" s="370"/>
    </row>
    <row r="20" spans="2:10" ht="28.9" customHeight="1" x14ac:dyDescent="0.3">
      <c r="B20" s="370"/>
      <c r="C20" s="370"/>
      <c r="D20" s="370"/>
      <c r="E20" s="370"/>
      <c r="F20" s="370"/>
      <c r="G20" s="370"/>
      <c r="H20" s="370"/>
      <c r="I20" s="370"/>
      <c r="J20" s="370"/>
    </row>
    <row r="21" spans="2:10" ht="28.9" customHeight="1" x14ac:dyDescent="0.3">
      <c r="B21" s="370"/>
      <c r="C21" s="370"/>
      <c r="D21" s="370"/>
      <c r="E21" s="370"/>
      <c r="F21" s="370"/>
      <c r="G21" s="370"/>
      <c r="H21" s="370"/>
      <c r="I21" s="370"/>
      <c r="J21" s="370"/>
    </row>
    <row r="22" spans="2:10" ht="28.9" customHeight="1" x14ac:dyDescent="0.3">
      <c r="B22" s="370"/>
      <c r="C22" s="370"/>
      <c r="D22" s="370"/>
      <c r="E22" s="370"/>
      <c r="F22" s="370"/>
      <c r="G22" s="370"/>
      <c r="H22" s="370"/>
      <c r="I22" s="370"/>
      <c r="J22" s="370"/>
    </row>
    <row r="23" spans="2:10" ht="28.9" customHeight="1" x14ac:dyDescent="0.3">
      <c r="B23" s="370"/>
      <c r="C23" s="370"/>
      <c r="D23" s="370"/>
      <c r="E23" s="370"/>
      <c r="F23" s="370"/>
      <c r="G23" s="370"/>
      <c r="H23" s="370"/>
      <c r="I23" s="370"/>
      <c r="J23" s="370"/>
    </row>
    <row r="24" spans="2:10" ht="28.9" customHeight="1" x14ac:dyDescent="0.3">
      <c r="B24" s="370"/>
      <c r="C24" s="370"/>
      <c r="D24" s="370"/>
      <c r="E24" s="370"/>
      <c r="F24" s="370"/>
      <c r="G24" s="370"/>
      <c r="H24" s="370"/>
      <c r="I24" s="370"/>
      <c r="J24" s="370"/>
    </row>
    <row r="25" spans="2:10" ht="28.9" customHeight="1" x14ac:dyDescent="0.3">
      <c r="B25" s="370"/>
      <c r="C25" s="370"/>
      <c r="D25" s="370"/>
      <c r="E25" s="370"/>
      <c r="F25" s="370"/>
      <c r="G25" s="370"/>
      <c r="H25" s="370"/>
      <c r="I25" s="370"/>
      <c r="J25" s="370"/>
    </row>
    <row r="26" spans="2:10" ht="28.9" customHeight="1" x14ac:dyDescent="0.3">
      <c r="B26" s="370"/>
      <c r="C26" s="370"/>
      <c r="D26" s="370"/>
      <c r="E26" s="370"/>
      <c r="F26" s="370"/>
      <c r="G26" s="370"/>
      <c r="H26" s="370"/>
      <c r="I26" s="370"/>
      <c r="J26" s="370"/>
    </row>
    <row r="27" spans="2:10" ht="28.9" customHeight="1" x14ac:dyDescent="0.3">
      <c r="B27" s="370"/>
      <c r="C27" s="370"/>
      <c r="D27" s="370"/>
      <c r="E27" s="370"/>
      <c r="F27" s="370"/>
      <c r="G27" s="370"/>
      <c r="H27" s="370"/>
      <c r="I27" s="370"/>
      <c r="J27" s="370"/>
    </row>
    <row r="28" spans="2:10" ht="28.9" customHeight="1" x14ac:dyDescent="0.3">
      <c r="B28" s="370"/>
      <c r="C28" s="370"/>
      <c r="D28" s="370"/>
      <c r="E28" s="370"/>
      <c r="F28" s="370"/>
      <c r="G28" s="370"/>
      <c r="H28" s="370"/>
      <c r="I28" s="370"/>
      <c r="J28" s="370"/>
    </row>
    <row r="29" spans="2:10" ht="28.9" customHeight="1" x14ac:dyDescent="0.3">
      <c r="B29" s="370"/>
      <c r="C29" s="370"/>
      <c r="D29" s="370"/>
      <c r="E29" s="370"/>
      <c r="F29" s="370"/>
      <c r="G29" s="370"/>
      <c r="H29" s="370"/>
      <c r="I29" s="370"/>
      <c r="J29" s="370"/>
    </row>
    <row r="30" spans="2:10" ht="28.9" customHeight="1" x14ac:dyDescent="0.3">
      <c r="B30" s="370"/>
      <c r="C30" s="370"/>
      <c r="D30" s="370"/>
      <c r="E30" s="370"/>
      <c r="F30" s="370"/>
      <c r="G30" s="370"/>
      <c r="H30" s="370"/>
      <c r="I30" s="370"/>
      <c r="J30" s="370"/>
    </row>
    <row r="31" spans="2:10" ht="28.9" customHeight="1" x14ac:dyDescent="0.3">
      <c r="B31" s="370"/>
      <c r="C31" s="370"/>
      <c r="D31" s="370"/>
      <c r="E31" s="370"/>
      <c r="F31" s="370"/>
      <c r="G31" s="370"/>
      <c r="H31" s="370"/>
      <c r="I31" s="370"/>
      <c r="J31" s="370"/>
    </row>
    <row r="32" spans="2:10" ht="28.9" customHeight="1" x14ac:dyDescent="0.3">
      <c r="B32" s="370"/>
      <c r="C32" s="370"/>
      <c r="D32" s="370"/>
      <c r="E32" s="370"/>
      <c r="F32" s="370"/>
      <c r="G32" s="370"/>
      <c r="H32" s="370"/>
      <c r="I32" s="370"/>
      <c r="J32" s="370"/>
    </row>
    <row r="33" spans="2:10" ht="28.9" customHeight="1" x14ac:dyDescent="0.3">
      <c r="B33" s="370"/>
      <c r="C33" s="370"/>
      <c r="D33" s="370"/>
      <c r="E33" s="370"/>
      <c r="F33" s="370"/>
      <c r="G33" s="370"/>
      <c r="H33" s="370"/>
      <c r="I33" s="370"/>
      <c r="J33" s="370"/>
    </row>
    <row r="34" spans="2:10" ht="28.9" customHeight="1" x14ac:dyDescent="0.3">
      <c r="B34" s="370"/>
      <c r="C34" s="370"/>
      <c r="D34" s="370"/>
      <c r="E34" s="370"/>
      <c r="F34" s="370"/>
      <c r="G34" s="370"/>
      <c r="H34" s="370"/>
      <c r="I34" s="370"/>
      <c r="J34" s="370"/>
    </row>
    <row r="35" spans="2:10" ht="28.9" customHeight="1" x14ac:dyDescent="0.3">
      <c r="B35" s="370"/>
      <c r="C35" s="370"/>
      <c r="D35" s="370"/>
      <c r="E35" s="370"/>
      <c r="F35" s="370"/>
      <c r="G35" s="370"/>
      <c r="H35" s="370"/>
      <c r="I35" s="370"/>
      <c r="J35" s="370"/>
    </row>
    <row r="36" spans="2:10" ht="28.9" customHeight="1" x14ac:dyDescent="0.3">
      <c r="B36" s="370"/>
      <c r="C36" s="370"/>
      <c r="D36" s="370"/>
      <c r="E36" s="370"/>
      <c r="F36" s="370"/>
      <c r="G36" s="370"/>
      <c r="H36" s="370"/>
      <c r="I36" s="370"/>
      <c r="J36" s="370"/>
    </row>
    <row r="37" spans="2:10" ht="28.9" customHeight="1" x14ac:dyDescent="0.3">
      <c r="B37" s="370"/>
      <c r="C37" s="370"/>
      <c r="D37" s="370"/>
      <c r="E37" s="370"/>
      <c r="F37" s="370"/>
      <c r="G37" s="370"/>
      <c r="H37" s="370"/>
      <c r="I37" s="370"/>
      <c r="J37" s="370"/>
    </row>
    <row r="38" spans="2:10" ht="28.9" customHeight="1" x14ac:dyDescent="0.3">
      <c r="B38" s="370"/>
      <c r="C38" s="370"/>
      <c r="D38" s="370"/>
      <c r="E38" s="370"/>
      <c r="F38" s="370"/>
      <c r="G38" s="370"/>
      <c r="H38" s="370"/>
      <c r="I38" s="370"/>
      <c r="J38" s="370"/>
    </row>
    <row r="39" spans="2:10" ht="28.9" customHeight="1" x14ac:dyDescent="0.3">
      <c r="B39" s="370"/>
      <c r="C39" s="370"/>
      <c r="D39" s="370"/>
      <c r="E39" s="370"/>
      <c r="F39" s="370"/>
      <c r="G39" s="370"/>
      <c r="H39" s="370"/>
      <c r="I39" s="370"/>
      <c r="J39" s="370"/>
    </row>
    <row r="40" spans="2:10" ht="28.9" customHeight="1" x14ac:dyDescent="0.3">
      <c r="B40" s="370"/>
      <c r="C40" s="370"/>
      <c r="D40" s="370"/>
      <c r="E40" s="370"/>
      <c r="F40" s="370"/>
      <c r="G40" s="370"/>
      <c r="H40" s="370"/>
      <c r="I40" s="370"/>
      <c r="J40" s="370"/>
    </row>
    <row r="41" spans="2:10" ht="28.9" customHeight="1" x14ac:dyDescent="0.3">
      <c r="B41" s="370"/>
      <c r="C41" s="370"/>
      <c r="D41" s="370"/>
      <c r="E41" s="370"/>
      <c r="F41" s="370"/>
      <c r="G41" s="370"/>
      <c r="H41" s="370"/>
      <c r="I41" s="370"/>
      <c r="J41" s="370"/>
    </row>
    <row r="42" spans="2:10" ht="28.9" customHeight="1" x14ac:dyDescent="0.3">
      <c r="B42" s="370"/>
      <c r="C42" s="370"/>
      <c r="D42" s="370"/>
      <c r="E42" s="370"/>
      <c r="F42" s="370"/>
      <c r="G42" s="370"/>
      <c r="H42" s="370"/>
      <c r="I42" s="370"/>
      <c r="J42" s="370"/>
    </row>
    <row r="43" spans="2:10" ht="28.9" customHeight="1" x14ac:dyDescent="0.3">
      <c r="B43" s="370"/>
      <c r="C43" s="370"/>
      <c r="D43" s="370"/>
      <c r="E43" s="370"/>
      <c r="F43" s="370"/>
      <c r="G43" s="370"/>
      <c r="H43" s="370"/>
      <c r="I43" s="370"/>
      <c r="J43" s="370"/>
    </row>
    <row r="44" spans="2:10" ht="28.9" customHeight="1" x14ac:dyDescent="0.3">
      <c r="B44" s="370"/>
      <c r="C44" s="370"/>
      <c r="D44" s="370"/>
      <c r="E44" s="370"/>
      <c r="F44" s="370"/>
      <c r="G44" s="370"/>
      <c r="H44" s="370"/>
      <c r="I44" s="370"/>
      <c r="J44" s="370"/>
    </row>
    <row r="45" spans="2:10" ht="28.9" customHeight="1" x14ac:dyDescent="0.3">
      <c r="B45" s="370"/>
      <c r="C45" s="370"/>
      <c r="D45" s="370"/>
      <c r="E45" s="370"/>
      <c r="F45" s="370"/>
      <c r="G45" s="370"/>
      <c r="H45" s="370"/>
      <c r="I45" s="370"/>
      <c r="J45" s="370"/>
    </row>
    <row r="46" spans="2:10" ht="28.9" customHeight="1" x14ac:dyDescent="0.3">
      <c r="B46" s="370"/>
      <c r="C46" s="370"/>
      <c r="D46" s="370"/>
      <c r="E46" s="370"/>
      <c r="F46" s="370"/>
      <c r="G46" s="370"/>
      <c r="H46" s="370"/>
      <c r="I46" s="370"/>
      <c r="J46" s="370"/>
    </row>
    <row r="47" spans="2:10" ht="28.9" customHeight="1" x14ac:dyDescent="0.3">
      <c r="B47" s="370"/>
      <c r="C47" s="370"/>
      <c r="D47" s="370"/>
      <c r="E47" s="370"/>
      <c r="F47" s="370"/>
      <c r="G47" s="370"/>
      <c r="H47" s="370"/>
      <c r="I47" s="370"/>
      <c r="J47" s="370"/>
    </row>
    <row r="48" spans="2:10" ht="28.9" customHeight="1" x14ac:dyDescent="0.3">
      <c r="B48" s="370"/>
      <c r="C48" s="370"/>
      <c r="D48" s="370"/>
      <c r="E48" s="370"/>
      <c r="F48" s="370"/>
      <c r="G48" s="370"/>
      <c r="H48" s="370"/>
      <c r="I48" s="370"/>
      <c r="J48" s="370"/>
    </row>
    <row r="49" spans="2:10" ht="28.9" customHeight="1" x14ac:dyDescent="0.3">
      <c r="B49" s="370"/>
      <c r="C49" s="370"/>
      <c r="D49" s="370"/>
      <c r="E49" s="370"/>
      <c r="F49" s="370"/>
      <c r="G49" s="370"/>
      <c r="H49" s="370"/>
      <c r="I49" s="370"/>
      <c r="J49" s="370"/>
    </row>
    <row r="50" spans="2:10" ht="28.9" customHeight="1" x14ac:dyDescent="0.3">
      <c r="B50" s="370"/>
      <c r="C50" s="370"/>
      <c r="D50" s="370"/>
      <c r="E50" s="370"/>
      <c r="F50" s="370"/>
      <c r="G50" s="370"/>
      <c r="H50" s="370"/>
      <c r="I50" s="370"/>
      <c r="J50" s="370"/>
    </row>
    <row r="51" spans="2:10" ht="28.9" customHeight="1" x14ac:dyDescent="0.3">
      <c r="B51" s="370"/>
      <c r="C51" s="215"/>
      <c r="D51" s="215"/>
      <c r="E51" s="370"/>
      <c r="F51" s="370"/>
      <c r="G51" s="370"/>
      <c r="H51" s="370"/>
      <c r="I51" s="370"/>
      <c r="J51" s="370"/>
    </row>
    <row r="52" spans="2:10" ht="28.9" customHeight="1" x14ac:dyDescent="0.3">
      <c r="B52" s="370"/>
      <c r="C52" s="215"/>
      <c r="D52" s="215"/>
      <c r="E52" s="370"/>
      <c r="F52" s="370"/>
      <c r="G52" s="370"/>
      <c r="H52" s="370"/>
      <c r="I52" s="370"/>
      <c r="J52" s="370"/>
    </row>
    <row r="53" spans="2:10" ht="28.9" customHeight="1" x14ac:dyDescent="0.3">
      <c r="B53" s="370"/>
      <c r="E53" s="370"/>
      <c r="F53" s="370"/>
      <c r="I53" s="215"/>
      <c r="J53" s="215"/>
    </row>
    <row r="54" spans="2:10" ht="28.9" customHeight="1" x14ac:dyDescent="0.3">
      <c r="B54" s="370"/>
      <c r="E54" s="215"/>
      <c r="F54" s="215"/>
      <c r="I54" s="215"/>
      <c r="J54" s="215"/>
    </row>
    <row r="55" spans="2:10" ht="28.9" customHeight="1" x14ac:dyDescent="0.25"/>
    <row r="56" spans="2:10" ht="28.9" customHeight="1" x14ac:dyDescent="0.25"/>
    <row r="57" spans="2:10" ht="28.9" customHeight="1" x14ac:dyDescent="0.25"/>
    <row r="58" spans="2:10" ht="28.9" customHeight="1" x14ac:dyDescent="0.25"/>
    <row r="59" spans="2:10" ht="28.9" customHeight="1" x14ac:dyDescent="0.25"/>
    <row r="60" spans="2:10" ht="28.9" customHeight="1" x14ac:dyDescent="0.25"/>
    <row r="61" spans="2:10" ht="28.9" customHeight="1" x14ac:dyDescent="0.25"/>
    <row r="62" spans="2:10" ht="28.9" customHeight="1" x14ac:dyDescent="0.25"/>
    <row r="63" spans="2:10" ht="28.9" customHeight="1" x14ac:dyDescent="0.25"/>
    <row r="64" spans="2:10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8F359B-1B65-416F-A43F-47313C2A72B4}">
          <x14:formula1>
            <xm:f>V_METAS!$N$22:$N$25</xm:f>
          </x14:formula1>
          <xm:sqref>E10:E12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926D-FC40-41E9-BF6A-2E546C49A236}">
  <sheetPr codeName="Planilha44">
    <tabColor rgb="FF7030A0"/>
  </sheetPr>
  <dimension ref="B1:AM66"/>
  <sheetViews>
    <sheetView zoomScale="40" zoomScaleNormal="40" workbookViewId="0">
      <selection activeCell="S47" sqref="S47"/>
    </sheetView>
  </sheetViews>
  <sheetFormatPr defaultColWidth="8.85546875" defaultRowHeight="15" x14ac:dyDescent="0.25"/>
  <cols>
    <col min="2" max="2" width="37.85546875" customWidth="1"/>
    <col min="3" max="3" width="40.42578125" customWidth="1"/>
    <col min="4" max="4" width="30.140625" customWidth="1"/>
    <col min="5" max="5" width="26" bestFit="1" customWidth="1"/>
    <col min="6" max="6" width="44.85546875" customWidth="1"/>
    <col min="7" max="7" width="15.5703125" customWidth="1"/>
    <col min="12" max="12" width="23.42578125" bestFit="1" customWidth="1"/>
    <col min="13" max="13" width="2.7109375" bestFit="1" customWidth="1"/>
    <col min="14" max="14" width="51.140625" customWidth="1"/>
  </cols>
  <sheetData>
    <row r="1" spans="2:39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ht="61.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ht="46.15" customHeight="1" x14ac:dyDescent="0.25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</row>
    <row r="5" spans="2:39" x14ac:dyDescent="0.25"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</row>
    <row r="6" spans="2:39" x14ac:dyDescent="0.25"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</row>
    <row r="7" spans="2:39" x14ac:dyDescent="0.25"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</row>
    <row r="8" spans="2:39" ht="28.9" customHeight="1" x14ac:dyDescent="0.25"/>
    <row r="9" spans="2:39" ht="28.9" customHeight="1" x14ac:dyDescent="0.25">
      <c r="B9" s="372" t="s">
        <v>752</v>
      </c>
      <c r="C9" s="372" t="s">
        <v>747</v>
      </c>
      <c r="D9" s="372" t="s">
        <v>748</v>
      </c>
    </row>
    <row r="10" spans="2:39" ht="28.9" customHeight="1" x14ac:dyDescent="0.3">
      <c r="B10" s="370">
        <v>160</v>
      </c>
      <c r="C10" s="370">
        <v>1600</v>
      </c>
      <c r="D10" s="370" t="s">
        <v>753</v>
      </c>
    </row>
    <row r="11" spans="2:39" ht="28.9" customHeight="1" x14ac:dyDescent="0.3">
      <c r="B11" s="370"/>
      <c r="C11" s="370"/>
      <c r="D11" s="370"/>
    </row>
    <row r="12" spans="2:39" ht="28.9" customHeight="1" x14ac:dyDescent="0.3">
      <c r="B12" s="370"/>
      <c r="C12" s="370"/>
      <c r="D12" s="370"/>
    </row>
    <row r="13" spans="2:39" ht="28.9" customHeight="1" x14ac:dyDescent="0.3">
      <c r="B13" s="370"/>
      <c r="C13" s="370"/>
      <c r="D13" s="370"/>
    </row>
    <row r="14" spans="2:39" ht="28.9" customHeight="1" x14ac:dyDescent="0.3">
      <c r="B14" s="370"/>
      <c r="C14" s="370"/>
      <c r="D14" s="370"/>
    </row>
    <row r="15" spans="2:39" ht="28.9" customHeight="1" x14ac:dyDescent="0.3">
      <c r="B15" s="370"/>
      <c r="C15" s="370"/>
      <c r="D15" s="370"/>
    </row>
    <row r="16" spans="2:39" ht="28.9" customHeight="1" x14ac:dyDescent="0.3">
      <c r="B16" s="370"/>
      <c r="C16" s="370"/>
      <c r="D16" s="370"/>
    </row>
    <row r="17" spans="2:4" ht="28.9" customHeight="1" x14ac:dyDescent="0.3">
      <c r="B17" s="370"/>
      <c r="C17" s="370"/>
      <c r="D17" s="370"/>
    </row>
    <row r="18" spans="2:4" ht="28.9" customHeight="1" x14ac:dyDescent="0.3">
      <c r="B18" s="370"/>
      <c r="C18" s="370"/>
      <c r="D18" s="370"/>
    </row>
    <row r="19" spans="2:4" ht="28.9" customHeight="1" x14ac:dyDescent="0.3">
      <c r="B19" s="370"/>
      <c r="C19" s="370"/>
      <c r="D19" s="370"/>
    </row>
    <row r="20" spans="2:4" ht="28.9" customHeight="1" x14ac:dyDescent="0.3">
      <c r="B20" s="370"/>
      <c r="C20" s="370"/>
      <c r="D20" s="370"/>
    </row>
    <row r="21" spans="2:4" ht="28.9" customHeight="1" x14ac:dyDescent="0.3">
      <c r="B21" s="370"/>
      <c r="C21" s="370"/>
      <c r="D21" s="370"/>
    </row>
    <row r="22" spans="2:4" ht="28.9" customHeight="1" x14ac:dyDescent="0.3">
      <c r="B22" s="370"/>
      <c r="C22" s="370"/>
      <c r="D22" s="370"/>
    </row>
    <row r="23" spans="2:4" ht="28.9" customHeight="1" x14ac:dyDescent="0.3">
      <c r="B23" s="370"/>
      <c r="C23" s="370"/>
      <c r="D23" s="370"/>
    </row>
    <row r="24" spans="2:4" ht="28.9" customHeight="1" x14ac:dyDescent="0.3">
      <c r="B24" s="370"/>
      <c r="C24" s="370"/>
      <c r="D24" s="370"/>
    </row>
    <row r="25" spans="2:4" ht="28.9" customHeight="1" x14ac:dyDescent="0.3">
      <c r="B25" s="370"/>
      <c r="C25" s="370"/>
      <c r="D25" s="370"/>
    </row>
    <row r="26" spans="2:4" ht="28.9" customHeight="1" x14ac:dyDescent="0.3">
      <c r="B26" s="370"/>
      <c r="C26" s="370"/>
      <c r="D26" s="370"/>
    </row>
    <row r="27" spans="2:4" ht="28.9" customHeight="1" x14ac:dyDescent="0.3">
      <c r="B27" s="370"/>
      <c r="C27" s="370"/>
      <c r="D27" s="370"/>
    </row>
    <row r="28" spans="2:4" ht="28.9" customHeight="1" x14ac:dyDescent="0.3">
      <c r="B28" s="370"/>
      <c r="C28" s="370"/>
      <c r="D28" s="370"/>
    </row>
    <row r="29" spans="2:4" ht="28.9" customHeight="1" x14ac:dyDescent="0.3">
      <c r="B29" s="370"/>
      <c r="C29" s="370"/>
      <c r="D29" s="370"/>
    </row>
    <row r="30" spans="2:4" ht="28.9" customHeight="1" x14ac:dyDescent="0.3">
      <c r="B30" s="370"/>
      <c r="C30" s="370"/>
      <c r="D30" s="370"/>
    </row>
    <row r="31" spans="2:4" ht="28.9" customHeight="1" x14ac:dyDescent="0.3">
      <c r="B31" s="370"/>
      <c r="C31" s="370"/>
      <c r="D31" s="370"/>
    </row>
    <row r="32" spans="2: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theme="1"/>
  </sheetPr>
  <dimension ref="A1:AU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41.5703125" bestFit="1" customWidth="1"/>
    <col min="7" max="7" width="26" customWidth="1"/>
    <col min="8" max="8" width="32.28515625" bestFit="1" customWidth="1"/>
    <col min="9" max="9" width="22.85546875" bestFit="1" customWidth="1"/>
    <col min="10" max="10" width="26.7109375" customWidth="1"/>
    <col min="11" max="11" width="32.140625" bestFit="1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</row>
    <row r="5" spans="1:4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</row>
    <row r="6" spans="1:4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</row>
    <row r="7" spans="1:4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</row>
    <row r="8" spans="1:47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9" customHeight="1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theme="1"/>
  </sheetPr>
  <dimension ref="A1:AU66"/>
  <sheetViews>
    <sheetView showGridLines="0" showRowColHeaders="0"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41.5703125" bestFit="1" customWidth="1"/>
    <col min="7" max="7" width="26" customWidth="1"/>
    <col min="8" max="8" width="32.28515625" bestFit="1" customWidth="1"/>
    <col min="9" max="9" width="22.85546875" bestFit="1" customWidth="1"/>
    <col min="10" max="10" width="26.7109375" customWidth="1"/>
    <col min="11" max="11" width="32.140625" bestFit="1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</row>
    <row r="5" spans="1:4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</row>
    <row r="6" spans="1:4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</row>
    <row r="7" spans="1:4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/>
    <row r="12" spans="1:47" ht="28.9" customHeight="1" x14ac:dyDescent="0.25">
      <c r="F12" s="283"/>
      <c r="G12" s="489" t="s">
        <v>283</v>
      </c>
      <c r="H12" s="489"/>
      <c r="K12" s="283"/>
      <c r="L12" s="489" t="s">
        <v>283</v>
      </c>
      <c r="M12" s="489"/>
    </row>
    <row r="13" spans="1:47" ht="28.9" customHeight="1" x14ac:dyDescent="0.25">
      <c r="F13" s="286" t="s">
        <v>282</v>
      </c>
      <c r="G13" s="287" t="s">
        <v>648</v>
      </c>
      <c r="H13" s="287" t="s">
        <v>649</v>
      </c>
      <c r="K13" s="286" t="s">
        <v>650</v>
      </c>
      <c r="L13" s="287" t="s">
        <v>648</v>
      </c>
      <c r="M13" s="287" t="s">
        <v>649</v>
      </c>
    </row>
    <row r="14" spans="1:47" ht="28.9" customHeight="1" x14ac:dyDescent="0.25">
      <c r="F14" s="285" t="s">
        <v>647</v>
      </c>
      <c r="G14" s="288"/>
      <c r="H14" s="289"/>
      <c r="K14" s="285" t="s">
        <v>3</v>
      </c>
      <c r="L14" s="284"/>
      <c r="M14" s="284"/>
    </row>
    <row r="15" spans="1:47" ht="28.9" customHeight="1" x14ac:dyDescent="0.25">
      <c r="F15" s="285" t="s">
        <v>9</v>
      </c>
      <c r="G15" s="289"/>
      <c r="H15" s="289"/>
      <c r="K15" s="285" t="s">
        <v>4</v>
      </c>
      <c r="L15" s="284"/>
      <c r="M15" s="284"/>
    </row>
    <row r="16" spans="1:47" ht="28.9" customHeight="1" x14ac:dyDescent="0.25">
      <c r="F16" s="285" t="s">
        <v>10</v>
      </c>
      <c r="G16" s="289"/>
      <c r="H16" s="289"/>
      <c r="K16" s="285" t="s">
        <v>5</v>
      </c>
      <c r="L16" s="284"/>
      <c r="M16" s="284"/>
    </row>
    <row r="17" spans="6:13" ht="28.9" customHeight="1" x14ac:dyDescent="0.25">
      <c r="F17" s="285" t="s">
        <v>11</v>
      </c>
      <c r="G17" s="289"/>
      <c r="H17" s="289"/>
      <c r="K17" s="285" t="s">
        <v>6</v>
      </c>
      <c r="L17" s="284"/>
      <c r="M17" s="284"/>
    </row>
    <row r="18" spans="6:13" ht="28.9" customHeight="1" x14ac:dyDescent="0.25">
      <c r="K18" s="285" t="s">
        <v>7</v>
      </c>
      <c r="L18" s="215"/>
      <c r="M18" s="215"/>
    </row>
    <row r="19" spans="6:13" ht="28.9" customHeight="1" x14ac:dyDescent="0.25"/>
    <row r="20" spans="6:13" ht="28.9" customHeight="1" x14ac:dyDescent="0.25"/>
    <row r="21" spans="6:13" ht="28.9" customHeight="1" x14ac:dyDescent="0.25"/>
    <row r="22" spans="6:13" ht="28.9" customHeight="1" x14ac:dyDescent="0.25"/>
    <row r="23" spans="6:13" ht="28.9" customHeight="1" x14ac:dyDescent="0.25"/>
    <row r="24" spans="6:13" ht="28.9" customHeight="1" x14ac:dyDescent="0.25"/>
    <row r="25" spans="6:13" ht="28.9" customHeight="1" x14ac:dyDescent="0.25"/>
    <row r="26" spans="6:13" ht="28.9" customHeight="1" x14ac:dyDescent="0.25"/>
    <row r="27" spans="6:13" ht="28.9" customHeight="1" x14ac:dyDescent="0.25"/>
    <row r="28" spans="6:13" ht="28.9" customHeight="1" x14ac:dyDescent="0.25"/>
    <row r="29" spans="6:13" ht="28.9" customHeight="1" x14ac:dyDescent="0.25"/>
    <row r="30" spans="6:13" ht="28.9" customHeight="1" x14ac:dyDescent="0.25"/>
    <row r="31" spans="6:13" ht="28.9" customHeight="1" x14ac:dyDescent="0.25"/>
    <row r="32" spans="6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1C8EE-79FD-42C7-8BD3-FBDDB6496E2E}">
  <sheetPr codeName="Planilha69">
    <tabColor theme="1"/>
  </sheetPr>
  <dimension ref="A1:AF40"/>
  <sheetViews>
    <sheetView showGridLines="0" zoomScale="40" zoomScaleNormal="40" workbookViewId="0"/>
  </sheetViews>
  <sheetFormatPr defaultColWidth="8.85546875" defaultRowHeight="15" x14ac:dyDescent="0.25"/>
  <cols>
    <col min="2" max="2" width="31" customWidth="1"/>
    <col min="3" max="3" width="59.85546875" customWidth="1"/>
    <col min="4" max="4" width="47.28515625" customWidth="1"/>
    <col min="5" max="5" width="52.140625" customWidth="1"/>
    <col min="6" max="6" width="41.5703125" customWidth="1"/>
    <col min="7" max="7" width="25.5703125" customWidth="1"/>
    <col min="8" max="8" width="27.5703125" customWidth="1"/>
    <col min="9" max="10" width="47.85546875" customWidth="1"/>
    <col min="11" max="11" width="33" customWidth="1"/>
    <col min="12" max="12" width="36" customWidth="1"/>
    <col min="13" max="13" width="28" bestFit="1" customWidth="1"/>
    <col min="14" max="14" width="30" customWidth="1"/>
    <col min="15" max="15" width="31" bestFit="1" customWidth="1"/>
    <col min="16" max="16" width="26.85546875" customWidth="1"/>
    <col min="17" max="17" width="14.5703125" customWidth="1"/>
    <col min="18" max="18" width="27" customWidth="1"/>
    <col min="19" max="19" width="13.28515625" customWidth="1"/>
  </cols>
  <sheetData>
    <row r="1" spans="1:32" ht="61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46.15" customHeight="1" x14ac:dyDescent="0.25">
      <c r="A2" s="490"/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490"/>
      <c r="P2" s="490"/>
      <c r="Q2" s="490"/>
      <c r="R2" s="490"/>
      <c r="S2" s="490"/>
      <c r="T2" s="490"/>
      <c r="U2" s="490"/>
      <c r="V2" s="490"/>
      <c r="W2" s="490"/>
      <c r="X2" s="490"/>
      <c r="Y2" s="490"/>
      <c r="Z2" s="490"/>
      <c r="AA2" s="490"/>
      <c r="AB2" s="490"/>
      <c r="AC2" s="490"/>
      <c r="AD2" s="490"/>
      <c r="AE2" s="490"/>
      <c r="AF2" s="490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32" ht="21" thickBot="1" x14ac:dyDescent="0.35">
      <c r="B5" s="380"/>
      <c r="C5" s="384"/>
      <c r="D5" s="491"/>
      <c r="E5" s="491"/>
      <c r="F5" s="380"/>
      <c r="G5" s="380"/>
      <c r="H5" s="384"/>
      <c r="I5" s="491"/>
      <c r="J5" s="491"/>
      <c r="K5" s="491"/>
      <c r="L5" s="380"/>
      <c r="M5" s="376"/>
      <c r="N5" s="376"/>
      <c r="O5" s="376"/>
      <c r="P5" s="376"/>
      <c r="Q5" s="376"/>
      <c r="R5" s="376"/>
      <c r="S5" s="376"/>
      <c r="T5" s="376"/>
    </row>
    <row r="6" spans="1:32" ht="20.25" x14ac:dyDescent="0.3">
      <c r="C6" s="492" t="s">
        <v>361</v>
      </c>
      <c r="D6" s="492"/>
      <c r="E6" s="492"/>
      <c r="F6" s="492"/>
      <c r="G6" s="492"/>
      <c r="H6" s="492"/>
      <c r="I6" s="492"/>
      <c r="J6" s="413"/>
      <c r="K6" s="290"/>
      <c r="L6" s="493" t="s">
        <v>406</v>
      </c>
      <c r="M6" s="494"/>
      <c r="N6" s="494"/>
      <c r="O6" s="495"/>
      <c r="P6" s="412"/>
      <c r="Q6" s="376"/>
      <c r="R6" s="376"/>
      <c r="S6" s="376"/>
      <c r="T6" s="376"/>
    </row>
    <row r="7" spans="1:32" ht="21" thickBot="1" x14ac:dyDescent="0.35">
      <c r="C7" s="411" t="s">
        <v>362</v>
      </c>
      <c r="D7" s="411" t="s">
        <v>287</v>
      </c>
      <c r="E7" s="411" t="s">
        <v>293</v>
      </c>
      <c r="F7" s="411" t="s">
        <v>403</v>
      </c>
      <c r="G7" s="411" t="s">
        <v>408</v>
      </c>
      <c r="H7" s="411" t="s">
        <v>407</v>
      </c>
      <c r="I7" s="411" t="s">
        <v>409</v>
      </c>
      <c r="J7" s="410"/>
      <c r="K7" s="384"/>
      <c r="L7" s="307" t="s">
        <v>410</v>
      </c>
      <c r="M7" s="280" t="s">
        <v>362</v>
      </c>
      <c r="N7" s="280" t="s">
        <v>294</v>
      </c>
      <c r="O7" s="308" t="s">
        <v>407</v>
      </c>
      <c r="P7" s="371"/>
      <c r="Q7" s="376"/>
      <c r="R7" s="376"/>
      <c r="S7" s="376"/>
      <c r="T7" s="376"/>
    </row>
    <row r="8" spans="1:32" ht="21" thickBot="1" x14ac:dyDescent="0.35">
      <c r="C8" s="357" t="s">
        <v>767</v>
      </c>
      <c r="D8" s="357" t="s">
        <v>744</v>
      </c>
      <c r="E8" s="357" t="s">
        <v>766</v>
      </c>
      <c r="F8" s="357" t="s">
        <v>765</v>
      </c>
      <c r="G8" s="357" t="s">
        <v>759</v>
      </c>
      <c r="H8" s="357" t="s">
        <v>764</v>
      </c>
      <c r="I8" s="358" t="s">
        <v>556</v>
      </c>
      <c r="J8" s="229"/>
      <c r="K8" s="384"/>
      <c r="L8" s="403"/>
      <c r="M8" s="370"/>
      <c r="N8" s="370"/>
      <c r="O8" s="402"/>
      <c r="P8" s="371"/>
      <c r="Q8" s="376"/>
      <c r="R8" s="376"/>
      <c r="S8" s="376"/>
      <c r="T8" s="376"/>
    </row>
    <row r="9" spans="1:32" ht="21" x14ac:dyDescent="0.35">
      <c r="C9" s="399" t="s">
        <v>763</v>
      </c>
      <c r="D9" s="321" t="s">
        <v>762</v>
      </c>
      <c r="E9" s="321" t="s">
        <v>761</v>
      </c>
      <c r="F9" s="321" t="s">
        <v>760</v>
      </c>
      <c r="G9" s="321" t="s">
        <v>759</v>
      </c>
      <c r="H9" s="321" t="s">
        <v>758</v>
      </c>
      <c r="I9" s="409" t="s">
        <v>757</v>
      </c>
      <c r="J9" s="214"/>
      <c r="K9" s="384"/>
      <c r="L9" s="403"/>
      <c r="M9" s="370"/>
      <c r="N9" s="370"/>
      <c r="O9" s="402"/>
      <c r="P9" s="371"/>
      <c r="Q9" s="376"/>
      <c r="R9" s="376"/>
      <c r="S9" s="376"/>
      <c r="T9" s="376"/>
    </row>
    <row r="10" spans="1:32" ht="20.25" x14ac:dyDescent="0.3">
      <c r="C10" s="408" t="s">
        <v>412</v>
      </c>
      <c r="D10" s="296" t="s">
        <v>411</v>
      </c>
      <c r="E10" s="407" t="s">
        <v>414</v>
      </c>
      <c r="F10" s="296" t="s">
        <v>415</v>
      </c>
      <c r="G10" s="296" t="s">
        <v>416</v>
      </c>
      <c r="H10" s="296" t="s">
        <v>413</v>
      </c>
      <c r="I10" s="406" t="s">
        <v>417</v>
      </c>
      <c r="J10" s="371"/>
      <c r="K10" s="380"/>
      <c r="L10" s="403"/>
      <c r="M10" s="370"/>
      <c r="N10" s="370"/>
      <c r="O10" s="402"/>
      <c r="P10" s="371"/>
      <c r="Q10" s="376"/>
      <c r="R10" s="376"/>
      <c r="S10" s="376"/>
      <c r="T10" s="376"/>
    </row>
    <row r="11" spans="1:32" ht="20.25" x14ac:dyDescent="0.3">
      <c r="C11" s="399" t="s">
        <v>419</v>
      </c>
      <c r="D11" s="296" t="s">
        <v>418</v>
      </c>
      <c r="E11" s="297" t="s">
        <v>421</v>
      </c>
      <c r="F11" s="296" t="s">
        <v>422</v>
      </c>
      <c r="G11" s="296" t="s">
        <v>416</v>
      </c>
      <c r="H11" s="296" t="s">
        <v>420</v>
      </c>
      <c r="I11" s="299" t="s">
        <v>423</v>
      </c>
      <c r="J11" s="384"/>
      <c r="K11" s="380"/>
      <c r="L11" s="403"/>
      <c r="M11" s="370"/>
      <c r="N11" s="370"/>
      <c r="O11" s="402"/>
      <c r="P11" s="371"/>
      <c r="Q11" s="376"/>
      <c r="R11" s="376"/>
      <c r="S11" s="376"/>
      <c r="T11" s="376"/>
    </row>
    <row r="12" spans="1:32" ht="20.25" x14ac:dyDescent="0.3">
      <c r="C12" s="399" t="s">
        <v>425</v>
      </c>
      <c r="D12" s="296" t="s">
        <v>424</v>
      </c>
      <c r="E12" s="297" t="s">
        <v>427</v>
      </c>
      <c r="F12" s="296" t="s">
        <v>428</v>
      </c>
      <c r="G12" s="296" t="s">
        <v>416</v>
      </c>
      <c r="H12" s="296" t="s">
        <v>426</v>
      </c>
      <c r="I12" s="298" t="s">
        <v>429</v>
      </c>
      <c r="J12" s="401"/>
      <c r="K12" s="380"/>
      <c r="L12" s="403"/>
      <c r="M12" s="370"/>
      <c r="N12" s="370"/>
      <c r="O12" s="402"/>
      <c r="P12" s="371"/>
      <c r="Q12" s="376"/>
      <c r="R12" s="376"/>
      <c r="S12" s="376"/>
      <c r="T12" s="376"/>
    </row>
    <row r="13" spans="1:32" ht="20.25" x14ac:dyDescent="0.3">
      <c r="C13" s="399" t="s">
        <v>431</v>
      </c>
      <c r="D13" s="296" t="s">
        <v>430</v>
      </c>
      <c r="E13" s="297" t="s">
        <v>433</v>
      </c>
      <c r="F13" s="296" t="s">
        <v>416</v>
      </c>
      <c r="G13" s="296" t="s">
        <v>416</v>
      </c>
      <c r="H13" s="296" t="s">
        <v>432</v>
      </c>
      <c r="I13" s="400" t="s">
        <v>434</v>
      </c>
      <c r="J13" s="371"/>
      <c r="K13" s="376"/>
      <c r="L13" s="403"/>
      <c r="M13" s="370"/>
      <c r="N13" s="370"/>
      <c r="O13" s="402"/>
      <c r="P13" s="371"/>
      <c r="Q13" s="376"/>
      <c r="R13" s="376"/>
      <c r="S13" s="376"/>
      <c r="T13" s="376"/>
    </row>
    <row r="14" spans="1:32" ht="20.25" x14ac:dyDescent="0.3">
      <c r="C14" s="399" t="s">
        <v>436</v>
      </c>
      <c r="D14" s="296" t="s">
        <v>435</v>
      </c>
      <c r="E14" s="297" t="s">
        <v>438</v>
      </c>
      <c r="F14" s="296" t="s">
        <v>439</v>
      </c>
      <c r="G14" s="296" t="s">
        <v>416</v>
      </c>
      <c r="H14" s="296" t="s">
        <v>437</v>
      </c>
      <c r="I14" s="299" t="s">
        <v>440</v>
      </c>
      <c r="J14" s="384"/>
      <c r="K14" s="376"/>
      <c r="L14" s="403"/>
      <c r="M14" s="370"/>
      <c r="N14" s="370"/>
      <c r="O14" s="402"/>
      <c r="P14" s="371"/>
      <c r="Q14" s="376"/>
      <c r="R14" s="376"/>
      <c r="S14" s="376"/>
      <c r="T14" s="376"/>
    </row>
    <row r="15" spans="1:32" ht="20.25" x14ac:dyDescent="0.3">
      <c r="C15" s="399" t="s">
        <v>442</v>
      </c>
      <c r="D15" s="296" t="s">
        <v>441</v>
      </c>
      <c r="E15" s="297" t="s">
        <v>444</v>
      </c>
      <c r="F15" s="296" t="s">
        <v>445</v>
      </c>
      <c r="G15" s="296" t="s">
        <v>416</v>
      </c>
      <c r="H15" s="296" t="s">
        <v>443</v>
      </c>
      <c r="I15" s="298" t="s">
        <v>446</v>
      </c>
      <c r="J15" s="384"/>
      <c r="K15" s="376"/>
      <c r="L15" s="403"/>
      <c r="M15" s="370"/>
      <c r="N15" s="370"/>
      <c r="O15" s="402"/>
      <c r="P15" s="371"/>
      <c r="Q15" s="376"/>
      <c r="R15" s="376"/>
      <c r="S15" s="376"/>
      <c r="T15" s="376"/>
    </row>
    <row r="16" spans="1:32" ht="20.25" x14ac:dyDescent="0.3">
      <c r="C16" s="399" t="s">
        <v>448</v>
      </c>
      <c r="D16" s="296" t="s">
        <v>447</v>
      </c>
      <c r="E16" s="297" t="s">
        <v>450</v>
      </c>
      <c r="F16" s="296" t="s">
        <v>451</v>
      </c>
      <c r="G16" s="296" t="s">
        <v>416</v>
      </c>
      <c r="H16" s="296" t="s">
        <v>449</v>
      </c>
      <c r="I16" s="298" t="s">
        <v>452</v>
      </c>
      <c r="J16" s="405"/>
      <c r="K16" s="376"/>
      <c r="L16" s="403"/>
      <c r="M16" s="370"/>
      <c r="N16" s="370"/>
      <c r="O16" s="402"/>
      <c r="P16" s="371"/>
      <c r="Q16" s="376"/>
      <c r="R16" s="376"/>
      <c r="S16" s="376"/>
      <c r="T16" s="376"/>
    </row>
    <row r="17" spans="2:20" ht="20.25" x14ac:dyDescent="0.3">
      <c r="C17" s="399" t="s">
        <v>454</v>
      </c>
      <c r="D17" s="296" t="s">
        <v>453</v>
      </c>
      <c r="E17" s="297" t="s">
        <v>456</v>
      </c>
      <c r="F17" s="296" t="s">
        <v>457</v>
      </c>
      <c r="G17" s="296" t="s">
        <v>416</v>
      </c>
      <c r="H17" s="296" t="s">
        <v>455</v>
      </c>
      <c r="I17" s="404" t="s">
        <v>458</v>
      </c>
      <c r="J17" s="384"/>
      <c r="K17" s="376"/>
      <c r="L17" s="403"/>
      <c r="M17" s="370"/>
      <c r="N17" s="370"/>
      <c r="O17" s="402"/>
      <c r="P17" s="371"/>
      <c r="Q17" s="376"/>
      <c r="R17" s="376"/>
      <c r="S17" s="376"/>
      <c r="T17" s="376"/>
    </row>
    <row r="18" spans="2:20" ht="20.25" x14ac:dyDescent="0.3">
      <c r="C18" s="399" t="s">
        <v>460</v>
      </c>
      <c r="D18" s="296" t="s">
        <v>459</v>
      </c>
      <c r="E18" s="297" t="s">
        <v>462</v>
      </c>
      <c r="F18" s="296" t="s">
        <v>463</v>
      </c>
      <c r="G18" s="296" t="s">
        <v>464</v>
      </c>
      <c r="H18" s="296" t="s">
        <v>461</v>
      </c>
      <c r="I18" s="298" t="s">
        <v>465</v>
      </c>
      <c r="J18" s="371"/>
      <c r="K18" s="376"/>
      <c r="L18" s="403"/>
      <c r="M18" s="370"/>
      <c r="N18" s="370"/>
      <c r="O18" s="402"/>
      <c r="P18" s="371"/>
      <c r="Q18" s="376"/>
      <c r="R18" s="376"/>
      <c r="S18" s="376"/>
      <c r="T18" s="376"/>
    </row>
    <row r="19" spans="2:20" ht="21" thickBot="1" x14ac:dyDescent="0.35">
      <c r="C19" s="399" t="s">
        <v>467</v>
      </c>
      <c r="D19" s="296" t="s">
        <v>466</v>
      </c>
      <c r="E19" s="297" t="s">
        <v>469</v>
      </c>
      <c r="F19" s="296" t="s">
        <v>470</v>
      </c>
      <c r="G19" s="296" t="s">
        <v>464</v>
      </c>
      <c r="H19" s="296" t="s">
        <v>468</v>
      </c>
      <c r="I19" s="299" t="s">
        <v>471</v>
      </c>
      <c r="J19" s="371"/>
      <c r="K19" s="290"/>
      <c r="L19" s="379"/>
      <c r="M19" s="378"/>
      <c r="N19" s="378"/>
      <c r="O19" s="385"/>
      <c r="P19" s="376"/>
      <c r="Q19" s="376"/>
      <c r="R19" s="376"/>
      <c r="S19" s="376"/>
      <c r="T19" s="376"/>
    </row>
    <row r="20" spans="2:20" ht="20.25" x14ac:dyDescent="0.3">
      <c r="C20" s="399" t="s">
        <v>473</v>
      </c>
      <c r="D20" s="296" t="s">
        <v>472</v>
      </c>
      <c r="E20" s="297" t="s">
        <v>475</v>
      </c>
      <c r="F20" s="296" t="s">
        <v>476</v>
      </c>
      <c r="G20" s="296" t="s">
        <v>464</v>
      </c>
      <c r="H20" s="296" t="s">
        <v>474</v>
      </c>
      <c r="I20" s="299" t="s">
        <v>477</v>
      </c>
      <c r="J20" s="380"/>
      <c r="K20" s="376"/>
      <c r="L20" s="376"/>
      <c r="M20" s="376"/>
      <c r="N20" s="376"/>
      <c r="O20" s="376"/>
      <c r="P20" s="376"/>
      <c r="Q20" s="376"/>
      <c r="R20" s="376"/>
      <c r="S20" s="376"/>
      <c r="T20" s="376"/>
    </row>
    <row r="21" spans="2:20" ht="20.25" x14ac:dyDescent="0.3">
      <c r="C21" s="399" t="s">
        <v>479</v>
      </c>
      <c r="D21" s="296" t="s">
        <v>478</v>
      </c>
      <c r="E21" s="297" t="s">
        <v>481</v>
      </c>
      <c r="F21" s="296" t="s">
        <v>482</v>
      </c>
      <c r="G21" s="296" t="s">
        <v>464</v>
      </c>
      <c r="H21" s="296" t="s">
        <v>480</v>
      </c>
      <c r="I21" s="302" t="s">
        <v>483</v>
      </c>
      <c r="J21" s="384"/>
      <c r="K21" s="376"/>
      <c r="L21" s="376"/>
      <c r="M21" s="376"/>
      <c r="N21" s="376"/>
      <c r="O21" s="376"/>
      <c r="P21" s="376"/>
      <c r="Q21" s="376"/>
      <c r="R21" s="376"/>
      <c r="S21" s="376"/>
      <c r="T21" s="376"/>
    </row>
    <row r="22" spans="2:20" ht="20.25" x14ac:dyDescent="0.3">
      <c r="C22" s="399" t="s">
        <v>485</v>
      </c>
      <c r="D22" s="296" t="s">
        <v>484</v>
      </c>
      <c r="E22" s="297" t="s">
        <v>487</v>
      </c>
      <c r="F22" s="296" t="s">
        <v>470</v>
      </c>
      <c r="G22" s="296" t="s">
        <v>464</v>
      </c>
      <c r="H22" s="296" t="s">
        <v>486</v>
      </c>
      <c r="I22" s="298" t="s">
        <v>488</v>
      </c>
      <c r="J22" s="384"/>
      <c r="K22" s="376"/>
      <c r="L22" s="376"/>
      <c r="M22" s="376"/>
      <c r="N22" s="376"/>
      <c r="O22" s="376"/>
      <c r="P22" s="376"/>
      <c r="Q22" s="376"/>
      <c r="R22" s="376"/>
      <c r="S22" s="376"/>
      <c r="T22" s="376"/>
    </row>
    <row r="23" spans="2:20" ht="20.25" x14ac:dyDescent="0.3">
      <c r="C23" s="399" t="s">
        <v>490</v>
      </c>
      <c r="D23" s="296" t="s">
        <v>489</v>
      </c>
      <c r="E23" s="297" t="s">
        <v>492</v>
      </c>
      <c r="F23" s="296" t="s">
        <v>493</v>
      </c>
      <c r="G23" s="296" t="s">
        <v>464</v>
      </c>
      <c r="H23" s="296" t="s">
        <v>491</v>
      </c>
      <c r="I23" s="298" t="s">
        <v>494</v>
      </c>
      <c r="J23" s="401"/>
      <c r="K23" s="376"/>
      <c r="L23" s="376"/>
      <c r="M23" s="376"/>
      <c r="N23" s="376"/>
      <c r="O23" s="376"/>
      <c r="P23" s="376"/>
      <c r="Q23" s="376"/>
      <c r="R23" s="376"/>
      <c r="S23" s="376"/>
      <c r="T23" s="376"/>
    </row>
    <row r="24" spans="2:20" ht="20.25" x14ac:dyDescent="0.3">
      <c r="C24" s="399" t="s">
        <v>496</v>
      </c>
      <c r="D24" s="296" t="s">
        <v>495</v>
      </c>
      <c r="E24" s="297" t="s">
        <v>498</v>
      </c>
      <c r="F24" s="296" t="s">
        <v>499</v>
      </c>
      <c r="G24" s="296" t="s">
        <v>464</v>
      </c>
      <c r="H24" s="296" t="s">
        <v>497</v>
      </c>
      <c r="I24" s="400" t="s">
        <v>500</v>
      </c>
      <c r="J24" s="384"/>
      <c r="K24" s="376"/>
      <c r="L24" s="376"/>
      <c r="M24" s="376"/>
      <c r="N24" s="376"/>
      <c r="O24" s="376"/>
      <c r="P24" s="376"/>
      <c r="Q24" s="376"/>
      <c r="R24" s="376"/>
      <c r="S24" s="376"/>
      <c r="T24" s="376"/>
    </row>
    <row r="25" spans="2:20" ht="20.25" x14ac:dyDescent="0.3">
      <c r="C25" s="399" t="s">
        <v>502</v>
      </c>
      <c r="D25" s="296" t="s">
        <v>501</v>
      </c>
      <c r="E25" s="297" t="s">
        <v>504</v>
      </c>
      <c r="F25" s="296" t="s">
        <v>505</v>
      </c>
      <c r="G25" s="296" t="s">
        <v>464</v>
      </c>
      <c r="H25" s="296" t="s">
        <v>503</v>
      </c>
      <c r="I25" s="298" t="s">
        <v>506</v>
      </c>
      <c r="J25" s="384"/>
      <c r="K25" s="376"/>
      <c r="L25" s="376"/>
      <c r="M25" s="376"/>
      <c r="N25" s="376"/>
      <c r="O25" s="376"/>
      <c r="P25" s="376"/>
      <c r="Q25" s="376"/>
      <c r="R25" s="376"/>
      <c r="S25" s="376"/>
      <c r="T25" s="376"/>
    </row>
    <row r="26" spans="2:20" ht="20.25" x14ac:dyDescent="0.3">
      <c r="C26" s="399" t="s">
        <v>508</v>
      </c>
      <c r="D26" s="296" t="s">
        <v>507</v>
      </c>
      <c r="E26" s="297" t="s">
        <v>510</v>
      </c>
      <c r="F26" s="296" t="s">
        <v>511</v>
      </c>
      <c r="G26" s="296" t="s">
        <v>512</v>
      </c>
      <c r="H26" s="296" t="s">
        <v>509</v>
      </c>
      <c r="I26" s="298" t="s">
        <v>513</v>
      </c>
      <c r="J26" s="384"/>
      <c r="K26" s="376"/>
      <c r="L26" s="376"/>
      <c r="M26" s="376"/>
      <c r="N26" s="376"/>
      <c r="O26" s="376"/>
      <c r="P26" s="376"/>
      <c r="Q26" s="376"/>
      <c r="R26" s="376"/>
      <c r="S26" s="376"/>
      <c r="T26" s="376"/>
    </row>
    <row r="27" spans="2:20" ht="20.25" x14ac:dyDescent="0.3">
      <c r="C27" s="399" t="s">
        <v>515</v>
      </c>
      <c r="D27" s="296" t="s">
        <v>514</v>
      </c>
      <c r="E27" s="297" t="s">
        <v>517</v>
      </c>
      <c r="F27" s="296" t="s">
        <v>518</v>
      </c>
      <c r="G27" s="296" t="s">
        <v>512</v>
      </c>
      <c r="H27" s="296" t="s">
        <v>516</v>
      </c>
      <c r="I27" s="298" t="s">
        <v>519</v>
      </c>
      <c r="J27" s="384"/>
      <c r="K27" s="376"/>
      <c r="L27" s="376"/>
      <c r="M27" s="376"/>
      <c r="N27" s="376"/>
      <c r="O27" s="376"/>
      <c r="P27" s="376"/>
      <c r="Q27" s="376"/>
      <c r="R27" s="376"/>
      <c r="S27" s="376"/>
      <c r="T27" s="376"/>
    </row>
    <row r="28" spans="2:20" ht="20.25" x14ac:dyDescent="0.3">
      <c r="B28" s="376"/>
      <c r="C28" s="399" t="s">
        <v>521</v>
      </c>
      <c r="D28" s="296" t="s">
        <v>520</v>
      </c>
      <c r="E28" s="297" t="s">
        <v>523</v>
      </c>
      <c r="F28" s="296" t="s">
        <v>524</v>
      </c>
      <c r="G28" s="296" t="s">
        <v>512</v>
      </c>
      <c r="H28" s="296" t="s">
        <v>522</v>
      </c>
      <c r="I28" s="298" t="s">
        <v>525</v>
      </c>
      <c r="J28" s="384"/>
      <c r="K28" s="376"/>
      <c r="L28" s="376"/>
      <c r="M28" s="376"/>
      <c r="N28" s="376"/>
      <c r="O28" s="376"/>
      <c r="P28" s="376"/>
      <c r="Q28" s="376"/>
      <c r="R28" s="376"/>
      <c r="S28" s="376"/>
      <c r="T28" s="376"/>
    </row>
    <row r="29" spans="2:20" ht="21" thickBot="1" x14ac:dyDescent="0.35">
      <c r="B29" s="376"/>
      <c r="C29" s="399" t="s">
        <v>527</v>
      </c>
      <c r="D29" s="296" t="s">
        <v>526</v>
      </c>
      <c r="E29" s="297" t="s">
        <v>529</v>
      </c>
      <c r="F29" s="296" t="s">
        <v>530</v>
      </c>
      <c r="G29" s="296" t="s">
        <v>512</v>
      </c>
      <c r="H29" s="296" t="s">
        <v>528</v>
      </c>
      <c r="I29" s="298" t="s">
        <v>531</v>
      </c>
      <c r="J29" s="384"/>
      <c r="K29" s="376"/>
      <c r="L29" s="376"/>
      <c r="M29" s="376"/>
      <c r="N29" s="376"/>
      <c r="O29" s="376"/>
      <c r="P29" s="376"/>
      <c r="Q29" s="376"/>
      <c r="R29" s="376"/>
      <c r="S29" s="376"/>
      <c r="T29" s="376"/>
    </row>
    <row r="30" spans="2:20" ht="21" thickBot="1" x14ac:dyDescent="0.35">
      <c r="B30" s="376"/>
      <c r="C30" s="399" t="s">
        <v>533</v>
      </c>
      <c r="D30" s="304" t="s">
        <v>532</v>
      </c>
      <c r="E30" s="305" t="s">
        <v>535</v>
      </c>
      <c r="F30" s="304" t="s">
        <v>536</v>
      </c>
      <c r="G30" s="304" t="s">
        <v>512</v>
      </c>
      <c r="H30" s="304" t="s">
        <v>534</v>
      </c>
      <c r="I30" s="306" t="s">
        <v>537</v>
      </c>
      <c r="J30" s="376"/>
      <c r="K30" s="393"/>
      <c r="L30" s="394"/>
      <c r="M30" s="394"/>
      <c r="N30" s="394"/>
      <c r="O30" s="394"/>
      <c r="P30" s="394"/>
      <c r="Q30" s="394"/>
      <c r="R30" s="394"/>
      <c r="S30" s="394"/>
      <c r="T30" s="398"/>
    </row>
    <row r="31" spans="2:20" ht="20.25" x14ac:dyDescent="0.3">
      <c r="B31" s="376"/>
      <c r="C31" s="376"/>
      <c r="D31" s="376"/>
      <c r="E31" s="376"/>
      <c r="F31" s="376"/>
      <c r="G31" s="376"/>
      <c r="H31" s="376"/>
      <c r="I31" s="376"/>
      <c r="J31" s="380"/>
      <c r="K31" s="280" t="s">
        <v>294</v>
      </c>
      <c r="L31" s="397" t="s">
        <v>295</v>
      </c>
      <c r="M31" s="316" t="s">
        <v>311</v>
      </c>
      <c r="N31" s="317" t="s">
        <v>539</v>
      </c>
      <c r="O31" s="317" t="s">
        <v>540</v>
      </c>
      <c r="P31" s="317" t="s">
        <v>541</v>
      </c>
      <c r="Q31" s="317" t="s">
        <v>360</v>
      </c>
      <c r="R31" s="317" t="s">
        <v>542</v>
      </c>
      <c r="S31" s="317" t="s">
        <v>543</v>
      </c>
      <c r="T31" s="318" t="s">
        <v>319</v>
      </c>
    </row>
    <row r="32" spans="2:20" ht="21" thickBot="1" x14ac:dyDescent="0.35">
      <c r="B32" s="376"/>
      <c r="C32" s="376"/>
      <c r="D32" s="376"/>
      <c r="E32" s="376"/>
      <c r="F32" s="376"/>
      <c r="G32" s="376"/>
      <c r="H32" s="376"/>
      <c r="I32" s="376"/>
      <c r="J32" s="396"/>
      <c r="K32" s="390" t="s">
        <v>549</v>
      </c>
      <c r="L32" s="389" t="s">
        <v>550</v>
      </c>
      <c r="M32" s="370" t="s">
        <v>551</v>
      </c>
      <c r="N32" s="388">
        <v>3000</v>
      </c>
      <c r="O32" s="388"/>
      <c r="P32" s="388"/>
      <c r="Q32" s="388"/>
      <c r="R32" s="388"/>
      <c r="S32" s="388"/>
      <c r="T32" s="387"/>
    </row>
    <row r="33" spans="2:20" ht="21" thickBot="1" x14ac:dyDescent="0.35">
      <c r="B33" s="376"/>
      <c r="C33" s="395" t="s">
        <v>538</v>
      </c>
      <c r="D33" s="394"/>
      <c r="E33" s="394"/>
      <c r="F33" s="394"/>
      <c r="G33" s="394"/>
      <c r="H33" s="394"/>
      <c r="I33" s="393"/>
      <c r="J33" s="392"/>
      <c r="K33" s="390" t="s">
        <v>556</v>
      </c>
      <c r="L33" s="389" t="s">
        <v>557</v>
      </c>
      <c r="M33" s="370" t="s">
        <v>551</v>
      </c>
      <c r="N33" s="388">
        <v>3000</v>
      </c>
      <c r="O33" s="388"/>
      <c r="P33" s="388"/>
      <c r="Q33" s="388"/>
      <c r="R33" s="388"/>
      <c r="S33" s="388"/>
      <c r="T33" s="387"/>
    </row>
    <row r="34" spans="2:20" ht="20.25" x14ac:dyDescent="0.3">
      <c r="B34" s="376"/>
      <c r="C34" s="315" t="s">
        <v>287</v>
      </c>
      <c r="D34" s="316" t="s">
        <v>288</v>
      </c>
      <c r="E34" s="316" t="s">
        <v>289</v>
      </c>
      <c r="F34" s="316" t="s">
        <v>290</v>
      </c>
      <c r="G34" s="316" t="s">
        <v>291</v>
      </c>
      <c r="H34" s="391" t="s">
        <v>292</v>
      </c>
      <c r="I34" s="280" t="s">
        <v>293</v>
      </c>
      <c r="J34" s="384"/>
      <c r="K34" s="390" t="s">
        <v>560</v>
      </c>
      <c r="L34" s="389" t="s">
        <v>561</v>
      </c>
      <c r="M34" s="370" t="s">
        <v>551</v>
      </c>
      <c r="N34" s="388">
        <v>3000</v>
      </c>
      <c r="O34" s="388"/>
      <c r="P34" s="388"/>
      <c r="Q34" s="388"/>
      <c r="R34" s="388"/>
      <c r="S34" s="388"/>
      <c r="T34" s="387"/>
    </row>
    <row r="35" spans="2:20" ht="20.25" x14ac:dyDescent="0.3">
      <c r="B35" s="376"/>
      <c r="C35" s="383" t="s">
        <v>756</v>
      </c>
      <c r="D35" s="370" t="s">
        <v>545</v>
      </c>
      <c r="E35" s="370" t="s">
        <v>546</v>
      </c>
      <c r="F35" s="370" t="s">
        <v>547</v>
      </c>
      <c r="G35" s="370">
        <v>3336859865</v>
      </c>
      <c r="H35" s="382" t="s">
        <v>548</v>
      </c>
      <c r="I35" s="381" t="s">
        <v>444</v>
      </c>
      <c r="J35" s="384"/>
      <c r="K35" s="390" t="s">
        <v>565</v>
      </c>
      <c r="L35" s="389" t="s">
        <v>566</v>
      </c>
      <c r="M35" s="370" t="s">
        <v>551</v>
      </c>
      <c r="N35" s="388">
        <v>3000</v>
      </c>
      <c r="O35" s="388"/>
      <c r="P35" s="388"/>
      <c r="Q35" s="388"/>
      <c r="R35" s="388"/>
      <c r="S35" s="388"/>
      <c r="T35" s="387"/>
    </row>
    <row r="36" spans="2:20" ht="21" thickBot="1" x14ac:dyDescent="0.35">
      <c r="B36" s="376"/>
      <c r="C36" s="383" t="s">
        <v>744</v>
      </c>
      <c r="D36" s="370" t="s">
        <v>545</v>
      </c>
      <c r="E36" s="370" t="s">
        <v>553</v>
      </c>
      <c r="F36" s="370" t="s">
        <v>554</v>
      </c>
      <c r="G36" s="370">
        <v>3336859865</v>
      </c>
      <c r="H36" s="382" t="s">
        <v>555</v>
      </c>
      <c r="I36" s="381" t="s">
        <v>450</v>
      </c>
      <c r="J36" s="384"/>
      <c r="K36" s="370"/>
      <c r="L36" s="386"/>
      <c r="M36" s="378"/>
      <c r="N36" s="378"/>
      <c r="O36" s="378"/>
      <c r="P36" s="378"/>
      <c r="Q36" s="378"/>
      <c r="R36" s="378"/>
      <c r="S36" s="378"/>
      <c r="T36" s="385"/>
    </row>
    <row r="37" spans="2:20" ht="20.25" x14ac:dyDescent="0.3">
      <c r="B37" s="376"/>
      <c r="C37" s="383" t="s">
        <v>751</v>
      </c>
      <c r="D37" s="370" t="s">
        <v>545</v>
      </c>
      <c r="E37" s="370" t="s">
        <v>546</v>
      </c>
      <c r="F37" s="370" t="s">
        <v>547</v>
      </c>
      <c r="G37" s="370">
        <v>3336859865</v>
      </c>
      <c r="H37" s="382" t="s">
        <v>559</v>
      </c>
      <c r="I37" s="381" t="s">
        <v>456</v>
      </c>
      <c r="J37" s="384"/>
      <c r="K37" s="376"/>
      <c r="L37" s="376"/>
      <c r="M37" s="376"/>
      <c r="N37" s="376"/>
      <c r="O37" s="376"/>
      <c r="P37" s="376"/>
      <c r="Q37" s="376"/>
      <c r="R37" s="376"/>
      <c r="S37" s="376"/>
      <c r="T37" s="376"/>
    </row>
    <row r="38" spans="2:20" ht="20.25" x14ac:dyDescent="0.3">
      <c r="C38" s="383" t="s">
        <v>755</v>
      </c>
      <c r="D38" s="370" t="s">
        <v>545</v>
      </c>
      <c r="E38" s="370" t="s">
        <v>563</v>
      </c>
      <c r="F38" s="370" t="s">
        <v>554</v>
      </c>
      <c r="G38" s="370">
        <v>3336859865</v>
      </c>
      <c r="H38" s="382" t="s">
        <v>564</v>
      </c>
      <c r="I38" s="381" t="s">
        <v>462</v>
      </c>
      <c r="J38" s="380"/>
    </row>
    <row r="39" spans="2:20" ht="21" thickBot="1" x14ac:dyDescent="0.35">
      <c r="C39" s="379"/>
      <c r="D39" s="378"/>
      <c r="E39" s="378"/>
      <c r="F39" s="378"/>
      <c r="G39" s="378"/>
      <c r="H39" s="377"/>
      <c r="I39" s="370"/>
      <c r="J39" s="376"/>
    </row>
    <row r="40" spans="2:20" ht="20.25" x14ac:dyDescent="0.3">
      <c r="C40" s="376"/>
      <c r="D40" s="376"/>
      <c r="E40" s="376"/>
      <c r="F40" s="376"/>
      <c r="G40" s="376"/>
      <c r="H40" s="376"/>
      <c r="I40" s="376"/>
    </row>
  </sheetData>
  <mergeCells count="5">
    <mergeCell ref="A2:AF2"/>
    <mergeCell ref="D5:E5"/>
    <mergeCell ref="I5:K5"/>
    <mergeCell ref="C6:I6"/>
    <mergeCell ref="L6:O6"/>
  </mergeCells>
  <hyperlinks>
    <hyperlink ref="L23" r:id="rId1" display="andréa.melo29@email.com" xr:uid="{3E6E6D88-8373-40B2-A094-E2E3FF79BE3A}"/>
    <hyperlink ref="I13" r:id="rId2" xr:uid="{C19F64B0-4457-493C-8DAD-B015A6C3BD2C}"/>
    <hyperlink ref="I24" r:id="rId3" xr:uid="{0337DD4B-9EA2-456A-B024-62332E5C6FE6}"/>
    <hyperlink ref="I17" r:id="rId4" xr:uid="{1635CB75-03AA-4200-AA7B-E8213F3595E7}"/>
    <hyperlink ref="K32" r:id="rId5" xr:uid="{2181951C-1177-4727-A213-7FD0A5960232}"/>
    <hyperlink ref="K33" r:id="rId6" xr:uid="{C2ED6515-46D8-4AAA-886D-92E4E8853B03}"/>
    <hyperlink ref="K34" r:id="rId7" xr:uid="{DE8B071B-1526-47C5-BE0E-EFD8A0C34761}"/>
    <hyperlink ref="K35" r:id="rId8" xr:uid="{921CCA23-1B63-4E91-8EDA-4B0F4574F838}"/>
    <hyperlink ref="I9" r:id="rId9" xr:uid="{C8883ABB-7DBC-4AF2-8BD6-F3B6F291C3CD}"/>
    <hyperlink ref="I8" r:id="rId10" xr:uid="{6C83747D-CBD0-443E-BBCD-2DCACB0AA4CC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theme="1"/>
  </sheetPr>
  <dimension ref="A1:AU66"/>
  <sheetViews>
    <sheetView zoomScale="40" zoomScaleNormal="40" workbookViewId="0"/>
  </sheetViews>
  <sheetFormatPr defaultColWidth="8.85546875" defaultRowHeight="15" x14ac:dyDescent="0.25"/>
  <cols>
    <col min="2" max="2" width="14.28515625" bestFit="1" customWidth="1"/>
    <col min="3" max="3" width="36.140625" customWidth="1"/>
    <col min="4" max="4" width="30.28515625" customWidth="1"/>
    <col min="5" max="5" width="47.7109375" customWidth="1"/>
    <col min="6" max="6" width="32.140625" bestFit="1" customWidth="1"/>
    <col min="7" max="7" width="26" customWidth="1"/>
    <col min="8" max="8" width="49" customWidth="1"/>
    <col min="9" max="9" width="25.42578125" bestFit="1" customWidth="1"/>
    <col min="10" max="10" width="21.42578125" bestFit="1" customWidth="1"/>
    <col min="11" max="11" width="51.7109375" customWidth="1"/>
    <col min="12" max="12" width="34.7109375" bestFit="1" customWidth="1"/>
    <col min="13" max="13" width="49.42578125" customWidth="1"/>
    <col min="14" max="14" width="28.140625" bestFit="1" customWidth="1"/>
    <col min="15" max="15" width="17" bestFit="1" customWidth="1"/>
    <col min="16" max="16" width="33" bestFit="1" customWidth="1"/>
    <col min="17" max="17" width="12.5703125" bestFit="1" customWidth="1"/>
    <col min="18" max="18" width="13" bestFit="1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</row>
    <row r="5" spans="1:4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</row>
    <row r="6" spans="1:4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</row>
    <row r="7" spans="1:4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</row>
    <row r="8" spans="1:47" ht="28.9" customHeight="1" x14ac:dyDescent="0.25"/>
    <row r="9" spans="1:47" ht="28.9" customHeight="1" thickBot="1" x14ac:dyDescent="0.3"/>
    <row r="10" spans="1:47" ht="28.9" customHeight="1" thickBot="1" x14ac:dyDescent="0.4">
      <c r="E10" s="496" t="s">
        <v>361</v>
      </c>
      <c r="F10" s="497"/>
      <c r="G10" s="497"/>
      <c r="H10" s="497"/>
      <c r="I10" s="497"/>
      <c r="J10" s="497"/>
      <c r="K10" s="498"/>
      <c r="L10" s="291"/>
      <c r="M10" s="499" t="s">
        <v>406</v>
      </c>
      <c r="N10" s="500"/>
      <c r="O10" s="500"/>
      <c r="P10" s="501"/>
      <c r="Q10" s="213"/>
    </row>
    <row r="11" spans="1:47" ht="28.9" customHeight="1" x14ac:dyDescent="0.3">
      <c r="E11" s="292" t="s">
        <v>287</v>
      </c>
      <c r="F11" s="293" t="s">
        <v>362</v>
      </c>
      <c r="G11" s="293" t="s">
        <v>407</v>
      </c>
      <c r="H11" s="293" t="s">
        <v>293</v>
      </c>
      <c r="I11" s="293" t="s">
        <v>403</v>
      </c>
      <c r="J11" s="293" t="s">
        <v>408</v>
      </c>
      <c r="K11" s="294" t="s">
        <v>409</v>
      </c>
      <c r="L11" s="211"/>
      <c r="M11" s="307" t="s">
        <v>410</v>
      </c>
      <c r="N11" s="280" t="s">
        <v>362</v>
      </c>
      <c r="O11" s="280" t="s">
        <v>294</v>
      </c>
      <c r="P11" s="308" t="s">
        <v>407</v>
      </c>
      <c r="Q11" s="214"/>
    </row>
    <row r="12" spans="1:47" ht="28.9" customHeight="1" x14ac:dyDescent="0.35">
      <c r="E12" s="295" t="s">
        <v>411</v>
      </c>
      <c r="F12" s="296" t="s">
        <v>412</v>
      </c>
      <c r="G12" s="296" t="s">
        <v>413</v>
      </c>
      <c r="H12" s="297" t="s">
        <v>414</v>
      </c>
      <c r="I12" s="296" t="s">
        <v>415</v>
      </c>
      <c r="J12" s="296" t="s">
        <v>416</v>
      </c>
      <c r="K12" s="298" t="s">
        <v>417</v>
      </c>
      <c r="L12" s="211"/>
      <c r="M12" s="309"/>
      <c r="N12" s="310"/>
      <c r="O12" s="310"/>
      <c r="P12" s="311"/>
      <c r="Q12" s="214"/>
    </row>
    <row r="13" spans="1:47" ht="28.9" customHeight="1" x14ac:dyDescent="0.35">
      <c r="E13" s="295" t="s">
        <v>418</v>
      </c>
      <c r="F13" s="296" t="s">
        <v>419</v>
      </c>
      <c r="G13" s="296" t="s">
        <v>420</v>
      </c>
      <c r="H13" s="297" t="s">
        <v>421</v>
      </c>
      <c r="I13" s="296" t="s">
        <v>422</v>
      </c>
      <c r="J13" s="296" t="s">
        <v>416</v>
      </c>
      <c r="K13" s="299" t="s">
        <v>423</v>
      </c>
      <c r="L13" s="211"/>
      <c r="M13" s="309"/>
      <c r="N13" s="310"/>
      <c r="O13" s="310"/>
      <c r="P13" s="311"/>
      <c r="Q13" s="214"/>
    </row>
    <row r="14" spans="1:47" ht="28.9" customHeight="1" x14ac:dyDescent="0.35">
      <c r="E14" s="295" t="s">
        <v>424</v>
      </c>
      <c r="F14" s="296" t="s">
        <v>425</v>
      </c>
      <c r="G14" s="296" t="s">
        <v>426</v>
      </c>
      <c r="H14" s="297" t="s">
        <v>427</v>
      </c>
      <c r="I14" s="296" t="s">
        <v>428</v>
      </c>
      <c r="J14" s="296" t="s">
        <v>416</v>
      </c>
      <c r="K14" s="298" t="s">
        <v>429</v>
      </c>
      <c r="L14" s="211"/>
      <c r="M14" s="309"/>
      <c r="N14" s="310"/>
      <c r="O14" s="310"/>
      <c r="P14" s="311"/>
      <c r="Q14" s="214"/>
    </row>
    <row r="15" spans="1:47" ht="28.9" customHeight="1" x14ac:dyDescent="0.35">
      <c r="E15" s="295" t="s">
        <v>430</v>
      </c>
      <c r="F15" s="296" t="s">
        <v>431</v>
      </c>
      <c r="G15" s="296" t="s">
        <v>432</v>
      </c>
      <c r="H15" s="297" t="s">
        <v>433</v>
      </c>
      <c r="I15" s="296" t="s">
        <v>416</v>
      </c>
      <c r="J15" s="296" t="s">
        <v>416</v>
      </c>
      <c r="K15" s="300" t="s">
        <v>434</v>
      </c>
      <c r="L15" s="1"/>
      <c r="M15" s="309"/>
      <c r="N15" s="310"/>
      <c r="O15" s="310"/>
      <c r="P15" s="311"/>
      <c r="Q15" s="214"/>
    </row>
    <row r="16" spans="1:47" ht="28.9" customHeight="1" x14ac:dyDescent="0.35">
      <c r="E16" s="295" t="s">
        <v>435</v>
      </c>
      <c r="F16" s="296" t="s">
        <v>436</v>
      </c>
      <c r="G16" s="296" t="s">
        <v>437</v>
      </c>
      <c r="H16" s="297" t="s">
        <v>438</v>
      </c>
      <c r="I16" s="296" t="s">
        <v>439</v>
      </c>
      <c r="J16" s="296" t="s">
        <v>416</v>
      </c>
      <c r="K16" s="299" t="s">
        <v>440</v>
      </c>
      <c r="L16" s="1"/>
      <c r="M16" s="309"/>
      <c r="N16" s="310"/>
      <c r="O16" s="310"/>
      <c r="P16" s="311"/>
      <c r="Q16" s="214"/>
    </row>
    <row r="17" spans="5:17" ht="28.9" customHeight="1" x14ac:dyDescent="0.35">
      <c r="E17" s="295" t="s">
        <v>441</v>
      </c>
      <c r="F17" s="296" t="s">
        <v>442</v>
      </c>
      <c r="G17" s="296" t="s">
        <v>443</v>
      </c>
      <c r="H17" s="297" t="s">
        <v>444</v>
      </c>
      <c r="I17" s="296" t="s">
        <v>445</v>
      </c>
      <c r="J17" s="296" t="s">
        <v>416</v>
      </c>
      <c r="K17" s="298" t="s">
        <v>446</v>
      </c>
      <c r="L17" s="1"/>
      <c r="M17" s="309"/>
      <c r="N17" s="310"/>
      <c r="O17" s="310"/>
      <c r="P17" s="311"/>
      <c r="Q17" s="214"/>
    </row>
    <row r="18" spans="5:17" ht="28.9" customHeight="1" x14ac:dyDescent="0.35">
      <c r="E18" s="295" t="s">
        <v>447</v>
      </c>
      <c r="F18" s="296" t="s">
        <v>448</v>
      </c>
      <c r="G18" s="296" t="s">
        <v>449</v>
      </c>
      <c r="H18" s="297" t="s">
        <v>450</v>
      </c>
      <c r="I18" s="296" t="s">
        <v>451</v>
      </c>
      <c r="J18" s="296" t="s">
        <v>416</v>
      </c>
      <c r="K18" s="298" t="s">
        <v>452</v>
      </c>
      <c r="M18" s="309"/>
      <c r="N18" s="310"/>
      <c r="O18" s="310"/>
      <c r="P18" s="311"/>
      <c r="Q18" s="214"/>
    </row>
    <row r="19" spans="5:17" ht="28.9" customHeight="1" x14ac:dyDescent="0.35">
      <c r="E19" s="295" t="s">
        <v>453</v>
      </c>
      <c r="F19" s="296" t="s">
        <v>454</v>
      </c>
      <c r="G19" s="296" t="s">
        <v>455</v>
      </c>
      <c r="H19" s="297" t="s">
        <v>456</v>
      </c>
      <c r="I19" s="296" t="s">
        <v>457</v>
      </c>
      <c r="J19" s="296" t="s">
        <v>416</v>
      </c>
      <c r="K19" s="301" t="s">
        <v>458</v>
      </c>
      <c r="M19" s="309"/>
      <c r="N19" s="310"/>
      <c r="O19" s="310"/>
      <c r="P19" s="311"/>
      <c r="Q19" s="214"/>
    </row>
    <row r="20" spans="5:17" ht="28.9" customHeight="1" x14ac:dyDescent="0.35">
      <c r="E20" s="295" t="s">
        <v>459</v>
      </c>
      <c r="F20" s="296" t="s">
        <v>460</v>
      </c>
      <c r="G20" s="296" t="s">
        <v>461</v>
      </c>
      <c r="H20" s="297" t="s">
        <v>462</v>
      </c>
      <c r="I20" s="296" t="s">
        <v>463</v>
      </c>
      <c r="J20" s="296" t="s">
        <v>464</v>
      </c>
      <c r="K20" s="298" t="s">
        <v>465</v>
      </c>
      <c r="M20" s="309"/>
      <c r="N20" s="310"/>
      <c r="O20" s="310"/>
      <c r="P20" s="311"/>
      <c r="Q20" s="214"/>
    </row>
    <row r="21" spans="5:17" ht="28.9" customHeight="1" x14ac:dyDescent="0.35">
      <c r="E21" s="295" t="s">
        <v>466</v>
      </c>
      <c r="F21" s="296" t="s">
        <v>467</v>
      </c>
      <c r="G21" s="296" t="s">
        <v>468</v>
      </c>
      <c r="H21" s="297" t="s">
        <v>469</v>
      </c>
      <c r="I21" s="296" t="s">
        <v>470</v>
      </c>
      <c r="J21" s="296" t="s">
        <v>464</v>
      </c>
      <c r="K21" s="299" t="s">
        <v>471</v>
      </c>
      <c r="M21" s="309"/>
      <c r="N21" s="310"/>
      <c r="O21" s="310"/>
      <c r="P21" s="311"/>
      <c r="Q21" s="214"/>
    </row>
    <row r="22" spans="5:17" ht="28.9" customHeight="1" x14ac:dyDescent="0.35">
      <c r="E22" s="295" t="s">
        <v>472</v>
      </c>
      <c r="F22" s="296" t="s">
        <v>473</v>
      </c>
      <c r="G22" s="296" t="s">
        <v>474</v>
      </c>
      <c r="H22" s="297" t="s">
        <v>475</v>
      </c>
      <c r="I22" s="296" t="s">
        <v>476</v>
      </c>
      <c r="J22" s="296" t="s">
        <v>464</v>
      </c>
      <c r="K22" s="299" t="s">
        <v>477</v>
      </c>
      <c r="M22" s="309"/>
      <c r="N22" s="310"/>
      <c r="O22" s="310"/>
      <c r="P22" s="311"/>
      <c r="Q22" s="214"/>
    </row>
    <row r="23" spans="5:17" ht="28.9" customHeight="1" x14ac:dyDescent="0.35">
      <c r="E23" s="295" t="s">
        <v>478</v>
      </c>
      <c r="F23" s="296" t="s">
        <v>479</v>
      </c>
      <c r="G23" s="296" t="s">
        <v>480</v>
      </c>
      <c r="H23" s="297" t="s">
        <v>481</v>
      </c>
      <c r="I23" s="296" t="s">
        <v>482</v>
      </c>
      <c r="J23" s="296" t="s">
        <v>464</v>
      </c>
      <c r="K23" s="302" t="s">
        <v>483</v>
      </c>
      <c r="M23" s="309"/>
      <c r="N23" s="310"/>
      <c r="O23" s="310"/>
      <c r="P23" s="311"/>
      <c r="Q23" s="214"/>
    </row>
    <row r="24" spans="5:17" ht="28.9" customHeight="1" thickBot="1" x14ac:dyDescent="0.4">
      <c r="E24" s="295" t="s">
        <v>484</v>
      </c>
      <c r="F24" s="296" t="s">
        <v>485</v>
      </c>
      <c r="G24" s="296" t="s">
        <v>486</v>
      </c>
      <c r="H24" s="297" t="s">
        <v>487</v>
      </c>
      <c r="I24" s="296" t="s">
        <v>470</v>
      </c>
      <c r="J24" s="296" t="s">
        <v>464</v>
      </c>
      <c r="K24" s="298" t="s">
        <v>488</v>
      </c>
      <c r="L24" s="216"/>
      <c r="M24" s="312"/>
      <c r="N24" s="313"/>
      <c r="O24" s="313"/>
      <c r="P24" s="314"/>
    </row>
    <row r="25" spans="5:17" ht="28.9" customHeight="1" x14ac:dyDescent="0.3">
      <c r="E25" s="295" t="s">
        <v>489</v>
      </c>
      <c r="F25" s="296" t="s">
        <v>490</v>
      </c>
      <c r="G25" s="296" t="s">
        <v>491</v>
      </c>
      <c r="H25" s="297" t="s">
        <v>492</v>
      </c>
      <c r="I25" s="296" t="s">
        <v>493</v>
      </c>
      <c r="J25" s="296" t="s">
        <v>464</v>
      </c>
      <c r="K25" s="298" t="s">
        <v>494</v>
      </c>
    </row>
    <row r="26" spans="5:17" ht="28.9" customHeight="1" x14ac:dyDescent="0.3">
      <c r="E26" s="295" t="s">
        <v>495</v>
      </c>
      <c r="F26" s="296" t="s">
        <v>496</v>
      </c>
      <c r="G26" s="296" t="s">
        <v>497</v>
      </c>
      <c r="H26" s="297" t="s">
        <v>498</v>
      </c>
      <c r="I26" s="296" t="s">
        <v>499</v>
      </c>
      <c r="J26" s="296" t="s">
        <v>464</v>
      </c>
      <c r="K26" s="300" t="s">
        <v>500</v>
      </c>
    </row>
    <row r="27" spans="5:17" ht="28.9" customHeight="1" x14ac:dyDescent="0.3">
      <c r="E27" s="295" t="s">
        <v>501</v>
      </c>
      <c r="F27" s="296" t="s">
        <v>502</v>
      </c>
      <c r="G27" s="296" t="s">
        <v>503</v>
      </c>
      <c r="H27" s="297" t="s">
        <v>504</v>
      </c>
      <c r="I27" s="296" t="s">
        <v>505</v>
      </c>
      <c r="J27" s="296" t="s">
        <v>464</v>
      </c>
      <c r="K27" s="298" t="s">
        <v>506</v>
      </c>
    </row>
    <row r="28" spans="5:17" ht="28.9" customHeight="1" x14ac:dyDescent="0.3">
      <c r="E28" s="295" t="s">
        <v>507</v>
      </c>
      <c r="F28" s="296" t="s">
        <v>508</v>
      </c>
      <c r="G28" s="296" t="s">
        <v>509</v>
      </c>
      <c r="H28" s="297" t="s">
        <v>510</v>
      </c>
      <c r="I28" s="296" t="s">
        <v>511</v>
      </c>
      <c r="J28" s="296" t="s">
        <v>512</v>
      </c>
      <c r="K28" s="298" t="s">
        <v>513</v>
      </c>
    </row>
    <row r="29" spans="5:17" ht="28.9" customHeight="1" x14ac:dyDescent="0.3">
      <c r="E29" s="295" t="s">
        <v>514</v>
      </c>
      <c r="F29" s="296" t="s">
        <v>515</v>
      </c>
      <c r="G29" s="296" t="s">
        <v>516</v>
      </c>
      <c r="H29" s="297" t="s">
        <v>517</v>
      </c>
      <c r="I29" s="296" t="s">
        <v>518</v>
      </c>
      <c r="J29" s="296" t="s">
        <v>512</v>
      </c>
      <c r="K29" s="298" t="s">
        <v>519</v>
      </c>
    </row>
    <row r="30" spans="5:17" ht="28.9" customHeight="1" x14ac:dyDescent="0.3">
      <c r="E30" s="295" t="s">
        <v>520</v>
      </c>
      <c r="F30" s="296" t="s">
        <v>521</v>
      </c>
      <c r="G30" s="296" t="s">
        <v>522</v>
      </c>
      <c r="H30" s="297" t="s">
        <v>523</v>
      </c>
      <c r="I30" s="296" t="s">
        <v>524</v>
      </c>
      <c r="J30" s="296" t="s">
        <v>512</v>
      </c>
      <c r="K30" s="298" t="s">
        <v>525</v>
      </c>
    </row>
    <row r="31" spans="5:17" ht="28.9" customHeight="1" x14ac:dyDescent="0.3">
      <c r="E31" s="295" t="s">
        <v>526</v>
      </c>
      <c r="F31" s="296" t="s">
        <v>527</v>
      </c>
      <c r="G31" s="296" t="s">
        <v>528</v>
      </c>
      <c r="H31" s="297" t="s">
        <v>529</v>
      </c>
      <c r="I31" s="296" t="s">
        <v>530</v>
      </c>
      <c r="J31" s="296" t="s">
        <v>512</v>
      </c>
      <c r="K31" s="298" t="s">
        <v>531</v>
      </c>
    </row>
    <row r="32" spans="5:17" ht="28.9" customHeight="1" thickBot="1" x14ac:dyDescent="0.35">
      <c r="E32" s="303" t="s">
        <v>532</v>
      </c>
      <c r="F32" s="304" t="s">
        <v>533</v>
      </c>
      <c r="G32" s="304" t="s">
        <v>534</v>
      </c>
      <c r="H32" s="305" t="s">
        <v>535</v>
      </c>
      <c r="I32" s="304" t="s">
        <v>536</v>
      </c>
      <c r="J32" s="304" t="s">
        <v>512</v>
      </c>
      <c r="K32" s="306" t="s">
        <v>537</v>
      </c>
    </row>
    <row r="33" spans="2:18" ht="28.9" customHeight="1" x14ac:dyDescent="0.25"/>
    <row r="34" spans="2:18" ht="28.9" customHeight="1" thickBot="1" x14ac:dyDescent="0.3"/>
    <row r="35" spans="2:18" ht="28.9" customHeight="1" thickBot="1" x14ac:dyDescent="0.4">
      <c r="B35" s="502" t="s">
        <v>538</v>
      </c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4"/>
    </row>
    <row r="36" spans="2:18" ht="28.9" customHeight="1" x14ac:dyDescent="0.3">
      <c r="B36" s="315" t="s">
        <v>287</v>
      </c>
      <c r="C36" s="316" t="s">
        <v>288</v>
      </c>
      <c r="D36" s="316" t="s">
        <v>289</v>
      </c>
      <c r="E36" s="316" t="s">
        <v>290</v>
      </c>
      <c r="F36" s="316" t="s">
        <v>291</v>
      </c>
      <c r="G36" s="316" t="s">
        <v>292</v>
      </c>
      <c r="H36" s="316" t="s">
        <v>293</v>
      </c>
      <c r="I36" s="316" t="s">
        <v>294</v>
      </c>
      <c r="J36" s="316" t="s">
        <v>295</v>
      </c>
      <c r="K36" s="316" t="s">
        <v>311</v>
      </c>
      <c r="L36" s="317" t="s">
        <v>539</v>
      </c>
      <c r="M36" s="317" t="s">
        <v>540</v>
      </c>
      <c r="N36" s="317" t="s">
        <v>541</v>
      </c>
      <c r="O36" s="317" t="s">
        <v>360</v>
      </c>
      <c r="P36" s="317" t="s">
        <v>542</v>
      </c>
      <c r="Q36" s="317" t="s">
        <v>543</v>
      </c>
      <c r="R36" s="318" t="s">
        <v>319</v>
      </c>
    </row>
    <row r="37" spans="2:18" ht="28.9" customHeight="1" x14ac:dyDescent="0.25">
      <c r="B37" s="220" t="s">
        <v>544</v>
      </c>
      <c r="C37" s="215" t="s">
        <v>545</v>
      </c>
      <c r="D37" s="215" t="s">
        <v>546</v>
      </c>
      <c r="E37" s="215" t="s">
        <v>547</v>
      </c>
      <c r="F37" s="215">
        <v>3336859865</v>
      </c>
      <c r="G37" s="215" t="s">
        <v>548</v>
      </c>
      <c r="H37" s="221" t="s">
        <v>444</v>
      </c>
      <c r="I37" s="222" t="s">
        <v>549</v>
      </c>
      <c r="J37" s="215" t="s">
        <v>550</v>
      </c>
      <c r="K37" s="215" t="s">
        <v>551</v>
      </c>
      <c r="L37" s="223">
        <v>3000</v>
      </c>
      <c r="M37" s="223"/>
      <c r="N37" s="223"/>
      <c r="O37" s="223"/>
      <c r="P37" s="223"/>
      <c r="Q37" s="223"/>
      <c r="R37" s="224"/>
    </row>
    <row r="38" spans="2:18" ht="28.9" customHeight="1" x14ac:dyDescent="0.25">
      <c r="B38" s="220" t="s">
        <v>552</v>
      </c>
      <c r="C38" s="215" t="s">
        <v>545</v>
      </c>
      <c r="D38" s="215" t="s">
        <v>553</v>
      </c>
      <c r="E38" s="215" t="s">
        <v>554</v>
      </c>
      <c r="F38" s="215">
        <v>3336859865</v>
      </c>
      <c r="G38" s="215" t="s">
        <v>555</v>
      </c>
      <c r="H38" s="221" t="s">
        <v>450</v>
      </c>
      <c r="I38" s="222" t="s">
        <v>556</v>
      </c>
      <c r="J38" s="215" t="s">
        <v>557</v>
      </c>
      <c r="K38" s="215" t="s">
        <v>551</v>
      </c>
      <c r="L38" s="223">
        <v>3000</v>
      </c>
      <c r="M38" s="223"/>
      <c r="N38" s="223"/>
      <c r="O38" s="223"/>
      <c r="P38" s="223"/>
      <c r="Q38" s="223"/>
      <c r="R38" s="224"/>
    </row>
    <row r="39" spans="2:18" ht="28.9" customHeight="1" x14ac:dyDescent="0.25">
      <c r="B39" s="220" t="s">
        <v>558</v>
      </c>
      <c r="C39" s="215" t="s">
        <v>545</v>
      </c>
      <c r="D39" s="215" t="s">
        <v>546</v>
      </c>
      <c r="E39" s="215" t="s">
        <v>547</v>
      </c>
      <c r="F39" s="215">
        <v>3336859865</v>
      </c>
      <c r="G39" s="215" t="s">
        <v>559</v>
      </c>
      <c r="H39" s="221" t="s">
        <v>456</v>
      </c>
      <c r="I39" s="222" t="s">
        <v>560</v>
      </c>
      <c r="J39" s="215" t="s">
        <v>561</v>
      </c>
      <c r="K39" s="215" t="s">
        <v>551</v>
      </c>
      <c r="L39" s="223">
        <v>3000</v>
      </c>
      <c r="M39" s="223"/>
      <c r="N39" s="223"/>
      <c r="O39" s="223"/>
      <c r="P39" s="223"/>
      <c r="Q39" s="223"/>
      <c r="R39" s="224"/>
    </row>
    <row r="40" spans="2:18" ht="28.9" customHeight="1" x14ac:dyDescent="0.25">
      <c r="B40" s="220" t="s">
        <v>562</v>
      </c>
      <c r="C40" s="215" t="s">
        <v>545</v>
      </c>
      <c r="D40" s="215" t="s">
        <v>563</v>
      </c>
      <c r="E40" s="215" t="s">
        <v>554</v>
      </c>
      <c r="F40" s="215">
        <v>3336859865</v>
      </c>
      <c r="G40" s="215" t="s">
        <v>564</v>
      </c>
      <c r="H40" s="221" t="s">
        <v>462</v>
      </c>
      <c r="I40" s="222" t="s">
        <v>565</v>
      </c>
      <c r="J40" s="215" t="s">
        <v>566</v>
      </c>
      <c r="K40" s="215" t="s">
        <v>551</v>
      </c>
      <c r="L40" s="223">
        <v>3000</v>
      </c>
      <c r="M40" s="223"/>
      <c r="N40" s="223"/>
      <c r="O40" s="223"/>
      <c r="P40" s="223"/>
      <c r="Q40" s="223"/>
      <c r="R40" s="224"/>
    </row>
    <row r="41" spans="2:18" ht="28.9" customHeight="1" thickBot="1" x14ac:dyDescent="0.3">
      <c r="B41" s="217"/>
      <c r="C41" s="218"/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P41" s="218"/>
      <c r="Q41" s="218"/>
      <c r="R41" s="219"/>
    </row>
    <row r="42" spans="2:18" ht="28.9" customHeight="1" x14ac:dyDescent="0.25"/>
    <row r="43" spans="2:18" ht="28.9" customHeight="1" x14ac:dyDescent="0.25"/>
    <row r="44" spans="2:18" ht="28.9" customHeight="1" x14ac:dyDescent="0.25"/>
    <row r="45" spans="2:18" ht="28.9" customHeight="1" x14ac:dyDescent="0.25"/>
    <row r="46" spans="2:18" ht="28.9" customHeight="1" x14ac:dyDescent="0.25"/>
    <row r="47" spans="2:18" ht="28.9" customHeight="1" x14ac:dyDescent="0.25"/>
    <row r="48" spans="2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theme="1"/>
  </sheetPr>
  <dimension ref="A1:AU66"/>
  <sheetViews>
    <sheetView zoomScale="40" zoomScaleNormal="40" workbookViewId="0"/>
  </sheetViews>
  <sheetFormatPr defaultColWidth="8.85546875" defaultRowHeight="15" x14ac:dyDescent="0.25"/>
  <cols>
    <col min="2" max="2" width="14.28515625" bestFit="1" customWidth="1"/>
    <col min="3" max="3" width="36.140625" customWidth="1"/>
    <col min="4" max="4" width="30.28515625" customWidth="1"/>
    <col min="5" max="5" width="21" bestFit="1" customWidth="1"/>
    <col min="6" max="6" width="45.42578125" bestFit="1" customWidth="1"/>
    <col min="7" max="7" width="34" bestFit="1" customWidth="1"/>
    <col min="8" max="8" width="50.42578125" bestFit="1" customWidth="1"/>
    <col min="9" max="9" width="46.28515625" bestFit="1" customWidth="1"/>
    <col min="10" max="10" width="35.7109375" bestFit="1" customWidth="1"/>
    <col min="11" max="11" width="36.28515625" bestFit="1" customWidth="1"/>
    <col min="12" max="12" width="36" bestFit="1" customWidth="1"/>
    <col min="13" max="13" width="49.42578125" customWidth="1"/>
    <col min="14" max="14" width="28.140625" bestFit="1" customWidth="1"/>
    <col min="15" max="15" width="17" bestFit="1" customWidth="1"/>
    <col min="16" max="16" width="33" bestFit="1" customWidth="1"/>
    <col min="17" max="17" width="12.5703125" bestFit="1" customWidth="1"/>
    <col min="18" max="18" width="13" bestFit="1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</row>
    <row r="5" spans="1:4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</row>
    <row r="6" spans="1:4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</row>
    <row r="7" spans="1:4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E11" s="505" t="s">
        <v>567</v>
      </c>
      <c r="F11" s="505"/>
      <c r="G11" s="505"/>
      <c r="H11" s="505"/>
      <c r="I11" s="505"/>
      <c r="J11" s="225"/>
      <c r="K11" s="225"/>
      <c r="L11" s="212"/>
    </row>
    <row r="12" spans="1:47" ht="28.9" customHeight="1" x14ac:dyDescent="0.3">
      <c r="E12" s="319" t="s">
        <v>282</v>
      </c>
      <c r="F12" s="319" t="s">
        <v>568</v>
      </c>
      <c r="G12" s="320" t="s">
        <v>364</v>
      </c>
      <c r="H12" s="319" t="s">
        <v>365</v>
      </c>
      <c r="I12" s="319" t="s">
        <v>569</v>
      </c>
      <c r="J12" s="226"/>
      <c r="K12" s="226"/>
      <c r="L12" s="211"/>
    </row>
    <row r="13" spans="1:47" ht="28.9" customHeight="1" x14ac:dyDescent="0.3">
      <c r="E13" s="321"/>
      <c r="F13" s="321"/>
      <c r="G13" s="322">
        <v>20</v>
      </c>
      <c r="H13" s="321"/>
      <c r="I13" s="321" t="s">
        <v>570</v>
      </c>
      <c r="J13" s="72"/>
      <c r="K13" s="227"/>
      <c r="L13" s="211"/>
    </row>
    <row r="14" spans="1:47" ht="28.9" customHeight="1" x14ac:dyDescent="0.3">
      <c r="E14" s="321"/>
      <c r="F14" s="323"/>
      <c r="G14" s="324">
        <v>30</v>
      </c>
      <c r="H14" s="321"/>
      <c r="I14" s="321" t="s">
        <v>570</v>
      </c>
      <c r="J14" s="72"/>
      <c r="K14" s="214"/>
      <c r="L14" s="211"/>
    </row>
    <row r="15" spans="1:47" ht="28.9" customHeight="1" x14ac:dyDescent="0.3">
      <c r="E15" s="321"/>
      <c r="F15" s="321"/>
      <c r="G15" s="324">
        <v>23</v>
      </c>
      <c r="H15" s="321"/>
      <c r="I15" s="321" t="s">
        <v>570</v>
      </c>
      <c r="J15" s="72"/>
      <c r="K15" s="227"/>
      <c r="L15" s="211"/>
    </row>
    <row r="16" spans="1:47" ht="28.9" customHeight="1" x14ac:dyDescent="0.3">
      <c r="E16" s="321"/>
      <c r="F16" s="321"/>
      <c r="G16" s="324">
        <v>50</v>
      </c>
      <c r="H16" s="321"/>
      <c r="I16" s="321" t="s">
        <v>570</v>
      </c>
      <c r="J16" s="72"/>
      <c r="K16" s="228"/>
      <c r="L16" s="1"/>
    </row>
    <row r="17" spans="5:12" ht="28.9" customHeight="1" x14ac:dyDescent="0.3">
      <c r="E17" s="321"/>
      <c r="F17" s="321"/>
      <c r="G17" s="324">
        <v>77</v>
      </c>
      <c r="H17" s="321"/>
      <c r="I17" s="321" t="s">
        <v>570</v>
      </c>
      <c r="J17" s="72"/>
      <c r="K17" s="214"/>
      <c r="L17" s="1"/>
    </row>
    <row r="18" spans="5:12" ht="28.9" customHeight="1" x14ac:dyDescent="0.3">
      <c r="E18" s="321"/>
      <c r="F18" s="321"/>
      <c r="G18" s="324">
        <v>55</v>
      </c>
      <c r="H18" s="321"/>
      <c r="I18" s="321" t="s">
        <v>570</v>
      </c>
      <c r="J18" s="72"/>
      <c r="K18" s="227"/>
      <c r="L18" s="1"/>
    </row>
    <row r="19" spans="5:12" ht="28.9" customHeight="1" x14ac:dyDescent="0.3">
      <c r="E19" s="321"/>
      <c r="F19" s="321"/>
      <c r="G19" s="324">
        <v>130</v>
      </c>
      <c r="H19" s="321"/>
      <c r="I19" s="321" t="s">
        <v>570</v>
      </c>
      <c r="J19" s="72"/>
      <c r="K19" s="227"/>
    </row>
    <row r="20" spans="5:12" ht="28.9" customHeight="1" x14ac:dyDescent="0.3">
      <c r="E20" s="321"/>
      <c r="F20" s="321"/>
      <c r="G20" s="324">
        <v>62</v>
      </c>
      <c r="H20" s="321"/>
      <c r="I20" s="321" t="s">
        <v>570</v>
      </c>
      <c r="J20" s="72"/>
      <c r="K20" s="229"/>
    </row>
    <row r="21" spans="5:12" ht="28.9" customHeight="1" x14ac:dyDescent="0.3">
      <c r="E21" s="321"/>
      <c r="F21" s="321"/>
      <c r="G21" s="324">
        <v>8</v>
      </c>
      <c r="H21" s="321"/>
      <c r="I21" s="321" t="s">
        <v>570</v>
      </c>
      <c r="J21" s="72"/>
      <c r="K21" s="227"/>
    </row>
    <row r="22" spans="5:12" ht="28.9" customHeight="1" x14ac:dyDescent="0.3">
      <c r="E22" s="321"/>
      <c r="F22" s="321"/>
      <c r="G22" s="324">
        <v>54</v>
      </c>
      <c r="H22" s="321"/>
      <c r="I22" s="321" t="s">
        <v>570</v>
      </c>
      <c r="J22" s="72"/>
      <c r="K22" s="214"/>
    </row>
    <row r="23" spans="5:12" ht="28.9" customHeight="1" x14ac:dyDescent="0.3">
      <c r="E23" s="321"/>
      <c r="F23" s="321"/>
      <c r="G23" s="324">
        <v>4</v>
      </c>
      <c r="H23" s="321"/>
      <c r="I23" s="321" t="s">
        <v>570</v>
      </c>
      <c r="J23" s="72"/>
      <c r="K23" s="214"/>
    </row>
    <row r="24" spans="5:12" ht="28.9" customHeight="1" x14ac:dyDescent="0.3">
      <c r="E24" s="321"/>
      <c r="F24" s="321"/>
      <c r="G24" s="324">
        <v>64</v>
      </c>
      <c r="H24" s="321"/>
      <c r="I24" s="321" t="s">
        <v>570</v>
      </c>
      <c r="J24" s="72"/>
      <c r="K24" s="230"/>
    </row>
    <row r="25" spans="5:12" ht="28.9" customHeight="1" x14ac:dyDescent="0.3">
      <c r="E25" s="321"/>
      <c r="F25" s="321"/>
      <c r="G25" s="324">
        <v>78</v>
      </c>
      <c r="H25" s="321"/>
      <c r="I25" s="321" t="s">
        <v>570</v>
      </c>
      <c r="J25" s="72"/>
      <c r="K25" s="227"/>
      <c r="L25" s="216"/>
    </row>
    <row r="26" spans="5:12" ht="28.9" customHeight="1" thickBot="1" x14ac:dyDescent="0.3">
      <c r="E26" s="72"/>
      <c r="F26" s="72"/>
      <c r="G26" s="72"/>
      <c r="H26" s="227"/>
      <c r="I26" s="72"/>
      <c r="J26" s="72"/>
      <c r="K26" s="227"/>
    </row>
    <row r="27" spans="5:12" ht="28.9" customHeight="1" x14ac:dyDescent="0.3">
      <c r="E27" s="493" t="s">
        <v>571</v>
      </c>
      <c r="F27" s="494"/>
      <c r="G27" s="494"/>
      <c r="H27" s="494"/>
      <c r="I27" s="494"/>
      <c r="J27" s="494"/>
      <c r="K27" s="494"/>
      <c r="L27" s="495"/>
    </row>
    <row r="28" spans="5:12" ht="28.9" customHeight="1" x14ac:dyDescent="0.25">
      <c r="E28" s="325" t="s">
        <v>220</v>
      </c>
      <c r="F28" s="253" t="s">
        <v>572</v>
      </c>
      <c r="G28" s="253" t="s">
        <v>573</v>
      </c>
      <c r="H28" s="253" t="s">
        <v>574</v>
      </c>
      <c r="I28" s="253" t="s">
        <v>575</v>
      </c>
      <c r="J28" s="253" t="s">
        <v>576</v>
      </c>
      <c r="K28" s="253" t="s">
        <v>577</v>
      </c>
      <c r="L28" s="326" t="s">
        <v>578</v>
      </c>
    </row>
    <row r="29" spans="5:12" ht="28.9" customHeight="1" x14ac:dyDescent="0.35">
      <c r="E29" s="327"/>
      <c r="F29" s="289"/>
      <c r="G29" s="289"/>
      <c r="H29" s="289"/>
      <c r="I29" s="289"/>
      <c r="J29" s="310"/>
      <c r="K29" s="310"/>
      <c r="L29" s="311"/>
    </row>
    <row r="30" spans="5:12" ht="28.9" customHeight="1" x14ac:dyDescent="0.35">
      <c r="E30" s="327"/>
      <c r="F30" s="289"/>
      <c r="G30" s="289"/>
      <c r="H30" s="289"/>
      <c r="I30" s="289"/>
      <c r="J30" s="310"/>
      <c r="K30" s="310"/>
      <c r="L30" s="311"/>
    </row>
    <row r="31" spans="5:12" ht="28.9" customHeight="1" x14ac:dyDescent="0.35">
      <c r="E31" s="309"/>
      <c r="F31" s="310"/>
      <c r="G31" s="310"/>
      <c r="H31" s="310"/>
      <c r="I31" s="310"/>
      <c r="J31" s="310"/>
      <c r="K31" s="310"/>
      <c r="L31" s="311"/>
    </row>
    <row r="32" spans="5:12" ht="28.9" customHeight="1" x14ac:dyDescent="0.35">
      <c r="E32" s="309"/>
      <c r="F32" s="310"/>
      <c r="G32" s="310"/>
      <c r="H32" s="310"/>
      <c r="I32" s="310"/>
      <c r="J32" s="310"/>
      <c r="K32" s="310"/>
      <c r="L32" s="311"/>
    </row>
    <row r="33" spans="5:12" ht="28.9" customHeight="1" x14ac:dyDescent="0.35">
      <c r="E33" s="309"/>
      <c r="F33" s="310"/>
      <c r="G33" s="310"/>
      <c r="H33" s="310"/>
      <c r="I33" s="310"/>
      <c r="J33" s="310"/>
      <c r="K33" s="310"/>
      <c r="L33" s="311"/>
    </row>
    <row r="34" spans="5:12" ht="28.9" customHeight="1" thickBot="1" x14ac:dyDescent="0.4">
      <c r="E34" s="312"/>
      <c r="F34" s="313"/>
      <c r="G34" s="313"/>
      <c r="H34" s="313"/>
      <c r="I34" s="313"/>
      <c r="J34" s="313"/>
      <c r="K34" s="313"/>
      <c r="L34" s="314"/>
    </row>
    <row r="35" spans="5:12" ht="28.9" customHeight="1" x14ac:dyDescent="0.25"/>
    <row r="36" spans="5:12" ht="28.9" customHeight="1" x14ac:dyDescent="0.25"/>
    <row r="37" spans="5:12" ht="28.9" customHeight="1" x14ac:dyDescent="0.25"/>
    <row r="38" spans="5:12" ht="28.9" customHeight="1" x14ac:dyDescent="0.25"/>
    <row r="39" spans="5:12" ht="28.9" customHeight="1" x14ac:dyDescent="0.25"/>
    <row r="40" spans="5:12" ht="28.9" customHeight="1" x14ac:dyDescent="0.25"/>
    <row r="41" spans="5:12" ht="28.9" customHeight="1" x14ac:dyDescent="0.25"/>
    <row r="42" spans="5:12" ht="28.9" customHeight="1" x14ac:dyDescent="0.25"/>
    <row r="43" spans="5:12" ht="28.9" customHeight="1" x14ac:dyDescent="0.25"/>
    <row r="44" spans="5:12" ht="28.9" customHeight="1" x14ac:dyDescent="0.25"/>
    <row r="45" spans="5:12" ht="28.9" customHeight="1" x14ac:dyDescent="0.25"/>
    <row r="46" spans="5:12" ht="28.9" customHeight="1" x14ac:dyDescent="0.25"/>
    <row r="47" spans="5:12" ht="28.9" customHeight="1" x14ac:dyDescent="0.25"/>
    <row r="48" spans="5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44</vt:i4>
      </vt:variant>
    </vt:vector>
  </HeadingPairs>
  <TitlesOfParts>
    <vt:vector size="44" baseType="lpstr">
      <vt:lpstr>HOME</vt:lpstr>
      <vt:lpstr>P_HOME</vt:lpstr>
      <vt:lpstr>P_REQUISICOES</vt:lpstr>
      <vt:lpstr>P_EQUIPES</vt:lpstr>
      <vt:lpstr>P_LANCAMENTOS</vt:lpstr>
      <vt:lpstr>P_CONSULTA-BD</vt:lpstr>
      <vt:lpstr>L_HOME</vt:lpstr>
      <vt:lpstr>L_CLIENTES</vt:lpstr>
      <vt:lpstr>L_CONTROLE-DE-VEICULOS</vt:lpstr>
      <vt:lpstr>L_CRONOGRAMA-DE-ENTREGAS</vt:lpstr>
      <vt:lpstr>L_CLACULO-DO-FRETE</vt:lpstr>
      <vt:lpstr>L_RELATORIO-DE-ENTREGAS</vt:lpstr>
      <vt:lpstr>L_RASTREAMENTO-DE-ESTOQUE</vt:lpstr>
      <vt:lpstr>L_CADASTRO-DE-VEICULOS</vt:lpstr>
      <vt:lpstr>E_HOME</vt:lpstr>
      <vt:lpstr>E_PEDIDO-DE-PRODUCAO</vt:lpstr>
      <vt:lpstr>E_SAIDA-DE-MATERIAIS</vt:lpstr>
      <vt:lpstr>RH_HOME</vt:lpstr>
      <vt:lpstr>RH_CONTRATACAO</vt:lpstr>
      <vt:lpstr>RH_CADASTRAR-COLABORADOR</vt:lpstr>
      <vt:lpstr>RH_FOLHA-DE-PAGAMENTO</vt:lpstr>
      <vt:lpstr>RH_REFERENCIAIS</vt:lpstr>
      <vt:lpstr>F_HOME</vt:lpstr>
      <vt:lpstr>F_CUSTO-FIXO-E-VARIAVEL</vt:lpstr>
      <vt:lpstr>F_DRE</vt:lpstr>
      <vt:lpstr>F_VALORES-PRODUTOS</vt:lpstr>
      <vt:lpstr>C_HOME</vt:lpstr>
      <vt:lpstr>C_CADASTRAR-FORNECEDORES</vt:lpstr>
      <vt:lpstr>C_PROCURAR-FORNECEDORES</vt:lpstr>
      <vt:lpstr>C_CONTROLE-DE-MATERIA-PRIMA</vt:lpstr>
      <vt:lpstr>C_SOLICITAR-COMPRA</vt:lpstr>
      <vt:lpstr>C_SOLICITAR-COMPRA-TABELA</vt:lpstr>
      <vt:lpstr>C_REALIZAR-PEDIDO</vt:lpstr>
      <vt:lpstr>V_HOME</vt:lpstr>
      <vt:lpstr>V_CADASTRO-DE-CLIENTE</vt:lpstr>
      <vt:lpstr>V_CONTROLE-DE-VENDAS</vt:lpstr>
      <vt:lpstr>V_METAS</vt:lpstr>
      <vt:lpstr>V_RELATORIO-DE-CONTROLE</vt:lpstr>
      <vt:lpstr>V_RELATORIO-METAS</vt:lpstr>
      <vt:lpstr>BD_HOME</vt:lpstr>
      <vt:lpstr>BD_01</vt:lpstr>
      <vt:lpstr>BD_02</vt:lpstr>
      <vt:lpstr>BD_03</vt:lpstr>
      <vt:lpstr>BD_04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Duan Lee Dom</cp:lastModifiedBy>
  <cp:revision/>
  <dcterms:created xsi:type="dcterms:W3CDTF">2024-10-25T18:08:44Z</dcterms:created>
  <dcterms:modified xsi:type="dcterms:W3CDTF">2024-12-03T19:48:50Z</dcterms:modified>
  <cp:category/>
  <cp:contentStatus/>
</cp:coreProperties>
</file>