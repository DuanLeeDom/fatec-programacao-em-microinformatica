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20D5D9F4-C8DD-4455-B74B-08475B76A3C7}" xr6:coauthVersionLast="47" xr6:coauthVersionMax="47" xr10:uidLastSave="{00000000-0000-0000-0000-000000000000}"/>
  <bookViews>
    <workbookView xWindow="-108" yWindow="-108" windowWidth="23256" windowHeight="12456" tabRatio="902" firstSheet="31" activeTab="43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LOGISTICA_CLIENTES" sheetId="66" r:id="rId8"/>
    <sheet name="LOGISTICA_VEICULOS" sheetId="93" r:id="rId9"/>
    <sheet name="LOGISTICA_CRONOGRAMA" sheetId="94" r:id="rId10"/>
    <sheet name="LOGISTICA_FRETE" sheetId="95" r:id="rId11"/>
    <sheet name="LOGISTICA_ENTREGAS" sheetId="96" r:id="rId12"/>
    <sheet name="LOGISTICA_ESTQ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" sheetId="144" r:id="rId24"/>
    <sheet name="N_VCINTRL" sheetId="145" r:id="rId25"/>
    <sheet name="N_VMETAS" sheetId="146" r:id="rId26"/>
    <sheet name="N_VRELCOM" sheetId="147" r:id="rId27"/>
    <sheet name="N_VRELMET" sheetId="148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ANCO1" sheetId="121" r:id="rId41"/>
    <sheet name="B2" sheetId="122" r:id="rId42"/>
    <sheet name="B3" sheetId="123" r:id="rId43"/>
    <sheet name="BD_CADAS" sheetId="143" r:id="rId44"/>
  </sheets>
  <externalReferences>
    <externalReference r:id="rId45"/>
    <externalReference r:id="rId46"/>
    <externalReference r:id="rId47"/>
    <externalReference r:id="rId48"/>
  </externalReferences>
  <definedNames>
    <definedName name="_xlnm._FilterDatabase" localSheetId="30" hidden="1">N_PROCFOR!$G$12:$O$26</definedName>
    <definedName name="QUEIJOS" localSheetId="43">#REF!</definedName>
    <definedName name="QUEIJOS">#REF!</definedName>
    <definedName name="QUEIJOS_OFC" localSheetId="43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87" l="1"/>
  <c r="K17" i="146" l="1"/>
  <c r="K15" i="146"/>
  <c r="K19" i="146" s="1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<sst xmlns="http://schemas.openxmlformats.org/spreadsheetml/2006/main" count="1927" uniqueCount="768">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</sst>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6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  <font>
      <b/>
      <sz val="24"/>
      <color theme="1"/>
      <name val="Arial"/>
      <family val="2"/>
    </font>
    <font>
      <b/>
      <sz val="22"/>
      <color rgb="FF000000"/>
      <name val="Arial"/>
      <family val="2"/>
    </font>
    <font>
      <b/>
      <sz val="24"/>
      <color rgb="FF000000"/>
      <name val="Arial"/>
      <family val="2"/>
    </font>
    <font>
      <b/>
      <sz val="24"/>
      <color theme="0"/>
      <name val="Arial"/>
      <family val="2"/>
    </font>
    <font>
      <b/>
      <sz val="26"/>
      <color theme="0"/>
      <name val="Arial"/>
      <family val="2"/>
    </font>
    <font>
      <sz val="22"/>
      <color rgb="FF000000"/>
      <name val="Arial"/>
      <family val="2"/>
    </font>
    <font>
      <sz val="24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79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1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1" fillId="13" borderId="46" xfId="0" applyFont="1" applyFill="1" applyBorder="1" applyAlignment="1"/>
    <xf numFmtId="0" fontId="2" fillId="13" borderId="47" xfId="0" applyFont="1" applyFill="1" applyBorder="1" applyAlignment="1"/>
    <xf numFmtId="0" fontId="12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9" fillId="3" borderId="0" xfId="0" applyFont="1" applyFill="1" applyBorder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 applyBorder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6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3" fillId="3" borderId="0" xfId="0" applyFont="1" applyFill="1"/>
    <xf numFmtId="0" fontId="0" fillId="0" borderId="0" xfId="0"/>
    <xf numFmtId="0" fontId="27" fillId="13" borderId="0" xfId="0" applyFont="1" applyFill="1" applyBorder="1" applyAlignment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7" fillId="2" borderId="12" xfId="0" applyFont="1" applyFill="1" applyBorder="1" applyAlignment="1"/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5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5" fillId="11" borderId="0" xfId="0" applyFont="1" applyFill="1" applyBorder="1" applyAlignment="1">
      <alignment horizontal="left" vertical="center"/>
    </xf>
    <xf numFmtId="0" fontId="28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5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>
      <alignment vertical="center"/>
    </xf>
    <xf numFmtId="0" fontId="2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0" fillId="16" borderId="0" xfId="0" applyFill="1" applyAlignment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/>
    </xf>
    <xf numFmtId="0" fontId="21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5" fillId="13" borderId="0" xfId="0" applyFont="1" applyFill="1" applyBorder="1" applyAlignment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left" vertical="center"/>
    </xf>
    <xf numFmtId="0" fontId="32" fillId="10" borderId="0" xfId="0" applyFont="1" applyFill="1" applyBorder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Border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0" fillId="10" borderId="0" xfId="0" applyFill="1"/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0" fontId="32" fillId="10" borderId="1" xfId="0" applyFont="1" applyFill="1" applyBorder="1"/>
    <xf numFmtId="44" fontId="32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5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46" fillId="2" borderId="37" xfId="2" applyFont="1" applyFill="1" applyBorder="1" applyAlignment="1">
      <alignment horizontal="left" vertical="center"/>
    </xf>
    <xf numFmtId="0" fontId="46" fillId="2" borderId="37" xfId="2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8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0" fillId="16" borderId="0" xfId="0" applyFill="1"/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9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50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1" fillId="13" borderId="1" xfId="0" applyFont="1" applyFill="1" applyBorder="1" applyAlignment="1">
      <alignment horizontal="left" vertical="center" wrapText="1"/>
    </xf>
    <xf numFmtId="44" fontId="51" fillId="13" borderId="1" xfId="4" applyFont="1" applyFill="1" applyBorder="1" applyAlignment="1">
      <alignment horizontal="left" vertical="center" wrapText="1"/>
    </xf>
    <xf numFmtId="0" fontId="51" fillId="13" borderId="13" xfId="0" applyFont="1" applyFill="1" applyBorder="1" applyAlignment="1">
      <alignment horizontal="left" vertical="center" wrapText="1"/>
    </xf>
    <xf numFmtId="44" fontId="51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2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36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7" fillId="10" borderId="0" xfId="0" applyFont="1" applyFill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36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6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32" fillId="0" borderId="0" xfId="0" applyFont="1"/>
    <xf numFmtId="0" fontId="32" fillId="0" borderId="71" xfId="0" applyFont="1" applyBorder="1"/>
    <xf numFmtId="0" fontId="32" fillId="0" borderId="39" xfId="0" applyFont="1" applyBorder="1"/>
    <xf numFmtId="0" fontId="32" fillId="0" borderId="38" xfId="0" applyFont="1" applyBorder="1"/>
    <xf numFmtId="0" fontId="32" fillId="2" borderId="0" xfId="0" applyFont="1" applyFill="1"/>
    <xf numFmtId="0" fontId="32" fillId="0" borderId="1" xfId="0" applyFont="1" applyBorder="1" applyAlignment="1">
      <alignment horizontal="left" vertical="center"/>
    </xf>
    <xf numFmtId="0" fontId="32" fillId="0" borderId="55" xfId="0" applyFont="1" applyBorder="1"/>
    <xf numFmtId="0" fontId="32" fillId="0" borderId="36" xfId="0" applyFont="1" applyBorder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2" fillId="0" borderId="40" xfId="0" applyFont="1" applyBorder="1"/>
    <xf numFmtId="0" fontId="32" fillId="0" borderId="72" xfId="0" applyFont="1" applyBorder="1"/>
    <xf numFmtId="44" fontId="32" fillId="0" borderId="37" xfId="5" applyFont="1" applyBorder="1"/>
    <xf numFmtId="44" fontId="32" fillId="0" borderId="1" xfId="5" applyFont="1" applyBorder="1"/>
    <xf numFmtId="0" fontId="32" fillId="0" borderId="56" xfId="0" applyFont="1" applyBorder="1"/>
    <xf numFmtId="0" fontId="53" fillId="0" borderId="1" xfId="2" applyFont="1" applyBorder="1"/>
    <xf numFmtId="0" fontId="28" fillId="17" borderId="53" xfId="0" applyFont="1" applyFill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44" fillId="7" borderId="1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2" borderId="0" xfId="0" applyFont="1" applyFill="1" applyAlignment="1">
      <alignment horizontal="center"/>
    </xf>
    <xf numFmtId="0" fontId="28" fillId="17" borderId="3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3" fillId="2" borderId="37" xfId="2" applyFont="1" applyFill="1" applyBorder="1" applyAlignment="1">
      <alignment horizontal="left" vertical="center"/>
    </xf>
    <xf numFmtId="0" fontId="53" fillId="2" borderId="0" xfId="2" applyFont="1" applyFill="1" applyBorder="1" applyAlignment="1">
      <alignment horizontal="left" vertical="center"/>
    </xf>
    <xf numFmtId="0" fontId="32" fillId="0" borderId="37" xfId="0" applyFont="1" applyBorder="1"/>
    <xf numFmtId="0" fontId="32" fillId="0" borderId="36" xfId="0" applyFont="1" applyBorder="1"/>
    <xf numFmtId="0" fontId="53" fillId="2" borderId="37" xfId="2" applyFont="1" applyFill="1" applyBorder="1" applyAlignment="1">
      <alignment horizontal="left"/>
    </xf>
    <xf numFmtId="0" fontId="53" fillId="2" borderId="0" xfId="2" applyFont="1" applyFill="1" applyBorder="1" applyAlignment="1">
      <alignment horizontal="left"/>
    </xf>
    <xf numFmtId="0" fontId="32" fillId="2" borderId="33" xfId="0" applyFont="1" applyFill="1" applyBorder="1" applyAlignment="1">
      <alignment horizontal="left" vertical="center"/>
    </xf>
    <xf numFmtId="0" fontId="32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6" fillId="2" borderId="1" xfId="2" applyFont="1" applyFill="1" applyBorder="1" applyAlignment="1">
      <alignment horizontal="left"/>
    </xf>
    <xf numFmtId="0" fontId="28" fillId="3" borderId="0" xfId="0" applyFont="1" applyFill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32" fillId="13" borderId="52" xfId="0" applyFont="1" applyFill="1" applyBorder="1" applyAlignment="1">
      <alignment horizontal="left"/>
    </xf>
    <xf numFmtId="164" fontId="32" fillId="13" borderId="52" xfId="0" applyNumberFormat="1" applyFont="1" applyFill="1" applyBorder="1" applyAlignment="1">
      <alignment horizontal="left"/>
    </xf>
    <xf numFmtId="0" fontId="55" fillId="9" borderId="1" xfId="0" applyFont="1" applyFill="1" applyBorder="1" applyAlignment="1">
      <alignment horizontal="center" vertical="center"/>
    </xf>
    <xf numFmtId="0" fontId="56" fillId="11" borderId="0" xfId="0" applyFont="1" applyFill="1" applyAlignment="1">
      <alignment horizontal="left" vertical="center"/>
    </xf>
    <xf numFmtId="0" fontId="56" fillId="11" borderId="0" xfId="0" applyFont="1" applyFill="1" applyBorder="1" applyAlignment="1">
      <alignment horizontal="left" vertical="center"/>
    </xf>
    <xf numFmtId="0" fontId="56" fillId="11" borderId="0" xfId="0" applyFont="1" applyFill="1" applyAlignment="1">
      <alignment vertical="center"/>
    </xf>
    <xf numFmtId="0" fontId="56" fillId="11" borderId="0" xfId="0" applyFont="1" applyFill="1" applyBorder="1" applyAlignment="1">
      <alignment vertical="center"/>
    </xf>
    <xf numFmtId="0" fontId="54" fillId="8" borderId="23" xfId="0" applyFont="1" applyFill="1" applyBorder="1" applyAlignment="1">
      <alignment horizontal="center" vertical="center"/>
    </xf>
    <xf numFmtId="0" fontId="54" fillId="8" borderId="25" xfId="0" applyFont="1" applyFill="1" applyBorder="1" applyAlignment="1">
      <alignment horizontal="center" vertical="center"/>
    </xf>
    <xf numFmtId="0" fontId="54" fillId="8" borderId="27" xfId="0" applyFont="1" applyFill="1" applyBorder="1" applyAlignment="1">
      <alignment horizontal="center" vertical="center"/>
    </xf>
    <xf numFmtId="0" fontId="54" fillId="8" borderId="19" xfId="0" applyFont="1" applyFill="1" applyBorder="1" applyAlignment="1">
      <alignment horizontal="center" vertical="center"/>
    </xf>
    <xf numFmtId="0" fontId="54" fillId="8" borderId="16" xfId="0" applyFont="1" applyFill="1" applyBorder="1" applyAlignment="1">
      <alignment horizontal="center" vertical="center"/>
    </xf>
    <xf numFmtId="0" fontId="54" fillId="8" borderId="24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center" vertical="center"/>
    </xf>
    <xf numFmtId="0" fontId="39" fillId="2" borderId="19" xfId="0" applyFont="1" applyFill="1" applyBorder="1" applyAlignment="1">
      <alignment horizontal="center" vertical="center"/>
    </xf>
    <xf numFmtId="0" fontId="39" fillId="2" borderId="24" xfId="0" applyFont="1" applyFill="1" applyBorder="1" applyAlignment="1">
      <alignment horizontal="center" vertical="center"/>
    </xf>
    <xf numFmtId="0" fontId="39" fillId="2" borderId="18" xfId="0" applyFont="1" applyFill="1" applyBorder="1" applyAlignment="1">
      <alignment horizontal="center" vertical="center"/>
    </xf>
    <xf numFmtId="0" fontId="39" fillId="2" borderId="12" xfId="0" applyFont="1" applyFill="1" applyBorder="1" applyAlignment="1">
      <alignment horizontal="center" vertical="center"/>
    </xf>
    <xf numFmtId="0" fontId="39" fillId="2" borderId="26" xfId="0" applyFont="1" applyFill="1" applyBorder="1" applyAlignment="1">
      <alignment horizontal="center" vertical="center"/>
    </xf>
    <xf numFmtId="0" fontId="39" fillId="2" borderId="28" xfId="0" applyFont="1" applyFill="1" applyBorder="1" applyAlignment="1">
      <alignment horizontal="center" vertical="center"/>
    </xf>
    <xf numFmtId="0" fontId="39" fillId="2" borderId="29" xfId="0" applyFont="1" applyFill="1" applyBorder="1" applyAlignment="1">
      <alignment horizontal="center" vertical="center"/>
    </xf>
    <xf numFmtId="0" fontId="39" fillId="2" borderId="30" xfId="0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/>
    </xf>
    <xf numFmtId="0" fontId="60" fillId="11" borderId="0" xfId="0" applyFont="1" applyFill="1" applyBorder="1" applyAlignment="1">
      <alignment horizontal="left" vertical="center"/>
    </xf>
    <xf numFmtId="0" fontId="55" fillId="3" borderId="1" xfId="0" applyFont="1" applyFill="1" applyBorder="1" applyAlignment="1">
      <alignment horizontal="center" vertical="center"/>
    </xf>
    <xf numFmtId="0" fontId="54" fillId="11" borderId="0" xfId="0" applyFont="1" applyFill="1" applyBorder="1" applyAlignment="1">
      <alignment horizontal="left" vertical="center"/>
    </xf>
    <xf numFmtId="0" fontId="57" fillId="17" borderId="1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left" vertical="center" wrapText="1"/>
    </xf>
    <xf numFmtId="0" fontId="57" fillId="17" borderId="1" xfId="0" applyFont="1" applyFill="1" applyBorder="1" applyAlignment="1">
      <alignment horizontal="left" vertical="center"/>
    </xf>
    <xf numFmtId="0" fontId="57" fillId="17" borderId="1" xfId="0" applyFont="1" applyFill="1" applyBorder="1" applyAlignment="1">
      <alignment horizontal="right" vertical="center"/>
    </xf>
    <xf numFmtId="3" fontId="39" fillId="13" borderId="1" xfId="0" applyNumberFormat="1" applyFont="1" applyFill="1" applyBorder="1" applyAlignment="1">
      <alignment horizontal="left" vertical="center" wrapText="1"/>
    </xf>
    <xf numFmtId="14" fontId="39" fillId="13" borderId="1" xfId="0" applyNumberFormat="1" applyFont="1" applyFill="1" applyBorder="1" applyAlignment="1">
      <alignment horizontal="left" vertical="center" wrapText="1"/>
    </xf>
    <xf numFmtId="20" fontId="39" fillId="13" borderId="1" xfId="0" applyNumberFormat="1" applyFont="1" applyFill="1" applyBorder="1" applyAlignment="1">
      <alignment horizontal="left" vertical="center" wrapText="1"/>
    </xf>
    <xf numFmtId="2" fontId="39" fillId="13" borderId="1" xfId="0" applyNumberFormat="1" applyFont="1" applyFill="1" applyBorder="1" applyAlignment="1">
      <alignment horizontal="left" vertical="center" wrapText="1"/>
    </xf>
    <xf numFmtId="8" fontId="39" fillId="13" borderId="1" xfId="0" applyNumberFormat="1" applyFont="1" applyFill="1" applyBorder="1" applyAlignment="1">
      <alignment horizontal="left" vertical="center" wrapText="1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0" fillId="10" borderId="7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center" vertical="center"/>
    </xf>
    <xf numFmtId="0" fontId="58" fillId="5" borderId="4" xfId="0" applyFont="1" applyFill="1" applyBorder="1" applyAlignment="1">
      <alignment horizontal="center" vertical="center"/>
    </xf>
    <xf numFmtId="0" fontId="58" fillId="5" borderId="5" xfId="0" applyFont="1" applyFill="1" applyBorder="1" applyAlignment="1">
      <alignment horizontal="center" vertical="center"/>
    </xf>
    <xf numFmtId="0" fontId="58" fillId="5" borderId="6" xfId="0" applyFont="1" applyFill="1" applyBorder="1" applyAlignment="1">
      <alignment horizontal="center" vertical="center"/>
    </xf>
    <xf numFmtId="0" fontId="58" fillId="5" borderId="21" xfId="0" applyFont="1" applyFill="1" applyBorder="1" applyAlignment="1">
      <alignment horizontal="center" vertical="center"/>
    </xf>
    <xf numFmtId="0" fontId="58" fillId="5" borderId="14" xfId="0" applyFont="1" applyFill="1" applyBorder="1" applyAlignment="1">
      <alignment horizontal="center" vertical="center"/>
    </xf>
    <xf numFmtId="0" fontId="58" fillId="5" borderId="22" xfId="0" applyFont="1" applyFill="1" applyBorder="1" applyAlignment="1">
      <alignment horizontal="center" vertical="center"/>
    </xf>
    <xf numFmtId="0" fontId="57" fillId="4" borderId="4" xfId="0" applyFont="1" applyFill="1" applyBorder="1" applyAlignment="1">
      <alignment horizontal="center" vertical="center"/>
    </xf>
    <xf numFmtId="0" fontId="57" fillId="4" borderId="5" xfId="0" applyFont="1" applyFill="1" applyBorder="1" applyAlignment="1">
      <alignment horizontal="center" vertical="center"/>
    </xf>
    <xf numFmtId="0" fontId="57" fillId="4" borderId="6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14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0" fontId="55" fillId="9" borderId="31" xfId="0" applyFont="1" applyFill="1" applyBorder="1" applyAlignment="1">
      <alignment horizontal="center" vertical="center"/>
    </xf>
    <xf numFmtId="0" fontId="55" fillId="9" borderId="15" xfId="0" applyFont="1" applyFill="1" applyBorder="1" applyAlignment="1">
      <alignment horizontal="center" vertical="center"/>
    </xf>
    <xf numFmtId="0" fontId="55" fillId="9" borderId="21" xfId="0" applyFont="1" applyFill="1" applyBorder="1" applyAlignment="1">
      <alignment horizontal="center" vertical="center"/>
    </xf>
    <xf numFmtId="0" fontId="55" fillId="9" borderId="3" xfId="0" applyFont="1" applyFill="1" applyBorder="1" applyAlignment="1">
      <alignment horizontal="center" vertical="center"/>
    </xf>
    <xf numFmtId="0" fontId="59" fillId="3" borderId="13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58" fillId="12" borderId="4" xfId="0" applyFont="1" applyFill="1" applyBorder="1" applyAlignment="1">
      <alignment horizontal="center" vertical="center"/>
    </xf>
    <xf numFmtId="0" fontId="58" fillId="12" borderId="5" xfId="0" applyFont="1" applyFill="1" applyBorder="1" applyAlignment="1">
      <alignment horizontal="center" vertical="center"/>
    </xf>
    <xf numFmtId="0" fontId="58" fillId="12" borderId="6" xfId="0" applyFont="1" applyFill="1" applyBorder="1" applyAlignment="1">
      <alignment horizontal="center" vertical="center"/>
    </xf>
    <xf numFmtId="0" fontId="58" fillId="12" borderId="7" xfId="0" applyFont="1" applyFill="1" applyBorder="1" applyAlignment="1">
      <alignment horizontal="center" vertical="center"/>
    </xf>
    <xf numFmtId="0" fontId="58" fillId="12" borderId="0" xfId="0" applyFont="1" applyFill="1" applyBorder="1" applyAlignment="1">
      <alignment horizontal="center" vertical="center"/>
    </xf>
    <xf numFmtId="0" fontId="58" fillId="12" borderId="8" xfId="0" applyFont="1" applyFill="1" applyBorder="1" applyAlignment="1">
      <alignment horizontal="center" vertical="center"/>
    </xf>
    <xf numFmtId="0" fontId="58" fillId="12" borderId="9" xfId="0" applyFont="1" applyFill="1" applyBorder="1" applyAlignment="1">
      <alignment horizontal="center" vertical="center"/>
    </xf>
    <xf numFmtId="0" fontId="58" fillId="12" borderId="10" xfId="0" applyFont="1" applyFill="1" applyBorder="1" applyAlignment="1">
      <alignment horizontal="center" vertical="center"/>
    </xf>
    <xf numFmtId="0" fontId="58" fillId="12" borderId="11" xfId="0" applyFont="1" applyFill="1" applyBorder="1" applyAlignment="1">
      <alignment horizontal="center" vertical="center"/>
    </xf>
    <xf numFmtId="0" fontId="58" fillId="6" borderId="4" xfId="0" applyFont="1" applyFill="1" applyBorder="1" applyAlignment="1">
      <alignment horizontal="center" vertical="center"/>
    </xf>
    <xf numFmtId="0" fontId="58" fillId="6" borderId="5" xfId="0" applyFont="1" applyFill="1" applyBorder="1" applyAlignment="1">
      <alignment horizontal="center" vertical="center"/>
    </xf>
    <xf numFmtId="0" fontId="58" fillId="6" borderId="6" xfId="0" applyFont="1" applyFill="1" applyBorder="1" applyAlignment="1">
      <alignment horizontal="center" vertical="center"/>
    </xf>
    <xf numFmtId="0" fontId="58" fillId="6" borderId="21" xfId="0" applyFont="1" applyFill="1" applyBorder="1" applyAlignment="1">
      <alignment horizontal="center" vertical="center"/>
    </xf>
    <xf numFmtId="0" fontId="58" fillId="6" borderId="14" xfId="0" applyFont="1" applyFill="1" applyBorder="1" applyAlignment="1">
      <alignment horizontal="center" vertical="center"/>
    </xf>
    <xf numFmtId="0" fontId="58" fillId="6" borderId="22" xfId="0" applyFont="1" applyFill="1" applyBorder="1" applyAlignment="1">
      <alignment horizontal="center" vertical="center"/>
    </xf>
    <xf numFmtId="0" fontId="54" fillId="8" borderId="31" xfId="0" applyFont="1" applyFill="1" applyBorder="1" applyAlignment="1">
      <alignment horizontal="center" vertical="center"/>
    </xf>
    <xf numFmtId="0" fontId="54" fillId="8" borderId="50" xfId="0" applyFont="1" applyFill="1" applyBorder="1" applyAlignment="1">
      <alignment horizontal="center" vertical="center"/>
    </xf>
    <xf numFmtId="0" fontId="54" fillId="8" borderId="63" xfId="0" applyFont="1" applyFill="1" applyBorder="1" applyAlignment="1">
      <alignment horizontal="center" vertical="center"/>
    </xf>
    <xf numFmtId="0" fontId="54" fillId="8" borderId="9" xfId="0" applyFont="1" applyFill="1" applyBorder="1" applyAlignment="1">
      <alignment horizontal="center" vertical="center"/>
    </xf>
    <xf numFmtId="0" fontId="54" fillId="8" borderId="10" xfId="0" applyFont="1" applyFill="1" applyBorder="1" applyAlignment="1">
      <alignment horizontal="center" vertical="center"/>
    </xf>
    <xf numFmtId="0" fontId="54" fillId="8" borderId="1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44" fontId="32" fillId="13" borderId="1" xfId="4" applyFont="1" applyFill="1" applyBorder="1" applyAlignment="1">
      <alignment horizontal="center"/>
    </xf>
    <xf numFmtId="0" fontId="37" fillId="17" borderId="1" xfId="0" applyFont="1" applyFill="1" applyBorder="1" applyAlignment="1">
      <alignment horizontal="center" vertical="center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0" fontId="29" fillId="13" borderId="1" xfId="0" applyFont="1" applyFill="1" applyBorder="1" applyAlignment="1">
      <alignment horizontal="left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21" fillId="13" borderId="1" xfId="0" applyFont="1" applyFill="1" applyBorder="1" applyAlignment="1">
      <alignment horizontal="center"/>
    </xf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7" borderId="1" xfId="0" applyFont="1" applyFill="1" applyBorder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47" fillId="7" borderId="64" xfId="0" applyFont="1" applyFill="1" applyBorder="1" applyAlignment="1">
      <alignment horizontal="center"/>
    </xf>
    <xf numFmtId="0" fontId="47" fillId="7" borderId="65" xfId="0" applyFont="1" applyFill="1" applyBorder="1" applyAlignment="1">
      <alignment horizontal="center"/>
    </xf>
    <xf numFmtId="0" fontId="47" fillId="7" borderId="66" xfId="0" applyFont="1" applyFill="1" applyBorder="1" applyAlignment="1">
      <alignment horizontal="center"/>
    </xf>
    <xf numFmtId="0" fontId="37" fillId="7" borderId="14" xfId="0" applyFont="1" applyFill="1" applyBorder="1" applyAlignment="1">
      <alignment horizontal="center" vertical="center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4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BANCO1!$F$14:$F$17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BANCO1!$G$14:$G$17</c:f>
              <c:numCache>
                <c:formatCode>General</c:formatCode>
                <c:ptCount val="4"/>
                <c:pt idx="0">
                  <c:v>700</c:v>
                </c:pt>
                <c:pt idx="1">
                  <c:v>200</c:v>
                </c:pt>
                <c:pt idx="2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7-40EC-BF5B-08A5807A8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794895"/>
        <c:axId val="486795727"/>
      </c:barChart>
      <c:catAx>
        <c:axId val="4867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6795727"/>
        <c:crosses val="autoZero"/>
        <c:auto val="1"/>
        <c:lblAlgn val="ctr"/>
        <c:lblOffset val="100"/>
        <c:noMultiLvlLbl val="0"/>
      </c:catAx>
      <c:valAx>
        <c:axId val="48679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679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34" Type="http://schemas.openxmlformats.org/officeDocument/2006/relationships/chart" Target="../charts/chart1.xml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9" Type="http://schemas.openxmlformats.org/officeDocument/2006/relationships/hyperlink" Target="#LOGISTICA_ENTREGAS!A1"/><Relationship Id="rId21" Type="http://schemas.openxmlformats.org/officeDocument/2006/relationships/image" Target="../media/image9.png"/><Relationship Id="rId34" Type="http://schemas.openxmlformats.org/officeDocument/2006/relationships/image" Target="../media/image17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33" Type="http://schemas.microsoft.com/office/2007/relationships/hdphoto" Target="../media/hdphoto10.wdp"/><Relationship Id="rId38" Type="http://schemas.openxmlformats.org/officeDocument/2006/relationships/hyperlink" Target="#LOGISTICA_FRETE!A1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32" Type="http://schemas.openxmlformats.org/officeDocument/2006/relationships/image" Target="../media/image13.png"/><Relationship Id="rId37" Type="http://schemas.openxmlformats.org/officeDocument/2006/relationships/hyperlink" Target="#LOGISTICA_CRONOGRAMA!A1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36" Type="http://schemas.openxmlformats.org/officeDocument/2006/relationships/hyperlink" Target="#LOGISTICA_VEICULOS!A1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Relationship Id="rId35" Type="http://schemas.openxmlformats.org/officeDocument/2006/relationships/hyperlink" Target="#LOGISTICA_CLIENTES!A1"/><Relationship Id="rId8" Type="http://schemas.microsoft.com/office/2007/relationships/hdphoto" Target="../media/hdphoto1.wdp"/><Relationship Id="rId3" Type="http://schemas.microsoft.com/office/2007/relationships/hdphoto" Target="../media/hdphoto11.wdp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7" Type="http://schemas.openxmlformats.org/officeDocument/2006/relationships/image" Target="../media/image4.png"/><Relationship Id="rId12" Type="http://schemas.openxmlformats.org/officeDocument/2006/relationships/image" Target="../media/image16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image" Target="../media/image10.png"/><Relationship Id="rId5" Type="http://schemas.openxmlformats.org/officeDocument/2006/relationships/hyperlink" Target="#HOME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hyperlink" Target="#HOME_ESTOQUE!A1"/><Relationship Id="rId18" Type="http://schemas.microsoft.com/office/2007/relationships/hdphoto" Target="../media/hdphoto5.wdp"/><Relationship Id="rId26" Type="http://schemas.openxmlformats.org/officeDocument/2006/relationships/image" Target="../media/image11.png"/><Relationship Id="rId3" Type="http://schemas.microsoft.com/office/2007/relationships/hdphoto" Target="../media/hdphoto11.wdp"/><Relationship Id="rId21" Type="http://schemas.microsoft.com/office/2007/relationships/hdphoto" Target="../media/hdphoto6.wdp"/><Relationship Id="rId34" Type="http://schemas.openxmlformats.org/officeDocument/2006/relationships/hyperlink" Target="#HOME_LOGISTICA!A1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8.png"/><Relationship Id="rId25" Type="http://schemas.openxmlformats.org/officeDocument/2006/relationships/hyperlink" Target="#HOME_VENDAS!A1"/><Relationship Id="rId33" Type="http://schemas.openxmlformats.org/officeDocument/2006/relationships/image" Target="../media/image19.png"/><Relationship Id="rId2" Type="http://schemas.openxmlformats.org/officeDocument/2006/relationships/image" Target="../media/image14.png"/><Relationship Id="rId16" Type="http://schemas.openxmlformats.org/officeDocument/2006/relationships/hyperlink" Target="#HOME_RH!A1"/><Relationship Id="rId20" Type="http://schemas.openxmlformats.org/officeDocument/2006/relationships/image" Target="../media/image9.png"/><Relationship Id="rId29" Type="http://schemas.openxmlformats.org/officeDocument/2006/relationships/image" Target="../media/image12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image" Target="../media/image6.png"/><Relationship Id="rId24" Type="http://schemas.microsoft.com/office/2007/relationships/hdphoto" Target="../media/hdphoto7.wdp"/><Relationship Id="rId32" Type="http://schemas.microsoft.com/office/2007/relationships/hdphoto" Target="../media/hdphoto10.wdp"/><Relationship Id="rId5" Type="http://schemas.openxmlformats.org/officeDocument/2006/relationships/hyperlink" Target="#Home!A1"/><Relationship Id="rId15" Type="http://schemas.microsoft.com/office/2007/relationships/hdphoto" Target="../media/hdphoto4.wdp"/><Relationship Id="rId23" Type="http://schemas.openxmlformats.org/officeDocument/2006/relationships/image" Target="../media/image10.png"/><Relationship Id="rId28" Type="http://schemas.openxmlformats.org/officeDocument/2006/relationships/hyperlink" Target="#HOME_BD!A1"/><Relationship Id="rId10" Type="http://schemas.microsoft.com/office/2007/relationships/hdphoto" Target="../media/hdphoto2.wdp"/><Relationship Id="rId19" Type="http://schemas.openxmlformats.org/officeDocument/2006/relationships/hyperlink" Target="#HOME_FINANCAS!A1"/><Relationship Id="rId31" Type="http://schemas.openxmlformats.org/officeDocument/2006/relationships/image" Target="../media/image13.png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image" Target="../media/image18.png"/><Relationship Id="rId22" Type="http://schemas.openxmlformats.org/officeDocument/2006/relationships/hyperlink" Target="#HOME_COMPRAS!A1"/><Relationship Id="rId27" Type="http://schemas.microsoft.com/office/2007/relationships/hdphoto" Target="../media/hdphoto8.wdp"/><Relationship Id="rId30" Type="http://schemas.microsoft.com/office/2007/relationships/hdphoto" Target="../media/hdphoto9.wdp"/><Relationship Id="rId8" Type="http://schemas.openxmlformats.org/officeDocument/2006/relationships/hyperlink" Target="#PROD_HOME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microsoft.com/office/2007/relationships/hdphoto" Target="../media/hdphoto11.wdp"/><Relationship Id="rId21" Type="http://schemas.openxmlformats.org/officeDocument/2006/relationships/hyperlink" Target="#HOME_FINANCAS!A1"/><Relationship Id="rId34" Type="http://schemas.openxmlformats.org/officeDocument/2006/relationships/image" Target="../media/image6.png"/><Relationship Id="rId7" Type="http://schemas.openxmlformats.org/officeDocument/2006/relationships/image" Target="../media/image20.png"/><Relationship Id="rId12" Type="http://schemas.openxmlformats.org/officeDocument/2006/relationships/hyperlink" Target="#PROD_HOME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HOME_LOGISTICA!A1"/><Relationship Id="rId2" Type="http://schemas.openxmlformats.org/officeDocument/2006/relationships/image" Target="../media/image14.png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231;&#227;o!A1"/><Relationship Id="rId6" Type="http://schemas.microsoft.com/office/2007/relationships/hdphoto" Target="../media/hdphoto10.wdp"/><Relationship Id="rId11" Type="http://schemas.microsoft.com/office/2007/relationships/hdphoto" Target="../media/hdphoto1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image" Target="../media/image13.png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4.png"/><Relationship Id="rId19" Type="http://schemas.openxmlformats.org/officeDocument/2006/relationships/image" Target="../media/image21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3.wdp"/><Relationship Id="rId8" Type="http://schemas.microsoft.com/office/2007/relationships/hdphoto" Target="../media/hdphoto12.wdp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21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21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HOME_ESTOQUE!A1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26" Type="http://schemas.openxmlformats.org/officeDocument/2006/relationships/hyperlink" Target="#HOME_LOGISTICA!A1"/><Relationship Id="rId3" Type="http://schemas.openxmlformats.org/officeDocument/2006/relationships/image" Target="../media/image4.png"/><Relationship Id="rId21" Type="http://schemas.openxmlformats.org/officeDocument/2006/relationships/image" Target="../media/image11.png"/><Relationship Id="rId7" Type="http://schemas.microsoft.com/office/2007/relationships/hdphoto" Target="../media/hdphoto2.wdp"/><Relationship Id="rId12" Type="http://schemas.openxmlformats.org/officeDocument/2006/relationships/image" Target="../media/image21.png"/><Relationship Id="rId17" Type="http://schemas.openxmlformats.org/officeDocument/2006/relationships/hyperlink" Target="#HOME_COMPRAS!A1"/><Relationship Id="rId25" Type="http://schemas.microsoft.com/office/2007/relationships/hdphoto" Target="../media/hdphoto9.wdp"/><Relationship Id="rId2" Type="http://schemas.openxmlformats.org/officeDocument/2006/relationships/hyperlink" Target="#Home!A1"/><Relationship Id="rId16" Type="http://schemas.microsoft.com/office/2007/relationships/hdphoto" Target="../media/hdphoto6.wdp"/><Relationship Id="rId20" Type="http://schemas.openxmlformats.org/officeDocument/2006/relationships/hyperlink" Target="#HOME_VENDAS!A1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11" Type="http://schemas.openxmlformats.org/officeDocument/2006/relationships/hyperlink" Target="#HOME_RH!A1"/><Relationship Id="rId24" Type="http://schemas.openxmlformats.org/officeDocument/2006/relationships/image" Target="../media/image12.png"/><Relationship Id="rId5" Type="http://schemas.openxmlformats.org/officeDocument/2006/relationships/hyperlink" Target="#PROD_HOME!A1"/><Relationship Id="rId15" Type="http://schemas.openxmlformats.org/officeDocument/2006/relationships/image" Target="../media/image9.png"/><Relationship Id="rId23" Type="http://schemas.openxmlformats.org/officeDocument/2006/relationships/hyperlink" Target="#HOME_BD!A1"/><Relationship Id="rId28" Type="http://schemas.microsoft.com/office/2007/relationships/hdphoto" Target="../media/hdphoto3.wdp"/><Relationship Id="rId10" Type="http://schemas.microsoft.com/office/2007/relationships/hdphoto" Target="../media/hdphoto4.wdp"/><Relationship Id="rId19" Type="http://schemas.microsoft.com/office/2007/relationships/hdphoto" Target="../media/hdphoto7.wdp"/><Relationship Id="rId4" Type="http://schemas.microsoft.com/office/2007/relationships/hdphoto" Target="../media/hdphoto1.wdp"/><Relationship Id="rId9" Type="http://schemas.openxmlformats.org/officeDocument/2006/relationships/image" Target="../media/image7.png"/><Relationship Id="rId14" Type="http://schemas.openxmlformats.org/officeDocument/2006/relationships/hyperlink" Target="#HOME_FINANCAS!A1"/><Relationship Id="rId22" Type="http://schemas.microsoft.com/office/2007/relationships/hdphoto" Target="../media/hdphoto8.wdp"/><Relationship Id="rId27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21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microsoft.com/office/2007/relationships/hdphoto" Target="../media/hdphoto11.wdp"/><Relationship Id="rId21" Type="http://schemas.openxmlformats.org/officeDocument/2006/relationships/hyperlink" Target="#HOME_FINANCAS!A1"/><Relationship Id="rId34" Type="http://schemas.openxmlformats.org/officeDocument/2006/relationships/image" Target="../media/image6.png"/><Relationship Id="rId7" Type="http://schemas.openxmlformats.org/officeDocument/2006/relationships/image" Target="../media/image22.png"/><Relationship Id="rId12" Type="http://schemas.openxmlformats.org/officeDocument/2006/relationships/hyperlink" Target="#PROD_HOME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HOME_LOGISTICA!A1"/><Relationship Id="rId2" Type="http://schemas.openxmlformats.org/officeDocument/2006/relationships/image" Target="../media/image14.png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231;&#227;o!A1"/><Relationship Id="rId6" Type="http://schemas.microsoft.com/office/2007/relationships/hdphoto" Target="../media/hdphoto10.wdp"/><Relationship Id="rId11" Type="http://schemas.microsoft.com/office/2007/relationships/hdphoto" Target="../media/hdphoto1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image" Target="../media/image13.png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23.png"/><Relationship Id="rId10" Type="http://schemas.openxmlformats.org/officeDocument/2006/relationships/image" Target="../media/image4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3.wdp"/><Relationship Id="rId8" Type="http://schemas.microsoft.com/office/2007/relationships/hdphoto" Target="../media/hdphoto13.wdp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hyperlink" Target="#HOME_FINANCAS!A1"/><Relationship Id="rId26" Type="http://schemas.microsoft.com/office/2007/relationships/hdphoto" Target="../media/hdphoto8.wdp"/><Relationship Id="rId3" Type="http://schemas.microsoft.com/office/2007/relationships/hdphoto" Target="../media/hdphoto11.wdp"/><Relationship Id="rId21" Type="http://schemas.openxmlformats.org/officeDocument/2006/relationships/hyperlink" Target="#HOME_COMPRAS!A1"/><Relationship Id="rId7" Type="http://schemas.openxmlformats.org/officeDocument/2006/relationships/hyperlink" Target="#Home!A1"/><Relationship Id="rId12" Type="http://schemas.openxmlformats.org/officeDocument/2006/relationships/hyperlink" Target="#HOME_ESTOQUE!A1"/><Relationship Id="rId17" Type="http://schemas.microsoft.com/office/2007/relationships/hdphoto" Target="../media/hdphoto5.wdp"/><Relationship Id="rId25" Type="http://schemas.openxmlformats.org/officeDocument/2006/relationships/image" Target="../media/image23.png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microsoft.com/office/2007/relationships/hdphoto" Target="../media/hdphoto2.wdp"/><Relationship Id="rId11" Type="http://schemas.openxmlformats.org/officeDocument/2006/relationships/image" Target="../media/image15.png"/><Relationship Id="rId24" Type="http://schemas.openxmlformats.org/officeDocument/2006/relationships/hyperlink" Target="#HOME_VENDAS!A1"/><Relationship Id="rId32" Type="http://schemas.microsoft.com/office/2007/relationships/hdphoto" Target="../media/hdphoto3.wdp"/><Relationship Id="rId5" Type="http://schemas.openxmlformats.org/officeDocument/2006/relationships/image" Target="../media/image5.png"/><Relationship Id="rId15" Type="http://schemas.openxmlformats.org/officeDocument/2006/relationships/hyperlink" Target="#HOME_RH!A1"/><Relationship Id="rId23" Type="http://schemas.microsoft.com/office/2007/relationships/hdphoto" Target="../media/hdphoto7.wdp"/><Relationship Id="rId28" Type="http://schemas.openxmlformats.org/officeDocument/2006/relationships/image" Target="../media/image12.png"/><Relationship Id="rId10" Type="http://schemas.openxmlformats.org/officeDocument/2006/relationships/hyperlink" Target="#PROD_HOME!A1"/><Relationship Id="rId19" Type="http://schemas.openxmlformats.org/officeDocument/2006/relationships/image" Target="../media/image9.png"/><Relationship Id="rId31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microsoft.com/office/2007/relationships/hdphoto" Target="../media/hdphoto1.wdp"/><Relationship Id="rId14" Type="http://schemas.microsoft.com/office/2007/relationships/hdphoto" Target="../media/hdphoto4.wdp"/><Relationship Id="rId22" Type="http://schemas.openxmlformats.org/officeDocument/2006/relationships/image" Target="../media/image10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23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23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23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23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2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microsoft.com/office/2007/relationships/hdphoto" Target="../media/hdphoto11.wdp"/><Relationship Id="rId21" Type="http://schemas.openxmlformats.org/officeDocument/2006/relationships/hyperlink" Target="#HOME_FINANCAS!A1"/><Relationship Id="rId34" Type="http://schemas.openxmlformats.org/officeDocument/2006/relationships/image" Target="../media/image6.png"/><Relationship Id="rId7" Type="http://schemas.openxmlformats.org/officeDocument/2006/relationships/image" Target="../media/image24.png"/><Relationship Id="rId12" Type="http://schemas.openxmlformats.org/officeDocument/2006/relationships/hyperlink" Target="#PROD_HOME!A1"/><Relationship Id="rId17" Type="http://schemas.microsoft.com/office/2007/relationships/hdphoto" Target="../media/hdphoto4.wdp"/><Relationship Id="rId25" Type="http://schemas.openxmlformats.org/officeDocument/2006/relationships/image" Target="../media/image25.png"/><Relationship Id="rId33" Type="http://schemas.openxmlformats.org/officeDocument/2006/relationships/hyperlink" Target="#HOME_LOGISTICA!A1"/><Relationship Id="rId2" Type="http://schemas.openxmlformats.org/officeDocument/2006/relationships/image" Target="../media/image14.png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231;&#227;o!A1"/><Relationship Id="rId6" Type="http://schemas.microsoft.com/office/2007/relationships/hdphoto" Target="../media/hdphoto10.wdp"/><Relationship Id="rId11" Type="http://schemas.microsoft.com/office/2007/relationships/hdphoto" Target="../media/hdphoto1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image" Target="../media/image13.png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4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Home!A1"/><Relationship Id="rId14" Type="http://schemas.microsoft.com/office/2007/relationships/hdphoto" Target="../media/hdphoto2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3.wdp"/><Relationship Id="rId8" Type="http://schemas.microsoft.com/office/2007/relationships/hdphoto" Target="../media/hdphoto14.wdp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25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HOME_ESTOQUE!A1"/><Relationship Id="rId13" Type="http://schemas.microsoft.com/office/2007/relationships/hdphoto" Target="../media/hdphoto5.wdp"/><Relationship Id="rId18" Type="http://schemas.openxmlformats.org/officeDocument/2006/relationships/image" Target="../media/image25.png"/><Relationship Id="rId26" Type="http://schemas.openxmlformats.org/officeDocument/2006/relationships/hyperlink" Target="#HOME_LOGISTICA!A1"/><Relationship Id="rId3" Type="http://schemas.openxmlformats.org/officeDocument/2006/relationships/image" Target="../media/image4.png"/><Relationship Id="rId21" Type="http://schemas.openxmlformats.org/officeDocument/2006/relationships/image" Target="../media/image11.png"/><Relationship Id="rId7" Type="http://schemas.microsoft.com/office/2007/relationships/hdphoto" Target="../media/hdphoto2.wdp"/><Relationship Id="rId12" Type="http://schemas.openxmlformats.org/officeDocument/2006/relationships/image" Target="../media/image8.png"/><Relationship Id="rId17" Type="http://schemas.openxmlformats.org/officeDocument/2006/relationships/hyperlink" Target="#HOME_COMPRAS!A1"/><Relationship Id="rId25" Type="http://schemas.microsoft.com/office/2007/relationships/hdphoto" Target="../media/hdphoto9.wdp"/><Relationship Id="rId2" Type="http://schemas.openxmlformats.org/officeDocument/2006/relationships/hyperlink" Target="#Home!A1"/><Relationship Id="rId16" Type="http://schemas.microsoft.com/office/2007/relationships/hdphoto" Target="../media/hdphoto6.wdp"/><Relationship Id="rId20" Type="http://schemas.openxmlformats.org/officeDocument/2006/relationships/hyperlink" Target="#HOME_VENDAS!A1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11" Type="http://schemas.openxmlformats.org/officeDocument/2006/relationships/hyperlink" Target="#HOME_RH!A1"/><Relationship Id="rId24" Type="http://schemas.openxmlformats.org/officeDocument/2006/relationships/image" Target="../media/image12.png"/><Relationship Id="rId5" Type="http://schemas.openxmlformats.org/officeDocument/2006/relationships/hyperlink" Target="#PROD_HOME!A1"/><Relationship Id="rId15" Type="http://schemas.openxmlformats.org/officeDocument/2006/relationships/image" Target="../media/image9.png"/><Relationship Id="rId23" Type="http://schemas.openxmlformats.org/officeDocument/2006/relationships/hyperlink" Target="#HOME_BD!A1"/><Relationship Id="rId28" Type="http://schemas.microsoft.com/office/2007/relationships/hdphoto" Target="../media/hdphoto3.wdp"/><Relationship Id="rId10" Type="http://schemas.microsoft.com/office/2007/relationships/hdphoto" Target="../media/hdphoto4.wdp"/><Relationship Id="rId19" Type="http://schemas.microsoft.com/office/2007/relationships/hdphoto" Target="../media/hdphoto7.wdp"/><Relationship Id="rId4" Type="http://schemas.microsoft.com/office/2007/relationships/hdphoto" Target="../media/hdphoto1.wdp"/><Relationship Id="rId9" Type="http://schemas.openxmlformats.org/officeDocument/2006/relationships/image" Target="../media/image7.png"/><Relationship Id="rId14" Type="http://schemas.openxmlformats.org/officeDocument/2006/relationships/hyperlink" Target="#HOME_FINANCAS!A1"/><Relationship Id="rId22" Type="http://schemas.microsoft.com/office/2007/relationships/hdphoto" Target="../media/hdphoto8.wdp"/><Relationship Id="rId27" Type="http://schemas.openxmlformats.org/officeDocument/2006/relationships/image" Target="../media/image6.png"/></Relationships>
</file>

<file path=xl/drawings/_rels/drawing3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openxmlformats.org/officeDocument/2006/relationships/hyperlink" Target="#HOME_FINANCAS!A1"/><Relationship Id="rId26" Type="http://schemas.microsoft.com/office/2007/relationships/hdphoto" Target="../media/hdphoto8.wdp"/><Relationship Id="rId3" Type="http://schemas.microsoft.com/office/2007/relationships/hdphoto" Target="../media/hdphoto11.wdp"/><Relationship Id="rId21" Type="http://schemas.openxmlformats.org/officeDocument/2006/relationships/hyperlink" Target="#HOME_COMPRAS!A1"/><Relationship Id="rId7" Type="http://schemas.openxmlformats.org/officeDocument/2006/relationships/image" Target="../media/image4.png"/><Relationship Id="rId12" Type="http://schemas.openxmlformats.org/officeDocument/2006/relationships/hyperlink" Target="#HOME_ESTOQUE!A1"/><Relationship Id="rId17" Type="http://schemas.microsoft.com/office/2007/relationships/hdphoto" Target="../media/hdphoto5.wdp"/><Relationship Id="rId25" Type="http://schemas.openxmlformats.org/officeDocument/2006/relationships/image" Target="../media/image11.png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3.wdp"/><Relationship Id="rId5" Type="http://schemas.openxmlformats.org/officeDocument/2006/relationships/hyperlink" Target="#SOLICITA&#199;&#213;ES!A1"/><Relationship Id="rId15" Type="http://schemas.openxmlformats.org/officeDocument/2006/relationships/hyperlink" Target="#HOME_RH!A1"/><Relationship Id="rId23" Type="http://schemas.microsoft.com/office/2007/relationships/hdphoto" Target="../media/hdphoto7.wdp"/><Relationship Id="rId28" Type="http://schemas.openxmlformats.org/officeDocument/2006/relationships/image" Target="../media/image12.png"/><Relationship Id="rId10" Type="http://schemas.openxmlformats.org/officeDocument/2006/relationships/image" Target="../media/image15.png"/><Relationship Id="rId19" Type="http://schemas.openxmlformats.org/officeDocument/2006/relationships/image" Target="../media/image9.png"/><Relationship Id="rId31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25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25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3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openxmlformats.org/officeDocument/2006/relationships/hyperlink" Target="#HOME_FINANCAS!A1"/><Relationship Id="rId26" Type="http://schemas.microsoft.com/office/2007/relationships/hdphoto" Target="../media/hdphoto8.wdp"/><Relationship Id="rId3" Type="http://schemas.microsoft.com/office/2007/relationships/hdphoto" Target="../media/hdphoto11.wdp"/><Relationship Id="rId21" Type="http://schemas.openxmlformats.org/officeDocument/2006/relationships/hyperlink" Target="#HOME_COMPRAS!A1"/><Relationship Id="rId7" Type="http://schemas.openxmlformats.org/officeDocument/2006/relationships/image" Target="../media/image4.png"/><Relationship Id="rId12" Type="http://schemas.openxmlformats.org/officeDocument/2006/relationships/hyperlink" Target="#HOME_ESTOQUE!A1"/><Relationship Id="rId17" Type="http://schemas.microsoft.com/office/2007/relationships/hdphoto" Target="../media/hdphoto5.wdp"/><Relationship Id="rId25" Type="http://schemas.openxmlformats.org/officeDocument/2006/relationships/image" Target="../media/image11.png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hyperlink" Target="#Produ&#231;&#227;o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3.wdp"/><Relationship Id="rId5" Type="http://schemas.openxmlformats.org/officeDocument/2006/relationships/hyperlink" Target="#N_CSOLICITAR!A1"/><Relationship Id="rId15" Type="http://schemas.openxmlformats.org/officeDocument/2006/relationships/hyperlink" Target="#HOME_RH!A1"/><Relationship Id="rId23" Type="http://schemas.microsoft.com/office/2007/relationships/hdphoto" Target="../media/hdphoto7.wdp"/><Relationship Id="rId28" Type="http://schemas.openxmlformats.org/officeDocument/2006/relationships/image" Target="../media/image12.png"/><Relationship Id="rId10" Type="http://schemas.openxmlformats.org/officeDocument/2006/relationships/image" Target="../media/image15.png"/><Relationship Id="rId19" Type="http://schemas.openxmlformats.org/officeDocument/2006/relationships/image" Target="../media/image9.png"/><Relationship Id="rId31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25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25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3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27.png"/><Relationship Id="rId34" Type="http://schemas.microsoft.com/office/2007/relationships/hdphoto" Target="../media/hdphoto3.wdp"/><Relationship Id="rId7" Type="http://schemas.openxmlformats.org/officeDocument/2006/relationships/image" Target="../media/image26.png"/><Relationship Id="rId12" Type="http://schemas.openxmlformats.org/officeDocument/2006/relationships/image" Target="../media/image15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33" Type="http://schemas.openxmlformats.org/officeDocument/2006/relationships/image" Target="../media/image6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microsoft.com/office/2007/relationships/hdphoto" Target="../media/hdphoto10.wdp"/><Relationship Id="rId11" Type="http://schemas.openxmlformats.org/officeDocument/2006/relationships/hyperlink" Target="#PROD_HOME!A1"/><Relationship Id="rId24" Type="http://schemas.openxmlformats.org/officeDocument/2006/relationships/image" Target="../media/image10.png"/><Relationship Id="rId32" Type="http://schemas.openxmlformats.org/officeDocument/2006/relationships/hyperlink" Target="#HOME_LOGISTICA!A1"/><Relationship Id="rId5" Type="http://schemas.openxmlformats.org/officeDocument/2006/relationships/image" Target="../media/image13.png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microsoft.com/office/2007/relationships/hdphoto" Target="../media/hdphoto1.wdp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Relationship Id="rId8" Type="http://schemas.openxmlformats.org/officeDocument/2006/relationships/hyperlink" Target="#Home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27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27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PROD_HOME!A1"/><Relationship Id="rId13" Type="http://schemas.microsoft.com/office/2007/relationships/hdphoto" Target="../media/hdphoto4.wdp"/><Relationship Id="rId18" Type="http://schemas.openxmlformats.org/officeDocument/2006/relationships/image" Target="../media/image27.png"/><Relationship Id="rId26" Type="http://schemas.openxmlformats.org/officeDocument/2006/relationships/hyperlink" Target="#HOME_BD!A1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HOME_FINANCAS!A1"/><Relationship Id="rId25" Type="http://schemas.microsoft.com/office/2007/relationships/hdphoto" Target="../media/hdphoto8.wdp"/><Relationship Id="rId2" Type="http://schemas.openxmlformats.org/officeDocument/2006/relationships/image" Target="../media/image14.png"/><Relationship Id="rId16" Type="http://schemas.microsoft.com/office/2007/relationships/hdphoto" Target="../media/hdphoto5.wdp"/><Relationship Id="rId20" Type="http://schemas.openxmlformats.org/officeDocument/2006/relationships/hyperlink" Target="#HOME_COMPRAS!A1"/><Relationship Id="rId29" Type="http://schemas.openxmlformats.org/officeDocument/2006/relationships/hyperlink" Target="#HOME_LOGISTICA!A1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openxmlformats.org/officeDocument/2006/relationships/hyperlink" Target="#HOME_ESTOQUE!A1"/><Relationship Id="rId24" Type="http://schemas.openxmlformats.org/officeDocument/2006/relationships/image" Target="../media/image11.png"/><Relationship Id="rId5" Type="http://schemas.openxmlformats.org/officeDocument/2006/relationships/hyperlink" Target="#Home!A1"/><Relationship Id="rId15" Type="http://schemas.openxmlformats.org/officeDocument/2006/relationships/image" Target="../media/image8.png"/><Relationship Id="rId23" Type="http://schemas.openxmlformats.org/officeDocument/2006/relationships/hyperlink" Target="#HOME_VENDAS!A1"/><Relationship Id="rId28" Type="http://schemas.microsoft.com/office/2007/relationships/hdphoto" Target="../media/hdphoto9.wdp"/><Relationship Id="rId10" Type="http://schemas.microsoft.com/office/2007/relationships/hdphoto" Target="../media/hdphoto2.wdp"/><Relationship Id="rId19" Type="http://schemas.microsoft.com/office/2007/relationships/hdphoto" Target="../media/hdphoto6.wdp"/><Relationship Id="rId31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15.png"/><Relationship Id="rId14" Type="http://schemas.openxmlformats.org/officeDocument/2006/relationships/hyperlink" Target="#HOME_RH!A1"/><Relationship Id="rId22" Type="http://schemas.microsoft.com/office/2007/relationships/hdphoto" Target="../media/hdphoto7.wdp"/><Relationship Id="rId27" Type="http://schemas.openxmlformats.org/officeDocument/2006/relationships/image" Target="../media/image12.png"/><Relationship Id="rId30" Type="http://schemas.openxmlformats.org/officeDocument/2006/relationships/image" Target="../media/image6.png"/></Relationships>
</file>

<file path=xl/drawings/_rels/drawing40.xml.rels><?xml version="1.0" encoding="UTF-8" standalone="yes"?>
<Relationships xmlns="http://schemas.openxmlformats.org/package/2006/relationships"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'B2'!A1"/><Relationship Id="rId12" Type="http://schemas.openxmlformats.org/officeDocument/2006/relationships/image" Target="../media/image4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29.png"/><Relationship Id="rId2" Type="http://schemas.openxmlformats.org/officeDocument/2006/relationships/image" Target="../media/image14.png"/><Relationship Id="rId16" Type="http://schemas.microsoft.com/office/2007/relationships/hdphoto" Target="../media/hdphoto2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37" Type="http://schemas.microsoft.com/office/2007/relationships/hdphoto" Target="../media/hdphoto3.wdp"/><Relationship Id="rId5" Type="http://schemas.openxmlformats.org/officeDocument/2006/relationships/hyperlink" Target="#'B1'!A1"/><Relationship Id="rId15" Type="http://schemas.openxmlformats.org/officeDocument/2006/relationships/image" Target="../media/image15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36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image" Target="../media/image3.png"/><Relationship Id="rId9" Type="http://schemas.microsoft.com/office/2007/relationships/hdphoto" Target="../media/hdphoto10.wdp"/><Relationship Id="rId14" Type="http://schemas.openxmlformats.org/officeDocument/2006/relationships/hyperlink" Target="#PROD_HOME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35" Type="http://schemas.openxmlformats.org/officeDocument/2006/relationships/hyperlink" Target="#HOME_LOGISTICA!A1"/><Relationship Id="rId8" Type="http://schemas.openxmlformats.org/officeDocument/2006/relationships/image" Target="../media/image13.png"/><Relationship Id="rId3" Type="http://schemas.microsoft.com/office/2007/relationships/hdphoto" Target="../media/hdphoto11.wdp"/></Relationships>
</file>

<file path=xl/drawings/_rels/drawing41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34" Type="http://schemas.microsoft.com/office/2007/relationships/hdphoto" Target="../media/hdphoto3.wdp"/><Relationship Id="rId7" Type="http://schemas.openxmlformats.org/officeDocument/2006/relationships/hyperlink" Target="#'B2'!A1"/><Relationship Id="rId12" Type="http://schemas.openxmlformats.org/officeDocument/2006/relationships/image" Target="../media/image15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33" Type="http://schemas.openxmlformats.org/officeDocument/2006/relationships/image" Target="../media/image6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0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microsoft.com/office/2007/relationships/hdphoto" Target="../media/hdphoto1.wdp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29.png"/><Relationship Id="rId8" Type="http://schemas.openxmlformats.org/officeDocument/2006/relationships/hyperlink" Target="#Home!A1"/></Relationships>
</file>

<file path=xl/drawings/_rels/drawing42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34" Type="http://schemas.microsoft.com/office/2007/relationships/hdphoto" Target="../media/hdphoto3.wdp"/><Relationship Id="rId7" Type="http://schemas.openxmlformats.org/officeDocument/2006/relationships/hyperlink" Target="#'B2'!A1"/><Relationship Id="rId12" Type="http://schemas.openxmlformats.org/officeDocument/2006/relationships/image" Target="../media/image15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33" Type="http://schemas.openxmlformats.org/officeDocument/2006/relationships/image" Target="../media/image6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0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microsoft.com/office/2007/relationships/hdphoto" Target="../media/hdphoto1.wdp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29.png"/><Relationship Id="rId8" Type="http://schemas.openxmlformats.org/officeDocument/2006/relationships/hyperlink" Target="#Home!A1"/></Relationships>
</file>

<file path=xl/drawings/_rels/drawing43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8.png"/><Relationship Id="rId26" Type="http://schemas.openxmlformats.org/officeDocument/2006/relationships/hyperlink" Target="#HOME_VENDAS!A1"/><Relationship Id="rId3" Type="http://schemas.microsoft.com/office/2007/relationships/hdphoto" Target="../media/hdphoto11.wdp"/><Relationship Id="rId21" Type="http://schemas.openxmlformats.org/officeDocument/2006/relationships/image" Target="../media/image9.png"/><Relationship Id="rId34" Type="http://schemas.microsoft.com/office/2007/relationships/hdphoto" Target="../media/hdphoto3.wdp"/><Relationship Id="rId7" Type="http://schemas.openxmlformats.org/officeDocument/2006/relationships/hyperlink" Target="#'B2'!A1"/><Relationship Id="rId12" Type="http://schemas.openxmlformats.org/officeDocument/2006/relationships/image" Target="../media/image15.png"/><Relationship Id="rId17" Type="http://schemas.openxmlformats.org/officeDocument/2006/relationships/hyperlink" Target="#HOME_RH!A1"/><Relationship Id="rId25" Type="http://schemas.microsoft.com/office/2007/relationships/hdphoto" Target="../media/hdphoto7.wdp"/><Relationship Id="rId33" Type="http://schemas.openxmlformats.org/officeDocument/2006/relationships/image" Target="../media/image6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openxmlformats.org/officeDocument/2006/relationships/hyperlink" Target="#HOME_FINANCAS!A1"/><Relationship Id="rId29" Type="http://schemas.openxmlformats.org/officeDocument/2006/relationships/hyperlink" Target="#HOME_BD!A1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hyperlink" Target="#PROD_HOME!A1"/><Relationship Id="rId24" Type="http://schemas.openxmlformats.org/officeDocument/2006/relationships/image" Target="../media/image10.png"/><Relationship Id="rId32" Type="http://schemas.openxmlformats.org/officeDocument/2006/relationships/hyperlink" Target="#HOME_LOGISTICA!A1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hyperlink" Target="#HOME_COMPRAS!A1"/><Relationship Id="rId28" Type="http://schemas.microsoft.com/office/2007/relationships/hdphoto" Target="../media/hdphoto8.wdp"/><Relationship Id="rId10" Type="http://schemas.microsoft.com/office/2007/relationships/hdphoto" Target="../media/hdphoto1.wdp"/><Relationship Id="rId19" Type="http://schemas.microsoft.com/office/2007/relationships/hdphoto" Target="../media/hdphoto5.wdp"/><Relationship Id="rId31" Type="http://schemas.microsoft.com/office/2007/relationships/hdphoto" Target="../media/hdphoto9.wdp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openxmlformats.org/officeDocument/2006/relationships/hyperlink" Target="#HOME_ESTOQUE!A1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29.png"/><Relationship Id="rId8" Type="http://schemas.openxmlformats.org/officeDocument/2006/relationships/hyperlink" Target="#Home!A1"/></Relationships>
</file>

<file path=xl/drawings/_rels/drawing4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openxmlformats.org/officeDocument/2006/relationships/hyperlink" Target="#HOME_FINANCAS!A1"/><Relationship Id="rId26" Type="http://schemas.microsoft.com/office/2007/relationships/hdphoto" Target="../media/hdphoto8.wdp"/><Relationship Id="rId3" Type="http://schemas.openxmlformats.org/officeDocument/2006/relationships/image" Target="../media/image3.png"/><Relationship Id="rId21" Type="http://schemas.openxmlformats.org/officeDocument/2006/relationships/hyperlink" Target="#HOME_COMPRAS!A1"/><Relationship Id="rId7" Type="http://schemas.openxmlformats.org/officeDocument/2006/relationships/image" Target="../media/image4.png"/><Relationship Id="rId12" Type="http://schemas.openxmlformats.org/officeDocument/2006/relationships/hyperlink" Target="#HOME_ESTOQUE!A1"/><Relationship Id="rId17" Type="http://schemas.microsoft.com/office/2007/relationships/hdphoto" Target="../media/hdphoto5.wdp"/><Relationship Id="rId25" Type="http://schemas.openxmlformats.org/officeDocument/2006/relationships/image" Target="../media/image11.png"/><Relationship Id="rId2" Type="http://schemas.microsoft.com/office/2007/relationships/hdphoto" Target="../media/hdphoto15.wdp"/><Relationship Id="rId16" Type="http://schemas.openxmlformats.org/officeDocument/2006/relationships/image" Target="../media/image8.png"/><Relationship Id="rId20" Type="http://schemas.microsoft.com/office/2007/relationships/hdphoto" Target="../media/hdphoto6.wdp"/><Relationship Id="rId29" Type="http://schemas.microsoft.com/office/2007/relationships/hdphoto" Target="../media/hdphoto9.wdp"/><Relationship Id="rId1" Type="http://schemas.openxmlformats.org/officeDocument/2006/relationships/image" Target="../media/image30.png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VENDAS!A1"/><Relationship Id="rId32" Type="http://schemas.microsoft.com/office/2007/relationships/hdphoto" Target="../media/hdphoto3.wdp"/><Relationship Id="rId5" Type="http://schemas.openxmlformats.org/officeDocument/2006/relationships/image" Target="../media/image32.png"/><Relationship Id="rId15" Type="http://schemas.openxmlformats.org/officeDocument/2006/relationships/hyperlink" Target="#HOME_RH!A1"/><Relationship Id="rId23" Type="http://schemas.microsoft.com/office/2007/relationships/hdphoto" Target="../media/hdphoto7.wdp"/><Relationship Id="rId28" Type="http://schemas.openxmlformats.org/officeDocument/2006/relationships/image" Target="../media/image29.png"/><Relationship Id="rId10" Type="http://schemas.openxmlformats.org/officeDocument/2006/relationships/image" Target="../media/image15.png"/><Relationship Id="rId19" Type="http://schemas.openxmlformats.org/officeDocument/2006/relationships/image" Target="../media/image9.png"/><Relationship Id="rId31" Type="http://schemas.openxmlformats.org/officeDocument/2006/relationships/image" Target="../media/image6.png"/><Relationship Id="rId4" Type="http://schemas.openxmlformats.org/officeDocument/2006/relationships/image" Target="../media/image31.png"/><Relationship Id="rId9" Type="http://schemas.openxmlformats.org/officeDocument/2006/relationships/hyperlink" Target="#PROD_HOME!A1"/><Relationship Id="rId14" Type="http://schemas.microsoft.com/office/2007/relationships/hdphoto" Target="../media/hdphoto4.wdp"/><Relationship Id="rId22" Type="http://schemas.openxmlformats.org/officeDocument/2006/relationships/image" Target="../media/image10.png"/><Relationship Id="rId27" Type="http://schemas.openxmlformats.org/officeDocument/2006/relationships/hyperlink" Target="#HOME_BD!A1"/><Relationship Id="rId30" Type="http://schemas.openxmlformats.org/officeDocument/2006/relationships/hyperlink" Target="#HOME_LOGISTIC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91782F4-EB70-4DBA-8CC1-4C0769B2A28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7" name="Agrupar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6A7F4E-F530-414A-9273-C0FDFC6DCC1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07A8015-998C-4FEA-843D-55B4B608E98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AFE44F8-489A-4CE1-A152-AF1EBC7F4E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E426D7F3-2B26-4441-A417-F50BAAD0D76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775236</xdr:colOff>
      <xdr:row>0</xdr:row>
      <xdr:rowOff>0</xdr:rowOff>
    </xdr:from>
    <xdr:to>
      <xdr:col>8</xdr:col>
      <xdr:colOff>20725</xdr:colOff>
      <xdr:row>3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97D5B4D5-3363-4E37-BA46-39C3DE1D9B2F}"/>
            </a:ext>
          </a:extLst>
        </xdr:cNvPr>
        <xdr:cNvSpPr/>
      </xdr:nvSpPr>
      <xdr:spPr>
        <a:xfrm>
          <a:off x="6033036" y="0"/>
          <a:ext cx="1455289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708568</xdr:colOff>
      <xdr:row>2</xdr:row>
      <xdr:rowOff>384583</xdr:rowOff>
    </xdr:from>
    <xdr:to>
      <xdr:col>8</xdr:col>
      <xdr:colOff>90242</xdr:colOff>
      <xdr:row>2</xdr:row>
      <xdr:rowOff>762890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C1136C4-A9E9-40AF-8916-13637D787547}"/>
            </a:ext>
          </a:extLst>
        </xdr:cNvPr>
        <xdr:cNvSpPr txBox="1"/>
      </xdr:nvSpPr>
      <xdr:spPr>
        <a:xfrm rot="10800000" flipH="1" flipV="1">
          <a:off x="5966368" y="765583"/>
          <a:ext cx="159147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7</xdr:col>
      <xdr:colOff>138494</xdr:colOff>
      <xdr:row>0</xdr:row>
      <xdr:rowOff>126203</xdr:rowOff>
    </xdr:from>
    <xdr:to>
      <xdr:col>7</xdr:col>
      <xdr:colOff>733667</xdr:colOff>
      <xdr:row>2</xdr:row>
      <xdr:rowOff>364332</xdr:rowOff>
    </xdr:to>
    <xdr:pic>
      <xdr:nvPicPr>
        <xdr:cNvPr id="14" name="Imagem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29A630-52E2-41BF-B754-2CE7ECD80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094" y="126203"/>
          <a:ext cx="595173" cy="619129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B84FFBE2-2D3D-4B8A-AF60-1A6BA4956774}"/>
            </a:ext>
          </a:extLst>
        </xdr:cNvPr>
        <xdr:cNvGrpSpPr/>
      </xdr:nvGrpSpPr>
      <xdr:grpSpPr>
        <a:xfrm>
          <a:off x="9596894" y="0"/>
          <a:ext cx="1598566" cy="1162050"/>
          <a:chOff x="9596894" y="0"/>
          <a:chExt cx="1598566" cy="1162050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5D47FB20-02D7-4AF8-8FA7-8AD925CE6A54}"/>
              </a:ext>
            </a:extLst>
          </xdr:cNvPr>
          <xdr:cNvSpPr/>
        </xdr:nvSpPr>
        <xdr:spPr>
          <a:xfrm>
            <a:off x="9646402" y="0"/>
            <a:ext cx="146177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6FE199B4-3C58-4457-A36E-F2B6ED8AABF7}"/>
              </a:ext>
            </a:extLst>
          </xdr:cNvPr>
          <xdr:cNvSpPr txBox="1"/>
        </xdr:nvSpPr>
        <xdr:spPr>
          <a:xfrm rot="10800000" flipH="1" flipV="1">
            <a:off x="9596894" y="765583"/>
            <a:ext cx="159856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8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671D3E8-9D9A-4487-94A4-199B2826D5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78377" y="136274"/>
            <a:ext cx="597825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5D93BFE9-4B6F-4FB6-A745-909FB0783BA8}"/>
            </a:ext>
          </a:extLst>
        </xdr:cNvPr>
        <xdr:cNvGrpSpPr/>
      </xdr:nvGrpSpPr>
      <xdr:grpSpPr>
        <a:xfrm>
          <a:off x="13234512" y="0"/>
          <a:ext cx="1591491" cy="1162050"/>
          <a:chOff x="13234512" y="0"/>
          <a:chExt cx="1591491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3191B70-A22D-4609-B65C-83DE2A405C39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4C4D125-7C8F-4B69-A607-E51111259829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DF942C0D-2238-495D-9291-F8703AE3A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E95D69B2-057D-49FE-AF96-F8BDA7E38C7D}"/>
            </a:ext>
          </a:extLst>
        </xdr:cNvPr>
        <xdr:cNvGrpSpPr/>
      </xdr:nvGrpSpPr>
      <xdr:grpSpPr>
        <a:xfrm>
          <a:off x="16865055" y="0"/>
          <a:ext cx="1612288" cy="1162050"/>
          <a:chOff x="16865055" y="0"/>
          <a:chExt cx="1612288" cy="1162050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423B0B0-12CC-4AE4-8574-1678DD41A3C1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C3521594-A2B8-4731-9733-A3EF4935A566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E6986DB-A350-4067-89B3-BD5264423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182FCB3-0B69-4253-AEE0-881090F99BFB}"/>
            </a:ext>
          </a:extLst>
        </xdr:cNvPr>
        <xdr:cNvGrpSpPr/>
      </xdr:nvGrpSpPr>
      <xdr:grpSpPr>
        <a:xfrm>
          <a:off x="20516395" y="0"/>
          <a:ext cx="1592907" cy="1162050"/>
          <a:chOff x="20516395" y="0"/>
          <a:chExt cx="1592907" cy="11620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6F6AEC5-17B9-4ABE-9C98-73EF754BDF98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02F5C7C-69FE-47EC-AED0-C6790785590A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5D17CD25-78B0-43ED-B656-2E56BC751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C17925A5-E917-40B8-BE60-2B16F9DBEA4D}"/>
            </a:ext>
          </a:extLst>
        </xdr:cNvPr>
        <xdr:cNvGrpSpPr/>
      </xdr:nvGrpSpPr>
      <xdr:grpSpPr>
        <a:xfrm>
          <a:off x="24148354" y="0"/>
          <a:ext cx="1590058" cy="1162050"/>
          <a:chOff x="24148354" y="0"/>
          <a:chExt cx="1590058" cy="1162050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7D8D865-40A6-4E5C-B13A-4F9455E26A67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71DA0D94-E380-4D04-A249-746CAC0394EA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743019B0-36EA-4B63-9511-1547A6B0A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DBEFDCAC-84FB-4493-BDC3-B6570AD7872E}"/>
            </a:ext>
          </a:extLst>
        </xdr:cNvPr>
        <xdr:cNvGrpSpPr/>
      </xdr:nvGrpSpPr>
      <xdr:grpSpPr>
        <a:xfrm>
          <a:off x="27777464" y="0"/>
          <a:ext cx="1598568" cy="1162050"/>
          <a:chOff x="27777464" y="0"/>
          <a:chExt cx="1598568" cy="1162050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C27471FA-D743-4505-A0DB-A8E35D30293E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A9E31A4-7BB2-4CF5-BB6B-11079C967F19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E3521283-844B-4585-B052-A7A9AD95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230233</xdr:colOff>
      <xdr:row>0</xdr:row>
      <xdr:rowOff>0</xdr:rowOff>
    </xdr:from>
    <xdr:to>
      <xdr:col>38</xdr:col>
      <xdr:colOff>1</xdr:colOff>
      <xdr:row>3</xdr:row>
      <xdr:rowOff>-1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EB756DCD-A276-4D36-98BA-39C99C878673}"/>
            </a:ext>
          </a:extLst>
        </xdr:cNvPr>
        <xdr:cNvGrpSpPr/>
      </xdr:nvGrpSpPr>
      <xdr:grpSpPr>
        <a:xfrm>
          <a:off x="31415083" y="0"/>
          <a:ext cx="1598568" cy="1162049"/>
          <a:chOff x="31415083" y="0"/>
          <a:chExt cx="1598568" cy="1162049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913CDF5-F23E-4402-9832-E17141C8B349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90AC7DA7-BD6E-4514-9052-C3A1537B6404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F647CF7E-4060-4E42-95D6-CF60EB37FE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13</xdr:row>
      <xdr:rowOff>609600</xdr:rowOff>
    </xdr:from>
    <xdr:to>
      <xdr:col>26</xdr:col>
      <xdr:colOff>361950</xdr:colOff>
      <xdr:row>73</xdr:row>
      <xdr:rowOff>8422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5105400"/>
          <a:ext cx="15449550" cy="13953022"/>
        </a:xfrm>
        <a:prstGeom prst="rect">
          <a:avLst/>
        </a:prstGeom>
      </xdr:spPr>
    </xdr:pic>
    <xdr:clientData/>
  </xdr:twoCellAnchor>
  <xdr:twoCellAnchor>
    <xdr:from>
      <xdr:col>13</xdr:col>
      <xdr:colOff>685800</xdr:colOff>
      <xdr:row>8</xdr:row>
      <xdr:rowOff>76200</xdr:rowOff>
    </xdr:from>
    <xdr:to>
      <xdr:col>23</xdr:col>
      <xdr:colOff>152400</xdr:colOff>
      <xdr:row>13</xdr:row>
      <xdr:rowOff>704850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428CDD7-0245-434D-9755-ED4B5931DC62}"/>
            </a:ext>
          </a:extLst>
        </xdr:cNvPr>
        <xdr:cNvSpPr txBox="1"/>
      </xdr:nvSpPr>
      <xdr:spPr>
        <a:xfrm>
          <a:off x="12592050" y="25908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>
    <xdr:from>
      <xdr:col>21</xdr:col>
      <xdr:colOff>0</xdr:colOff>
      <xdr:row>3</xdr:row>
      <xdr:rowOff>57150</xdr:rowOff>
    </xdr:from>
    <xdr:to>
      <xdr:col>21</xdr:col>
      <xdr:colOff>1011380</xdr:colOff>
      <xdr:row>6</xdr:row>
      <xdr:rowOff>116030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id="{2E2ACB11-B5CA-4D10-A254-5BE91608717E}"/>
            </a:ext>
          </a:extLst>
        </xdr:cNvPr>
        <xdr:cNvSpPr/>
      </xdr:nvSpPr>
      <xdr:spPr>
        <a:xfrm>
          <a:off x="21431250" y="121920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1714500</xdr:colOff>
      <xdr:row>22</xdr:row>
      <xdr:rowOff>38100</xdr:rowOff>
    </xdr:from>
    <xdr:to>
      <xdr:col>8</xdr:col>
      <xdr:colOff>304800</xdr:colOff>
      <xdr:row>38</xdr:row>
      <xdr:rowOff>50437</xdr:rowOff>
    </xdr:to>
    <xdr:pic>
      <xdr:nvPicPr>
        <xdr:cNvPr id="56" name="Imagem 17">
          <a:extLst>
            <a:ext uri="{FF2B5EF4-FFF2-40B4-BE49-F238E27FC236}">
              <a16:creationId xmlns:a16="http://schemas.microsoft.com/office/drawing/2014/main" id="{63042CF2-EEB7-45F5-A9DA-4690F2AD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harpenSoften amount="-1000"/>
                  </a14:imgEffect>
                  <a14:imgEffect>
                    <a14:brightnessContrast bright="-100000" contrast="-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8667750"/>
          <a:ext cx="3619500" cy="3765187"/>
        </a:xfrm>
        <a:prstGeom prst="rect">
          <a:avLst/>
        </a:prstGeom>
        <a:noFill/>
      </xdr:spPr>
    </xdr:pic>
    <xdr:clientData/>
  </xdr:twoCellAnchor>
  <xdr:twoCellAnchor>
    <xdr:from>
      <xdr:col>31</xdr:col>
      <xdr:colOff>552450</xdr:colOff>
      <xdr:row>22</xdr:row>
      <xdr:rowOff>38100</xdr:rowOff>
    </xdr:from>
    <xdr:to>
      <xdr:col>37</xdr:col>
      <xdr:colOff>514350</xdr:colOff>
      <xdr:row>38</xdr:row>
      <xdr:rowOff>50437</xdr:rowOff>
    </xdr:to>
    <xdr:pic>
      <xdr:nvPicPr>
        <xdr:cNvPr id="57" name="Imagem 17">
          <a:extLst>
            <a:ext uri="{FF2B5EF4-FFF2-40B4-BE49-F238E27FC236}">
              <a16:creationId xmlns:a16="http://schemas.microsoft.com/office/drawing/2014/main" id="{BA4BDC84-D8A4-4496-86B3-873CB7121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8900" y="8667750"/>
          <a:ext cx="3619500" cy="3765187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1086583</xdr:colOff>
      <xdr:row>36</xdr:row>
      <xdr:rowOff>312718</xdr:rowOff>
    </xdr:from>
    <xdr:to>
      <xdr:col>19</xdr:col>
      <xdr:colOff>1028700</xdr:colOff>
      <xdr:row>40</xdr:row>
      <xdr:rowOff>76200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20346133" y="14028718"/>
          <a:ext cx="2037617" cy="121128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18</xdr:col>
      <xdr:colOff>285750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18</xdr:col>
      <xdr:colOff>285750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161929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363680</xdr:colOff>
      <xdr:row>15</xdr:row>
      <xdr:rowOff>268430</xdr:rowOff>
    </xdr:to>
    <xdr:sp macro="[0]!BotaoComLogin" textlink="">
      <xdr:nvSpPr>
        <xdr:cNvPr id="49" name="Círculo: Vazio 48">
          <a:extLst>
            <a:ext uri="{FF2B5EF4-FFF2-40B4-BE49-F238E27FC236}">
              <a16:creationId xmlns:a16="http://schemas.microsoft.com/office/drawing/2014/main" id="{95276FC5-2B46-4965-802C-A154E034AC59}"/>
            </a:ext>
          </a:extLst>
        </xdr:cNvPr>
        <xdr:cNvSpPr/>
      </xdr:nvSpPr>
      <xdr:spPr>
        <a:xfrm>
          <a:off x="11258550" y="525780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6</xdr:col>
      <xdr:colOff>241144</xdr:colOff>
      <xdr:row>3</xdr:row>
      <xdr:rowOff>0</xdr:rowOff>
    </xdr:to>
    <xdr:grpSp>
      <xdr:nvGrpSpPr>
        <xdr:cNvPr id="50" name="Agrupar 4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95F13E-97B4-4988-A2C1-07E115C63B8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60344" cy="1162050"/>
          <a:chOff x="1993654" y="0"/>
          <a:chExt cx="1022595" cy="781538"/>
        </a:xfrm>
      </xdr:grpSpPr>
      <xdr:sp macro="" textlink="">
        <xdr:nvSpPr>
          <xdr:cNvPr id="123" name="Retângulo 122">
            <a:extLst>
              <a:ext uri="{FF2B5EF4-FFF2-40B4-BE49-F238E27FC236}">
                <a16:creationId xmlns:a16="http://schemas.microsoft.com/office/drawing/2014/main" id="{7C2AE7FB-DBE7-4EA2-9A50-B458DE893DD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4" name="Imagem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99022DBD-6052-49B7-9CA9-A7EA309083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25" name="CaixaDeTexto 124">
            <a:extLst>
              <a:ext uri="{FF2B5EF4-FFF2-40B4-BE49-F238E27FC236}">
                <a16:creationId xmlns:a16="http://schemas.microsoft.com/office/drawing/2014/main" id="{0075C0C6-0AD1-454A-97B0-35DC34DB539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9</xdr:col>
      <xdr:colOff>451396</xdr:colOff>
      <xdr:row>0</xdr:row>
      <xdr:rowOff>0</xdr:rowOff>
    </xdr:from>
    <xdr:to>
      <xdr:col>9</xdr:col>
      <xdr:colOff>2042870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3B559A3A-3B63-4E79-A9D7-A043B5DF567B}"/>
            </a:ext>
          </a:extLst>
        </xdr:cNvPr>
        <xdr:cNvGrpSpPr/>
      </xdr:nvGrpSpPr>
      <xdr:grpSpPr>
        <a:xfrm>
          <a:off x="5937796" y="0"/>
          <a:ext cx="1591474" cy="1162050"/>
          <a:chOff x="5966368" y="0"/>
          <a:chExt cx="1591474" cy="1162050"/>
        </a:xfrm>
      </xdr:grpSpPr>
      <xdr:sp macro="" textlink="">
        <xdr:nvSpPr>
          <xdr:cNvPr id="120" name="Retângulo 119">
            <a:extLst>
              <a:ext uri="{FF2B5EF4-FFF2-40B4-BE49-F238E27FC236}">
                <a16:creationId xmlns:a16="http://schemas.microsoft.com/office/drawing/2014/main" id="{A9A5E404-9F2E-4A82-B50D-27F03B164A3B}"/>
              </a:ext>
            </a:extLst>
          </xdr:cNvPr>
          <xdr:cNvSpPr/>
        </xdr:nvSpPr>
        <xdr:spPr>
          <a:xfrm>
            <a:off x="6033036" y="0"/>
            <a:ext cx="145528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CD33D963-2C0F-4A5C-B47D-88B1A7406AB2}"/>
              </a:ext>
            </a:extLst>
          </xdr:cNvPr>
          <xdr:cNvSpPr txBox="1"/>
        </xdr:nvSpPr>
        <xdr:spPr>
          <a:xfrm rot="10800000" flipH="1" flipV="1">
            <a:off x="5966368" y="765583"/>
            <a:ext cx="159147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2" name="Imagem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3012B9D-F1A1-45A7-BA01-E2968B3F1D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94" y="126203"/>
            <a:ext cx="595173" cy="619129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>
    <xdr:from>
      <xdr:col>12</xdr:col>
      <xdr:colOff>473830</xdr:colOff>
      <xdr:row>0</xdr:row>
      <xdr:rowOff>0</xdr:rowOff>
    </xdr:from>
    <xdr:to>
      <xdr:col>13</xdr:col>
      <xdr:colOff>1326004</xdr:colOff>
      <xdr:row>3</xdr:row>
      <xdr:rowOff>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CE7D064C-814D-41FC-8909-DDA2A3DC5C2A}"/>
            </a:ext>
          </a:extLst>
        </xdr:cNvPr>
        <xdr:cNvSpPr/>
      </xdr:nvSpPr>
      <xdr:spPr>
        <a:xfrm>
          <a:off x="9617830" y="0"/>
          <a:ext cx="1461774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424322</xdr:colOff>
      <xdr:row>2</xdr:row>
      <xdr:rowOff>384583</xdr:rowOff>
    </xdr:from>
    <xdr:to>
      <xdr:col>13</xdr:col>
      <xdr:colOff>1413288</xdr:colOff>
      <xdr:row>2</xdr:row>
      <xdr:rowOff>762890</xdr:rowOff>
    </xdr:to>
    <xdr:sp macro="" textlink="">
      <xdr:nvSpPr>
        <xdr:cNvPr id="118" name="CaixaDeTexto 117">
          <a:extLst>
            <a:ext uri="{FF2B5EF4-FFF2-40B4-BE49-F238E27FC236}">
              <a16:creationId xmlns:a16="http://schemas.microsoft.com/office/drawing/2014/main" id="{72238F4D-123B-4C2E-9250-E9D6345157B0}"/>
            </a:ext>
          </a:extLst>
        </xdr:cNvPr>
        <xdr:cNvSpPr txBox="1"/>
      </xdr:nvSpPr>
      <xdr:spPr>
        <a:xfrm rot="10800000" flipH="1" flipV="1">
          <a:off x="9568322" y="765583"/>
          <a:ext cx="15985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296205</xdr:colOff>
      <xdr:row>0</xdr:row>
      <xdr:rowOff>136274</xdr:rowOff>
    </xdr:from>
    <xdr:to>
      <xdr:col>13</xdr:col>
      <xdr:colOff>894030</xdr:colOff>
      <xdr:row>2</xdr:row>
      <xdr:rowOff>354262</xdr:rowOff>
    </xdr:to>
    <xdr:pic>
      <xdr:nvPicPr>
        <xdr:cNvPr id="119" name="Imagem 1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F13DEB6-CF7D-4ECB-84B5-28C4EEEFB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9805" y="136274"/>
          <a:ext cx="597825" cy="598988"/>
        </a:xfrm>
        <a:prstGeom prst="rect">
          <a:avLst/>
        </a:prstGeom>
      </xdr:spPr>
    </xdr:pic>
    <xdr:clientData/>
  </xdr:twoCellAnchor>
  <xdr:twoCellAnchor>
    <xdr:from>
      <xdr:col>16</xdr:col>
      <xdr:colOff>461490</xdr:colOff>
      <xdr:row>0</xdr:row>
      <xdr:rowOff>0</xdr:rowOff>
    </xdr:from>
    <xdr:to>
      <xdr:col>17</xdr:col>
      <xdr:colOff>1443381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F05BA8DD-D328-4DBF-931B-248BF2D6F9A6}"/>
            </a:ext>
          </a:extLst>
        </xdr:cNvPr>
        <xdr:cNvGrpSpPr/>
      </xdr:nvGrpSpPr>
      <xdr:grpSpPr>
        <a:xfrm>
          <a:off x="13205940" y="0"/>
          <a:ext cx="1591491" cy="1162050"/>
          <a:chOff x="13234512" y="0"/>
          <a:chExt cx="159149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5E5914E8-4081-4B72-9BC6-947901703315}"/>
              </a:ext>
            </a:extLst>
          </xdr:cNvPr>
          <xdr:cNvSpPr/>
        </xdr:nvSpPr>
        <xdr:spPr>
          <a:xfrm>
            <a:off x="13283801" y="0"/>
            <a:ext cx="145530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8E2AECE-060B-4C3E-85CA-C74A75331BC8}"/>
              </a:ext>
            </a:extLst>
          </xdr:cNvPr>
          <xdr:cNvSpPr txBox="1"/>
        </xdr:nvSpPr>
        <xdr:spPr>
          <a:xfrm rot="10800000" flipH="1" flipV="1">
            <a:off x="13234512" y="765583"/>
            <a:ext cx="159149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6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06690FF-2D07-434D-9062-B21ABA62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716329" y="136274"/>
            <a:ext cx="590248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224883</xdr:colOff>
      <xdr:row>0</xdr:row>
      <xdr:rowOff>0</xdr:rowOff>
    </xdr:from>
    <xdr:to>
      <xdr:col>21</xdr:col>
      <xdr:colOff>8371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7EA791A8-38BC-4D65-850E-781C73D3CA3C}"/>
            </a:ext>
          </a:extLst>
        </xdr:cNvPr>
        <xdr:cNvGrpSpPr/>
      </xdr:nvGrpSpPr>
      <xdr:grpSpPr>
        <a:xfrm>
          <a:off x="16836483" y="0"/>
          <a:ext cx="1612288" cy="1162050"/>
          <a:chOff x="16865055" y="0"/>
          <a:chExt cx="1612288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DFCE6D8A-F035-4861-B797-B26C3B57119E}"/>
              </a:ext>
            </a:extLst>
          </xdr:cNvPr>
          <xdr:cNvSpPr/>
        </xdr:nvSpPr>
        <xdr:spPr>
          <a:xfrm>
            <a:off x="16914988" y="0"/>
            <a:ext cx="1474322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761038E-C258-4406-AF6F-B6D08BA7FE78}"/>
              </a:ext>
            </a:extLst>
          </xdr:cNvPr>
          <xdr:cNvSpPr txBox="1"/>
        </xdr:nvSpPr>
        <xdr:spPr>
          <a:xfrm rot="10800000" flipH="1" flipV="1">
            <a:off x="16865055" y="765583"/>
            <a:ext cx="161228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3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12B0BEBA-82B5-4147-BF6F-EC4D64B56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54362" y="136274"/>
            <a:ext cx="595572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256723</xdr:colOff>
      <xdr:row>0</xdr:row>
      <xdr:rowOff>0</xdr:rowOff>
    </xdr:from>
    <xdr:to>
      <xdr:col>24</xdr:col>
      <xdr:colOff>1430530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FDE422F6-FAE2-4EF7-9F38-7402D9F8B040}"/>
            </a:ext>
          </a:extLst>
        </xdr:cNvPr>
        <xdr:cNvGrpSpPr/>
      </xdr:nvGrpSpPr>
      <xdr:grpSpPr>
        <a:xfrm>
          <a:off x="20487823" y="0"/>
          <a:ext cx="1592907" cy="1162050"/>
          <a:chOff x="20516395" y="0"/>
          <a:chExt cx="1592907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7CB1399D-3CEB-4E0B-9DA8-AD9579680DEB}"/>
              </a:ext>
            </a:extLst>
          </xdr:cNvPr>
          <xdr:cNvSpPr/>
        </xdr:nvSpPr>
        <xdr:spPr>
          <a:xfrm>
            <a:off x="20565728" y="0"/>
            <a:ext cx="145659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C56B0819-8E14-4A19-89B4-A45C3A110A1C}"/>
              </a:ext>
            </a:extLst>
          </xdr:cNvPr>
          <xdr:cNvSpPr txBox="1"/>
        </xdr:nvSpPr>
        <xdr:spPr>
          <a:xfrm rot="10800000" flipH="1" flipV="1">
            <a:off x="20516395" y="765583"/>
            <a:ext cx="159290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F7EE0461-BE7B-4FC6-BF4C-1E887ABFB8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4683" y="136274"/>
            <a:ext cx="578687" cy="598988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478732</xdr:colOff>
      <xdr:row>0</xdr:row>
      <xdr:rowOff>0</xdr:rowOff>
    </xdr:from>
    <xdr:to>
      <xdr:col>28</xdr:col>
      <xdr:colOff>1344890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BA9EE820-86B4-41B7-94AB-604835F22FBF}"/>
            </a:ext>
          </a:extLst>
        </xdr:cNvPr>
        <xdr:cNvGrpSpPr/>
      </xdr:nvGrpSpPr>
      <xdr:grpSpPr>
        <a:xfrm>
          <a:off x="24119782" y="0"/>
          <a:ext cx="1590058" cy="1162050"/>
          <a:chOff x="24148354" y="0"/>
          <a:chExt cx="1590058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AC661D9-7CED-4464-BBBE-0AAA554D8146}"/>
              </a:ext>
            </a:extLst>
          </xdr:cNvPr>
          <xdr:cNvSpPr/>
        </xdr:nvSpPr>
        <xdr:spPr>
          <a:xfrm>
            <a:off x="24197599" y="0"/>
            <a:ext cx="145399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CA1A0E86-3B72-4DC1-9D8E-238214C76CCF}"/>
              </a:ext>
            </a:extLst>
          </xdr:cNvPr>
          <xdr:cNvSpPr txBox="1"/>
        </xdr:nvSpPr>
        <xdr:spPr>
          <a:xfrm rot="10800000" flipH="1" flipV="1">
            <a:off x="24148354" y="765583"/>
            <a:ext cx="159005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284D5D20-D828-41DF-8AEA-3A04D02673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35769" y="136274"/>
            <a:ext cx="577652" cy="598986"/>
          </a:xfrm>
          <a:prstGeom prst="rect">
            <a:avLst/>
          </a:prstGeom>
        </xdr:spPr>
      </xdr:pic>
    </xdr:grpSp>
    <xdr:clientData/>
  </xdr:twoCellAnchor>
  <xdr:twoCellAnchor>
    <xdr:from>
      <xdr:col>30</xdr:col>
      <xdr:colOff>69242</xdr:colOff>
      <xdr:row>0</xdr:row>
      <xdr:rowOff>0</xdr:rowOff>
    </xdr:from>
    <xdr:to>
      <xdr:col>30</xdr:col>
      <xdr:colOff>1667810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D88679D8-7566-45FC-B4F7-58537F3E1B21}"/>
            </a:ext>
          </a:extLst>
        </xdr:cNvPr>
        <xdr:cNvGrpSpPr/>
      </xdr:nvGrpSpPr>
      <xdr:grpSpPr>
        <a:xfrm>
          <a:off x="27748892" y="0"/>
          <a:ext cx="1598568" cy="1162050"/>
          <a:chOff x="27777464" y="0"/>
          <a:chExt cx="1598568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66ACB10B-4269-4975-A685-ECC4CFC67B25}"/>
              </a:ext>
            </a:extLst>
          </xdr:cNvPr>
          <xdr:cNvSpPr/>
        </xdr:nvSpPr>
        <xdr:spPr>
          <a:xfrm>
            <a:off x="27826972" y="0"/>
            <a:ext cx="146177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F9D391BB-CE8D-4491-8D48-07726E10BC85}"/>
              </a:ext>
            </a:extLst>
          </xdr:cNvPr>
          <xdr:cNvSpPr txBox="1"/>
        </xdr:nvSpPr>
        <xdr:spPr>
          <a:xfrm rot="10800000" flipH="1" flipV="1">
            <a:off x="27777464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459164D9-3E9E-40F0-8E5A-5BCFC7ADC3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69927" y="136274"/>
            <a:ext cx="575863" cy="598986"/>
          </a:xfrm>
          <a:prstGeom prst="rect">
            <a:avLst/>
          </a:prstGeom>
        </xdr:spPr>
      </xdr:pic>
    </xdr:grpSp>
    <xdr:clientData/>
  </xdr:twoCellAnchor>
  <xdr:twoCellAnchor>
    <xdr:from>
      <xdr:col>32</xdr:col>
      <xdr:colOff>392161</xdr:colOff>
      <xdr:row>0</xdr:row>
      <xdr:rowOff>0</xdr:rowOff>
    </xdr:from>
    <xdr:to>
      <xdr:col>32</xdr:col>
      <xdr:colOff>1990729</xdr:colOff>
      <xdr:row>3</xdr:row>
      <xdr:rowOff>-1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EE62A363-C46A-429A-AF6B-B9CFFFD55383}"/>
            </a:ext>
          </a:extLst>
        </xdr:cNvPr>
        <xdr:cNvGrpSpPr/>
      </xdr:nvGrpSpPr>
      <xdr:grpSpPr>
        <a:xfrm>
          <a:off x="31386511" y="0"/>
          <a:ext cx="1598568" cy="1162049"/>
          <a:chOff x="31415083" y="0"/>
          <a:chExt cx="1598568" cy="1162049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6A220D63-15E4-489C-9A88-D60C603F940B}"/>
              </a:ext>
            </a:extLst>
          </xdr:cNvPr>
          <xdr:cNvSpPr/>
        </xdr:nvSpPr>
        <xdr:spPr>
          <a:xfrm>
            <a:off x="31464589" y="0"/>
            <a:ext cx="1461776" cy="116204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2071CCE8-4CF1-4CC2-AADE-0C6E8F9E1A67}"/>
              </a:ext>
            </a:extLst>
          </xdr:cNvPr>
          <xdr:cNvSpPr txBox="1"/>
        </xdr:nvSpPr>
        <xdr:spPr>
          <a:xfrm rot="10800000" flipH="1" flipV="1">
            <a:off x="31415083" y="765583"/>
            <a:ext cx="1598568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61" name="Imagem 60" descr="Ícone do banco de dados (símbolo png) preto">
            <a:hlinkClick xmlns:r="http://schemas.openxmlformats.org/officeDocument/2006/relationships" r:id="rId31"/>
            <a:extLst>
              <a:ext uri="{FF2B5EF4-FFF2-40B4-BE49-F238E27FC236}">
                <a16:creationId xmlns:a16="http://schemas.microsoft.com/office/drawing/2014/main" id="{192837CA-FC55-40DC-BFFD-DFA75F5F45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76898" y="105753"/>
            <a:ext cx="621399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401780</xdr:colOff>
      <xdr:row>19</xdr:row>
      <xdr:rowOff>306530</xdr:rowOff>
    </xdr:to>
    <xdr:sp macro="[0]!BotaoComLogin" textlink="">
      <xdr:nvSpPr>
        <xdr:cNvPr id="82" name="Círculo: Vazio 81">
          <a:extLst>
            <a:ext uri="{FF2B5EF4-FFF2-40B4-BE49-F238E27FC236}">
              <a16:creationId xmlns:a16="http://schemas.microsoft.com/office/drawing/2014/main" id="{EF05BE36-617E-47C3-8B92-E7538AEFC77E}"/>
            </a:ext>
          </a:extLst>
        </xdr:cNvPr>
        <xdr:cNvSpPr/>
      </xdr:nvSpPr>
      <xdr:spPr>
        <a:xfrm>
          <a:off x="2438400" y="594360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2857500</xdr:colOff>
      <xdr:row>22</xdr:row>
      <xdr:rowOff>285750</xdr:rowOff>
    </xdr:from>
    <xdr:to>
      <xdr:col>22</xdr:col>
      <xdr:colOff>228600</xdr:colOff>
      <xdr:row>26</xdr:row>
      <xdr:rowOff>228600</xdr:rowOff>
    </xdr:to>
    <xdr:sp macro="[0]!Lançar_Prod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611600" y="8039100"/>
          <a:ext cx="2647950" cy="139065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18</xdr:col>
      <xdr:colOff>19050</xdr:colOff>
      <xdr:row>21</xdr:row>
      <xdr:rowOff>190500</xdr:rowOff>
    </xdr:from>
    <xdr:to>
      <xdr:col>25</xdr:col>
      <xdr:colOff>57150</xdr:colOff>
      <xdr:row>45</xdr:row>
      <xdr:rowOff>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C8ECBF96-D643-4B96-8490-0D0DF993B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7DC65D8-67F8-4A16-9A19-BC18DAC1AB9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1078980</xdr:colOff>
      <xdr:row>3</xdr:row>
      <xdr:rowOff>0</xdr:rowOff>
    </xdr:to>
    <xdr:grpSp>
      <xdr:nvGrpSpPr>
        <xdr:cNvPr id="13" name="Agrupar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C30387-1AB2-44F8-9294-C2C36E6366BD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BFD9D7BE-EFF0-4A7E-99AC-0B6809AE5DE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DD4A60-5392-40CD-86FC-29F3723E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824625-7B04-4ADD-98C5-FF9826DBE2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1060123</xdr:colOff>
      <xdr:row>0</xdr:row>
      <xdr:rowOff>0</xdr:rowOff>
    </xdr:from>
    <xdr:to>
      <xdr:col>6</xdr:col>
      <xdr:colOff>2651200</xdr:colOff>
      <xdr:row>3</xdr:row>
      <xdr:rowOff>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64E7300-4012-4D2A-B84E-0561A76EE11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48FBCA97-6A12-4AC6-964A-AE14AF5F0144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18E46A36-9EC1-4EFA-A349-E568BD9BE5B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70F64F0-7CC9-4470-9891-E445B78E19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1260743</xdr:colOff>
      <xdr:row>0</xdr:row>
      <xdr:rowOff>0</xdr:rowOff>
    </xdr:from>
    <xdr:to>
      <xdr:col>8</xdr:col>
      <xdr:colOff>763410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E879ECFC-9D03-4B01-BD7C-68C952769D36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7B0E7B4D-653E-4B67-B67D-AD40B3C4300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DFE56BB2-CFDF-4B60-979B-50D43CFDB7D6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4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CB01CD2-52F8-49DF-99C6-A6EF9932E7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2020904</xdr:colOff>
      <xdr:row>0</xdr:row>
      <xdr:rowOff>0</xdr:rowOff>
    </xdr:from>
    <xdr:to>
      <xdr:col>10</xdr:col>
      <xdr:colOff>1554598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7C881206-48B3-487F-AC5E-8CC931ABBF84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3A20F231-0588-494B-B150-860795D3DCA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4DE99279-21E7-49E6-8F46-09897AE19E55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F3BD097F-C419-41F0-9752-5F51033A52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164141</xdr:colOff>
      <xdr:row>0</xdr:row>
      <xdr:rowOff>0</xdr:rowOff>
    </xdr:from>
    <xdr:to>
      <xdr:col>11</xdr:col>
      <xdr:colOff>1776027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3AC54-7C64-4DA8-88E0-02C15E58C5E8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3B124877-7F0C-4968-B27D-5B0DFC531349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70C0B48B-DA27-4FB5-AB16-A1E9707892C1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B126312-886A-46D0-A0AF-1EDEE0301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4570</xdr:colOff>
      <xdr:row>0</xdr:row>
      <xdr:rowOff>0</xdr:rowOff>
    </xdr:from>
    <xdr:to>
      <xdr:col>13</xdr:col>
      <xdr:colOff>1597080</xdr:colOff>
      <xdr:row>3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3F99E844-5137-4AA3-B155-648538A6D323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0671F4-9A33-41D0-A147-BD5CC0CA9BD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D22336D-34B7-42EC-9753-BE074B9961C4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720FCA0-1CE4-4FA0-A8A2-1239DDE8E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130423</xdr:colOff>
      <xdr:row>0</xdr:row>
      <xdr:rowOff>0</xdr:rowOff>
    </xdr:from>
    <xdr:to>
      <xdr:col>14</xdr:col>
      <xdr:colOff>1720084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D2D9B50-90ED-455C-8D90-2A9184EBB213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D4241E9-9770-4805-96E9-70D937CBCEAD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B52F05B-7620-488E-BE87-EAC627115AA6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728B1526-4AD7-464A-96A1-7C818C4398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901128</xdr:colOff>
      <xdr:row>0</xdr:row>
      <xdr:rowOff>0</xdr:rowOff>
    </xdr:from>
    <xdr:to>
      <xdr:col>15</xdr:col>
      <xdr:colOff>2499297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363C8DA-76DF-4E6A-A819-561B0A61B1C7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09FAEC9-CB78-4BC1-BBFE-ABAAB34890D3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63B741C-A2E4-48D4-BD7F-AD1E5295628C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82283E3D-3A1D-4C18-A5F4-9BC9C18D6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461139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47D982EF-AFEC-43D5-A9CD-67E09C4883A1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AFE6B-D1F2-4AF2-965C-C6570AF18844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8975D43F-0CC3-4357-BDC0-A3BB30FFED08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97682EF-742A-431D-A5BE-A5AD1EE5A4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8</xdr:col>
      <xdr:colOff>628650</xdr:colOff>
      <xdr:row>14</xdr:row>
      <xdr:rowOff>342900</xdr:rowOff>
    </xdr:from>
    <xdr:to>
      <xdr:col>14</xdr:col>
      <xdr:colOff>2495550</xdr:colOff>
      <xdr:row>53</xdr:row>
      <xdr:rowOff>179872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>
          <a:alphaModFix amt="23000"/>
          <a:extLst>
            <a:ext uri="{BEBA8EAE-BF5A-486C-A8C5-ECC9F3942E4B}">
              <a14:imgProps xmlns:a14="http://schemas.microsoft.com/office/drawing/2010/main">
                <a14:imgLayer r:embed="rId33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5200650"/>
          <a:ext cx="15449550" cy="13953022"/>
        </a:xfrm>
        <a:prstGeom prst="rect">
          <a:avLst/>
        </a:prstGeom>
      </xdr:spPr>
    </xdr:pic>
    <xdr:clientData/>
  </xdr:twoCellAnchor>
  <xdr:twoCellAnchor>
    <xdr:from>
      <xdr:col>9</xdr:col>
      <xdr:colOff>1828800</xdr:colOff>
      <xdr:row>7</xdr:row>
      <xdr:rowOff>342900</xdr:rowOff>
    </xdr:from>
    <xdr:to>
      <xdr:col>14</xdr:col>
      <xdr:colOff>457200</xdr:colOff>
      <xdr:row>15</xdr:row>
      <xdr:rowOff>57150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45BA2B2-90B5-47C0-B21B-1CBFD85D4085}"/>
            </a:ext>
          </a:extLst>
        </xdr:cNvPr>
        <xdr:cNvSpPr txBox="1"/>
      </xdr:nvSpPr>
      <xdr:spPr>
        <a:xfrm>
          <a:off x="13011150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 PRODUÇÃO</a:t>
          </a:r>
        </a:p>
      </xdr:txBody>
    </xdr:sp>
    <xdr:clientData/>
  </xdr:twoCellAnchor>
  <xdr:twoCellAnchor>
    <xdr:from>
      <xdr:col>5</xdr:col>
      <xdr:colOff>1752600</xdr:colOff>
      <xdr:row>24</xdr:row>
      <xdr:rowOff>321078</xdr:rowOff>
    </xdr:from>
    <xdr:to>
      <xdr:col>6</xdr:col>
      <xdr:colOff>3314700</xdr:colOff>
      <xdr:row>34</xdr:row>
      <xdr:rowOff>358008</xdr:rowOff>
    </xdr:to>
    <xdr:pic>
      <xdr:nvPicPr>
        <xdr:cNvPr id="51" name="Imagem 17">
          <a:extLst>
            <a:ext uri="{FF2B5EF4-FFF2-40B4-BE49-F238E27FC236}">
              <a16:creationId xmlns:a16="http://schemas.microsoft.com/office/drawing/2014/main" id="{E202DD36-2FED-4309-A22A-E3B01022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72000" y="8798328"/>
          <a:ext cx="3619500" cy="3656430"/>
        </a:xfrm>
        <a:prstGeom prst="rect">
          <a:avLst/>
        </a:prstGeom>
        <a:noFill/>
      </xdr:spPr>
    </xdr:pic>
    <xdr:clientData/>
  </xdr:twoCellAnchor>
  <xdr:twoCellAnchor>
    <xdr:from>
      <xdr:col>16</xdr:col>
      <xdr:colOff>19050</xdr:colOff>
      <xdr:row>24</xdr:row>
      <xdr:rowOff>321078</xdr:rowOff>
    </xdr:from>
    <xdr:to>
      <xdr:col>21</xdr:col>
      <xdr:colOff>590550</xdr:colOff>
      <xdr:row>34</xdr:row>
      <xdr:rowOff>358008</xdr:rowOff>
    </xdr:to>
    <xdr:pic>
      <xdr:nvPicPr>
        <xdr:cNvPr id="52" name="Imagem 17">
          <a:extLst>
            <a:ext uri="{FF2B5EF4-FFF2-40B4-BE49-F238E27FC236}">
              <a16:creationId xmlns:a16="http://schemas.microsoft.com/office/drawing/2014/main" id="{D82AEF7A-9511-4C15-8BCD-ED68AEF4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718000" y="8798328"/>
          <a:ext cx="3619500" cy="365643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285750</xdr:colOff>
      <xdr:row>3</xdr:row>
      <xdr:rowOff>190500</xdr:rowOff>
    </xdr:from>
    <xdr:to>
      <xdr:col>5</xdr:col>
      <xdr:colOff>864750</xdr:colOff>
      <xdr:row>5</xdr:row>
      <xdr:rowOff>179850</xdr:rowOff>
    </xdr:to>
    <xdr:sp macro="" textlink="">
      <xdr:nvSpPr>
        <xdr:cNvPr id="53" name="Retângulo 5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E13C29-48C4-494E-A32A-E704386F8CB6}"/>
            </a:ext>
          </a:extLst>
        </xdr:cNvPr>
        <xdr:cNvSpPr/>
      </xdr:nvSpPr>
      <xdr:spPr>
        <a:xfrm>
          <a:off x="2857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1816288</xdr:colOff>
      <xdr:row>3</xdr:row>
      <xdr:rowOff>190500</xdr:rowOff>
    </xdr:from>
    <xdr:to>
      <xdr:col>7</xdr:col>
      <xdr:colOff>825688</xdr:colOff>
      <xdr:row>5</xdr:row>
      <xdr:rowOff>179850</xdr:rowOff>
    </xdr:to>
    <xdr:sp macro="" textlink="">
      <xdr:nvSpPr>
        <xdr:cNvPr id="54" name="Retângulo 5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8F395F9A-184C-4E87-83C3-9BD1B0980123}"/>
            </a:ext>
          </a:extLst>
        </xdr:cNvPr>
        <xdr:cNvSpPr/>
      </xdr:nvSpPr>
      <xdr:spPr>
        <a:xfrm>
          <a:off x="4635688" y="1352550"/>
          <a:ext cx="44958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7</xdr:col>
      <xdr:colOff>1777226</xdr:colOff>
      <xdr:row>3</xdr:row>
      <xdr:rowOff>190500</xdr:rowOff>
    </xdr:from>
    <xdr:to>
      <xdr:col>10</xdr:col>
      <xdr:colOff>1765676</xdr:colOff>
      <xdr:row>5</xdr:row>
      <xdr:rowOff>179850</xdr:rowOff>
    </xdr:to>
    <xdr:sp macro="" textlink="">
      <xdr:nvSpPr>
        <xdr:cNvPr id="55" name="Retângulo 54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16993A9D-260B-4E1D-B22C-6F2DDAF56569}"/>
            </a:ext>
          </a:extLst>
        </xdr:cNvPr>
        <xdr:cNvSpPr/>
      </xdr:nvSpPr>
      <xdr:spPr>
        <a:xfrm>
          <a:off x="10083026" y="1352550"/>
          <a:ext cx="4922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2717214</xdr:colOff>
      <xdr:row>3</xdr:row>
      <xdr:rowOff>171452</xdr:rowOff>
    </xdr:from>
    <xdr:to>
      <xdr:col>12</xdr:col>
      <xdr:colOff>591114</xdr:colOff>
      <xdr:row>5</xdr:row>
      <xdr:rowOff>160802</xdr:rowOff>
    </xdr:to>
    <xdr:sp macro="" textlink="">
      <xdr:nvSpPr>
        <xdr:cNvPr id="56" name="Retângulo 55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4F8C4FC-927B-491C-AD95-AA6AF27E444C}"/>
            </a:ext>
          </a:extLst>
        </xdr:cNvPr>
        <xdr:cNvSpPr/>
      </xdr:nvSpPr>
      <xdr:spPr>
        <a:xfrm>
          <a:off x="15956964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12</xdr:col>
      <xdr:colOff>1542652</xdr:colOff>
      <xdr:row>3</xdr:row>
      <xdr:rowOff>171452</xdr:rowOff>
    </xdr:from>
    <xdr:to>
      <xdr:col>14</xdr:col>
      <xdr:colOff>1225606</xdr:colOff>
      <xdr:row>5</xdr:row>
      <xdr:rowOff>160802</xdr:rowOff>
    </xdr:to>
    <xdr:sp macro="" textlink="">
      <xdr:nvSpPr>
        <xdr:cNvPr id="57" name="Retângulo 5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6F1CE2B7-493F-4262-8299-D954819FACDE}"/>
            </a:ext>
          </a:extLst>
        </xdr:cNvPr>
        <xdr:cNvSpPr/>
      </xdr:nvSpPr>
      <xdr:spPr>
        <a:xfrm>
          <a:off x="20306902" y="1333502"/>
          <a:ext cx="4902654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2177142</xdr:colOff>
      <xdr:row>3</xdr:row>
      <xdr:rowOff>171452</xdr:rowOff>
    </xdr:from>
    <xdr:to>
      <xdr:col>19</xdr:col>
      <xdr:colOff>76199</xdr:colOff>
      <xdr:row>5</xdr:row>
      <xdr:rowOff>160802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76F7C35A-2978-40AA-8942-9FD5BA9D2E66}"/>
            </a:ext>
          </a:extLst>
        </xdr:cNvPr>
        <xdr:cNvSpPr/>
      </xdr:nvSpPr>
      <xdr:spPr>
        <a:xfrm>
          <a:off x="26161092" y="1333502"/>
          <a:ext cx="5442857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1797238</xdr:colOff>
      <xdr:row>3</xdr:row>
      <xdr:rowOff>190500</xdr:rowOff>
    </xdr:from>
    <xdr:to>
      <xdr:col>7</xdr:col>
      <xdr:colOff>806638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4616638" y="1352550"/>
          <a:ext cx="44958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7</xdr:col>
      <xdr:colOff>1758176</xdr:colOff>
      <xdr:row>3</xdr:row>
      <xdr:rowOff>209552</xdr:rowOff>
    </xdr:from>
    <xdr:to>
      <xdr:col>10</xdr:col>
      <xdr:colOff>813176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0063976" y="1371602"/>
          <a:ext cx="4922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1764714</xdr:colOff>
      <xdr:row>3</xdr:row>
      <xdr:rowOff>171452</xdr:rowOff>
    </xdr:from>
    <xdr:to>
      <xdr:col>11</xdr:col>
      <xdr:colOff>876864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5937914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11</xdr:col>
      <xdr:colOff>1828402</xdr:colOff>
      <xdr:row>3</xdr:row>
      <xdr:rowOff>171452</xdr:rowOff>
    </xdr:from>
    <xdr:to>
      <xdr:col>13</xdr:col>
      <xdr:colOff>2063806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0287852" y="1333502"/>
          <a:ext cx="4902654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4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3015342</xdr:colOff>
      <xdr:row>3</xdr:row>
      <xdr:rowOff>171452</xdr:rowOff>
    </xdr:from>
    <xdr:to>
      <xdr:col>15</xdr:col>
      <xdr:colOff>228599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2" y="1333502"/>
          <a:ext cx="5442857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1078980</xdr:colOff>
      <xdr:row>3</xdr:row>
      <xdr:rowOff>0</xdr:rowOff>
    </xdr:to>
    <xdr:grpSp>
      <xdr:nvGrpSpPr>
        <xdr:cNvPr id="109" name="Agrupar 10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D9ABDD-A236-48AC-AFA7-4C4A493A7A4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110" name="Retângulo 109">
            <a:extLst>
              <a:ext uri="{FF2B5EF4-FFF2-40B4-BE49-F238E27FC236}">
                <a16:creationId xmlns:a16="http://schemas.microsoft.com/office/drawing/2014/main" id="{4733B096-BC07-4F07-AE94-31D645E0022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425782-1643-4B07-82CA-EDE67CB92E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2E12129E-6ACF-49C2-90E9-99FF172B75D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1060123</xdr:colOff>
      <xdr:row>0</xdr:row>
      <xdr:rowOff>0</xdr:rowOff>
    </xdr:from>
    <xdr:to>
      <xdr:col>6</xdr:col>
      <xdr:colOff>2651200</xdr:colOff>
      <xdr:row>3</xdr:row>
      <xdr:rowOff>0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40B19EBB-E236-4799-81BB-0A8EC0EB79D5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4" name="Retângulo 113">
            <a:extLst>
              <a:ext uri="{FF2B5EF4-FFF2-40B4-BE49-F238E27FC236}">
                <a16:creationId xmlns:a16="http://schemas.microsoft.com/office/drawing/2014/main" id="{8BE14F8D-F78B-4FA1-880B-541F6A788BE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5" name="CaixaDeTexto 114">
            <a:extLst>
              <a:ext uri="{FF2B5EF4-FFF2-40B4-BE49-F238E27FC236}">
                <a16:creationId xmlns:a16="http://schemas.microsoft.com/office/drawing/2014/main" id="{BF2B6399-143C-4D62-9B1D-199CAF06434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1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9A470D0-A5A3-4F83-8F62-5E27DA438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1260743</xdr:colOff>
      <xdr:row>0</xdr:row>
      <xdr:rowOff>0</xdr:rowOff>
    </xdr:from>
    <xdr:to>
      <xdr:col>8</xdr:col>
      <xdr:colOff>763410</xdr:colOff>
      <xdr:row>3</xdr:row>
      <xdr:rowOff>0</xdr:rowOff>
    </xdr:to>
    <xdr:grpSp>
      <xdr:nvGrpSpPr>
        <xdr:cNvPr id="117" name="Agrupar 116">
          <a:extLst>
            <a:ext uri="{FF2B5EF4-FFF2-40B4-BE49-F238E27FC236}">
              <a16:creationId xmlns:a16="http://schemas.microsoft.com/office/drawing/2014/main" id="{074964E5-E001-49DF-BC86-47081D3239D7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118" name="Retângulo 117">
            <a:extLst>
              <a:ext uri="{FF2B5EF4-FFF2-40B4-BE49-F238E27FC236}">
                <a16:creationId xmlns:a16="http://schemas.microsoft.com/office/drawing/2014/main" id="{C0E18975-B2DB-438F-AF83-64BEC8CDAE16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9" name="CaixaDeTexto 118">
            <a:extLst>
              <a:ext uri="{FF2B5EF4-FFF2-40B4-BE49-F238E27FC236}">
                <a16:creationId xmlns:a16="http://schemas.microsoft.com/office/drawing/2014/main" id="{615D35EC-6E2D-4968-BA2A-AF71E36EA821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E5625D-914B-493B-898A-AFFFD21923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1697054</xdr:colOff>
      <xdr:row>0</xdr:row>
      <xdr:rowOff>0</xdr:rowOff>
    </xdr:from>
    <xdr:to>
      <xdr:col>10</xdr:col>
      <xdr:colOff>621148</xdr:colOff>
      <xdr:row>3</xdr:row>
      <xdr:rowOff>0</xdr:rowOff>
    </xdr:to>
    <xdr:grpSp>
      <xdr:nvGrpSpPr>
        <xdr:cNvPr id="121" name="Agrupar 120">
          <a:extLst>
            <a:ext uri="{FF2B5EF4-FFF2-40B4-BE49-F238E27FC236}">
              <a16:creationId xmlns:a16="http://schemas.microsoft.com/office/drawing/2014/main" id="{25CC3A23-E814-4C77-897E-6A4EED4C5613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122" name="Retângulo 121">
            <a:extLst>
              <a:ext uri="{FF2B5EF4-FFF2-40B4-BE49-F238E27FC236}">
                <a16:creationId xmlns:a16="http://schemas.microsoft.com/office/drawing/2014/main" id="{59CDB149-ED7E-4A25-8CD6-3D2D242DC5B7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3" name="CaixaDeTexto 122">
            <a:extLst>
              <a:ext uri="{FF2B5EF4-FFF2-40B4-BE49-F238E27FC236}">
                <a16:creationId xmlns:a16="http://schemas.microsoft.com/office/drawing/2014/main" id="{CD71C614-D9FC-455F-9361-5AACCB714E3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2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4D01BAB5-5677-4825-829E-348F2F74E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2659691</xdr:colOff>
      <xdr:row>0</xdr:row>
      <xdr:rowOff>0</xdr:rowOff>
    </xdr:from>
    <xdr:to>
      <xdr:col>10</xdr:col>
      <xdr:colOff>4271577</xdr:colOff>
      <xdr:row>3</xdr:row>
      <xdr:rowOff>0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id="{785906E0-21F2-43F7-B77E-D1C6C029857D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126" name="Retângulo 125">
            <a:extLst>
              <a:ext uri="{FF2B5EF4-FFF2-40B4-BE49-F238E27FC236}">
                <a16:creationId xmlns:a16="http://schemas.microsoft.com/office/drawing/2014/main" id="{68F0BF67-8753-4BF4-ADB7-22E496122C64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7" name="CaixaDeTexto 126">
            <a:extLst>
              <a:ext uri="{FF2B5EF4-FFF2-40B4-BE49-F238E27FC236}">
                <a16:creationId xmlns:a16="http://schemas.microsoft.com/office/drawing/2014/main" id="{ECCF843A-875C-4703-A69B-59CD9499037C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2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0A0E76C-EDA1-43F7-8274-8217B1870F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2023870</xdr:colOff>
      <xdr:row>0</xdr:row>
      <xdr:rowOff>0</xdr:rowOff>
    </xdr:from>
    <xdr:to>
      <xdr:col>12</xdr:col>
      <xdr:colOff>1216080</xdr:colOff>
      <xdr:row>3</xdr:row>
      <xdr:rowOff>0</xdr:rowOff>
    </xdr:to>
    <xdr:grpSp>
      <xdr:nvGrpSpPr>
        <xdr:cNvPr id="129" name="Agrupar 128">
          <a:extLst>
            <a:ext uri="{FF2B5EF4-FFF2-40B4-BE49-F238E27FC236}">
              <a16:creationId xmlns:a16="http://schemas.microsoft.com/office/drawing/2014/main" id="{F9B98A1B-28A8-4885-AEC1-45C4E5AF343C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130" name="Retângulo 129">
            <a:extLst>
              <a:ext uri="{FF2B5EF4-FFF2-40B4-BE49-F238E27FC236}">
                <a16:creationId xmlns:a16="http://schemas.microsoft.com/office/drawing/2014/main" id="{CA569C80-6E5C-498C-B2C3-75C95E828D0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1" name="CaixaDeTexto 130">
            <a:extLst>
              <a:ext uri="{FF2B5EF4-FFF2-40B4-BE49-F238E27FC236}">
                <a16:creationId xmlns:a16="http://schemas.microsoft.com/office/drawing/2014/main" id="{C58788C5-67D9-4FBA-BE74-6857ACB4AE1A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3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A1E961F-261C-41E5-B5B6-518C21D632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987673</xdr:colOff>
      <xdr:row>0</xdr:row>
      <xdr:rowOff>0</xdr:rowOff>
    </xdr:from>
    <xdr:to>
      <xdr:col>13</xdr:col>
      <xdr:colOff>2577334</xdr:colOff>
      <xdr:row>3</xdr:row>
      <xdr:rowOff>0</xdr:rowOff>
    </xdr:to>
    <xdr:grpSp>
      <xdr:nvGrpSpPr>
        <xdr:cNvPr id="133" name="Agrupar 132">
          <a:extLst>
            <a:ext uri="{FF2B5EF4-FFF2-40B4-BE49-F238E27FC236}">
              <a16:creationId xmlns:a16="http://schemas.microsoft.com/office/drawing/2014/main" id="{A31F00C7-CA6D-4B61-80E1-D52F9F51CC33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134" name="Retângulo 133">
            <a:extLst>
              <a:ext uri="{FF2B5EF4-FFF2-40B4-BE49-F238E27FC236}">
                <a16:creationId xmlns:a16="http://schemas.microsoft.com/office/drawing/2014/main" id="{82128BEC-5B11-4D06-AA6C-916C60CDC124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5" name="CaixaDeTexto 134">
            <a:extLst>
              <a:ext uri="{FF2B5EF4-FFF2-40B4-BE49-F238E27FC236}">
                <a16:creationId xmlns:a16="http://schemas.microsoft.com/office/drawing/2014/main" id="{EB693E9A-53C8-4DFE-9D34-525F749539BA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3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F261776D-C32B-47C3-9100-46BDE653E5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196278</xdr:colOff>
      <xdr:row>0</xdr:row>
      <xdr:rowOff>0</xdr:rowOff>
    </xdr:from>
    <xdr:to>
      <xdr:col>14</xdr:col>
      <xdr:colOff>1794447</xdr:colOff>
      <xdr:row>3</xdr:row>
      <xdr:rowOff>0</xdr:rowOff>
    </xdr:to>
    <xdr:grpSp>
      <xdr:nvGrpSpPr>
        <xdr:cNvPr id="137" name="Agrupar 136">
          <a:extLst>
            <a:ext uri="{FF2B5EF4-FFF2-40B4-BE49-F238E27FC236}">
              <a16:creationId xmlns:a16="http://schemas.microsoft.com/office/drawing/2014/main" id="{094D42F9-81CA-4FCC-9034-CBE6E705109B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138" name="Retângulo 137">
            <a:extLst>
              <a:ext uri="{FF2B5EF4-FFF2-40B4-BE49-F238E27FC236}">
                <a16:creationId xmlns:a16="http://schemas.microsoft.com/office/drawing/2014/main" id="{79920896-48D7-4D20-85E3-F5882D313CA2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9" name="CaixaDeTexto 138">
            <a:extLst>
              <a:ext uri="{FF2B5EF4-FFF2-40B4-BE49-F238E27FC236}">
                <a16:creationId xmlns:a16="http://schemas.microsoft.com/office/drawing/2014/main" id="{89B8C5C4-161F-4D78-A4C6-EFFD10533BD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4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2CE7F327-36CB-48E9-9335-2BDADBCBC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22989</xdr:colOff>
      <xdr:row>0</xdr:row>
      <xdr:rowOff>0</xdr:rowOff>
    </xdr:from>
    <xdr:to>
      <xdr:col>15</xdr:col>
      <xdr:colOff>1621158</xdr:colOff>
      <xdr:row>3</xdr:row>
      <xdr:rowOff>0</xdr:rowOff>
    </xdr:to>
    <xdr:grpSp>
      <xdr:nvGrpSpPr>
        <xdr:cNvPr id="141" name="Agrupar 140">
          <a:extLst>
            <a:ext uri="{FF2B5EF4-FFF2-40B4-BE49-F238E27FC236}">
              <a16:creationId xmlns:a16="http://schemas.microsoft.com/office/drawing/2014/main" id="{F07E54D7-9862-419D-A3C3-C4FDFCED5AB8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142" name="Retângulo 141">
            <a:extLst>
              <a:ext uri="{FF2B5EF4-FFF2-40B4-BE49-F238E27FC236}">
                <a16:creationId xmlns:a16="http://schemas.microsoft.com/office/drawing/2014/main" id="{88B8676B-4DAC-438A-BE05-824D02F5B76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3" name="CaixaDeTexto 142">
            <a:extLst>
              <a:ext uri="{FF2B5EF4-FFF2-40B4-BE49-F238E27FC236}">
                <a16:creationId xmlns:a16="http://schemas.microsoft.com/office/drawing/2014/main" id="{AD6FFECC-BA0C-4AE2-8BFC-7B2088677A24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44" name="Imagem 14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730ACEAD-CE6C-407D-862E-0CBA3832DA6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9</xdr:col>
      <xdr:colOff>255150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754500</xdr:colOff>
      <xdr:row>3</xdr:row>
      <xdr:rowOff>209552</xdr:rowOff>
    </xdr:from>
    <xdr:to>
      <xdr:col>12</xdr:col>
      <xdr:colOff>1219200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1047750</xdr:colOff>
      <xdr:row>3</xdr:row>
      <xdr:rowOff>171452</xdr:rowOff>
    </xdr:from>
    <xdr:to>
      <xdr:col>14</xdr:col>
      <xdr:colOff>331350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14</xdr:col>
      <xdr:colOff>1955346</xdr:colOff>
      <xdr:row>3</xdr:row>
      <xdr:rowOff>171452</xdr:rowOff>
    </xdr:from>
    <xdr:to>
      <xdr:col>15</xdr:col>
      <xdr:colOff>2686746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1262743</xdr:colOff>
      <xdr:row>3</xdr:row>
      <xdr:rowOff>171452</xdr:rowOff>
    </xdr:from>
    <xdr:to>
      <xdr:col>17</xdr:col>
      <xdr:colOff>1194043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9" name="Agrupar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1BA01F-00B7-4978-A9E4-21A97247E3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7916EE0A-2533-4F5A-8E64-883F5F42CC9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8C39D66-F015-42C5-9BAA-92DF3E594F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D555397D-61D1-4188-954E-AAC6C5ADE10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7</xdr:col>
      <xdr:colOff>1489150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85B0F2-3ECC-4222-A29F-E8C682534D5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2E5E9BDE-4E44-4938-BF73-4008078A070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8521D4E1-C38A-4D9D-B337-F559A3F1BD5B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7B04E2-9148-473F-A9AC-2E01A426A5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9</xdr:col>
      <xdr:colOff>593993</xdr:colOff>
      <xdr:row>0</xdr:row>
      <xdr:rowOff>0</xdr:rowOff>
    </xdr:from>
    <xdr:to>
      <xdr:col>11</xdr:col>
      <xdr:colOff>877710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DC8BBC82-D1C1-4C05-8CCA-9C05F7C30D68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93DC2C38-20CA-45C0-B73B-F83957328F4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B893131F-2B68-472B-89BD-CD2426568F5D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FF8266-CFE6-422C-953F-396793FB23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2916254</xdr:colOff>
      <xdr:row>0</xdr:row>
      <xdr:rowOff>0</xdr:rowOff>
    </xdr:from>
    <xdr:to>
      <xdr:col>12</xdr:col>
      <xdr:colOff>1573648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DF65530B-7773-4D04-BD73-B855D9D33B93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7F0CE7FD-1E89-4589-956C-ED2A9AED06F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59059D6-A6C2-4CC4-8D13-42654716BB3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E890633E-C8D2-40D2-A163-423A4C8A5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1783391</xdr:colOff>
      <xdr:row>0</xdr:row>
      <xdr:rowOff>0</xdr:rowOff>
    </xdr:from>
    <xdr:to>
      <xdr:col>13</xdr:col>
      <xdr:colOff>3395277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C251E9DF-03E5-450F-9275-975273E52FC7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1310A2B8-D5F9-4AA4-B6A9-C7057372B585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11513FE4-4E7C-4857-A3EC-2A1B29DD7A9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A631FB-A373-4C00-A081-84D2D742FB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1319020</xdr:colOff>
      <xdr:row>0</xdr:row>
      <xdr:rowOff>0</xdr:rowOff>
    </xdr:from>
    <xdr:to>
      <xdr:col>15</xdr:col>
      <xdr:colOff>244530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1AC1A11F-5CE5-46EC-9025-202CD5E410B1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9FD75229-AEE0-47A9-9B30-46E505047ADB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354A71FA-797D-4BF8-9688-39078DF67AA0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7A475B81-56C4-4442-980C-DF255320D2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2283073</xdr:colOff>
      <xdr:row>0</xdr:row>
      <xdr:rowOff>0</xdr:rowOff>
    </xdr:from>
    <xdr:to>
      <xdr:col>16</xdr:col>
      <xdr:colOff>824734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4AA902C4-36B7-4C90-8B80-134FB9CB9D9E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252A4617-19C7-4020-B7ED-ED5282B96326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070DB77A-B8AA-48EB-A59B-87ABAF285BA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1CEC6C4-A0F4-4800-8905-8ADEB2C1E2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2863278</xdr:colOff>
      <xdr:row>0</xdr:row>
      <xdr:rowOff>0</xdr:rowOff>
    </xdr:from>
    <xdr:to>
      <xdr:col>17</xdr:col>
      <xdr:colOff>994347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7644042C-A1A0-48E1-A3E3-8E883022B418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A9A49F0C-141F-4D02-AF86-C037312F63B6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37CD52BF-AF48-455C-82A8-6465A1F4BE44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33321CB4-F73F-4988-830A-F8543EAC2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213489</xdr:colOff>
      <xdr:row>0</xdr:row>
      <xdr:rowOff>0</xdr:rowOff>
    </xdr:from>
    <xdr:to>
      <xdr:col>20</xdr:col>
      <xdr:colOff>592458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5DD63596-12D0-42BE-BFED-1204B4C921B6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BE97C46E-FA2E-41D3-9008-2AFFF6C37130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0996E7AE-8298-4F75-8035-22B2F91C633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4" name="Imagem 8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989745E7-36E0-4902-8B14-D8774155B8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1516500</xdr:colOff>
      <xdr:row>3</xdr:row>
      <xdr:rowOff>209552</xdr:rowOff>
    </xdr:from>
    <xdr:to>
      <xdr:col>13</xdr:col>
      <xdr:colOff>38100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1695450</xdr:colOff>
      <xdr:row>3</xdr:row>
      <xdr:rowOff>171452</xdr:rowOff>
    </xdr:from>
    <xdr:to>
      <xdr:col>14</xdr:col>
      <xdr:colOff>2426850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14</xdr:col>
      <xdr:colOff>4050846</xdr:colOff>
      <xdr:row>3</xdr:row>
      <xdr:rowOff>171452</xdr:rowOff>
    </xdr:from>
    <xdr:to>
      <xdr:col>16</xdr:col>
      <xdr:colOff>667446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386443</xdr:colOff>
      <xdr:row>3</xdr:row>
      <xdr:rowOff>171452</xdr:rowOff>
    </xdr:from>
    <xdr:to>
      <xdr:col>18</xdr:col>
      <xdr:colOff>393943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9" name="Agrupar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3E5782E-340D-4E98-B7C0-078545588F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601908D-8370-4910-A375-D0927A479B6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A9E1A70-CAE1-446B-90C9-F81CC2954A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2A0DD88F-0B38-4ED2-841A-649C3B117ED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FD9A6C01-5DBF-41C9-AFB7-4DAE7CD3530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8B28EFDB-F021-48CC-8822-DFF1F9B8067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459ACAAD-826D-4159-9AD4-0CE32DAF696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15D71E5-B170-4416-A6C0-3E0AD01A2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41543</xdr:colOff>
      <xdr:row>0</xdr:row>
      <xdr:rowOff>0</xdr:rowOff>
    </xdr:from>
    <xdr:to>
      <xdr:col>11</xdr:col>
      <xdr:colOff>1639710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70161694-A139-4CB2-B3F4-A618B440F376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54ABE28E-F8E2-4663-9034-60C0D370DD41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4B4E37B1-AA00-4EBB-A51F-6F915168D02F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D14A453-5272-41DB-9F29-4F4BDA355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1087454</xdr:colOff>
      <xdr:row>0</xdr:row>
      <xdr:rowOff>0</xdr:rowOff>
    </xdr:from>
    <xdr:to>
      <xdr:col>13</xdr:col>
      <xdr:colOff>392548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DC04FF81-1E19-46F6-A182-78A692EB962D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E8C2B7BB-E7E1-449C-8D96-060F13AB757E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D458FC1E-53C3-404B-A721-28B352F90991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F2D0C8A-8922-4A6E-87FE-3F4AD71100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2431091</xdr:colOff>
      <xdr:row>0</xdr:row>
      <xdr:rowOff>0</xdr:rowOff>
    </xdr:from>
    <xdr:to>
      <xdr:col>14</xdr:col>
      <xdr:colOff>1375977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B6483914-A164-40FC-8F9F-60A461D2AE36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4423EBAE-EFAF-4046-AE86-01247E1AF876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F643F24E-2244-48F6-BA77-19E50AEB0D1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C338753-98C0-41A9-877B-8DCD4EBCBE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3414520</xdr:colOff>
      <xdr:row>0</xdr:row>
      <xdr:rowOff>0</xdr:rowOff>
    </xdr:from>
    <xdr:to>
      <xdr:col>15</xdr:col>
      <xdr:colOff>587430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F3754E4-C094-4614-BC07-C9ED8BA7E506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37350C25-91ED-4175-91DF-07F014618E7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2CC044F0-E44D-4D1A-8015-F481771DFD3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E6269050-D284-4C19-9F0C-99CDE5ECD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263773</xdr:colOff>
      <xdr:row>0</xdr:row>
      <xdr:rowOff>0</xdr:rowOff>
    </xdr:from>
    <xdr:to>
      <xdr:col>16</xdr:col>
      <xdr:colOff>1853434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F9AD55F0-394D-4453-B865-D990DD4B5E23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AFA27AA8-A0E4-492A-BDCD-36D19D4C05C2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2B51A24C-23A6-4FFC-B73A-0AF285FC9330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4D0CC36E-6C2C-4A8F-A496-713D5491D7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1986978</xdr:colOff>
      <xdr:row>0</xdr:row>
      <xdr:rowOff>0</xdr:rowOff>
    </xdr:from>
    <xdr:to>
      <xdr:col>18</xdr:col>
      <xdr:colOff>194247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4D1E346F-AA14-4846-AFF1-3AD88E8E158E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11FA5982-071C-4B98-A0AD-F935C9C4D963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78354906-B929-4321-9507-8A70A121154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E7D4CAE3-332D-4208-BDAD-5B8F6042CC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2232789</xdr:colOff>
      <xdr:row>0</xdr:row>
      <xdr:rowOff>0</xdr:rowOff>
    </xdr:from>
    <xdr:to>
      <xdr:col>20</xdr:col>
      <xdr:colOff>516258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6ACBD6CB-A667-4344-9D9F-B05F87BA275D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C5EF6967-0932-49C9-B04E-09FD737AB42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603AFDD9-0ED0-4FAC-9ED1-D2815425DE54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4" name="Imagem 8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D236F58C-20F2-4F58-B2E5-BD749853A1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1497450</xdr:colOff>
      <xdr:row>3</xdr:row>
      <xdr:rowOff>209552</xdr:rowOff>
    </xdr:from>
    <xdr:to>
      <xdr:col>13</xdr:col>
      <xdr:colOff>171450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1828800</xdr:colOff>
      <xdr:row>3</xdr:row>
      <xdr:rowOff>171452</xdr:rowOff>
    </xdr:from>
    <xdr:to>
      <xdr:col>15</xdr:col>
      <xdr:colOff>540900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15</xdr:col>
      <xdr:colOff>2164896</xdr:colOff>
      <xdr:row>3</xdr:row>
      <xdr:rowOff>171452</xdr:rowOff>
    </xdr:from>
    <xdr:to>
      <xdr:col>17</xdr:col>
      <xdr:colOff>153096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1777093</xdr:colOff>
      <xdr:row>3</xdr:row>
      <xdr:rowOff>171452</xdr:rowOff>
    </xdr:from>
    <xdr:to>
      <xdr:col>19</xdr:col>
      <xdr:colOff>527293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590550</xdr:colOff>
      <xdr:row>0</xdr:row>
      <xdr:rowOff>0</xdr:rowOff>
    </xdr:from>
    <xdr:to>
      <xdr:col>5</xdr:col>
      <xdr:colOff>1136130</xdr:colOff>
      <xdr:row>3</xdr:row>
      <xdr:rowOff>0</xdr:rowOff>
    </xdr:to>
    <xdr:grpSp>
      <xdr:nvGrpSpPr>
        <xdr:cNvPr id="49" name="Agrupar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B116CFE-B272-4D89-8749-5BAC2E56551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935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824E24EF-3820-4C84-9D9B-CDBD0A20DFB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BA9B755-3686-4A60-B9B2-EDAC62DBA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DEEB48D7-6DAD-44C4-9019-2519890FC8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1669723</xdr:colOff>
      <xdr:row>0</xdr:row>
      <xdr:rowOff>0</xdr:rowOff>
    </xdr:from>
    <xdr:to>
      <xdr:col>8</xdr:col>
      <xdr:colOff>136600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567D879-0798-448B-9DB6-9D9E668950A2}"/>
            </a:ext>
          </a:extLst>
        </xdr:cNvPr>
        <xdr:cNvGrpSpPr/>
      </xdr:nvGrpSpPr>
      <xdr:grpSpPr>
        <a:xfrm>
          <a:off x="591787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95EA974A-1CA6-4397-9580-BDAA8200134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5D9C37FA-5F9B-4EDE-BAFF-6062279EE0F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EFE5AB3-A180-4C57-B05C-CA1A80FFC9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3443</xdr:colOff>
      <xdr:row>0</xdr:row>
      <xdr:rowOff>0</xdr:rowOff>
    </xdr:from>
    <xdr:to>
      <xdr:col>11</xdr:col>
      <xdr:colOff>1601610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0936C83C-4D74-48B6-B246-A88D5A7806EA}"/>
            </a:ext>
          </a:extLst>
        </xdr:cNvPr>
        <xdr:cNvGrpSpPr/>
      </xdr:nvGrpSpPr>
      <xdr:grpSpPr>
        <a:xfrm>
          <a:off x="9547493" y="0"/>
          <a:ext cx="1598167" cy="1162050"/>
          <a:chOff x="9566543" y="0"/>
          <a:chExt cx="1598167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814AE32-3282-41BA-92BE-4C7303E0BC5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10209781-CD7D-41E2-BEF6-162F8418D5E3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3D151B-D85F-4FFE-A4DB-BC97FAC2D6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1354154</xdr:colOff>
      <xdr:row>0</xdr:row>
      <xdr:rowOff>0</xdr:rowOff>
    </xdr:from>
    <xdr:to>
      <xdr:col>13</xdr:col>
      <xdr:colOff>506848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55DD7506-C412-4AF7-9000-9B1E90BB5F05}"/>
            </a:ext>
          </a:extLst>
        </xdr:cNvPr>
        <xdr:cNvGrpSpPr/>
      </xdr:nvGrpSpPr>
      <xdr:grpSpPr>
        <a:xfrm>
          <a:off x="13184204" y="0"/>
          <a:ext cx="1591094" cy="1162050"/>
          <a:chOff x="13203254" y="0"/>
          <a:chExt cx="1591094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2C29A564-CB46-43A8-AC70-28F83F35579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7DAB3AF5-4BEC-4010-878E-364113965EDF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8AB56A4F-1387-4686-809D-7E7BCE485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145091</xdr:colOff>
      <xdr:row>0</xdr:row>
      <xdr:rowOff>0</xdr:rowOff>
    </xdr:from>
    <xdr:to>
      <xdr:col>14</xdr:col>
      <xdr:colOff>1756977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FAC9B905-0168-4997-9742-1CE4B2205141}"/>
            </a:ext>
          </a:extLst>
        </xdr:cNvPr>
        <xdr:cNvGrpSpPr/>
      </xdr:nvGrpSpPr>
      <xdr:grpSpPr>
        <a:xfrm>
          <a:off x="16813841" y="0"/>
          <a:ext cx="1611886" cy="1162050"/>
          <a:chOff x="16832891" y="0"/>
          <a:chExt cx="1611886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67B6F11F-5307-48F1-860C-8F72B198AC7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9C6E0E38-1F18-41AA-84A6-0259D76E9D1D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177A2F0-16FE-41B2-A9E8-A50E15192D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1509520</xdr:colOff>
      <xdr:row>0</xdr:row>
      <xdr:rowOff>0</xdr:rowOff>
    </xdr:from>
    <xdr:to>
      <xdr:col>15</xdr:col>
      <xdr:colOff>3102030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EA3C6045-2547-45D1-93F2-8D1F0F031904}"/>
            </a:ext>
          </a:extLst>
        </xdr:cNvPr>
        <xdr:cNvGrpSpPr/>
      </xdr:nvGrpSpPr>
      <xdr:grpSpPr>
        <a:xfrm>
          <a:off x="20464270" y="0"/>
          <a:ext cx="1592510" cy="1162050"/>
          <a:chOff x="20483320" y="0"/>
          <a:chExt cx="1592510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99502CF6-6DB6-4714-8B9F-22C51D842C0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8782993F-4936-40BD-BE89-D24D0C45B75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8F3B1A2-447C-4CBB-8063-DFFD779AD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1132453</xdr:colOff>
      <xdr:row>0</xdr:row>
      <xdr:rowOff>0</xdr:rowOff>
    </xdr:from>
    <xdr:to>
      <xdr:col>17</xdr:col>
      <xdr:colOff>1320034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D048C227-5535-4556-B545-305FD1694ACA}"/>
            </a:ext>
          </a:extLst>
        </xdr:cNvPr>
        <xdr:cNvGrpSpPr/>
      </xdr:nvGrpSpPr>
      <xdr:grpSpPr>
        <a:xfrm>
          <a:off x="24087703" y="0"/>
          <a:ext cx="1597281" cy="1162050"/>
          <a:chOff x="24114373" y="0"/>
          <a:chExt cx="158966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186022F7-2B57-485E-A7ED-D52DB93A9EF2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3CD975B2-66BF-4DE8-9BAA-025B6C871779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266D6EA6-0440-4BE2-BEE6-41219E87B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882078</xdr:colOff>
      <xdr:row>0</xdr:row>
      <xdr:rowOff>0</xdr:rowOff>
    </xdr:from>
    <xdr:to>
      <xdr:col>19</xdr:col>
      <xdr:colOff>308547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D074E214-38BF-4F6C-93BA-EA2310D4B40D}"/>
            </a:ext>
          </a:extLst>
        </xdr:cNvPr>
        <xdr:cNvGrpSpPr/>
      </xdr:nvGrpSpPr>
      <xdr:grpSpPr>
        <a:xfrm>
          <a:off x="27723528" y="0"/>
          <a:ext cx="1598169" cy="1162050"/>
          <a:chOff x="27742578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B41C4A05-CC67-48BA-A3C3-389040A96CFB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3FD37BF3-81A2-45D2-8686-21951F557C59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337700EF-71DF-462C-A61A-FA25B2030C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518289</xdr:colOff>
      <xdr:row>0</xdr:row>
      <xdr:rowOff>0</xdr:rowOff>
    </xdr:from>
    <xdr:to>
      <xdr:col>25</xdr:col>
      <xdr:colOff>287658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77DD1157-15F2-4738-8789-7E6572152577}"/>
            </a:ext>
          </a:extLst>
        </xdr:cNvPr>
        <xdr:cNvGrpSpPr/>
      </xdr:nvGrpSpPr>
      <xdr:grpSpPr>
        <a:xfrm>
          <a:off x="31360239" y="0"/>
          <a:ext cx="1598169" cy="1162050"/>
          <a:chOff x="31379289" y="0"/>
          <a:chExt cx="1598169" cy="1162050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AAA0AB95-1725-49A8-9171-75457B367AEE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076F10AE-0203-474F-80B5-BF8D18D8F3FA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4" name="Imagem 8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6D9FB39E-AED1-4F17-84FF-3292171AB4A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1497450</xdr:colOff>
      <xdr:row>3</xdr:row>
      <xdr:rowOff>209552</xdr:rowOff>
    </xdr:from>
    <xdr:to>
      <xdr:col>13</xdr:col>
      <xdr:colOff>819150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723900</xdr:colOff>
      <xdr:row>3</xdr:row>
      <xdr:rowOff>171452</xdr:rowOff>
    </xdr:from>
    <xdr:to>
      <xdr:col>15</xdr:col>
      <xdr:colOff>1836300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15</xdr:col>
      <xdr:colOff>3460296</xdr:colOff>
      <xdr:row>3</xdr:row>
      <xdr:rowOff>171452</xdr:rowOff>
    </xdr:from>
    <xdr:to>
      <xdr:col>17</xdr:col>
      <xdr:colOff>1448496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595993</xdr:colOff>
      <xdr:row>3</xdr:row>
      <xdr:rowOff>171452</xdr:rowOff>
    </xdr:from>
    <xdr:to>
      <xdr:col>21</xdr:col>
      <xdr:colOff>603493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5</xdr:col>
      <xdr:colOff>1174230</xdr:colOff>
      <xdr:row>3</xdr:row>
      <xdr:rowOff>0</xdr:rowOff>
    </xdr:to>
    <xdr:grpSp>
      <xdr:nvGrpSpPr>
        <xdr:cNvPr id="49" name="Agrupar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A08F69-6BB1-44F9-9C50-700A85F905C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32D12D1B-5902-4686-AB77-0B63F5DB46F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F5EA4D-B663-46DB-A720-547C5916D8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179E84A2-F262-490C-A907-060F5478BBA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1707823</xdr:colOff>
      <xdr:row>0</xdr:row>
      <xdr:rowOff>0</xdr:rowOff>
    </xdr:from>
    <xdr:to>
      <xdr:col>8</xdr:col>
      <xdr:colOff>174700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CFEC8F6-6CCB-4E62-8617-A01BE4BFEA38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1936251-C728-47F2-B5C6-3A576E961A1B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8BC25989-A1A9-4F65-A023-1272BCB4E79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5DF41CF-0ECA-41F8-8146-96C8963E5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41543</xdr:colOff>
      <xdr:row>0</xdr:row>
      <xdr:rowOff>0</xdr:rowOff>
    </xdr:from>
    <xdr:to>
      <xdr:col>11</xdr:col>
      <xdr:colOff>1639710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9EB28C64-60ED-43F4-AA61-1491E7F8A2AD}"/>
            </a:ext>
          </a:extLst>
        </xdr:cNvPr>
        <xdr:cNvGrpSpPr/>
      </xdr:nvGrpSpPr>
      <xdr:grpSpPr>
        <a:xfrm>
          <a:off x="9585593" y="0"/>
          <a:ext cx="1598167" cy="1162050"/>
          <a:chOff x="9566543" y="0"/>
          <a:chExt cx="1598167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3B069653-E350-4F3B-B58B-4EB808F628E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947F25C5-E790-49D3-8BD0-7A25C0C8FD82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23AC31D-E7F7-49C0-B79A-E9186C0C1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1392254</xdr:colOff>
      <xdr:row>0</xdr:row>
      <xdr:rowOff>0</xdr:rowOff>
    </xdr:from>
    <xdr:to>
      <xdr:col>13</xdr:col>
      <xdr:colOff>1192648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68289F55-1B10-46F3-8F0A-FD6F181BDD44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4A71FDE9-D15A-4F74-AEC1-B6A0396AE8F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22136571-64B5-4122-8F0B-3A34BBFF7B69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F6F15BBD-6F0D-45F0-8811-361CAC173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1478591</xdr:colOff>
      <xdr:row>0</xdr:row>
      <xdr:rowOff>0</xdr:rowOff>
    </xdr:from>
    <xdr:to>
      <xdr:col>15</xdr:col>
      <xdr:colOff>804477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60E68DCE-7062-4DC0-BF5F-E99C6D098FCD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91FAF8EA-171B-4D62-A705-398BB3F41B52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F7A2A62B-8BEF-44CA-98B6-C1A6F91A60C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F0D91C1-7518-4518-8C4D-40E663B211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2843020</xdr:colOff>
      <xdr:row>0</xdr:row>
      <xdr:rowOff>0</xdr:rowOff>
    </xdr:from>
    <xdr:to>
      <xdr:col>16</xdr:col>
      <xdr:colOff>435030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20561DD-607E-493D-AD1C-05854FBC629E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1FC9B0AC-F6CC-45E3-BD87-720D81468ED9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EC982735-5290-494B-8C71-C32788B6F4A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7AF0207C-BBB1-44FC-A091-4A3CF72B7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1063873</xdr:colOff>
      <xdr:row>0</xdr:row>
      <xdr:rowOff>0</xdr:rowOff>
    </xdr:from>
    <xdr:to>
      <xdr:col>18</xdr:col>
      <xdr:colOff>177034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547D24FD-C8A5-4954-AD8F-653B3FAC3797}"/>
            </a:ext>
          </a:extLst>
        </xdr:cNvPr>
        <xdr:cNvGrpSpPr/>
      </xdr:nvGrpSpPr>
      <xdr:grpSpPr>
        <a:xfrm>
          <a:off x="24133423" y="0"/>
          <a:ext cx="1589661" cy="1162050"/>
          <a:chOff x="24114373" y="0"/>
          <a:chExt cx="158966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8EAC5CD1-099A-4622-80AE-DBF1F3FD1776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AD3CE63D-786E-4084-80BC-82893987D7E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E98CF417-703F-4358-B533-8B27615F3F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43878</xdr:colOff>
      <xdr:row>0</xdr:row>
      <xdr:rowOff>0</xdr:rowOff>
    </xdr:from>
    <xdr:to>
      <xdr:col>21</xdr:col>
      <xdr:colOff>422847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8DD87AAC-E30B-4431-A49C-3CE527ACDDF8}"/>
            </a:ext>
          </a:extLst>
        </xdr:cNvPr>
        <xdr:cNvGrpSpPr/>
      </xdr:nvGrpSpPr>
      <xdr:grpSpPr>
        <a:xfrm>
          <a:off x="27761628" y="0"/>
          <a:ext cx="1598169" cy="1162050"/>
          <a:chOff x="27742578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199D9BFE-6AE8-4874-9A75-74369FF0632C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C6092708-3570-4A54-A26C-E7C8FC9BF6A3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E641DFC3-FB6C-47BB-966B-847B914210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22989</xdr:colOff>
      <xdr:row>0</xdr:row>
      <xdr:rowOff>0</xdr:rowOff>
    </xdr:from>
    <xdr:to>
      <xdr:col>27</xdr:col>
      <xdr:colOff>401958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8C8D53B6-A8C8-4046-9591-220983767E8C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CE3881B8-D30F-46CD-A964-ED5607A1F536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3A0CCAB7-61C4-4480-8817-444E53D9A170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4" name="Imagem 8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D705681F-59C8-423D-8136-4D11AB2BC5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1497450</xdr:colOff>
      <xdr:row>3</xdr:row>
      <xdr:rowOff>209552</xdr:rowOff>
    </xdr:from>
    <xdr:to>
      <xdr:col>13</xdr:col>
      <xdr:colOff>171450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1828800</xdr:colOff>
      <xdr:row>3</xdr:row>
      <xdr:rowOff>171452</xdr:rowOff>
    </xdr:from>
    <xdr:to>
      <xdr:col>15</xdr:col>
      <xdr:colOff>540900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15</xdr:col>
      <xdr:colOff>2164896</xdr:colOff>
      <xdr:row>3</xdr:row>
      <xdr:rowOff>171452</xdr:rowOff>
    </xdr:from>
    <xdr:to>
      <xdr:col>17</xdr:col>
      <xdr:colOff>153096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1777093</xdr:colOff>
      <xdr:row>3</xdr:row>
      <xdr:rowOff>171452</xdr:rowOff>
    </xdr:from>
    <xdr:to>
      <xdr:col>19</xdr:col>
      <xdr:colOff>527293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5</xdr:col>
      <xdr:colOff>1174230</xdr:colOff>
      <xdr:row>3</xdr:row>
      <xdr:rowOff>0</xdr:rowOff>
    </xdr:to>
    <xdr:grpSp>
      <xdr:nvGrpSpPr>
        <xdr:cNvPr id="49" name="Agrupar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00F340-2C8E-46EA-8A58-0701E717921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725EE0F9-651B-4E7C-97BB-3168D367C7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5D9F40B-9DCB-4761-84DF-66AA61B3E8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FED5F112-7251-40E6-BAA2-19C80656358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1707823</xdr:colOff>
      <xdr:row>0</xdr:row>
      <xdr:rowOff>0</xdr:rowOff>
    </xdr:from>
    <xdr:to>
      <xdr:col>8</xdr:col>
      <xdr:colOff>174700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4F8EF33C-005A-49DE-A3B9-B7901B4C1357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9B030526-AD34-42A9-A23C-04658B186DE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1C2C6835-254A-4E64-B96B-9E4B5A50E87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1F97F6B-2473-49E8-8DF5-2D6ABBAFFC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41543</xdr:colOff>
      <xdr:row>0</xdr:row>
      <xdr:rowOff>0</xdr:rowOff>
    </xdr:from>
    <xdr:to>
      <xdr:col>11</xdr:col>
      <xdr:colOff>1639710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BF5CDB9D-D936-44D7-83F9-FB455A61CC94}"/>
            </a:ext>
          </a:extLst>
        </xdr:cNvPr>
        <xdr:cNvGrpSpPr/>
      </xdr:nvGrpSpPr>
      <xdr:grpSpPr>
        <a:xfrm>
          <a:off x="9585593" y="0"/>
          <a:ext cx="1598167" cy="1162050"/>
          <a:chOff x="9566543" y="0"/>
          <a:chExt cx="1598167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820E1C27-83E7-447E-9262-28E9396D8761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E6AB25C6-34A0-463A-936C-7CB5BC12FB7D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28DCF90-3D02-4ED1-A64D-B73CF9F791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1392254</xdr:colOff>
      <xdr:row>0</xdr:row>
      <xdr:rowOff>0</xdr:rowOff>
    </xdr:from>
    <xdr:to>
      <xdr:col>13</xdr:col>
      <xdr:colOff>544948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D2C3124F-5338-45F3-999A-713BEE836C63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708EEA86-9977-4FA5-AD1B-D5B7D510E83C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1D9A2D2C-8140-47BF-9C77-79A4D6A06014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A9ADB89-A9CF-48DA-A56F-6189A3BFCB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183191</xdr:colOff>
      <xdr:row>0</xdr:row>
      <xdr:rowOff>0</xdr:rowOff>
    </xdr:from>
    <xdr:to>
      <xdr:col>14</xdr:col>
      <xdr:colOff>1795077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5C757267-F521-4AB9-B8DA-C08CE806677E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F56BF1B8-A9C2-4230-9AF8-548F9EA2462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C812341E-755B-472B-999A-B37028C4D4D5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F78A34F-247B-4EA7-8929-FE7C0B8E1E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1547620</xdr:colOff>
      <xdr:row>0</xdr:row>
      <xdr:rowOff>0</xdr:rowOff>
    </xdr:from>
    <xdr:to>
      <xdr:col>15</xdr:col>
      <xdr:colOff>3140130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39DB49D6-1B2F-4069-9D4A-6853D48C9A6B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BB4517A2-78D5-4CDC-977E-1D92303B06F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86EAE938-0086-43C8-801D-D094F5A5D2D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730487E4-710C-4245-83B7-BF2A80FD64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1178173</xdr:colOff>
      <xdr:row>0</xdr:row>
      <xdr:rowOff>0</xdr:rowOff>
    </xdr:from>
    <xdr:to>
      <xdr:col>17</xdr:col>
      <xdr:colOff>1358134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D5EC98AD-56B6-43A6-B41E-BB65BD258C75}"/>
            </a:ext>
          </a:extLst>
        </xdr:cNvPr>
        <xdr:cNvGrpSpPr/>
      </xdr:nvGrpSpPr>
      <xdr:grpSpPr>
        <a:xfrm>
          <a:off x="24133423" y="0"/>
          <a:ext cx="1589661" cy="1162050"/>
          <a:chOff x="24114373" y="0"/>
          <a:chExt cx="1589661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0CE12149-6AED-4C3A-8578-97E4620FB83C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6F8EC2C0-FF75-48DB-B852-C4D97E04C827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F0432131-1390-4286-B894-822BFCC3F3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920178</xdr:colOff>
      <xdr:row>0</xdr:row>
      <xdr:rowOff>0</xdr:rowOff>
    </xdr:from>
    <xdr:to>
      <xdr:col>19</xdr:col>
      <xdr:colOff>346647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329F877-AA88-4C3F-85BE-2C328444B8B7}"/>
            </a:ext>
          </a:extLst>
        </xdr:cNvPr>
        <xdr:cNvGrpSpPr/>
      </xdr:nvGrpSpPr>
      <xdr:grpSpPr>
        <a:xfrm>
          <a:off x="27761628" y="0"/>
          <a:ext cx="1598169" cy="1162050"/>
          <a:chOff x="27742578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32C30A5F-EE34-4D87-B5F8-6B24F77F8199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1C6C4F95-994B-4833-AD54-34DB4E6F3E14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76635CE-407D-4ECD-B1DC-07CB7AA5D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556389</xdr:colOff>
      <xdr:row>0</xdr:row>
      <xdr:rowOff>0</xdr:rowOff>
    </xdr:from>
    <xdr:to>
      <xdr:col>25</xdr:col>
      <xdr:colOff>325758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35576282-2843-4769-ABE3-6E8448155F01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86ACC524-A6EC-46A7-894D-161CBA126876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90791309-FDAB-4087-A2F8-77EA4553374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4" name="Imagem 8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A5CBEED-E835-43B4-84BE-A80D0AFBA6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50" name="Agrupar 4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6800820-EC11-412F-807E-6582D907D1F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29E38807-E46C-4529-8433-9F9F8082FE2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Imagem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10D00D9-3CC5-44B5-84C4-210B9FFECF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4815F62D-4E8F-47AD-844D-376A5720539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94DD83E-633C-4CC5-B52C-52A25E891C4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58A085B9-F492-4A31-B964-FB2888FED21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1B231448-A1E2-45CB-8E42-E7A410650AD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7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2CF09A0-A53B-40D8-9F0E-B08444891C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174893</xdr:colOff>
      <xdr:row>0</xdr:row>
      <xdr:rowOff>0</xdr:rowOff>
    </xdr:from>
    <xdr:to>
      <xdr:col>12</xdr:col>
      <xdr:colOff>20460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CBED579F-4877-436E-90A8-777EA7F179C8}"/>
            </a:ext>
          </a:extLst>
        </xdr:cNvPr>
        <xdr:cNvGrpSpPr/>
      </xdr:nvGrpSpPr>
      <xdr:grpSpPr>
        <a:xfrm>
          <a:off x="9566543" y="0"/>
          <a:ext cx="1598167" cy="1162050"/>
          <a:chOff x="9566543" y="0"/>
          <a:chExt cx="1598167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D606EDB2-0917-49A7-8893-BEBE1832C3AC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73872785-425B-4D5F-A919-D30D7487D46F}"/>
              </a:ext>
            </a:extLst>
          </xdr:cNvPr>
          <xdr:cNvSpPr txBox="1"/>
        </xdr:nvSpPr>
        <xdr:spPr>
          <a:xfrm rot="10800000" flipH="1" flipV="1">
            <a:off x="9566543" y="765583"/>
            <a:ext cx="159816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99D072-FDF2-4512-8F7E-CAB8C76DE5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47906" y="136274"/>
            <a:ext cx="597676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268304</xdr:colOff>
      <xdr:row>0</xdr:row>
      <xdr:rowOff>0</xdr:rowOff>
    </xdr:from>
    <xdr:to>
      <xdr:col>14</xdr:col>
      <xdr:colOff>106798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7760C5C0-6799-4215-B526-0FBD7D845B94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5F79AE1-3FE5-4CE3-8659-C0A43451B099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72B8F696-5CA4-4EAA-A8C9-0CB3A68A6FB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F6E57CB-C962-4850-8BDC-16FCD86955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468941</xdr:colOff>
      <xdr:row>0</xdr:row>
      <xdr:rowOff>0</xdr:rowOff>
    </xdr:from>
    <xdr:to>
      <xdr:col>15</xdr:col>
      <xdr:colOff>2080827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96DC269E-7056-4803-8605-CF73A30C3759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3C3BAE7C-22A7-4745-9FF2-FDFEDFAA67BF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E53520D6-AF81-448B-8BA4-01C7CE1ED7BC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CF1E8F9-57B1-439E-B34B-7D8412B58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995170</xdr:colOff>
      <xdr:row>0</xdr:row>
      <xdr:rowOff>0</xdr:rowOff>
    </xdr:from>
    <xdr:to>
      <xdr:col>17</xdr:col>
      <xdr:colOff>1177980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900B2A20-7008-4381-9EE3-E2F7A907CF1A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0E0D53BA-996B-4723-A8CD-799A49A68A4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1DAA90B4-8874-403F-A875-8419378CEEEC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76737FA-DE68-4C96-B145-0B736F6D00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740023</xdr:colOff>
      <xdr:row>0</xdr:row>
      <xdr:rowOff>0</xdr:rowOff>
    </xdr:from>
    <xdr:to>
      <xdr:col>19</xdr:col>
      <xdr:colOff>157984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9BE9D54B-126E-4BCC-BCEA-BAC77D9D1FE8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99115268-391F-4EDD-9188-B913D9FD1933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E8B6BC00-6B07-4CBF-A7FD-36E42865B39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7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F7C623FA-3AF1-4A00-91F1-94C6E9220D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367728</xdr:colOff>
      <xdr:row>0</xdr:row>
      <xdr:rowOff>0</xdr:rowOff>
    </xdr:from>
    <xdr:to>
      <xdr:col>25</xdr:col>
      <xdr:colOff>137097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2A98198B-8DAA-4995-A3F9-85A07C3A5A53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84747C7E-3742-48DA-A613-9DAF6499D0B7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C7066D16-E6FC-4CEC-9704-C52CE0820317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1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954495B-CA45-4F7D-8990-50E36B05A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346839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6759F6F3-330F-4D2A-8551-87785B5652C0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83" name="Retângulo 82">
            <a:extLst>
              <a:ext uri="{FF2B5EF4-FFF2-40B4-BE49-F238E27FC236}">
                <a16:creationId xmlns:a16="http://schemas.microsoft.com/office/drawing/2014/main" id="{BA7440D0-2A8C-4762-922E-304AE864A47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8C0D2DBC-D80D-4696-A589-93060F6EE226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5" name="Imagem 84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7BE2D1A9-5094-4FD9-B7C0-7E0ECFA4D0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B7C49C0-9BCD-4190-A97A-9B0229BE1A9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62846B99-F95B-4D31-9DCF-434AD786AEBB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1D771491-7546-4AE5-8501-22A6D578608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2B89D2C-E41A-4A7D-BECF-0840569239C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228AB116-3953-4980-A928-FBD7BDC765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10403ADC-EE32-4A23-9B7F-B1DFDBF8BFD3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32BE028-385D-41FB-9CD4-C481ADE2A170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26FC4D64-0758-45D2-927D-B97222B0D135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E5CA1DD5-7AF5-4791-A640-658EA95D7229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C7EE132B-4D07-478B-8129-B9B8510AB84E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14</xdr:row>
      <xdr:rowOff>323850</xdr:rowOff>
    </xdr:from>
    <xdr:to>
      <xdr:col>25</xdr:col>
      <xdr:colOff>247650</xdr:colOff>
      <xdr:row>53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>
          <a:alphaModFix amt="23000"/>
          <a:extLst>
            <a:ext uri="{BEBA8EAE-BF5A-486C-A8C5-ECC9F3942E4B}">
              <a14:imgProps xmlns:a14="http://schemas.microsoft.com/office/drawing/2010/main">
                <a14:imgLayer r:embed="rId32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51816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1276350</xdr:colOff>
      <xdr:row>8</xdr:row>
      <xdr:rowOff>19050</xdr:rowOff>
    </xdr:from>
    <xdr:to>
      <xdr:col>23</xdr:col>
      <xdr:colOff>0</xdr:colOff>
      <xdr:row>15</xdr:row>
      <xdr:rowOff>95250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6D7FE784-1C3F-4ACD-A006-E112BD975693}"/>
            </a:ext>
          </a:extLst>
        </xdr:cNvPr>
        <xdr:cNvSpPr txBox="1"/>
      </xdr:nvSpPr>
      <xdr:spPr>
        <a:xfrm>
          <a:off x="12420600" y="27051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ESTOQUE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1256718</xdr:colOff>
      <xdr:row>24</xdr:row>
      <xdr:rowOff>359178</xdr:rowOff>
    </xdr:from>
    <xdr:to>
      <xdr:col>8</xdr:col>
      <xdr:colOff>210131</xdr:colOff>
      <xdr:row>35</xdr:row>
      <xdr:rowOff>34158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45E50BE2-F6F5-496E-B6F3-03D930461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99918" y="8836428"/>
          <a:ext cx="3582563" cy="3656430"/>
        </a:xfrm>
        <a:prstGeom prst="rect">
          <a:avLst/>
        </a:prstGeom>
        <a:noFill/>
      </xdr:spPr>
    </xdr:pic>
    <xdr:clientData/>
  </xdr:twoCellAnchor>
  <xdr:twoCellAnchor>
    <xdr:from>
      <xdr:col>25</xdr:col>
      <xdr:colOff>3504618</xdr:colOff>
      <xdr:row>24</xdr:row>
      <xdr:rowOff>359178</xdr:rowOff>
    </xdr:from>
    <xdr:to>
      <xdr:col>31</xdr:col>
      <xdr:colOff>533981</xdr:colOff>
      <xdr:row>35</xdr:row>
      <xdr:rowOff>34158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5986575-ADCE-4909-87CC-8C973E89D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45918" y="8836428"/>
          <a:ext cx="3582563" cy="3656430"/>
        </a:xfrm>
        <a:prstGeom prst="rect">
          <a:avLst/>
        </a:prstGeom>
        <a:noFill/>
      </xdr:spPr>
    </xdr:pic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C58971F1-9F91-4D8A-BB52-206184D88500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16" name="Retângulo 15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8EE2312D-0CF8-4AFC-8E63-A08CD1B16246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AF895FE-DEFA-4959-824D-A8A68A9DB4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E1C7CACD-18AC-4A10-9701-B34CEE958A99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B33A7DD0-C61A-4BF7-BA2F-D4742782B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E6DE683F-C185-48DE-B12C-1A086575EF1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5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D801E84-7C52-45BA-B18A-1FD6D8B56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4115600F-7DB5-454B-A6D8-AFAF8F69BDF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2427F19A-AEF8-49E7-906E-F7B60D896FA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5097E193-FF25-4D3C-BE4A-3C2F12A0F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34458C24-04AE-40B8-A864-F22A88F2D933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C01319E-B417-440B-A72B-65DE3F522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E8743010-9447-41D0-86F4-AAEED61AD37C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38A479E6-9994-4C1B-9D9B-E462883A69D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5E4B893F-7286-48CF-B6CE-0A12023788C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72F5517-6B38-4613-9A0D-15A7A9C511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54EB026A-F3B8-4472-AF35-32CD170BE111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DBAF09E0-EFE9-495B-B877-3898B42697EA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40B42AA7-E439-4B3C-B6DC-65178C0B74E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07D21BA-D75E-4E35-8315-B9188C895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B730112B-5028-4FCF-B715-8C4AEB52AF70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0CF7BEEE-F05B-4469-A4C3-44E79B593DC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13ACA093-83C3-4E69-B83F-BF92145870D8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C4C2F26-2457-4323-9C44-2AAC9394E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CFBD19F-77D9-4BB4-BFFC-69EA0E84954B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F335F0B4-C9D6-4DEC-A07A-BA55D2EF3FB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92E10232-A52F-4CCD-A047-F3CCCFA20043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C28EB72-69D5-4CDA-A958-E65D4FD01B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C9A79EB8-98CA-4F96-B2D3-B176DF028964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3403324A-766D-4A2C-847A-42F4120014E8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C0EE54DC-445B-43DE-9C57-2CE9A77A5F3C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45EA116-BA3D-420A-8DEE-46DFE89D09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846C792-4C74-4237-9D42-9343ABDD6B25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DE54FDCA-9D44-4BC7-AEEB-90BE104DC4B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B704D4CC-1D89-43AF-A722-5C732813710B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0" name="Imagem 79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42A53AC0-F041-4CD0-979F-A1A8283B1D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3CD70D61-0428-46DB-A74B-950DD4A290B9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5" name="Retângulo 84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9E7CC72-0E91-4ED6-81EB-830D3526FC1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6" name="Imagem 8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61C0F515-DE1D-41BD-A585-9217F5EE91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48613B43-7DF8-4DB0-BA13-BCC46B6DFBA0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9E06C42-A78B-4C8F-895A-93ACBAC8B2F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B44FE588-1C5F-4B37-BDF8-175F4ED3C6E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6" name="Imagem 4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C1A8261-C716-42BC-8405-DFE142D99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BE4C9FDF-1A2F-4153-80C5-792C0C1B890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E87022-6911-44C3-AB10-264FE6ECEE49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2C78C54-FCD4-49D7-A151-83FD53D067E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551C0938-37A0-4768-B2C8-A42DFC28F7F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1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75E661A-9C90-4453-9330-0FEDAB9B1B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A607DA85-2F0A-4DA2-93C7-378E3BDF1907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ECF93A77-E644-4F14-9670-D2DA904A687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6EFCC5AF-D75F-4005-8783-7BA6FEEB21E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5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398E7E9-134C-4DBC-B1B3-45AB58B24A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2B4B9DB9-427C-4704-B7FB-34B6957CB4BB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176EA204-A3CD-4870-9CD6-2F3AB2E83358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C4BF1C0D-D95B-42F1-83BB-57EF19C2552F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88B36DB1-690A-4B30-A2C1-73E6FF300B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EA9ADD81-0E61-4A23-A7C5-092202A2FB6E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8C168125-AA65-4E7E-9C67-1D9338BA6A25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1EFB10BB-1FC4-4273-AA1B-6177C1BC4BFA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72E36A3-7408-414F-80A3-5B3C636F1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8748320E-686C-4761-B5E9-97C827D407DC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F67FF713-8CBC-45C9-9DEC-2506E22B7E93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C568BE29-5437-4A0A-8598-0D0EC3BCB8D0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8876A59-B487-4B5F-BEBE-AEB740B79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9F0FD27B-EB08-4E99-B38F-5443D0CEB280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AC0313C6-3095-4021-A958-228C94CE84CD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DFE35E93-7700-4075-8267-4FB6257EE8FA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D6A5DE23-2707-459A-A02C-AFC0382BC5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1FD2FA6C-9A2A-45B8-86E3-919BA7FDA14F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19206699-D739-412C-B05A-19C18AFAB3C0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6C57FC94-EE50-4152-B91C-CB0F230E170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5" name="Imagem 74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C2A03E14-8BAE-490C-8481-F917101FAF2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C968837C-016A-4FB0-9B1F-6BDB0070C1CF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7" name="Retângulo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0136541-BFF5-48BA-8149-746C06652F4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8" name="Imagem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F7C23F7-C74B-4B4B-8CCA-F8C362C467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D318A870-2D61-4C83-90AE-C8B28F3A8C15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15</xdr:row>
      <xdr:rowOff>76200</xdr:rowOff>
    </xdr:from>
    <xdr:to>
      <xdr:col>19</xdr:col>
      <xdr:colOff>438150</xdr:colOff>
      <xdr:row>53</xdr:row>
      <xdr:rowOff>275122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5295900"/>
          <a:ext cx="15449550" cy="13953022"/>
        </a:xfrm>
        <a:prstGeom prst="rect">
          <a:avLst/>
        </a:prstGeom>
      </xdr:spPr>
    </xdr:pic>
    <xdr:clientData/>
  </xdr:twoCellAnchor>
  <xdr:twoCellAnchor>
    <xdr:from>
      <xdr:col>12</xdr:col>
      <xdr:colOff>1562682</xdr:colOff>
      <xdr:row>7</xdr:row>
      <xdr:rowOff>342900</xdr:rowOff>
    </xdr:from>
    <xdr:to>
      <xdr:col>16</xdr:col>
      <xdr:colOff>3429582</xdr:colOff>
      <xdr:row>15</xdr:row>
      <xdr:rowOff>57150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82A981D0-848C-4345-B128-6A229CDD8F2D}"/>
            </a:ext>
          </a:extLst>
        </xdr:cNvPr>
        <xdr:cNvSpPr txBox="1"/>
      </xdr:nvSpPr>
      <xdr:spPr>
        <a:xfrm>
          <a:off x="12706932" y="266700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RH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38100</xdr:colOff>
      <xdr:row>24</xdr:row>
      <xdr:rowOff>321078</xdr:rowOff>
    </xdr:from>
    <xdr:to>
      <xdr:col>8</xdr:col>
      <xdr:colOff>496463</xdr:colOff>
      <xdr:row>34</xdr:row>
      <xdr:rowOff>358007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71A8B0C1-A404-4927-816D-A964C1A9D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86250" y="8798328"/>
          <a:ext cx="3582563" cy="3656429"/>
        </a:xfrm>
        <a:prstGeom prst="rect">
          <a:avLst/>
        </a:prstGeom>
        <a:noFill/>
      </xdr:spPr>
    </xdr:pic>
    <xdr:clientData/>
  </xdr:twoCellAnchor>
  <xdr:twoCellAnchor>
    <xdr:from>
      <xdr:col>23</xdr:col>
      <xdr:colOff>647700</xdr:colOff>
      <xdr:row>24</xdr:row>
      <xdr:rowOff>321078</xdr:rowOff>
    </xdr:from>
    <xdr:to>
      <xdr:col>25</xdr:col>
      <xdr:colOff>115463</xdr:colOff>
      <xdr:row>34</xdr:row>
      <xdr:rowOff>358007</xdr:rowOff>
    </xdr:to>
    <xdr:pic>
      <xdr:nvPicPr>
        <xdr:cNvPr id="47" name="Imagem 17">
          <a:extLst>
            <a:ext uri="{FF2B5EF4-FFF2-40B4-BE49-F238E27FC236}">
              <a16:creationId xmlns:a16="http://schemas.microsoft.com/office/drawing/2014/main" id="{CFB22664-93C8-4082-B995-91B7CF63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432250" y="8798328"/>
          <a:ext cx="3582563" cy="3656429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F5B355BF-E856-4B34-8966-D7944F9AB3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CB52B458-73A9-4F4D-9D92-1398EE62B7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0" name="Imagem 4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4E04AD-1770-4C1E-B682-129E886EB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CF5626E-5784-4571-9E33-91EF7AD738B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CC037491-5DCC-4BED-A12F-7DC5013CD37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CB4135E4-E887-4613-BEDB-56C685521700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F9F7F09E-2CCE-46F5-848B-0349DE9F7DD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5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1D4C4F-A600-4403-940C-A1179131F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169C9F9C-F243-49B8-88B3-452803BE0F97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E377E2DB-96BA-4456-B8AA-B41832E01E57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FC5F5047-1486-4E7B-BF85-D8076582D2E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4F8B0A97-8DEC-45C2-98F7-725DF8BD76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3707441</xdr:colOff>
      <xdr:row>0</xdr:row>
      <xdr:rowOff>0</xdr:rowOff>
    </xdr:from>
    <xdr:to>
      <xdr:col>14</xdr:col>
      <xdr:colOff>5319327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72D29922-6178-4B18-B267-4B45A59B2008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6774225D-A914-450F-BAC7-DB7899306B5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255AB357-1196-4AB5-AB00-B45CE218BA19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B683924-A4DB-4F86-93C4-2E698FFDFC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60F3675C-7516-43DB-B692-4594B2A7BE43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59A0D465-07E2-48D5-9B27-DC216A6547A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263CFCFC-2F3F-41AC-9612-D7F702B320B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8100170A-BE81-465D-BB5B-0E62E9F88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B82872F3-BA56-46D9-B108-1ECAB557EDAC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EC63D0D7-B4EC-45DD-981A-3A4393383D6A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1F37BDD4-3616-40AC-BCBE-AB2393F23446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9B99F4D-6FED-42C5-B134-3A61403E97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78A7C7B2-1419-47D3-911F-DC8192887FEC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A3E2490B-F338-4BD1-BCB1-C49EF04D287D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EF5DE0B5-497C-4B28-B41A-F3B37F8454A2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5EA5C061-7646-446B-AD37-09575A981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E683E8D0-41EA-4DFC-AA71-3E5F4D9D725D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023A4151-0C10-4C50-9271-49C1F4D37E3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A5D23F-AC84-46BD-9D73-3F714F67D45F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9" name="Imagem 78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DF9DE710-91A0-4D41-A3E6-F4D96EDACA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94131D3F-2FB1-4A02-85D3-D0D1A1262C21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1" name="Retângulo 8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C66009B-3DE8-466D-A13E-F4B91D690C5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2" name="Imagem 81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B46F261B-CC32-43EF-A991-99FDC53F94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8D50BF37-063D-493E-8E57-CA146FC1FDA2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BC03312-E937-49B9-B70C-43FF89B33C3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7037F852-7D25-405D-84E0-D1960C6CADC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" name="Imagem 5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04913D-A825-4C39-A260-2A4162381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CC22E155-365E-429E-B41A-229B4C39B71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42E6C017-211A-4FED-B2FC-5A1C13E21F1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D2F2AB40-600C-4074-B16D-D8C91E4D00C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BB881523-03FA-422D-BFBA-97825436F4D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6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03E713A-E648-468E-B30D-5325897A3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3F7E37E0-4CDE-43C6-AA44-2C90135C507D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5A3A12BA-0413-436E-B09D-89AACA230C6C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928E22B4-AF68-4943-975E-E5169B09E51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8A1A6B9-87A6-41DC-B7BF-45B06238E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3707441</xdr:colOff>
      <xdr:row>0</xdr:row>
      <xdr:rowOff>0</xdr:rowOff>
    </xdr:from>
    <xdr:to>
      <xdr:col>14</xdr:col>
      <xdr:colOff>5319327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0F94A620-9B21-4317-BAD1-FB0EC9C237DC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346F452F-96AE-4293-8047-089AD5A409C4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3A387031-A709-4456-9ED9-234C60F6F3C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1F82FA5-43B7-429F-9457-279522929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FCDBFE72-6845-4FBE-A3E8-5ED533B7F564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8860AA3C-23B6-47D6-A154-0928040B5EFB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BC36CF3B-AABC-4048-9037-440E6921123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847EF8F-CDCB-45AF-B70E-2D38489E0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2CB9DA95-8FD3-456B-8D6A-499AF9326ADB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02210E46-C85A-4D9F-92BA-FEE26285631C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73E27442-3C17-48A0-9C2C-BF85ACC3B33A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8892670-C85B-4783-9240-CEB31B9A8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ECC86797-4657-4882-A4DA-D360A12009EA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890D6CC5-9A21-4407-9529-15124303B71E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697C7FDC-4D80-4BFE-9B44-F61FFDCC10F0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6C056CF-C79C-4D75-9837-3A2D692CE3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CBEA7404-8A28-4E44-A745-2CC47759DE4C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8CDCF357-9153-440C-9BBD-A2E5FDB2ECE6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466C8307-A742-4497-811F-9A5358BE54A6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0" name="Imagem 79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A8D8143D-2424-4161-80AC-799C8679E96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42524D7F-6AAA-4EE8-82FE-6F25838D4E90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2" name="Retângulo 81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33F2B87-BB1F-4519-80BC-57E3466E373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3" name="Imagem 82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D340CB6-53BE-40F2-B425-D40F21BDFA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50C0437B-86F4-4901-9F25-309A7B80636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9B720B69-E9A7-44A8-96F3-C2297564A97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5A2AFBE2-3886-4E2A-BD77-ABE710330A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6255F4-3927-4D5D-B463-EB29814F0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DFCECE2A-21E8-4F1E-9E56-E0348B68601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4CEBA35E-D92B-4904-A43C-DD5E76B15F9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57AD2ECC-4BE6-4A13-A499-3828FBFB7FB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A53CBA34-CE61-4943-A119-6BB12136D82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7370B42-4AE4-4F32-A5DC-1BDC5D5A4D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13</xdr:col>
      <xdr:colOff>1449404</xdr:colOff>
      <xdr:row>0</xdr:row>
      <xdr:rowOff>0</xdr:rowOff>
    </xdr:from>
    <xdr:to>
      <xdr:col>14</xdr:col>
      <xdr:colOff>944998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8B7A9CC-3D28-4DA1-844F-B1D7F94E6214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1ACE78CE-B901-423C-90AD-97FD44899179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DEF846B3-DA58-4305-8235-1CAA737D42F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7A2259A-2FD7-47E0-9BCC-F6482BA7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964241</xdr:colOff>
      <xdr:row>0</xdr:row>
      <xdr:rowOff>0</xdr:rowOff>
    </xdr:from>
    <xdr:to>
      <xdr:col>15</xdr:col>
      <xdr:colOff>2576127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F1747003-C5E9-4777-9F6C-584DAC14ED1F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8C33B25B-83A6-4912-9F86-6387BFD2B33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64496D0-7A87-4287-A1D2-68C1C3A98BB8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9DC5FB4-02EC-4565-B3D9-0C7E6B64C6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F033746A-909D-48F4-9E18-9F81D2A02BEF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A9EFCA2F-5500-423C-9339-97EFF41D66D9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A33C55BC-350D-4E86-9474-79D4EBBF47E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B3F73D3-2CE9-4C63-9A6C-D6E64EBDE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EFF5AF28-025B-4DED-A017-F797BFB3AF79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E4CC3245-09CC-4F16-B05B-F96F2316130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5A738492-036B-420E-9B30-7C06B90DB927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2C5BAF9-81C2-41B0-AA05-202E0EC74F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398CE05-93F1-4804-B2EA-DE81648F968D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303F32C7-E230-4154-B9DF-A7DF52DDAE96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992442E0-DC33-4A3F-A00E-2CB3C018CE1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ABD5FC7-D45C-461D-9A45-5A06585F3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3355760F-AA86-4A3F-BE10-020E1EEF3821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6546E15A-9043-45EB-BF33-30D9B9113647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55B25B4-098F-4ECD-9C71-FECFCCA4223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EA4F25AD-D99B-46A8-9765-FB12DF1653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183823</xdr:colOff>
      <xdr:row>0</xdr:row>
      <xdr:rowOff>0</xdr:rowOff>
    </xdr:from>
    <xdr:to>
      <xdr:col>12</xdr:col>
      <xdr:colOff>22300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2F96B66D-3D5D-4DD0-889A-8B111B614FF7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9E6EB74-B69C-4BA4-A4BF-844015BB5E8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A460DEC-AEA4-4842-9CD3-70D228AAFB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FEECB7F0-4A1B-41DD-89CC-3C90460C0BE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7031794D-28D2-4E68-A2C2-1ACAF75DE71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1F2589F2-6834-4FB7-AD10-09B14FBDE85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AB6F56B-6CB6-4F2A-8FDE-B4661A19D0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911F8A3E-0784-4BAD-9E44-07329BDB5B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C4B8D111-EEA7-491E-8676-B4DC8FC4F74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5648C532-B0C0-48F2-A032-F3A7E6CFC49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738581C1-ECD4-4B29-B2F3-4BAADCE172E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8F83FD2-51B3-4C7B-B0FB-41A5ABD311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1925654</xdr:colOff>
      <xdr:row>0</xdr:row>
      <xdr:rowOff>0</xdr:rowOff>
    </xdr:from>
    <xdr:to>
      <xdr:col>8</xdr:col>
      <xdr:colOff>3516748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40C4302-0161-488B-A717-6862E3031938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AAA3389D-CF07-4EE6-952E-C9ED7541445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E682444B-162F-48A2-A6CE-5442462F746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FBB1672-F013-4C09-A707-346C1A053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5555291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FE8CCAF2-C7AC-4DDD-816B-5D170A1DF13E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7B3CDC48-48A7-4256-8DFF-311FDCC7F2A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AF95CE4-297C-4B88-98AC-98F5F76C32F8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9EF7C1F-C08C-4583-9110-0296E490D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54DC2C7C-238C-44DD-89B4-056949075E4F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B317078-C04B-4139-A94E-0401E716D731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2E548573-6CB9-4FEA-9813-9A34826D8C4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4F9FAAE5-9DBF-43F6-B233-36CECCA820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FFD9405B-3427-4AB8-A042-D9D4F9749AB9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B89F2093-8E46-4B8E-A75A-A4C3FFBC5ECF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209B2125-3961-4561-877A-6D315AAEA97E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0F38A6-F2D0-4009-B16F-BF0F479AD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4E8CA806-26B1-40F3-8C94-399F0B950E95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FDFFF383-231F-4438-AE0D-B892BF454CE3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D45667F-9BE5-44FF-BC2F-4C3689DB412F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5429309-DD71-4A47-963C-EEA2B19AA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B198ECE3-722B-41A2-AB23-65929E6DB8F8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05325ABB-B4E6-4EC8-916E-D6FBD8C3162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9946C7A5-0091-430C-AC66-333A8B5A0274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2E87C00B-E89F-4DA6-AFF8-B9F1A38DD8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1422073</xdr:colOff>
      <xdr:row>0</xdr:row>
      <xdr:rowOff>0</xdr:rowOff>
    </xdr:from>
    <xdr:to>
      <xdr:col>7</xdr:col>
      <xdr:colOff>1222450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F1F5213-8025-44B1-A4C8-2D4FADC8490C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6E5E2940-46CD-45DE-8196-74AF7938D1F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02AD85F-B33D-4737-A1B4-A3CDA5C2E7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48672973-A048-475D-B409-692C8EA6BE99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FF82FEF5-412F-43E9-9865-18E2E4FAB99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3AB22C3C-E36B-4E45-B127-F7E94C769A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FCEDFDE-9537-493C-AB76-51063CF8DB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48938CB8-37C9-4F82-BED5-3ECA8278F4F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217BBDF-0D2E-409E-93B9-608784371A27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EF3D42D1-E08F-4768-861D-661958D2DA2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73619CB-F54A-456C-8B56-35D547554E9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E174A1-9049-4F34-B870-0FAB7BE5A8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D4F1F411-8A60-4ED9-A2AF-61B1D66A026F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597912B2-4178-4465-8824-7752BC028DA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44514409-E6DD-493D-9EED-040B8A241F00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A4DC96E-36BB-4CB5-9266-FF7B46480A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1CAE47B-A4CF-4290-BFA2-C3AF28398726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AC0C0802-B307-45A1-A057-C322E281A04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C74EDCBA-D009-49D0-80D8-F5336F3F49C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BE48A2A0-593B-402C-B397-156D84112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D8ECF7C-1345-42F7-B8F2-2218553A203C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7F6D1E7-454E-4CBF-9100-18E34628EA2C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C7E00D89-60D2-40D3-AD7D-C0E4A0983A6A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48C1275-3F14-44A3-9BCA-EDD872F6E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3584718-CB1D-4E8F-BC29-95FC01745EF8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69AEB58-6E19-4067-9D62-84FC2B569DC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D2E6F17-F415-4DE0-97BA-AF5932812A1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49605E50-EF96-4F5B-9828-AD97D2D231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F3D3586E-FF08-4881-9019-A7FFE8978DA1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B52FD304-423B-4DD8-91D3-08EA951AE995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DF47EC3-9D25-43B4-97A1-C558D4E3AFF4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DB983475-9E17-4A25-A114-017D9A806C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84523670-8A4F-4F5F-AAE3-5026E2F3CDCD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F91C4B21-7EF0-4486-A353-D822D8C17A2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82CE33F-9A77-48C2-8BD7-E7A9DC43F522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C7DBFC90-8802-4038-BAEF-AB650BC067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9E0A479B-1F77-4BC6-B6F9-2DE76BDDD478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D99259DA-6CBF-41A1-A19F-C4EC0197399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FFCCB17-FF45-4362-99DF-A213C1580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9B83B6BC-AD80-4336-832C-3E0FB6DD1397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15</xdr:row>
      <xdr:rowOff>0</xdr:rowOff>
    </xdr:from>
    <xdr:to>
      <xdr:col>14</xdr:col>
      <xdr:colOff>514350</xdr:colOff>
      <xdr:row>53</xdr:row>
      <xdr:rowOff>198922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19632</xdr:colOff>
      <xdr:row>7</xdr:row>
      <xdr:rowOff>323850</xdr:rowOff>
    </xdr:from>
    <xdr:to>
      <xdr:col>13</xdr:col>
      <xdr:colOff>1734132</xdr:colOff>
      <xdr:row>15</xdr:row>
      <xdr:rowOff>38100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60037B2-EBFA-49D0-8B58-2CE333869070}"/>
            </a:ext>
          </a:extLst>
        </xdr:cNvPr>
        <xdr:cNvSpPr txBox="1"/>
      </xdr:nvSpPr>
      <xdr:spPr>
        <a:xfrm>
          <a:off x="12554532" y="26479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VENDAS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1750849</xdr:colOff>
      <xdr:row>24</xdr:row>
      <xdr:rowOff>302028</xdr:rowOff>
    </xdr:from>
    <xdr:to>
      <xdr:col>5</xdr:col>
      <xdr:colOff>269613</xdr:colOff>
      <xdr:row>34</xdr:row>
      <xdr:rowOff>338957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93D3F7AB-C26D-4106-93CA-5ADB82D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189249" y="8779278"/>
          <a:ext cx="3471764" cy="3656429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1788949</xdr:colOff>
      <xdr:row>24</xdr:row>
      <xdr:rowOff>302028</xdr:rowOff>
    </xdr:from>
    <xdr:to>
      <xdr:col>16</xdr:col>
      <xdr:colOff>231513</xdr:colOff>
      <xdr:row>34</xdr:row>
      <xdr:rowOff>338957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60FFD11F-5D7B-4DB9-A086-42A2C9B9A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335249" y="8779278"/>
          <a:ext cx="3471764" cy="3656429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23B2EA7-C9B9-4F43-8B75-0B82F67FDD8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566B652-3ADE-4172-8386-B3BFC7C63F8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FC1D884-89A3-4C7E-9003-295C4D15F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5138F28F-00E0-4B43-B95E-70294B70201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4423A75F-7DA5-4C82-A89C-C008D5E6000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76BDC4B7-9B21-4F94-8E67-0A45377435D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9FED7B50-DCD2-4082-A4BC-5D10779EFE8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61DCA86-AB10-4DBF-A157-42C7138FA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23D6A5-74BC-40E2-BC72-CC9F00263BFC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A9005B68-6430-4723-A99F-57B26D57E84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05B5B54E-216B-40C8-8976-DC546EC8A91F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37B8DE54-D68A-4F97-83B4-8ACBD075B2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17734858-FE6D-4770-B085-6362525D183F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FF20BBB3-0ABA-4DD8-8CB3-3A1ECC732469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893246CB-A37A-471D-82C9-41969D392CB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F7355E-F0C5-4D8E-86DF-8362E94DB7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F31CC6C5-390A-4995-BE0E-D31BC17C210B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B414C523-3327-42FE-BF63-84FD7E59098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64894604-6FF6-4879-A93E-014EAC5A5FB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1D1F10A2-760C-4B47-9A9E-1C924A9C39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41BDFD46-29DE-4098-9433-1BCA11C8D87C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18CE7336-522A-4D05-ADC7-9445D4A2F3D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7B914EF5-8A77-450E-8CDD-F0FF7A0907E8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4C712F4B-64D7-4AB8-892A-BB261993A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886EF63D-7E36-4699-8637-D1C2C020BCE4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E6AAFE8A-C712-4AD8-8B9C-00582A9ADE96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F6A554A3-9BAA-48B7-AF2C-B127DEB669B2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B75EC340-C4BA-4F1D-9912-CCA41E2149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8E20442F-74A5-4C15-9482-73D8D552E99C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7DD05296-94D0-4DC8-A075-26A0CF827417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A023805F-BD37-484D-990C-CF12A37BDBC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46E0F5F-9AC8-4C67-A800-3B9CFA7B9BE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B6DA41EE-6CA7-4C51-9FCD-5D80B6010025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2B05CF5-C33C-4E6B-BA26-AE9C0906059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78A8E83-A10F-4A43-BE93-998831AB7D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7D4D9A02-5955-4A4F-8A0B-FD8344CBB13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77C954-05CD-4B26-BE12-224CB46903D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4338025</xdr:colOff>
      <xdr:row>0</xdr:row>
      <xdr:rowOff>0</xdr:rowOff>
    </xdr:from>
    <xdr:to>
      <xdr:col>4</xdr:col>
      <xdr:colOff>4933049</xdr:colOff>
      <xdr:row>2</xdr:row>
      <xdr:rowOff>238129</xdr:rowOff>
    </xdr:to>
    <xdr:pic>
      <xdr:nvPicPr>
        <xdr:cNvPr id="1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4A3DE6-2DB1-4A49-B6DB-EEB33016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6425" y="0"/>
          <a:ext cx="595024" cy="619129"/>
        </a:xfrm>
        <a:prstGeom prst="rect">
          <a:avLst/>
        </a:prstGeom>
        <a:noFill/>
      </xdr:spPr>
    </xdr:pic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C00C0E6-68D2-4BFE-9D09-707C66FAC4E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46BF0-C4BF-4916-BA3E-AC17B633620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DE48FCA-52C1-4031-8822-568BCC35FCF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8688EFA-8ABA-4C87-A893-4FF8B983B6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0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A0A41C8-9FDA-4773-802F-415316DCB15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7F2CF6FD-8075-46CF-BAEE-50271819A8A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76D70D85-A017-4C36-B622-DB8E6DC558A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1" name="Imagem 10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A3D323E-41B6-4E59-8CC2-E20F6E621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02" name="CaixaDeTexto 101">
            <a:extLst>
              <a:ext uri="{FF2B5EF4-FFF2-40B4-BE49-F238E27FC236}">
                <a16:creationId xmlns:a16="http://schemas.microsoft.com/office/drawing/2014/main" id="{624005BC-1919-4085-A0A2-3CB072AE2B9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F4049F5E-4A1D-41B8-A91B-DFCFC9832CC7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3007D10D-6901-4948-ABD3-1026EE71F70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50F9E6A9-0D4E-4F15-AFE9-9C3CD3CAAB03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DAC3DE0-FD32-4AB8-81EF-74C786CB5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C06FB779-F534-48EA-A82E-0C9C4925168E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FF649CDF-7544-4341-8C61-97DA96AD3C6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90255A56-3E1F-43B5-AEBA-423F51C65B3C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F2EA071-C21E-4033-9B85-985A5A5A58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59E2B82A-1B83-43C5-AEAE-2091215C67FB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8027C3CA-7867-4BF7-A532-E20BD549187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A5433FCB-B5CD-450C-BE39-79A6E2C9A60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14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9149E2C2-15FC-423D-95AB-8499F356A0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994B09AA-8C78-46ED-9A17-644B8E75E477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116" name="Retângulo 115">
            <a:extLst>
              <a:ext uri="{FF2B5EF4-FFF2-40B4-BE49-F238E27FC236}">
                <a16:creationId xmlns:a16="http://schemas.microsoft.com/office/drawing/2014/main" id="{49508857-2FEC-4DE3-99E4-D5C267301E6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CaixaDeTexto 116">
            <a:extLst>
              <a:ext uri="{FF2B5EF4-FFF2-40B4-BE49-F238E27FC236}">
                <a16:creationId xmlns:a16="http://schemas.microsoft.com/office/drawing/2014/main" id="{7B74FC1D-7CDC-4580-996A-A1FB46C5CC9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18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9A2D233-2788-4DC6-8952-221D55927D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E84C710B-F5F7-495C-A86E-E8DC3C706B0F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120" name="Retângulo 119">
            <a:extLst>
              <a:ext uri="{FF2B5EF4-FFF2-40B4-BE49-F238E27FC236}">
                <a16:creationId xmlns:a16="http://schemas.microsoft.com/office/drawing/2014/main" id="{0072EADC-9F2F-48BE-95C4-62D57775A104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3FC7B72A-C29D-4F39-ACEB-85B130D8DF26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22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7DB5D1F-B019-4859-A51C-71814C3F6C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1674E4A-E82C-407D-8CA8-9ACA1B9100B3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124" name="Retângulo 123">
            <a:extLst>
              <a:ext uri="{FF2B5EF4-FFF2-40B4-BE49-F238E27FC236}">
                <a16:creationId xmlns:a16="http://schemas.microsoft.com/office/drawing/2014/main" id="{A66B3311-EC5D-43A6-B832-6A773D89CA29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5" name="CaixaDeTexto 124">
            <a:extLst>
              <a:ext uri="{FF2B5EF4-FFF2-40B4-BE49-F238E27FC236}">
                <a16:creationId xmlns:a16="http://schemas.microsoft.com/office/drawing/2014/main" id="{281E9315-BA17-4E9B-9581-E94E3209AC50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26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55383016-36C5-4209-8091-1C26E18043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127" name="Agrupar 126">
          <a:extLst>
            <a:ext uri="{FF2B5EF4-FFF2-40B4-BE49-F238E27FC236}">
              <a16:creationId xmlns:a16="http://schemas.microsoft.com/office/drawing/2014/main" id="{C6B74C78-CE3B-451F-8E57-C1C7AC7310F3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128" name="Retângulo 127">
            <a:extLst>
              <a:ext uri="{FF2B5EF4-FFF2-40B4-BE49-F238E27FC236}">
                <a16:creationId xmlns:a16="http://schemas.microsoft.com/office/drawing/2014/main" id="{2E783347-B569-4A8E-88DD-3E76D816CCF4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9" name="CaixaDeTexto 128">
            <a:extLst>
              <a:ext uri="{FF2B5EF4-FFF2-40B4-BE49-F238E27FC236}">
                <a16:creationId xmlns:a16="http://schemas.microsoft.com/office/drawing/2014/main" id="{981839C2-A490-4AF8-A0AE-FC6F8A1DA2B9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30" name="Imagem 129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3CAF5307-0DFC-47BB-9127-EA8E9A2503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131" name="Agrupar 130">
          <a:extLst>
            <a:ext uri="{FF2B5EF4-FFF2-40B4-BE49-F238E27FC236}">
              <a16:creationId xmlns:a16="http://schemas.microsoft.com/office/drawing/2014/main" id="{F491229E-5EA2-4EDC-B134-BD19C7DD0C7B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132" name="Retângulo 131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A6533A3-1FC2-4D8A-9BB5-861B16492F9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3" name="Imagem 13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FB65D2AB-2335-4B19-A8BA-2095AC4B6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34" name="CaixaDeTexto 133">
            <a:extLst>
              <a:ext uri="{FF2B5EF4-FFF2-40B4-BE49-F238E27FC236}">
                <a16:creationId xmlns:a16="http://schemas.microsoft.com/office/drawing/2014/main" id="{3FEDA3D7-5750-4A78-A4BA-C41EF59E96EC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9E70D87-A1B8-445C-8A70-0384E2A9E53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CDC1D25-4069-4057-A0BB-C474E973C9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A24D736-D377-4403-A442-B465F290E87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0F3DC27-A6A5-4374-AFAD-2B58D6EB0D3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E331176-9587-4A3F-97E9-69F286C872D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10</xdr:col>
      <xdr:colOff>381000</xdr:colOff>
      <xdr:row>33</xdr:row>
      <xdr:rowOff>57150</xdr:rowOff>
    </xdr:from>
    <xdr:to>
      <xdr:col>10</xdr:col>
      <xdr:colOff>3454036</xdr:colOff>
      <xdr:row>37</xdr:row>
      <xdr:rowOff>41569</xdr:rowOff>
    </xdr:to>
    <xdr:sp macro="[0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D9695B1-7EB5-4CEB-9A73-D973E82B528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38300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7</xdr:col>
      <xdr:colOff>1543050</xdr:colOff>
      <xdr:row>33</xdr:row>
      <xdr:rowOff>57150</xdr:rowOff>
    </xdr:from>
    <xdr:to>
      <xdr:col>9</xdr:col>
      <xdr:colOff>1301386</xdr:colOff>
      <xdr:row>37</xdr:row>
      <xdr:rowOff>41569</xdr:rowOff>
    </xdr:to>
    <xdr:sp macro="[0]!ProcvVBA_Executar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29C4BDF-98FF-41A3-806D-78B10A7A3C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23253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COMPLETAR FORMULÁRIO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2CD1E87D-CD41-4921-83CD-645964DB330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9073322-B205-43E7-B175-E40A37261B1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50BD1C6-0561-4444-8BA5-4A6DE77B95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9FF09BBE-EEE4-40FB-B258-C90CB5F3935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394354B0-14FA-4F00-8514-1AC3B134E890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93151437-855B-48A0-8375-BC7B3C4F02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C60AA2E1-079D-4516-B34E-5E92CB379AC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BD3711-2FE8-4AB0-82A5-C655C9363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668354</xdr:colOff>
      <xdr:row>0</xdr:row>
      <xdr:rowOff>0</xdr:rowOff>
    </xdr:from>
    <xdr:to>
      <xdr:col>9</xdr:col>
      <xdr:colOff>697348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4023051-2D62-4F61-BBE9-FDDF58DF105D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DF1BCBAD-BC7D-4593-A9D8-F98BBDADD67A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E2C49F14-E751-42BC-9309-80691D5D9C9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AFA04D4-F169-43DF-BCDF-6693D5DA92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830891</xdr:colOff>
      <xdr:row>0</xdr:row>
      <xdr:rowOff>0</xdr:rowOff>
    </xdr:from>
    <xdr:to>
      <xdr:col>10</xdr:col>
      <xdr:colOff>2442777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8F518DB9-B105-4D21-BD16-5A83267B2029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5D4292A0-1771-4176-B6C3-DAD8C2089FAE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CD52B4EE-7959-4156-BBE6-2FDDEE816E5D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414D999-D573-4244-AD61-609BCA0D12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728470</xdr:colOff>
      <xdr:row>0</xdr:row>
      <xdr:rowOff>0</xdr:rowOff>
    </xdr:from>
    <xdr:to>
      <xdr:col>12</xdr:col>
      <xdr:colOff>568380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E5A7B53A-5A4F-42CA-A806-B51C986B0B13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1DA66B30-1E6D-404B-B7FB-A820FE130E61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79C91EAD-520E-487D-8E2A-19E21B0819F8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AEFCB7D9-D365-465C-B762-AC613E65F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625723</xdr:colOff>
      <xdr:row>0</xdr:row>
      <xdr:rowOff>0</xdr:rowOff>
    </xdr:from>
    <xdr:to>
      <xdr:col>13</xdr:col>
      <xdr:colOff>2215384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13F237DF-B5FA-43C4-9745-01FC36A879FE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FB8C956-7545-4427-858E-F2E77C212601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07D4241-9DB3-4DD7-ACCB-F8671C2248CC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40F0142-C0EC-4566-987B-C6E256C5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977328</xdr:colOff>
      <xdr:row>0</xdr:row>
      <xdr:rowOff>0</xdr:rowOff>
    </xdr:from>
    <xdr:to>
      <xdr:col>15</xdr:col>
      <xdr:colOff>556197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B8B1877F-2BE7-47C4-A5D7-FBF199051500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5BBA1771-EDDE-4B5D-A27A-12AE95E74FAB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79BA1071-C992-4AAD-B8D4-F1DE3CAEC751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724BEE2D-642D-45FB-891B-8728EF5FBF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2594739</xdr:colOff>
      <xdr:row>0</xdr:row>
      <xdr:rowOff>0</xdr:rowOff>
    </xdr:from>
    <xdr:to>
      <xdr:col>15</xdr:col>
      <xdr:colOff>4192908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DE9A34EE-94A3-4697-8845-6F722095BF23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813A3912-6B8A-466F-BEE9-69BCF39DD675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F06175C9-0A19-4F8A-9EE9-322104779AA3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1D54962-01D8-48F8-8091-08CB82AAE1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85E039ED-C561-429E-A6B6-098FF21A5001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4A7EE5B3-B8DC-4240-B5C0-E3FA5CD6F02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67E65FB-31D4-4DEA-9366-113944750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FF953F43-EB48-4183-A549-B924C0A1BD4D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128125C-0428-4625-B986-FE83D5D710C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57E4C0D-2DC7-4A0B-BDAE-F26EF97A3B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13E0CCE-93AE-4E98-997D-D9F6F81F246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224F0652-D404-4421-83F2-2141E29D568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DE76E1-0D85-483B-A39F-C393DDB16F9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0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71BF4E26-109E-404C-8D19-EC4CB80D8A7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6B490F8E-9EEE-4B69-A768-49DF84E3155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EB0AF229-52ED-42D3-98FE-E15C401FDD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41DC9BE-3168-4D5C-9B79-2F15CD766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0884F7DD-69F0-4B5C-945B-FBDA90246FA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3FE539F-5C4A-4F0D-AA01-23A9635F7992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AA42A107-3FCF-4A51-A963-51DA76491F0C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664A5644-D5E0-49EA-AF54-0A53EFA07FD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C6BECB8-964F-4E64-B511-29AE4A6F5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687404</xdr:colOff>
      <xdr:row>0</xdr:row>
      <xdr:rowOff>0</xdr:rowOff>
    </xdr:from>
    <xdr:to>
      <xdr:col>9</xdr:col>
      <xdr:colOff>716398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F250BA1-0613-473A-98C7-F01DC681FA2D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43D9612-F28B-4124-8F47-B43C6082351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CFDB9650-AB36-4E09-9A1A-9452F270749B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43FE0E0-5386-4CC9-A863-5E5F25B50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849941</xdr:colOff>
      <xdr:row>0</xdr:row>
      <xdr:rowOff>0</xdr:rowOff>
    </xdr:from>
    <xdr:to>
      <xdr:col>10</xdr:col>
      <xdr:colOff>2461827</xdr:colOff>
      <xdr:row>3</xdr:row>
      <xdr:rowOff>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4635E77B-6AED-455B-B973-2F281E0A7ABB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955F39F0-5164-4A7D-8C4A-C9B9ABC1F609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A54470B6-9A27-4552-8CB7-8CBCBEE587BB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51BB0CD-BE8A-42AC-9181-3C598087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1585720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D800BC83-1909-4D92-B5C6-11D0A369312E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48F0BF03-171C-467E-90C1-1C97EBBE3F04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261E681-6A4C-4977-AE4F-CF3FAD0A676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62DF708-D2E9-451D-ADFC-775025CF8B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1482973</xdr:colOff>
      <xdr:row>0</xdr:row>
      <xdr:rowOff>0</xdr:rowOff>
    </xdr:from>
    <xdr:to>
      <xdr:col>13</xdr:col>
      <xdr:colOff>3072634</xdr:colOff>
      <xdr:row>3</xdr:row>
      <xdr:rowOff>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A40F1B38-A694-401C-A874-47D2778620AD}"/>
            </a:ext>
          </a:extLst>
        </xdr:cNvPr>
        <xdr:cNvGrpSpPr/>
      </xdr:nvGrpSpPr>
      <xdr:grpSpPr>
        <a:xfrm>
          <a:off x="24133423" y="0"/>
          <a:ext cx="1589661" cy="116205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CA542A6A-13FC-489E-A71C-2ACA605CE61D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86FE23B3-1A9C-4747-8C96-E71C5556A9F0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DE4CA43-2B57-4DBC-A009-4C623262B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1605978</xdr:colOff>
      <xdr:row>0</xdr:row>
      <xdr:rowOff>0</xdr:rowOff>
    </xdr:from>
    <xdr:to>
      <xdr:col>15</xdr:col>
      <xdr:colOff>289497</xdr:colOff>
      <xdr:row>3</xdr:row>
      <xdr:rowOff>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FD67C5B7-8422-496E-97B3-14A442F4981F}"/>
            </a:ext>
          </a:extLst>
        </xdr:cNvPr>
        <xdr:cNvGrpSpPr/>
      </xdr:nvGrpSpPr>
      <xdr:grpSpPr>
        <a:xfrm>
          <a:off x="27761628" y="0"/>
          <a:ext cx="1598169" cy="1162050"/>
          <a:chOff x="2774257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354AAAD1-AA6E-4B21-A843-C604FE409FF5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A01E2C28-27ED-4F25-B063-26B0CAC75876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7E3BD65-0E6C-4C87-9DD6-BBD6FAF03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2328039</xdr:colOff>
      <xdr:row>0</xdr:row>
      <xdr:rowOff>0</xdr:rowOff>
    </xdr:from>
    <xdr:to>
      <xdr:col>15</xdr:col>
      <xdr:colOff>3926208</xdr:colOff>
      <xdr:row>3</xdr:row>
      <xdr:rowOff>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D139D493-D1A5-4DB4-835E-70F651526E0B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E1C9A26F-917E-4E83-8640-9BD0B8868E3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33459CDE-6ED9-47DC-8E49-18FC6A3391E9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D58E28EB-8A8B-41D1-BD83-A1A9790F8B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5D163446-B12D-46C4-A24A-EB5B6B30DEC8}"/>
            </a:ext>
          </a:extLst>
        </xdr:cNvPr>
        <xdr:cNvGrpSpPr/>
      </xdr:nvGrpSpPr>
      <xdr:grpSpPr>
        <a:xfrm>
          <a:off x="9594523" y="0"/>
          <a:ext cx="1591077" cy="116205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1676BF1-8448-4627-A16A-613A14AA828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1247DBE3-2A6C-4A98-888B-6B8AAE046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C0EC52F6-399D-46C0-8A0C-95D43C03601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B42E7FF-E11B-4D78-B5DC-42A8FB686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15AC9C3-8BC3-4B92-BA67-13AFF60437E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B139AE0-09BE-4E97-A8C0-420B147CEF5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2640E36-C810-4589-A4FD-80C910EDDFD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DFE2EDE-B11B-4AAF-98CE-2B39B1B319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1</xdr:col>
      <xdr:colOff>1828800</xdr:colOff>
      <xdr:row>0</xdr:row>
      <xdr:rowOff>0</xdr:rowOff>
    </xdr:from>
    <xdr:to>
      <xdr:col>2</xdr:col>
      <xdr:colOff>1059930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32643EE-6EC1-4DE2-B02F-7D6CD125F4F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C0582113-A058-4781-9DA3-12ADB579774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6" name="Imagem 4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B4B08AB-3767-43D9-8B48-C5D814202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7971F645-AC5B-46F4-96C8-B2B594198EA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507673</xdr:colOff>
      <xdr:row>0</xdr:row>
      <xdr:rowOff>0</xdr:rowOff>
    </xdr:from>
    <xdr:to>
      <xdr:col>3</xdr:col>
      <xdr:colOff>2098750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CD6D158E-82AC-4AB0-BAD3-6165572ECF6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B7129C75-572C-4FC0-AAF6-666A48440B94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2C5A4B84-8C69-4193-A6A8-77193543CA3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1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84ABFB1-67ED-4C8E-ACD1-6AFED424F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5</xdr:col>
      <xdr:colOff>1335104</xdr:colOff>
      <xdr:row>0</xdr:row>
      <xdr:rowOff>0</xdr:rowOff>
    </xdr:from>
    <xdr:to>
      <xdr:col>5</xdr:col>
      <xdr:colOff>2926198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6C84C28D-BE19-46F3-9D1C-D36A4B679533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6E264A2D-622D-405D-AB4B-2B0404CA97B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6F939FC7-E9C0-47B6-887A-00D0F4D18ED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5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A1CF63-E16B-469E-A7C2-2DEC11D8F9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1021391</xdr:colOff>
      <xdr:row>0</xdr:row>
      <xdr:rowOff>0</xdr:rowOff>
    </xdr:from>
    <xdr:to>
      <xdr:col>6</xdr:col>
      <xdr:colOff>2633277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92C7C626-223C-4DB1-B770-2AE2001C9B23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29AC35B7-9B5C-4DA0-9B3D-3B350FA657EB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447CE286-43C7-4B1D-A757-03FCC72105DD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3F59D8E-C582-4032-BB75-1879061C8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1928620</xdr:colOff>
      <xdr:row>0</xdr:row>
      <xdr:rowOff>0</xdr:rowOff>
    </xdr:from>
    <xdr:to>
      <xdr:col>8</xdr:col>
      <xdr:colOff>244530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C5E613FF-40D3-4294-BFA1-4F08F1B422D3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9ABD8574-1308-485B-9E7B-7D2A86A3D6B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71AD8599-2041-41AB-80E3-699A7AC869A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AF0002A-6949-4F20-B7B8-0810F8ADF6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2283073</xdr:colOff>
      <xdr:row>0</xdr:row>
      <xdr:rowOff>0</xdr:rowOff>
    </xdr:from>
    <xdr:to>
      <xdr:col>9</xdr:col>
      <xdr:colOff>900934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8CBF806E-0171-498F-9717-9079C9796878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7734B1D4-6D8F-4209-A436-116EBDEEDD0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32AB5D0B-B9B4-4653-91EF-689CA2CB9D61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E932FB6-DD76-4EC5-BA2C-65CAA7EAF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2939478</xdr:colOff>
      <xdr:row>0</xdr:row>
      <xdr:rowOff>0</xdr:rowOff>
    </xdr:from>
    <xdr:to>
      <xdr:col>10</xdr:col>
      <xdr:colOff>1261047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1CC70723-83D5-4C66-B9E1-9559A9B92DCD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4BA1047C-AA77-4059-ADFE-E7E444A90F3A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6C54B1B5-CDE5-484E-B18F-1D7C272DC826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82F2045E-396C-44A1-8C1B-FC955638A4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1280289</xdr:colOff>
      <xdr:row>0</xdr:row>
      <xdr:rowOff>0</xdr:rowOff>
    </xdr:from>
    <xdr:to>
      <xdr:col>11</xdr:col>
      <xdr:colOff>2878458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1442C0FB-BD9C-40D4-9681-B98DBA5D7A1F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3947FA2E-1F00-456C-A37F-3A1E1E75FE5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1A1780F7-7069-4D24-A3F5-C28F8DBCC818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5" name="Imagem 74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A0E9DDE9-65E5-4574-8DA4-8B902214DFB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1098223</xdr:colOff>
      <xdr:row>0</xdr:row>
      <xdr:rowOff>0</xdr:rowOff>
    </xdr:from>
    <xdr:to>
      <xdr:col>4</xdr:col>
      <xdr:colOff>2689300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863D72BA-918C-4F28-A587-3D292F03852B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7" name="Retângulo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B6EF5BB-435D-4599-B61C-269D97B6494F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8" name="Imagem 7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9C6F62A2-DC9C-4BC0-B411-72AAAFAB1B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0F1D893C-9DA7-4FA6-9067-BA48958788F9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2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BD6FAC7-7FB8-4BE1-8CAE-58518C8103D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99F8039-F6E2-4C8B-A314-14668DAE2D2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DDF37B-DFB8-44E8-A818-283542BB6AE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0DB4D05-4465-41BE-B43A-8920A37533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1828800</xdr:colOff>
      <xdr:row>0</xdr:row>
      <xdr:rowOff>0</xdr:rowOff>
    </xdr:from>
    <xdr:to>
      <xdr:col>2</xdr:col>
      <xdr:colOff>697980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BD5BC47F-98EA-4C42-8F42-1DDF371FF67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2353EB09-6CCC-44DC-A5E5-2FF7B2A9F56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6EF3B59-5CB0-4CC9-A7EF-4C0532A74B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70C609D5-753C-4E95-9B91-BC9A4CA977B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2736523</xdr:colOff>
      <xdr:row>0</xdr:row>
      <xdr:rowOff>0</xdr:rowOff>
    </xdr:from>
    <xdr:to>
      <xdr:col>3</xdr:col>
      <xdr:colOff>1546300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7A2F1A15-54CA-4FE0-8F29-71C1A1D66495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5341EF4-9107-4A17-A39E-9A34A729DB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8AF531D6-9AC3-4AB2-AAFD-7B2892F5871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BFAB35-D5B8-47D2-8EC2-6B0D93D6E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</xdr:col>
      <xdr:colOff>287354</xdr:colOff>
      <xdr:row>0</xdr:row>
      <xdr:rowOff>0</xdr:rowOff>
    </xdr:from>
    <xdr:to>
      <xdr:col>8</xdr:col>
      <xdr:colOff>202048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A8CE631-3B62-469D-B35E-6B6035CC87BF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CE801AD3-1DD8-47DC-A52D-9CCF9F36CCD2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1BD51541-CF21-4268-AD86-90C315BF84F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57FBA0C-7145-445E-ACA0-2A083B4B46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411791</xdr:colOff>
      <xdr:row>0</xdr:row>
      <xdr:rowOff>0</xdr:rowOff>
    </xdr:from>
    <xdr:to>
      <xdr:col>13</xdr:col>
      <xdr:colOff>232977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B0D92A3-88D8-4D4D-B95F-3D066BF47B37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C9A728FC-0F42-4E7C-85E2-1118B7F1AC1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A01AA667-7AF7-4243-B769-9864EB520335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F96EF19-FFAF-4FBC-A595-844C8B150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2271520</xdr:colOff>
      <xdr:row>0</xdr:row>
      <xdr:rowOff>0</xdr:rowOff>
    </xdr:from>
    <xdr:to>
      <xdr:col>14</xdr:col>
      <xdr:colOff>358830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77F787E7-A435-4782-B28D-30358070D5DC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42EC5695-D486-44F1-A5B5-345A2A304FE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CC6DA98-FE9E-418E-928A-CCA67E211BC0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F01CC09-528D-42E5-88F8-F6F9327485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568573</xdr:colOff>
      <xdr:row>0</xdr:row>
      <xdr:rowOff>0</xdr:rowOff>
    </xdr:from>
    <xdr:to>
      <xdr:col>20</xdr:col>
      <xdr:colOff>329434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3E0FD0E7-87C7-459E-BB13-2DAE188470F4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237CEE1F-B831-48F0-B4D9-57B0B3623179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1061C1E7-E34E-4FC5-A683-DB20751844D8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919CAA3-F64C-415E-B64F-D6B0892C7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539178</xdr:colOff>
      <xdr:row>0</xdr:row>
      <xdr:rowOff>0</xdr:rowOff>
    </xdr:from>
    <xdr:to>
      <xdr:col>26</xdr:col>
      <xdr:colOff>308547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804BB569-3AEC-4EB1-95BA-8B94F3C3778E}"/>
            </a:ext>
          </a:extLst>
        </xdr:cNvPr>
        <xdr:cNvGrpSpPr/>
      </xdr:nvGrpSpPr>
      <xdr:grpSpPr>
        <a:xfrm>
          <a:off x="27742578" y="0"/>
          <a:ext cx="1598169" cy="1162050"/>
          <a:chOff x="2774257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4E9ADC2-A00B-451B-AD49-29AE150BCF39}"/>
              </a:ext>
            </a:extLst>
          </xdr:cNvPr>
          <xdr:cNvSpPr/>
        </xdr:nvSpPr>
        <xdr:spPr>
          <a:xfrm>
            <a:off x="2779207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F8FA8740-716C-4908-9AEA-8205811EF0CC}"/>
              </a:ext>
            </a:extLst>
          </xdr:cNvPr>
          <xdr:cNvSpPr txBox="1"/>
        </xdr:nvSpPr>
        <xdr:spPr>
          <a:xfrm rot="10800000" flipH="1" flipV="1">
            <a:off x="2774257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85C59517-15CF-49DC-9751-654E5FDC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3491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518289</xdr:colOff>
      <xdr:row>0</xdr:row>
      <xdr:rowOff>0</xdr:rowOff>
    </xdr:from>
    <xdr:to>
      <xdr:col>32</xdr:col>
      <xdr:colOff>287658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6E088C5-CC49-4668-8AE7-8D75DB2CFC35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1C81C68C-5D61-4638-936C-20461B807C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15159F75-1D26-49FD-884B-3655F23EA7B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2C783A86-C218-4166-AA74-6F9B216E4F1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1536373</xdr:colOff>
      <xdr:row>0</xdr:row>
      <xdr:rowOff>0</xdr:rowOff>
    </xdr:from>
    <xdr:to>
      <xdr:col>5</xdr:col>
      <xdr:colOff>1336750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D3C55CBF-8A2C-464D-AC7D-AF1B26E31744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F049D3E9-8F3E-466D-9BA4-45463BF2D53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051A4C33-6676-4E0C-9D45-1F47BCD5FF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8FD1338F-A333-4D18-8AD5-B4AD8BF41FD6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6</xdr:col>
      <xdr:colOff>1257300</xdr:colOff>
      <xdr:row>16</xdr:row>
      <xdr:rowOff>133350</xdr:rowOff>
    </xdr:from>
    <xdr:to>
      <xdr:col>14</xdr:col>
      <xdr:colOff>781050</xdr:colOff>
      <xdr:row>54</xdr:row>
      <xdr:rowOff>332272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57150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364283</xdr:colOff>
      <xdr:row>8</xdr:row>
      <xdr:rowOff>152400</xdr:rowOff>
    </xdr:from>
    <xdr:to>
      <xdr:col>13</xdr:col>
      <xdr:colOff>1983533</xdr:colOff>
      <xdr:row>15</xdr:row>
      <xdr:rowOff>228600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E306E1E2-5C11-409C-87FD-9DE22D9EBBFA}"/>
            </a:ext>
          </a:extLst>
        </xdr:cNvPr>
        <xdr:cNvSpPr txBox="1"/>
      </xdr:nvSpPr>
      <xdr:spPr>
        <a:xfrm>
          <a:off x="12194333" y="28384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COMPRAS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1390650</xdr:colOff>
      <xdr:row>25</xdr:row>
      <xdr:rowOff>166913</xdr:rowOff>
    </xdr:from>
    <xdr:to>
      <xdr:col>4</xdr:col>
      <xdr:colOff>4862414</xdr:colOff>
      <xdr:row>35</xdr:row>
      <xdr:rowOff>131171</xdr:rowOff>
    </xdr:to>
    <xdr:pic>
      <xdr:nvPicPr>
        <xdr:cNvPr id="48" name="Imagem 17">
          <a:extLst>
            <a:ext uri="{FF2B5EF4-FFF2-40B4-BE49-F238E27FC236}">
              <a16:creationId xmlns:a16="http://schemas.microsoft.com/office/drawing/2014/main" id="{EFD6EF70-06A1-4F62-9FF2-FE300449B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29050" y="9006113"/>
          <a:ext cx="3471764" cy="3583758"/>
        </a:xfrm>
        <a:prstGeom prst="rect">
          <a:avLst/>
        </a:prstGeom>
        <a:noFill/>
      </xdr:spPr>
    </xdr:pic>
    <xdr:clientData/>
  </xdr:twoCellAnchor>
  <xdr:twoCellAnchor>
    <xdr:from>
      <xdr:col>15</xdr:col>
      <xdr:colOff>2038350</xdr:colOff>
      <xdr:row>25</xdr:row>
      <xdr:rowOff>166913</xdr:rowOff>
    </xdr:from>
    <xdr:to>
      <xdr:col>16</xdr:col>
      <xdr:colOff>480914</xdr:colOff>
      <xdr:row>35</xdr:row>
      <xdr:rowOff>131171</xdr:rowOff>
    </xdr:to>
    <xdr:pic>
      <xdr:nvPicPr>
        <xdr:cNvPr id="49" name="Imagem 17">
          <a:extLst>
            <a:ext uri="{FF2B5EF4-FFF2-40B4-BE49-F238E27FC236}">
              <a16:creationId xmlns:a16="http://schemas.microsoft.com/office/drawing/2014/main" id="{9D64A85B-6C72-4FE6-826F-7BC1886C1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975050" y="9006113"/>
          <a:ext cx="3471764" cy="3583758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6933BC8-9D86-4A01-B9FF-EEB70722783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DB984EF2-904C-4DB4-B8F5-6232F212C16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Imagem 5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A04148C-D5AE-4E2F-B060-F281278DB8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01F3A05-C101-4773-92DA-18CF7AED6C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4B6882F8-5963-4CDF-9FFD-F2ADF6355A29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B8428429-AB1F-4F5B-9C27-9B6CAF6CBD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D669853E-8576-49C4-85B8-A76E2AE234E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9FCBB57-4369-4B42-8C15-60795AD728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1392254</xdr:colOff>
      <xdr:row>0</xdr:row>
      <xdr:rowOff>0</xdr:rowOff>
    </xdr:from>
    <xdr:to>
      <xdr:col>9</xdr:col>
      <xdr:colOff>1421248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61311DF6-EAA2-45D6-BDC1-93A24F41EB46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486286AE-BE8F-4901-9283-27BCDC96690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FC6168A2-1557-4D08-A99C-1C64664A550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9B95A82C-054E-446A-B7CE-4E31BD260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1554791</xdr:colOff>
      <xdr:row>0</xdr:row>
      <xdr:rowOff>0</xdr:rowOff>
    </xdr:from>
    <xdr:to>
      <xdr:col>11</xdr:col>
      <xdr:colOff>1147377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F2D67ABE-7FCA-4502-9115-572CE4C8DB18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5C82A69-7AFB-4FA2-A995-F49064583A96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7A434A2C-1B0B-4578-B6E1-5F6665731C5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CDD533F-C42C-41AE-B6BD-032783828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176020</xdr:colOff>
      <xdr:row>0</xdr:row>
      <xdr:rowOff>0</xdr:rowOff>
    </xdr:from>
    <xdr:to>
      <xdr:col>13</xdr:col>
      <xdr:colOff>454080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D5EB8CF1-7C39-463A-BBE4-77AF7B70D575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3D1F6ABA-38B1-4B19-BD77-8FAFE4BCE36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A2C9C57D-8879-45E0-AB91-6445FDB2DDC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C2CF1C-68EF-46EA-85E1-43A00E998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2492623</xdr:colOff>
      <xdr:row>0</xdr:row>
      <xdr:rowOff>0</xdr:rowOff>
    </xdr:from>
    <xdr:to>
      <xdr:col>14</xdr:col>
      <xdr:colOff>805684</xdr:colOff>
      <xdr:row>3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CB0FB63-FC64-4223-A28D-8AB5320C1981}"/>
            </a:ext>
          </a:extLst>
        </xdr:cNvPr>
        <xdr:cNvGrpSpPr/>
      </xdr:nvGrpSpPr>
      <xdr:grpSpPr>
        <a:xfrm>
          <a:off x="24133423" y="0"/>
          <a:ext cx="1589661" cy="1162050"/>
          <a:chOff x="24133423" y="0"/>
          <a:chExt cx="1589661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97B1F924-B192-436B-A1A4-6D6786F96D59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87CC6424-783A-448A-93A9-42D7ABDFD83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63E88D2B-A65F-4E82-840D-68F061FBEB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824928</xdr:colOff>
      <xdr:row>0</xdr:row>
      <xdr:rowOff>0</xdr:rowOff>
    </xdr:from>
    <xdr:to>
      <xdr:col>15</xdr:col>
      <xdr:colOff>2423097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5A52DF20-5372-482D-84A9-C2B509F31F6E}"/>
            </a:ext>
          </a:extLst>
        </xdr:cNvPr>
        <xdr:cNvGrpSpPr/>
      </xdr:nvGrpSpPr>
      <xdr:grpSpPr>
        <a:xfrm>
          <a:off x="27761628" y="0"/>
          <a:ext cx="1598169" cy="1162050"/>
          <a:chOff x="27761628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FD301723-683F-4E97-90B0-FEE7A73A791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70A8CAF6-CB80-42D2-AE6B-F2982DFCC9AD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7" name="Imagem 1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E65B5E1D-81FA-41AC-B126-29CBADE64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4461639</xdr:colOff>
      <xdr:row>0</xdr:row>
      <xdr:rowOff>0</xdr:rowOff>
    </xdr:from>
    <xdr:to>
      <xdr:col>16</xdr:col>
      <xdr:colOff>1030608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BF99E555-87BB-42A9-B2B6-8974765609BA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8E37DED5-ADE2-4825-9C7E-0D3CE8DB139C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18928EB7-F335-46FC-A5D5-2193AB484ABA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1" name="Imagem 80" descr="Ícone do banco de dados (símbolo png) pret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DEE2FAEE-B186-4D4C-9887-9BBB959AA0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078424CF-1BFF-48BE-9653-F94DE6B2424D}"/>
            </a:ext>
          </a:extLst>
        </xdr:cNvPr>
        <xdr:cNvGrpSpPr/>
      </xdr:nvGrpSpPr>
      <xdr:grpSpPr>
        <a:xfrm>
          <a:off x="9594523" y="0"/>
          <a:ext cx="1591077" cy="1162050"/>
          <a:chOff x="9575473" y="0"/>
          <a:chExt cx="1591077" cy="1162050"/>
        </a:xfrm>
      </xdr:grpSpPr>
      <xdr:sp macro="" textlink="">
        <xdr:nvSpPr>
          <xdr:cNvPr id="83" name="Retângulo 82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5719A7C-10F6-4A81-94A7-34803B29FA0E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4" name="Imagem 83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E3AC590A-B8BE-4F31-B9F3-E0B737E09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88EAF25-2574-4355-8B97-7676B5AA4FF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0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F1B4F91E-8E4F-4482-A2BB-D0718FACCEA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1A747821-6430-42DC-BDCC-29CD490FD18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5" name="Imagem 8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0318A-8677-4BE4-B43B-7B235BA6D2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7EFFBFB9-5773-4DAA-B922-032782324A2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3517573</xdr:colOff>
      <xdr:row>0</xdr:row>
      <xdr:rowOff>0</xdr:rowOff>
    </xdr:from>
    <xdr:to>
      <xdr:col>5</xdr:col>
      <xdr:colOff>155650</xdr:colOff>
      <xdr:row>3</xdr:row>
      <xdr:rowOff>0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941A06ED-8FBA-4F3F-97C3-751379C2A64B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44A73598-8C22-48BE-B3B5-F9D68FCDAA2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E38FC97A-7EF0-4833-B60C-71114F3E3C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88C440-3EC6-475B-AA21-3BF72D01F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1392254</xdr:colOff>
      <xdr:row>0</xdr:row>
      <xdr:rowOff>0</xdr:rowOff>
    </xdr:from>
    <xdr:to>
      <xdr:col>9</xdr:col>
      <xdr:colOff>1421248</xdr:colOff>
      <xdr:row>3</xdr:row>
      <xdr:rowOff>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DC41A7EF-F1CB-49D2-BBA1-562AC871261A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863C16E2-2BAA-4261-A689-CF1F0761E2DA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558601F5-990B-4EEB-B984-124658A89E4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9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070BBC3-E494-4D3D-AA95-332B49997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1554791</xdr:colOff>
      <xdr:row>0</xdr:row>
      <xdr:rowOff>0</xdr:rowOff>
    </xdr:from>
    <xdr:to>
      <xdr:col>11</xdr:col>
      <xdr:colOff>1147377</xdr:colOff>
      <xdr:row>3</xdr:row>
      <xdr:rowOff>0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46599920-1B2B-4B71-A62C-88E9A6C72CEE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96" name="Retângulo 95">
            <a:extLst>
              <a:ext uri="{FF2B5EF4-FFF2-40B4-BE49-F238E27FC236}">
                <a16:creationId xmlns:a16="http://schemas.microsoft.com/office/drawing/2014/main" id="{74A064F9-B87B-4FE1-9A51-193030F4D3DF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129FDB46-1A52-4DFE-AFCC-77A97FADB73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9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2A53070-6FAF-4638-A5E4-1885E026D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195070</xdr:colOff>
      <xdr:row>0</xdr:row>
      <xdr:rowOff>0</xdr:rowOff>
    </xdr:from>
    <xdr:to>
      <xdr:col>13</xdr:col>
      <xdr:colOff>454080</xdr:colOff>
      <xdr:row>3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D45D2DBE-B44D-4493-AB08-D221FEB92D61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100" name="Retângulo 99">
            <a:extLst>
              <a:ext uri="{FF2B5EF4-FFF2-40B4-BE49-F238E27FC236}">
                <a16:creationId xmlns:a16="http://schemas.microsoft.com/office/drawing/2014/main" id="{29C801B5-1B42-4BA7-9D14-5FC33B9A32D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BFFE37B2-0DC3-45B6-AEB6-D06596BFA6A1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0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D8FE6CA-CCBC-49E2-A7BC-7B687F3FC6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2492623</xdr:colOff>
      <xdr:row>0</xdr:row>
      <xdr:rowOff>0</xdr:rowOff>
    </xdr:from>
    <xdr:to>
      <xdr:col>14</xdr:col>
      <xdr:colOff>805684</xdr:colOff>
      <xdr:row>3</xdr:row>
      <xdr:rowOff>0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9DB57863-1669-479B-AC51-F24C4E1DCF16}"/>
            </a:ext>
          </a:extLst>
        </xdr:cNvPr>
        <xdr:cNvGrpSpPr/>
      </xdr:nvGrpSpPr>
      <xdr:grpSpPr>
        <a:xfrm>
          <a:off x="24133423" y="0"/>
          <a:ext cx="1589661" cy="1162050"/>
          <a:chOff x="24133423" y="0"/>
          <a:chExt cx="1589661" cy="1162050"/>
        </a:xfrm>
      </xdr:grpSpPr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38B15255-0540-4A6C-8E5B-4F66BCEF057E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F83017EB-06ED-47F9-A466-3CC281C19F0E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0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7A135623-9740-4741-9935-A33EF273F0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824928</xdr:colOff>
      <xdr:row>0</xdr:row>
      <xdr:rowOff>0</xdr:rowOff>
    </xdr:from>
    <xdr:to>
      <xdr:col>15</xdr:col>
      <xdr:colOff>2423097</xdr:colOff>
      <xdr:row>3</xdr:row>
      <xdr:rowOff>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39E78B5B-912C-40F6-BAF6-674117081BE4}"/>
            </a:ext>
          </a:extLst>
        </xdr:cNvPr>
        <xdr:cNvGrpSpPr/>
      </xdr:nvGrpSpPr>
      <xdr:grpSpPr>
        <a:xfrm>
          <a:off x="27761628" y="0"/>
          <a:ext cx="1598169" cy="1162050"/>
          <a:chOff x="27761628" y="0"/>
          <a:chExt cx="1598169" cy="1162050"/>
        </a:xfrm>
      </xdr:grpSpPr>
      <xdr:sp macro="" textlink="">
        <xdr:nvSpPr>
          <xdr:cNvPr id="108" name="Retângulo 107">
            <a:extLst>
              <a:ext uri="{FF2B5EF4-FFF2-40B4-BE49-F238E27FC236}">
                <a16:creationId xmlns:a16="http://schemas.microsoft.com/office/drawing/2014/main" id="{2480A4F1-0CB6-46B1-A152-54E1A70244B4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B3D231BD-A933-4165-BD2D-EB71EA3DB4C9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1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62C4129C-A3A4-45D9-A848-4D0569C7A5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4461639</xdr:colOff>
      <xdr:row>0</xdr:row>
      <xdr:rowOff>0</xdr:rowOff>
    </xdr:from>
    <xdr:to>
      <xdr:col>16</xdr:col>
      <xdr:colOff>1030608</xdr:colOff>
      <xdr:row>3</xdr:row>
      <xdr:rowOff>0</xdr:rowOff>
    </xdr:to>
    <xdr:grpSp>
      <xdr:nvGrpSpPr>
        <xdr:cNvPr id="111" name="Agrupar 110">
          <a:extLst>
            <a:ext uri="{FF2B5EF4-FFF2-40B4-BE49-F238E27FC236}">
              <a16:creationId xmlns:a16="http://schemas.microsoft.com/office/drawing/2014/main" id="{A01EFFD2-8702-4D3A-A64F-566AC0FA8DBF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112" name="Retângulo 111">
            <a:extLst>
              <a:ext uri="{FF2B5EF4-FFF2-40B4-BE49-F238E27FC236}">
                <a16:creationId xmlns:a16="http://schemas.microsoft.com/office/drawing/2014/main" id="{3E27EF0A-EC53-47BB-B4DC-11AA1D62DBD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CaixaDeTexto 112">
            <a:extLst>
              <a:ext uri="{FF2B5EF4-FFF2-40B4-BE49-F238E27FC236}">
                <a16:creationId xmlns:a16="http://schemas.microsoft.com/office/drawing/2014/main" id="{175A4A4B-1CCD-4608-BD01-3133EDF2BD90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14" name="Imagem 11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B2D056A-AF9E-400F-90E4-35380AFA9C7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602923</xdr:colOff>
      <xdr:row>0</xdr:row>
      <xdr:rowOff>0</xdr:rowOff>
    </xdr:from>
    <xdr:to>
      <xdr:col>7</xdr:col>
      <xdr:colOff>403300</xdr:colOff>
      <xdr:row>3</xdr:row>
      <xdr:rowOff>0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668E46B4-5714-4CA7-A5B1-FE1B3B7583AB}"/>
            </a:ext>
          </a:extLst>
        </xdr:cNvPr>
        <xdr:cNvGrpSpPr/>
      </xdr:nvGrpSpPr>
      <xdr:grpSpPr>
        <a:xfrm>
          <a:off x="9594523" y="0"/>
          <a:ext cx="1591077" cy="1162050"/>
          <a:chOff x="9575473" y="0"/>
          <a:chExt cx="1591077" cy="1162050"/>
        </a:xfrm>
      </xdr:grpSpPr>
      <xdr:sp macro="" textlink="">
        <xdr:nvSpPr>
          <xdr:cNvPr id="116" name="Retângulo 11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4F7805BB-93C1-44EC-B8CC-BD11D4B1FEF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7" name="Imagem 11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069930F-C6B4-450B-A668-3BE17DE1F6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18" name="CaixaDeTexto 117">
            <a:extLst>
              <a:ext uri="{FF2B5EF4-FFF2-40B4-BE49-F238E27FC236}">
                <a16:creationId xmlns:a16="http://schemas.microsoft.com/office/drawing/2014/main" id="{040C0BAA-B09E-493D-AC67-2CF17749FFE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0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0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0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0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0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0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3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3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3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3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3</xdr:col>
      <xdr:colOff>590550</xdr:colOff>
      <xdr:row>0</xdr:row>
      <xdr:rowOff>0</xdr:rowOff>
    </xdr:from>
    <xdr:to>
      <xdr:col>4</xdr:col>
      <xdr:colOff>1440930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66C77643-2499-4597-A7BB-AB870496D4F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9350" y="0"/>
          <a:ext cx="1459980" cy="1162050"/>
          <a:chOff x="1993654" y="0"/>
          <a:chExt cx="1022595" cy="781538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DF4AA351-2B37-484D-90FC-C90C02B5848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8" name="Imagem 5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FAD42D1-E3B8-42D8-AA32-7188DE9A1C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10F51493-FBC8-4FB9-81E2-58796DCA579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3479473</xdr:colOff>
      <xdr:row>0</xdr:row>
      <xdr:rowOff>0</xdr:rowOff>
    </xdr:from>
    <xdr:to>
      <xdr:col>5</xdr:col>
      <xdr:colOff>117550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6B447141-EE25-4C58-AAFA-F5CA16CC893B}"/>
            </a:ext>
          </a:extLst>
        </xdr:cNvPr>
        <xdr:cNvGrpSpPr/>
      </xdr:nvGrpSpPr>
      <xdr:grpSpPr>
        <a:xfrm>
          <a:off x="5917873" y="0"/>
          <a:ext cx="1591077" cy="1162050"/>
          <a:chOff x="5936923" y="0"/>
          <a:chExt cx="1591077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89ECD97F-B1FD-43F7-B271-5930C48FABA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102AFA5-C444-470C-B7D8-89E6B457C09B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63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450A251-EC68-4F74-9470-670606445A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2401904</xdr:colOff>
      <xdr:row>0</xdr:row>
      <xdr:rowOff>0</xdr:rowOff>
    </xdr:from>
    <xdr:to>
      <xdr:col>8</xdr:col>
      <xdr:colOff>525898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F7E5A88C-D6A0-4241-9B34-62454CC4273E}"/>
            </a:ext>
          </a:extLst>
        </xdr:cNvPr>
        <xdr:cNvGrpSpPr/>
      </xdr:nvGrpSpPr>
      <xdr:grpSpPr>
        <a:xfrm>
          <a:off x="13184204" y="0"/>
          <a:ext cx="1591094" cy="1162050"/>
          <a:chOff x="13203254" y="0"/>
          <a:chExt cx="1591094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2CF452C2-89D8-4BD4-9F36-D93F2305ADD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37254781-B8D6-4445-BB0D-9C2B9A537BFC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67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0EB894F-8F68-4521-A20A-D5BEC293B5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2564441</xdr:colOff>
      <xdr:row>0</xdr:row>
      <xdr:rowOff>0</xdr:rowOff>
    </xdr:from>
    <xdr:to>
      <xdr:col>9</xdr:col>
      <xdr:colOff>1528377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9774F342-EA81-4C5E-9908-9CF3D07B4960}"/>
            </a:ext>
          </a:extLst>
        </xdr:cNvPr>
        <xdr:cNvGrpSpPr/>
      </xdr:nvGrpSpPr>
      <xdr:grpSpPr>
        <a:xfrm>
          <a:off x="16813841" y="0"/>
          <a:ext cx="1611886" cy="1162050"/>
          <a:chOff x="16832891" y="0"/>
          <a:chExt cx="1611886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3191E853-F204-4035-8CEF-E6C170958F38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1AF2EF15-ACE8-463F-BD1D-1C175BAC7BF1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71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ECE0532-AF34-446C-883F-DA62485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3566920</xdr:colOff>
      <xdr:row>0</xdr:row>
      <xdr:rowOff>0</xdr:rowOff>
    </xdr:from>
    <xdr:to>
      <xdr:col>10</xdr:col>
      <xdr:colOff>320730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91312367-9B96-4FB2-A825-38AE3A15196B}"/>
            </a:ext>
          </a:extLst>
        </xdr:cNvPr>
        <xdr:cNvGrpSpPr/>
      </xdr:nvGrpSpPr>
      <xdr:grpSpPr>
        <a:xfrm>
          <a:off x="20464270" y="0"/>
          <a:ext cx="1592510" cy="1162050"/>
          <a:chOff x="20483320" y="0"/>
          <a:chExt cx="1592510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C14071D3-18AA-4F07-B893-0EAB28637A5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6107D0AD-4312-4123-A45A-168EB206620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D3F595D0-F0C3-4E79-BC7F-396F6612B4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397123</xdr:colOff>
      <xdr:row>0</xdr:row>
      <xdr:rowOff>0</xdr:rowOff>
    </xdr:from>
    <xdr:to>
      <xdr:col>11</xdr:col>
      <xdr:colOff>1986784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FAC5296-1A88-46FE-8849-2ABC48787D09}"/>
            </a:ext>
          </a:extLst>
        </xdr:cNvPr>
        <xdr:cNvGrpSpPr/>
      </xdr:nvGrpSpPr>
      <xdr:grpSpPr>
        <a:xfrm>
          <a:off x="24095323" y="0"/>
          <a:ext cx="1589661" cy="1162050"/>
          <a:chOff x="24133423" y="0"/>
          <a:chExt cx="1589661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0D003692-0C4D-4ED3-8F65-301A02BA7EB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C12E9963-EEAC-45BC-B4B9-64ED07DA6BA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9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5C1EFA7-2704-4540-B9F8-B76BD805A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4025328</xdr:colOff>
      <xdr:row>0</xdr:row>
      <xdr:rowOff>0</xdr:rowOff>
    </xdr:from>
    <xdr:to>
      <xdr:col>12</xdr:col>
      <xdr:colOff>1280097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075A29F9-8E11-4485-997C-1EAE76B46ADC}"/>
            </a:ext>
          </a:extLst>
        </xdr:cNvPr>
        <xdr:cNvGrpSpPr/>
      </xdr:nvGrpSpPr>
      <xdr:grpSpPr>
        <a:xfrm>
          <a:off x="27723528" y="0"/>
          <a:ext cx="1598169" cy="1162050"/>
          <a:chOff x="27761628" y="0"/>
          <a:chExt cx="1598169" cy="1162050"/>
        </a:xfrm>
      </xdr:grpSpPr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0DC08612-A0F2-4C3D-805F-59F85012B405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629F9ABF-7D95-449D-83D7-AD6A80D01902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83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EA4F1C73-AC9A-4A07-A7B4-7EB26461FF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956439</xdr:colOff>
      <xdr:row>0</xdr:row>
      <xdr:rowOff>0</xdr:rowOff>
    </xdr:from>
    <xdr:to>
      <xdr:col>14</xdr:col>
      <xdr:colOff>592458</xdr:colOff>
      <xdr:row>3</xdr:row>
      <xdr:rowOff>0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B7B7AD48-15DB-4C81-95DA-63EEF34441DE}"/>
            </a:ext>
          </a:extLst>
        </xdr:cNvPr>
        <xdr:cNvGrpSpPr/>
      </xdr:nvGrpSpPr>
      <xdr:grpSpPr>
        <a:xfrm>
          <a:off x="31360239" y="0"/>
          <a:ext cx="1598169" cy="1162050"/>
          <a:chOff x="31379289" y="0"/>
          <a:chExt cx="1598169" cy="1162050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A11C4AAE-DD62-4B53-885C-B7E464BA9949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9DC11386-E651-4A8A-9ED9-617B1F869D1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87" name="Imagem 86" descr="Ícone do banco de dados (símbolo png) pret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D08F627-4DAE-4E21-ABAE-006067832D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564823</xdr:colOff>
      <xdr:row>0</xdr:row>
      <xdr:rowOff>0</xdr:rowOff>
    </xdr:from>
    <xdr:to>
      <xdr:col>7</xdr:col>
      <xdr:colOff>365200</xdr:colOff>
      <xdr:row>3</xdr:row>
      <xdr:rowOff>0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F5D173C3-A207-4CBF-A2F6-ABD1FA903B3F}"/>
            </a:ext>
          </a:extLst>
        </xdr:cNvPr>
        <xdr:cNvGrpSpPr/>
      </xdr:nvGrpSpPr>
      <xdr:grpSpPr>
        <a:xfrm>
          <a:off x="9556423" y="0"/>
          <a:ext cx="1591077" cy="1162050"/>
          <a:chOff x="9575473" y="0"/>
          <a:chExt cx="1591077" cy="1162050"/>
        </a:xfrm>
      </xdr:grpSpPr>
      <xdr:sp macro="" textlink="">
        <xdr:nvSpPr>
          <xdr:cNvPr id="89" name="Retângulo 88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71383DB4-EBD0-4B8F-A162-C824F5FC48F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0" name="Imagem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B3444FB3-98A4-46A6-9721-B7E8C79A8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CE3AB56A-C6E2-4E01-B6B1-E62BE7BCDE2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0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4E273BFA-6ED3-47CD-BB73-C1A786C65AA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7C873CC-1040-42F0-ABD0-DC4E71E8254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0" name="Imagem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1870F6-5C19-4107-BC77-DC1ECDB300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32AE5CF8-DFB8-4880-8E0A-1DD1481F8E4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E9004E00-9985-495D-8F8C-C90553BE51C5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FC3F30E2-5C01-448E-A0C2-E5551C9AA0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1FC94DD-5B1F-4494-8B1E-2C809EC4DF0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5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FF92326-8D5E-47EA-9924-484D840E3B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7E1178F-1ACD-4699-9174-BBC9A0DE1B25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5B7B9DC8-99C6-4209-ACA2-16A28AC43CE8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495C455C-E751-4E77-8E89-957E47C0BAC3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9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F90E64C-3D06-4ECF-9D09-BA918B994C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1535741</xdr:colOff>
      <xdr:row>0</xdr:row>
      <xdr:rowOff>0</xdr:rowOff>
    </xdr:from>
    <xdr:to>
      <xdr:col>11</xdr:col>
      <xdr:colOff>1128327</xdr:colOff>
      <xdr:row>3</xdr:row>
      <xdr:rowOff>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52EC198E-530C-46FA-92C4-49C2042E2A8D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777AD8EF-71BF-4C0D-8782-9B5055AEE008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67B6EDFC-988C-4520-B288-01609CEA71D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3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7A5980DE-3672-4C35-A14A-40E7AF474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385570</xdr:colOff>
      <xdr:row>0</xdr:row>
      <xdr:rowOff>0</xdr:rowOff>
    </xdr:from>
    <xdr:to>
      <xdr:col>13</xdr:col>
      <xdr:colOff>644580</xdr:colOff>
      <xdr:row>3</xdr:row>
      <xdr:rowOff>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5A7FB078-7FAF-4ECD-81E6-DFDF722FD5DE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F2DC77FF-B5B8-45C1-A4EC-83B0673FB30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8553AC05-CDBA-4794-8F24-427CEBC2B12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7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1F0718-3207-4D50-9B35-9CE56692F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2683123</xdr:colOff>
      <xdr:row>0</xdr:row>
      <xdr:rowOff>0</xdr:rowOff>
    </xdr:from>
    <xdr:to>
      <xdr:col>14</xdr:col>
      <xdr:colOff>996184</xdr:colOff>
      <xdr:row>3</xdr:row>
      <xdr:rowOff>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4E15A8E4-8467-4152-96F5-85EE84B4D0C1}"/>
            </a:ext>
          </a:extLst>
        </xdr:cNvPr>
        <xdr:cNvGrpSpPr/>
      </xdr:nvGrpSpPr>
      <xdr:grpSpPr>
        <a:xfrm>
          <a:off x="24114373" y="0"/>
          <a:ext cx="1589661" cy="1162050"/>
          <a:chOff x="24133423" y="0"/>
          <a:chExt cx="1589661" cy="1162050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B58A76BE-203D-404A-8C5A-BDACB9CEFEF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2BFAB41B-20AE-4BFB-BF0F-7BE6D856BD0E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1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C9604206-0357-4F80-A636-C812FCCA3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1015428</xdr:colOff>
      <xdr:row>0</xdr:row>
      <xdr:rowOff>0</xdr:rowOff>
    </xdr:from>
    <xdr:to>
      <xdr:col>15</xdr:col>
      <xdr:colOff>2613597</xdr:colOff>
      <xdr:row>3</xdr:row>
      <xdr:rowOff>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2928CF46-58F7-48FA-9E5B-9A6AC8DFB1D5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13063BA2-DB07-46B1-B9E0-D02A7229E395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7B897552-A252-4BCB-91F9-36B1415B6C1F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5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74DA7A8C-3A22-4861-975C-9CB2BBE815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4652139</xdr:colOff>
      <xdr:row>0</xdr:row>
      <xdr:rowOff>0</xdr:rowOff>
    </xdr:from>
    <xdr:to>
      <xdr:col>17</xdr:col>
      <xdr:colOff>154308</xdr:colOff>
      <xdr:row>3</xdr:row>
      <xdr:rowOff>0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8932F44-6542-4F4E-81C0-B84094732EF2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C0AAADF7-3F3A-484C-8B5F-545F0B5841F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EE875A6B-5683-4679-A195-5404F0E8BEF0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9" name="Imagem 78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C1B79CF6-C295-4799-A016-D5F6B6241A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B0020F5B-2EE6-4EE0-87D9-5B418F9E21C4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1" name="Retângulo 80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36AF79B4-E656-4FB9-B198-9AAC7FF2AE8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2" name="Imagem 81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C61876F3-C9B8-41D9-AF3A-897AAC991A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5444AEF2-3C9F-4626-887A-EC329252A6B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693D5FDB-22B5-4D57-9C94-FF2FFCE0994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92198002-9D9B-44A3-942C-7725B33A7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7AA0F6D-7149-4E92-A72B-7398F44A8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A8390FDC-0301-47EF-A674-D0184E53F9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983CEA69-DB33-4F52-9421-545E24BC784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BBE9C94-25B4-432D-AE20-6BEC4C22994B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E3616A70-38FB-4FA9-B8A9-2C636697B34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8B15BCA-C763-4C65-ADD6-B8BDC1C1E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EFB3FDF-9DB8-4ED4-B3F1-F6ADD4B80C1A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4EB9594A-7C29-4C2E-96A7-56EFF200BCCE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A6A8B82F-019C-41F2-B14A-7FDE20C52422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80CD006-478D-4B29-AF23-DE5574E80F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1535741</xdr:colOff>
      <xdr:row>0</xdr:row>
      <xdr:rowOff>0</xdr:rowOff>
    </xdr:from>
    <xdr:to>
      <xdr:col>11</xdr:col>
      <xdr:colOff>1128327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97928BD2-9AE2-4DFE-9BE3-150C0BA225CE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805FAB49-4C53-436D-BBCD-1B69C4CF9EE6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3DA0E77A-F600-4839-B272-E2E0E4AD5B92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86B11A4-4C43-447C-84EA-3C717C7564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385570</xdr:colOff>
      <xdr:row>0</xdr:row>
      <xdr:rowOff>0</xdr:rowOff>
    </xdr:from>
    <xdr:to>
      <xdr:col>13</xdr:col>
      <xdr:colOff>644580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DC803BC2-7047-4212-B98E-C7C48192D12A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5A5C2FA4-693E-4FF2-8CED-2A292DE9C5F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C46C3240-79E2-4B2D-A491-FD42362E5FAB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366D194-B9EF-4BC5-AFCC-41CC44D86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2683123</xdr:colOff>
      <xdr:row>0</xdr:row>
      <xdr:rowOff>0</xdr:rowOff>
    </xdr:from>
    <xdr:to>
      <xdr:col>14</xdr:col>
      <xdr:colOff>996184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D41502F9-5528-44BD-8D47-F486D852523D}"/>
            </a:ext>
          </a:extLst>
        </xdr:cNvPr>
        <xdr:cNvGrpSpPr/>
      </xdr:nvGrpSpPr>
      <xdr:grpSpPr>
        <a:xfrm>
          <a:off x="24114373" y="0"/>
          <a:ext cx="1589661" cy="1162050"/>
          <a:chOff x="2413342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7A86975A-AFC4-447D-A307-7AF86831E8D0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EFB152A4-D572-42B6-B8E6-5D8DC8266F88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D16943B-48C1-4878-A995-76926E548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1015428</xdr:colOff>
      <xdr:row>0</xdr:row>
      <xdr:rowOff>0</xdr:rowOff>
    </xdr:from>
    <xdr:to>
      <xdr:col>15</xdr:col>
      <xdr:colOff>2613597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3E35257-139D-43F7-9D41-205149887384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D351DBCE-8C90-45E3-B615-1562A16BF01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86C0F83D-5ED6-44C7-ABAA-AE11C28E82A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629AC75-CF6E-4925-B0A7-F1716B585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4652139</xdr:colOff>
      <xdr:row>0</xdr:row>
      <xdr:rowOff>0</xdr:rowOff>
    </xdr:from>
    <xdr:to>
      <xdr:col>17</xdr:col>
      <xdr:colOff>154308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6B5F13DD-9013-44A1-8FAF-03B1625867C2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8C988711-61F4-44EA-8A62-D7ECFDCCE5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EAF9A42D-E98E-4F33-AFEC-DEFBA8BBD15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26DE944-B7DF-466B-8A42-FF16EA6E26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8B8A89C-7DC9-47A5-8413-270560B41C75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0D98997-4F1A-4F34-8BB3-180286973DED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6467722-89AA-4AD4-9D8D-6BBE9085AF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D1E1BE81-CF8D-4D7D-89B7-F9D5E476D222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0</xdr:rowOff>
    </xdr:from>
    <xdr:to>
      <xdr:col>4</xdr:col>
      <xdr:colOff>1479030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2B78B6A-D2C2-4313-A15F-B0EC6564AA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5CE97B0D-6D79-4EE5-861D-7F1BACFF0DB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386482-C73C-41D1-A843-0FE4001E2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3046167D-328F-4391-85A5-2482AD2CD99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5</xdr:col>
      <xdr:colOff>564823</xdr:colOff>
      <xdr:row>0</xdr:row>
      <xdr:rowOff>0</xdr:rowOff>
    </xdr:from>
    <xdr:to>
      <xdr:col>6</xdr:col>
      <xdr:colOff>1222450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E786AE1-11C7-4640-8B75-55B6AB38C685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D5EB6F47-85B8-4DAA-8575-79B4F5004CD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5BFADC23-1AB4-4839-AD84-D3E63549A736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0A46E5C-F26A-47F3-A178-024B4E351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10</xdr:col>
      <xdr:colOff>382604</xdr:colOff>
      <xdr:row>0</xdr:row>
      <xdr:rowOff>0</xdr:rowOff>
    </xdr:from>
    <xdr:to>
      <xdr:col>10</xdr:col>
      <xdr:colOff>1973698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886419B8-56E4-442E-8DB4-F12E0ADF9E37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8DD2546D-18B0-495E-88A6-B00668631744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5742EC87-325C-4C45-8E0B-CB5F70207B84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8CDF939-B507-4154-BC25-C1D0BA1021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1059491</xdr:colOff>
      <xdr:row>0</xdr:row>
      <xdr:rowOff>0</xdr:rowOff>
    </xdr:from>
    <xdr:to>
      <xdr:col>11</xdr:col>
      <xdr:colOff>2671377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00E1691-1D61-4494-99C6-BD76D6455707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DE06B26B-92E6-4FBA-91E6-D0417407626B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76FEF012-C787-4614-A65D-8CBE41C2E2D6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2DC8E60E-6573-492A-A313-5F86B7E780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595120</xdr:colOff>
      <xdr:row>0</xdr:row>
      <xdr:rowOff>0</xdr:rowOff>
    </xdr:from>
    <xdr:to>
      <xdr:col>13</xdr:col>
      <xdr:colOff>2187630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CDF7D89-D2BA-42B0-977C-6BAAF076C7B2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AA483F0C-C7A1-4B8C-A49A-E04B5DDF0717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52A0FD3-6491-4960-9559-A267F921893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5A81A3F9-22E2-498A-A47C-33044D53E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949573</xdr:colOff>
      <xdr:row>0</xdr:row>
      <xdr:rowOff>0</xdr:rowOff>
    </xdr:from>
    <xdr:to>
      <xdr:col>15</xdr:col>
      <xdr:colOff>519934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59A7DF2F-9B6A-44DF-923F-EA83AC20B7FE}"/>
            </a:ext>
          </a:extLst>
        </xdr:cNvPr>
        <xdr:cNvGrpSpPr/>
      </xdr:nvGrpSpPr>
      <xdr:grpSpPr>
        <a:xfrm>
          <a:off x="24133423" y="0"/>
          <a:ext cx="1589661" cy="1162050"/>
          <a:chOff x="2413342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6B3BA50-AF88-4478-B7E4-21A4735E87E2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8491EC73-D045-4CC7-9200-18EC8FAE0115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2EE3A4B-2FD5-440D-883D-3AB803DEB5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2558478</xdr:colOff>
      <xdr:row>0</xdr:row>
      <xdr:rowOff>0</xdr:rowOff>
    </xdr:from>
    <xdr:to>
      <xdr:col>15</xdr:col>
      <xdr:colOff>4156647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AB8C386F-39C4-4EC9-BF72-5AD2C6CFC151}"/>
            </a:ext>
          </a:extLst>
        </xdr:cNvPr>
        <xdr:cNvGrpSpPr/>
      </xdr:nvGrpSpPr>
      <xdr:grpSpPr>
        <a:xfrm>
          <a:off x="27761628" y="0"/>
          <a:ext cx="1598169" cy="116205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C0177AEE-CAA9-4A91-B6C2-7B5114B51840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81672E54-DB55-4163-B842-0970FE56AEB4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DB886245-F29F-475C-B0A8-1456EE196D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99189</xdr:colOff>
      <xdr:row>0</xdr:row>
      <xdr:rowOff>0</xdr:rowOff>
    </xdr:from>
    <xdr:to>
      <xdr:col>19</xdr:col>
      <xdr:colOff>478158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C0564780-F67F-4158-9326-64A944DDD436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D37C1097-7C3C-4AAB-A614-B5F05200224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6FBF11BC-3510-48C3-B23A-CE7D287848F2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978CB968-B4ED-4963-A71A-48EC808610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31423</xdr:colOff>
      <xdr:row>0</xdr:row>
      <xdr:rowOff>0</xdr:rowOff>
    </xdr:from>
    <xdr:to>
      <xdr:col>9</xdr:col>
      <xdr:colOff>60400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9AA1A047-D6CC-4592-984E-A920F3EF352C}"/>
            </a:ext>
          </a:extLst>
        </xdr:cNvPr>
        <xdr:cNvGrpSpPr/>
      </xdr:nvGrpSpPr>
      <xdr:grpSpPr>
        <a:xfrm>
          <a:off x="9594523" y="0"/>
          <a:ext cx="1591077" cy="116205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C1C41E2-AFB0-4A27-9FA5-DDA430B69D5B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FA14AE1-DF42-4E4D-A35B-C58C7F828C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88589BA-3009-4EF6-90D7-B61539C9F4E6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0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590550</xdr:colOff>
      <xdr:row>0</xdr:row>
      <xdr:rowOff>0</xdr:rowOff>
    </xdr:from>
    <xdr:to>
      <xdr:col>4</xdr:col>
      <xdr:colOff>1440930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248A15F7-8C45-49B4-B227-8F7A28B5F74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9350" y="0"/>
          <a:ext cx="1459980" cy="116205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74BE6B84-561B-4041-9367-6129FCD9652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9B303EB-C64A-4057-812F-81D188B51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6B3E83DB-2FF7-4EE6-883B-D5AE4B39433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3479473</xdr:colOff>
      <xdr:row>0</xdr:row>
      <xdr:rowOff>0</xdr:rowOff>
    </xdr:from>
    <xdr:to>
      <xdr:col>5</xdr:col>
      <xdr:colOff>117550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B0148F08-A9E0-4279-88BA-8C9D50AE01ED}"/>
            </a:ext>
          </a:extLst>
        </xdr:cNvPr>
        <xdr:cNvGrpSpPr/>
      </xdr:nvGrpSpPr>
      <xdr:grpSpPr>
        <a:xfrm>
          <a:off x="5917873" y="0"/>
          <a:ext cx="1591077" cy="116205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21DDCD27-8BDB-4420-B74F-1B97560A517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3917B63B-C113-4339-8C5A-6BCD311B87B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422702E-8111-4264-AD3B-8F6207335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1354154</xdr:colOff>
      <xdr:row>0</xdr:row>
      <xdr:rowOff>0</xdr:rowOff>
    </xdr:from>
    <xdr:to>
      <xdr:col>9</xdr:col>
      <xdr:colOff>1383148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1555EB3-A8F4-42CE-ABBD-BD52506A6DF6}"/>
            </a:ext>
          </a:extLst>
        </xdr:cNvPr>
        <xdr:cNvGrpSpPr/>
      </xdr:nvGrpSpPr>
      <xdr:grpSpPr>
        <a:xfrm>
          <a:off x="13184204" y="0"/>
          <a:ext cx="1591094" cy="116205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D63ABF98-F253-4488-A9C8-5ED71FE030F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F3E79E0B-6101-4B92-B94E-514C3C704C29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21213FE-E222-4093-A4D1-F1FC735A00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1516691</xdr:colOff>
      <xdr:row>0</xdr:row>
      <xdr:rowOff>0</xdr:rowOff>
    </xdr:from>
    <xdr:to>
      <xdr:col>11</xdr:col>
      <xdr:colOff>1109277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FD22F247-FB6C-405C-9D82-2B9240BC1F24}"/>
            </a:ext>
          </a:extLst>
        </xdr:cNvPr>
        <xdr:cNvGrpSpPr/>
      </xdr:nvGrpSpPr>
      <xdr:grpSpPr>
        <a:xfrm>
          <a:off x="16813841" y="0"/>
          <a:ext cx="1611886" cy="116205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C36E23A0-AD2C-4946-81F6-CF6D8C62A91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5635CB04-9B7A-4772-896C-4015288A75B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EB84498-D487-4FE9-B6BD-2C98F6F0DB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156970</xdr:colOff>
      <xdr:row>0</xdr:row>
      <xdr:rowOff>0</xdr:rowOff>
    </xdr:from>
    <xdr:to>
      <xdr:col>13</xdr:col>
      <xdr:colOff>415980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DEF64275-8872-436B-8A1F-610726191202}"/>
            </a:ext>
          </a:extLst>
        </xdr:cNvPr>
        <xdr:cNvGrpSpPr/>
      </xdr:nvGrpSpPr>
      <xdr:grpSpPr>
        <a:xfrm>
          <a:off x="20464270" y="0"/>
          <a:ext cx="1592510" cy="116205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421720CA-B953-4943-9067-2FEDEC668290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99107047-669B-4691-8880-363DC9738B4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9B4335EF-18E8-445D-B074-20A97D065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2454523</xdr:colOff>
      <xdr:row>0</xdr:row>
      <xdr:rowOff>0</xdr:rowOff>
    </xdr:from>
    <xdr:to>
      <xdr:col>14</xdr:col>
      <xdr:colOff>767584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962484D9-E9EB-4342-AEB1-24FAFB7C6ABC}"/>
            </a:ext>
          </a:extLst>
        </xdr:cNvPr>
        <xdr:cNvGrpSpPr/>
      </xdr:nvGrpSpPr>
      <xdr:grpSpPr>
        <a:xfrm>
          <a:off x="24095323" y="0"/>
          <a:ext cx="1589661" cy="1162050"/>
          <a:chOff x="2413342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F382762-0775-41B5-9D47-CC0CE7B75664}"/>
              </a:ext>
            </a:extLst>
          </xdr:cNvPr>
          <xdr:cNvSpPr/>
        </xdr:nvSpPr>
        <xdr:spPr>
          <a:xfrm>
            <a:off x="24182656" y="0"/>
            <a:ext cx="145363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BB4D80C8-1864-4A46-800B-8A8AC6762A75}"/>
              </a:ext>
            </a:extLst>
          </xdr:cNvPr>
          <xdr:cNvSpPr txBox="1"/>
        </xdr:nvSpPr>
        <xdr:spPr>
          <a:xfrm rot="10800000" flipH="1" flipV="1">
            <a:off x="2413342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024F572-F9E4-49CD-B858-7F72CC819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2071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786828</xdr:colOff>
      <xdr:row>0</xdr:row>
      <xdr:rowOff>0</xdr:rowOff>
    </xdr:from>
    <xdr:to>
      <xdr:col>15</xdr:col>
      <xdr:colOff>2384997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9E85324A-362B-4D5C-AC44-ED00DE0A3627}"/>
            </a:ext>
          </a:extLst>
        </xdr:cNvPr>
        <xdr:cNvGrpSpPr/>
      </xdr:nvGrpSpPr>
      <xdr:grpSpPr>
        <a:xfrm>
          <a:off x="27723528" y="0"/>
          <a:ext cx="1598169" cy="116205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5EAA1E6C-76DA-431D-9D41-A7BFB27775DB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5D44E28B-D4E6-4398-8B60-8AA1FE1528BC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B86DA82-644F-43D2-AA0F-52D1FA50A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4423539</xdr:colOff>
      <xdr:row>0</xdr:row>
      <xdr:rowOff>0</xdr:rowOff>
    </xdr:from>
    <xdr:to>
      <xdr:col>16</xdr:col>
      <xdr:colOff>992508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E1656A9F-FD14-48B1-BCB1-CA65396894FA}"/>
            </a:ext>
          </a:extLst>
        </xdr:cNvPr>
        <xdr:cNvGrpSpPr/>
      </xdr:nvGrpSpPr>
      <xdr:grpSpPr>
        <a:xfrm>
          <a:off x="31360239" y="0"/>
          <a:ext cx="1598169" cy="116205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17FF9A3F-0DCE-4809-9B06-8F35195416BF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72D1529A-1527-4B5D-8D55-31B2A6DE4D6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1678E746-4D2C-4B92-92FE-77F13EA54E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564823</xdr:colOff>
      <xdr:row>0</xdr:row>
      <xdr:rowOff>0</xdr:rowOff>
    </xdr:from>
    <xdr:to>
      <xdr:col>7</xdr:col>
      <xdr:colOff>365200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AF0C9411-1B5B-4CBC-B85E-12FD098D5F88}"/>
            </a:ext>
          </a:extLst>
        </xdr:cNvPr>
        <xdr:cNvGrpSpPr/>
      </xdr:nvGrpSpPr>
      <xdr:grpSpPr>
        <a:xfrm>
          <a:off x="9556423" y="0"/>
          <a:ext cx="1591077" cy="116205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466C221-9071-4FA8-932B-73EA1AF21B9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31C40B1-2421-4D22-9D50-D6C52322C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42D552D0-92B5-4664-9BF3-6FF7786AD19C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1409700</xdr:colOff>
      <xdr:row>15</xdr:row>
      <xdr:rowOff>0</xdr:rowOff>
    </xdr:from>
    <xdr:to>
      <xdr:col>21</xdr:col>
      <xdr:colOff>381000</xdr:colOff>
      <xdr:row>53</xdr:row>
      <xdr:rowOff>198922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alphaModFix amt="23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5219700"/>
          <a:ext cx="15449550" cy="13953022"/>
        </a:xfrm>
        <a:prstGeom prst="rect">
          <a:avLst/>
        </a:prstGeom>
      </xdr:spPr>
    </xdr:pic>
    <xdr:clientData/>
  </xdr:twoCellAnchor>
  <xdr:twoCellAnchor>
    <xdr:from>
      <xdr:col>8</xdr:col>
      <xdr:colOff>535733</xdr:colOff>
      <xdr:row>8</xdr:row>
      <xdr:rowOff>0</xdr:rowOff>
    </xdr:from>
    <xdr:to>
      <xdr:col>18</xdr:col>
      <xdr:colOff>154733</xdr:colOff>
      <xdr:row>15</xdr:row>
      <xdr:rowOff>76200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B3CFEE21-BA4D-4FD8-BCBE-8FDF803B91DD}"/>
            </a:ext>
          </a:extLst>
        </xdr:cNvPr>
        <xdr:cNvSpPr txBox="1"/>
      </xdr:nvSpPr>
      <xdr:spPr>
        <a:xfrm>
          <a:off x="12365783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SETOR DE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FINANÇAS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1578502</xdr:colOff>
      <xdr:row>25</xdr:row>
      <xdr:rowOff>14513</xdr:rowOff>
    </xdr:from>
    <xdr:to>
      <xdr:col>5</xdr:col>
      <xdr:colOff>64462</xdr:colOff>
      <xdr:row>34</xdr:row>
      <xdr:rowOff>340721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CB3BC692-38B2-4EE2-A66C-2CD8A64D4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6902" y="8853713"/>
          <a:ext cx="3438960" cy="3583758"/>
        </a:xfrm>
        <a:prstGeom prst="rect">
          <a:avLst/>
        </a:prstGeom>
        <a:noFill/>
      </xdr:spPr>
    </xdr:pic>
    <xdr:clientData/>
  </xdr:twoCellAnchor>
  <xdr:twoCellAnchor>
    <xdr:from>
      <xdr:col>23</xdr:col>
      <xdr:colOff>1902352</xdr:colOff>
      <xdr:row>25</xdr:row>
      <xdr:rowOff>14513</xdr:rowOff>
    </xdr:from>
    <xdr:to>
      <xdr:col>27</xdr:col>
      <xdr:colOff>7312</xdr:colOff>
      <xdr:row>34</xdr:row>
      <xdr:rowOff>340721</xdr:rowOff>
    </xdr:to>
    <xdr:pic>
      <xdr:nvPicPr>
        <xdr:cNvPr id="46" name="Imagem 17">
          <a:extLst>
            <a:ext uri="{FF2B5EF4-FFF2-40B4-BE49-F238E27FC236}">
              <a16:creationId xmlns:a16="http://schemas.microsoft.com/office/drawing/2014/main" id="{0D967B19-796C-4542-9B59-EB7711F63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2902" y="8853713"/>
          <a:ext cx="3438960" cy="3583758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DCD6E7AF-CB55-4633-A70B-7ED56F9ECD2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2913B4AB-67BE-4063-8D6B-26F99D45BC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9" name="Imagem 4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A10F4BB-43AF-41C2-902C-F610F61F7F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B00A1449-CDF5-4504-A6E5-AF6CE91DB3F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FBC52E98-1C44-46C5-A259-CAA3F663EB6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26139F8C-C297-4C2D-BB0F-A90E8DB89F9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152C1799-3FE0-4271-A541-4C1F31E9B3A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E69AFCF-792E-4E6A-BD20-9CDACAD84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10</xdr:col>
      <xdr:colOff>716398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CA5A752-3CBD-407D-AEDE-5D1126D02903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133C56D-1210-4FE2-A4F3-26ABAAF616C6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C5E10680-1D34-4D0A-89AA-563CB64B5333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E5C7E2E-723C-4A04-AA5A-78FDF6A93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164141</xdr:colOff>
      <xdr:row>0</xdr:row>
      <xdr:rowOff>0</xdr:rowOff>
    </xdr:from>
    <xdr:to>
      <xdr:col>13</xdr:col>
      <xdr:colOff>328227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4B1D93EC-49F7-4204-BCD0-9DDC7E2E0AA5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7ED24185-D157-42FD-BFBE-8A00268D9B51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294DCD0F-68F1-42E8-9392-1AD4B97AA1A5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6D0601F-467A-466E-979A-2EDF6B8E9F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233170</xdr:colOff>
      <xdr:row>0</xdr:row>
      <xdr:rowOff>0</xdr:rowOff>
    </xdr:from>
    <xdr:to>
      <xdr:col>16</xdr:col>
      <xdr:colOff>111180</xdr:colOff>
      <xdr:row>3</xdr:row>
      <xdr:rowOff>0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CDA6997B-1A6D-46C2-9FD1-A646848FA91D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6039557E-CE8F-4E74-A5A5-1E3FB079ED5D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D2E6A344-3340-4435-99CC-C1484A3C2659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0EC0391-1E52-4EC3-98DE-258D23F3C4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473323</xdr:colOff>
      <xdr:row>0</xdr:row>
      <xdr:rowOff>0</xdr:rowOff>
    </xdr:from>
    <xdr:to>
      <xdr:col>21</xdr:col>
      <xdr:colOff>234184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9446D062-3C51-4186-AF43-75B00AFD5E9E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CA167C8-FA64-4FAD-ACA4-BB8F52FFD638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26BA3ABC-A139-4C5B-98E5-A66CC4663AFE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47D693D-AC5A-415F-8809-B129A61C3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482028</xdr:colOff>
      <xdr:row>0</xdr:row>
      <xdr:rowOff>0</xdr:rowOff>
    </xdr:from>
    <xdr:to>
      <xdr:col>23</xdr:col>
      <xdr:colOff>2080197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C33A28E-C01F-4D70-8612-6EC549264251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FA714A8C-C2E0-44B4-A22E-91495D58884E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33760061-1DA5-419E-BA07-D379177DD8E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4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C6BE81B-7EA0-451F-9AE8-524E59F16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3939</xdr:colOff>
      <xdr:row>0</xdr:row>
      <xdr:rowOff>0</xdr:rowOff>
    </xdr:from>
    <xdr:to>
      <xdr:col>27</xdr:col>
      <xdr:colOff>382908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EE61A568-F435-4EEA-BCE3-19D7981F4E13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4BC321A8-B8F9-4797-B688-D518D3B5A4B4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160125E3-133F-4D66-8ED5-5713E3EC5F0F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8" name="Imagem 77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A965EE63-91E3-44E3-9B1B-4F43BD9EEF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045E266F-F069-4CB5-9B43-EA89C3CA3DAA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80" name="Retângulo 79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E6E80C7-10AF-4F5B-9AEC-AB8BFA6F74A2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" name="Imagem 80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C55B643C-1FD7-4BDB-B5AE-438947402A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C6CBFD33-1F9E-4525-A3CD-F131A6AB741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78A1A697-304A-4299-8D62-1D51F6B056C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AF4EC471-92DD-4DAC-B06F-182C661C2DC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98469E3-C249-4B94-8D43-7F8C70B66C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779707B6-2B63-4127-81A7-11D603B6FB2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79B2F2F6-4156-4E74-808F-451C677041B9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2EE0946-9265-44ED-A407-ADE54D60D0A0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518191C1-0C00-4B80-A2A5-2112E52B1FC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18C7B3-3210-42B6-B780-391472A42E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10</xdr:col>
      <xdr:colOff>716398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BE5A9A0-496A-4CF8-B9A3-249753FC49DB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DB56B28-6DBB-40AD-8AC0-53B0EAD73C0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52CDC07F-B24E-44CA-9648-7E979FA49E26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B66F12E-5FB8-42F4-A3F9-019604A10E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678491</xdr:colOff>
      <xdr:row>0</xdr:row>
      <xdr:rowOff>0</xdr:rowOff>
    </xdr:from>
    <xdr:to>
      <xdr:col>14</xdr:col>
      <xdr:colOff>156777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47578C19-9538-45BB-9001-7E4966674C9B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D1288001-10AF-48C9-ADA7-7AEA36C04FC7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CB94A674-187A-4316-8BE7-1CC3240D6872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53BF31F-4E89-48B7-BE7D-C38AE7055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747520</xdr:colOff>
      <xdr:row>0</xdr:row>
      <xdr:rowOff>0</xdr:rowOff>
    </xdr:from>
    <xdr:to>
      <xdr:col>16</xdr:col>
      <xdr:colOff>625530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7C78E38C-767A-49FA-A2A8-A64C91D1B4C6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ECE54343-AE6E-43C5-991C-DCF48E0ACCD8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141A979D-7C0C-4B7F-ADFA-DA02EF123F7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5E18D02-3C26-4F61-BED5-9C666B2BE5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378073</xdr:colOff>
      <xdr:row>0</xdr:row>
      <xdr:rowOff>0</xdr:rowOff>
    </xdr:from>
    <xdr:to>
      <xdr:col>21</xdr:col>
      <xdr:colOff>748534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2D3A879A-CE09-46AE-B96F-8F76AA01A6E5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C0F5A12A-D5FC-4B0C-A48B-7EDE02C9E321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F50DA2EF-E798-41D9-8D36-5DE3081ABCCB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36E0758-A722-4F88-B8E0-3B471448BD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996378</xdr:colOff>
      <xdr:row>0</xdr:row>
      <xdr:rowOff>0</xdr:rowOff>
    </xdr:from>
    <xdr:to>
      <xdr:col>23</xdr:col>
      <xdr:colOff>2594547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CACD8B88-2712-4958-B741-339905A3F2CA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67CF958F-0158-44A9-B3EA-5490C59A2E7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CD45D6F6-9379-4A03-9ABF-B57CCCD68D72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34180D6-5261-4DF7-81FA-852DF02B3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518289</xdr:colOff>
      <xdr:row>0</xdr:row>
      <xdr:rowOff>0</xdr:rowOff>
    </xdr:from>
    <xdr:to>
      <xdr:col>28</xdr:col>
      <xdr:colOff>287658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C5BA5349-9422-40F4-9D50-7BAE51A22D38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59B6C224-9460-469F-8EB8-E757AC1DE32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277AE80F-7037-40CD-B6A2-1B1873592AC1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416F7C-AB3A-4B91-AF96-4DB00E98B6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A88AB40-BDE0-4093-ABF2-C779503011D0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9DE276E-0BF0-4C23-88D2-D89E84961E7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3621FB47-4E97-4AD0-9AC9-CCB5FDE64D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A894466D-967B-45C1-9664-4D84550E4D3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B5C7E807-0A08-4F6C-9A4F-6DC134ACB34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37924BB-0FD7-49ED-8C41-8DE03174952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AB0D722-29E2-4877-88F3-F5E8763EF9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2E04E93A-3EE1-4E3B-AF0B-F1B21F314B3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CCB92687-1536-4800-8F34-83C5A669FF53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CA17897A-847B-49BF-A2C7-112094CE2FD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27F76912-B010-4B81-9436-B62B99650FE3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326BEAC-7059-45DC-82E0-EB4CBB983D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1373204</xdr:colOff>
      <xdr:row>0</xdr:row>
      <xdr:rowOff>0</xdr:rowOff>
    </xdr:from>
    <xdr:to>
      <xdr:col>9</xdr:col>
      <xdr:colOff>1402198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E74302CB-823D-4585-9CA9-C0754C4E7902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A0CC4E53-FABC-4AE6-BBEF-07A68D0607C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2A6D3A2E-622E-4FC2-8A16-B488009E60F1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E1B5F77-9890-49C4-9D2A-2BEE3F7A72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3440741</xdr:colOff>
      <xdr:row>0</xdr:row>
      <xdr:rowOff>0</xdr:rowOff>
    </xdr:from>
    <xdr:to>
      <xdr:col>9</xdr:col>
      <xdr:colOff>5052627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F61F64CC-EA05-4398-8B41-52C682FF92D1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4118650-DF18-4DAB-A7A0-A8CB5B5AD08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74AC1060-1942-4D7E-BA8F-23EBA311FE1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8AA3363-0707-46B9-A25A-874A2747C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1490470</xdr:colOff>
      <xdr:row>0</xdr:row>
      <xdr:rowOff>0</xdr:rowOff>
    </xdr:from>
    <xdr:to>
      <xdr:col>12</xdr:col>
      <xdr:colOff>396930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91529F1B-C196-454A-AEDF-60F311981210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E1B8731-0157-4C49-8D91-65036C79EA53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BBE4AA2B-949B-415A-AD4A-DF1C15087526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1FD92AFD-2A5B-4D11-BA93-416E7A063B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301873</xdr:colOff>
      <xdr:row>0</xdr:row>
      <xdr:rowOff>0</xdr:rowOff>
    </xdr:from>
    <xdr:to>
      <xdr:col>15</xdr:col>
      <xdr:colOff>443734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70454C5-A798-402F-AB42-1EEA491BD9EC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478FD613-5CFC-4586-BD10-5397D17A6F7B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BC1C78EA-3675-4AFB-BF3B-8706559B7B3F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68E685DD-D870-4A32-8772-7F4E912047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767778</xdr:colOff>
      <xdr:row>0</xdr:row>
      <xdr:rowOff>0</xdr:rowOff>
    </xdr:from>
    <xdr:to>
      <xdr:col>19</xdr:col>
      <xdr:colOff>79947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ED1B7D4C-AC3D-4CB5-A029-B2207B07AF70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56797807-EAD5-4AFF-9837-805E6FC39AC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496E9A8B-0B7E-41B9-99C9-EF4292C231CB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832446C-2E3D-4A3C-A713-4F93CE148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899289</xdr:colOff>
      <xdr:row>0</xdr:row>
      <xdr:rowOff>0</xdr:rowOff>
    </xdr:from>
    <xdr:to>
      <xdr:col>23</xdr:col>
      <xdr:colOff>706758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3E19F888-C34C-409D-8EDD-74DEF02C3839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11988E44-6189-4E8B-A808-13CEA9152AD2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CB4F60BC-90FE-43C1-8AE0-675662E8BE5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FE745E43-9BEA-4F05-AE2D-8187196B2B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9F283922-B8F3-4A0D-99CE-CA656C69885F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81AB219C-39F2-4635-A7C8-4CE406737AC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51DB68EE-816F-40F1-BC7D-57269EA52A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D30CAE61-5CF3-4442-8925-DE3B951933CD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2881F593-9132-4CED-BDB3-FD8156B84E2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3592829C-8740-4DD7-86DB-12A0348126D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59F77B-5830-4DAD-910C-0AD2897E2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BEDB6FD0-9BB8-47FC-BB1D-AF1830C0B49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83AB545E-2326-40C4-B561-B41DB526676E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13C406C4-F1EA-4ECD-B0E1-780DD6C8A1C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9C7D9146-4BB7-42C4-B41D-1DCC9148D319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DFD2679-3F92-4374-8DCD-923BE76228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211154</xdr:colOff>
      <xdr:row>0</xdr:row>
      <xdr:rowOff>0</xdr:rowOff>
    </xdr:from>
    <xdr:to>
      <xdr:col>9</xdr:col>
      <xdr:colOff>240148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49212499-E4F2-4CF9-A6D6-211D84A7639F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CC60C4AA-5C31-4C46-89C2-78E310CD8B02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3837F00B-5782-4F3A-8044-3B9AB2D5E5F9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EA43E7-B236-4865-B95B-94D49BC9C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2278691</xdr:colOff>
      <xdr:row>0</xdr:row>
      <xdr:rowOff>0</xdr:rowOff>
    </xdr:from>
    <xdr:to>
      <xdr:col>10</xdr:col>
      <xdr:colOff>499677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3BE2EF6C-7CA0-4EA5-8346-6E892621024F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E1A5B6D7-A8F3-4977-9C4C-E29E7F5E742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654D0693-564F-4D41-9BA6-990C6D6A8AF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7D5C863-4319-4252-9623-5F53C3783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995170</xdr:colOff>
      <xdr:row>0</xdr:row>
      <xdr:rowOff>0</xdr:rowOff>
    </xdr:from>
    <xdr:to>
      <xdr:col>12</xdr:col>
      <xdr:colOff>73080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C9E525C4-4431-4E7D-A17D-988393A1D86F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434D06A4-8553-449F-8A2C-D22C9A1C710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E47981AA-5CA2-4746-8808-F6E49339F882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25F88233-2EE6-4125-AA9E-2EBA742506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663823</xdr:colOff>
      <xdr:row>0</xdr:row>
      <xdr:rowOff>0</xdr:rowOff>
    </xdr:from>
    <xdr:to>
      <xdr:col>14</xdr:col>
      <xdr:colOff>538984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EA4E0912-FF61-409A-BD38-C84CA40CFB4E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CD073985-9646-4CE5-B350-2106E0138E2E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83F7C5F6-6C90-4C8A-A7E7-137B229AFD07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F054657-BBEF-4A6C-81E0-F77E70CFC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291528</xdr:colOff>
      <xdr:row>0</xdr:row>
      <xdr:rowOff>0</xdr:rowOff>
    </xdr:from>
    <xdr:to>
      <xdr:col>19</xdr:col>
      <xdr:colOff>670497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71690BEE-A18E-4735-A918-42F3565C3E16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3C1DD3CB-D6CE-4C1B-9D9C-472F6BAA014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E85F37B4-CC1B-4E8F-A425-E6B0784832F8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59FB00E7-564E-492E-A6E0-949493E9A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918339</xdr:colOff>
      <xdr:row>0</xdr:row>
      <xdr:rowOff>0</xdr:rowOff>
    </xdr:from>
    <xdr:to>
      <xdr:col>21</xdr:col>
      <xdr:colOff>2516508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FD870E6-6A33-4D0D-9C32-F6510E4BDFB3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3F840ACA-4F0B-41D9-905B-0E3FF8D273DD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21D85FE-A4B3-45C8-BEA9-D03805F6111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263CA059-752E-406D-97C0-8FFAF882F8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583873</xdr:colOff>
      <xdr:row>0</xdr:row>
      <xdr:rowOff>0</xdr:rowOff>
    </xdr:from>
    <xdr:to>
      <xdr:col>7</xdr:col>
      <xdr:colOff>384250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BE3BCDA1-09BB-4581-8C90-BDFAF524BC19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6D555EC3-141C-4080-87F1-4228D26ABEC3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B6393605-8421-4F26-84BD-D9C099A6D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F88DCC64-42BD-4F20-9CB7-586457710D51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133350</xdr:colOff>
      <xdr:row>15</xdr:row>
      <xdr:rowOff>19050</xdr:rowOff>
    </xdr:from>
    <xdr:to>
      <xdr:col>14</xdr:col>
      <xdr:colOff>304800</xdr:colOff>
      <xdr:row>53</xdr:row>
      <xdr:rowOff>217972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alphaModFix amt="23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5238750"/>
          <a:ext cx="15449550" cy="13953022"/>
        </a:xfrm>
        <a:prstGeom prst="rect">
          <a:avLst/>
        </a:prstGeom>
      </xdr:spPr>
    </xdr:pic>
    <xdr:clientData/>
  </xdr:twoCellAnchor>
  <xdr:twoCellAnchor>
    <xdr:from>
      <xdr:col>7</xdr:col>
      <xdr:colOff>328831</xdr:colOff>
      <xdr:row>8</xdr:row>
      <xdr:rowOff>0</xdr:rowOff>
    </xdr:from>
    <xdr:to>
      <xdr:col>12</xdr:col>
      <xdr:colOff>1433731</xdr:colOff>
      <xdr:row>15</xdr:row>
      <xdr:rowOff>76200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2B42A0EE-4319-4A0D-B2B7-52CD30D6816A}"/>
            </a:ext>
          </a:extLst>
        </xdr:cNvPr>
        <xdr:cNvSpPr txBox="1"/>
      </xdr:nvSpPr>
      <xdr:spPr>
        <a:xfrm>
          <a:off x="12368431" y="2686050"/>
          <a:ext cx="11430000" cy="2609850"/>
        </a:xfrm>
        <a:prstGeom prst="rect">
          <a:avLst/>
        </a:prstGeom>
        <a:solidFill>
          <a:schemeClr val="tx2">
            <a:lumMod val="50000"/>
          </a:schemeClr>
        </a:solidFill>
        <a:ln w="57150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BEM VINDO AO BANCO</a:t>
          </a:r>
          <a:r>
            <a:rPr lang="pt-BR" sz="4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DADOS</a:t>
          </a:r>
          <a:endParaRPr lang="pt-BR" sz="4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1581150</xdr:colOff>
      <xdr:row>25</xdr:row>
      <xdr:rowOff>36341</xdr:rowOff>
    </xdr:from>
    <xdr:to>
      <xdr:col>5</xdr:col>
      <xdr:colOff>67110</xdr:colOff>
      <xdr:row>34</xdr:row>
      <xdr:rowOff>318893</xdr:rowOff>
    </xdr:to>
    <xdr:pic>
      <xdr:nvPicPr>
        <xdr:cNvPr id="44" name="Imagem 17">
          <a:extLst>
            <a:ext uri="{FF2B5EF4-FFF2-40B4-BE49-F238E27FC236}">
              <a16:creationId xmlns:a16="http://schemas.microsoft.com/office/drawing/2014/main" id="{B0CF7CEE-B0F9-4DA5-B005-B07EB736E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19550" y="8875541"/>
          <a:ext cx="3438960" cy="3540102"/>
        </a:xfrm>
        <a:prstGeom prst="rect">
          <a:avLst/>
        </a:prstGeom>
        <a:noFill/>
      </xdr:spPr>
    </xdr:pic>
    <xdr:clientData/>
  </xdr:twoCellAnchor>
  <xdr:twoCellAnchor>
    <xdr:from>
      <xdr:col>19</xdr:col>
      <xdr:colOff>133350</xdr:colOff>
      <xdr:row>25</xdr:row>
      <xdr:rowOff>36341</xdr:rowOff>
    </xdr:from>
    <xdr:to>
      <xdr:col>21</xdr:col>
      <xdr:colOff>1781610</xdr:colOff>
      <xdr:row>34</xdr:row>
      <xdr:rowOff>318893</xdr:rowOff>
    </xdr:to>
    <xdr:pic>
      <xdr:nvPicPr>
        <xdr:cNvPr id="45" name="Imagem 17">
          <a:extLst>
            <a:ext uri="{FF2B5EF4-FFF2-40B4-BE49-F238E27FC236}">
              <a16:creationId xmlns:a16="http://schemas.microsoft.com/office/drawing/2014/main" id="{27E99DBF-429D-4AFD-BB7B-634B415C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165550" y="8875541"/>
          <a:ext cx="3438960" cy="3540102"/>
        </a:xfrm>
        <a:prstGeom prst="rect">
          <a:avLst/>
        </a:prstGeom>
        <a:noFill/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62EDD0A-9F44-494D-8106-0F5B6E173EB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56B0D590-9DE0-4A9B-9D88-DD863B221F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Imagem 4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1ACD32C-BB1E-4CA2-9B48-C68BB40E3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B2E59486-5856-4158-830D-F30CB2DC4C2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C7B4CC20-6DDC-49C7-8F69-183E3BC6E0C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9FF289C-F901-4D10-9DF9-C86EB2B7B3E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AC14A06E-0CFC-4D09-8AB3-342D792022D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5E86215-75DB-463E-93B8-D8390A6E2A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1163654</xdr:colOff>
      <xdr:row>0</xdr:row>
      <xdr:rowOff>0</xdr:rowOff>
    </xdr:from>
    <xdr:to>
      <xdr:col>8</xdr:col>
      <xdr:colOff>544948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EC361DD7-1B60-4765-A354-DF62FD7BA3D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5E33577F-9D40-43A2-A5B2-6771029D0165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CD587907-7502-479F-B8F5-F3C15C618561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BAB3950-8C9E-408C-A177-0177405BD1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1021391</xdr:colOff>
      <xdr:row>0</xdr:row>
      <xdr:rowOff>0</xdr:rowOff>
    </xdr:from>
    <xdr:to>
      <xdr:col>10</xdr:col>
      <xdr:colOff>804477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4CF51D05-BC0D-4DFC-B429-D444EF948DA2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6F721C9A-A595-4744-8B4C-90A9A8F113F3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7C947E79-B2A1-4F7F-ADA2-E896B9AFE707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BAE3B79-CC84-4588-8D75-8D678B748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633220</xdr:colOff>
      <xdr:row>0</xdr:row>
      <xdr:rowOff>0</xdr:rowOff>
    </xdr:from>
    <xdr:to>
      <xdr:col>11</xdr:col>
      <xdr:colOff>2225730</xdr:colOff>
      <xdr:row>3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6CAFDAAC-420D-42EE-8CB4-31627FB49797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93662BB7-6EA3-47F1-90DE-4B0A80DD3ECA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637EC3B0-2CEC-48C3-AA3E-ADFAEAC5A95D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3B94020A-9D06-48FD-91B5-8EC915830A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301873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7BD5AD07-0A1C-4B07-AF93-B74C9793C07F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17978416-64D3-4611-B842-F2DA19967F19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7AE2872C-C59C-4ACA-99D5-ECC0442AF08D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14C2C3AD-8F62-4612-BA52-BB7F106E49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539178</xdr:colOff>
      <xdr:row>0</xdr:row>
      <xdr:rowOff>0</xdr:rowOff>
    </xdr:from>
    <xdr:to>
      <xdr:col>19</xdr:col>
      <xdr:colOff>308547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A5E5643F-D105-453D-B203-4679F9222369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A5DBE804-C1BA-4226-A206-CDFFB9426DD9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E8A543E4-8ED7-4C24-A2DB-EE92AF514D7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3" name="Imagem 17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E56C1985-1565-42E1-8D3F-47CFE8898F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556389</xdr:colOff>
      <xdr:row>0</xdr:row>
      <xdr:rowOff>0</xdr:rowOff>
    </xdr:from>
    <xdr:to>
      <xdr:col>21</xdr:col>
      <xdr:colOff>2154558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41D34D15-C778-4312-9C20-943F66D8F0ED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7313BD86-5535-4C11-B436-E34C2F5357D3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9262C665-0549-43B2-9052-3830C01FF1C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7" name="Imagem 76" descr="Ícone do banco de dados (símbolo png) preto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60AF718D-5C4D-4A71-9CC9-42E9620FE6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2184073</xdr:colOff>
      <xdr:row>0</xdr:row>
      <xdr:rowOff>0</xdr:rowOff>
    </xdr:from>
    <xdr:to>
      <xdr:col>6</xdr:col>
      <xdr:colOff>917650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A89BBA59-B96F-4435-AD60-16ED1C7101BA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9" name="Retângulo 78">
            <a:hlinkClick xmlns:r="http://schemas.openxmlformats.org/officeDocument/2006/relationships" r:id="rId35"/>
            <a:extLst>
              <a:ext uri="{FF2B5EF4-FFF2-40B4-BE49-F238E27FC236}">
                <a16:creationId xmlns:a16="http://schemas.microsoft.com/office/drawing/2014/main" id="{C2E20BC6-127E-4572-B01D-A0D89FFD8033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79">
            <a:hlinkClick xmlns:r="http://schemas.openxmlformats.org/officeDocument/2006/relationships" r:id="rId35"/>
            <a:extLst>
              <a:ext uri="{FF2B5EF4-FFF2-40B4-BE49-F238E27FC236}">
                <a16:creationId xmlns:a16="http://schemas.microsoft.com/office/drawing/2014/main" id="{4CC6C5B2-4B61-4076-9DB9-D71F0F1F04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BEBA8EAE-BF5A-486C-A8C5-ECC9F3942E4B}">
                <a14:imgProps xmlns:a14="http://schemas.microsoft.com/office/drawing/2010/main">
                  <a14:imgLayer r:embed="rId3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8007836D-6C77-4D34-B997-72F491E2F99A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D6BC02A0-E9B1-4743-AF23-64722DEC0D3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A7B9825F-0CD7-4C2A-87B6-00B670C4C61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5" name="Imagem 4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1E54523-7A9A-4924-ADF4-0D44146A9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387FA7C5-E963-42A1-87D4-B9207BBD91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7500BE00-21C0-4566-8DCF-E2C3C294CFA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F8241300-AA08-449F-AE57-046413DE817E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DD1192D2-9093-4BE1-9C30-10D738F0D31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0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CEEDAD2-0727-46B0-BAD0-775319A2F9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1163654</xdr:colOff>
      <xdr:row>0</xdr:row>
      <xdr:rowOff>0</xdr:rowOff>
    </xdr:from>
    <xdr:to>
      <xdr:col>8</xdr:col>
      <xdr:colOff>544948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7DEE815E-4A3E-4AA9-B02B-5F22197C287A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5171736C-6C92-4D76-A060-647BDBA790B3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B2480CE8-CDE4-4F85-9898-FBC01F022D46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4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E5375EE-F087-43B5-A016-21712C8838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1021391</xdr:colOff>
      <xdr:row>0</xdr:row>
      <xdr:rowOff>0</xdr:rowOff>
    </xdr:from>
    <xdr:to>
      <xdr:col>10</xdr:col>
      <xdr:colOff>804477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FA771A61-2BF0-4C66-B289-E0239BDC17C2}"/>
            </a:ext>
          </a:extLst>
        </xdr:cNvPr>
        <xdr:cNvGrpSpPr/>
      </xdr:nvGrpSpPr>
      <xdr:grpSpPr>
        <a:xfrm>
          <a:off x="16832891" y="0"/>
          <a:ext cx="1611886" cy="1162050"/>
          <a:chOff x="16832891" y="0"/>
          <a:chExt cx="1611886" cy="1162050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300C77C7-2D3B-49B6-84AD-5289EA7404A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0D0712FA-1B28-4F56-AC69-63C8F0F1F0DC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8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E142C8FB-6DAF-42B9-8D66-A4CF403FFA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633220</xdr:colOff>
      <xdr:row>0</xdr:row>
      <xdr:rowOff>0</xdr:rowOff>
    </xdr:from>
    <xdr:to>
      <xdr:col>11</xdr:col>
      <xdr:colOff>2225730</xdr:colOff>
      <xdr:row>3</xdr:row>
      <xdr:rowOff>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585042A1-E922-4A94-A7D4-72E31996F8E4}"/>
            </a:ext>
          </a:extLst>
        </xdr:cNvPr>
        <xdr:cNvGrpSpPr/>
      </xdr:nvGrpSpPr>
      <xdr:grpSpPr>
        <a:xfrm>
          <a:off x="20483320" y="0"/>
          <a:ext cx="1592510" cy="1162050"/>
          <a:chOff x="20483320" y="0"/>
          <a:chExt cx="1592510" cy="1162050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D4947289-5EED-4CE3-904B-59BE2F728ABC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EB5D7E5C-7EB5-4B9F-B4E8-BA22AEE451C3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2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2B7B097-DEC1-40B6-9EF0-925F885BB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301873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9B3B741C-4874-4392-99FE-827A7D6CB6E6}"/>
            </a:ext>
          </a:extLst>
        </xdr:cNvPr>
        <xdr:cNvGrpSpPr/>
      </xdr:nvGrpSpPr>
      <xdr:grpSpPr>
        <a:xfrm>
          <a:off x="24114373" y="0"/>
          <a:ext cx="1589661" cy="1162050"/>
          <a:chOff x="24114373" y="0"/>
          <a:chExt cx="1589661" cy="1162050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595BDA3C-22AC-45AE-AE0E-32AAF11C082F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5566078C-E9CF-48E7-BAB1-7771A47ACA2D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7802D709-9E24-47EA-BEED-4916DA9470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539178</xdr:colOff>
      <xdr:row>0</xdr:row>
      <xdr:rowOff>0</xdr:rowOff>
    </xdr:from>
    <xdr:to>
      <xdr:col>19</xdr:col>
      <xdr:colOff>308547</xdr:colOff>
      <xdr:row>3</xdr:row>
      <xdr:rowOff>0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76829C25-A229-48A3-81F6-1F4F700995FC}"/>
            </a:ext>
          </a:extLst>
        </xdr:cNvPr>
        <xdr:cNvGrpSpPr/>
      </xdr:nvGrpSpPr>
      <xdr:grpSpPr>
        <a:xfrm>
          <a:off x="27742578" y="0"/>
          <a:ext cx="1598169" cy="1162050"/>
          <a:chOff x="27761628" y="0"/>
          <a:chExt cx="1598169" cy="1162050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E78D0322-4DC0-40C0-BC45-1E0044D2B03D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B689268B-C522-46FC-9C05-41B35911039D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0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EDADBED-DC76-401B-B513-F02FB520D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556389</xdr:colOff>
      <xdr:row>0</xdr:row>
      <xdr:rowOff>0</xdr:rowOff>
    </xdr:from>
    <xdr:to>
      <xdr:col>21</xdr:col>
      <xdr:colOff>2154558</xdr:colOff>
      <xdr:row>3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A641E2B-39E8-4B80-89AA-A389DFB4A587}"/>
            </a:ext>
          </a:extLst>
        </xdr:cNvPr>
        <xdr:cNvGrpSpPr/>
      </xdr:nvGrpSpPr>
      <xdr:grpSpPr>
        <a:xfrm>
          <a:off x="31379289" y="0"/>
          <a:ext cx="1598169" cy="1162050"/>
          <a:chOff x="31379289" y="0"/>
          <a:chExt cx="1598169" cy="1162050"/>
        </a:xfrm>
      </xdr:grpSpPr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D9C5A570-8766-4DEA-83BA-038803A8F2BF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DC46C84A-1C4F-4715-8FAD-AC85F91BBB08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4" name="Imagem 73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CF01ED8D-B1EB-4507-B350-5702FBEE921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2184073</xdr:colOff>
      <xdr:row>0</xdr:row>
      <xdr:rowOff>0</xdr:rowOff>
    </xdr:from>
    <xdr:to>
      <xdr:col>6</xdr:col>
      <xdr:colOff>917650</xdr:colOff>
      <xdr:row>3</xdr:row>
      <xdr:rowOff>0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4CB275AA-87E8-407A-B8B8-D781FFE7075E}"/>
            </a:ext>
          </a:extLst>
        </xdr:cNvPr>
        <xdr:cNvGrpSpPr/>
      </xdr:nvGrpSpPr>
      <xdr:grpSpPr>
        <a:xfrm>
          <a:off x="9575473" y="0"/>
          <a:ext cx="1591077" cy="1162050"/>
          <a:chOff x="9575473" y="0"/>
          <a:chExt cx="1591077" cy="1162050"/>
        </a:xfrm>
      </xdr:grpSpPr>
      <xdr:sp macro="" textlink="">
        <xdr:nvSpPr>
          <xdr:cNvPr id="76" name="Retângulo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7D01A75D-D7B9-4511-AFDE-8E677F33A3F0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7" name="Imagem 76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9D699858-5AEE-45DC-8181-25760BB7C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9DD1053B-D810-43D7-94D7-B9F6152CF5C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857250</xdr:colOff>
      <xdr:row>0</xdr:row>
      <xdr:rowOff>0</xdr:rowOff>
    </xdr:from>
    <xdr:to>
      <xdr:col>2</xdr:col>
      <xdr:colOff>2317230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5F5CB754-6E76-49D6-A29B-A0C160E6E0C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57450" y="0"/>
          <a:ext cx="1459980" cy="1162050"/>
          <a:chOff x="1993654" y="0"/>
          <a:chExt cx="1022595" cy="781538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BC7F3B9-F885-443B-A9F9-56BC363479B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4" name="Imagem 4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ECC7E9-9D0D-4B40-B576-4824A38249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A0D0D48D-0D77-42CA-B6FC-5B46D648320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1879273</xdr:colOff>
      <xdr:row>0</xdr:row>
      <xdr:rowOff>0</xdr:rowOff>
    </xdr:from>
    <xdr:to>
      <xdr:col>4</xdr:col>
      <xdr:colOff>1393900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5505F7B-589E-4FC1-950D-8C81186C7446}"/>
            </a:ext>
          </a:extLst>
        </xdr:cNvPr>
        <xdr:cNvGrpSpPr/>
      </xdr:nvGrpSpPr>
      <xdr:grpSpPr>
        <a:xfrm>
          <a:off x="5955973" y="0"/>
          <a:ext cx="1591077" cy="1162050"/>
          <a:chOff x="5936923" y="0"/>
          <a:chExt cx="1591077" cy="1162050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4B257DD1-C7BF-498D-B559-734A770A970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B5AF8598-0062-4DDA-A3E5-6B476DD360E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9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A412AB2-9AFE-4583-9579-05C50855CE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</xdr:col>
      <xdr:colOff>1582754</xdr:colOff>
      <xdr:row>0</xdr:row>
      <xdr:rowOff>0</xdr:rowOff>
    </xdr:from>
    <xdr:to>
      <xdr:col>7</xdr:col>
      <xdr:colOff>1383148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E26ADF24-C4E2-41F9-9470-06FCF0B7D5AE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AD05BD32-44D0-4EB8-BDA2-CB8E478E9DCC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6A66A44-CB2C-43B6-ADF2-2BC4B4E5EF9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76794C1-61ED-411F-B137-64DB8FCF9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68891</xdr:colOff>
      <xdr:row>0</xdr:row>
      <xdr:rowOff>0</xdr:rowOff>
    </xdr:from>
    <xdr:to>
      <xdr:col>8</xdr:col>
      <xdr:colOff>1680777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90301798-B8F5-48F9-BCEB-B8D8206CB1CA}"/>
            </a:ext>
          </a:extLst>
        </xdr:cNvPr>
        <xdr:cNvGrpSpPr/>
      </xdr:nvGrpSpPr>
      <xdr:grpSpPr>
        <a:xfrm>
          <a:off x="16851941" y="0"/>
          <a:ext cx="1611886" cy="1162050"/>
          <a:chOff x="16832891" y="0"/>
          <a:chExt cx="1611886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86C004D-D2FA-432C-9517-C3C322E136E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71122876-EB52-4853-BF97-2604998EDCAA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0C6B2C7-5C8B-4717-86E8-86ADFAB5E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499870</xdr:colOff>
      <xdr:row>0</xdr:row>
      <xdr:rowOff>0</xdr:rowOff>
    </xdr:from>
    <xdr:to>
      <xdr:col>10</xdr:col>
      <xdr:colOff>2092380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690908AB-8523-44C9-B33B-B92DAC52E06E}"/>
            </a:ext>
          </a:extLst>
        </xdr:cNvPr>
        <xdr:cNvGrpSpPr/>
      </xdr:nvGrpSpPr>
      <xdr:grpSpPr>
        <a:xfrm>
          <a:off x="20502370" y="0"/>
          <a:ext cx="1592510" cy="1162050"/>
          <a:chOff x="20483320" y="0"/>
          <a:chExt cx="1592510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1CDD99D4-32D2-4355-A054-D35AD739C4A7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3C272162-D74B-424A-80F2-163ACB974390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2B03368-23E0-4D63-ADFC-0C7E353805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587623</xdr:colOff>
      <xdr:row>0</xdr:row>
      <xdr:rowOff>0</xdr:rowOff>
    </xdr:from>
    <xdr:to>
      <xdr:col>11</xdr:col>
      <xdr:colOff>2177284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8BEF5630-C03E-4C88-961A-0386E6EFFBFC}"/>
            </a:ext>
          </a:extLst>
        </xdr:cNvPr>
        <xdr:cNvGrpSpPr/>
      </xdr:nvGrpSpPr>
      <xdr:grpSpPr>
        <a:xfrm>
          <a:off x="24133423" y="0"/>
          <a:ext cx="1589661" cy="1162050"/>
          <a:chOff x="24114373" y="0"/>
          <a:chExt cx="1589661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E0E4117-7FA1-4025-A006-BF7AAB0B54DE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1D7483BF-070B-43DA-BA6D-D0F91A42A129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A5F871E4-3D3C-41E8-9330-8F31EF8DE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1834578</xdr:colOff>
      <xdr:row>0</xdr:row>
      <xdr:rowOff>0</xdr:rowOff>
    </xdr:from>
    <xdr:to>
      <xdr:col>13</xdr:col>
      <xdr:colOff>41847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9F92FC6B-4101-4437-BA86-7E0517292409}"/>
            </a:ext>
          </a:extLst>
        </xdr:cNvPr>
        <xdr:cNvGrpSpPr/>
      </xdr:nvGrpSpPr>
      <xdr:grpSpPr>
        <a:xfrm>
          <a:off x="27761628" y="0"/>
          <a:ext cx="1598169" cy="1162050"/>
          <a:chOff x="27761628" y="0"/>
          <a:chExt cx="1598169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7E482EE5-2FBC-4454-B38B-E176327EE02B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706729C9-F7DD-4F8D-898C-EEFCF0B68959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9F7D725B-513E-4059-8824-7F91BA2A42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156339</xdr:colOff>
      <xdr:row>0</xdr:row>
      <xdr:rowOff>0</xdr:rowOff>
    </xdr:from>
    <xdr:to>
      <xdr:col>15</xdr:col>
      <xdr:colOff>592458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ED9EAE6B-2E57-4603-BBFB-4EFD591C35CF}"/>
            </a:ext>
          </a:extLst>
        </xdr:cNvPr>
        <xdr:cNvGrpSpPr/>
      </xdr:nvGrpSpPr>
      <xdr:grpSpPr>
        <a:xfrm>
          <a:off x="31398339" y="0"/>
          <a:ext cx="1598169" cy="1162050"/>
          <a:chOff x="31379289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622C72DA-D37E-42B9-8355-D5CA71C4FCC5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6310932-3BA2-4868-BE83-2A789719648C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3" name="Imagem 72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11C111BF-B8F8-458B-A15A-C7A6765AC5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164773</xdr:colOff>
      <xdr:row>0</xdr:row>
      <xdr:rowOff>0</xdr:rowOff>
    </xdr:from>
    <xdr:to>
      <xdr:col>5</xdr:col>
      <xdr:colOff>1755850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6F0163FF-2F8E-4EA5-9430-66D934E8663F}"/>
            </a:ext>
          </a:extLst>
        </xdr:cNvPr>
        <xdr:cNvGrpSpPr/>
      </xdr:nvGrpSpPr>
      <xdr:grpSpPr>
        <a:xfrm>
          <a:off x="9594523" y="0"/>
          <a:ext cx="1591077" cy="1162050"/>
          <a:chOff x="9575473" y="0"/>
          <a:chExt cx="1591077" cy="1162050"/>
        </a:xfrm>
      </xdr:grpSpPr>
      <xdr:sp macro="" textlink="">
        <xdr:nvSpPr>
          <xdr:cNvPr id="75" name="Retângulo 7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AEC106F8-A1A9-419D-8173-CF5F1688C777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6" name="Imagem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45B70E6B-BDC0-4091-881C-5B6DD31A43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204EC419-B48A-4B04-82D2-825631A858F4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876300</xdr:colOff>
      <xdr:row>0</xdr:row>
      <xdr:rowOff>0</xdr:rowOff>
    </xdr:from>
    <xdr:to>
      <xdr:col>2</xdr:col>
      <xdr:colOff>2336280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556B71-3EE0-499F-A58B-08F34EA1A3C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76500" y="0"/>
          <a:ext cx="1459980" cy="1162050"/>
          <a:chOff x="1993654" y="0"/>
          <a:chExt cx="1022595" cy="781538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1C13E0A-E8CA-4323-B1A8-4DEE5430408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4" name="Imagem 4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143930A-8247-44BE-A59F-52ACCC077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E5F3CF9-6A39-42EF-82E7-6F025A537BF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>
    <xdr:from>
      <xdr:col>3</xdr:col>
      <xdr:colOff>1898323</xdr:colOff>
      <xdr:row>0</xdr:row>
      <xdr:rowOff>0</xdr:rowOff>
    </xdr:from>
    <xdr:to>
      <xdr:col>4</xdr:col>
      <xdr:colOff>1412950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4163B755-2187-4FE8-9211-CA34BB88DC3F}"/>
            </a:ext>
          </a:extLst>
        </xdr:cNvPr>
        <xdr:cNvGrpSpPr/>
      </xdr:nvGrpSpPr>
      <xdr:grpSpPr>
        <a:xfrm>
          <a:off x="5975023" y="0"/>
          <a:ext cx="1591077" cy="1162050"/>
          <a:chOff x="5936923" y="0"/>
          <a:chExt cx="1591077" cy="1162050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B6B4F23-5F30-4B5A-ADCD-EDEE19D4109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5E3C1C24-A826-4C75-BB5D-431055A6685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9" name="Imagem 1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8B303A6-6327-4359-99C3-883B3344B8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7</xdr:col>
      <xdr:colOff>192104</xdr:colOff>
      <xdr:row>0</xdr:row>
      <xdr:rowOff>0</xdr:rowOff>
    </xdr:from>
    <xdr:to>
      <xdr:col>7</xdr:col>
      <xdr:colOff>1783198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88484FCB-D82A-4625-8633-0CF9BA0F5DD6}"/>
            </a:ext>
          </a:extLst>
        </xdr:cNvPr>
        <xdr:cNvGrpSpPr/>
      </xdr:nvGrpSpPr>
      <xdr:grpSpPr>
        <a:xfrm>
          <a:off x="13241354" y="0"/>
          <a:ext cx="1591094" cy="1162050"/>
          <a:chOff x="13203254" y="0"/>
          <a:chExt cx="1591094" cy="1162050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841DCDC2-DC1F-4875-A353-EDF0FC7E256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97A0F829-AD73-493E-A262-61CD26F8B8F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3" name="Imagem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C8C029-0AEB-45D3-8412-734CC6BD7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354641</xdr:colOff>
      <xdr:row>0</xdr:row>
      <xdr:rowOff>0</xdr:rowOff>
    </xdr:from>
    <xdr:to>
      <xdr:col>8</xdr:col>
      <xdr:colOff>1966527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4F168A02-2EF6-4671-9E15-97DA25E7E720}"/>
            </a:ext>
          </a:extLst>
        </xdr:cNvPr>
        <xdr:cNvGrpSpPr/>
      </xdr:nvGrpSpPr>
      <xdr:grpSpPr>
        <a:xfrm>
          <a:off x="16870991" y="0"/>
          <a:ext cx="1611886" cy="1162050"/>
          <a:chOff x="16832891" y="0"/>
          <a:chExt cx="1611886" cy="1162050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12E4108D-4D04-467D-8AF6-F6D2410DB8D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5D27B50D-5984-4081-923E-5398A642FA66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57" name="Imagem 1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CE6D0C9-91FE-4C2D-B5D9-AFD2A59FFE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842770</xdr:colOff>
      <xdr:row>0</xdr:row>
      <xdr:rowOff>0</xdr:rowOff>
    </xdr:from>
    <xdr:to>
      <xdr:col>9</xdr:col>
      <xdr:colOff>2435280</xdr:colOff>
      <xdr:row>3</xdr:row>
      <xdr:rowOff>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FB437F03-73C5-45E4-B152-7955E8DBE635}"/>
            </a:ext>
          </a:extLst>
        </xdr:cNvPr>
        <xdr:cNvGrpSpPr/>
      </xdr:nvGrpSpPr>
      <xdr:grpSpPr>
        <a:xfrm>
          <a:off x="20521420" y="0"/>
          <a:ext cx="1592510" cy="1162050"/>
          <a:chOff x="20483320" y="0"/>
          <a:chExt cx="1592510" cy="1162050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21C53A63-9AC6-4088-846B-81EBC36E9B52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FAFF11D2-8576-4444-BE7F-951A5952C35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1" name="Imagem 1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DED4D52-67C9-4BD6-A7B8-3E8E28A3B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2035423</xdr:colOff>
      <xdr:row>0</xdr:row>
      <xdr:rowOff>0</xdr:rowOff>
    </xdr:from>
    <xdr:to>
      <xdr:col>11</xdr:col>
      <xdr:colOff>1148584</xdr:colOff>
      <xdr:row>3</xdr:row>
      <xdr:rowOff>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192AA147-C75B-421D-9C8A-192AF5672426}"/>
            </a:ext>
          </a:extLst>
        </xdr:cNvPr>
        <xdr:cNvGrpSpPr/>
      </xdr:nvGrpSpPr>
      <xdr:grpSpPr>
        <a:xfrm>
          <a:off x="24152473" y="0"/>
          <a:ext cx="1589661" cy="1162050"/>
          <a:chOff x="24114373" y="0"/>
          <a:chExt cx="1589661" cy="1162050"/>
        </a:xfrm>
      </xdr:grpSpPr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3511AB3-5DE5-4EE2-8FD2-0E699E32C102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CE3C0802-BB55-461A-AC20-4F129EC97131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5" name="Imagem 17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E2285E2-0864-4DE6-B137-7E406A004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710628</xdr:colOff>
      <xdr:row>0</xdr:row>
      <xdr:rowOff>0</xdr:rowOff>
    </xdr:from>
    <xdr:to>
      <xdr:col>12</xdr:col>
      <xdr:colOff>2308797</xdr:colOff>
      <xdr:row>3</xdr:row>
      <xdr:rowOff>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951CD055-58DF-4AE2-9890-EFFF8525CDE0}"/>
            </a:ext>
          </a:extLst>
        </xdr:cNvPr>
        <xdr:cNvGrpSpPr/>
      </xdr:nvGrpSpPr>
      <xdr:grpSpPr>
        <a:xfrm>
          <a:off x="27780678" y="0"/>
          <a:ext cx="1598169" cy="1162050"/>
          <a:chOff x="27761628" y="0"/>
          <a:chExt cx="1598169" cy="1162050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58026404-8061-4D27-A106-5C1DDEFDCB1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8145F5A4-6F07-473E-A9CE-8991F997D0C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9" name="Imagem 17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599F0F81-B0CD-443C-8E51-9CF4A2071C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956439</xdr:colOff>
      <xdr:row>0</xdr:row>
      <xdr:rowOff>0</xdr:rowOff>
    </xdr:from>
    <xdr:to>
      <xdr:col>14</xdr:col>
      <xdr:colOff>630558</xdr:colOff>
      <xdr:row>3</xdr:row>
      <xdr:rowOff>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24D9F7A5-5670-457A-8132-858983E4F770}"/>
            </a:ext>
          </a:extLst>
        </xdr:cNvPr>
        <xdr:cNvGrpSpPr/>
      </xdr:nvGrpSpPr>
      <xdr:grpSpPr>
        <a:xfrm>
          <a:off x="31417389" y="0"/>
          <a:ext cx="1598169" cy="1162050"/>
          <a:chOff x="31379289" y="0"/>
          <a:chExt cx="1598169" cy="1162050"/>
        </a:xfrm>
      </xdr:grpSpPr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9E0863AD-51CE-4E0F-93FB-593747B5CEA1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9D522E1F-CFAB-4373-9BA9-8631AB5A5C2D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3" name="Imagem 72" descr="Ícone do banco de dados (símbolo png) preto">
            <a:hlinkClick xmlns:r="http://schemas.openxmlformats.org/officeDocument/2006/relationships" r:id="rId29"/>
            <a:extLst>
              <a:ext uri="{FF2B5EF4-FFF2-40B4-BE49-F238E27FC236}">
                <a16:creationId xmlns:a16="http://schemas.microsoft.com/office/drawing/2014/main" id="{90BBC6D2-0AA8-4DEE-8CCA-95CAE390C6B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2012623</xdr:colOff>
      <xdr:row>0</xdr:row>
      <xdr:rowOff>0</xdr:rowOff>
    </xdr:from>
    <xdr:to>
      <xdr:col>6</xdr:col>
      <xdr:colOff>479500</xdr:colOff>
      <xdr:row>3</xdr:row>
      <xdr:rowOff>0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F6C51491-7EDE-45C9-9856-11BA7B8A9245}"/>
            </a:ext>
          </a:extLst>
        </xdr:cNvPr>
        <xdr:cNvGrpSpPr/>
      </xdr:nvGrpSpPr>
      <xdr:grpSpPr>
        <a:xfrm>
          <a:off x="9613573" y="0"/>
          <a:ext cx="1591077" cy="1162050"/>
          <a:chOff x="9575473" y="0"/>
          <a:chExt cx="1591077" cy="1162050"/>
        </a:xfrm>
      </xdr:grpSpPr>
      <xdr:sp macro="" textlink="">
        <xdr:nvSpPr>
          <xdr:cNvPr id="75" name="Retângulo 7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49EDE100-2D15-4528-88C9-B43388A73EC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6" name="Imagem 75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7A21053B-0686-443B-AF3F-8285A4D27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BEBA8EAE-BF5A-486C-A8C5-ECC9F3942E4B}">
                <a14:imgProps xmlns:a14="http://schemas.microsoft.com/office/drawing/2010/main">
                  <a14:imgLayer r:embed="rId3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670FDEB5-BAC9-410A-8F48-BDF78737BF1E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1209624</xdr:colOff>
      <xdr:row>2</xdr:row>
      <xdr:rowOff>400371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DC0CFCC-6BFB-4B9A-907A-AFDD5DC26400}"/>
            </a:ext>
          </a:extLst>
        </xdr:cNvPr>
        <xdr:cNvGrpSpPr/>
      </xdr:nvGrpSpPr>
      <xdr:grpSpPr>
        <a:xfrm>
          <a:off x="0" y="1"/>
          <a:ext cx="1819224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1210141</xdr:colOff>
      <xdr:row>2</xdr:row>
      <xdr:rowOff>381000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A3C23A8C-8B96-40E7-B32A-548916CE61C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9</xdr:col>
      <xdr:colOff>1877291</xdr:colOff>
      <xdr:row>0</xdr:row>
      <xdr:rowOff>54429</xdr:rowOff>
    </xdr:from>
    <xdr:to>
      <xdr:col>9</xdr:col>
      <xdr:colOff>2291223</xdr:colOff>
      <xdr:row>2</xdr:row>
      <xdr:rowOff>105364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2</xdr:row>
      <xdr:rowOff>762002</xdr:rowOff>
    </xdr:from>
    <xdr:to>
      <xdr:col>1</xdr:col>
      <xdr:colOff>1902849</xdr:colOff>
      <xdr:row>3</xdr:row>
      <xdr:rowOff>409352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C6F226-3A04-4B5C-AB07-8943EAE4AC5F}"/>
            </a:ext>
          </a:extLst>
        </xdr:cNvPr>
        <xdr:cNvSpPr/>
      </xdr:nvSpPr>
      <xdr:spPr>
        <a:xfrm>
          <a:off x="609600" y="114300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243292</xdr:colOff>
      <xdr:row>3</xdr:row>
      <xdr:rowOff>38102</xdr:rowOff>
    </xdr:from>
    <xdr:to>
      <xdr:col>2</xdr:col>
      <xdr:colOff>2036941</xdr:colOff>
      <xdr:row>3</xdr:row>
      <xdr:rowOff>466502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DB51C8C-4C97-4253-8271-D529C0F0666C}"/>
            </a:ext>
          </a:extLst>
        </xdr:cNvPr>
        <xdr:cNvSpPr/>
      </xdr:nvSpPr>
      <xdr:spPr>
        <a:xfrm>
          <a:off x="2986492" y="12001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2392879</xdr:colOff>
      <xdr:row>0</xdr:row>
      <xdr:rowOff>87086</xdr:rowOff>
    </xdr:from>
    <xdr:to>
      <xdr:col>8</xdr:col>
      <xdr:colOff>2827593</xdr:colOff>
      <xdr:row>2</xdr:row>
      <xdr:rowOff>138021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2670461</xdr:colOff>
      <xdr:row>3</xdr:row>
      <xdr:rowOff>69275</xdr:rowOff>
    </xdr:from>
    <xdr:to>
      <xdr:col>3</xdr:col>
      <xdr:colOff>543273</xdr:colOff>
      <xdr:row>3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B75970D-DAF7-4C0D-ABD0-537EB1246B8F}"/>
            </a:ext>
          </a:extLst>
        </xdr:cNvPr>
        <xdr:cNvSpPr/>
      </xdr:nvSpPr>
      <xdr:spPr>
        <a:xfrm>
          <a:off x="5413661" y="1231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0</xdr:colOff>
      <xdr:row>29</xdr:row>
      <xdr:rowOff>152400</xdr:rowOff>
    </xdr:from>
    <xdr:to>
      <xdr:col>13</xdr:col>
      <xdr:colOff>1459980</xdr:colOff>
      <xdr:row>33</xdr:row>
      <xdr:rowOff>247650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B0DB3D3-EC63-442F-B8DD-3C1372F712F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33394650" y="842010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D20D5D24-06D9-4242-B5ED-CEDD93576C0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4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92A94E-9721-4E5C-99DB-B2AD6BF5D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5CD50B7-2867-4BC7-9CBE-6F9D6D2D88D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14</xdr:col>
      <xdr:colOff>1441123</xdr:colOff>
      <xdr:row>29</xdr:row>
      <xdr:rowOff>152400</xdr:rowOff>
    </xdr:from>
    <xdr:to>
      <xdr:col>15</xdr:col>
      <xdr:colOff>898600</xdr:colOff>
      <xdr:row>33</xdr:row>
      <xdr:rowOff>247650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D0F94F7-0F50-4E3B-87BD-1775737191DD}"/>
            </a:ext>
          </a:extLst>
        </xdr:cNvPr>
        <xdr:cNvGrpSpPr/>
      </xdr:nvGrpSpPr>
      <xdr:grpSpPr>
        <a:xfrm>
          <a:off x="36893173" y="8420100"/>
          <a:ext cx="1591077" cy="1162050"/>
          <a:chOff x="5936923" y="0"/>
          <a:chExt cx="1591077" cy="1162050"/>
        </a:xfrm>
      </xdr:grpSpPr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9A747B65-7A99-4331-A74A-6A8D5AC89B73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F6E202C3-066F-44E7-830F-ECF166C83E2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52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2957949-66A2-4DB7-850E-86ADF3F24D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20</xdr:col>
      <xdr:colOff>363554</xdr:colOff>
      <xdr:row>29</xdr:row>
      <xdr:rowOff>152400</xdr:rowOff>
    </xdr:from>
    <xdr:to>
      <xdr:col>23</xdr:col>
      <xdr:colOff>125848</xdr:colOff>
      <xdr:row>33</xdr:row>
      <xdr:rowOff>247650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51198EC-ABCF-4BF5-8853-1053EEE46CD6}"/>
            </a:ext>
          </a:extLst>
        </xdr:cNvPr>
        <xdr:cNvGrpSpPr/>
      </xdr:nvGrpSpPr>
      <xdr:grpSpPr>
        <a:xfrm>
          <a:off x="44159504" y="8420100"/>
          <a:ext cx="1591094" cy="1162050"/>
          <a:chOff x="13203254" y="0"/>
          <a:chExt cx="1591094" cy="1162050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775D3A0D-0198-47F2-A051-8962DCE947A9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B1B064C6-6CC4-47A4-9C1A-FE3EA56DC4A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56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69630AB-908D-4DC3-A905-4A059A1DC6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335591</xdr:colOff>
      <xdr:row>29</xdr:row>
      <xdr:rowOff>152400</xdr:rowOff>
    </xdr:from>
    <xdr:to>
      <xdr:col>29</xdr:col>
      <xdr:colOff>118677</xdr:colOff>
      <xdr:row>33</xdr:row>
      <xdr:rowOff>247650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94909A04-20FF-44AD-8EC9-88A9CC47B5E8}"/>
            </a:ext>
          </a:extLst>
        </xdr:cNvPr>
        <xdr:cNvGrpSpPr/>
      </xdr:nvGrpSpPr>
      <xdr:grpSpPr>
        <a:xfrm>
          <a:off x="47789141" y="8420100"/>
          <a:ext cx="1611886" cy="1162050"/>
          <a:chOff x="16832891" y="0"/>
          <a:chExt cx="1611886" cy="1162050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46A7D228-EB70-4A35-AC78-E75E252D457D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E931CB5-8A54-4000-BC84-B9F287B780C3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C57E380-324B-412E-8D9C-28DB073097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32</xdr:col>
      <xdr:colOff>328420</xdr:colOff>
      <xdr:row>29</xdr:row>
      <xdr:rowOff>152400</xdr:rowOff>
    </xdr:from>
    <xdr:to>
      <xdr:col>35</xdr:col>
      <xdr:colOff>92130</xdr:colOff>
      <xdr:row>33</xdr:row>
      <xdr:rowOff>247650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940F84F4-7653-499E-B4CC-93C8F05C20F6}"/>
            </a:ext>
          </a:extLst>
        </xdr:cNvPr>
        <xdr:cNvGrpSpPr/>
      </xdr:nvGrpSpPr>
      <xdr:grpSpPr>
        <a:xfrm>
          <a:off x="51439570" y="8420100"/>
          <a:ext cx="1592510" cy="1162050"/>
          <a:chOff x="20483320" y="0"/>
          <a:chExt cx="1592510" cy="1162050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C6E91119-FD6B-4C4D-AE6B-80D7C24952C2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4047715D-1B44-44BF-8DD2-82DDE6EF90C5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4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E262E9F-C52A-4966-A0FF-F10F03D99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38</xdr:col>
      <xdr:colOff>301873</xdr:colOff>
      <xdr:row>29</xdr:row>
      <xdr:rowOff>152400</xdr:rowOff>
    </xdr:from>
    <xdr:to>
      <xdr:col>41</xdr:col>
      <xdr:colOff>62734</xdr:colOff>
      <xdr:row>33</xdr:row>
      <xdr:rowOff>247650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DABB80C1-1A24-4844-AC75-BC638DA89C7F}"/>
            </a:ext>
          </a:extLst>
        </xdr:cNvPr>
        <xdr:cNvGrpSpPr/>
      </xdr:nvGrpSpPr>
      <xdr:grpSpPr>
        <a:xfrm>
          <a:off x="55070623" y="8420100"/>
          <a:ext cx="1589661" cy="1162050"/>
          <a:chOff x="24114373" y="0"/>
          <a:chExt cx="1589661" cy="1162050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8A56A82B-3097-49A8-A1E5-4FAF388F84B5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D2BF6C5C-9D57-4832-BFFA-31F50A493363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68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A9A1964-C94E-422D-999C-216CDC288F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44</xdr:col>
      <xdr:colOff>272478</xdr:colOff>
      <xdr:row>29</xdr:row>
      <xdr:rowOff>152400</xdr:rowOff>
    </xdr:from>
    <xdr:to>
      <xdr:col>47</xdr:col>
      <xdr:colOff>41847</xdr:colOff>
      <xdr:row>33</xdr:row>
      <xdr:rowOff>247650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57B121F2-411E-47E2-B399-ABF0CD9676FA}"/>
            </a:ext>
          </a:extLst>
        </xdr:cNvPr>
        <xdr:cNvGrpSpPr/>
      </xdr:nvGrpSpPr>
      <xdr:grpSpPr>
        <a:xfrm>
          <a:off x="58698828" y="8420100"/>
          <a:ext cx="1598169" cy="1162050"/>
          <a:chOff x="27761628" y="0"/>
          <a:chExt cx="1598169" cy="1162050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9080349F-2CF5-4A53-A32F-B3072FA1C1D1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6E2B4298-24D3-4F6B-AF2B-56C185BE65AE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72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ECDF5B9A-1953-45C4-BBE7-2AA3245C63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50</xdr:col>
      <xdr:colOff>251589</xdr:colOff>
      <xdr:row>29</xdr:row>
      <xdr:rowOff>152400</xdr:rowOff>
    </xdr:from>
    <xdr:to>
      <xdr:col>53</xdr:col>
      <xdr:colOff>20958</xdr:colOff>
      <xdr:row>33</xdr:row>
      <xdr:rowOff>247650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B27FC3B0-F68C-4327-A6A4-07757B259533}"/>
            </a:ext>
          </a:extLst>
        </xdr:cNvPr>
        <xdr:cNvGrpSpPr/>
      </xdr:nvGrpSpPr>
      <xdr:grpSpPr>
        <a:xfrm>
          <a:off x="62335539" y="8420100"/>
          <a:ext cx="1598169" cy="1162050"/>
          <a:chOff x="31379289" y="0"/>
          <a:chExt cx="1598169" cy="1162050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64AF81C3-B54C-4AB9-B3D0-DB7007D36F68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BB071842-6C7A-4F0C-B3AE-42F56EEEF90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76" name="Imagem 75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6E11EFE8-5C55-4873-9409-A7164CD929B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17</xdr:col>
      <xdr:colOff>107623</xdr:colOff>
      <xdr:row>29</xdr:row>
      <xdr:rowOff>152400</xdr:rowOff>
    </xdr:from>
    <xdr:to>
      <xdr:col>17</xdr:col>
      <xdr:colOff>1698700</xdr:colOff>
      <xdr:row>33</xdr:row>
      <xdr:rowOff>247650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E182AF29-AD01-42F5-A959-1E41879AA5D7}"/>
            </a:ext>
          </a:extLst>
        </xdr:cNvPr>
        <xdr:cNvGrpSpPr/>
      </xdr:nvGrpSpPr>
      <xdr:grpSpPr>
        <a:xfrm>
          <a:off x="40531723" y="8420100"/>
          <a:ext cx="1591077" cy="1162050"/>
          <a:chOff x="9575473" y="0"/>
          <a:chExt cx="1591077" cy="1162050"/>
        </a:xfrm>
      </xdr:grpSpPr>
      <xdr:sp macro="" textlink="">
        <xdr:nvSpPr>
          <xdr:cNvPr id="78" name="Retângulo 7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59C50C1D-4545-4A72-B166-2B8E0819BE25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B8083597-0F31-494A-9FC4-5CD3BAF401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17C0BF01-CFA5-4F0B-8CFA-9B861C786D68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  <xdr:twoCellAnchor editAs="absolute">
    <xdr:from>
      <xdr:col>1</xdr:col>
      <xdr:colOff>1314450</xdr:colOff>
      <xdr:row>0</xdr:row>
      <xdr:rowOff>0</xdr:rowOff>
    </xdr:from>
    <xdr:to>
      <xdr:col>2</xdr:col>
      <xdr:colOff>640830</xdr:colOff>
      <xdr:row>3</xdr:row>
      <xdr:rowOff>0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3579A809-3FE3-46CC-BAA1-C81DEB1AD84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24050" y="0"/>
          <a:ext cx="1459980" cy="1162050"/>
          <a:chOff x="1993654" y="0"/>
          <a:chExt cx="1022595" cy="781538"/>
        </a:xfrm>
      </xdr:grpSpPr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4074D053-48A5-40F5-8AE1-2F5A4BE430A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3" name="Imagem 8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6A3B08D-9ADF-41EF-B37D-936F16B7E9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A87830F1-871E-46CE-9200-FC39568398D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2679373</xdr:colOff>
      <xdr:row>0</xdr:row>
      <xdr:rowOff>0</xdr:rowOff>
    </xdr:from>
    <xdr:to>
      <xdr:col>3</xdr:col>
      <xdr:colOff>155650</xdr:colOff>
      <xdr:row>3</xdr:row>
      <xdr:rowOff>0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D2FD5D5E-BF79-4CFF-AFAC-79D72E9FC712}"/>
            </a:ext>
          </a:extLst>
        </xdr:cNvPr>
        <xdr:cNvGrpSpPr/>
      </xdr:nvGrpSpPr>
      <xdr:grpSpPr>
        <a:xfrm>
          <a:off x="5422573" y="0"/>
          <a:ext cx="1591077" cy="1162050"/>
          <a:chOff x="5936923" y="0"/>
          <a:chExt cx="1591077" cy="1162050"/>
        </a:xfrm>
      </xdr:grpSpPr>
      <xdr:sp macro="" textlink="">
        <xdr:nvSpPr>
          <xdr:cNvPr id="86" name="Retângulo 85">
            <a:extLst>
              <a:ext uri="{FF2B5EF4-FFF2-40B4-BE49-F238E27FC236}">
                <a16:creationId xmlns:a16="http://schemas.microsoft.com/office/drawing/2014/main" id="{1F12F9A8-B31A-4912-B726-4D56D1B6624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28C65C42-A920-4A01-BF88-968D449531F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88" name="Imagem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15DCA263-BC71-415A-9338-3D78DFB76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2592404</xdr:colOff>
      <xdr:row>0</xdr:row>
      <xdr:rowOff>0</xdr:rowOff>
    </xdr:from>
    <xdr:to>
      <xdr:col>5</xdr:col>
      <xdr:colOff>602098</xdr:colOff>
      <xdr:row>3</xdr:row>
      <xdr:rowOff>0</xdr:rowOff>
    </xdr:to>
    <xdr:grpSp>
      <xdr:nvGrpSpPr>
        <xdr:cNvPr id="89" name="Agrupar 88">
          <a:extLst>
            <a:ext uri="{FF2B5EF4-FFF2-40B4-BE49-F238E27FC236}">
              <a16:creationId xmlns:a16="http://schemas.microsoft.com/office/drawing/2014/main" id="{472C3F43-B498-42A7-A517-EBBC7D8BF3CC}"/>
            </a:ext>
          </a:extLst>
        </xdr:cNvPr>
        <xdr:cNvGrpSpPr/>
      </xdr:nvGrpSpPr>
      <xdr:grpSpPr>
        <a:xfrm>
          <a:off x="12688904" y="0"/>
          <a:ext cx="1591094" cy="1162050"/>
          <a:chOff x="13203254" y="0"/>
          <a:chExt cx="1591094" cy="1162050"/>
        </a:xfrm>
      </xdr:grpSpPr>
      <xdr:sp macro="" textlink="">
        <xdr:nvSpPr>
          <xdr:cNvPr id="90" name="Retângulo 89">
            <a:extLst>
              <a:ext uri="{FF2B5EF4-FFF2-40B4-BE49-F238E27FC236}">
                <a16:creationId xmlns:a16="http://schemas.microsoft.com/office/drawing/2014/main" id="{1C43EAB5-CF87-44C7-8F05-5E2F366C51C0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48937ABA-0152-4E45-8231-A15FBAEF943E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92" name="Imagem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899990C9-E953-4711-B90A-0510608DF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2640641</xdr:colOff>
      <xdr:row>0</xdr:row>
      <xdr:rowOff>0</xdr:rowOff>
    </xdr:from>
    <xdr:to>
      <xdr:col>6</xdr:col>
      <xdr:colOff>1395027</xdr:colOff>
      <xdr:row>3</xdr:row>
      <xdr:rowOff>0</xdr:rowOff>
    </xdr:to>
    <xdr:grpSp>
      <xdr:nvGrpSpPr>
        <xdr:cNvPr id="93" name="Agrupar 92">
          <a:extLst>
            <a:ext uri="{FF2B5EF4-FFF2-40B4-BE49-F238E27FC236}">
              <a16:creationId xmlns:a16="http://schemas.microsoft.com/office/drawing/2014/main" id="{0D0D1C5A-7A2C-434D-A153-B139675EA374}"/>
            </a:ext>
          </a:extLst>
        </xdr:cNvPr>
        <xdr:cNvGrpSpPr/>
      </xdr:nvGrpSpPr>
      <xdr:grpSpPr>
        <a:xfrm>
          <a:off x="16318541" y="0"/>
          <a:ext cx="1611886" cy="1162050"/>
          <a:chOff x="16832891" y="0"/>
          <a:chExt cx="1611886" cy="1162050"/>
        </a:xfrm>
      </xdr:grpSpPr>
      <xdr:sp macro="" textlink="">
        <xdr:nvSpPr>
          <xdr:cNvPr id="94" name="Retângulo 93">
            <a:extLst>
              <a:ext uri="{FF2B5EF4-FFF2-40B4-BE49-F238E27FC236}">
                <a16:creationId xmlns:a16="http://schemas.microsoft.com/office/drawing/2014/main" id="{F9E1FE5E-7CC7-42E7-82BE-E3572E739240}"/>
              </a:ext>
            </a:extLst>
          </xdr:cNvPr>
          <xdr:cNvSpPr/>
        </xdr:nvSpPr>
        <xdr:spPr>
          <a:xfrm>
            <a:off x="16882812" y="0"/>
            <a:ext cx="1473954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C6E159B1-9197-4FC3-B8A4-9EDC7509AD7E}"/>
              </a:ext>
            </a:extLst>
          </xdr:cNvPr>
          <xdr:cNvSpPr txBox="1"/>
        </xdr:nvSpPr>
        <xdr:spPr>
          <a:xfrm rot="10800000" flipH="1" flipV="1">
            <a:off x="16832891" y="765583"/>
            <a:ext cx="1611886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96" name="Imagem 17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2BA5A4E8-D7A5-4575-8936-A0B5378CC1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22076" y="136274"/>
            <a:ext cx="595424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1680970</xdr:colOff>
      <xdr:row>0</xdr:row>
      <xdr:rowOff>0</xdr:rowOff>
    </xdr:from>
    <xdr:to>
      <xdr:col>8</xdr:col>
      <xdr:colOff>1387530</xdr:colOff>
      <xdr:row>3</xdr:row>
      <xdr:rowOff>0</xdr:rowOff>
    </xdr:to>
    <xdr:grpSp>
      <xdr:nvGrpSpPr>
        <xdr:cNvPr id="97" name="Agrupar 96">
          <a:extLst>
            <a:ext uri="{FF2B5EF4-FFF2-40B4-BE49-F238E27FC236}">
              <a16:creationId xmlns:a16="http://schemas.microsoft.com/office/drawing/2014/main" id="{899EFB5B-345E-46E0-8643-398CB443B8E4}"/>
            </a:ext>
          </a:extLst>
        </xdr:cNvPr>
        <xdr:cNvGrpSpPr/>
      </xdr:nvGrpSpPr>
      <xdr:grpSpPr>
        <a:xfrm>
          <a:off x="19968970" y="0"/>
          <a:ext cx="1592510" cy="1162050"/>
          <a:chOff x="20483320" y="0"/>
          <a:chExt cx="1592510" cy="1162050"/>
        </a:xfrm>
      </xdr:grpSpPr>
      <xdr:sp macro="" textlink="">
        <xdr:nvSpPr>
          <xdr:cNvPr id="98" name="Retângulo 97">
            <a:extLst>
              <a:ext uri="{FF2B5EF4-FFF2-40B4-BE49-F238E27FC236}">
                <a16:creationId xmlns:a16="http://schemas.microsoft.com/office/drawing/2014/main" id="{5B9AF5DD-AD84-4BE6-A6B9-00A74E878F36}"/>
              </a:ext>
            </a:extLst>
          </xdr:cNvPr>
          <xdr:cNvSpPr/>
        </xdr:nvSpPr>
        <xdr:spPr>
          <a:xfrm>
            <a:off x="20532641" y="0"/>
            <a:ext cx="145623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D50C29E4-00DC-4FA6-9EA6-0BC19551AF38}"/>
              </a:ext>
            </a:extLst>
          </xdr:cNvPr>
          <xdr:cNvSpPr txBox="1"/>
        </xdr:nvSpPr>
        <xdr:spPr>
          <a:xfrm rot="10800000" flipH="1" flipV="1">
            <a:off x="20483320" y="765583"/>
            <a:ext cx="1592510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100" name="Imagem 1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FFB766F-6787-47D2-8382-DE12CF092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1486" y="136274"/>
            <a:ext cx="578543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149473</xdr:colOff>
      <xdr:row>0</xdr:row>
      <xdr:rowOff>0</xdr:rowOff>
    </xdr:from>
    <xdr:to>
      <xdr:col>9</xdr:col>
      <xdr:colOff>1739134</xdr:colOff>
      <xdr:row>3</xdr:row>
      <xdr:rowOff>0</xdr:rowOff>
    </xdr:to>
    <xdr:grpSp>
      <xdr:nvGrpSpPr>
        <xdr:cNvPr id="101" name="Agrupar 100">
          <a:extLst>
            <a:ext uri="{FF2B5EF4-FFF2-40B4-BE49-F238E27FC236}">
              <a16:creationId xmlns:a16="http://schemas.microsoft.com/office/drawing/2014/main" id="{930E4111-555C-4B93-97DC-EFADAA1CFEFA}"/>
            </a:ext>
          </a:extLst>
        </xdr:cNvPr>
        <xdr:cNvGrpSpPr/>
      </xdr:nvGrpSpPr>
      <xdr:grpSpPr>
        <a:xfrm>
          <a:off x="23600023" y="0"/>
          <a:ext cx="1589661" cy="1162050"/>
          <a:chOff x="24114373" y="0"/>
          <a:chExt cx="1589661" cy="1162050"/>
        </a:xfrm>
      </xdr:grpSpPr>
      <xdr:sp macro="" textlink="">
        <xdr:nvSpPr>
          <xdr:cNvPr id="102" name="Retângulo 101">
            <a:extLst>
              <a:ext uri="{FF2B5EF4-FFF2-40B4-BE49-F238E27FC236}">
                <a16:creationId xmlns:a16="http://schemas.microsoft.com/office/drawing/2014/main" id="{1E0F8005-9098-47FF-98BE-61F76A0B0E6B}"/>
              </a:ext>
            </a:extLst>
          </xdr:cNvPr>
          <xdr:cNvSpPr/>
        </xdr:nvSpPr>
        <xdr:spPr>
          <a:xfrm>
            <a:off x="24163606" y="0"/>
            <a:ext cx="145363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97F2A02B-28BA-4FFF-9F52-195849793943}"/>
              </a:ext>
            </a:extLst>
          </xdr:cNvPr>
          <xdr:cNvSpPr txBox="1"/>
        </xdr:nvSpPr>
        <xdr:spPr>
          <a:xfrm rot="10800000" flipH="1" flipV="1">
            <a:off x="24114373" y="765583"/>
            <a:ext cx="1589661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104" name="Imagem 1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224E2A16-5C65-4809-9175-E74231B92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601666" y="136274"/>
            <a:ext cx="577508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501078</xdr:colOff>
      <xdr:row>0</xdr:row>
      <xdr:rowOff>0</xdr:rowOff>
    </xdr:from>
    <xdr:to>
      <xdr:col>10</xdr:col>
      <xdr:colOff>2099247</xdr:colOff>
      <xdr:row>3</xdr:row>
      <xdr:rowOff>0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id="{0223D3B2-C8AD-4E48-99DC-4EE6E9FDEBAB}"/>
            </a:ext>
          </a:extLst>
        </xdr:cNvPr>
        <xdr:cNvGrpSpPr/>
      </xdr:nvGrpSpPr>
      <xdr:grpSpPr>
        <a:xfrm>
          <a:off x="27228228" y="0"/>
          <a:ext cx="1598169" cy="1162050"/>
          <a:chOff x="27761628" y="0"/>
          <a:chExt cx="1598169" cy="1162050"/>
        </a:xfrm>
      </xdr:grpSpPr>
      <xdr:sp macro="" textlink="">
        <xdr:nvSpPr>
          <xdr:cNvPr id="106" name="Retângulo 105">
            <a:extLst>
              <a:ext uri="{FF2B5EF4-FFF2-40B4-BE49-F238E27FC236}">
                <a16:creationId xmlns:a16="http://schemas.microsoft.com/office/drawing/2014/main" id="{ED75B81C-3400-4F23-BC6C-A77B762CFCB3}"/>
              </a:ext>
            </a:extLst>
          </xdr:cNvPr>
          <xdr:cNvSpPr/>
        </xdr:nvSpPr>
        <xdr:spPr>
          <a:xfrm>
            <a:off x="27811124" y="0"/>
            <a:ext cx="1461411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83451076-ED4B-49E7-B742-A59A4603F1D3}"/>
              </a:ext>
            </a:extLst>
          </xdr:cNvPr>
          <xdr:cNvSpPr txBox="1"/>
        </xdr:nvSpPr>
        <xdr:spPr>
          <a:xfrm rot="10800000" flipH="1" flipV="1">
            <a:off x="27761628" y="765583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108" name="Imagem 17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F2BCBFF4-5572-4640-88F8-314D63CDB1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8253968" y="136274"/>
            <a:ext cx="575719" cy="598986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1870839</xdr:colOff>
      <xdr:row>0</xdr:row>
      <xdr:rowOff>0</xdr:rowOff>
    </xdr:from>
    <xdr:to>
      <xdr:col>12</xdr:col>
      <xdr:colOff>992508</xdr:colOff>
      <xdr:row>3</xdr:row>
      <xdr:rowOff>0</xdr:rowOff>
    </xdr:to>
    <xdr:grpSp>
      <xdr:nvGrpSpPr>
        <xdr:cNvPr id="109" name="Agrupar 108">
          <a:extLst>
            <a:ext uri="{FF2B5EF4-FFF2-40B4-BE49-F238E27FC236}">
              <a16:creationId xmlns:a16="http://schemas.microsoft.com/office/drawing/2014/main" id="{E7F55408-12FF-4D61-8C9E-20AC3A43CF72}"/>
            </a:ext>
          </a:extLst>
        </xdr:cNvPr>
        <xdr:cNvGrpSpPr/>
      </xdr:nvGrpSpPr>
      <xdr:grpSpPr>
        <a:xfrm>
          <a:off x="30864939" y="0"/>
          <a:ext cx="1598169" cy="1162050"/>
          <a:chOff x="31379289" y="0"/>
          <a:chExt cx="1598169" cy="1162050"/>
        </a:xfrm>
      </xdr:grpSpPr>
      <xdr:sp macro="" textlink="">
        <xdr:nvSpPr>
          <xdr:cNvPr id="110" name="Retângulo 109">
            <a:extLst>
              <a:ext uri="{FF2B5EF4-FFF2-40B4-BE49-F238E27FC236}">
                <a16:creationId xmlns:a16="http://schemas.microsoft.com/office/drawing/2014/main" id="{401752E8-191D-49EB-A710-D4F42209AB4B}"/>
              </a:ext>
            </a:extLst>
          </xdr:cNvPr>
          <xdr:cNvSpPr/>
        </xdr:nvSpPr>
        <xdr:spPr>
          <a:xfrm>
            <a:off x="31428784" y="0"/>
            <a:ext cx="146141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CaixaDeTexto 110">
            <a:extLst>
              <a:ext uri="{FF2B5EF4-FFF2-40B4-BE49-F238E27FC236}">
                <a16:creationId xmlns:a16="http://schemas.microsoft.com/office/drawing/2014/main" id="{49E8264C-2AA9-453C-A434-E5AFDF7C932E}"/>
              </a:ext>
            </a:extLst>
          </xdr:cNvPr>
          <xdr:cNvSpPr txBox="1"/>
        </xdr:nvSpPr>
        <xdr:spPr>
          <a:xfrm rot="10800000" flipH="1" flipV="1">
            <a:off x="31379289" y="765584"/>
            <a:ext cx="1598169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112" name="Imagem 111" descr="Ícone do banco de dados (símbolo png) preto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51BC7D6B-F9D4-4EAD-8543-2611C6EAD3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840974" y="105753"/>
            <a:ext cx="621243" cy="635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2203123</xdr:colOff>
      <xdr:row>0</xdr:row>
      <xdr:rowOff>0</xdr:rowOff>
    </xdr:from>
    <xdr:to>
      <xdr:col>4</xdr:col>
      <xdr:colOff>555700</xdr:colOff>
      <xdr:row>3</xdr:row>
      <xdr:rowOff>0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13291233-D106-44DF-8CC3-CD78CF6366FF}"/>
            </a:ext>
          </a:extLst>
        </xdr:cNvPr>
        <xdr:cNvGrpSpPr/>
      </xdr:nvGrpSpPr>
      <xdr:grpSpPr>
        <a:xfrm>
          <a:off x="9061123" y="0"/>
          <a:ext cx="1591077" cy="1162050"/>
          <a:chOff x="9575473" y="0"/>
          <a:chExt cx="1591077" cy="1162050"/>
        </a:xfrm>
      </xdr:grpSpPr>
      <xdr:sp macro="" textlink="">
        <xdr:nvSpPr>
          <xdr:cNvPr id="114" name="Retângulo 113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198E988D-6C4A-4FC9-B67F-9BF909EAADC8}"/>
              </a:ext>
            </a:extLst>
          </xdr:cNvPr>
          <xdr:cNvSpPr/>
        </xdr:nvSpPr>
        <xdr:spPr>
          <a:xfrm>
            <a:off x="9616039" y="0"/>
            <a:ext cx="1461409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5" name="Imagem 114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73538A17-EF32-4091-992C-E51D561DB7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BEBA8EAE-BF5A-486C-A8C5-ECC9F3942E4B}">
                <a14:imgProps xmlns:a14="http://schemas.microsoft.com/office/drawing/2010/main">
                  <a14:imgLayer r:embed="rId3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997039" y="152400"/>
            <a:ext cx="597825" cy="598988"/>
          </a:xfrm>
          <a:prstGeom prst="rect">
            <a:avLst/>
          </a:prstGeom>
        </xdr:spPr>
      </xdr:pic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7B0CEF5C-75C2-4C15-837D-A8A9B85A64CF}"/>
              </a:ext>
            </a:extLst>
          </xdr:cNvPr>
          <xdr:cNvSpPr txBox="1"/>
        </xdr:nvSpPr>
        <xdr:spPr>
          <a:xfrm rot="10800000" flipH="1" flipV="1">
            <a:off x="9575473" y="762000"/>
            <a:ext cx="1591077" cy="370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LOGISTICA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  <sheetName val="TAM"/>
    </sheetNames>
    <definedNames>
      <definedName name="BotaoComLogi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MaiorPmenorPreço"/>
      <definedName name="MenoPMaiorPreç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2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4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3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zoomScale="40" zoomScaleNormal="40" workbookViewId="0"/>
  </sheetViews>
  <sheetFormatPr defaultColWidth="8.88671875" defaultRowHeight="14.4" zeroHeight="1" x14ac:dyDescent="0.3"/>
  <cols>
    <col min="1" max="25" width="8.88671875" customWidth="1"/>
    <col min="26" max="43" width="8.88671875" style="100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475" t="s">
        <v>0</v>
      </c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  <c r="AV2" s="475"/>
      <c r="AW2" s="475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0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0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0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0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0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0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0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0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0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0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0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0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0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0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0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0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0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0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0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0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0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0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0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0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0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BJ80"/>
  <sheetViews>
    <sheetView showGridLines="0" showRowColHeaders="0" zoomScale="40" zoomScaleNormal="40" workbookViewId="0"/>
  </sheetViews>
  <sheetFormatPr defaultRowHeight="14.4" x14ac:dyDescent="0.3"/>
  <cols>
    <col min="1" max="2" width="8.88671875" style="100"/>
    <col min="3" max="3" width="8.88671875" style="100" customWidth="1"/>
    <col min="4" max="4" width="8.88671875" style="100"/>
    <col min="5" max="5" width="28.88671875" style="100" customWidth="1"/>
    <col min="6" max="6" width="12.33203125" style="100" customWidth="1"/>
    <col min="7" max="7" width="15.6640625" style="100" bestFit="1" customWidth="1"/>
    <col min="8" max="8" width="16.6640625" style="100" bestFit="1" customWidth="1"/>
    <col min="9" max="9" width="10.33203125" style="100" customWidth="1"/>
    <col min="10" max="10" width="19.5546875" style="100" bestFit="1" customWidth="1"/>
    <col min="11" max="11" width="13.44140625" style="100" bestFit="1" customWidth="1"/>
    <col min="12" max="12" width="12.33203125" style="100" bestFit="1" customWidth="1"/>
    <col min="13" max="13" width="9.5546875" style="100" bestFit="1" customWidth="1"/>
    <col min="14" max="14" width="16.6640625" style="100" bestFit="1" customWidth="1"/>
    <col min="15" max="16" width="8.88671875" style="100"/>
    <col min="17" max="17" width="34" style="100" customWidth="1"/>
    <col min="18" max="18" width="15.6640625" style="100" customWidth="1"/>
    <col min="19" max="19" width="21.21875" style="100" customWidth="1"/>
    <col min="20" max="20" width="19.33203125" style="100" bestFit="1" customWidth="1"/>
    <col min="21" max="21" width="14.5546875" style="100" bestFit="1" customWidth="1"/>
    <col min="22" max="22" width="26.77734375" style="100" bestFit="1" customWidth="1"/>
    <col min="23" max="16384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476"/>
      <c r="B4" s="476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  <c r="AN4" s="476"/>
      <c r="AO4" s="476"/>
      <c r="AP4" s="476"/>
      <c r="AQ4" s="476"/>
      <c r="AR4" s="476"/>
      <c r="AS4" s="476"/>
      <c r="AT4" s="476"/>
      <c r="AU4" s="476"/>
      <c r="AV4" s="476"/>
      <c r="AW4" s="476"/>
      <c r="AX4" s="476"/>
      <c r="AY4" s="476"/>
      <c r="AZ4" s="476"/>
      <c r="BA4" s="476"/>
      <c r="BB4" s="476"/>
      <c r="BC4" s="476"/>
      <c r="BD4" s="476"/>
      <c r="BE4" s="476"/>
      <c r="BF4" s="476"/>
      <c r="BG4" s="476"/>
      <c r="BH4" s="476"/>
      <c r="BI4" s="476"/>
      <c r="BJ4" s="476"/>
    </row>
    <row r="5" spans="1:62" x14ac:dyDescent="0.3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6"/>
      <c r="Z5" s="476"/>
      <c r="AA5" s="476"/>
      <c r="AB5" s="476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  <c r="AN5" s="476"/>
      <c r="AO5" s="476"/>
      <c r="AP5" s="476"/>
      <c r="AQ5" s="476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  <c r="BE5" s="476"/>
      <c r="BF5" s="476"/>
      <c r="BG5" s="476"/>
      <c r="BH5" s="476"/>
      <c r="BI5" s="476"/>
      <c r="BJ5" s="476"/>
    </row>
    <row r="6" spans="1:62" x14ac:dyDescent="0.3">
      <c r="A6" s="476"/>
      <c r="B6" s="476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76"/>
      <c r="R6" s="476"/>
      <c r="S6" s="476"/>
      <c r="T6" s="476"/>
      <c r="U6" s="476"/>
      <c r="V6" s="476"/>
      <c r="W6" s="476"/>
      <c r="X6" s="476"/>
      <c r="Y6" s="476"/>
      <c r="Z6" s="476"/>
      <c r="AA6" s="476"/>
      <c r="AB6" s="476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  <c r="AN6" s="476"/>
      <c r="AO6" s="476"/>
      <c r="AP6" s="476"/>
      <c r="AQ6" s="476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  <c r="BE6" s="476"/>
      <c r="BF6" s="476"/>
      <c r="BG6" s="476"/>
      <c r="BH6" s="476"/>
      <c r="BI6" s="476"/>
      <c r="BJ6" s="476"/>
    </row>
    <row r="7" spans="1:62" x14ac:dyDescent="0.3">
      <c r="A7" s="476"/>
      <c r="B7" s="476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  <c r="AN7" s="476"/>
      <c r="AO7" s="476"/>
      <c r="AP7" s="476"/>
      <c r="AQ7" s="476"/>
      <c r="AR7" s="476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  <c r="BE7" s="476"/>
      <c r="BF7" s="476"/>
      <c r="BG7" s="476"/>
      <c r="BH7" s="476"/>
      <c r="BI7" s="476"/>
      <c r="BJ7" s="476"/>
    </row>
    <row r="8" spans="1:62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2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2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3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3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3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3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3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3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3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3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3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3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3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1"/>
  <sheetViews>
    <sheetView showGridLines="0" zoomScale="40" zoomScaleNormal="40" workbookViewId="0">
      <selection activeCell="Q14" sqref="Q14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50.6640625" bestFit="1" customWidth="1"/>
    <col min="18" max="18" width="22.33203125" bestFit="1" customWidth="1"/>
    <col min="19" max="19" width="30.44140625" bestFit="1" customWidth="1"/>
    <col min="20" max="20" width="27.88671875" bestFit="1" customWidth="1"/>
    <col min="21" max="21" width="21.21875" bestFit="1" customWidth="1"/>
    <col min="22" max="22" width="38.44140625" bestFit="1" customWidth="1"/>
    <col min="52" max="53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476"/>
      <c r="B4" s="476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  <c r="AN4" s="476"/>
      <c r="AO4" s="476"/>
      <c r="AP4" s="476"/>
      <c r="AQ4" s="476"/>
      <c r="AR4" s="476"/>
      <c r="AS4" s="476"/>
      <c r="AT4" s="476"/>
      <c r="AU4" s="476"/>
      <c r="AV4" s="476"/>
      <c r="AW4" s="476"/>
      <c r="AX4" s="476"/>
      <c r="AY4" s="476"/>
      <c r="AZ4" s="476"/>
      <c r="BA4" s="476"/>
      <c r="BB4" s="476"/>
      <c r="BC4" s="476"/>
      <c r="BD4" s="476"/>
      <c r="BE4" s="476"/>
      <c r="BF4" s="476"/>
      <c r="BG4" s="476"/>
      <c r="BH4" s="476"/>
      <c r="BI4" s="476"/>
      <c r="BJ4" s="476"/>
    </row>
    <row r="5" spans="1:62" x14ac:dyDescent="0.3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6"/>
      <c r="Z5" s="476"/>
      <c r="AA5" s="476"/>
      <c r="AB5" s="476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  <c r="AN5" s="476"/>
      <c r="AO5" s="476"/>
      <c r="AP5" s="476"/>
      <c r="AQ5" s="476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  <c r="BE5" s="476"/>
      <c r="BF5" s="476"/>
      <c r="BG5" s="476"/>
      <c r="BH5" s="476"/>
      <c r="BI5" s="476"/>
      <c r="BJ5" s="476"/>
    </row>
    <row r="6" spans="1:62" x14ac:dyDescent="0.3">
      <c r="A6" s="476"/>
      <c r="B6" s="476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76"/>
      <c r="R6" s="476"/>
      <c r="S6" s="476"/>
      <c r="T6" s="476"/>
      <c r="U6" s="476"/>
      <c r="V6" s="476"/>
      <c r="W6" s="476"/>
      <c r="X6" s="476"/>
      <c r="Y6" s="476"/>
      <c r="Z6" s="476"/>
      <c r="AA6" s="476"/>
      <c r="AB6" s="476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  <c r="AN6" s="476"/>
      <c r="AO6" s="476"/>
      <c r="AP6" s="476"/>
      <c r="AQ6" s="476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  <c r="BE6" s="476"/>
      <c r="BF6" s="476"/>
      <c r="BG6" s="476"/>
      <c r="BH6" s="476"/>
      <c r="BI6" s="476"/>
      <c r="BJ6" s="476"/>
    </row>
    <row r="7" spans="1:62" x14ac:dyDescent="0.3">
      <c r="A7" s="476"/>
      <c r="B7" s="476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  <c r="AN7" s="476"/>
      <c r="AO7" s="476"/>
      <c r="AP7" s="476"/>
      <c r="AQ7" s="476"/>
      <c r="AR7" s="476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  <c r="BE7" s="476"/>
      <c r="BF7" s="476"/>
      <c r="BG7" s="476"/>
      <c r="BH7" s="476"/>
      <c r="BI7" s="476"/>
      <c r="BJ7" s="476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481" t="s">
        <v>1</v>
      </c>
      <c r="R11" s="482"/>
      <c r="S11" s="482"/>
      <c r="T11" s="482"/>
      <c r="U11" s="482"/>
      <c r="V11" s="483"/>
    </row>
    <row r="12" spans="1:62" ht="25.2" customHeight="1" x14ac:dyDescent="0.3">
      <c r="Q12" s="484"/>
      <c r="R12" s="485"/>
      <c r="S12" s="485"/>
      <c r="T12" s="485"/>
      <c r="U12" s="485"/>
      <c r="V12" s="486"/>
    </row>
    <row r="13" spans="1:62" ht="75" customHeight="1" x14ac:dyDescent="0.3">
      <c r="Q13" s="447" t="s">
        <v>2</v>
      </c>
      <c r="R13" s="450" t="s">
        <v>3</v>
      </c>
      <c r="S13" s="450" t="s">
        <v>4</v>
      </c>
      <c r="T13" s="450" t="s">
        <v>5</v>
      </c>
      <c r="U13" s="451" t="s">
        <v>6</v>
      </c>
      <c r="V13" s="452" t="s">
        <v>7</v>
      </c>
    </row>
    <row r="14" spans="1:62" ht="60" customHeight="1" x14ac:dyDescent="0.3">
      <c r="Q14" s="448" t="s">
        <v>8</v>
      </c>
      <c r="R14" s="453">
        <v>2</v>
      </c>
      <c r="S14" s="454">
        <v>1</v>
      </c>
      <c r="T14" s="454">
        <v>0</v>
      </c>
      <c r="U14" s="454">
        <v>1</v>
      </c>
      <c r="V14" s="455">
        <v>2</v>
      </c>
    </row>
    <row r="15" spans="1:62" ht="60" customHeight="1" x14ac:dyDescent="0.3">
      <c r="Q15" s="448" t="s">
        <v>9</v>
      </c>
      <c r="R15" s="456">
        <v>2</v>
      </c>
      <c r="S15" s="457">
        <v>1</v>
      </c>
      <c r="T15" s="457">
        <v>0</v>
      </c>
      <c r="U15" s="457">
        <v>2</v>
      </c>
      <c r="V15" s="458">
        <v>1</v>
      </c>
    </row>
    <row r="16" spans="1:62" ht="60" customHeight="1" x14ac:dyDescent="0.3">
      <c r="Q16" s="448" t="s">
        <v>10</v>
      </c>
      <c r="R16" s="456">
        <v>1</v>
      </c>
      <c r="S16" s="457">
        <v>1</v>
      </c>
      <c r="T16" s="457">
        <v>5</v>
      </c>
      <c r="U16" s="457">
        <v>3</v>
      </c>
      <c r="V16" s="458">
        <v>2</v>
      </c>
    </row>
    <row r="17" spans="17:22" ht="60" customHeight="1" thickBot="1" x14ac:dyDescent="0.35">
      <c r="Q17" s="449" t="s">
        <v>11</v>
      </c>
      <c r="R17" s="459">
        <v>4</v>
      </c>
      <c r="S17" s="460">
        <v>1</v>
      </c>
      <c r="T17" s="460">
        <v>0</v>
      </c>
      <c r="U17" s="460">
        <v>4</v>
      </c>
      <c r="V17" s="461">
        <v>1</v>
      </c>
    </row>
    <row r="18" spans="17:22" x14ac:dyDescent="0.3">
      <c r="Q18" s="100"/>
      <c r="R18" s="100"/>
      <c r="S18" s="100"/>
      <c r="T18" s="100"/>
      <c r="U18" s="100"/>
      <c r="V18" s="100"/>
    </row>
    <row r="19" spans="17:22" x14ac:dyDescent="0.3">
      <c r="Q19" s="100"/>
      <c r="R19" s="100"/>
      <c r="S19" s="100"/>
      <c r="T19" s="100"/>
      <c r="U19" s="100"/>
      <c r="V19" s="100"/>
    </row>
    <row r="20" spans="17:22" ht="14.4" customHeight="1" x14ac:dyDescent="0.3">
      <c r="Q20" s="100"/>
      <c r="R20" s="100"/>
      <c r="S20" s="100"/>
      <c r="T20" s="100"/>
      <c r="U20" s="100"/>
      <c r="V20" s="100"/>
    </row>
    <row r="21" spans="17:22" ht="14.4" customHeight="1" thickBot="1" x14ac:dyDescent="0.35">
      <c r="Q21" s="100"/>
      <c r="R21" s="100"/>
      <c r="S21" s="100"/>
      <c r="T21" s="100"/>
      <c r="U21" s="100"/>
      <c r="V21" s="100"/>
    </row>
    <row r="22" spans="17:22" ht="25.5" customHeight="1" x14ac:dyDescent="0.3">
      <c r="Q22" s="100"/>
      <c r="R22" s="487" t="s">
        <v>10</v>
      </c>
      <c r="S22" s="488"/>
      <c r="T22" s="488"/>
      <c r="U22" s="489"/>
      <c r="V22" s="100"/>
    </row>
    <row r="23" spans="17:22" ht="25.5" customHeight="1" x14ac:dyDescent="0.3">
      <c r="Q23" s="100"/>
      <c r="R23" s="490"/>
      <c r="S23" s="491"/>
      <c r="T23" s="491"/>
      <c r="U23" s="492"/>
      <c r="V23" s="100"/>
    </row>
    <row r="24" spans="17:22" ht="37.5" customHeight="1" x14ac:dyDescent="0.3">
      <c r="Q24" s="100"/>
      <c r="R24" s="493" t="s">
        <v>12</v>
      </c>
      <c r="S24" s="494"/>
      <c r="T24" s="497">
        <v>1</v>
      </c>
      <c r="U24" s="477"/>
      <c r="V24" s="100"/>
    </row>
    <row r="25" spans="17:22" ht="37.5" customHeight="1" x14ac:dyDescent="0.3">
      <c r="Q25" s="100"/>
      <c r="R25" s="495"/>
      <c r="S25" s="496"/>
      <c r="T25" s="498"/>
      <c r="U25" s="478"/>
      <c r="V25" s="100"/>
    </row>
    <row r="26" spans="17:22" ht="15" customHeight="1" x14ac:dyDescent="0.3">
      <c r="Q26" s="100"/>
      <c r="R26" s="3"/>
      <c r="S26" s="4"/>
      <c r="T26" s="5" t="s">
        <v>13</v>
      </c>
      <c r="U26" s="6" t="s">
        <v>13</v>
      </c>
      <c r="V26" s="100"/>
    </row>
    <row r="27" spans="17:22" ht="28.2" x14ac:dyDescent="0.3">
      <c r="Q27" s="100"/>
      <c r="R27" s="479" t="s">
        <v>3</v>
      </c>
      <c r="S27" s="480"/>
      <c r="T27" s="462">
        <f>VLOOKUP(R22,Q14:V17,2,FALSE)*T24</f>
        <v>1</v>
      </c>
      <c r="U27" s="7"/>
      <c r="V27" s="100"/>
    </row>
    <row r="28" spans="17:22" ht="28.8" x14ac:dyDescent="0.4">
      <c r="Q28" s="100"/>
      <c r="R28" s="103"/>
      <c r="S28" s="104" t="s">
        <v>13</v>
      </c>
      <c r="T28" s="10" t="s">
        <v>13</v>
      </c>
      <c r="U28" s="6" t="s">
        <v>13</v>
      </c>
      <c r="V28" s="100"/>
    </row>
    <row r="29" spans="17:22" ht="28.2" x14ac:dyDescent="0.3">
      <c r="Q29" s="100"/>
      <c r="R29" s="479" t="s">
        <v>4</v>
      </c>
      <c r="S29" s="480"/>
      <c r="T29" s="462">
        <f>VLOOKUP(R22,Q14:V17,3,FALSE)*T24</f>
        <v>1</v>
      </c>
      <c r="U29" s="7"/>
      <c r="V29" s="100"/>
    </row>
    <row r="30" spans="17:22" ht="28.8" x14ac:dyDescent="0.3">
      <c r="Q30" s="100"/>
      <c r="R30" s="105"/>
      <c r="S30" s="104" t="s">
        <v>13</v>
      </c>
      <c r="T30" s="10" t="s">
        <v>13</v>
      </c>
      <c r="U30" s="6" t="s">
        <v>13</v>
      </c>
      <c r="V30" s="100"/>
    </row>
    <row r="31" spans="17:22" ht="28.2" x14ac:dyDescent="0.3">
      <c r="Q31" s="100"/>
      <c r="R31" s="479" t="s">
        <v>5</v>
      </c>
      <c r="S31" s="480"/>
      <c r="T31" s="462">
        <f>VLOOKUP(R22,Q14:V17,4,FALSE)*T24</f>
        <v>5</v>
      </c>
      <c r="U31" s="7"/>
      <c r="V31" s="100"/>
    </row>
    <row r="32" spans="17:22" ht="28.8" x14ac:dyDescent="0.4">
      <c r="Q32" s="100"/>
      <c r="R32" s="103"/>
      <c r="S32" s="104" t="s">
        <v>13</v>
      </c>
      <c r="T32" s="10" t="s">
        <v>13</v>
      </c>
      <c r="U32" s="6" t="s">
        <v>13</v>
      </c>
      <c r="V32" s="100"/>
    </row>
    <row r="33" spans="17:22" ht="28.2" x14ac:dyDescent="0.3">
      <c r="Q33" s="100"/>
      <c r="R33" s="479" t="s">
        <v>6</v>
      </c>
      <c r="S33" s="480"/>
      <c r="T33" s="462">
        <f>VLOOKUP(R22,Q14:V17,5,FALSE)*T24</f>
        <v>3</v>
      </c>
      <c r="U33" s="7"/>
      <c r="V33" s="100"/>
    </row>
    <row r="34" spans="17:22" ht="28.8" x14ac:dyDescent="0.3">
      <c r="Q34" s="100"/>
      <c r="R34" s="105"/>
      <c r="S34" s="104"/>
      <c r="T34" s="106"/>
      <c r="U34" s="6"/>
      <c r="V34" s="100"/>
    </row>
    <row r="35" spans="17:22" ht="28.2" x14ac:dyDescent="0.3">
      <c r="Q35" s="100"/>
      <c r="R35" s="479" t="s">
        <v>7</v>
      </c>
      <c r="S35" s="480"/>
      <c r="T35" s="462">
        <f>VLOOKUP(R22,Q14:V17,6,FALSE)*T24</f>
        <v>2</v>
      </c>
      <c r="U35" s="7"/>
      <c r="V35" s="100"/>
    </row>
    <row r="36" spans="17:22" ht="28.8" x14ac:dyDescent="0.3">
      <c r="Q36" s="100"/>
      <c r="R36" s="3"/>
      <c r="S36" s="10"/>
      <c r="T36" s="9"/>
      <c r="U36" s="11"/>
      <c r="V36" s="100"/>
    </row>
    <row r="37" spans="17:22" ht="28.8" x14ac:dyDescent="0.3">
      <c r="Q37" s="100"/>
      <c r="R37" s="3"/>
      <c r="S37" s="10"/>
      <c r="T37" s="9"/>
      <c r="U37" s="11"/>
      <c r="V37" s="100"/>
    </row>
    <row r="38" spans="17:22" ht="28.8" x14ac:dyDescent="0.55000000000000004">
      <c r="Q38" s="100"/>
      <c r="R38" s="3"/>
      <c r="S38" s="12"/>
      <c r="T38" s="12"/>
      <c r="U38" s="13"/>
      <c r="V38" s="100"/>
    </row>
    <row r="39" spans="17:22" ht="28.8" x14ac:dyDescent="0.55000000000000004">
      <c r="Q39" s="100"/>
      <c r="R39" s="3"/>
      <c r="S39" s="12"/>
      <c r="T39" s="12"/>
      <c r="U39" s="13"/>
      <c r="V39" s="100"/>
    </row>
    <row r="40" spans="17:22" ht="28.8" x14ac:dyDescent="0.55000000000000004">
      <c r="Q40" s="100"/>
      <c r="R40" s="3"/>
      <c r="S40" s="12"/>
      <c r="T40" s="12"/>
      <c r="U40" s="13"/>
      <c r="V40" s="100"/>
    </row>
    <row r="41" spans="17:22" ht="29.4" thickBot="1" x14ac:dyDescent="0.6">
      <c r="R41" s="14"/>
      <c r="S41" s="15"/>
      <c r="T41" s="15"/>
      <c r="U41" s="16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showGridLines="0" showRowColHeaders="0" zoomScale="40" zoomScaleNormal="40" workbookViewId="0">
      <selection activeCell="J15" sqref="J15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</row>
    <row r="3" spans="1:53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0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6"/>
      <c r="P11" s="76"/>
      <c r="Q11" s="76"/>
      <c r="R11" s="76"/>
      <c r="S11" s="119"/>
      <c r="T11" s="122"/>
      <c r="U11" s="122"/>
      <c r="V11" s="122"/>
      <c r="W11" s="122"/>
      <c r="X11" s="122"/>
      <c r="Y11" s="122"/>
      <c r="Z11" s="122"/>
      <c r="AA11" s="122"/>
      <c r="AB11" s="76"/>
      <c r="AC11" s="76"/>
      <c r="AD11" s="76"/>
      <c r="AE11" s="76"/>
      <c r="AF11" s="76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08"/>
      <c r="R12" s="508" t="s">
        <v>14</v>
      </c>
      <c r="S12" s="509"/>
      <c r="T12" s="509"/>
      <c r="U12" s="509"/>
      <c r="V12" s="509"/>
      <c r="W12" s="509"/>
      <c r="X12" s="509"/>
      <c r="Y12" s="509"/>
      <c r="Z12" s="509"/>
      <c r="AA12" s="510"/>
      <c r="AB12" s="1"/>
      <c r="AC12" s="1"/>
      <c r="AD12" s="1"/>
      <c r="AE12" s="76"/>
      <c r="AF12" s="76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0"/>
      <c r="N13" s="100"/>
      <c r="O13" s="1"/>
      <c r="P13" s="1"/>
      <c r="Q13" s="108"/>
      <c r="R13" s="511"/>
      <c r="S13" s="512"/>
      <c r="T13" s="512"/>
      <c r="U13" s="512"/>
      <c r="V13" s="512"/>
      <c r="W13" s="512"/>
      <c r="X13" s="512"/>
      <c r="Y13" s="512"/>
      <c r="Z13" s="512"/>
      <c r="AA13" s="513"/>
      <c r="AB13" s="100"/>
      <c r="AC13" s="1"/>
      <c r="AD13" s="100"/>
      <c r="AE13" s="76"/>
      <c r="AF13" s="76"/>
    </row>
    <row r="14" spans="1:53" ht="28.8" customHeight="1" x14ac:dyDescent="0.3">
      <c r="A14" s="1"/>
      <c r="B14" s="1"/>
      <c r="C14" s="1"/>
      <c r="D14" s="1"/>
      <c r="M14" s="100"/>
      <c r="N14" s="100"/>
      <c r="O14" s="109"/>
      <c r="P14" s="109"/>
      <c r="Q14" s="108"/>
      <c r="R14" s="514" t="s">
        <v>15</v>
      </c>
      <c r="S14" s="515"/>
      <c r="T14" s="515"/>
      <c r="U14" s="515"/>
      <c r="V14" s="515"/>
      <c r="W14" s="515"/>
      <c r="X14" s="515"/>
      <c r="Y14" s="515"/>
      <c r="Z14" s="515"/>
      <c r="AA14" s="516"/>
      <c r="AB14" s="100"/>
      <c r="AC14" s="1"/>
      <c r="AD14" s="100"/>
      <c r="AE14" s="76"/>
      <c r="AF14" s="76"/>
    </row>
    <row r="15" spans="1:53" ht="28.8" customHeight="1" thickBot="1" x14ac:dyDescent="0.35">
      <c r="A15" s="1"/>
      <c r="B15" s="1"/>
      <c r="C15" s="1"/>
      <c r="D15" s="1"/>
      <c r="M15" s="100"/>
      <c r="N15" s="100"/>
      <c r="O15" s="109"/>
      <c r="P15" s="109"/>
      <c r="Q15" s="108"/>
      <c r="R15" s="517"/>
      <c r="S15" s="518"/>
      <c r="T15" s="518"/>
      <c r="U15" s="518"/>
      <c r="V15" s="518"/>
      <c r="W15" s="518"/>
      <c r="X15" s="518"/>
      <c r="Y15" s="518"/>
      <c r="Z15" s="518"/>
      <c r="AA15" s="519"/>
      <c r="AB15" s="100"/>
      <c r="AC15" s="1"/>
      <c r="AD15" s="100"/>
      <c r="AE15" s="76"/>
      <c r="AF15" s="76"/>
    </row>
    <row r="16" spans="1:53" ht="28.8" customHeight="1" x14ac:dyDescent="0.3">
      <c r="A16" s="1"/>
      <c r="B16" s="1"/>
      <c r="C16" s="1"/>
      <c r="D16" s="1"/>
      <c r="M16" s="100"/>
      <c r="N16" s="100"/>
      <c r="O16" s="109"/>
      <c r="P16" s="109"/>
      <c r="Q16" s="109"/>
      <c r="R16" s="109"/>
      <c r="S16" s="109"/>
      <c r="T16" s="109"/>
      <c r="U16" s="109"/>
      <c r="V16" s="109"/>
      <c r="W16" s="109"/>
      <c r="X16" s="1"/>
      <c r="Y16" s="1"/>
      <c r="Z16" s="1"/>
      <c r="AA16" s="1"/>
      <c r="AB16" s="1"/>
      <c r="AC16" s="1"/>
      <c r="AD16" s="100"/>
      <c r="AE16" s="76"/>
      <c r="AF16" s="76"/>
    </row>
    <row r="17" spans="1:32" ht="28.8" customHeight="1" thickBot="1" x14ac:dyDescent="0.35">
      <c r="A17" s="1"/>
      <c r="B17" s="1"/>
      <c r="C17" s="1"/>
      <c r="D17" s="1"/>
      <c r="M17" s="100"/>
      <c r="N17" s="100"/>
      <c r="O17" s="108"/>
      <c r="P17" s="108"/>
      <c r="Q17" s="108"/>
      <c r="R17" s="108"/>
      <c r="S17" s="108"/>
      <c r="T17" s="108"/>
      <c r="U17" s="109"/>
      <c r="V17" s="109"/>
      <c r="W17" s="109"/>
      <c r="X17" s="109"/>
      <c r="Y17" s="109"/>
      <c r="Z17" s="109"/>
      <c r="AA17" s="109"/>
      <c r="AB17" s="1"/>
      <c r="AC17" s="1"/>
      <c r="AD17" s="100"/>
      <c r="AE17" s="123"/>
      <c r="AF17" s="123"/>
    </row>
    <row r="18" spans="1:32" ht="28.8" customHeight="1" x14ac:dyDescent="0.3">
      <c r="A18" s="1"/>
      <c r="B18" s="1"/>
      <c r="C18" s="1"/>
      <c r="D18" s="1"/>
      <c r="M18" s="499" t="s">
        <v>16</v>
      </c>
      <c r="N18" s="500"/>
      <c r="O18" s="500"/>
      <c r="P18" s="500"/>
      <c r="Q18" s="500"/>
      <c r="R18" s="500"/>
      <c r="S18" s="501"/>
      <c r="T18" s="108"/>
      <c r="U18" s="108"/>
      <c r="V18" s="109"/>
      <c r="W18" s="108"/>
      <c r="X18" s="499" t="s">
        <v>16</v>
      </c>
      <c r="Y18" s="500"/>
      <c r="Z18" s="500"/>
      <c r="AA18" s="500"/>
      <c r="AB18" s="500"/>
      <c r="AC18" s="500"/>
      <c r="AD18" s="501"/>
      <c r="AE18" s="123"/>
      <c r="AF18" s="123"/>
    </row>
    <row r="19" spans="1:32" ht="28.8" customHeight="1" x14ac:dyDescent="0.3">
      <c r="A19" s="1"/>
      <c r="B19" s="1"/>
      <c r="C19" s="1"/>
      <c r="D19" s="1"/>
      <c r="M19" s="502"/>
      <c r="N19" s="503"/>
      <c r="O19" s="503"/>
      <c r="P19" s="503"/>
      <c r="Q19" s="503"/>
      <c r="R19" s="503"/>
      <c r="S19" s="504"/>
      <c r="T19" s="108"/>
      <c r="U19" s="108"/>
      <c r="V19" s="109"/>
      <c r="W19" s="108"/>
      <c r="X19" s="502"/>
      <c r="Y19" s="503"/>
      <c r="Z19" s="503"/>
      <c r="AA19" s="503"/>
      <c r="AB19" s="503"/>
      <c r="AC19" s="503"/>
      <c r="AD19" s="504"/>
      <c r="AE19" s="123"/>
      <c r="AF19" s="123"/>
    </row>
    <row r="20" spans="1:32" ht="28.8" customHeight="1" thickBot="1" x14ac:dyDescent="0.6">
      <c r="A20" s="1"/>
      <c r="B20" s="1"/>
      <c r="C20" s="1"/>
      <c r="D20" s="1"/>
      <c r="M20" s="505"/>
      <c r="N20" s="506"/>
      <c r="O20" s="506"/>
      <c r="P20" s="506"/>
      <c r="Q20" s="506"/>
      <c r="R20" s="506"/>
      <c r="S20" s="507"/>
      <c r="T20" s="108"/>
      <c r="U20" s="108"/>
      <c r="V20" s="109"/>
      <c r="W20" s="108"/>
      <c r="X20" s="505"/>
      <c r="Y20" s="506"/>
      <c r="Z20" s="506"/>
      <c r="AA20" s="506"/>
      <c r="AB20" s="506"/>
      <c r="AC20" s="506"/>
      <c r="AD20" s="507"/>
      <c r="AE20" s="42"/>
      <c r="AF20" s="42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12" t="s">
        <v>13</v>
      </c>
      <c r="T21" s="108"/>
      <c r="U21" s="108"/>
      <c r="V21" s="109"/>
      <c r="W21" s="108"/>
      <c r="X21" s="40" t="s">
        <v>13</v>
      </c>
      <c r="Y21" s="111" t="s">
        <v>13</v>
      </c>
      <c r="Z21" s="111" t="s">
        <v>13</v>
      </c>
      <c r="AA21" s="111" t="s">
        <v>13</v>
      </c>
      <c r="AB21" s="111" t="s">
        <v>13</v>
      </c>
      <c r="AC21" s="12" t="s">
        <v>13</v>
      </c>
      <c r="AD21" s="13" t="s">
        <v>13</v>
      </c>
      <c r="AE21" s="77"/>
      <c r="AF21" s="42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443" t="s">
        <v>17</v>
      </c>
      <c r="O22" s="18"/>
      <c r="P22" s="19" t="s">
        <v>13</v>
      </c>
      <c r="Q22" s="19" t="s">
        <v>13</v>
      </c>
      <c r="R22" s="442" t="s">
        <v>18</v>
      </c>
      <c r="S22" s="112" t="s">
        <v>13</v>
      </c>
      <c r="T22" s="108"/>
      <c r="U22" s="108"/>
      <c r="V22" s="109"/>
      <c r="W22" s="108"/>
      <c r="X22" s="40" t="s">
        <v>13</v>
      </c>
      <c r="Y22" s="445" t="s">
        <v>17</v>
      </c>
      <c r="Z22" s="113"/>
      <c r="AA22" s="111" t="s">
        <v>13</v>
      </c>
      <c r="AB22" s="111" t="s">
        <v>13</v>
      </c>
      <c r="AC22" s="442" t="s">
        <v>19</v>
      </c>
      <c r="AD22" s="13" t="s">
        <v>13</v>
      </c>
      <c r="AE22" s="42"/>
      <c r="AF22" s="42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0"/>
      <c r="U23" s="100"/>
      <c r="V23" s="1"/>
      <c r="W23" s="100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7"/>
      <c r="AF23" s="42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443" t="s">
        <v>20</v>
      </c>
      <c r="O24" s="18"/>
      <c r="P24" s="19" t="s">
        <v>13</v>
      </c>
      <c r="Q24" s="19" t="s">
        <v>13</v>
      </c>
      <c r="R24" s="442" t="s">
        <v>21</v>
      </c>
      <c r="S24" s="112" t="s">
        <v>13</v>
      </c>
      <c r="T24" s="108"/>
      <c r="U24" s="108"/>
      <c r="V24" s="109"/>
      <c r="W24" s="108"/>
      <c r="X24" s="40" t="s">
        <v>13</v>
      </c>
      <c r="Y24" s="445" t="s">
        <v>20</v>
      </c>
      <c r="Z24" s="18"/>
      <c r="AA24" s="19" t="s">
        <v>13</v>
      </c>
      <c r="AB24" s="19" t="s">
        <v>13</v>
      </c>
      <c r="AC24" s="442" t="s">
        <v>22</v>
      </c>
      <c r="AD24" s="13" t="s">
        <v>13</v>
      </c>
      <c r="AE24" s="42"/>
      <c r="AF24" s="42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14" t="s">
        <v>13</v>
      </c>
      <c r="S25" s="112" t="s">
        <v>13</v>
      </c>
      <c r="T25" s="108"/>
      <c r="U25" s="108"/>
      <c r="V25" s="109"/>
      <c r="W25" s="108"/>
      <c r="X25" s="40" t="s">
        <v>13</v>
      </c>
      <c r="Y25" s="111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15" t="s">
        <v>13</v>
      </c>
      <c r="S26" s="116" t="s">
        <v>13</v>
      </c>
      <c r="T26" s="108"/>
      <c r="U26" s="108"/>
      <c r="V26" s="109"/>
      <c r="W26" s="108"/>
      <c r="X26" s="117" t="s">
        <v>13</v>
      </c>
      <c r="Y26" s="118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6"/>
      <c r="AF26" s="76"/>
    </row>
    <row r="27" spans="1:32" ht="28.8" customHeight="1" x14ac:dyDescent="0.3">
      <c r="A27" s="1"/>
      <c r="B27" s="1"/>
      <c r="C27" s="1"/>
      <c r="D27" s="1"/>
      <c r="M27" s="100"/>
      <c r="N27" s="100"/>
      <c r="O27" s="100"/>
      <c r="P27" s="100"/>
      <c r="Q27" s="100"/>
      <c r="R27" s="108"/>
      <c r="S27" s="108"/>
      <c r="T27" s="108"/>
      <c r="U27" s="109"/>
      <c r="V27" s="109"/>
      <c r="W27" s="109"/>
      <c r="X27" s="109"/>
      <c r="Y27" s="109"/>
      <c r="Z27" s="1"/>
      <c r="AA27" s="1"/>
      <c r="AB27" s="1"/>
      <c r="AC27" s="1"/>
      <c r="AD27" s="100"/>
      <c r="AE27" s="76"/>
      <c r="AF27" s="76"/>
    </row>
    <row r="28" spans="1:32" ht="28.8" customHeight="1" thickBot="1" x14ac:dyDescent="0.35">
      <c r="A28" s="1"/>
      <c r="B28" s="1"/>
      <c r="C28" s="1"/>
      <c r="D28" s="1"/>
      <c r="M28" s="100"/>
      <c r="N28" s="100"/>
      <c r="O28" s="1"/>
      <c r="P28" s="1"/>
      <c r="Q28" s="1"/>
      <c r="R28" s="1"/>
      <c r="S28" s="1"/>
      <c r="T28" s="1"/>
      <c r="U28" s="109"/>
      <c r="V28" s="109"/>
      <c r="W28" s="109"/>
      <c r="X28" s="109"/>
      <c r="Y28" s="109"/>
      <c r="Z28" s="109"/>
      <c r="AA28" s="109"/>
      <c r="AB28" s="1"/>
      <c r="AC28" s="1"/>
      <c r="AD28" s="100"/>
      <c r="AE28" s="123"/>
      <c r="AF28" s="123"/>
    </row>
    <row r="29" spans="1:32" ht="28.8" customHeight="1" x14ac:dyDescent="0.3">
      <c r="A29" s="1"/>
      <c r="B29" s="1"/>
      <c r="C29" s="1"/>
      <c r="D29" s="1"/>
      <c r="M29" s="499" t="s">
        <v>16</v>
      </c>
      <c r="N29" s="500"/>
      <c r="O29" s="500"/>
      <c r="P29" s="500"/>
      <c r="Q29" s="500"/>
      <c r="R29" s="500"/>
      <c r="S29" s="501"/>
      <c r="T29" s="100"/>
      <c r="U29" s="108"/>
      <c r="V29" s="109"/>
      <c r="W29" s="108"/>
      <c r="X29" s="499" t="s">
        <v>16</v>
      </c>
      <c r="Y29" s="500"/>
      <c r="Z29" s="500"/>
      <c r="AA29" s="500"/>
      <c r="AB29" s="500"/>
      <c r="AC29" s="500"/>
      <c r="AD29" s="501"/>
      <c r="AE29" s="123"/>
      <c r="AF29" s="123"/>
    </row>
    <row r="30" spans="1:32" ht="28.8" customHeight="1" x14ac:dyDescent="0.3">
      <c r="A30" s="1"/>
      <c r="B30" s="1"/>
      <c r="C30" s="1"/>
      <c r="D30" s="1"/>
      <c r="M30" s="502"/>
      <c r="N30" s="503"/>
      <c r="O30" s="503"/>
      <c r="P30" s="503"/>
      <c r="Q30" s="503"/>
      <c r="R30" s="503"/>
      <c r="S30" s="504"/>
      <c r="T30" s="108"/>
      <c r="U30" s="108"/>
      <c r="V30" s="109"/>
      <c r="W30" s="108"/>
      <c r="X30" s="502"/>
      <c r="Y30" s="503"/>
      <c r="Z30" s="503"/>
      <c r="AA30" s="503"/>
      <c r="AB30" s="503"/>
      <c r="AC30" s="503"/>
      <c r="AD30" s="504"/>
      <c r="AE30" s="123"/>
      <c r="AF30" s="123"/>
    </row>
    <row r="31" spans="1:32" ht="28.8" customHeight="1" thickBot="1" x14ac:dyDescent="0.6">
      <c r="A31" s="1"/>
      <c r="B31" s="1"/>
      <c r="C31" s="1"/>
      <c r="D31" s="1"/>
      <c r="M31" s="505"/>
      <c r="N31" s="506"/>
      <c r="O31" s="506"/>
      <c r="P31" s="506"/>
      <c r="Q31" s="506"/>
      <c r="R31" s="506"/>
      <c r="S31" s="507"/>
      <c r="T31" s="108"/>
      <c r="U31" s="108"/>
      <c r="V31" s="109"/>
      <c r="W31" s="108"/>
      <c r="X31" s="505"/>
      <c r="Y31" s="506"/>
      <c r="Z31" s="506"/>
      <c r="AA31" s="506"/>
      <c r="AB31" s="506"/>
      <c r="AC31" s="506"/>
      <c r="AD31" s="507"/>
      <c r="AE31" s="42"/>
      <c r="AF31" s="42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43" t="s">
        <v>13</v>
      </c>
      <c r="O32" s="43" t="s">
        <v>13</v>
      </c>
      <c r="P32" s="43" t="s">
        <v>13</v>
      </c>
      <c r="Q32" s="43" t="s">
        <v>13</v>
      </c>
      <c r="R32" s="45" t="s">
        <v>13</v>
      </c>
      <c r="S32" s="112" t="s">
        <v>13</v>
      </c>
      <c r="T32" s="108"/>
      <c r="U32" s="108"/>
      <c r="V32" s="109"/>
      <c r="W32" s="108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45" t="s">
        <v>13</v>
      </c>
      <c r="AD32" s="13" t="s">
        <v>13</v>
      </c>
      <c r="AE32" s="77"/>
      <c r="AF32" s="42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444" t="s">
        <v>17</v>
      </c>
      <c r="O33" s="44"/>
      <c r="P33" s="43" t="s">
        <v>13</v>
      </c>
      <c r="Q33" s="43" t="s">
        <v>13</v>
      </c>
      <c r="R33" s="442" t="s">
        <v>23</v>
      </c>
      <c r="S33" s="112" t="s">
        <v>13</v>
      </c>
      <c r="T33" s="108"/>
      <c r="U33" s="108"/>
      <c r="V33" s="109"/>
      <c r="W33" s="108"/>
      <c r="X33" s="40" t="s">
        <v>13</v>
      </c>
      <c r="Y33" s="446" t="s">
        <v>17</v>
      </c>
      <c r="Z33" s="78"/>
      <c r="AA33" s="39" t="s">
        <v>13</v>
      </c>
      <c r="AB33" s="39" t="s">
        <v>13</v>
      </c>
      <c r="AC33" s="442" t="s">
        <v>24</v>
      </c>
      <c r="AD33" s="13" t="s">
        <v>13</v>
      </c>
      <c r="AE33" s="42"/>
      <c r="AF33" s="42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43" t="s">
        <v>13</v>
      </c>
      <c r="O34" s="43" t="s">
        <v>13</v>
      </c>
      <c r="P34" s="43" t="s">
        <v>13</v>
      </c>
      <c r="Q34" s="43" t="s">
        <v>13</v>
      </c>
      <c r="R34" s="45" t="s">
        <v>13</v>
      </c>
      <c r="S34" s="13" t="s">
        <v>13</v>
      </c>
      <c r="T34" s="100"/>
      <c r="U34" s="100"/>
      <c r="V34" s="1"/>
      <c r="W34" s="100"/>
      <c r="X34" s="17" t="s">
        <v>13</v>
      </c>
      <c r="Y34" s="43" t="s">
        <v>13</v>
      </c>
      <c r="Z34" s="43" t="s">
        <v>13</v>
      </c>
      <c r="AA34" s="43" t="s">
        <v>13</v>
      </c>
      <c r="AB34" s="43" t="s">
        <v>13</v>
      </c>
      <c r="AC34" s="45" t="s">
        <v>13</v>
      </c>
      <c r="AD34" s="13" t="s">
        <v>13</v>
      </c>
      <c r="AE34" s="77"/>
      <c r="AF34" s="42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444" t="s">
        <v>20</v>
      </c>
      <c r="O35" s="44"/>
      <c r="P35" s="43" t="s">
        <v>13</v>
      </c>
      <c r="Q35" s="43" t="s">
        <v>13</v>
      </c>
      <c r="R35" s="442" t="s">
        <v>25</v>
      </c>
      <c r="S35" s="13" t="s">
        <v>13</v>
      </c>
      <c r="T35" s="100"/>
      <c r="U35" s="100"/>
      <c r="V35" s="1"/>
      <c r="W35" s="100"/>
      <c r="X35" s="17" t="s">
        <v>13</v>
      </c>
      <c r="Y35" s="444" t="s">
        <v>20</v>
      </c>
      <c r="Z35" s="44"/>
      <c r="AA35" s="43" t="s">
        <v>13</v>
      </c>
      <c r="AB35" s="43" t="s">
        <v>13</v>
      </c>
      <c r="AC35" s="442" t="s">
        <v>26</v>
      </c>
      <c r="AD35" s="13" t="s">
        <v>13</v>
      </c>
      <c r="AE35" s="42"/>
      <c r="AF35" s="42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43" t="s">
        <v>13</v>
      </c>
      <c r="O36" s="43" t="s">
        <v>13</v>
      </c>
      <c r="P36" s="43" t="s">
        <v>13</v>
      </c>
      <c r="Q36" s="43" t="s">
        <v>13</v>
      </c>
      <c r="R36" s="45" t="s">
        <v>13</v>
      </c>
      <c r="S36" s="13" t="s">
        <v>13</v>
      </c>
      <c r="T36" s="100"/>
      <c r="U36" s="100"/>
      <c r="V36" s="1"/>
      <c r="W36" s="100"/>
      <c r="X36" s="17" t="s">
        <v>13</v>
      </c>
      <c r="Y36" s="43" t="s">
        <v>13</v>
      </c>
      <c r="Z36" s="43" t="s">
        <v>13</v>
      </c>
      <c r="AA36" s="43" t="s">
        <v>13</v>
      </c>
      <c r="AB36" s="43" t="s">
        <v>13</v>
      </c>
      <c r="AC36" s="45" t="s">
        <v>13</v>
      </c>
      <c r="AD36" s="13" t="s">
        <v>13</v>
      </c>
      <c r="AE36" s="42"/>
      <c r="AF36" s="42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0"/>
      <c r="U37" s="100"/>
      <c r="V37" s="1"/>
      <c r="W37" s="100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76"/>
      <c r="P38" s="76"/>
      <c r="Q38" s="76"/>
      <c r="R38" s="76"/>
      <c r="S38" s="119"/>
      <c r="T38" s="122"/>
      <c r="U38" s="122"/>
      <c r="V38" s="122"/>
      <c r="W38" s="122"/>
      <c r="X38" s="122"/>
      <c r="Y38" s="122"/>
      <c r="Z38" s="122"/>
      <c r="AA38" s="122"/>
      <c r="AB38" s="76"/>
      <c r="AC38" s="76"/>
      <c r="AD38" s="76"/>
      <c r="AE38" s="76"/>
      <c r="AF38" s="76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6"/>
      <c r="P39" s="76"/>
      <c r="Q39" s="76"/>
      <c r="R39" s="76"/>
      <c r="S39" s="119"/>
      <c r="T39" s="122"/>
      <c r="U39" s="122"/>
      <c r="V39" s="122"/>
      <c r="W39" s="122"/>
      <c r="X39" s="122"/>
      <c r="Y39" s="122"/>
      <c r="Z39" s="122"/>
      <c r="AA39" s="122"/>
      <c r="AB39" s="76"/>
      <c r="AC39" s="76"/>
      <c r="AD39" s="76"/>
      <c r="AE39" s="76"/>
      <c r="AF39" s="76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6"/>
      <c r="P40" s="76"/>
      <c r="Q40" s="119"/>
      <c r="R40" s="119"/>
      <c r="S40" s="119"/>
      <c r="T40" s="99"/>
      <c r="U40" s="99"/>
      <c r="V40" s="99"/>
      <c r="W40" s="99"/>
      <c r="X40" s="99"/>
      <c r="Y40" s="99"/>
      <c r="Z40" s="99"/>
      <c r="AA40" s="99"/>
      <c r="AB40" s="76"/>
      <c r="AC40" s="76"/>
      <c r="AD40" s="76"/>
      <c r="AE40" s="76"/>
      <c r="AF40" s="76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6"/>
      <c r="P41" s="76"/>
      <c r="Q41" s="119"/>
      <c r="R41" s="119"/>
      <c r="S41" s="119"/>
      <c r="T41" s="99"/>
      <c r="U41" s="99"/>
      <c r="V41" s="99"/>
      <c r="W41" s="99"/>
      <c r="X41" s="99"/>
      <c r="Y41" s="99"/>
      <c r="Z41" s="99"/>
      <c r="AA41" s="99"/>
      <c r="AB41" s="76"/>
      <c r="AC41" s="76"/>
      <c r="AD41" s="76"/>
      <c r="AE41" s="76"/>
      <c r="AF41" s="76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6"/>
      <c r="P42" s="76"/>
      <c r="Q42" s="119"/>
      <c r="R42" s="119"/>
      <c r="S42" s="119"/>
      <c r="T42" s="119"/>
      <c r="U42" s="119"/>
      <c r="V42" s="119"/>
      <c r="W42" s="119"/>
      <c r="X42" s="119"/>
      <c r="Y42" s="119"/>
      <c r="Z42" s="76"/>
      <c r="AA42" s="76"/>
      <c r="AB42" s="76"/>
      <c r="AC42" s="76"/>
      <c r="AD42" s="76"/>
      <c r="AE42" s="76"/>
      <c r="AF42" s="76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6"/>
      <c r="P43" s="76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76"/>
      <c r="AE43" s="76"/>
      <c r="AF43" s="76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23"/>
      <c r="P44" s="123"/>
      <c r="Q44" s="123"/>
      <c r="R44" s="123"/>
      <c r="S44" s="123"/>
      <c r="T44" s="123"/>
      <c r="U44" s="123"/>
      <c r="V44" s="119"/>
      <c r="W44" s="119"/>
      <c r="X44" s="119"/>
      <c r="Y44" s="119"/>
      <c r="Z44" s="123"/>
      <c r="AA44" s="123"/>
      <c r="AB44" s="123"/>
      <c r="AC44" s="123"/>
      <c r="AD44" s="123"/>
      <c r="AE44" s="123"/>
      <c r="AF44" s="123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23"/>
      <c r="P45" s="123"/>
      <c r="Q45" s="123"/>
      <c r="R45" s="123"/>
      <c r="S45" s="123"/>
      <c r="T45" s="123"/>
      <c r="U45" s="123"/>
      <c r="V45" s="119"/>
      <c r="W45" s="119"/>
      <c r="X45" s="119"/>
      <c r="Y45" s="119"/>
      <c r="Z45" s="123"/>
      <c r="AA45" s="123"/>
      <c r="AB45" s="123"/>
      <c r="AC45" s="123"/>
      <c r="AD45" s="123"/>
      <c r="AE45" s="123"/>
      <c r="AF45" s="123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23"/>
      <c r="P46" s="123"/>
      <c r="Q46" s="123"/>
      <c r="R46" s="123"/>
      <c r="S46" s="123"/>
      <c r="T46" s="123"/>
      <c r="U46" s="123"/>
      <c r="V46" s="119"/>
      <c r="W46" s="119"/>
      <c r="X46" s="119"/>
      <c r="Y46" s="119"/>
      <c r="Z46" s="123"/>
      <c r="AA46" s="123"/>
      <c r="AB46" s="123"/>
      <c r="AC46" s="123"/>
      <c r="AD46" s="123"/>
      <c r="AE46" s="123"/>
      <c r="AF46" s="123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24"/>
      <c r="P47" s="124"/>
      <c r="Q47" s="124"/>
      <c r="R47" s="124"/>
      <c r="S47" s="124"/>
      <c r="T47" s="42"/>
      <c r="U47" s="125"/>
      <c r="V47" s="119"/>
      <c r="W47" s="119"/>
      <c r="X47" s="119"/>
      <c r="Y47" s="119"/>
      <c r="Z47" s="79"/>
      <c r="AA47" s="79"/>
      <c r="AB47" s="79"/>
      <c r="AC47" s="79"/>
      <c r="AD47" s="79"/>
      <c r="AE47" s="42"/>
      <c r="AF47" s="42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24"/>
      <c r="P48" s="126"/>
      <c r="Q48" s="127"/>
      <c r="R48" s="124"/>
      <c r="S48" s="124"/>
      <c r="T48" s="77"/>
      <c r="U48" s="125"/>
      <c r="V48" s="119"/>
      <c r="W48" s="119"/>
      <c r="X48" s="119"/>
      <c r="Y48" s="119"/>
      <c r="Z48" s="79"/>
      <c r="AA48" s="128"/>
      <c r="AB48" s="80"/>
      <c r="AC48" s="79"/>
      <c r="AD48" s="79"/>
      <c r="AE48" s="77"/>
      <c r="AF48" s="42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24"/>
      <c r="P49" s="124"/>
      <c r="Q49" s="124"/>
      <c r="R49" s="124"/>
      <c r="S49" s="124"/>
      <c r="T49" s="42"/>
      <c r="U49" s="42"/>
      <c r="V49" s="76"/>
      <c r="W49" s="76"/>
      <c r="X49" s="76"/>
      <c r="Y49" s="76"/>
      <c r="Z49" s="124"/>
      <c r="AA49" s="124"/>
      <c r="AB49" s="124"/>
      <c r="AC49" s="124"/>
      <c r="AD49" s="124"/>
      <c r="AE49" s="42"/>
      <c r="AF49" s="42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24"/>
      <c r="P50" s="126"/>
      <c r="Q50" s="127"/>
      <c r="R50" s="124"/>
      <c r="S50" s="124"/>
      <c r="T50" s="129"/>
      <c r="U50" s="125"/>
      <c r="V50" s="119"/>
      <c r="W50" s="119"/>
      <c r="X50" s="119"/>
      <c r="Y50" s="119"/>
      <c r="Z50" s="79"/>
      <c r="AA50" s="128"/>
      <c r="AB50" s="127"/>
      <c r="AC50" s="124"/>
      <c r="AD50" s="124"/>
      <c r="AE50" s="77"/>
      <c r="AF50" s="42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24"/>
      <c r="P51" s="124"/>
      <c r="Q51" s="124"/>
      <c r="R51" s="124"/>
      <c r="S51" s="124"/>
      <c r="T51" s="125"/>
      <c r="U51" s="125"/>
      <c r="V51" s="119"/>
      <c r="W51" s="119"/>
      <c r="X51" s="119"/>
      <c r="Y51" s="119"/>
      <c r="Z51" s="79"/>
      <c r="AA51" s="79"/>
      <c r="AB51" s="124"/>
      <c r="AC51" s="124"/>
      <c r="AD51" s="124"/>
      <c r="AE51" s="42"/>
      <c r="AF51" s="42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24"/>
      <c r="P52" s="124"/>
      <c r="Q52" s="124"/>
      <c r="R52" s="124"/>
      <c r="S52" s="124"/>
      <c r="T52" s="125"/>
      <c r="U52" s="125"/>
      <c r="V52" s="119"/>
      <c r="W52" s="119"/>
      <c r="X52" s="119"/>
      <c r="Y52" s="119"/>
      <c r="Z52" s="79"/>
      <c r="AA52" s="79"/>
      <c r="AB52" s="124"/>
      <c r="AC52" s="124"/>
      <c r="AD52" s="124"/>
      <c r="AE52" s="42"/>
      <c r="AF52" s="42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6"/>
      <c r="P53" s="76"/>
      <c r="Q53" s="76"/>
      <c r="R53" s="76"/>
      <c r="S53" s="76"/>
      <c r="T53" s="119"/>
      <c r="U53" s="119"/>
      <c r="V53" s="119"/>
      <c r="W53" s="119"/>
      <c r="X53" s="119"/>
      <c r="Y53" s="119"/>
      <c r="Z53" s="119"/>
      <c r="AA53" s="119"/>
      <c r="AB53" s="76"/>
      <c r="AC53" s="76"/>
      <c r="AD53" s="76"/>
      <c r="AE53" s="76"/>
      <c r="AF53" s="76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6"/>
      <c r="P54" s="76"/>
      <c r="Q54" s="76"/>
      <c r="R54" s="76"/>
      <c r="S54" s="76"/>
      <c r="T54" s="76"/>
      <c r="U54" s="76"/>
      <c r="V54" s="76"/>
      <c r="W54" s="119"/>
      <c r="X54" s="119"/>
      <c r="Y54" s="119"/>
      <c r="Z54" s="119"/>
      <c r="AA54" s="119"/>
      <c r="AB54" s="119"/>
      <c r="AC54" s="119"/>
      <c r="AD54" s="76"/>
      <c r="AE54" s="76"/>
      <c r="AF54" s="76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23"/>
      <c r="P55" s="123"/>
      <c r="Q55" s="123"/>
      <c r="R55" s="123"/>
      <c r="S55" s="123"/>
      <c r="T55" s="123"/>
      <c r="U55" s="123"/>
      <c r="V55" s="76"/>
      <c r="W55" s="119"/>
      <c r="X55" s="119"/>
      <c r="Y55" s="119"/>
      <c r="Z55" s="123"/>
      <c r="AA55" s="123"/>
      <c r="AB55" s="123"/>
      <c r="AC55" s="123"/>
      <c r="AD55" s="123"/>
      <c r="AE55" s="123"/>
      <c r="AF55" s="123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23"/>
      <c r="P56" s="123"/>
      <c r="Q56" s="123"/>
      <c r="R56" s="123"/>
      <c r="S56" s="123"/>
      <c r="T56" s="123"/>
      <c r="U56" s="123"/>
      <c r="V56" s="119"/>
      <c r="W56" s="119"/>
      <c r="X56" s="119"/>
      <c r="Y56" s="119"/>
      <c r="Z56" s="123"/>
      <c r="AA56" s="123"/>
      <c r="AB56" s="123"/>
      <c r="AC56" s="123"/>
      <c r="AD56" s="123"/>
      <c r="AE56" s="123"/>
      <c r="AF56" s="123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23"/>
      <c r="P57" s="123"/>
      <c r="Q57" s="123"/>
      <c r="R57" s="123"/>
      <c r="S57" s="123"/>
      <c r="T57" s="123"/>
      <c r="U57" s="123"/>
      <c r="V57" s="119"/>
      <c r="W57" s="119"/>
      <c r="X57" s="119"/>
      <c r="Y57" s="119"/>
      <c r="Z57" s="123"/>
      <c r="AA57" s="123"/>
      <c r="AB57" s="123"/>
      <c r="AC57" s="123"/>
      <c r="AD57" s="123"/>
      <c r="AE57" s="123"/>
      <c r="AF57" s="123"/>
    </row>
    <row r="58" spans="1:32" ht="28.8" x14ac:dyDescent="0.55000000000000004">
      <c r="O58" s="124"/>
      <c r="P58" s="124"/>
      <c r="Q58" s="124"/>
      <c r="R58" s="124"/>
      <c r="S58" s="124"/>
      <c r="T58" s="42"/>
      <c r="U58" s="125"/>
      <c r="V58" s="119"/>
      <c r="W58" s="119"/>
      <c r="X58" s="119"/>
      <c r="Y58" s="119"/>
      <c r="Z58" s="79"/>
      <c r="AA58" s="79"/>
      <c r="AB58" s="79"/>
      <c r="AC58" s="79"/>
      <c r="AD58" s="79"/>
      <c r="AE58" s="42"/>
      <c r="AF58" s="42"/>
    </row>
    <row r="59" spans="1:32" ht="28.8" x14ac:dyDescent="0.55000000000000004">
      <c r="O59" s="124"/>
      <c r="P59" s="126"/>
      <c r="Q59" s="127"/>
      <c r="R59" s="124"/>
      <c r="S59" s="124"/>
      <c r="T59" s="77"/>
      <c r="U59" s="125"/>
      <c r="V59" s="119"/>
      <c r="W59" s="119"/>
      <c r="X59" s="119"/>
      <c r="Y59" s="119"/>
      <c r="Z59" s="79"/>
      <c r="AA59" s="128"/>
      <c r="AB59" s="80"/>
      <c r="AC59" s="79"/>
      <c r="AD59" s="79"/>
      <c r="AE59" s="77"/>
      <c r="AF59" s="42"/>
    </row>
    <row r="60" spans="1:32" ht="28.8" x14ac:dyDescent="0.55000000000000004">
      <c r="O60" s="124"/>
      <c r="P60" s="124"/>
      <c r="Q60" s="124"/>
      <c r="R60" s="124"/>
      <c r="S60" s="124"/>
      <c r="T60" s="42"/>
      <c r="U60" s="42"/>
      <c r="V60" s="76"/>
      <c r="W60" s="76"/>
      <c r="X60" s="76"/>
      <c r="Y60" s="76"/>
      <c r="Z60" s="124"/>
      <c r="AA60" s="124"/>
      <c r="AB60" s="124"/>
      <c r="AC60" s="124"/>
      <c r="AD60" s="124"/>
      <c r="AE60" s="42"/>
      <c r="AF60" s="42"/>
    </row>
    <row r="61" spans="1:32" ht="28.8" x14ac:dyDescent="0.55000000000000004">
      <c r="O61" s="124"/>
      <c r="P61" s="126"/>
      <c r="Q61" s="127"/>
      <c r="R61" s="124"/>
      <c r="S61" s="124"/>
      <c r="T61" s="77"/>
      <c r="U61" s="42"/>
      <c r="V61" s="76"/>
      <c r="W61" s="76"/>
      <c r="X61" s="76"/>
      <c r="Y61" s="76"/>
      <c r="Z61" s="124"/>
      <c r="AA61" s="126"/>
      <c r="AB61" s="127"/>
      <c r="AC61" s="124"/>
      <c r="AD61" s="124"/>
      <c r="AE61" s="77"/>
      <c r="AF61" s="42"/>
    </row>
    <row r="62" spans="1:32" ht="28.8" x14ac:dyDescent="0.55000000000000004">
      <c r="O62" s="124"/>
      <c r="P62" s="124"/>
      <c r="Q62" s="124"/>
      <c r="R62" s="124"/>
      <c r="S62" s="124"/>
      <c r="T62" s="42"/>
      <c r="U62" s="42"/>
      <c r="V62" s="76"/>
      <c r="W62" s="76"/>
      <c r="X62" s="76"/>
      <c r="Y62" s="76"/>
      <c r="Z62" s="124"/>
      <c r="AA62" s="124"/>
      <c r="AB62" s="124"/>
      <c r="AC62" s="124"/>
      <c r="AD62" s="124"/>
      <c r="AE62" s="42"/>
      <c r="AF62" s="42"/>
    </row>
    <row r="63" spans="1:32" ht="28.8" x14ac:dyDescent="0.55000000000000004">
      <c r="O63" s="124"/>
      <c r="P63" s="124"/>
      <c r="Q63" s="124"/>
      <c r="R63" s="124"/>
      <c r="S63" s="124"/>
      <c r="T63" s="42"/>
      <c r="U63" s="42"/>
      <c r="V63" s="76"/>
      <c r="W63" s="76"/>
      <c r="X63" s="76"/>
      <c r="Y63" s="76"/>
      <c r="Z63" s="124"/>
      <c r="AA63" s="124"/>
      <c r="AB63" s="124"/>
      <c r="AC63" s="124"/>
      <c r="AD63" s="124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zoomScale="40" zoomScaleNormal="40" workbookViewId="0">
      <selection activeCell="W22" sqref="W22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41"/>
      <c r="F9" s="41"/>
      <c r="G9" s="41"/>
      <c r="H9" s="41"/>
      <c r="I9" s="41"/>
      <c r="J9" s="41"/>
      <c r="K9" s="41"/>
    </row>
    <row r="10" spans="1:54" ht="28.8" customHeight="1" x14ac:dyDescent="0.3">
      <c r="E10" s="41"/>
      <c r="F10" s="41"/>
      <c r="G10" s="41"/>
      <c r="H10" s="41"/>
      <c r="I10" s="41"/>
      <c r="J10" s="41"/>
      <c r="K10" s="41"/>
    </row>
    <row r="11" spans="1:54" ht="28.8" customHeight="1" x14ac:dyDescent="0.3">
      <c r="E11" s="41"/>
      <c r="F11" s="41"/>
      <c r="G11" s="41"/>
      <c r="H11" s="41"/>
      <c r="I11" s="41"/>
      <c r="J11" s="41"/>
      <c r="K11" s="41"/>
    </row>
    <row r="12" spans="1:54" ht="28.8" customHeight="1" x14ac:dyDescent="0.55000000000000004">
      <c r="E12" s="124"/>
      <c r="F12" s="124"/>
      <c r="G12" s="124"/>
      <c r="H12" s="124"/>
      <c r="I12" s="124"/>
      <c r="J12" s="42"/>
      <c r="K12" s="42"/>
      <c r="R12" s="100"/>
      <c r="S12" s="100"/>
      <c r="T12" s="100"/>
      <c r="U12" s="100"/>
      <c r="V12" s="100"/>
      <c r="W12" s="100"/>
      <c r="X12" s="100"/>
    </row>
    <row r="13" spans="1:54" ht="28.8" customHeight="1" x14ac:dyDescent="0.55000000000000004">
      <c r="E13" s="124"/>
      <c r="F13" s="130"/>
      <c r="G13" s="127"/>
      <c r="H13" s="124"/>
      <c r="I13" s="124"/>
      <c r="J13" s="46"/>
      <c r="K13" s="42"/>
      <c r="R13" s="100"/>
      <c r="S13" s="100"/>
      <c r="T13" s="100"/>
      <c r="U13" s="100"/>
      <c r="V13" s="100"/>
      <c r="W13" s="100"/>
      <c r="X13" s="100"/>
    </row>
    <row r="14" spans="1:54" ht="28.8" customHeight="1" x14ac:dyDescent="0.55000000000000004">
      <c r="E14" s="124"/>
      <c r="F14" s="124"/>
      <c r="G14" s="124"/>
      <c r="H14" s="124"/>
      <c r="I14" s="124"/>
      <c r="J14" s="42"/>
      <c r="K14" s="42"/>
      <c r="R14" s="100"/>
      <c r="S14" s="100"/>
      <c r="T14" s="100"/>
      <c r="U14" s="100"/>
      <c r="V14" s="100"/>
      <c r="W14" s="100"/>
      <c r="X14" s="100"/>
    </row>
    <row r="15" spans="1:54" ht="28.8" customHeight="1" thickBot="1" x14ac:dyDescent="0.6">
      <c r="E15" s="124"/>
      <c r="F15" s="130"/>
      <c r="G15" s="127"/>
      <c r="H15" s="124"/>
      <c r="I15" s="124"/>
      <c r="J15" s="46"/>
      <c r="K15" s="42"/>
      <c r="R15" s="100"/>
      <c r="S15" s="100"/>
      <c r="T15" s="100"/>
      <c r="U15" s="100"/>
      <c r="V15" s="100"/>
      <c r="W15" s="100"/>
      <c r="X15" s="100"/>
    </row>
    <row r="16" spans="1:54" ht="28.8" customHeight="1" x14ac:dyDescent="0.55000000000000004">
      <c r="E16" s="124"/>
      <c r="F16" s="124"/>
      <c r="G16" s="124"/>
      <c r="H16" s="124"/>
      <c r="I16" s="124"/>
      <c r="J16" s="42"/>
      <c r="K16" s="42"/>
      <c r="R16" s="499" t="s">
        <v>27</v>
      </c>
      <c r="S16" s="500"/>
      <c r="T16" s="500"/>
      <c r="U16" s="500"/>
      <c r="V16" s="500"/>
      <c r="W16" s="500"/>
      <c r="X16" s="501"/>
    </row>
    <row r="17" spans="5:24" ht="28.8" customHeight="1" x14ac:dyDescent="0.55000000000000004">
      <c r="E17" s="124"/>
      <c r="F17" s="124"/>
      <c r="G17" s="124"/>
      <c r="H17" s="124"/>
      <c r="I17" s="124"/>
      <c r="J17" s="42"/>
      <c r="K17" s="42"/>
      <c r="R17" s="502"/>
      <c r="S17" s="503"/>
      <c r="T17" s="503"/>
      <c r="U17" s="503"/>
      <c r="V17" s="503"/>
      <c r="W17" s="503"/>
      <c r="X17" s="504"/>
    </row>
    <row r="18" spans="5:24" ht="28.8" customHeight="1" thickBot="1" x14ac:dyDescent="0.6">
      <c r="E18" s="42"/>
      <c r="F18" s="42"/>
      <c r="G18" s="42"/>
      <c r="H18" s="42"/>
      <c r="I18" s="42"/>
      <c r="J18" s="42"/>
      <c r="K18" s="42"/>
      <c r="R18" s="505"/>
      <c r="S18" s="506"/>
      <c r="T18" s="506"/>
      <c r="U18" s="506"/>
      <c r="V18" s="506"/>
      <c r="W18" s="506"/>
      <c r="X18" s="507"/>
    </row>
    <row r="19" spans="5:24" ht="28.8" customHeight="1" x14ac:dyDescent="0.55000000000000004">
      <c r="E19" s="42"/>
      <c r="F19" s="42"/>
      <c r="G19" s="42"/>
      <c r="H19" s="42"/>
      <c r="I19" s="42"/>
      <c r="J19" s="42"/>
      <c r="K19" s="42"/>
      <c r="R19" s="17" t="s">
        <v>13</v>
      </c>
      <c r="S19" s="43" t="s">
        <v>13</v>
      </c>
      <c r="T19" s="43" t="s">
        <v>13</v>
      </c>
      <c r="U19" s="43" t="s">
        <v>13</v>
      </c>
      <c r="V19" s="43" t="s">
        <v>13</v>
      </c>
      <c r="W19" s="45" t="s">
        <v>13</v>
      </c>
      <c r="X19" s="112" t="s">
        <v>13</v>
      </c>
    </row>
    <row r="20" spans="5:24" ht="28.8" customHeight="1" x14ac:dyDescent="0.55000000000000004">
      <c r="E20" s="42"/>
      <c r="F20" s="42"/>
      <c r="G20" s="42"/>
      <c r="H20" s="42"/>
      <c r="I20" s="42"/>
      <c r="J20" s="42"/>
      <c r="K20" s="42"/>
      <c r="R20" s="17" t="s">
        <v>13</v>
      </c>
      <c r="S20" s="444" t="s">
        <v>28</v>
      </c>
      <c r="T20" s="44"/>
      <c r="U20" s="43" t="s">
        <v>13</v>
      </c>
      <c r="V20" s="43" t="s">
        <v>13</v>
      </c>
      <c r="W20" s="464" t="s">
        <v>10</v>
      </c>
      <c r="X20" s="112" t="s">
        <v>13</v>
      </c>
    </row>
    <row r="21" spans="5:24" ht="28.8" customHeight="1" x14ac:dyDescent="0.55000000000000004">
      <c r="E21" s="42"/>
      <c r="F21" s="42"/>
      <c r="G21" s="42"/>
      <c r="H21" s="42"/>
      <c r="I21" s="42"/>
      <c r="J21" s="42"/>
      <c r="K21" s="42"/>
      <c r="R21" s="17" t="s">
        <v>13</v>
      </c>
      <c r="S21" s="463" t="s">
        <v>13</v>
      </c>
      <c r="T21" s="43" t="s">
        <v>13</v>
      </c>
      <c r="U21" s="43" t="s">
        <v>13</v>
      </c>
      <c r="V21" s="43" t="s">
        <v>13</v>
      </c>
      <c r="W21" s="45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444" t="s">
        <v>29</v>
      </c>
      <c r="T22" s="44"/>
      <c r="U22" s="43" t="s">
        <v>13</v>
      </c>
      <c r="V22" s="43" t="s">
        <v>13</v>
      </c>
      <c r="W22" s="464">
        <v>200</v>
      </c>
      <c r="X22" s="112" t="s">
        <v>13</v>
      </c>
    </row>
    <row r="23" spans="5:24" ht="28.8" customHeight="1" x14ac:dyDescent="0.55000000000000004">
      <c r="R23" s="17" t="s">
        <v>13</v>
      </c>
      <c r="S23" s="43" t="s">
        <v>13</v>
      </c>
      <c r="T23" s="43" t="s">
        <v>13</v>
      </c>
      <c r="U23" s="43" t="s">
        <v>13</v>
      </c>
      <c r="V23" s="43" t="s">
        <v>13</v>
      </c>
      <c r="W23" s="120" t="s">
        <v>13</v>
      </c>
      <c r="X23" s="112" t="s">
        <v>13</v>
      </c>
    </row>
    <row r="24" spans="5:24" ht="28.8" customHeight="1" x14ac:dyDescent="0.55000000000000004">
      <c r="R24" s="17" t="s">
        <v>13</v>
      </c>
      <c r="S24" s="43" t="s">
        <v>13</v>
      </c>
      <c r="T24" s="43" t="s">
        <v>13</v>
      </c>
      <c r="U24" s="43" t="s">
        <v>13</v>
      </c>
      <c r="V24" s="43" t="s">
        <v>13</v>
      </c>
      <c r="W24" s="120" t="s">
        <v>13</v>
      </c>
      <c r="X24" s="112" t="s">
        <v>13</v>
      </c>
    </row>
    <row r="25" spans="5:24" ht="28.8" customHeight="1" x14ac:dyDescent="0.55000000000000004">
      <c r="R25" s="17" t="s">
        <v>13</v>
      </c>
      <c r="S25" s="43" t="s">
        <v>13</v>
      </c>
      <c r="T25" s="43" t="s">
        <v>13</v>
      </c>
      <c r="U25" s="43" t="s">
        <v>13</v>
      </c>
      <c r="V25" s="43" t="s">
        <v>13</v>
      </c>
      <c r="W25" s="120" t="s">
        <v>13</v>
      </c>
      <c r="X25" s="112" t="s">
        <v>13</v>
      </c>
    </row>
    <row r="26" spans="5:24" ht="28.8" customHeight="1" x14ac:dyDescent="0.55000000000000004">
      <c r="R26" s="17" t="s">
        <v>13</v>
      </c>
      <c r="S26" s="43" t="s">
        <v>13</v>
      </c>
      <c r="T26" s="43" t="s">
        <v>13</v>
      </c>
      <c r="U26" s="43" t="s">
        <v>13</v>
      </c>
      <c r="V26" s="43" t="s">
        <v>13</v>
      </c>
      <c r="W26" s="120" t="s">
        <v>13</v>
      </c>
      <c r="X26" s="112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15" t="s">
        <v>13</v>
      </c>
      <c r="X27" s="116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41"/>
      <c r="F30" s="41"/>
      <c r="G30" s="41"/>
      <c r="H30" s="41"/>
      <c r="I30" s="41"/>
      <c r="J30" s="41"/>
      <c r="K30" s="41"/>
    </row>
    <row r="31" spans="5:24" ht="28.8" customHeight="1" x14ac:dyDescent="0.3">
      <c r="E31" s="41"/>
      <c r="F31" s="41"/>
      <c r="G31" s="41"/>
      <c r="H31" s="41"/>
      <c r="I31" s="41"/>
      <c r="J31" s="41"/>
      <c r="K31" s="41"/>
    </row>
    <row r="32" spans="5:24" ht="28.8" customHeight="1" x14ac:dyDescent="0.3">
      <c r="E32" s="41"/>
      <c r="F32" s="41"/>
      <c r="G32" s="41"/>
      <c r="H32" s="41"/>
      <c r="I32" s="41"/>
      <c r="J32" s="41"/>
      <c r="K32" s="41"/>
    </row>
    <row r="33" spans="5:11" ht="28.8" customHeight="1" x14ac:dyDescent="0.55000000000000004">
      <c r="E33" s="124"/>
      <c r="F33" s="124"/>
      <c r="G33" s="124"/>
      <c r="H33" s="124"/>
      <c r="I33" s="124"/>
      <c r="J33" s="42"/>
      <c r="K33" s="42"/>
    </row>
    <row r="34" spans="5:11" ht="28.8" customHeight="1" x14ac:dyDescent="0.55000000000000004">
      <c r="E34" s="124"/>
      <c r="F34" s="130"/>
      <c r="G34" s="127"/>
      <c r="H34" s="124"/>
      <c r="I34" s="124"/>
      <c r="J34" s="46"/>
      <c r="K34" s="42"/>
    </row>
    <row r="35" spans="5:11" ht="28.8" customHeight="1" x14ac:dyDescent="0.55000000000000004">
      <c r="E35" s="124"/>
      <c r="F35" s="124"/>
      <c r="G35" s="124"/>
      <c r="H35" s="124"/>
      <c r="I35" s="124"/>
      <c r="J35" s="42"/>
      <c r="K35" s="42"/>
    </row>
    <row r="36" spans="5:11" ht="28.8" customHeight="1" x14ac:dyDescent="0.55000000000000004">
      <c r="E36" s="124"/>
      <c r="F36" s="130"/>
      <c r="G36" s="127"/>
      <c r="H36" s="124"/>
      <c r="I36" s="124"/>
      <c r="J36" s="46"/>
      <c r="K36" s="42"/>
    </row>
    <row r="37" spans="5:11" ht="28.8" customHeight="1" x14ac:dyDescent="0.55000000000000004">
      <c r="E37" s="124"/>
      <c r="F37" s="124"/>
      <c r="G37" s="124"/>
      <c r="H37" s="124"/>
      <c r="I37" s="124"/>
      <c r="J37" s="42"/>
      <c r="K37" s="42"/>
    </row>
    <row r="38" spans="5:11" ht="28.8" customHeight="1" x14ac:dyDescent="0.55000000000000004">
      <c r="E38" s="124"/>
      <c r="F38" s="130"/>
      <c r="G38" s="124"/>
      <c r="H38" s="124"/>
      <c r="I38" s="124"/>
      <c r="J38" s="42"/>
      <c r="K38" s="42"/>
    </row>
    <row r="39" spans="5:11" ht="28.8" customHeight="1" x14ac:dyDescent="0.55000000000000004">
      <c r="E39" s="124"/>
      <c r="F39" s="124"/>
      <c r="G39" s="124"/>
      <c r="H39" s="124"/>
      <c r="I39" s="124"/>
      <c r="J39" s="42"/>
      <c r="K39" s="42"/>
    </row>
    <row r="40" spans="5:11" ht="28.8" customHeight="1" x14ac:dyDescent="0.55000000000000004">
      <c r="E40" s="124"/>
      <c r="F40" s="130"/>
      <c r="G40" s="127"/>
      <c r="H40" s="124"/>
      <c r="I40" s="124"/>
      <c r="J40" s="46"/>
      <c r="K40" s="42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89C0F9-4780-4E43-B31A-44BD694A9100}">
          <x14:formula1>
            <xm:f>BANCO1!$F$14:$F$17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showGridLines="0" showRowColHeaders="0" zoomScale="40" zoomScaleNormal="40" workbookViewId="0">
      <selection activeCell="AA36" sqref="AA36"/>
    </sheetView>
  </sheetViews>
  <sheetFormatPr defaultRowHeight="14.4" x14ac:dyDescent="0.3"/>
  <cols>
    <col min="1" max="5" width="8.88671875" style="82"/>
    <col min="6" max="6" width="23.5546875" style="82" bestFit="1" customWidth="1"/>
    <col min="7" max="9" width="8.88671875" style="82"/>
    <col min="10" max="10" width="34.6640625" style="82" customWidth="1"/>
    <col min="11" max="11" width="8.88671875" style="82" customWidth="1"/>
    <col min="12" max="19" width="8.88671875" style="82"/>
    <col min="20" max="20" width="47.6640625" style="82" bestFit="1" customWidth="1"/>
    <col min="21" max="21" width="8.88671875" style="82"/>
    <col min="22" max="22" width="11.44140625" style="82" customWidth="1"/>
    <col min="23" max="23" width="8.88671875" style="82"/>
    <col min="24" max="24" width="47.44140625" style="82" customWidth="1"/>
    <col min="25" max="16384" width="8.88671875" style="82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520"/>
      <c r="F9" s="520"/>
      <c r="G9" s="520"/>
      <c r="H9" s="520"/>
      <c r="I9" s="520"/>
      <c r="J9" s="520"/>
      <c r="K9" s="520"/>
    </row>
    <row r="10" spans="1:54" ht="28.8" customHeight="1" thickBot="1" x14ac:dyDescent="0.35">
      <c r="E10" s="520"/>
      <c r="F10" s="520"/>
      <c r="G10" s="520"/>
      <c r="H10" s="520"/>
      <c r="I10" s="520"/>
      <c r="J10" s="520"/>
      <c r="K10" s="520"/>
    </row>
    <row r="11" spans="1:54" ht="28.8" customHeight="1" x14ac:dyDescent="0.3">
      <c r="E11" s="520"/>
      <c r="F11" s="520"/>
      <c r="G11" s="520"/>
      <c r="H11" s="520"/>
      <c r="I11" s="520"/>
      <c r="J11" s="520"/>
      <c r="K11" s="520"/>
      <c r="S11" s="499" t="s">
        <v>754</v>
      </c>
      <c r="T11" s="500"/>
      <c r="U11" s="500"/>
      <c r="V11" s="500"/>
      <c r="W11" s="500"/>
      <c r="X11" s="500"/>
      <c r="Y11" s="501"/>
    </row>
    <row r="12" spans="1:54" ht="28.8" customHeight="1" x14ac:dyDescent="0.55000000000000004">
      <c r="E12" s="124"/>
      <c r="F12" s="124"/>
      <c r="G12" s="124"/>
      <c r="H12" s="124"/>
      <c r="I12" s="124"/>
      <c r="J12" s="42"/>
      <c r="K12" s="42"/>
      <c r="S12" s="502"/>
      <c r="T12" s="503"/>
      <c r="U12" s="503"/>
      <c r="V12" s="503"/>
      <c r="W12" s="503"/>
      <c r="X12" s="503"/>
      <c r="Y12" s="504"/>
    </row>
    <row r="13" spans="1:54" ht="28.8" customHeight="1" x14ac:dyDescent="0.55000000000000004">
      <c r="E13" s="124"/>
      <c r="F13" s="130"/>
      <c r="G13" s="127"/>
      <c r="H13" s="124"/>
      <c r="I13" s="124"/>
      <c r="J13" s="46"/>
      <c r="K13" s="42"/>
      <c r="S13" s="502"/>
      <c r="T13" s="503"/>
      <c r="U13" s="503"/>
      <c r="V13" s="503"/>
      <c r="W13" s="503"/>
      <c r="X13" s="503"/>
      <c r="Y13" s="504"/>
    </row>
    <row r="14" spans="1:54" ht="28.8" customHeight="1" x14ac:dyDescent="0.55000000000000004">
      <c r="E14" s="124"/>
      <c r="F14" s="124"/>
      <c r="G14" s="124"/>
      <c r="H14" s="124"/>
      <c r="I14" s="124"/>
      <c r="J14" s="42"/>
      <c r="K14" s="42"/>
      <c r="S14" s="17" t="s">
        <v>13</v>
      </c>
      <c r="T14" s="43" t="s">
        <v>13</v>
      </c>
      <c r="U14" s="43" t="s">
        <v>13</v>
      </c>
      <c r="V14" s="43" t="s">
        <v>13</v>
      </c>
      <c r="W14" s="43" t="s">
        <v>13</v>
      </c>
      <c r="X14" s="45" t="s">
        <v>13</v>
      </c>
      <c r="Y14" s="112" t="s">
        <v>13</v>
      </c>
    </row>
    <row r="15" spans="1:54" ht="28.8" customHeight="1" x14ac:dyDescent="0.55000000000000004">
      <c r="E15" s="124"/>
      <c r="F15" s="130"/>
      <c r="G15" s="127"/>
      <c r="H15" s="124"/>
      <c r="I15" s="124"/>
      <c r="J15" s="46"/>
      <c r="K15" s="42"/>
      <c r="S15" s="17" t="s">
        <v>13</v>
      </c>
      <c r="T15" s="444" t="s">
        <v>28</v>
      </c>
      <c r="U15" s="44"/>
      <c r="V15" s="43" t="s">
        <v>13</v>
      </c>
      <c r="W15" s="43" t="s">
        <v>13</v>
      </c>
      <c r="X15" s="464" t="s">
        <v>10</v>
      </c>
      <c r="Y15" s="112" t="s">
        <v>13</v>
      </c>
    </row>
    <row r="16" spans="1:54" ht="28.8" customHeight="1" x14ac:dyDescent="0.55000000000000004">
      <c r="E16" s="124"/>
      <c r="F16" s="124"/>
      <c r="G16" s="124"/>
      <c r="H16" s="124"/>
      <c r="I16" s="124"/>
      <c r="J16" s="42"/>
      <c r="K16" s="42"/>
      <c r="S16" s="17" t="s">
        <v>13</v>
      </c>
      <c r="T16" s="463" t="s">
        <v>13</v>
      </c>
      <c r="U16" s="43" t="s">
        <v>13</v>
      </c>
      <c r="V16" s="43" t="s">
        <v>13</v>
      </c>
      <c r="W16" s="43" t="s">
        <v>13</v>
      </c>
      <c r="X16" s="45" t="s">
        <v>13</v>
      </c>
      <c r="Y16" s="13" t="s">
        <v>13</v>
      </c>
    </row>
    <row r="17" spans="5:25" ht="28.8" customHeight="1" x14ac:dyDescent="0.55000000000000004">
      <c r="E17" s="124"/>
      <c r="F17" s="130"/>
      <c r="G17" s="124"/>
      <c r="H17" s="124"/>
      <c r="I17" s="124"/>
      <c r="J17" s="42"/>
      <c r="K17" s="42"/>
      <c r="S17" s="17" t="s">
        <v>13</v>
      </c>
      <c r="T17" s="444" t="s">
        <v>29</v>
      </c>
      <c r="U17" s="44"/>
      <c r="V17" s="43" t="s">
        <v>13</v>
      </c>
      <c r="W17" s="43" t="s">
        <v>13</v>
      </c>
      <c r="X17" s="442">
        <f>VLOOKUP(X15,BANCO1!F14:H17,2,0)</f>
        <v>400</v>
      </c>
      <c r="Y17" s="112" t="s">
        <v>13</v>
      </c>
    </row>
    <row r="18" spans="5:25" ht="28.8" customHeight="1" x14ac:dyDescent="0.55000000000000004">
      <c r="E18" s="124"/>
      <c r="F18" s="124"/>
      <c r="G18" s="124"/>
      <c r="H18" s="124"/>
      <c r="I18" s="124"/>
      <c r="J18" s="42"/>
      <c r="K18" s="42"/>
      <c r="S18" s="17" t="s">
        <v>13</v>
      </c>
      <c r="T18" s="463" t="s">
        <v>13</v>
      </c>
      <c r="U18" s="43" t="s">
        <v>13</v>
      </c>
      <c r="V18" s="43" t="s">
        <v>13</v>
      </c>
      <c r="W18" s="43" t="s">
        <v>13</v>
      </c>
      <c r="X18" s="120" t="s">
        <v>13</v>
      </c>
      <c r="Y18" s="112" t="s">
        <v>13</v>
      </c>
    </row>
    <row r="19" spans="5:25" ht="28.8" customHeight="1" x14ac:dyDescent="0.55000000000000004">
      <c r="E19" s="124"/>
      <c r="F19" s="130"/>
      <c r="G19" s="127"/>
      <c r="H19" s="124"/>
      <c r="I19" s="124"/>
      <c r="J19" s="46"/>
      <c r="K19" s="42"/>
      <c r="S19" s="17" t="s">
        <v>13</v>
      </c>
      <c r="T19" s="465" t="s">
        <v>30</v>
      </c>
      <c r="U19" s="43" t="s">
        <v>13</v>
      </c>
      <c r="V19" s="43" t="s">
        <v>13</v>
      </c>
      <c r="W19" s="43" t="s">
        <v>13</v>
      </c>
      <c r="X19" s="442"/>
      <c r="Y19" s="112" t="s">
        <v>13</v>
      </c>
    </row>
    <row r="20" spans="5:25" ht="28.8" customHeight="1" x14ac:dyDescent="0.55000000000000004">
      <c r="E20" s="42"/>
      <c r="F20" s="42"/>
      <c r="G20" s="42"/>
      <c r="H20" s="42"/>
      <c r="I20" s="42"/>
      <c r="J20" s="42"/>
      <c r="K20" s="42"/>
      <c r="S20" s="17" t="s">
        <v>13</v>
      </c>
      <c r="T20" s="43" t="s">
        <v>13</v>
      </c>
      <c r="U20" s="43" t="s">
        <v>13</v>
      </c>
      <c r="V20" s="43" t="s">
        <v>13</v>
      </c>
      <c r="W20" s="43" t="s">
        <v>13</v>
      </c>
      <c r="X20" s="120" t="s">
        <v>13</v>
      </c>
      <c r="Y20" s="112" t="s">
        <v>13</v>
      </c>
    </row>
    <row r="21" spans="5:25" ht="28.8" customHeight="1" thickBot="1" x14ac:dyDescent="0.6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15" t="s">
        <v>13</v>
      </c>
      <c r="Y21" s="116" t="s">
        <v>13</v>
      </c>
    </row>
    <row r="22" spans="5:25" ht="28.8" customHeight="1" x14ac:dyDescent="0.55000000000000004">
      <c r="S22" s="124" t="s">
        <v>13</v>
      </c>
      <c r="T22" s="124" t="s">
        <v>13</v>
      </c>
      <c r="U22" s="124" t="s">
        <v>13</v>
      </c>
      <c r="V22" s="124" t="s">
        <v>13</v>
      </c>
      <c r="W22" s="124" t="s">
        <v>13</v>
      </c>
      <c r="X22" s="125" t="s">
        <v>13</v>
      </c>
      <c r="Y22" s="125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052E07-F8AD-4D1C-B144-98874A77162C}">
          <x14:formula1>
            <xm:f>BANCO1!$F$14:$F$17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Y67"/>
  <sheetViews>
    <sheetView zoomScale="40" zoomScaleNormal="40" workbookViewId="0"/>
  </sheetViews>
  <sheetFormatPr defaultRowHeight="14.4" x14ac:dyDescent="0.3"/>
  <cols>
    <col min="1" max="4" width="8.88671875" style="100"/>
    <col min="5" max="5" width="5.6640625" style="100" bestFit="1" customWidth="1"/>
    <col min="6" max="6" width="29.88671875" style="100" bestFit="1" customWidth="1"/>
    <col min="7" max="7" width="49.88671875" style="100" customWidth="1"/>
    <col min="8" max="8" width="30.44140625" style="100" bestFit="1" customWidth="1"/>
    <col min="9" max="9" width="11.33203125" style="100" bestFit="1" customWidth="1"/>
    <col min="10" max="10" width="29.88671875" style="100" bestFit="1" customWidth="1"/>
    <col min="11" max="11" width="49.88671875" style="100" bestFit="1" customWidth="1"/>
    <col min="12" max="12" width="30.44140625" style="100" bestFit="1" customWidth="1"/>
    <col min="13" max="13" width="25.109375" style="100" bestFit="1" customWidth="1"/>
    <col min="14" max="14" width="51.21875" style="100" bestFit="1" customWidth="1"/>
    <col min="15" max="16" width="41.77734375" style="100" bestFit="1" customWidth="1"/>
    <col min="1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8" customHeight="1" x14ac:dyDescent="0.3"/>
    <row r="58" spans="1:28" ht="28.8" customHeight="1" x14ac:dyDescent="0.3"/>
    <row r="59" spans="1:28" ht="28.8" customHeight="1" x14ac:dyDescent="0.3"/>
    <row r="60" spans="1:28" ht="28.8" customHeight="1" x14ac:dyDescent="0.3"/>
    <row r="61" spans="1:28" ht="28.8" customHeight="1" x14ac:dyDescent="0.3"/>
    <row r="62" spans="1:28" ht="28.8" customHeight="1" x14ac:dyDescent="0.3"/>
    <row r="63" spans="1:28" ht="28.8" customHeight="1" x14ac:dyDescent="0.3"/>
    <row r="64" spans="1:28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G17" sqref="G17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6" bestFit="1" customWidth="1"/>
    <col min="10" max="10" width="38.77734375" bestFit="1" customWidth="1"/>
    <col min="11" max="11" width="62.44140625" bestFit="1" customWidth="1"/>
    <col min="12" max="12" width="34.88671875" bestFit="1" customWidth="1"/>
    <col min="13" max="13" width="33" bestFit="1" customWidth="1"/>
    <col min="14" max="14" width="64.5546875" bestFit="1" customWidth="1"/>
    <col min="15" max="15" width="55.6640625" bestFit="1" customWidth="1"/>
    <col min="16" max="16" width="41.77734375" bestFit="1" customWidth="1"/>
  </cols>
  <sheetData>
    <row r="1" spans="1:51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s="100" customFormat="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466" t="s">
        <v>400</v>
      </c>
      <c r="J12" s="466" t="s">
        <v>32</v>
      </c>
      <c r="K12" s="466" t="s">
        <v>33</v>
      </c>
      <c r="L12" s="466" t="s">
        <v>34</v>
      </c>
      <c r="M12" s="466" t="s">
        <v>35</v>
      </c>
      <c r="N12" s="466" t="s">
        <v>36</v>
      </c>
      <c r="O12" s="466" t="s">
        <v>37</v>
      </c>
    </row>
    <row r="13" spans="1:51" ht="28.8" customHeight="1" x14ac:dyDescent="0.3">
      <c r="I13" s="467">
        <v>1</v>
      </c>
      <c r="J13" s="467" t="s">
        <v>38</v>
      </c>
      <c r="K13" s="467" t="s">
        <v>39</v>
      </c>
      <c r="L13" s="467" t="s">
        <v>40</v>
      </c>
      <c r="M13" s="467" t="s">
        <v>41</v>
      </c>
      <c r="N13" s="467" t="s">
        <v>42</v>
      </c>
      <c r="O13" s="467" t="s">
        <v>43</v>
      </c>
    </row>
    <row r="14" spans="1:51" ht="28.8" customHeight="1" x14ac:dyDescent="0.3">
      <c r="I14" s="467">
        <f>I13+1</f>
        <v>2</v>
      </c>
      <c r="J14" s="467" t="s">
        <v>44</v>
      </c>
      <c r="K14" s="467" t="s">
        <v>45</v>
      </c>
      <c r="L14" s="467" t="s">
        <v>40</v>
      </c>
      <c r="M14" s="467" t="s">
        <v>46</v>
      </c>
      <c r="N14" s="467" t="s">
        <v>47</v>
      </c>
      <c r="O14" s="467" t="s">
        <v>48</v>
      </c>
    </row>
    <row r="15" spans="1:51" ht="28.8" customHeight="1" x14ac:dyDescent="0.3">
      <c r="I15" s="467">
        <f t="shared" ref="I15:I32" si="0">I14+1</f>
        <v>3</v>
      </c>
      <c r="J15" s="467" t="s">
        <v>49</v>
      </c>
      <c r="K15" s="467" t="s">
        <v>50</v>
      </c>
      <c r="L15" s="467" t="s">
        <v>51</v>
      </c>
      <c r="M15" s="467" t="s">
        <v>52</v>
      </c>
      <c r="N15" s="467" t="s">
        <v>53</v>
      </c>
      <c r="O15" s="467" t="s">
        <v>54</v>
      </c>
    </row>
    <row r="16" spans="1:51" ht="28.8" customHeight="1" x14ac:dyDescent="0.3">
      <c r="I16" s="467">
        <f t="shared" si="0"/>
        <v>4</v>
      </c>
      <c r="J16" s="467" t="s">
        <v>55</v>
      </c>
      <c r="K16" s="467" t="s">
        <v>56</v>
      </c>
      <c r="L16" s="467" t="s">
        <v>57</v>
      </c>
      <c r="M16" s="467" t="s">
        <v>58</v>
      </c>
      <c r="N16" s="467" t="s">
        <v>59</v>
      </c>
      <c r="O16" s="467" t="s">
        <v>60</v>
      </c>
    </row>
    <row r="17" spans="9:15" ht="28.8" customHeight="1" x14ac:dyDescent="0.3">
      <c r="I17" s="467">
        <f t="shared" si="0"/>
        <v>5</v>
      </c>
      <c r="J17" s="467" t="s">
        <v>61</v>
      </c>
      <c r="K17" s="467" t="s">
        <v>62</v>
      </c>
      <c r="L17" s="467" t="s">
        <v>63</v>
      </c>
      <c r="M17" s="467" t="s">
        <v>64</v>
      </c>
      <c r="N17" s="467" t="s">
        <v>65</v>
      </c>
      <c r="O17" s="467" t="s">
        <v>66</v>
      </c>
    </row>
    <row r="18" spans="9:15" ht="28.8" customHeight="1" x14ac:dyDescent="0.3">
      <c r="I18" s="467">
        <f t="shared" si="0"/>
        <v>6</v>
      </c>
      <c r="J18" s="467" t="s">
        <v>67</v>
      </c>
      <c r="K18" s="467" t="s">
        <v>68</v>
      </c>
      <c r="L18" s="467" t="s">
        <v>69</v>
      </c>
      <c r="M18" s="467" t="s">
        <v>70</v>
      </c>
      <c r="N18" s="467" t="s">
        <v>71</v>
      </c>
      <c r="O18" s="467" t="s">
        <v>72</v>
      </c>
    </row>
    <row r="19" spans="9:15" ht="28.8" customHeight="1" x14ac:dyDescent="0.3">
      <c r="I19" s="467">
        <f t="shared" si="0"/>
        <v>7</v>
      </c>
      <c r="J19" s="467" t="s">
        <v>73</v>
      </c>
      <c r="K19" s="467" t="s">
        <v>74</v>
      </c>
      <c r="L19" s="467" t="s">
        <v>75</v>
      </c>
      <c r="M19" s="467" t="s">
        <v>76</v>
      </c>
      <c r="N19" s="467" t="s">
        <v>77</v>
      </c>
      <c r="O19" s="467" t="s">
        <v>78</v>
      </c>
    </row>
    <row r="20" spans="9:15" ht="28.8" customHeight="1" x14ac:dyDescent="0.3">
      <c r="I20" s="467">
        <f t="shared" si="0"/>
        <v>8</v>
      </c>
      <c r="J20" s="467" t="s">
        <v>79</v>
      </c>
      <c r="K20" s="467" t="s">
        <v>80</v>
      </c>
      <c r="L20" s="467" t="s">
        <v>81</v>
      </c>
      <c r="M20" s="467" t="s">
        <v>82</v>
      </c>
      <c r="N20" s="467" t="s">
        <v>83</v>
      </c>
      <c r="O20" s="467" t="s">
        <v>84</v>
      </c>
    </row>
    <row r="21" spans="9:15" ht="28.8" customHeight="1" x14ac:dyDescent="0.3">
      <c r="I21" s="467">
        <f t="shared" si="0"/>
        <v>9</v>
      </c>
      <c r="J21" s="467" t="s">
        <v>85</v>
      </c>
      <c r="K21" s="467" t="s">
        <v>86</v>
      </c>
      <c r="L21" s="467" t="s">
        <v>87</v>
      </c>
      <c r="M21" s="467" t="s">
        <v>88</v>
      </c>
      <c r="N21" s="467" t="s">
        <v>89</v>
      </c>
      <c r="O21" s="467" t="s">
        <v>90</v>
      </c>
    </row>
    <row r="22" spans="9:15" ht="28.8" customHeight="1" x14ac:dyDescent="0.3">
      <c r="I22" s="467">
        <f t="shared" si="0"/>
        <v>10</v>
      </c>
      <c r="J22" s="467" t="s">
        <v>91</v>
      </c>
      <c r="K22" s="467" t="s">
        <v>92</v>
      </c>
      <c r="L22" s="467" t="s">
        <v>93</v>
      </c>
      <c r="M22" s="467" t="s">
        <v>94</v>
      </c>
      <c r="N22" s="467" t="s">
        <v>95</v>
      </c>
      <c r="O22" s="467" t="s">
        <v>96</v>
      </c>
    </row>
    <row r="23" spans="9:15" ht="28.8" customHeight="1" x14ac:dyDescent="0.3">
      <c r="I23" s="467">
        <f t="shared" si="0"/>
        <v>11</v>
      </c>
      <c r="J23" s="467" t="s">
        <v>97</v>
      </c>
      <c r="K23" s="467" t="s">
        <v>98</v>
      </c>
      <c r="L23" s="467" t="s">
        <v>99</v>
      </c>
      <c r="M23" s="467" t="s">
        <v>100</v>
      </c>
      <c r="N23" s="467" t="s">
        <v>101</v>
      </c>
      <c r="O23" s="467" t="s">
        <v>102</v>
      </c>
    </row>
    <row r="24" spans="9:15" ht="28.8" customHeight="1" x14ac:dyDescent="0.3">
      <c r="I24" s="467">
        <f t="shared" si="0"/>
        <v>12</v>
      </c>
      <c r="J24" s="467" t="s">
        <v>103</v>
      </c>
      <c r="K24" s="467" t="s">
        <v>104</v>
      </c>
      <c r="L24" s="467" t="s">
        <v>105</v>
      </c>
      <c r="M24" s="467" t="s">
        <v>106</v>
      </c>
      <c r="N24" s="467" t="s">
        <v>107</v>
      </c>
      <c r="O24" s="467" t="s">
        <v>108</v>
      </c>
    </row>
    <row r="25" spans="9:15" ht="28.8" customHeight="1" x14ac:dyDescent="0.3">
      <c r="I25" s="467">
        <f t="shared" si="0"/>
        <v>13</v>
      </c>
      <c r="J25" s="467" t="s">
        <v>109</v>
      </c>
      <c r="K25" s="467" t="s">
        <v>110</v>
      </c>
      <c r="L25" s="467" t="s">
        <v>111</v>
      </c>
      <c r="M25" s="467" t="s">
        <v>112</v>
      </c>
      <c r="N25" s="467" t="s">
        <v>113</v>
      </c>
      <c r="O25" s="467" t="s">
        <v>114</v>
      </c>
    </row>
    <row r="26" spans="9:15" ht="28.8" customHeight="1" x14ac:dyDescent="0.3">
      <c r="I26" s="467">
        <f t="shared" si="0"/>
        <v>14</v>
      </c>
      <c r="J26" s="467" t="s">
        <v>115</v>
      </c>
      <c r="K26" s="467" t="s">
        <v>116</v>
      </c>
      <c r="L26" s="467" t="s">
        <v>117</v>
      </c>
      <c r="M26" s="467" t="s">
        <v>118</v>
      </c>
      <c r="N26" s="467" t="s">
        <v>119</v>
      </c>
      <c r="O26" s="467" t="s">
        <v>120</v>
      </c>
    </row>
    <row r="27" spans="9:15" ht="28.8" customHeight="1" x14ac:dyDescent="0.3">
      <c r="I27" s="467">
        <f t="shared" si="0"/>
        <v>15</v>
      </c>
      <c r="J27" s="467" t="s">
        <v>121</v>
      </c>
      <c r="K27" s="467" t="s">
        <v>122</v>
      </c>
      <c r="L27" s="467" t="s">
        <v>123</v>
      </c>
      <c r="M27" s="467" t="s">
        <v>124</v>
      </c>
      <c r="N27" s="467" t="s">
        <v>125</v>
      </c>
      <c r="O27" s="467" t="s">
        <v>126</v>
      </c>
    </row>
    <row r="28" spans="9:15" ht="28.8" customHeight="1" x14ac:dyDescent="0.3">
      <c r="I28" s="467">
        <f t="shared" si="0"/>
        <v>16</v>
      </c>
      <c r="J28" s="467" t="s">
        <v>127</v>
      </c>
      <c r="K28" s="467" t="s">
        <v>128</v>
      </c>
      <c r="L28" s="467" t="s">
        <v>129</v>
      </c>
      <c r="M28" s="467" t="s">
        <v>130</v>
      </c>
      <c r="N28" s="467" t="s">
        <v>131</v>
      </c>
      <c r="O28" s="467" t="s">
        <v>102</v>
      </c>
    </row>
    <row r="29" spans="9:15" ht="55.2" x14ac:dyDescent="0.3">
      <c r="I29" s="467">
        <f t="shared" si="0"/>
        <v>17</v>
      </c>
      <c r="J29" s="467" t="s">
        <v>132</v>
      </c>
      <c r="K29" s="467" t="s">
        <v>133</v>
      </c>
      <c r="L29" s="467" t="s">
        <v>134</v>
      </c>
      <c r="M29" s="467" t="s">
        <v>135</v>
      </c>
      <c r="N29" s="467" t="s">
        <v>136</v>
      </c>
      <c r="O29" s="467" t="s">
        <v>108</v>
      </c>
    </row>
    <row r="30" spans="9:15" ht="28.8" customHeight="1" x14ac:dyDescent="0.3">
      <c r="I30" s="467">
        <f t="shared" si="0"/>
        <v>18</v>
      </c>
      <c r="J30" s="467" t="s">
        <v>137</v>
      </c>
      <c r="K30" s="467" t="s">
        <v>138</v>
      </c>
      <c r="L30" s="467" t="s">
        <v>139</v>
      </c>
      <c r="M30" s="467" t="s">
        <v>140</v>
      </c>
      <c r="N30" s="467" t="s">
        <v>141</v>
      </c>
      <c r="O30" s="467" t="s">
        <v>142</v>
      </c>
    </row>
    <row r="31" spans="9:15" ht="28.8" customHeight="1" x14ac:dyDescent="0.3">
      <c r="I31" s="467">
        <f t="shared" si="0"/>
        <v>19</v>
      </c>
      <c r="J31" s="467" t="s">
        <v>143</v>
      </c>
      <c r="K31" s="467" t="s">
        <v>144</v>
      </c>
      <c r="L31" s="467" t="s">
        <v>145</v>
      </c>
      <c r="M31" s="467" t="s">
        <v>146</v>
      </c>
      <c r="N31" s="467" t="s">
        <v>147</v>
      </c>
      <c r="O31" s="467" t="s">
        <v>96</v>
      </c>
    </row>
    <row r="32" spans="9:15" ht="28.8" customHeight="1" x14ac:dyDescent="0.3">
      <c r="I32" s="467">
        <f t="shared" si="0"/>
        <v>20</v>
      </c>
      <c r="J32" s="467" t="s">
        <v>148</v>
      </c>
      <c r="K32" s="467" t="s">
        <v>149</v>
      </c>
      <c r="L32" s="467" t="s">
        <v>150</v>
      </c>
      <c r="M32" s="467" t="s">
        <v>151</v>
      </c>
      <c r="N32" s="467" t="s">
        <v>152</v>
      </c>
      <c r="O32" s="467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/>
  </sheetViews>
  <sheetFormatPr defaultRowHeight="14.4" x14ac:dyDescent="0.3"/>
  <cols>
    <col min="1" max="4" width="8.88671875" style="100"/>
    <col min="5" max="5" width="4.5546875" style="100" customWidth="1"/>
    <col min="6" max="6" width="21.88671875" style="100" bestFit="1" customWidth="1"/>
    <col min="7" max="7" width="26" style="100" bestFit="1" customWidth="1"/>
    <col min="8" max="8" width="30.5546875" style="100" customWidth="1"/>
    <col min="9" max="9" width="12.109375" style="100" bestFit="1" customWidth="1"/>
    <col min="10" max="10" width="12.6640625" style="100" bestFit="1" customWidth="1"/>
    <col min="11" max="11" width="6.33203125" style="100" bestFit="1" customWidth="1"/>
    <col min="12" max="12" width="42.88671875" style="100" bestFit="1" customWidth="1"/>
    <col min="13" max="13" width="26.5546875" style="100" customWidth="1"/>
    <col min="14" max="14" width="60" style="100" bestFit="1" customWidth="1"/>
    <col min="15" max="15" width="39" style="100" bestFit="1" customWidth="1"/>
    <col min="16" max="16" width="44.33203125" style="100" bestFit="1" customWidth="1"/>
    <col min="17" max="17" width="50.44140625" style="100" customWidth="1"/>
    <col min="18" max="18" width="41.21875" style="100" bestFit="1" customWidth="1"/>
    <col min="19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466" t="s">
        <v>31</v>
      </c>
      <c r="L13" s="468" t="s">
        <v>153</v>
      </c>
      <c r="M13" s="468" t="s">
        <v>154</v>
      </c>
      <c r="N13" s="469" t="s">
        <v>155</v>
      </c>
      <c r="O13" s="468" t="s">
        <v>156</v>
      </c>
      <c r="P13" s="468" t="s">
        <v>157</v>
      </c>
      <c r="Q13" s="468" t="s">
        <v>158</v>
      </c>
      <c r="R13" s="468" t="s">
        <v>159</v>
      </c>
    </row>
    <row r="14" spans="1:51" ht="28.8" customHeight="1" x14ac:dyDescent="0.3">
      <c r="K14" s="467">
        <v>1</v>
      </c>
      <c r="L14" s="467" t="s">
        <v>160</v>
      </c>
      <c r="M14" s="467" t="s">
        <v>161</v>
      </c>
      <c r="N14" s="470">
        <v>10000</v>
      </c>
      <c r="O14" s="467" t="s">
        <v>162</v>
      </c>
      <c r="P14" s="467" t="s">
        <v>163</v>
      </c>
      <c r="Q14" s="467" t="s">
        <v>41</v>
      </c>
      <c r="R14" s="467" t="s">
        <v>164</v>
      </c>
    </row>
    <row r="15" spans="1:51" ht="28.8" customHeight="1" x14ac:dyDescent="0.3">
      <c r="K15" s="467">
        <f>K14+1</f>
        <v>2</v>
      </c>
      <c r="L15" s="467" t="s">
        <v>165</v>
      </c>
      <c r="M15" s="467" t="s">
        <v>166</v>
      </c>
      <c r="N15" s="470">
        <v>2000</v>
      </c>
      <c r="O15" s="467" t="s">
        <v>167</v>
      </c>
      <c r="P15" s="467" t="s">
        <v>168</v>
      </c>
      <c r="Q15" s="467" t="s">
        <v>169</v>
      </c>
      <c r="R15" s="467" t="s">
        <v>170</v>
      </c>
    </row>
    <row r="16" spans="1:51" ht="28.8" customHeight="1" x14ac:dyDescent="0.3">
      <c r="K16" s="467">
        <f t="shared" ref="K16:K33" si="0">K15+1</f>
        <v>3</v>
      </c>
      <c r="L16" s="467" t="s">
        <v>171</v>
      </c>
      <c r="M16" s="467" t="s">
        <v>161</v>
      </c>
      <c r="N16" s="470">
        <v>15000</v>
      </c>
      <c r="O16" s="467" t="s">
        <v>172</v>
      </c>
      <c r="P16" s="467" t="s">
        <v>173</v>
      </c>
      <c r="Q16" s="467" t="s">
        <v>174</v>
      </c>
      <c r="R16" s="467" t="s">
        <v>175</v>
      </c>
    </row>
    <row r="17" spans="11:18" ht="28.8" customHeight="1" x14ac:dyDescent="0.3">
      <c r="K17" s="467">
        <f t="shared" si="0"/>
        <v>4</v>
      </c>
      <c r="L17" s="467" t="s">
        <v>176</v>
      </c>
      <c r="M17" s="467" t="s">
        <v>177</v>
      </c>
      <c r="N17" s="470">
        <v>1200</v>
      </c>
      <c r="O17" s="467" t="s">
        <v>178</v>
      </c>
      <c r="P17" s="467" t="s">
        <v>179</v>
      </c>
      <c r="Q17" s="467" t="s">
        <v>58</v>
      </c>
      <c r="R17" s="467" t="s">
        <v>164</v>
      </c>
    </row>
    <row r="18" spans="11:18" ht="28.8" customHeight="1" x14ac:dyDescent="0.3">
      <c r="K18" s="467">
        <f t="shared" si="0"/>
        <v>5</v>
      </c>
      <c r="L18" s="467" t="s">
        <v>180</v>
      </c>
      <c r="M18" s="467" t="s">
        <v>161</v>
      </c>
      <c r="N18" s="470">
        <v>12500</v>
      </c>
      <c r="O18" s="467" t="s">
        <v>181</v>
      </c>
      <c r="P18" s="467" t="s">
        <v>61</v>
      </c>
      <c r="Q18" s="467" t="s">
        <v>182</v>
      </c>
      <c r="R18" s="467" t="s">
        <v>164</v>
      </c>
    </row>
    <row r="19" spans="11:18" ht="28.8" customHeight="1" x14ac:dyDescent="0.3">
      <c r="K19" s="467">
        <f t="shared" si="0"/>
        <v>6</v>
      </c>
      <c r="L19" s="467" t="s">
        <v>183</v>
      </c>
      <c r="M19" s="467" t="s">
        <v>161</v>
      </c>
      <c r="N19" s="470">
        <v>8000</v>
      </c>
      <c r="O19" s="467" t="s">
        <v>184</v>
      </c>
      <c r="P19" s="467" t="s">
        <v>185</v>
      </c>
      <c r="Q19" s="467" t="s">
        <v>186</v>
      </c>
      <c r="R19" s="467" t="s">
        <v>175</v>
      </c>
    </row>
    <row r="20" spans="11:18" ht="28.8" customHeight="1" x14ac:dyDescent="0.3">
      <c r="K20" s="467">
        <f t="shared" si="0"/>
        <v>7</v>
      </c>
      <c r="L20" s="467" t="s">
        <v>187</v>
      </c>
      <c r="M20" s="467" t="s">
        <v>166</v>
      </c>
      <c r="N20" s="470">
        <v>2500</v>
      </c>
      <c r="O20" s="467" t="s">
        <v>188</v>
      </c>
      <c r="P20" s="467" t="s">
        <v>189</v>
      </c>
      <c r="Q20" s="467" t="s">
        <v>190</v>
      </c>
      <c r="R20" s="467" t="s">
        <v>170</v>
      </c>
    </row>
    <row r="21" spans="11:18" ht="28.8" customHeight="1" x14ac:dyDescent="0.3">
      <c r="K21" s="467">
        <f t="shared" si="0"/>
        <v>8</v>
      </c>
      <c r="L21" s="467" t="s">
        <v>191</v>
      </c>
      <c r="M21" s="467" t="s">
        <v>177</v>
      </c>
      <c r="N21" s="470">
        <v>1800</v>
      </c>
      <c r="O21" s="467" t="s">
        <v>192</v>
      </c>
      <c r="P21" s="467" t="s">
        <v>193</v>
      </c>
      <c r="Q21" s="467" t="s">
        <v>82</v>
      </c>
      <c r="R21" s="467" t="s">
        <v>164</v>
      </c>
    </row>
    <row r="22" spans="11:18" ht="28.8" customHeight="1" x14ac:dyDescent="0.3">
      <c r="K22" s="467">
        <f t="shared" si="0"/>
        <v>9</v>
      </c>
      <c r="L22" s="467" t="s">
        <v>194</v>
      </c>
      <c r="M22" s="467" t="s">
        <v>161</v>
      </c>
      <c r="N22" s="470">
        <v>10500</v>
      </c>
      <c r="O22" s="467" t="s">
        <v>195</v>
      </c>
      <c r="P22" s="467" t="s">
        <v>85</v>
      </c>
      <c r="Q22" s="467" t="s">
        <v>88</v>
      </c>
      <c r="R22" s="467" t="s">
        <v>164</v>
      </c>
    </row>
    <row r="23" spans="11:18" ht="28.8" customHeight="1" x14ac:dyDescent="0.3">
      <c r="K23" s="467">
        <f t="shared" si="0"/>
        <v>10</v>
      </c>
      <c r="L23" s="467" t="s">
        <v>196</v>
      </c>
      <c r="M23" s="467" t="s">
        <v>166</v>
      </c>
      <c r="N23" s="470">
        <v>2200</v>
      </c>
      <c r="O23" s="467" t="s">
        <v>197</v>
      </c>
      <c r="P23" s="467" t="s">
        <v>198</v>
      </c>
      <c r="Q23" s="467" t="s">
        <v>94</v>
      </c>
      <c r="R23" s="467" t="s">
        <v>170</v>
      </c>
    </row>
    <row r="24" spans="11:18" ht="28.8" customHeight="1" x14ac:dyDescent="0.3">
      <c r="K24" s="467">
        <f t="shared" si="0"/>
        <v>11</v>
      </c>
      <c r="L24" s="467" t="s">
        <v>199</v>
      </c>
      <c r="M24" s="467" t="s">
        <v>161</v>
      </c>
      <c r="N24" s="470">
        <v>14000</v>
      </c>
      <c r="O24" s="467" t="s">
        <v>200</v>
      </c>
      <c r="P24" s="467" t="s">
        <v>97</v>
      </c>
      <c r="Q24" s="467" t="s">
        <v>100</v>
      </c>
      <c r="R24" s="467" t="s">
        <v>164</v>
      </c>
    </row>
    <row r="25" spans="11:18" ht="28.8" customHeight="1" x14ac:dyDescent="0.3">
      <c r="K25" s="467">
        <f t="shared" si="0"/>
        <v>12</v>
      </c>
      <c r="L25" s="467" t="s">
        <v>201</v>
      </c>
      <c r="M25" s="467" t="s">
        <v>177</v>
      </c>
      <c r="N25" s="470">
        <v>1000</v>
      </c>
      <c r="O25" s="467" t="s">
        <v>202</v>
      </c>
      <c r="P25" s="467" t="s">
        <v>203</v>
      </c>
      <c r="Q25" s="467" t="s">
        <v>106</v>
      </c>
      <c r="R25" s="467" t="s">
        <v>175</v>
      </c>
    </row>
    <row r="26" spans="11:18" ht="28.8" customHeight="1" x14ac:dyDescent="0.3">
      <c r="K26" s="467">
        <f t="shared" si="0"/>
        <v>13</v>
      </c>
      <c r="L26" s="467" t="s">
        <v>204</v>
      </c>
      <c r="M26" s="467" t="s">
        <v>161</v>
      </c>
      <c r="N26" s="470">
        <v>13000</v>
      </c>
      <c r="O26" s="467" t="s">
        <v>205</v>
      </c>
      <c r="P26" s="467" t="s">
        <v>109</v>
      </c>
      <c r="Q26" s="467" t="s">
        <v>112</v>
      </c>
      <c r="R26" s="467" t="s">
        <v>164</v>
      </c>
    </row>
    <row r="27" spans="11:18" ht="28.8" customHeight="1" x14ac:dyDescent="0.3">
      <c r="K27" s="467">
        <f t="shared" si="0"/>
        <v>14</v>
      </c>
      <c r="L27" s="467" t="s">
        <v>206</v>
      </c>
      <c r="M27" s="467" t="s">
        <v>166</v>
      </c>
      <c r="N27" s="470">
        <v>1900</v>
      </c>
      <c r="O27" s="467" t="s">
        <v>207</v>
      </c>
      <c r="P27" s="467" t="s">
        <v>115</v>
      </c>
      <c r="Q27" s="467" t="s">
        <v>118</v>
      </c>
      <c r="R27" s="467" t="s">
        <v>170</v>
      </c>
    </row>
    <row r="28" spans="11:18" ht="28.8" customHeight="1" x14ac:dyDescent="0.3">
      <c r="K28" s="467">
        <f t="shared" si="0"/>
        <v>15</v>
      </c>
      <c r="L28" s="467" t="s">
        <v>208</v>
      </c>
      <c r="M28" s="467" t="s">
        <v>161</v>
      </c>
      <c r="N28" s="470">
        <v>16000</v>
      </c>
      <c r="O28" s="467" t="s">
        <v>209</v>
      </c>
      <c r="P28" s="467" t="s">
        <v>121</v>
      </c>
      <c r="Q28" s="467" t="s">
        <v>124</v>
      </c>
      <c r="R28" s="467" t="s">
        <v>164</v>
      </c>
    </row>
    <row r="29" spans="11:18" ht="28.8" customHeight="1" x14ac:dyDescent="0.3">
      <c r="K29" s="467">
        <f t="shared" si="0"/>
        <v>16</v>
      </c>
      <c r="L29" s="467" t="s">
        <v>210</v>
      </c>
      <c r="M29" s="467" t="s">
        <v>177</v>
      </c>
      <c r="N29" s="470">
        <v>1500</v>
      </c>
      <c r="O29" s="467" t="s">
        <v>211</v>
      </c>
      <c r="P29" s="467" t="s">
        <v>127</v>
      </c>
      <c r="Q29" s="467" t="s">
        <v>130</v>
      </c>
      <c r="R29" s="467" t="s">
        <v>164</v>
      </c>
    </row>
    <row r="30" spans="11:18" ht="28.8" customHeight="1" x14ac:dyDescent="0.3">
      <c r="K30" s="467">
        <f t="shared" si="0"/>
        <v>17</v>
      </c>
      <c r="L30" s="467" t="s">
        <v>212</v>
      </c>
      <c r="M30" s="467" t="s">
        <v>166</v>
      </c>
      <c r="N30" s="470">
        <v>2300</v>
      </c>
      <c r="O30" s="467" t="s">
        <v>213</v>
      </c>
      <c r="P30" s="467" t="s">
        <v>132</v>
      </c>
      <c r="Q30" s="467" t="s">
        <v>135</v>
      </c>
      <c r="R30" s="467" t="s">
        <v>175</v>
      </c>
    </row>
    <row r="31" spans="11:18" ht="28.8" customHeight="1" x14ac:dyDescent="0.3">
      <c r="K31" s="467">
        <f t="shared" si="0"/>
        <v>18</v>
      </c>
      <c r="L31" s="467" t="s">
        <v>214</v>
      </c>
      <c r="M31" s="467" t="s">
        <v>161</v>
      </c>
      <c r="N31" s="470">
        <v>11000</v>
      </c>
      <c r="O31" s="467" t="s">
        <v>215</v>
      </c>
      <c r="P31" s="467" t="s">
        <v>137</v>
      </c>
      <c r="Q31" s="467" t="s">
        <v>140</v>
      </c>
      <c r="R31" s="467" t="s">
        <v>164</v>
      </c>
    </row>
    <row r="32" spans="11:18" ht="28.8" customHeight="1" x14ac:dyDescent="0.3">
      <c r="K32" s="467">
        <f t="shared" si="0"/>
        <v>19</v>
      </c>
      <c r="L32" s="467" t="s">
        <v>216</v>
      </c>
      <c r="M32" s="467" t="s">
        <v>166</v>
      </c>
      <c r="N32" s="470">
        <v>1700</v>
      </c>
      <c r="O32" s="467" t="s">
        <v>217</v>
      </c>
      <c r="P32" s="467" t="s">
        <v>143</v>
      </c>
      <c r="Q32" s="467" t="s">
        <v>146</v>
      </c>
      <c r="R32" s="467" t="s">
        <v>170</v>
      </c>
    </row>
    <row r="33" spans="11:18" ht="28.8" customHeight="1" x14ac:dyDescent="0.3">
      <c r="K33" s="467">
        <f t="shared" si="0"/>
        <v>20</v>
      </c>
      <c r="L33" s="467" t="s">
        <v>218</v>
      </c>
      <c r="M33" s="467" t="s">
        <v>177</v>
      </c>
      <c r="N33" s="470">
        <v>1300</v>
      </c>
      <c r="O33" s="467" t="s">
        <v>219</v>
      </c>
      <c r="P33" s="467" t="s">
        <v>148</v>
      </c>
      <c r="Q33" s="467" t="s">
        <v>151</v>
      </c>
      <c r="R33" s="467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G15" sqref="G1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6.33203125" style="100" customWidth="1"/>
    <col min="12" max="12" width="37.6640625" style="100" bestFit="1" customWidth="1"/>
    <col min="13" max="13" width="33.21875" style="100" bestFit="1" customWidth="1"/>
    <col min="14" max="14" width="38.77734375" style="100" bestFit="1" customWidth="1"/>
    <col min="15" max="15" width="64.5546875" style="100" bestFit="1" customWidth="1"/>
    <col min="16" max="16" width="34.33203125" style="100" bestFit="1" customWidth="1"/>
    <col min="17" max="17" width="27.6640625" style="100" bestFit="1" customWidth="1"/>
    <col min="18" max="18" width="49.33203125" style="100" bestFit="1" customWidth="1"/>
    <col min="19" max="19" width="39.3320312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466" t="s">
        <v>220</v>
      </c>
      <c r="L13" s="466" t="s">
        <v>221</v>
      </c>
      <c r="M13" s="469" t="s">
        <v>222</v>
      </c>
      <c r="N13" s="466" t="s">
        <v>32</v>
      </c>
      <c r="O13" s="466" t="s">
        <v>223</v>
      </c>
      <c r="P13" s="466" t="s">
        <v>224</v>
      </c>
      <c r="Q13" s="466" t="s">
        <v>225</v>
      </c>
      <c r="R13" s="466" t="s">
        <v>226</v>
      </c>
      <c r="S13" s="466" t="s">
        <v>227</v>
      </c>
    </row>
    <row r="14" spans="1:51" ht="28.8" customHeight="1" x14ac:dyDescent="0.3">
      <c r="K14" s="467">
        <v>1</v>
      </c>
      <c r="L14" s="471">
        <v>45604</v>
      </c>
      <c r="M14" s="472">
        <v>0.33333333333333331</v>
      </c>
      <c r="N14" s="467" t="s">
        <v>38</v>
      </c>
      <c r="O14" s="467" t="s">
        <v>228</v>
      </c>
      <c r="P14" s="467" t="s">
        <v>229</v>
      </c>
      <c r="Q14" s="467">
        <v>10</v>
      </c>
      <c r="R14" s="467" t="s">
        <v>161</v>
      </c>
      <c r="S14" s="467" t="s">
        <v>230</v>
      </c>
    </row>
    <row r="15" spans="1:51" ht="28.8" customHeight="1" x14ac:dyDescent="0.3">
      <c r="K15" s="467">
        <f>K14+1</f>
        <v>2</v>
      </c>
      <c r="L15" s="471">
        <v>45604</v>
      </c>
      <c r="M15" s="472">
        <v>0.39583333333333331</v>
      </c>
      <c r="N15" s="467" t="s">
        <v>44</v>
      </c>
      <c r="O15" s="467" t="s">
        <v>231</v>
      </c>
      <c r="P15" s="467" t="s">
        <v>232</v>
      </c>
      <c r="Q15" s="467">
        <v>2</v>
      </c>
      <c r="R15" s="467" t="s">
        <v>166</v>
      </c>
      <c r="S15" s="467" t="s">
        <v>233</v>
      </c>
    </row>
    <row r="16" spans="1:51" ht="28.8" customHeight="1" x14ac:dyDescent="0.3">
      <c r="K16" s="467">
        <f t="shared" ref="K16:K33" si="0">K15+1</f>
        <v>3</v>
      </c>
      <c r="L16" s="471">
        <v>45604</v>
      </c>
      <c r="M16" s="472">
        <v>0.32291666666666669</v>
      </c>
      <c r="N16" s="467" t="s">
        <v>49</v>
      </c>
      <c r="O16" s="467" t="s">
        <v>234</v>
      </c>
      <c r="P16" s="467" t="s">
        <v>235</v>
      </c>
      <c r="Q16" s="467">
        <v>50</v>
      </c>
      <c r="R16" s="467" t="s">
        <v>177</v>
      </c>
      <c r="S16" s="467" t="s">
        <v>230</v>
      </c>
    </row>
    <row r="17" spans="11:19" ht="28.8" customHeight="1" x14ac:dyDescent="0.3">
      <c r="K17" s="467">
        <f t="shared" si="0"/>
        <v>4</v>
      </c>
      <c r="L17" s="471">
        <v>45604</v>
      </c>
      <c r="M17" s="472">
        <v>0.41666666666666669</v>
      </c>
      <c r="N17" s="467" t="s">
        <v>55</v>
      </c>
      <c r="O17" s="467" t="s">
        <v>236</v>
      </c>
      <c r="P17" s="467" t="s">
        <v>237</v>
      </c>
      <c r="Q17" s="467">
        <v>15</v>
      </c>
      <c r="R17" s="467" t="s">
        <v>161</v>
      </c>
      <c r="S17" s="467" t="s">
        <v>230</v>
      </c>
    </row>
    <row r="18" spans="11:19" ht="28.8" customHeight="1" x14ac:dyDescent="0.3">
      <c r="K18" s="467">
        <f t="shared" si="0"/>
        <v>5</v>
      </c>
      <c r="L18" s="471">
        <v>45604</v>
      </c>
      <c r="M18" s="472">
        <v>0.34375</v>
      </c>
      <c r="N18" s="467" t="s">
        <v>61</v>
      </c>
      <c r="O18" s="467" t="s">
        <v>238</v>
      </c>
      <c r="P18" s="467" t="s">
        <v>229</v>
      </c>
      <c r="Q18" s="467">
        <v>100</v>
      </c>
      <c r="R18" s="467" t="s">
        <v>161</v>
      </c>
      <c r="S18" s="467" t="s">
        <v>239</v>
      </c>
    </row>
    <row r="19" spans="11:19" ht="28.8" customHeight="1" x14ac:dyDescent="0.3">
      <c r="K19" s="467">
        <f t="shared" si="0"/>
        <v>6</v>
      </c>
      <c r="L19" s="471">
        <v>45604</v>
      </c>
      <c r="M19" s="472">
        <v>0.375</v>
      </c>
      <c r="N19" s="467" t="s">
        <v>67</v>
      </c>
      <c r="O19" s="467" t="s">
        <v>240</v>
      </c>
      <c r="P19" s="467" t="s">
        <v>232</v>
      </c>
      <c r="Q19" s="467">
        <v>200</v>
      </c>
      <c r="R19" s="467" t="s">
        <v>166</v>
      </c>
      <c r="S19" s="467" t="s">
        <v>230</v>
      </c>
    </row>
    <row r="20" spans="11:19" ht="28.8" customHeight="1" x14ac:dyDescent="0.3">
      <c r="K20" s="467">
        <f t="shared" si="0"/>
        <v>7</v>
      </c>
      <c r="L20" s="471">
        <v>45604</v>
      </c>
      <c r="M20" s="472">
        <v>0.45833333333333331</v>
      </c>
      <c r="N20" s="467" t="s">
        <v>73</v>
      </c>
      <c r="O20" s="467" t="s">
        <v>241</v>
      </c>
      <c r="P20" s="467" t="s">
        <v>235</v>
      </c>
      <c r="Q20" s="467">
        <v>30</v>
      </c>
      <c r="R20" s="467" t="s">
        <v>177</v>
      </c>
      <c r="S20" s="467" t="s">
        <v>233</v>
      </c>
    </row>
    <row r="21" spans="11:19" ht="28.8" customHeight="1" x14ac:dyDescent="0.3">
      <c r="K21" s="467">
        <f t="shared" si="0"/>
        <v>8</v>
      </c>
      <c r="L21" s="471">
        <v>45604</v>
      </c>
      <c r="M21" s="472">
        <v>0.3125</v>
      </c>
      <c r="N21" s="467" t="s">
        <v>79</v>
      </c>
      <c r="O21" s="467" t="s">
        <v>242</v>
      </c>
      <c r="P21" s="467" t="s">
        <v>237</v>
      </c>
      <c r="Q21" s="467">
        <v>20</v>
      </c>
      <c r="R21" s="467" t="s">
        <v>161</v>
      </c>
      <c r="S21" s="467" t="s">
        <v>230</v>
      </c>
    </row>
    <row r="22" spans="11:19" ht="28.8" customHeight="1" x14ac:dyDescent="0.3">
      <c r="K22" s="467">
        <f t="shared" si="0"/>
        <v>9</v>
      </c>
      <c r="L22" s="471">
        <v>45604</v>
      </c>
      <c r="M22" s="472">
        <v>0.40625</v>
      </c>
      <c r="N22" s="467" t="s">
        <v>85</v>
      </c>
      <c r="O22" s="467" t="s">
        <v>243</v>
      </c>
      <c r="P22" s="467" t="s">
        <v>229</v>
      </c>
      <c r="Q22" s="467">
        <v>500</v>
      </c>
      <c r="R22" s="467" t="s">
        <v>161</v>
      </c>
      <c r="S22" s="467" t="s">
        <v>230</v>
      </c>
    </row>
    <row r="23" spans="11:19" ht="28.8" customHeight="1" x14ac:dyDescent="0.3">
      <c r="K23" s="467">
        <f t="shared" si="0"/>
        <v>10</v>
      </c>
      <c r="L23" s="471">
        <v>45604</v>
      </c>
      <c r="M23" s="472">
        <v>0.42708333333333331</v>
      </c>
      <c r="N23" s="467" t="s">
        <v>91</v>
      </c>
      <c r="O23" s="467" t="s">
        <v>244</v>
      </c>
      <c r="P23" s="467" t="s">
        <v>232</v>
      </c>
      <c r="Q23" s="467">
        <v>5</v>
      </c>
      <c r="R23" s="467" t="s">
        <v>166</v>
      </c>
      <c r="S23" s="467" t="s">
        <v>239</v>
      </c>
    </row>
    <row r="24" spans="11:19" ht="28.8" customHeight="1" x14ac:dyDescent="0.3">
      <c r="K24" s="467">
        <f t="shared" si="0"/>
        <v>11</v>
      </c>
      <c r="L24" s="471">
        <v>45604</v>
      </c>
      <c r="M24" s="472">
        <v>0.47916666666666669</v>
      </c>
      <c r="N24" s="467" t="s">
        <v>97</v>
      </c>
      <c r="O24" s="467" t="s">
        <v>245</v>
      </c>
      <c r="P24" s="467" t="s">
        <v>235</v>
      </c>
      <c r="Q24" s="467">
        <v>40</v>
      </c>
      <c r="R24" s="467" t="s">
        <v>161</v>
      </c>
      <c r="S24" s="467" t="s">
        <v>230</v>
      </c>
    </row>
    <row r="25" spans="11:19" ht="28.8" customHeight="1" x14ac:dyDescent="0.3">
      <c r="K25" s="467">
        <f t="shared" si="0"/>
        <v>12</v>
      </c>
      <c r="L25" s="471">
        <v>45604</v>
      </c>
      <c r="M25" s="472">
        <v>0.36458333333333331</v>
      </c>
      <c r="N25" s="467" t="s">
        <v>103</v>
      </c>
      <c r="O25" s="467" t="s">
        <v>246</v>
      </c>
      <c r="P25" s="467" t="s">
        <v>237</v>
      </c>
      <c r="Q25" s="467">
        <v>80</v>
      </c>
      <c r="R25" s="467" t="s">
        <v>177</v>
      </c>
      <c r="S25" s="467" t="s">
        <v>233</v>
      </c>
    </row>
    <row r="26" spans="11:19" ht="28.8" customHeight="1" x14ac:dyDescent="0.3">
      <c r="K26" s="467">
        <f t="shared" si="0"/>
        <v>13</v>
      </c>
      <c r="L26" s="471">
        <v>45604</v>
      </c>
      <c r="M26" s="472">
        <v>0.38541666666666669</v>
      </c>
      <c r="N26" s="467" t="s">
        <v>109</v>
      </c>
      <c r="O26" s="467" t="s">
        <v>247</v>
      </c>
      <c r="P26" s="467" t="s">
        <v>229</v>
      </c>
      <c r="Q26" s="467">
        <v>20</v>
      </c>
      <c r="R26" s="467" t="s">
        <v>161</v>
      </c>
      <c r="S26" s="467" t="s">
        <v>230</v>
      </c>
    </row>
    <row r="27" spans="11:19" ht="28.8" customHeight="1" x14ac:dyDescent="0.3">
      <c r="K27" s="467">
        <f t="shared" si="0"/>
        <v>14</v>
      </c>
      <c r="L27" s="471">
        <v>45604</v>
      </c>
      <c r="M27" s="472">
        <v>0.29166666666666669</v>
      </c>
      <c r="N27" s="467" t="s">
        <v>115</v>
      </c>
      <c r="O27" s="467" t="s">
        <v>248</v>
      </c>
      <c r="P27" s="467" t="s">
        <v>232</v>
      </c>
      <c r="Q27" s="467">
        <v>35</v>
      </c>
      <c r="R27" s="467" t="s">
        <v>166</v>
      </c>
      <c r="S27" s="467" t="s">
        <v>230</v>
      </c>
    </row>
    <row r="28" spans="11:19" ht="28.8" customHeight="1" x14ac:dyDescent="0.3">
      <c r="K28" s="467">
        <f t="shared" si="0"/>
        <v>15</v>
      </c>
      <c r="L28" s="471">
        <v>45604</v>
      </c>
      <c r="M28" s="472">
        <v>0.4375</v>
      </c>
      <c r="N28" s="467" t="s">
        <v>121</v>
      </c>
      <c r="O28" s="467" t="s">
        <v>249</v>
      </c>
      <c r="P28" s="467" t="s">
        <v>235</v>
      </c>
      <c r="Q28" s="467">
        <v>300</v>
      </c>
      <c r="R28" s="467" t="s">
        <v>161</v>
      </c>
      <c r="S28" s="467" t="s">
        <v>239</v>
      </c>
    </row>
    <row r="29" spans="11:19" ht="28.8" customHeight="1" x14ac:dyDescent="0.3">
      <c r="K29" s="467">
        <f t="shared" si="0"/>
        <v>16</v>
      </c>
      <c r="L29" s="471">
        <v>45604</v>
      </c>
      <c r="M29" s="472">
        <v>0.40972222222222221</v>
      </c>
      <c r="N29" s="467" t="s">
        <v>127</v>
      </c>
      <c r="O29" s="467" t="s">
        <v>250</v>
      </c>
      <c r="P29" s="467" t="s">
        <v>237</v>
      </c>
      <c r="Q29" s="467">
        <v>60</v>
      </c>
      <c r="R29" s="467" t="s">
        <v>177</v>
      </c>
      <c r="S29" s="467" t="s">
        <v>230</v>
      </c>
    </row>
    <row r="30" spans="11:19" ht="28.8" customHeight="1" x14ac:dyDescent="0.3">
      <c r="K30" s="467">
        <f t="shared" si="0"/>
        <v>17</v>
      </c>
      <c r="L30" s="471">
        <v>45604</v>
      </c>
      <c r="M30" s="472">
        <v>0.34722222222222221</v>
      </c>
      <c r="N30" s="467" t="s">
        <v>132</v>
      </c>
      <c r="O30" s="467" t="s">
        <v>251</v>
      </c>
      <c r="P30" s="467" t="s">
        <v>229</v>
      </c>
      <c r="Q30" s="467">
        <v>15</v>
      </c>
      <c r="R30" s="467" t="s">
        <v>166</v>
      </c>
      <c r="S30" s="467" t="s">
        <v>233</v>
      </c>
    </row>
    <row r="31" spans="11:19" ht="28.8" customHeight="1" x14ac:dyDescent="0.3">
      <c r="K31" s="467">
        <f t="shared" si="0"/>
        <v>18</v>
      </c>
      <c r="L31" s="471">
        <v>45604</v>
      </c>
      <c r="M31" s="472">
        <v>0.48958333333333331</v>
      </c>
      <c r="N31" s="467" t="s">
        <v>137</v>
      </c>
      <c r="O31" s="467" t="s">
        <v>252</v>
      </c>
      <c r="P31" s="467" t="s">
        <v>232</v>
      </c>
      <c r="Q31" s="467">
        <v>70</v>
      </c>
      <c r="R31" s="467" t="s">
        <v>161</v>
      </c>
      <c r="S31" s="467" t="s">
        <v>230</v>
      </c>
    </row>
    <row r="32" spans="11:19" ht="28.8" customHeight="1" x14ac:dyDescent="0.3">
      <c r="K32" s="467">
        <f t="shared" si="0"/>
        <v>19</v>
      </c>
      <c r="L32" s="471">
        <v>45604</v>
      </c>
      <c r="M32" s="472">
        <v>0.38194444444444442</v>
      </c>
      <c r="N32" s="467" t="s">
        <v>143</v>
      </c>
      <c r="O32" s="467" t="s">
        <v>253</v>
      </c>
      <c r="P32" s="467" t="s">
        <v>235</v>
      </c>
      <c r="Q32" s="467">
        <v>120</v>
      </c>
      <c r="R32" s="467" t="s">
        <v>166</v>
      </c>
      <c r="S32" s="467" t="s">
        <v>230</v>
      </c>
    </row>
    <row r="33" spans="11:19" ht="28.8" customHeight="1" x14ac:dyDescent="0.3">
      <c r="K33" s="467">
        <f t="shared" si="0"/>
        <v>20</v>
      </c>
      <c r="L33" s="471">
        <v>45604</v>
      </c>
      <c r="M33" s="472">
        <v>0.44444444444444442</v>
      </c>
      <c r="N33" s="467" t="s">
        <v>148</v>
      </c>
      <c r="O33" s="467" t="s">
        <v>254</v>
      </c>
      <c r="P33" s="467" t="s">
        <v>237</v>
      </c>
      <c r="Q33" s="467">
        <v>25</v>
      </c>
      <c r="R33" s="467" t="s">
        <v>177</v>
      </c>
      <c r="S33" s="467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G18" sqref="G18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6.77734375" style="100" bestFit="1" customWidth="1"/>
    <col min="12" max="12" width="33.44140625" style="100" bestFit="1" customWidth="1"/>
    <col min="13" max="13" width="35.44140625" style="100" bestFit="1" customWidth="1"/>
    <col min="14" max="14" width="35.109375" style="100" bestFit="1" customWidth="1"/>
    <col min="15" max="15" width="33.21875" style="100" bestFit="1" customWidth="1"/>
    <col min="16" max="16" width="58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468" t="s">
        <v>220</v>
      </c>
      <c r="L13" s="468" t="s">
        <v>255</v>
      </c>
      <c r="M13" s="468" t="s">
        <v>256</v>
      </c>
      <c r="N13" s="468" t="s">
        <v>257</v>
      </c>
      <c r="O13" s="468" t="s">
        <v>258</v>
      </c>
      <c r="P13" s="468" t="s">
        <v>259</v>
      </c>
    </row>
    <row r="14" spans="1:51" ht="28.8" customHeight="1" x14ac:dyDescent="0.3">
      <c r="K14" s="467">
        <v>1</v>
      </c>
      <c r="L14" s="473">
        <v>50</v>
      </c>
      <c r="M14" s="470">
        <v>1000</v>
      </c>
      <c r="N14" s="474">
        <f>L14*M14</f>
        <v>50000</v>
      </c>
      <c r="O14" s="474">
        <f>L14*M14+N14</f>
        <v>100000</v>
      </c>
      <c r="P14" s="467" t="s">
        <v>260</v>
      </c>
    </row>
    <row r="15" spans="1:51" ht="28.8" customHeight="1" x14ac:dyDescent="0.3">
      <c r="K15" s="467">
        <f>K14+1</f>
        <v>2</v>
      </c>
      <c r="L15" s="473">
        <v>120</v>
      </c>
      <c r="M15" s="467">
        <v>800</v>
      </c>
      <c r="N15" s="474">
        <v>400</v>
      </c>
      <c r="O15" s="474">
        <v>600</v>
      </c>
      <c r="P15" s="467" t="s">
        <v>261</v>
      </c>
    </row>
    <row r="16" spans="1:51" ht="28.8" customHeight="1" x14ac:dyDescent="0.3">
      <c r="K16" s="467">
        <f t="shared" ref="K16:K33" si="0">K15+1</f>
        <v>3</v>
      </c>
      <c r="L16" s="473">
        <v>30</v>
      </c>
      <c r="M16" s="467">
        <v>500</v>
      </c>
      <c r="N16" s="474">
        <v>250</v>
      </c>
      <c r="O16" s="474">
        <v>400</v>
      </c>
      <c r="P16" s="467" t="s">
        <v>262</v>
      </c>
    </row>
    <row r="17" spans="11:16" ht="28.8" customHeight="1" x14ac:dyDescent="0.3">
      <c r="K17" s="467">
        <f t="shared" si="0"/>
        <v>4</v>
      </c>
      <c r="L17" s="473">
        <v>200</v>
      </c>
      <c r="M17" s="470">
        <v>1200</v>
      </c>
      <c r="N17" s="474">
        <v>600</v>
      </c>
      <c r="O17" s="474">
        <v>900</v>
      </c>
      <c r="P17" s="467" t="s">
        <v>263</v>
      </c>
    </row>
    <row r="18" spans="11:16" ht="28.8" customHeight="1" x14ac:dyDescent="0.3">
      <c r="K18" s="467">
        <f t="shared" si="0"/>
        <v>5</v>
      </c>
      <c r="L18" s="473">
        <v>15</v>
      </c>
      <c r="M18" s="470">
        <v>2000</v>
      </c>
      <c r="N18" s="474">
        <v>700</v>
      </c>
      <c r="O18" s="474">
        <v>1000</v>
      </c>
      <c r="P18" s="467" t="s">
        <v>264</v>
      </c>
    </row>
    <row r="19" spans="11:16" ht="28.8" customHeight="1" x14ac:dyDescent="0.3">
      <c r="K19" s="467">
        <f t="shared" si="0"/>
        <v>6</v>
      </c>
      <c r="L19" s="473">
        <v>80</v>
      </c>
      <c r="M19" s="470">
        <v>1500</v>
      </c>
      <c r="N19" s="474">
        <v>500</v>
      </c>
      <c r="O19" s="474">
        <v>800</v>
      </c>
      <c r="P19" s="467" t="s">
        <v>265</v>
      </c>
    </row>
    <row r="20" spans="11:16" ht="28.8" customHeight="1" x14ac:dyDescent="0.3">
      <c r="K20" s="467">
        <f t="shared" si="0"/>
        <v>7</v>
      </c>
      <c r="L20" s="473">
        <v>60</v>
      </c>
      <c r="M20" s="467">
        <v>400</v>
      </c>
      <c r="N20" s="474">
        <v>200</v>
      </c>
      <c r="O20" s="474">
        <v>300</v>
      </c>
      <c r="P20" s="467" t="s">
        <v>266</v>
      </c>
    </row>
    <row r="21" spans="11:16" ht="28.8" customHeight="1" x14ac:dyDescent="0.3">
      <c r="K21" s="467">
        <f t="shared" si="0"/>
        <v>8</v>
      </c>
      <c r="L21" s="473">
        <v>180</v>
      </c>
      <c r="M21" s="470">
        <v>2500</v>
      </c>
      <c r="N21" s="474">
        <v>800</v>
      </c>
      <c r="O21" s="474">
        <v>1200</v>
      </c>
      <c r="P21" s="467" t="s">
        <v>267</v>
      </c>
    </row>
    <row r="22" spans="11:16" ht="28.8" customHeight="1" x14ac:dyDescent="0.3">
      <c r="K22" s="467">
        <f t="shared" si="0"/>
        <v>9</v>
      </c>
      <c r="L22" s="473">
        <v>90</v>
      </c>
      <c r="M22" s="470">
        <v>1800</v>
      </c>
      <c r="N22" s="474">
        <v>550</v>
      </c>
      <c r="O22" s="474">
        <v>850</v>
      </c>
      <c r="P22" s="467" t="s">
        <v>268</v>
      </c>
    </row>
    <row r="23" spans="11:16" ht="28.8" customHeight="1" x14ac:dyDescent="0.3">
      <c r="K23" s="467">
        <f t="shared" si="0"/>
        <v>10</v>
      </c>
      <c r="L23" s="473">
        <v>40</v>
      </c>
      <c r="M23" s="467">
        <v>600</v>
      </c>
      <c r="N23" s="474">
        <v>300</v>
      </c>
      <c r="O23" s="474">
        <v>500</v>
      </c>
      <c r="P23" s="467" t="s">
        <v>269</v>
      </c>
    </row>
    <row r="24" spans="11:16" ht="28.8" customHeight="1" x14ac:dyDescent="0.3">
      <c r="K24" s="467">
        <f t="shared" si="0"/>
        <v>11</v>
      </c>
      <c r="L24" s="473">
        <v>150</v>
      </c>
      <c r="M24" s="470">
        <v>1000</v>
      </c>
      <c r="N24" s="474">
        <v>600</v>
      </c>
      <c r="O24" s="474">
        <v>950</v>
      </c>
      <c r="P24" s="467" t="s">
        <v>270</v>
      </c>
    </row>
    <row r="25" spans="11:16" ht="28.8" customHeight="1" x14ac:dyDescent="0.3">
      <c r="K25" s="467">
        <f t="shared" si="0"/>
        <v>12</v>
      </c>
      <c r="L25" s="473">
        <v>20</v>
      </c>
      <c r="M25" s="467">
        <v>700</v>
      </c>
      <c r="N25" s="474">
        <v>250</v>
      </c>
      <c r="O25" s="474">
        <v>400</v>
      </c>
      <c r="P25" s="467" t="s">
        <v>271</v>
      </c>
    </row>
    <row r="26" spans="11:16" ht="28.8" customHeight="1" x14ac:dyDescent="0.3">
      <c r="K26" s="467">
        <f t="shared" si="0"/>
        <v>13</v>
      </c>
      <c r="L26" s="473">
        <v>170</v>
      </c>
      <c r="M26" s="470">
        <v>2000</v>
      </c>
      <c r="N26" s="474">
        <v>750</v>
      </c>
      <c r="O26" s="474">
        <v>1150</v>
      </c>
      <c r="P26" s="467" t="s">
        <v>272</v>
      </c>
    </row>
    <row r="27" spans="11:16" ht="28.8" customHeight="1" x14ac:dyDescent="0.3">
      <c r="K27" s="467">
        <f t="shared" si="0"/>
        <v>14</v>
      </c>
      <c r="L27" s="473">
        <v>35</v>
      </c>
      <c r="M27" s="467">
        <v>900</v>
      </c>
      <c r="N27" s="474">
        <v>350</v>
      </c>
      <c r="O27" s="474">
        <v>550</v>
      </c>
      <c r="P27" s="467" t="s">
        <v>273</v>
      </c>
    </row>
    <row r="28" spans="11:16" ht="28.8" customHeight="1" x14ac:dyDescent="0.3">
      <c r="K28" s="467">
        <f t="shared" si="0"/>
        <v>15</v>
      </c>
      <c r="L28" s="473">
        <v>220</v>
      </c>
      <c r="M28" s="470">
        <v>2500</v>
      </c>
      <c r="N28" s="474">
        <v>900</v>
      </c>
      <c r="O28" s="474">
        <v>1400</v>
      </c>
      <c r="P28" s="467" t="s">
        <v>274</v>
      </c>
    </row>
    <row r="29" spans="11:16" ht="28.8" customHeight="1" x14ac:dyDescent="0.3">
      <c r="K29" s="467">
        <f t="shared" si="0"/>
        <v>16</v>
      </c>
      <c r="L29" s="473">
        <v>110</v>
      </c>
      <c r="M29" s="470">
        <v>1100</v>
      </c>
      <c r="N29" s="474">
        <v>450</v>
      </c>
      <c r="O29" s="474">
        <v>700</v>
      </c>
      <c r="P29" s="467" t="s">
        <v>275</v>
      </c>
    </row>
    <row r="30" spans="11:16" ht="28.8" customHeight="1" x14ac:dyDescent="0.3">
      <c r="K30" s="467">
        <f t="shared" si="0"/>
        <v>17</v>
      </c>
      <c r="L30" s="473">
        <v>75</v>
      </c>
      <c r="M30" s="470">
        <v>1300</v>
      </c>
      <c r="N30" s="474">
        <v>500</v>
      </c>
      <c r="O30" s="474">
        <v>750</v>
      </c>
      <c r="P30" s="467" t="s">
        <v>276</v>
      </c>
    </row>
    <row r="31" spans="11:16" ht="28.8" customHeight="1" x14ac:dyDescent="0.3">
      <c r="K31" s="467">
        <f t="shared" si="0"/>
        <v>18</v>
      </c>
      <c r="L31" s="473">
        <v>25</v>
      </c>
      <c r="M31" s="467">
        <v>950</v>
      </c>
      <c r="N31" s="474">
        <v>300</v>
      </c>
      <c r="O31" s="474">
        <v>450</v>
      </c>
      <c r="P31" s="467" t="s">
        <v>277</v>
      </c>
    </row>
    <row r="32" spans="11:16" ht="28.8" customHeight="1" x14ac:dyDescent="0.3">
      <c r="K32" s="467">
        <f t="shared" si="0"/>
        <v>19</v>
      </c>
      <c r="L32" s="473">
        <v>140</v>
      </c>
      <c r="M32" s="470">
        <v>1600</v>
      </c>
      <c r="N32" s="474">
        <v>650</v>
      </c>
      <c r="O32" s="474">
        <v>1000</v>
      </c>
      <c r="P32" s="467" t="s">
        <v>278</v>
      </c>
    </row>
    <row r="33" spans="11:16" ht="28.8" customHeight="1" x14ac:dyDescent="0.3">
      <c r="K33" s="467">
        <f t="shared" si="0"/>
        <v>20</v>
      </c>
      <c r="L33" s="473">
        <v>50</v>
      </c>
      <c r="M33" s="467">
        <v>850</v>
      </c>
      <c r="N33" s="474">
        <v>350</v>
      </c>
      <c r="O33" s="474">
        <v>550</v>
      </c>
      <c r="P33" s="467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G11" sqref="G11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6.77734375" style="100" bestFit="1" customWidth="1"/>
    <col min="12" max="12" width="33.44140625" style="100" bestFit="1" customWidth="1"/>
    <col min="13" max="13" width="26.21875" style="100" customWidth="1"/>
    <col min="14" max="14" width="25.44140625" style="100" customWidth="1"/>
    <col min="15" max="15" width="33.21875" style="100" bestFit="1" customWidth="1"/>
    <col min="16" max="16" width="58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468" t="s">
        <v>220</v>
      </c>
      <c r="L13" s="468" t="s">
        <v>255</v>
      </c>
      <c r="M13" s="468" t="s">
        <v>256</v>
      </c>
      <c r="N13" s="468" t="s">
        <v>257</v>
      </c>
      <c r="O13" s="468" t="s">
        <v>258</v>
      </c>
      <c r="P13" s="468" t="s">
        <v>259</v>
      </c>
    </row>
    <row r="14" spans="1:51" ht="28.8" customHeight="1" x14ac:dyDescent="0.3">
      <c r="K14" s="467">
        <v>1</v>
      </c>
      <c r="L14" s="473">
        <v>50</v>
      </c>
      <c r="M14" s="470">
        <v>1000</v>
      </c>
      <c r="N14" s="474">
        <f>L14*M14</f>
        <v>50000</v>
      </c>
      <c r="O14" s="474">
        <f>L14*M14+N14</f>
        <v>100000</v>
      </c>
      <c r="P14" s="467" t="s">
        <v>260</v>
      </c>
    </row>
    <row r="15" spans="1:51" ht="28.8" customHeight="1" x14ac:dyDescent="0.3">
      <c r="K15" s="467">
        <f>K14+1</f>
        <v>2</v>
      </c>
      <c r="L15" s="473">
        <v>120</v>
      </c>
      <c r="M15" s="467">
        <v>800</v>
      </c>
      <c r="N15" s="474">
        <v>400</v>
      </c>
      <c r="O15" s="474">
        <v>600</v>
      </c>
      <c r="P15" s="467" t="s">
        <v>261</v>
      </c>
    </row>
    <row r="16" spans="1:51" ht="28.8" customHeight="1" x14ac:dyDescent="0.3">
      <c r="K16" s="467">
        <f t="shared" ref="K16:K33" si="0">K15+1</f>
        <v>3</v>
      </c>
      <c r="L16" s="473">
        <v>30</v>
      </c>
      <c r="M16" s="467">
        <v>500</v>
      </c>
      <c r="N16" s="474">
        <v>250</v>
      </c>
      <c r="O16" s="474">
        <v>400</v>
      </c>
      <c r="P16" s="467" t="s">
        <v>262</v>
      </c>
    </row>
    <row r="17" spans="11:16" ht="28.8" customHeight="1" x14ac:dyDescent="0.3">
      <c r="K17" s="467">
        <f t="shared" si="0"/>
        <v>4</v>
      </c>
      <c r="L17" s="473">
        <v>200</v>
      </c>
      <c r="M17" s="470">
        <v>1200</v>
      </c>
      <c r="N17" s="474">
        <v>600</v>
      </c>
      <c r="O17" s="474">
        <v>900</v>
      </c>
      <c r="P17" s="467" t="s">
        <v>263</v>
      </c>
    </row>
    <row r="18" spans="11:16" ht="28.8" customHeight="1" x14ac:dyDescent="0.3">
      <c r="K18" s="467">
        <f t="shared" si="0"/>
        <v>5</v>
      </c>
      <c r="L18" s="473">
        <v>15</v>
      </c>
      <c r="M18" s="470">
        <v>2000</v>
      </c>
      <c r="N18" s="474">
        <v>700</v>
      </c>
      <c r="O18" s="474">
        <v>1000</v>
      </c>
      <c r="P18" s="467" t="s">
        <v>264</v>
      </c>
    </row>
    <row r="19" spans="11:16" ht="28.8" customHeight="1" x14ac:dyDescent="0.3">
      <c r="K19" s="467">
        <f t="shared" si="0"/>
        <v>6</v>
      </c>
      <c r="L19" s="473">
        <v>80</v>
      </c>
      <c r="M19" s="470">
        <v>1500</v>
      </c>
      <c r="N19" s="474">
        <v>500</v>
      </c>
      <c r="O19" s="474">
        <v>800</v>
      </c>
      <c r="P19" s="467" t="s">
        <v>265</v>
      </c>
    </row>
    <row r="20" spans="11:16" ht="28.8" customHeight="1" x14ac:dyDescent="0.3">
      <c r="K20" s="467">
        <f t="shared" si="0"/>
        <v>7</v>
      </c>
      <c r="L20" s="473">
        <v>60</v>
      </c>
      <c r="M20" s="467">
        <v>400</v>
      </c>
      <c r="N20" s="474">
        <v>200</v>
      </c>
      <c r="O20" s="474">
        <v>300</v>
      </c>
      <c r="P20" s="467" t="s">
        <v>266</v>
      </c>
    </row>
    <row r="21" spans="11:16" ht="28.8" customHeight="1" x14ac:dyDescent="0.3">
      <c r="K21" s="467">
        <f t="shared" si="0"/>
        <v>8</v>
      </c>
      <c r="L21" s="473">
        <v>180</v>
      </c>
      <c r="M21" s="470">
        <v>2500</v>
      </c>
      <c r="N21" s="474">
        <v>800</v>
      </c>
      <c r="O21" s="474">
        <v>1200</v>
      </c>
      <c r="P21" s="467" t="s">
        <v>267</v>
      </c>
    </row>
    <row r="22" spans="11:16" ht="28.8" customHeight="1" x14ac:dyDescent="0.3">
      <c r="K22" s="467">
        <f t="shared" si="0"/>
        <v>9</v>
      </c>
      <c r="L22" s="473">
        <v>90</v>
      </c>
      <c r="M22" s="470">
        <v>1800</v>
      </c>
      <c r="N22" s="474">
        <v>550</v>
      </c>
      <c r="O22" s="474">
        <v>850</v>
      </c>
      <c r="P22" s="467" t="s">
        <v>268</v>
      </c>
    </row>
    <row r="23" spans="11:16" ht="28.8" customHeight="1" x14ac:dyDescent="0.3">
      <c r="K23" s="467">
        <f t="shared" si="0"/>
        <v>10</v>
      </c>
      <c r="L23" s="473">
        <v>40</v>
      </c>
      <c r="M23" s="467">
        <v>600</v>
      </c>
      <c r="N23" s="474">
        <v>300</v>
      </c>
      <c r="O23" s="474">
        <v>500</v>
      </c>
      <c r="P23" s="467" t="s">
        <v>269</v>
      </c>
    </row>
    <row r="24" spans="11:16" ht="28.8" customHeight="1" x14ac:dyDescent="0.3">
      <c r="K24" s="467">
        <f t="shared" si="0"/>
        <v>11</v>
      </c>
      <c r="L24" s="473">
        <v>150</v>
      </c>
      <c r="M24" s="470">
        <v>1000</v>
      </c>
      <c r="N24" s="474">
        <v>600</v>
      </c>
      <c r="O24" s="474">
        <v>950</v>
      </c>
      <c r="P24" s="467" t="s">
        <v>270</v>
      </c>
    </row>
    <row r="25" spans="11:16" ht="28.8" customHeight="1" x14ac:dyDescent="0.3">
      <c r="K25" s="467">
        <f t="shared" si="0"/>
        <v>12</v>
      </c>
      <c r="L25" s="473">
        <v>20</v>
      </c>
      <c r="M25" s="467">
        <v>700</v>
      </c>
      <c r="N25" s="474">
        <v>250</v>
      </c>
      <c r="O25" s="474">
        <v>400</v>
      </c>
      <c r="P25" s="467" t="s">
        <v>271</v>
      </c>
    </row>
    <row r="26" spans="11:16" ht="28.8" customHeight="1" x14ac:dyDescent="0.3">
      <c r="K26" s="467">
        <f t="shared" si="0"/>
        <v>13</v>
      </c>
      <c r="L26" s="473">
        <v>170</v>
      </c>
      <c r="M26" s="470">
        <v>2000</v>
      </c>
      <c r="N26" s="474">
        <v>750</v>
      </c>
      <c r="O26" s="474">
        <v>1150</v>
      </c>
      <c r="P26" s="467" t="s">
        <v>272</v>
      </c>
    </row>
    <row r="27" spans="11:16" ht="28.8" customHeight="1" x14ac:dyDescent="0.3">
      <c r="K27" s="467">
        <f t="shared" si="0"/>
        <v>14</v>
      </c>
      <c r="L27" s="473">
        <v>35</v>
      </c>
      <c r="M27" s="467">
        <v>900</v>
      </c>
      <c r="N27" s="474">
        <v>350</v>
      </c>
      <c r="O27" s="474">
        <v>550</v>
      </c>
      <c r="P27" s="467" t="s">
        <v>273</v>
      </c>
    </row>
    <row r="28" spans="11:16" ht="28.8" customHeight="1" x14ac:dyDescent="0.3">
      <c r="K28" s="467">
        <f t="shared" si="0"/>
        <v>15</v>
      </c>
      <c r="L28" s="473">
        <v>220</v>
      </c>
      <c r="M28" s="470">
        <v>2500</v>
      </c>
      <c r="N28" s="474">
        <v>900</v>
      </c>
      <c r="O28" s="474">
        <v>1400</v>
      </c>
      <c r="P28" s="467" t="s">
        <v>274</v>
      </c>
    </row>
    <row r="29" spans="11:16" ht="28.8" customHeight="1" x14ac:dyDescent="0.3">
      <c r="K29" s="467">
        <f t="shared" si="0"/>
        <v>16</v>
      </c>
      <c r="L29" s="473">
        <v>110</v>
      </c>
      <c r="M29" s="470">
        <v>1100</v>
      </c>
      <c r="N29" s="474">
        <v>450</v>
      </c>
      <c r="O29" s="474">
        <v>700</v>
      </c>
      <c r="P29" s="467" t="s">
        <v>275</v>
      </c>
    </row>
    <row r="30" spans="11:16" ht="28.8" customHeight="1" x14ac:dyDescent="0.3">
      <c r="K30" s="467">
        <f t="shared" si="0"/>
        <v>17</v>
      </c>
      <c r="L30" s="473">
        <v>75</v>
      </c>
      <c r="M30" s="470">
        <v>1300</v>
      </c>
      <c r="N30" s="474">
        <v>500</v>
      </c>
      <c r="O30" s="474">
        <v>750</v>
      </c>
      <c r="P30" s="467" t="s">
        <v>276</v>
      </c>
    </row>
    <row r="31" spans="11:16" ht="28.8" customHeight="1" x14ac:dyDescent="0.3">
      <c r="K31" s="467">
        <f t="shared" si="0"/>
        <v>18</v>
      </c>
      <c r="L31" s="473">
        <v>25</v>
      </c>
      <c r="M31" s="467">
        <v>950</v>
      </c>
      <c r="N31" s="474">
        <v>300</v>
      </c>
      <c r="O31" s="474">
        <v>450</v>
      </c>
      <c r="P31" s="467" t="s">
        <v>277</v>
      </c>
    </row>
    <row r="32" spans="11:16" ht="28.8" customHeight="1" x14ac:dyDescent="0.3">
      <c r="K32" s="467">
        <f t="shared" si="0"/>
        <v>19</v>
      </c>
      <c r="L32" s="473">
        <v>140</v>
      </c>
      <c r="M32" s="470">
        <v>1600</v>
      </c>
      <c r="N32" s="474">
        <v>650</v>
      </c>
      <c r="O32" s="474">
        <v>1000</v>
      </c>
      <c r="P32" s="467" t="s">
        <v>278</v>
      </c>
    </row>
    <row r="33" spans="11:16" ht="28.8" customHeight="1" x14ac:dyDescent="0.3">
      <c r="K33" s="467">
        <f t="shared" si="0"/>
        <v>20</v>
      </c>
      <c r="L33" s="473">
        <v>50</v>
      </c>
      <c r="M33" s="467">
        <v>850</v>
      </c>
      <c r="N33" s="474">
        <v>350</v>
      </c>
      <c r="O33" s="474">
        <v>550</v>
      </c>
      <c r="P33" s="467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G15" sqref="G1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6.77734375" style="100" bestFit="1" customWidth="1"/>
    <col min="12" max="12" width="33.44140625" style="100" bestFit="1" customWidth="1"/>
    <col min="13" max="13" width="35.44140625" style="100" bestFit="1" customWidth="1"/>
    <col min="14" max="14" width="35.109375" style="100" bestFit="1" customWidth="1"/>
    <col min="15" max="15" width="33.21875" style="100" bestFit="1" customWidth="1"/>
    <col min="16" max="16" width="58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468" t="s">
        <v>220</v>
      </c>
      <c r="L13" s="468" t="s">
        <v>255</v>
      </c>
      <c r="M13" s="468" t="s">
        <v>256</v>
      </c>
      <c r="N13" s="468" t="s">
        <v>257</v>
      </c>
      <c r="O13" s="468" t="s">
        <v>258</v>
      </c>
      <c r="P13" s="468" t="s">
        <v>259</v>
      </c>
    </row>
    <row r="14" spans="1:51" ht="28.8" customHeight="1" x14ac:dyDescent="0.3">
      <c r="K14" s="467">
        <v>1</v>
      </c>
      <c r="L14" s="473">
        <v>50</v>
      </c>
      <c r="M14" s="470">
        <v>1000</v>
      </c>
      <c r="N14" s="474">
        <f>L14*M14</f>
        <v>50000</v>
      </c>
      <c r="O14" s="474">
        <f>L14*M14+N14</f>
        <v>100000</v>
      </c>
      <c r="P14" s="467" t="s">
        <v>260</v>
      </c>
    </row>
    <row r="15" spans="1:51" ht="28.8" customHeight="1" x14ac:dyDescent="0.3">
      <c r="K15" s="467">
        <f>K14+1</f>
        <v>2</v>
      </c>
      <c r="L15" s="473">
        <v>120</v>
      </c>
      <c r="M15" s="467">
        <v>800</v>
      </c>
      <c r="N15" s="474">
        <v>400</v>
      </c>
      <c r="O15" s="474">
        <v>600</v>
      </c>
      <c r="P15" s="467" t="s">
        <v>261</v>
      </c>
    </row>
    <row r="16" spans="1:51" ht="28.8" customHeight="1" x14ac:dyDescent="0.3">
      <c r="K16" s="467">
        <f t="shared" ref="K16:K33" si="0">K15+1</f>
        <v>3</v>
      </c>
      <c r="L16" s="473">
        <v>30</v>
      </c>
      <c r="M16" s="467">
        <v>500</v>
      </c>
      <c r="N16" s="474">
        <v>250</v>
      </c>
      <c r="O16" s="474">
        <v>400</v>
      </c>
      <c r="P16" s="467" t="s">
        <v>262</v>
      </c>
    </row>
    <row r="17" spans="11:16" ht="28.8" customHeight="1" x14ac:dyDescent="0.3">
      <c r="K17" s="467">
        <f t="shared" si="0"/>
        <v>4</v>
      </c>
      <c r="L17" s="473">
        <v>200</v>
      </c>
      <c r="M17" s="470">
        <v>1200</v>
      </c>
      <c r="N17" s="474">
        <v>600</v>
      </c>
      <c r="O17" s="474">
        <v>900</v>
      </c>
      <c r="P17" s="467" t="s">
        <v>263</v>
      </c>
    </row>
    <row r="18" spans="11:16" ht="28.8" customHeight="1" x14ac:dyDescent="0.3">
      <c r="K18" s="467">
        <f t="shared" si="0"/>
        <v>5</v>
      </c>
      <c r="L18" s="473">
        <v>15</v>
      </c>
      <c r="M18" s="470">
        <v>2000</v>
      </c>
      <c r="N18" s="474">
        <v>700</v>
      </c>
      <c r="O18" s="474">
        <v>1000</v>
      </c>
      <c r="P18" s="467" t="s">
        <v>264</v>
      </c>
    </row>
    <row r="19" spans="11:16" ht="28.8" customHeight="1" x14ac:dyDescent="0.3">
      <c r="K19" s="467">
        <f t="shared" si="0"/>
        <v>6</v>
      </c>
      <c r="L19" s="473">
        <v>80</v>
      </c>
      <c r="M19" s="470">
        <v>1500</v>
      </c>
      <c r="N19" s="474">
        <v>500</v>
      </c>
      <c r="O19" s="474">
        <v>800</v>
      </c>
      <c r="P19" s="467" t="s">
        <v>265</v>
      </c>
    </row>
    <row r="20" spans="11:16" ht="28.8" customHeight="1" x14ac:dyDescent="0.3">
      <c r="K20" s="467">
        <f t="shared" si="0"/>
        <v>7</v>
      </c>
      <c r="L20" s="473">
        <v>60</v>
      </c>
      <c r="M20" s="467">
        <v>400</v>
      </c>
      <c r="N20" s="474">
        <v>200</v>
      </c>
      <c r="O20" s="474">
        <v>300</v>
      </c>
      <c r="P20" s="467" t="s">
        <v>266</v>
      </c>
    </row>
    <row r="21" spans="11:16" ht="28.8" customHeight="1" x14ac:dyDescent="0.3">
      <c r="K21" s="467">
        <f t="shared" si="0"/>
        <v>8</v>
      </c>
      <c r="L21" s="473">
        <v>180</v>
      </c>
      <c r="M21" s="470">
        <v>2500</v>
      </c>
      <c r="N21" s="474">
        <v>800</v>
      </c>
      <c r="O21" s="474">
        <v>1200</v>
      </c>
      <c r="P21" s="467" t="s">
        <v>267</v>
      </c>
    </row>
    <row r="22" spans="11:16" ht="28.8" customHeight="1" x14ac:dyDescent="0.3">
      <c r="K22" s="467">
        <f t="shared" si="0"/>
        <v>9</v>
      </c>
      <c r="L22" s="473">
        <v>90</v>
      </c>
      <c r="M22" s="470">
        <v>1800</v>
      </c>
      <c r="N22" s="474">
        <v>550</v>
      </c>
      <c r="O22" s="474">
        <v>850</v>
      </c>
      <c r="P22" s="467" t="s">
        <v>268</v>
      </c>
    </row>
    <row r="23" spans="11:16" ht="28.8" customHeight="1" x14ac:dyDescent="0.3">
      <c r="K23" s="467">
        <f t="shared" si="0"/>
        <v>10</v>
      </c>
      <c r="L23" s="473">
        <v>40</v>
      </c>
      <c r="M23" s="467">
        <v>600</v>
      </c>
      <c r="N23" s="474">
        <v>300</v>
      </c>
      <c r="O23" s="474">
        <v>500</v>
      </c>
      <c r="P23" s="467" t="s">
        <v>269</v>
      </c>
    </row>
    <row r="24" spans="11:16" ht="28.8" customHeight="1" x14ac:dyDescent="0.3">
      <c r="K24" s="467">
        <f t="shared" si="0"/>
        <v>11</v>
      </c>
      <c r="L24" s="473">
        <v>150</v>
      </c>
      <c r="M24" s="470">
        <v>1000</v>
      </c>
      <c r="N24" s="474">
        <v>600</v>
      </c>
      <c r="O24" s="474">
        <v>950</v>
      </c>
      <c r="P24" s="467" t="s">
        <v>270</v>
      </c>
    </row>
    <row r="25" spans="11:16" ht="28.8" customHeight="1" x14ac:dyDescent="0.3">
      <c r="K25" s="467">
        <f t="shared" si="0"/>
        <v>12</v>
      </c>
      <c r="L25" s="473">
        <v>20</v>
      </c>
      <c r="M25" s="467">
        <v>700</v>
      </c>
      <c r="N25" s="474">
        <v>250</v>
      </c>
      <c r="O25" s="474">
        <v>400</v>
      </c>
      <c r="P25" s="467" t="s">
        <v>271</v>
      </c>
    </row>
    <row r="26" spans="11:16" ht="28.8" customHeight="1" x14ac:dyDescent="0.3">
      <c r="K26" s="467">
        <f t="shared" si="0"/>
        <v>13</v>
      </c>
      <c r="L26" s="473">
        <v>170</v>
      </c>
      <c r="M26" s="470">
        <v>2000</v>
      </c>
      <c r="N26" s="474">
        <v>750</v>
      </c>
      <c r="O26" s="474">
        <v>1150</v>
      </c>
      <c r="P26" s="467" t="s">
        <v>272</v>
      </c>
    </row>
    <row r="27" spans="11:16" ht="28.8" customHeight="1" x14ac:dyDescent="0.3">
      <c r="K27" s="467">
        <f t="shared" si="0"/>
        <v>14</v>
      </c>
      <c r="L27" s="473">
        <v>35</v>
      </c>
      <c r="M27" s="467">
        <v>900</v>
      </c>
      <c r="N27" s="474">
        <v>350</v>
      </c>
      <c r="O27" s="474">
        <v>550</v>
      </c>
      <c r="P27" s="467" t="s">
        <v>273</v>
      </c>
    </row>
    <row r="28" spans="11:16" ht="28.8" customHeight="1" x14ac:dyDescent="0.3">
      <c r="K28" s="467">
        <f t="shared" si="0"/>
        <v>15</v>
      </c>
      <c r="L28" s="473">
        <v>220</v>
      </c>
      <c r="M28" s="470">
        <v>2500</v>
      </c>
      <c r="N28" s="474">
        <v>900</v>
      </c>
      <c r="O28" s="474">
        <v>1400</v>
      </c>
      <c r="P28" s="467" t="s">
        <v>274</v>
      </c>
    </row>
    <row r="29" spans="11:16" ht="28.8" customHeight="1" x14ac:dyDescent="0.3">
      <c r="K29" s="467">
        <f t="shared" si="0"/>
        <v>16</v>
      </c>
      <c r="L29" s="473">
        <v>110</v>
      </c>
      <c r="M29" s="470">
        <v>1100</v>
      </c>
      <c r="N29" s="474">
        <v>450</v>
      </c>
      <c r="O29" s="474">
        <v>700</v>
      </c>
      <c r="P29" s="467" t="s">
        <v>275</v>
      </c>
    </row>
    <row r="30" spans="11:16" ht="28.8" customHeight="1" x14ac:dyDescent="0.3">
      <c r="K30" s="467">
        <f t="shared" si="0"/>
        <v>17</v>
      </c>
      <c r="L30" s="473">
        <v>75</v>
      </c>
      <c r="M30" s="470">
        <v>1300</v>
      </c>
      <c r="N30" s="474">
        <v>500</v>
      </c>
      <c r="O30" s="474">
        <v>750</v>
      </c>
      <c r="P30" s="467" t="s">
        <v>276</v>
      </c>
    </row>
    <row r="31" spans="11:16" ht="28.8" customHeight="1" x14ac:dyDescent="0.3">
      <c r="K31" s="467">
        <f t="shared" si="0"/>
        <v>18</v>
      </c>
      <c r="L31" s="473">
        <v>25</v>
      </c>
      <c r="M31" s="467">
        <v>950</v>
      </c>
      <c r="N31" s="474">
        <v>300</v>
      </c>
      <c r="O31" s="474">
        <v>450</v>
      </c>
      <c r="P31" s="467" t="s">
        <v>277</v>
      </c>
    </row>
    <row r="32" spans="11:16" ht="28.8" customHeight="1" x14ac:dyDescent="0.3">
      <c r="K32" s="467">
        <f t="shared" si="0"/>
        <v>19</v>
      </c>
      <c r="L32" s="473">
        <v>140</v>
      </c>
      <c r="M32" s="470">
        <v>1600</v>
      </c>
      <c r="N32" s="474">
        <v>650</v>
      </c>
      <c r="O32" s="474">
        <v>1000</v>
      </c>
      <c r="P32" s="467" t="s">
        <v>278</v>
      </c>
    </row>
    <row r="33" spans="11:16" ht="28.8" customHeight="1" x14ac:dyDescent="0.3">
      <c r="K33" s="467">
        <f t="shared" si="0"/>
        <v>20</v>
      </c>
      <c r="L33" s="473">
        <v>50</v>
      </c>
      <c r="M33" s="467">
        <v>850</v>
      </c>
      <c r="N33" s="474">
        <v>350</v>
      </c>
      <c r="O33" s="474">
        <v>550</v>
      </c>
      <c r="P33" s="467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F16" sqref="F1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35" t="s">
        <v>220</v>
      </c>
      <c r="L13" s="135" t="s">
        <v>255</v>
      </c>
      <c r="M13" s="135" t="s">
        <v>256</v>
      </c>
      <c r="N13" s="135" t="s">
        <v>257</v>
      </c>
      <c r="O13" s="135" t="s">
        <v>258</v>
      </c>
      <c r="P13" s="135" t="s">
        <v>259</v>
      </c>
    </row>
    <row r="14" spans="1:51" ht="28.8" customHeight="1" x14ac:dyDescent="0.3">
      <c r="K14" s="133">
        <v>1</v>
      </c>
      <c r="L14" s="136">
        <v>50</v>
      </c>
      <c r="M14" s="134">
        <v>1000</v>
      </c>
      <c r="N14" s="137">
        <f>L14*M14</f>
        <v>50000</v>
      </c>
      <c r="O14" s="137">
        <f>L14*M14+N14</f>
        <v>100000</v>
      </c>
      <c r="P14" s="133" t="s">
        <v>260</v>
      </c>
    </row>
    <row r="15" spans="1:51" ht="28.8" customHeight="1" x14ac:dyDescent="0.3">
      <c r="K15" s="133">
        <f>K14+1</f>
        <v>2</v>
      </c>
      <c r="L15" s="136">
        <v>120</v>
      </c>
      <c r="M15" s="133">
        <v>800</v>
      </c>
      <c r="N15" s="137">
        <v>400</v>
      </c>
      <c r="O15" s="137">
        <v>600</v>
      </c>
      <c r="P15" s="133" t="s">
        <v>261</v>
      </c>
    </row>
    <row r="16" spans="1:51" ht="28.8" customHeight="1" x14ac:dyDescent="0.3">
      <c r="K16" s="133">
        <f t="shared" ref="K16:K33" si="0">K15+1</f>
        <v>3</v>
      </c>
      <c r="L16" s="136">
        <v>30</v>
      </c>
      <c r="M16" s="133">
        <v>500</v>
      </c>
      <c r="N16" s="137">
        <v>250</v>
      </c>
      <c r="O16" s="137">
        <v>400</v>
      </c>
      <c r="P16" s="133" t="s">
        <v>262</v>
      </c>
    </row>
    <row r="17" spans="11:16" ht="28.8" customHeight="1" x14ac:dyDescent="0.3">
      <c r="K17" s="133">
        <f t="shared" si="0"/>
        <v>4</v>
      </c>
      <c r="L17" s="136">
        <v>200</v>
      </c>
      <c r="M17" s="134">
        <v>1200</v>
      </c>
      <c r="N17" s="137">
        <v>600</v>
      </c>
      <c r="O17" s="137">
        <v>900</v>
      </c>
      <c r="P17" s="133" t="s">
        <v>263</v>
      </c>
    </row>
    <row r="18" spans="11:16" ht="28.8" customHeight="1" x14ac:dyDescent="0.3">
      <c r="K18" s="133">
        <f t="shared" si="0"/>
        <v>5</v>
      </c>
      <c r="L18" s="136">
        <v>15</v>
      </c>
      <c r="M18" s="134">
        <v>2000</v>
      </c>
      <c r="N18" s="137">
        <v>700</v>
      </c>
      <c r="O18" s="137">
        <v>1000</v>
      </c>
      <c r="P18" s="133" t="s">
        <v>264</v>
      </c>
    </row>
    <row r="19" spans="11:16" ht="28.8" customHeight="1" x14ac:dyDescent="0.3">
      <c r="K19" s="133">
        <f t="shared" si="0"/>
        <v>6</v>
      </c>
      <c r="L19" s="136">
        <v>80</v>
      </c>
      <c r="M19" s="134">
        <v>1500</v>
      </c>
      <c r="N19" s="137">
        <v>500</v>
      </c>
      <c r="O19" s="137">
        <v>800</v>
      </c>
      <c r="P19" s="133" t="s">
        <v>265</v>
      </c>
    </row>
    <row r="20" spans="11:16" ht="28.8" customHeight="1" x14ac:dyDescent="0.3">
      <c r="K20" s="133">
        <f t="shared" si="0"/>
        <v>7</v>
      </c>
      <c r="L20" s="136">
        <v>60</v>
      </c>
      <c r="M20" s="133">
        <v>400</v>
      </c>
      <c r="N20" s="137">
        <v>200</v>
      </c>
      <c r="O20" s="137">
        <v>300</v>
      </c>
      <c r="P20" s="133" t="s">
        <v>266</v>
      </c>
    </row>
    <row r="21" spans="11:16" ht="28.8" customHeight="1" x14ac:dyDescent="0.3">
      <c r="K21" s="133">
        <f t="shared" si="0"/>
        <v>8</v>
      </c>
      <c r="L21" s="136">
        <v>180</v>
      </c>
      <c r="M21" s="134">
        <v>2500</v>
      </c>
      <c r="N21" s="137">
        <v>800</v>
      </c>
      <c r="O21" s="137">
        <v>1200</v>
      </c>
      <c r="P21" s="133" t="s">
        <v>267</v>
      </c>
    </row>
    <row r="22" spans="11:16" ht="28.8" customHeight="1" x14ac:dyDescent="0.3">
      <c r="K22" s="133">
        <f t="shared" si="0"/>
        <v>9</v>
      </c>
      <c r="L22" s="136">
        <v>90</v>
      </c>
      <c r="M22" s="134">
        <v>1800</v>
      </c>
      <c r="N22" s="137">
        <v>550</v>
      </c>
      <c r="O22" s="137">
        <v>850</v>
      </c>
      <c r="P22" s="133" t="s">
        <v>268</v>
      </c>
    </row>
    <row r="23" spans="11:16" ht="28.8" customHeight="1" x14ac:dyDescent="0.3">
      <c r="K23" s="133">
        <f t="shared" si="0"/>
        <v>10</v>
      </c>
      <c r="L23" s="136">
        <v>40</v>
      </c>
      <c r="M23" s="133">
        <v>600</v>
      </c>
      <c r="N23" s="137">
        <v>300</v>
      </c>
      <c r="O23" s="137">
        <v>500</v>
      </c>
      <c r="P23" s="133" t="s">
        <v>269</v>
      </c>
    </row>
    <row r="24" spans="11:16" ht="28.8" customHeight="1" x14ac:dyDescent="0.3">
      <c r="K24" s="133">
        <f t="shared" si="0"/>
        <v>11</v>
      </c>
      <c r="L24" s="136">
        <v>150</v>
      </c>
      <c r="M24" s="134">
        <v>1000</v>
      </c>
      <c r="N24" s="137">
        <v>600</v>
      </c>
      <c r="O24" s="137">
        <v>950</v>
      </c>
      <c r="P24" s="133" t="s">
        <v>270</v>
      </c>
    </row>
    <row r="25" spans="11:16" ht="28.8" customHeight="1" x14ac:dyDescent="0.3">
      <c r="K25" s="133">
        <f t="shared" si="0"/>
        <v>12</v>
      </c>
      <c r="L25" s="136">
        <v>20</v>
      </c>
      <c r="M25" s="133">
        <v>700</v>
      </c>
      <c r="N25" s="137">
        <v>250</v>
      </c>
      <c r="O25" s="137">
        <v>400</v>
      </c>
      <c r="P25" s="133" t="s">
        <v>271</v>
      </c>
    </row>
    <row r="26" spans="11:16" ht="28.8" customHeight="1" x14ac:dyDescent="0.3">
      <c r="K26" s="133">
        <f t="shared" si="0"/>
        <v>13</v>
      </c>
      <c r="L26" s="136">
        <v>170</v>
      </c>
      <c r="M26" s="134">
        <v>2000</v>
      </c>
      <c r="N26" s="137">
        <v>750</v>
      </c>
      <c r="O26" s="137">
        <v>1150</v>
      </c>
      <c r="P26" s="133" t="s">
        <v>272</v>
      </c>
    </row>
    <row r="27" spans="11:16" ht="28.8" customHeight="1" x14ac:dyDescent="0.3">
      <c r="K27" s="133">
        <f t="shared" si="0"/>
        <v>14</v>
      </c>
      <c r="L27" s="136">
        <v>35</v>
      </c>
      <c r="M27" s="133">
        <v>900</v>
      </c>
      <c r="N27" s="137">
        <v>350</v>
      </c>
      <c r="O27" s="137">
        <v>550</v>
      </c>
      <c r="P27" s="133" t="s">
        <v>273</v>
      </c>
    </row>
    <row r="28" spans="11:16" ht="28.8" customHeight="1" x14ac:dyDescent="0.3">
      <c r="K28" s="133">
        <f t="shared" si="0"/>
        <v>15</v>
      </c>
      <c r="L28" s="136">
        <v>220</v>
      </c>
      <c r="M28" s="134">
        <v>2500</v>
      </c>
      <c r="N28" s="137">
        <v>900</v>
      </c>
      <c r="O28" s="137">
        <v>1400</v>
      </c>
      <c r="P28" s="133" t="s">
        <v>274</v>
      </c>
    </row>
    <row r="29" spans="11:16" ht="28.8" customHeight="1" x14ac:dyDescent="0.3">
      <c r="K29" s="133">
        <f t="shared" si="0"/>
        <v>16</v>
      </c>
      <c r="L29" s="136">
        <v>110</v>
      </c>
      <c r="M29" s="134">
        <v>1100</v>
      </c>
      <c r="N29" s="137">
        <v>450</v>
      </c>
      <c r="O29" s="137">
        <v>700</v>
      </c>
      <c r="P29" s="133" t="s">
        <v>275</v>
      </c>
    </row>
    <row r="30" spans="11:16" ht="28.8" customHeight="1" x14ac:dyDescent="0.3">
      <c r="K30" s="133">
        <f t="shared" si="0"/>
        <v>17</v>
      </c>
      <c r="L30" s="136">
        <v>75</v>
      </c>
      <c r="M30" s="134">
        <v>1300</v>
      </c>
      <c r="N30" s="137">
        <v>500</v>
      </c>
      <c r="O30" s="137">
        <v>750</v>
      </c>
      <c r="P30" s="133" t="s">
        <v>276</v>
      </c>
    </row>
    <row r="31" spans="11:16" ht="28.8" customHeight="1" x14ac:dyDescent="0.3">
      <c r="K31" s="133">
        <f t="shared" si="0"/>
        <v>18</v>
      </c>
      <c r="L31" s="136">
        <v>25</v>
      </c>
      <c r="M31" s="133">
        <v>950</v>
      </c>
      <c r="N31" s="137">
        <v>300</v>
      </c>
      <c r="O31" s="137">
        <v>450</v>
      </c>
      <c r="P31" s="133" t="s">
        <v>277</v>
      </c>
    </row>
    <row r="32" spans="11:16" ht="28.8" customHeight="1" x14ac:dyDescent="0.3">
      <c r="K32" s="133">
        <f t="shared" si="0"/>
        <v>19</v>
      </c>
      <c r="L32" s="136">
        <v>140</v>
      </c>
      <c r="M32" s="134">
        <v>1600</v>
      </c>
      <c r="N32" s="137">
        <v>650</v>
      </c>
      <c r="O32" s="137">
        <v>1000</v>
      </c>
      <c r="P32" s="133" t="s">
        <v>278</v>
      </c>
    </row>
    <row r="33" spans="11:16" ht="28.8" customHeight="1" x14ac:dyDescent="0.3">
      <c r="K33" s="133">
        <f t="shared" si="0"/>
        <v>20</v>
      </c>
      <c r="L33" s="136">
        <v>50</v>
      </c>
      <c r="M33" s="133">
        <v>850</v>
      </c>
      <c r="N33" s="137">
        <v>350</v>
      </c>
      <c r="O33" s="137">
        <v>550</v>
      </c>
      <c r="P33" s="133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/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8" customHeight="1" x14ac:dyDescent="0.3"/>
    <row r="61" spans="1:42" ht="28.8" customHeight="1" x14ac:dyDescent="0.3"/>
    <row r="62" spans="1:42" ht="28.8" customHeight="1" x14ac:dyDescent="0.3"/>
    <row r="63" spans="1:42" ht="28.8" customHeight="1" x14ac:dyDescent="0.3"/>
    <row r="64" spans="1:4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G17" sqref="G17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521" t="s">
        <v>280</v>
      </c>
      <c r="O14" s="522"/>
      <c r="P14" s="522"/>
      <c r="Q14" s="522"/>
      <c r="R14" s="522"/>
      <c r="S14" s="522"/>
      <c r="T14" s="523"/>
      <c r="W14" s="527" t="s">
        <v>281</v>
      </c>
      <c r="X14" s="528"/>
      <c r="Y14" s="528"/>
      <c r="Z14" s="528"/>
      <c r="AA14" s="529"/>
    </row>
    <row r="15" spans="1:51" ht="28.8" customHeight="1" x14ac:dyDescent="0.3">
      <c r="N15" s="524"/>
      <c r="O15" s="525"/>
      <c r="P15" s="525"/>
      <c r="Q15" s="525"/>
      <c r="R15" s="525"/>
      <c r="S15" s="525"/>
      <c r="T15" s="526"/>
      <c r="W15" s="530"/>
      <c r="X15" s="531"/>
      <c r="Y15" s="531"/>
      <c r="Z15" s="531"/>
      <c r="AA15" s="532"/>
    </row>
    <row r="16" spans="1:51" ht="28.8" customHeight="1" x14ac:dyDescent="0.3">
      <c r="N16" s="524"/>
      <c r="O16" s="525"/>
      <c r="P16" s="525"/>
      <c r="Q16" s="525"/>
      <c r="R16" s="525"/>
      <c r="S16" s="525"/>
      <c r="T16" s="526"/>
      <c r="W16" s="530"/>
      <c r="X16" s="531"/>
      <c r="Y16" s="531"/>
      <c r="Z16" s="531"/>
      <c r="AA16" s="532"/>
    </row>
    <row r="17" spans="14:27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12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8" customHeight="1" x14ac:dyDescent="0.55000000000000004">
      <c r="N18" s="17" t="s">
        <v>13</v>
      </c>
      <c r="O18" s="121" t="s">
        <v>3</v>
      </c>
      <c r="P18" s="44"/>
      <c r="Q18" s="43" t="s">
        <v>13</v>
      </c>
      <c r="R18" s="43" t="s">
        <v>13</v>
      </c>
      <c r="S18" s="398">
        <v>1</v>
      </c>
      <c r="T18" s="112" t="s">
        <v>13</v>
      </c>
      <c r="W18" s="29" t="s">
        <v>13</v>
      </c>
      <c r="X18" s="142" t="s">
        <v>282</v>
      </c>
      <c r="Y18" s="28"/>
      <c r="Z18" s="102"/>
      <c r="AA18" s="31" t="s">
        <v>13</v>
      </c>
    </row>
    <row r="19" spans="14:27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399" t="s">
        <v>13</v>
      </c>
      <c r="T19" s="13" t="s">
        <v>13</v>
      </c>
      <c r="W19" s="29" t="s">
        <v>13</v>
      </c>
      <c r="X19" s="83"/>
      <c r="Y19" s="27"/>
      <c r="Z19" s="27"/>
      <c r="AA19" s="30" t="s">
        <v>13</v>
      </c>
    </row>
    <row r="20" spans="14:27" ht="28.8" customHeight="1" x14ac:dyDescent="0.55000000000000004">
      <c r="N20" s="17" t="s">
        <v>13</v>
      </c>
      <c r="O20" s="138" t="s">
        <v>4</v>
      </c>
      <c r="P20" s="44"/>
      <c r="Q20" s="43" t="s">
        <v>13</v>
      </c>
      <c r="R20" s="43" t="s">
        <v>13</v>
      </c>
      <c r="S20" s="398">
        <v>1</v>
      </c>
      <c r="T20" s="112" t="s">
        <v>13</v>
      </c>
      <c r="W20" s="29" t="s">
        <v>13</v>
      </c>
      <c r="X20" s="142" t="s">
        <v>283</v>
      </c>
      <c r="Y20" s="28"/>
      <c r="Z20" s="102"/>
      <c r="AA20" s="31" t="s">
        <v>13</v>
      </c>
    </row>
    <row r="21" spans="14:27" ht="28.8" customHeight="1" x14ac:dyDescent="0.55000000000000004">
      <c r="N21" s="17" t="s">
        <v>13</v>
      </c>
      <c r="O21" s="139"/>
      <c r="P21" s="43" t="s">
        <v>13</v>
      </c>
      <c r="Q21" s="43" t="s">
        <v>13</v>
      </c>
      <c r="R21" s="43" t="s">
        <v>13</v>
      </c>
      <c r="S21" s="399" t="s">
        <v>13</v>
      </c>
      <c r="T21" s="112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8" customHeight="1" x14ac:dyDescent="0.55000000000000004">
      <c r="N22" s="17" t="s">
        <v>13</v>
      </c>
      <c r="O22" s="138" t="s">
        <v>5</v>
      </c>
      <c r="P22" s="43" t="s">
        <v>13</v>
      </c>
      <c r="Q22" s="43" t="s">
        <v>13</v>
      </c>
      <c r="R22" s="43" t="s">
        <v>13</v>
      </c>
      <c r="S22" s="400">
        <v>5</v>
      </c>
      <c r="T22" s="112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8" customHeight="1" x14ac:dyDescent="0.55000000000000004">
      <c r="N23" s="17" t="s">
        <v>13</v>
      </c>
      <c r="O23" s="139"/>
      <c r="P23" s="43" t="s">
        <v>13</v>
      </c>
      <c r="Q23" s="43" t="s">
        <v>13</v>
      </c>
      <c r="R23" s="43" t="s">
        <v>13</v>
      </c>
      <c r="S23" s="399" t="s">
        <v>13</v>
      </c>
      <c r="T23" s="112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8" customHeight="1" x14ac:dyDescent="0.55000000000000004">
      <c r="N24" s="17" t="s">
        <v>13</v>
      </c>
      <c r="O24" s="138" t="s">
        <v>6</v>
      </c>
      <c r="P24" s="43" t="s">
        <v>13</v>
      </c>
      <c r="Q24" s="43" t="s">
        <v>13</v>
      </c>
      <c r="R24" s="43" t="s">
        <v>13</v>
      </c>
      <c r="S24" s="400">
        <v>3</v>
      </c>
      <c r="T24" s="112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8" customHeight="1" x14ac:dyDescent="0.55000000000000004">
      <c r="N25" s="17" t="s">
        <v>13</v>
      </c>
      <c r="O25" s="139"/>
      <c r="P25" s="43" t="s">
        <v>13</v>
      </c>
      <c r="Q25" s="43" t="s">
        <v>13</v>
      </c>
      <c r="R25" s="43" t="s">
        <v>13</v>
      </c>
      <c r="S25" s="399" t="s">
        <v>13</v>
      </c>
      <c r="T25" s="112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8" customHeight="1" x14ac:dyDescent="0.55000000000000004">
      <c r="N26" s="61"/>
      <c r="O26" s="138" t="s">
        <v>7</v>
      </c>
      <c r="P26" s="72"/>
      <c r="Q26" s="72"/>
      <c r="R26" s="72"/>
      <c r="S26" s="401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8" customHeight="1" thickBot="1" x14ac:dyDescent="0.6">
      <c r="N27" s="61"/>
      <c r="O27" s="72"/>
      <c r="P27" s="72"/>
      <c r="Q27" s="72"/>
      <c r="R27" s="72"/>
      <c r="S27" s="72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8" customHeight="1" x14ac:dyDescent="0.3">
      <c r="N28" s="61"/>
      <c r="O28" s="72"/>
      <c r="P28" s="72"/>
      <c r="Q28" s="72"/>
      <c r="R28" s="72"/>
      <c r="S28" s="72"/>
      <c r="T28" s="7"/>
    </row>
    <row r="29" spans="14:27" ht="28.8" customHeight="1" x14ac:dyDescent="0.3">
      <c r="N29" s="61"/>
      <c r="O29" s="72"/>
      <c r="P29" s="72"/>
      <c r="Q29" s="72"/>
      <c r="R29" s="72"/>
      <c r="S29" s="72"/>
      <c r="T29" s="7"/>
    </row>
    <row r="30" spans="14:27" ht="28.8" customHeight="1" x14ac:dyDescent="0.3">
      <c r="N30" s="61"/>
      <c r="O30" s="72"/>
      <c r="P30" s="72"/>
      <c r="Q30" s="72"/>
      <c r="R30" s="72"/>
      <c r="S30" s="72"/>
      <c r="T30" s="7"/>
    </row>
    <row r="31" spans="14:27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G14" sqref="G14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31.3320312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</row>
    <row r="5" spans="1:51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</row>
    <row r="6" spans="1:5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</row>
    <row r="7" spans="1:5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521" t="s">
        <v>280</v>
      </c>
      <c r="O14" s="522"/>
      <c r="P14" s="522"/>
      <c r="Q14" s="522"/>
      <c r="R14" s="522"/>
      <c r="S14" s="522"/>
      <c r="T14" s="523"/>
    </row>
    <row r="15" spans="1:51" ht="28.8" customHeight="1" x14ac:dyDescent="0.3">
      <c r="N15" s="524"/>
      <c r="O15" s="525"/>
      <c r="P15" s="525"/>
      <c r="Q15" s="525"/>
      <c r="R15" s="525"/>
      <c r="S15" s="525"/>
      <c r="T15" s="526"/>
    </row>
    <row r="16" spans="1:51" ht="28.8" customHeight="1" x14ac:dyDescent="0.3">
      <c r="N16" s="524"/>
      <c r="O16" s="525"/>
      <c r="P16" s="525"/>
      <c r="Q16" s="525"/>
      <c r="R16" s="525"/>
      <c r="S16" s="525"/>
      <c r="T16" s="526"/>
    </row>
    <row r="17" spans="14:20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12" t="s">
        <v>13</v>
      </c>
    </row>
    <row r="18" spans="14:20" ht="28.8" customHeight="1" x14ac:dyDescent="0.55000000000000004">
      <c r="N18" s="17" t="s">
        <v>13</v>
      </c>
      <c r="O18" s="121" t="s">
        <v>3</v>
      </c>
      <c r="P18" s="44"/>
      <c r="Q18" s="43" t="s">
        <v>13</v>
      </c>
      <c r="R18" s="43" t="s">
        <v>13</v>
      </c>
      <c r="S18" s="107"/>
      <c r="T18" s="112" t="s">
        <v>13</v>
      </c>
    </row>
    <row r="19" spans="14:20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5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138" t="s">
        <v>4</v>
      </c>
      <c r="P20" s="44"/>
      <c r="Q20" s="43" t="s">
        <v>13</v>
      </c>
      <c r="R20" s="43" t="s">
        <v>13</v>
      </c>
      <c r="S20" s="107"/>
      <c r="T20" s="112" t="s">
        <v>13</v>
      </c>
    </row>
    <row r="21" spans="14:20" ht="28.8" customHeight="1" x14ac:dyDescent="0.55000000000000004">
      <c r="N21" s="17" t="s">
        <v>13</v>
      </c>
      <c r="O21" s="139"/>
      <c r="P21" s="43" t="s">
        <v>13</v>
      </c>
      <c r="Q21" s="43" t="s">
        <v>13</v>
      </c>
      <c r="R21" s="43" t="s">
        <v>13</v>
      </c>
      <c r="S21" s="120" t="s">
        <v>13</v>
      </c>
      <c r="T21" s="112" t="s">
        <v>13</v>
      </c>
    </row>
    <row r="22" spans="14:20" ht="28.8" customHeight="1" x14ac:dyDescent="0.55000000000000004">
      <c r="N22" s="17" t="s">
        <v>13</v>
      </c>
      <c r="O22" s="138" t="s">
        <v>5</v>
      </c>
      <c r="P22" s="43" t="s">
        <v>13</v>
      </c>
      <c r="Q22" s="43" t="s">
        <v>13</v>
      </c>
      <c r="R22" s="43" t="s">
        <v>13</v>
      </c>
      <c r="S22" s="140" t="s">
        <v>13</v>
      </c>
      <c r="T22" s="112" t="s">
        <v>13</v>
      </c>
    </row>
    <row r="23" spans="14:20" ht="28.8" customHeight="1" x14ac:dyDescent="0.55000000000000004">
      <c r="N23" s="17" t="s">
        <v>13</v>
      </c>
      <c r="O23" s="139"/>
      <c r="P23" s="43" t="s">
        <v>13</v>
      </c>
      <c r="Q23" s="43" t="s">
        <v>13</v>
      </c>
      <c r="R23" s="43" t="s">
        <v>13</v>
      </c>
      <c r="S23" s="120" t="s">
        <v>13</v>
      </c>
      <c r="T23" s="112" t="s">
        <v>13</v>
      </c>
    </row>
    <row r="24" spans="14:20" ht="28.8" customHeight="1" x14ac:dyDescent="0.55000000000000004">
      <c r="N24" s="17" t="s">
        <v>13</v>
      </c>
      <c r="O24" s="138" t="s">
        <v>6</v>
      </c>
      <c r="P24" s="43" t="s">
        <v>13</v>
      </c>
      <c r="Q24" s="43" t="s">
        <v>13</v>
      </c>
      <c r="R24" s="43" t="s">
        <v>13</v>
      </c>
      <c r="S24" s="140" t="s">
        <v>13</v>
      </c>
      <c r="T24" s="112" t="s">
        <v>13</v>
      </c>
    </row>
    <row r="25" spans="14:20" ht="28.8" customHeight="1" x14ac:dyDescent="0.55000000000000004">
      <c r="N25" s="17" t="s">
        <v>13</v>
      </c>
      <c r="O25" s="139"/>
      <c r="P25" s="43" t="s">
        <v>13</v>
      </c>
      <c r="Q25" s="43" t="s">
        <v>13</v>
      </c>
      <c r="R25" s="43" t="s">
        <v>13</v>
      </c>
      <c r="S25" s="120" t="s">
        <v>13</v>
      </c>
      <c r="T25" s="112" t="s">
        <v>13</v>
      </c>
    </row>
    <row r="26" spans="14:20" ht="28.8" customHeight="1" x14ac:dyDescent="0.3">
      <c r="N26" s="61"/>
      <c r="O26" s="138" t="s">
        <v>7</v>
      </c>
      <c r="P26" s="72"/>
      <c r="Q26" s="72"/>
      <c r="R26" s="72"/>
      <c r="S26" s="141"/>
      <c r="T26" s="7"/>
    </row>
    <row r="27" spans="14:20" ht="28.8" customHeight="1" x14ac:dyDescent="0.3">
      <c r="N27" s="61"/>
      <c r="O27" s="72"/>
      <c r="P27" s="72"/>
      <c r="Q27" s="72"/>
      <c r="R27" s="72"/>
      <c r="S27" s="72"/>
      <c r="T27" s="7"/>
    </row>
    <row r="28" spans="14:20" ht="28.8" customHeight="1" x14ac:dyDescent="0.3">
      <c r="N28" s="61"/>
      <c r="O28" s="72"/>
      <c r="P28" s="72"/>
      <c r="Q28" s="72"/>
      <c r="R28" s="72"/>
      <c r="S28" s="72"/>
      <c r="T28" s="7"/>
    </row>
    <row r="29" spans="14:20" ht="28.8" customHeight="1" x14ac:dyDescent="0.3">
      <c r="N29" s="61"/>
      <c r="O29" s="72"/>
      <c r="P29" s="72"/>
      <c r="Q29" s="72"/>
      <c r="R29" s="72"/>
      <c r="S29" s="72"/>
      <c r="T29" s="7"/>
    </row>
    <row r="30" spans="14:20" ht="28.8" customHeight="1" x14ac:dyDescent="0.3">
      <c r="N30" s="61"/>
      <c r="O30" s="72"/>
      <c r="P30" s="72"/>
      <c r="Q30" s="72"/>
      <c r="R30" s="72"/>
      <c r="S30" s="72"/>
      <c r="T30" s="7"/>
    </row>
    <row r="31" spans="14:20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>
      <selection activeCell="I15" sqref="I1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8" customHeight="1" x14ac:dyDescent="0.3"/>
    <row r="57" spans="1:37" ht="28.8" customHeight="1" x14ac:dyDescent="0.3"/>
    <row r="58" spans="1:37" ht="28.8" customHeight="1" x14ac:dyDescent="0.3"/>
    <row r="59" spans="1:37" ht="28.8" customHeight="1" x14ac:dyDescent="0.3"/>
    <row r="60" spans="1:37" ht="28.8" customHeight="1" x14ac:dyDescent="0.3"/>
    <row r="61" spans="1:37" ht="28.8" customHeight="1" x14ac:dyDescent="0.3"/>
    <row r="62" spans="1:37" ht="28.8" customHeight="1" x14ac:dyDescent="0.3"/>
    <row r="63" spans="1:37" ht="28.8" customHeight="1" x14ac:dyDescent="0.3"/>
    <row r="64" spans="1:37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I17" sqref="I17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521" t="s">
        <v>654</v>
      </c>
      <c r="O14" s="522"/>
      <c r="P14" s="522"/>
      <c r="Q14" s="522"/>
      <c r="R14" s="523"/>
    </row>
    <row r="15" spans="1:49" ht="28.8" customHeight="1" x14ac:dyDescent="0.3">
      <c r="N15" s="524"/>
      <c r="O15" s="525"/>
      <c r="P15" s="525"/>
      <c r="Q15" s="525"/>
      <c r="R15" s="526"/>
    </row>
    <row r="16" spans="1:49" ht="28.8" customHeight="1" x14ac:dyDescent="0.3">
      <c r="N16" s="524"/>
      <c r="O16" s="525"/>
      <c r="P16" s="525"/>
      <c r="Q16" s="525"/>
      <c r="R16" s="526"/>
    </row>
    <row r="17" spans="14:18" ht="28.8" customHeight="1" x14ac:dyDescent="0.55000000000000004">
      <c r="N17" s="17" t="s">
        <v>13</v>
      </c>
      <c r="O17" s="43" t="s">
        <v>13</v>
      </c>
      <c r="P17" s="43" t="s">
        <v>13</v>
      </c>
      <c r="Q17" s="45" t="s">
        <v>13</v>
      </c>
      <c r="R17" s="112" t="s">
        <v>13</v>
      </c>
    </row>
    <row r="18" spans="14:18" ht="28.8" customHeight="1" x14ac:dyDescent="0.55000000000000004">
      <c r="N18" s="17" t="s">
        <v>13</v>
      </c>
      <c r="O18" s="121" t="s">
        <v>284</v>
      </c>
      <c r="P18" s="43" t="s">
        <v>13</v>
      </c>
      <c r="Q18" s="143"/>
      <c r="R18" s="112" t="s">
        <v>13</v>
      </c>
    </row>
    <row r="19" spans="14:18" ht="28.8" customHeight="1" x14ac:dyDescent="0.55000000000000004">
      <c r="N19" s="17" t="s">
        <v>13</v>
      </c>
      <c r="O19" s="43" t="s">
        <v>13</v>
      </c>
      <c r="P19" s="43" t="s">
        <v>13</v>
      </c>
      <c r="Q19" s="45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138" t="s">
        <v>285</v>
      </c>
      <c r="P20" s="43" t="s">
        <v>13</v>
      </c>
      <c r="Q20" s="143"/>
      <c r="R20" s="112" t="s">
        <v>13</v>
      </c>
    </row>
    <row r="21" spans="14:18" ht="28.8" customHeight="1" x14ac:dyDescent="0.55000000000000004">
      <c r="N21" s="17" t="s">
        <v>13</v>
      </c>
      <c r="O21" s="139"/>
      <c r="P21" s="43" t="s">
        <v>13</v>
      </c>
      <c r="Q21" s="120" t="s">
        <v>13</v>
      </c>
      <c r="R21" s="112" t="s">
        <v>13</v>
      </c>
    </row>
    <row r="22" spans="14:18" ht="28.8" customHeight="1" x14ac:dyDescent="0.55000000000000004">
      <c r="N22" s="17" t="s">
        <v>13</v>
      </c>
      <c r="O22" s="72"/>
      <c r="P22" s="72"/>
      <c r="Q22" s="72"/>
      <c r="R22" s="112" t="s">
        <v>13</v>
      </c>
    </row>
    <row r="23" spans="14:18" ht="28.8" customHeight="1" x14ac:dyDescent="0.55000000000000004">
      <c r="N23" s="17" t="s">
        <v>13</v>
      </c>
      <c r="O23" s="72"/>
      <c r="P23" s="72"/>
      <c r="Q23" s="72"/>
      <c r="R23" s="112" t="s">
        <v>13</v>
      </c>
    </row>
    <row r="24" spans="14:18" ht="28.8" customHeight="1" x14ac:dyDescent="0.55000000000000004">
      <c r="N24" s="17" t="s">
        <v>13</v>
      </c>
      <c r="O24" s="72"/>
      <c r="P24" s="72"/>
      <c r="Q24" s="72"/>
      <c r="R24" s="112" t="s">
        <v>13</v>
      </c>
    </row>
    <row r="25" spans="14:18" ht="28.8" customHeight="1" x14ac:dyDescent="0.55000000000000004">
      <c r="N25" s="17" t="s">
        <v>13</v>
      </c>
      <c r="O25" s="72"/>
      <c r="P25" s="72"/>
      <c r="Q25" s="72"/>
      <c r="R25" s="112" t="s">
        <v>13</v>
      </c>
    </row>
    <row r="26" spans="14:18" ht="28.8" customHeight="1" thickBot="1" x14ac:dyDescent="0.35">
      <c r="N26" s="73"/>
      <c r="O26" s="74"/>
      <c r="P26" s="74"/>
      <c r="Q26" s="74"/>
      <c r="R26" s="75"/>
    </row>
    <row r="27" spans="14:18" ht="28.8" customHeight="1" x14ac:dyDescent="0.3"/>
    <row r="28" spans="14:18" ht="28.8" customHeight="1" thickBot="1" x14ac:dyDescent="0.35"/>
    <row r="29" spans="14:18" ht="28.8" customHeight="1" x14ac:dyDescent="0.3">
      <c r="N29" s="521" t="s">
        <v>651</v>
      </c>
      <c r="O29" s="522"/>
      <c r="P29" s="522"/>
      <c r="Q29" s="522"/>
      <c r="R29" s="523"/>
    </row>
    <row r="30" spans="14:18" ht="28.8" customHeight="1" x14ac:dyDescent="0.3">
      <c r="N30" s="524"/>
      <c r="O30" s="533"/>
      <c r="P30" s="533"/>
      <c r="Q30" s="533"/>
      <c r="R30" s="526"/>
    </row>
    <row r="31" spans="14:18" ht="28.8" customHeight="1" x14ac:dyDescent="0.3">
      <c r="N31" s="524"/>
      <c r="O31" s="533"/>
      <c r="P31" s="533"/>
      <c r="Q31" s="533"/>
      <c r="R31" s="526"/>
    </row>
    <row r="32" spans="14:18" ht="28.8" customHeight="1" x14ac:dyDescent="0.55000000000000004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8" customHeight="1" x14ac:dyDescent="0.55000000000000004">
      <c r="N33" s="17" t="s">
        <v>13</v>
      </c>
      <c r="O33" s="110" t="s">
        <v>652</v>
      </c>
      <c r="P33" s="19" t="s">
        <v>13</v>
      </c>
      <c r="Q33" s="143"/>
      <c r="R33" s="13" t="s">
        <v>13</v>
      </c>
    </row>
    <row r="34" spans="14:18" ht="28.8" customHeight="1" x14ac:dyDescent="0.55000000000000004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8" customHeight="1" x14ac:dyDescent="0.55000000000000004">
      <c r="N35" s="17" t="s">
        <v>13</v>
      </c>
      <c r="O35" s="347" t="s">
        <v>653</v>
      </c>
      <c r="P35" s="19" t="s">
        <v>13</v>
      </c>
      <c r="Q35" s="143"/>
      <c r="R35" s="13" t="s">
        <v>13</v>
      </c>
    </row>
    <row r="36" spans="14:18" ht="28.8" customHeight="1" x14ac:dyDescent="0.55000000000000004">
      <c r="N36" s="17" t="s">
        <v>13</v>
      </c>
      <c r="O36" s="348"/>
      <c r="P36" s="19" t="s">
        <v>13</v>
      </c>
      <c r="Q36" s="12" t="s">
        <v>13</v>
      </c>
      <c r="R36" s="13" t="s">
        <v>13</v>
      </c>
    </row>
    <row r="37" spans="14:18" ht="28.8" customHeight="1" x14ac:dyDescent="0.55000000000000004">
      <c r="N37" s="17" t="s">
        <v>13</v>
      </c>
      <c r="O37" s="225"/>
      <c r="P37" s="225"/>
      <c r="Q37" s="225"/>
      <c r="R37" s="13" t="s">
        <v>13</v>
      </c>
    </row>
    <row r="38" spans="14:18" ht="28.8" customHeight="1" x14ac:dyDescent="0.55000000000000004">
      <c r="N38" s="17" t="s">
        <v>13</v>
      </c>
      <c r="O38" s="225"/>
      <c r="P38" s="225"/>
      <c r="Q38" s="225"/>
      <c r="R38" s="13" t="s">
        <v>13</v>
      </c>
    </row>
    <row r="39" spans="14:18" ht="28.8" customHeight="1" x14ac:dyDescent="0.55000000000000004">
      <c r="N39" s="17" t="s">
        <v>13</v>
      </c>
      <c r="O39" s="225"/>
      <c r="P39" s="225"/>
      <c r="Q39" s="225"/>
      <c r="R39" s="13" t="s">
        <v>13</v>
      </c>
    </row>
    <row r="40" spans="14:18" ht="28.8" customHeight="1" x14ac:dyDescent="0.55000000000000004">
      <c r="N40" s="17" t="s">
        <v>13</v>
      </c>
      <c r="O40" s="225"/>
      <c r="P40" s="225"/>
      <c r="Q40" s="225"/>
      <c r="R40" s="13" t="s">
        <v>13</v>
      </c>
    </row>
    <row r="41" spans="14:18" ht="28.8" customHeight="1" thickBot="1" x14ac:dyDescent="0.35">
      <c r="N41" s="73"/>
      <c r="O41" s="74"/>
      <c r="P41" s="74"/>
      <c r="Q41" s="74"/>
      <c r="R41" s="75"/>
    </row>
    <row r="42" spans="14:18" ht="28.8" customHeight="1" x14ac:dyDescent="0.3"/>
    <row r="43" spans="14:18" ht="28.8" customHeight="1" x14ac:dyDescent="0.3"/>
    <row r="44" spans="14:18" ht="28.8" customHeight="1" x14ac:dyDescent="0.3"/>
    <row r="45" spans="14:18" ht="28.8" customHeight="1" x14ac:dyDescent="0.3"/>
    <row r="46" spans="14:18" ht="28.8" customHeight="1" x14ac:dyDescent="0.3"/>
    <row r="47" spans="14:18" ht="28.8" customHeight="1" x14ac:dyDescent="0.3"/>
    <row r="48" spans="14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G15" sqref="G1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9" style="100" customWidth="1"/>
    <col min="14" max="14" width="30.664062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534" t="s">
        <v>286</v>
      </c>
      <c r="N13" s="535"/>
      <c r="O13" s="535"/>
      <c r="P13" s="535"/>
      <c r="Q13" s="536"/>
    </row>
    <row r="14" spans="1:49" ht="28.8" customHeight="1" thickBot="1" x14ac:dyDescent="0.35">
      <c r="M14" s="537"/>
      <c r="N14" s="538"/>
      <c r="O14" s="538"/>
      <c r="P14" s="538"/>
      <c r="Q14" s="539"/>
    </row>
    <row r="15" spans="1:49" ht="28.8" customHeight="1" thickBot="1" x14ac:dyDescent="0.35">
      <c r="M15" s="8"/>
      <c r="N15" s="49"/>
      <c r="O15" s="49"/>
      <c r="P15" s="49"/>
      <c r="Q15" s="50"/>
    </row>
    <row r="16" spans="1:49" ht="28.8" customHeight="1" thickBot="1" x14ac:dyDescent="0.35">
      <c r="M16" s="8"/>
      <c r="N16" s="144" t="s">
        <v>287</v>
      </c>
      <c r="O16" s="49"/>
      <c r="P16" s="47"/>
      <c r="Q16" s="50"/>
    </row>
    <row r="17" spans="13:17" ht="28.8" customHeight="1" thickBot="1" x14ac:dyDescent="0.35">
      <c r="M17" s="8"/>
      <c r="N17" s="144"/>
      <c r="O17" s="49"/>
      <c r="P17" s="49"/>
      <c r="Q17" s="50"/>
    </row>
    <row r="18" spans="13:17" ht="28.8" customHeight="1" thickBot="1" x14ac:dyDescent="0.35">
      <c r="M18" s="8"/>
      <c r="N18" s="144" t="s">
        <v>288</v>
      </c>
      <c r="O18" s="49"/>
      <c r="P18" s="47"/>
      <c r="Q18" s="50"/>
    </row>
    <row r="19" spans="13:17" ht="28.8" customHeight="1" thickBot="1" x14ac:dyDescent="0.35">
      <c r="M19" s="8"/>
      <c r="N19" s="144"/>
      <c r="O19" s="49"/>
      <c r="P19" s="49"/>
      <c r="Q19" s="50"/>
    </row>
    <row r="20" spans="13:17" ht="28.8" customHeight="1" thickBot="1" x14ac:dyDescent="0.35">
      <c r="M20" s="8"/>
      <c r="N20" s="144" t="s">
        <v>289</v>
      </c>
      <c r="O20" s="49"/>
      <c r="P20" s="47"/>
      <c r="Q20" s="50"/>
    </row>
    <row r="21" spans="13:17" ht="28.8" customHeight="1" thickBot="1" x14ac:dyDescent="0.35">
      <c r="M21" s="8"/>
      <c r="N21" s="144"/>
      <c r="O21" s="49"/>
      <c r="P21" s="49"/>
      <c r="Q21" s="50"/>
    </row>
    <row r="22" spans="13:17" ht="28.8" customHeight="1" thickBot="1" x14ac:dyDescent="0.35">
      <c r="M22" s="8"/>
      <c r="N22" s="144" t="s">
        <v>290</v>
      </c>
      <c r="O22" s="49"/>
      <c r="P22" s="47"/>
      <c r="Q22" s="50"/>
    </row>
    <row r="23" spans="13:17" ht="28.8" customHeight="1" thickBot="1" x14ac:dyDescent="0.35">
      <c r="M23" s="8"/>
      <c r="N23" s="144"/>
      <c r="O23" s="49"/>
      <c r="P23" s="49"/>
      <c r="Q23" s="50"/>
    </row>
    <row r="24" spans="13:17" ht="28.8" customHeight="1" thickBot="1" x14ac:dyDescent="0.35">
      <c r="M24" s="8"/>
      <c r="N24" s="144" t="s">
        <v>291</v>
      </c>
      <c r="O24" s="49"/>
      <c r="P24" s="47"/>
      <c r="Q24" s="50"/>
    </row>
    <row r="25" spans="13:17" ht="28.8" customHeight="1" thickBot="1" x14ac:dyDescent="0.35">
      <c r="M25" s="8"/>
      <c r="N25" s="144"/>
      <c r="O25" s="49"/>
      <c r="P25" s="49"/>
      <c r="Q25" s="50"/>
    </row>
    <row r="26" spans="13:17" ht="28.8" customHeight="1" thickBot="1" x14ac:dyDescent="0.35">
      <c r="M26" s="8"/>
      <c r="N26" s="144" t="s">
        <v>292</v>
      </c>
      <c r="O26" s="49"/>
      <c r="P26" s="47"/>
      <c r="Q26" s="50"/>
    </row>
    <row r="27" spans="13:17" ht="28.8" customHeight="1" thickBot="1" x14ac:dyDescent="0.35">
      <c r="M27" s="8"/>
      <c r="N27" s="144"/>
      <c r="O27" s="49"/>
      <c r="P27" s="49"/>
      <c r="Q27" s="50"/>
    </row>
    <row r="28" spans="13:17" ht="28.8" customHeight="1" thickBot="1" x14ac:dyDescent="0.35">
      <c r="M28" s="8"/>
      <c r="N28" s="144" t="s">
        <v>293</v>
      </c>
      <c r="O28" s="49"/>
      <c r="P28" s="47"/>
      <c r="Q28" s="50"/>
    </row>
    <row r="29" spans="13:17" ht="28.8" customHeight="1" thickBot="1" x14ac:dyDescent="0.35">
      <c r="M29" s="8"/>
      <c r="N29" s="144"/>
      <c r="O29" s="49"/>
      <c r="P29" s="49"/>
      <c r="Q29" s="50"/>
    </row>
    <row r="30" spans="13:17" ht="28.8" customHeight="1" thickBot="1" x14ac:dyDescent="0.35">
      <c r="M30" s="8"/>
      <c r="N30" s="144" t="s">
        <v>294</v>
      </c>
      <c r="O30" s="49"/>
      <c r="P30" s="47"/>
      <c r="Q30" s="50"/>
    </row>
    <row r="31" spans="13:17" ht="28.8" customHeight="1" thickBot="1" x14ac:dyDescent="0.35">
      <c r="M31" s="8"/>
      <c r="N31" s="144"/>
      <c r="O31" s="49"/>
      <c r="P31" s="49"/>
      <c r="Q31" s="50"/>
    </row>
    <row r="32" spans="13:17" ht="28.8" customHeight="1" thickBot="1" x14ac:dyDescent="0.35">
      <c r="M32" s="8"/>
      <c r="N32" s="144" t="s">
        <v>295</v>
      </c>
      <c r="O32" s="49"/>
      <c r="P32" s="47"/>
      <c r="Q32" s="50"/>
    </row>
    <row r="33" spans="13:17" ht="28.8" customHeight="1" thickBot="1" x14ac:dyDescent="0.35">
      <c r="M33" s="8"/>
      <c r="N33" s="145"/>
      <c r="O33" s="49"/>
      <c r="P33" s="49"/>
      <c r="Q33" s="50"/>
    </row>
    <row r="34" spans="13:17" ht="28.8" customHeight="1" thickBot="1" x14ac:dyDescent="0.35">
      <c r="M34" s="8"/>
      <c r="N34" s="144" t="s">
        <v>296</v>
      </c>
      <c r="O34" s="49"/>
      <c r="P34" s="47"/>
      <c r="Q34" s="50"/>
    </row>
    <row r="35" spans="13:17" ht="28.8" customHeight="1" thickBot="1" x14ac:dyDescent="0.35">
      <c r="M35" s="8"/>
      <c r="N35" s="145"/>
      <c r="O35" s="49"/>
      <c r="P35" s="49"/>
      <c r="Q35" s="50"/>
    </row>
    <row r="36" spans="13:17" ht="28.8" customHeight="1" thickBot="1" x14ac:dyDescent="0.35">
      <c r="M36" s="8"/>
      <c r="N36" s="144" t="s">
        <v>297</v>
      </c>
      <c r="O36" s="49"/>
      <c r="P36" s="48"/>
      <c r="Q36" s="50"/>
    </row>
    <row r="37" spans="13:17" ht="28.8" customHeight="1" thickBot="1" x14ac:dyDescent="0.35">
      <c r="M37" s="8"/>
      <c r="N37" s="145"/>
      <c r="O37" s="49"/>
      <c r="P37" s="49"/>
      <c r="Q37" s="50"/>
    </row>
    <row r="38" spans="13:17" ht="28.8" customHeight="1" thickBot="1" x14ac:dyDescent="0.45">
      <c r="M38" s="8"/>
      <c r="N38" s="144" t="s">
        <v>298</v>
      </c>
      <c r="O38" s="49"/>
      <c r="P38" s="146" t="s">
        <v>300</v>
      </c>
      <c r="Q38" s="50"/>
    </row>
    <row r="39" spans="13:17" ht="28.8" customHeight="1" thickBot="1" x14ac:dyDescent="0.35">
      <c r="M39" s="8"/>
      <c r="N39" s="145"/>
      <c r="O39" s="49"/>
      <c r="P39" s="49"/>
      <c r="Q39" s="50"/>
    </row>
    <row r="40" spans="13:17" ht="28.8" customHeight="1" thickBot="1" x14ac:dyDescent="0.35">
      <c r="M40" s="8"/>
      <c r="N40" s="144" t="s">
        <v>299</v>
      </c>
      <c r="O40" s="49"/>
      <c r="P40" s="47"/>
      <c r="Q40" s="50"/>
    </row>
    <row r="41" spans="13:17" ht="28.8" customHeight="1" x14ac:dyDescent="0.3">
      <c r="M41" s="8"/>
      <c r="N41" s="49"/>
      <c r="O41" s="49"/>
      <c r="P41" s="49"/>
      <c r="Q41" s="50"/>
    </row>
    <row r="42" spans="13:17" ht="28.8" customHeight="1" x14ac:dyDescent="0.3">
      <c r="M42" s="8"/>
      <c r="N42" s="49"/>
      <c r="O42" s="49"/>
      <c r="P42" s="49"/>
      <c r="Q42" s="50"/>
    </row>
    <row r="43" spans="13:17" ht="28.8" customHeight="1" x14ac:dyDescent="0.3">
      <c r="M43" s="8"/>
      <c r="N43" s="49"/>
      <c r="O43" s="49"/>
      <c r="P43" s="49"/>
      <c r="Q43" s="50"/>
    </row>
    <row r="44" spans="13:17" ht="28.8" customHeight="1" x14ac:dyDescent="0.3">
      <c r="M44" s="8"/>
      <c r="N44" s="49"/>
      <c r="O44" s="49"/>
      <c r="P44" s="49"/>
      <c r="Q44" s="50"/>
    </row>
    <row r="45" spans="13:17" ht="28.8" customHeight="1" x14ac:dyDescent="0.3">
      <c r="M45" s="8"/>
      <c r="N45" s="49"/>
      <c r="O45" s="49"/>
      <c r="P45" s="49"/>
      <c r="Q45" s="50"/>
    </row>
    <row r="46" spans="13:17" ht="28.8" customHeight="1" thickBot="1" x14ac:dyDescent="0.35">
      <c r="M46" s="51"/>
      <c r="N46" s="52"/>
      <c r="O46" s="52"/>
      <c r="P46" s="52"/>
      <c r="Q46" s="53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35" sqref="N35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11.21875" style="100" customWidth="1"/>
    <col min="7" max="7" width="26" style="100" bestFit="1" customWidth="1"/>
    <col min="8" max="8" width="19.44140625" style="100" bestFit="1" customWidth="1"/>
    <col min="9" max="9" width="104.33203125" style="100" bestFit="1" customWidth="1"/>
    <col min="10" max="10" width="12.6640625" style="100" customWidth="1"/>
    <col min="11" max="11" width="4.554687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534" t="s">
        <v>301</v>
      </c>
      <c r="E10" s="535"/>
      <c r="F10" s="536"/>
      <c r="H10" s="151"/>
      <c r="I10" s="152"/>
      <c r="J10" s="152"/>
      <c r="K10" s="152"/>
      <c r="L10" s="152"/>
      <c r="M10" s="152"/>
      <c r="N10" s="152"/>
      <c r="O10" s="152"/>
      <c r="P10" s="153"/>
    </row>
    <row r="11" spans="1:49" ht="28.8" customHeight="1" x14ac:dyDescent="0.3">
      <c r="D11" s="540"/>
      <c r="E11" s="541"/>
      <c r="F11" s="542"/>
      <c r="H11" s="154"/>
      <c r="I11" s="148" t="s">
        <v>401</v>
      </c>
      <c r="J11" s="155"/>
      <c r="K11" s="155"/>
      <c r="L11" s="155"/>
      <c r="M11" s="155"/>
      <c r="N11" s="156" t="s">
        <v>306</v>
      </c>
      <c r="O11" s="155"/>
      <c r="P11" s="157"/>
    </row>
    <row r="12" spans="1:49" ht="28.8" customHeight="1" x14ac:dyDescent="0.5">
      <c r="D12" s="540"/>
      <c r="E12" s="541"/>
      <c r="F12" s="542"/>
      <c r="H12" s="154"/>
      <c r="I12" s="158" t="s">
        <v>307</v>
      </c>
      <c r="J12" s="155"/>
      <c r="K12" s="155"/>
      <c r="L12" s="155"/>
      <c r="M12" s="155"/>
      <c r="N12" s="150" t="s">
        <v>308</v>
      </c>
      <c r="O12" s="155"/>
      <c r="P12" s="157"/>
    </row>
    <row r="13" spans="1:49" ht="28.8" customHeight="1" x14ac:dyDescent="0.35">
      <c r="D13" s="65"/>
      <c r="E13" s="66"/>
      <c r="F13" s="67"/>
      <c r="H13" s="154"/>
      <c r="I13" s="158" t="s">
        <v>309</v>
      </c>
      <c r="J13" s="155"/>
      <c r="K13" s="155"/>
      <c r="L13" s="155"/>
      <c r="M13" s="155"/>
      <c r="N13" s="159"/>
      <c r="O13" s="155"/>
      <c r="P13" s="157"/>
    </row>
    <row r="14" spans="1:49" ht="28.8" customHeight="1" x14ac:dyDescent="0.3">
      <c r="D14" s="68"/>
      <c r="E14" s="147" t="s">
        <v>302</v>
      </c>
      <c r="F14" s="69"/>
      <c r="H14" s="160"/>
      <c r="I14" s="161"/>
      <c r="J14" s="161"/>
      <c r="K14" s="161"/>
      <c r="L14" s="161"/>
      <c r="M14" s="161"/>
      <c r="N14" s="161"/>
      <c r="O14" s="161"/>
      <c r="P14" s="162"/>
    </row>
    <row r="15" spans="1:49" ht="28.8" customHeight="1" thickBot="1" x14ac:dyDescent="0.35">
      <c r="D15" s="70"/>
      <c r="E15" s="71"/>
      <c r="F15" s="69"/>
      <c r="H15" s="163"/>
      <c r="I15" s="164"/>
      <c r="J15" s="164"/>
      <c r="K15" s="164"/>
      <c r="L15" s="164"/>
      <c r="M15" s="164"/>
      <c r="N15" s="164"/>
      <c r="O15" s="164"/>
      <c r="P15" s="165"/>
    </row>
    <row r="16" spans="1:49" ht="28.8" customHeight="1" thickBot="1" x14ac:dyDescent="0.55000000000000004">
      <c r="D16" s="64"/>
      <c r="E16" s="37"/>
      <c r="F16" s="7"/>
      <c r="H16" s="166"/>
      <c r="I16" s="189" t="s">
        <v>310</v>
      </c>
      <c r="J16" s="167"/>
      <c r="K16" s="167"/>
      <c r="L16" s="167"/>
      <c r="M16" s="167"/>
      <c r="N16" s="149" t="s">
        <v>311</v>
      </c>
      <c r="O16" s="167"/>
      <c r="P16" s="168"/>
    </row>
    <row r="17" spans="4:16" ht="28.8" customHeight="1" x14ac:dyDescent="0.3">
      <c r="D17" s="64"/>
      <c r="E17" s="63"/>
      <c r="F17" s="7"/>
      <c r="H17" s="166"/>
      <c r="I17" s="169"/>
      <c r="J17" s="167"/>
      <c r="K17" s="167"/>
      <c r="L17" s="167"/>
      <c r="M17" s="167"/>
      <c r="N17" s="169"/>
      <c r="O17" s="167"/>
      <c r="P17" s="168"/>
    </row>
    <row r="18" spans="4:16" ht="28.8" customHeight="1" x14ac:dyDescent="0.3">
      <c r="D18" s="61"/>
      <c r="E18" s="147" t="s">
        <v>303</v>
      </c>
      <c r="F18" s="7"/>
      <c r="H18" s="166"/>
      <c r="I18" s="170"/>
      <c r="J18" s="170"/>
      <c r="K18" s="170"/>
      <c r="L18" s="170"/>
      <c r="M18" s="170"/>
      <c r="N18" s="170"/>
      <c r="O18" s="170"/>
      <c r="P18" s="171"/>
    </row>
    <row r="19" spans="4:16" ht="28.8" customHeight="1" thickBot="1" x14ac:dyDescent="0.45">
      <c r="D19" s="61"/>
      <c r="E19" s="63"/>
      <c r="F19" s="7"/>
      <c r="H19" s="172"/>
      <c r="I19" s="190" t="s">
        <v>312</v>
      </c>
      <c r="J19" s="173"/>
      <c r="K19" s="173"/>
      <c r="L19" s="193" t="s">
        <v>313</v>
      </c>
      <c r="M19" s="193" t="s">
        <v>314</v>
      </c>
      <c r="N19" s="174"/>
      <c r="O19" s="190" t="s">
        <v>315</v>
      </c>
      <c r="P19" s="174"/>
    </row>
    <row r="20" spans="4:16" ht="28.8" customHeight="1" thickBot="1" x14ac:dyDescent="0.35">
      <c r="D20" s="61"/>
      <c r="E20" s="38"/>
      <c r="F20" s="7"/>
      <c r="H20" s="175"/>
      <c r="I20" s="191" t="s">
        <v>316</v>
      </c>
      <c r="J20" s="173"/>
      <c r="K20" s="173"/>
      <c r="L20" s="176"/>
      <c r="M20" s="176"/>
      <c r="N20" s="174"/>
      <c r="O20" s="173"/>
      <c r="P20" s="174"/>
    </row>
    <row r="21" spans="4:16" ht="28.8" customHeight="1" x14ac:dyDescent="0.3">
      <c r="D21" s="61"/>
      <c r="E21" s="63"/>
      <c r="F21" s="7"/>
      <c r="H21" s="175"/>
      <c r="I21" s="192" t="s">
        <v>317</v>
      </c>
      <c r="J21" s="177"/>
      <c r="K21" s="177"/>
      <c r="L21" s="175"/>
      <c r="M21" s="175"/>
      <c r="N21" s="178"/>
      <c r="O21" s="177"/>
      <c r="P21" s="178"/>
    </row>
    <row r="22" spans="4:16" ht="28.8" customHeight="1" x14ac:dyDescent="0.3">
      <c r="D22" s="61"/>
      <c r="E22" s="147" t="s">
        <v>304</v>
      </c>
      <c r="F22" s="57"/>
      <c r="H22" s="175"/>
      <c r="I22" s="191" t="s">
        <v>318</v>
      </c>
      <c r="J22" s="173"/>
      <c r="K22" s="173"/>
      <c r="L22" s="176"/>
      <c r="M22" s="176"/>
      <c r="N22" s="174"/>
      <c r="O22" s="173"/>
      <c r="P22" s="174"/>
    </row>
    <row r="23" spans="4:16" ht="28.8" customHeight="1" thickBot="1" x14ac:dyDescent="0.35">
      <c r="D23" s="61"/>
      <c r="E23" s="62"/>
      <c r="F23" s="57"/>
      <c r="H23" s="175"/>
      <c r="I23" s="192" t="s">
        <v>319</v>
      </c>
      <c r="J23" s="177"/>
      <c r="K23" s="177"/>
      <c r="L23" s="175"/>
      <c r="M23" s="175"/>
      <c r="N23" s="178"/>
      <c r="O23" s="177"/>
      <c r="P23" s="178"/>
    </row>
    <row r="24" spans="4:16" ht="28.8" customHeight="1" thickBot="1" x14ac:dyDescent="0.35">
      <c r="D24" s="61"/>
      <c r="E24" s="54"/>
      <c r="F24" s="57"/>
      <c r="H24" s="175"/>
      <c r="I24" s="191" t="s">
        <v>320</v>
      </c>
      <c r="J24" s="173"/>
      <c r="K24" s="173"/>
      <c r="L24" s="176"/>
      <c r="M24" s="176"/>
      <c r="N24" s="174"/>
      <c r="O24" s="173"/>
      <c r="P24" s="174"/>
    </row>
    <row r="25" spans="4:16" ht="28.8" customHeight="1" x14ac:dyDescent="0.3">
      <c r="D25" s="61"/>
      <c r="E25" s="62"/>
      <c r="F25" s="57"/>
      <c r="H25" s="179"/>
      <c r="I25" s="179"/>
      <c r="J25" s="180"/>
      <c r="K25" s="180"/>
      <c r="L25" s="179"/>
      <c r="M25" s="179"/>
      <c r="N25" s="181"/>
      <c r="O25" s="180"/>
      <c r="P25" s="181"/>
    </row>
    <row r="26" spans="4:16" ht="28.8" customHeight="1" x14ac:dyDescent="0.4">
      <c r="D26" s="61"/>
      <c r="E26" s="147" t="s">
        <v>305</v>
      </c>
      <c r="F26" s="57"/>
      <c r="H26" s="175"/>
      <c r="I26" s="194" t="s">
        <v>321</v>
      </c>
      <c r="J26" s="177"/>
      <c r="K26" s="177"/>
      <c r="L26" s="177"/>
      <c r="M26" s="194" t="s">
        <v>322</v>
      </c>
      <c r="N26" s="178"/>
      <c r="O26" s="197" t="s">
        <v>323</v>
      </c>
      <c r="P26" s="178"/>
    </row>
    <row r="27" spans="4:16" ht="28.8" customHeight="1" thickBot="1" x14ac:dyDescent="0.35">
      <c r="D27" s="61"/>
      <c r="E27" s="62"/>
      <c r="F27" s="57"/>
      <c r="H27" s="175"/>
      <c r="I27" s="175"/>
      <c r="J27" s="177"/>
      <c r="K27" s="177"/>
      <c r="L27" s="177"/>
      <c r="M27" s="175"/>
      <c r="N27" s="178"/>
      <c r="O27" s="177"/>
      <c r="P27" s="178"/>
    </row>
    <row r="28" spans="4:16" ht="28.8" customHeight="1" thickBot="1" x14ac:dyDescent="0.35">
      <c r="D28" s="61"/>
      <c r="E28" s="54"/>
      <c r="F28" s="57"/>
      <c r="H28" s="175"/>
      <c r="I28" s="175"/>
      <c r="J28" s="177"/>
      <c r="K28" s="177"/>
      <c r="L28" s="177"/>
      <c r="M28" s="175"/>
      <c r="N28" s="178"/>
      <c r="O28" s="177"/>
      <c r="P28" s="178"/>
    </row>
    <row r="29" spans="4:16" ht="28.8" customHeight="1" x14ac:dyDescent="0.3">
      <c r="D29" s="55"/>
      <c r="E29" s="56"/>
      <c r="F29" s="57"/>
      <c r="H29" s="175"/>
      <c r="I29" s="175"/>
      <c r="J29" s="177"/>
      <c r="K29" s="177"/>
      <c r="L29" s="177"/>
      <c r="M29" s="175"/>
      <c r="N29" s="178"/>
      <c r="O29" s="177"/>
      <c r="P29" s="178"/>
    </row>
    <row r="30" spans="4:16" ht="28.8" customHeight="1" x14ac:dyDescent="0.3">
      <c r="D30" s="55"/>
      <c r="E30" s="56"/>
      <c r="F30" s="57"/>
      <c r="H30" s="175"/>
      <c r="I30" s="179"/>
      <c r="J30" s="180"/>
      <c r="K30" s="180"/>
      <c r="L30" s="180"/>
      <c r="M30" s="175"/>
      <c r="N30" s="178"/>
      <c r="O30" s="177"/>
      <c r="P30" s="178"/>
    </row>
    <row r="31" spans="4:16" ht="28.8" customHeight="1" x14ac:dyDescent="0.3">
      <c r="D31" s="55"/>
      <c r="E31" s="56"/>
      <c r="F31" s="57"/>
      <c r="H31" s="163"/>
      <c r="I31" s="164"/>
      <c r="J31" s="164"/>
      <c r="K31" s="164"/>
      <c r="L31" s="164"/>
      <c r="M31" s="164"/>
      <c r="N31" s="164"/>
      <c r="O31" s="164"/>
      <c r="P31" s="165"/>
    </row>
    <row r="32" spans="4:16" ht="28.8" customHeight="1" x14ac:dyDescent="0.4">
      <c r="D32" s="55"/>
      <c r="E32" s="56"/>
      <c r="F32" s="57"/>
      <c r="H32" s="166"/>
      <c r="I32" s="198" t="s">
        <v>316</v>
      </c>
      <c r="J32" s="182"/>
      <c r="K32" s="183"/>
      <c r="L32" s="183"/>
      <c r="M32" s="183"/>
      <c r="N32" s="183"/>
      <c r="O32" s="184"/>
      <c r="P32" s="168"/>
    </row>
    <row r="33" spans="1:16" ht="28.8" customHeight="1" x14ac:dyDescent="0.4">
      <c r="D33" s="55"/>
      <c r="E33" s="56"/>
      <c r="F33" s="57"/>
      <c r="H33" s="166"/>
      <c r="I33" s="198" t="s">
        <v>324</v>
      </c>
      <c r="J33" s="182"/>
      <c r="K33" s="183"/>
      <c r="L33" s="183"/>
      <c r="M33" s="183"/>
      <c r="N33" s="183"/>
      <c r="O33" s="184"/>
      <c r="P33" s="168"/>
    </row>
    <row r="34" spans="1:16" ht="28.8" customHeight="1" thickBot="1" x14ac:dyDescent="0.45">
      <c r="D34" s="58"/>
      <c r="E34" s="59"/>
      <c r="F34" s="60"/>
      <c r="H34" s="166"/>
      <c r="I34" s="198" t="s">
        <v>325</v>
      </c>
      <c r="J34" s="182"/>
      <c r="K34" s="183"/>
      <c r="L34" s="183"/>
      <c r="M34" s="183"/>
      <c r="N34" s="183"/>
      <c r="O34" s="184"/>
      <c r="P34" s="168"/>
    </row>
    <row r="35" spans="1:16" ht="28.8" customHeight="1" x14ac:dyDescent="0.4">
      <c r="H35" s="166"/>
      <c r="I35" s="198" t="s">
        <v>326</v>
      </c>
      <c r="J35" s="182"/>
      <c r="K35" s="183"/>
      <c r="L35" s="183"/>
      <c r="M35" s="183"/>
      <c r="N35" s="183"/>
      <c r="O35" s="184"/>
      <c r="P35" s="168"/>
    </row>
    <row r="36" spans="1:16" ht="28.8" customHeight="1" x14ac:dyDescent="0.3">
      <c r="H36" s="185"/>
      <c r="I36" s="170"/>
      <c r="J36" s="170"/>
      <c r="K36" s="170"/>
      <c r="L36" s="170"/>
      <c r="M36" s="170"/>
      <c r="N36" s="170"/>
      <c r="O36" s="170"/>
      <c r="P36" s="171"/>
    </row>
    <row r="37" spans="1:16" ht="28.8" customHeight="1" x14ac:dyDescent="0.3">
      <c r="H37" s="186"/>
      <c r="I37" s="187"/>
      <c r="J37" s="187"/>
      <c r="K37" s="187"/>
      <c r="L37" s="187"/>
      <c r="M37" s="187"/>
      <c r="N37" s="187"/>
      <c r="O37" s="187"/>
      <c r="P37" s="188"/>
    </row>
    <row r="38" spans="1:16" ht="28.8" customHeight="1" x14ac:dyDescent="0.4">
      <c r="H38" s="175"/>
      <c r="I38" s="196" t="s">
        <v>327</v>
      </c>
      <c r="J38" s="177"/>
      <c r="K38" s="177"/>
      <c r="L38" s="177"/>
      <c r="M38" s="177"/>
      <c r="N38" s="177"/>
      <c r="O38" s="177"/>
      <c r="P38" s="178"/>
    </row>
    <row r="39" spans="1:16" ht="28.8" customHeight="1" x14ac:dyDescent="0.3">
      <c r="H39" s="175"/>
      <c r="I39" s="177"/>
      <c r="J39" s="177"/>
      <c r="K39" s="177"/>
      <c r="L39" s="177"/>
      <c r="M39" s="177"/>
      <c r="N39" s="177"/>
      <c r="O39" s="177"/>
      <c r="P39" s="178"/>
    </row>
    <row r="40" spans="1:16" ht="28.8" customHeight="1" x14ac:dyDescent="0.3">
      <c r="H40" s="175"/>
      <c r="I40" s="180"/>
      <c r="J40" s="180"/>
      <c r="K40" s="180"/>
      <c r="L40" s="177"/>
      <c r="M40" s="180"/>
      <c r="N40" s="180"/>
      <c r="O40" s="180"/>
      <c r="P40" s="178"/>
    </row>
    <row r="41" spans="1:16" ht="28.8" customHeight="1" x14ac:dyDescent="0.4">
      <c r="H41" s="175"/>
      <c r="I41" s="195" t="s">
        <v>328</v>
      </c>
      <c r="J41" s="177"/>
      <c r="K41" s="177"/>
      <c r="L41" s="177"/>
      <c r="M41" s="199" t="s">
        <v>329</v>
      </c>
      <c r="N41" s="177"/>
      <c r="O41" s="177"/>
      <c r="P41" s="178"/>
    </row>
    <row r="42" spans="1:16" ht="28.8" customHeight="1" x14ac:dyDescent="0.3">
      <c r="H42" s="179"/>
      <c r="I42" s="180"/>
      <c r="J42" s="180"/>
      <c r="K42" s="180"/>
      <c r="L42" s="180"/>
      <c r="M42" s="180"/>
      <c r="N42" s="180"/>
      <c r="O42" s="180"/>
      <c r="P42" s="181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00" t="s">
        <v>402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G16" sqref="G16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202" t="s">
        <v>330</v>
      </c>
      <c r="F10" s="203" t="s">
        <v>297</v>
      </c>
      <c r="H10" s="543" t="s">
        <v>351</v>
      </c>
      <c r="I10" s="544"/>
      <c r="J10" s="544"/>
      <c r="K10" s="545"/>
    </row>
    <row r="11" spans="1:49" ht="28.8" customHeight="1" x14ac:dyDescent="0.3">
      <c r="E11" s="200" t="s">
        <v>331</v>
      </c>
      <c r="F11" s="204">
        <v>5000</v>
      </c>
      <c r="H11" s="546" t="s">
        <v>352</v>
      </c>
      <c r="I11" s="547"/>
      <c r="J11" s="206" t="s">
        <v>353</v>
      </c>
      <c r="K11" s="207" t="s">
        <v>354</v>
      </c>
    </row>
    <row r="12" spans="1:49" ht="28.8" customHeight="1" x14ac:dyDescent="0.35">
      <c r="E12" s="200" t="s">
        <v>332</v>
      </c>
      <c r="F12" s="204">
        <v>3000</v>
      </c>
      <c r="H12" s="209" t="s">
        <v>355</v>
      </c>
      <c r="I12" s="208">
        <v>2259.1999999999998</v>
      </c>
      <c r="J12" s="210">
        <v>0</v>
      </c>
      <c r="K12" s="211">
        <v>0</v>
      </c>
    </row>
    <row r="13" spans="1:49" ht="28.8" customHeight="1" x14ac:dyDescent="0.35">
      <c r="E13" s="200" t="s">
        <v>333</v>
      </c>
      <c r="F13" s="204">
        <v>2000</v>
      </c>
      <c r="H13" s="212">
        <f>I12</f>
        <v>2259.1999999999998</v>
      </c>
      <c r="I13" s="208">
        <v>2826.65</v>
      </c>
      <c r="J13" s="213">
        <v>7.4999999999999997E-2</v>
      </c>
      <c r="K13" s="211">
        <v>164.44</v>
      </c>
    </row>
    <row r="14" spans="1:49" ht="28.8" customHeight="1" x14ac:dyDescent="0.35">
      <c r="E14" s="200" t="s">
        <v>334</v>
      </c>
      <c r="F14" s="204">
        <v>5000</v>
      </c>
      <c r="H14" s="212">
        <f>I13</f>
        <v>2826.65</v>
      </c>
      <c r="I14" s="208">
        <v>3751.05</v>
      </c>
      <c r="J14" s="213">
        <v>0.15</v>
      </c>
      <c r="K14" s="211">
        <v>381.44</v>
      </c>
    </row>
    <row r="15" spans="1:49" ht="28.8" customHeight="1" x14ac:dyDescent="0.35">
      <c r="E15" s="200" t="s">
        <v>335</v>
      </c>
      <c r="F15" s="204">
        <v>3000</v>
      </c>
      <c r="H15" s="212">
        <f>I14</f>
        <v>3751.05</v>
      </c>
      <c r="I15" s="208">
        <v>4664.68</v>
      </c>
      <c r="J15" s="213">
        <v>0.22500000000000001</v>
      </c>
      <c r="K15" s="211">
        <v>662.77</v>
      </c>
    </row>
    <row r="16" spans="1:49" ht="28.8" customHeight="1" thickBot="1" x14ac:dyDescent="0.4">
      <c r="E16" s="200" t="s">
        <v>336</v>
      </c>
      <c r="F16" s="204">
        <v>2000</v>
      </c>
      <c r="H16" s="214" t="s">
        <v>356</v>
      </c>
      <c r="I16" s="215">
        <f>I15</f>
        <v>4664.68</v>
      </c>
      <c r="J16" s="216">
        <v>0.27500000000000002</v>
      </c>
      <c r="K16" s="217">
        <v>896</v>
      </c>
    </row>
    <row r="17" spans="5:11" ht="28.8" customHeight="1" thickBot="1" x14ac:dyDescent="0.35">
      <c r="E17" s="200" t="s">
        <v>337</v>
      </c>
      <c r="F17" s="204">
        <v>5000</v>
      </c>
    </row>
    <row r="18" spans="5:11" ht="28.8" customHeight="1" x14ac:dyDescent="0.3">
      <c r="E18" s="200" t="s">
        <v>338</v>
      </c>
      <c r="F18" s="204">
        <v>3000</v>
      </c>
      <c r="H18" s="543" t="s">
        <v>315</v>
      </c>
      <c r="I18" s="544"/>
      <c r="J18" s="544"/>
      <c r="K18" s="545"/>
    </row>
    <row r="19" spans="5:11" ht="28.8" customHeight="1" x14ac:dyDescent="0.3">
      <c r="E19" s="200" t="s">
        <v>14</v>
      </c>
      <c r="F19" s="204">
        <v>5000</v>
      </c>
      <c r="H19" s="200" t="s">
        <v>319</v>
      </c>
      <c r="I19" s="210">
        <v>0.11</v>
      </c>
      <c r="J19" s="218" t="s">
        <v>319</v>
      </c>
      <c r="K19" s="219">
        <v>0.11</v>
      </c>
    </row>
    <row r="20" spans="5:11" ht="28.8" customHeight="1" x14ac:dyDescent="0.3">
      <c r="E20" s="200" t="s">
        <v>339</v>
      </c>
      <c r="F20" s="204">
        <v>3000</v>
      </c>
      <c r="H20" s="200" t="s">
        <v>357</v>
      </c>
      <c r="I20" s="218" t="s">
        <v>358</v>
      </c>
      <c r="J20" s="218" t="s">
        <v>357</v>
      </c>
      <c r="K20" s="220" t="s">
        <v>358</v>
      </c>
    </row>
    <row r="21" spans="5:11" ht="28.8" customHeight="1" thickBot="1" x14ac:dyDescent="0.35">
      <c r="E21" s="200" t="s">
        <v>340</v>
      </c>
      <c r="F21" s="204">
        <v>2000</v>
      </c>
      <c r="H21" s="201" t="s">
        <v>359</v>
      </c>
      <c r="I21" s="216">
        <v>1.4999999999999999E-2</v>
      </c>
      <c r="J21" s="221" t="s">
        <v>359</v>
      </c>
      <c r="K21" s="222">
        <v>1.4999999999999999E-2</v>
      </c>
    </row>
    <row r="22" spans="5:11" ht="28.8" customHeight="1" thickBot="1" x14ac:dyDescent="0.35">
      <c r="E22" s="200" t="s">
        <v>341</v>
      </c>
      <c r="F22" s="204">
        <v>5000</v>
      </c>
    </row>
    <row r="23" spans="5:11" ht="28.8" customHeight="1" x14ac:dyDescent="0.4">
      <c r="E23" s="200" t="s">
        <v>342</v>
      </c>
      <c r="F23" s="204">
        <v>3000</v>
      </c>
      <c r="H23" s="223" t="s">
        <v>360</v>
      </c>
    </row>
    <row r="24" spans="5:11" ht="28.8" customHeight="1" thickBot="1" x14ac:dyDescent="0.4">
      <c r="E24" s="200" t="s">
        <v>343</v>
      </c>
      <c r="F24" s="204">
        <v>2000</v>
      </c>
      <c r="H24" s="224">
        <v>0.08</v>
      </c>
    </row>
    <row r="25" spans="5:11" ht="28.8" customHeight="1" x14ac:dyDescent="0.3">
      <c r="E25" s="200" t="s">
        <v>344</v>
      </c>
      <c r="F25" s="204">
        <v>5000</v>
      </c>
    </row>
    <row r="26" spans="5:11" ht="28.8" customHeight="1" x14ac:dyDescent="0.3">
      <c r="E26" s="200" t="s">
        <v>345</v>
      </c>
      <c r="F26" s="204">
        <v>4000</v>
      </c>
    </row>
    <row r="27" spans="5:11" ht="28.8" customHeight="1" x14ac:dyDescent="0.3">
      <c r="E27" s="200" t="s">
        <v>346</v>
      </c>
      <c r="F27" s="204">
        <v>3000</v>
      </c>
    </row>
    <row r="28" spans="5:11" ht="28.8" customHeight="1" x14ac:dyDescent="0.3">
      <c r="E28" s="200" t="s">
        <v>347</v>
      </c>
      <c r="F28" s="204">
        <v>2000</v>
      </c>
    </row>
    <row r="29" spans="5:11" ht="28.8" customHeight="1" x14ac:dyDescent="0.3">
      <c r="E29" s="200" t="s">
        <v>348</v>
      </c>
      <c r="F29" s="204">
        <v>5000</v>
      </c>
    </row>
    <row r="30" spans="5:11" ht="28.8" customHeight="1" x14ac:dyDescent="0.3">
      <c r="E30" s="200" t="s">
        <v>349</v>
      </c>
      <c r="F30" s="204">
        <v>3000</v>
      </c>
    </row>
    <row r="31" spans="5:11" ht="28.8" customHeight="1" thickBot="1" x14ac:dyDescent="0.35">
      <c r="E31" s="201" t="s">
        <v>350</v>
      </c>
      <c r="F31" s="205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/>
    <row r="59" spans="1:22" ht="28.8" customHeight="1" x14ac:dyDescent="0.3"/>
    <row r="60" spans="1:22" ht="28.8" customHeight="1" x14ac:dyDescent="0.3"/>
    <row r="61" spans="1:22" ht="28.8" customHeight="1" x14ac:dyDescent="0.3"/>
    <row r="62" spans="1:22" ht="28.8" customHeight="1" x14ac:dyDescent="0.3"/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D2C6-E902-402F-9110-FAAF3CE33041}">
  <sheetPr codeName="Planilha41">
    <tabColor rgb="FF7030A0"/>
  </sheetPr>
  <dimension ref="A1:AW66"/>
  <sheetViews>
    <sheetView zoomScale="40" zoomScaleNormal="40" workbookViewId="0">
      <selection activeCell="E2" sqref="E2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664062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404</v>
      </c>
      <c r="I12" s="535"/>
      <c r="J12" s="535"/>
      <c r="K12" s="535"/>
      <c r="L12" s="536"/>
    </row>
    <row r="13" spans="1:49" ht="28.95" customHeight="1" thickBot="1" x14ac:dyDescent="0.35">
      <c r="H13" s="537"/>
      <c r="I13" s="538"/>
      <c r="J13" s="538"/>
      <c r="K13" s="538"/>
      <c r="L13" s="539"/>
    </row>
    <row r="14" spans="1:49" ht="28.95" customHeight="1" thickBot="1" x14ac:dyDescent="0.35">
      <c r="H14" s="8"/>
      <c r="I14" s="379"/>
      <c r="J14" s="379"/>
      <c r="K14" s="379"/>
      <c r="L14" s="50"/>
    </row>
    <row r="15" spans="1:49" ht="28.95" customHeight="1" thickBot="1" x14ac:dyDescent="0.4">
      <c r="H15" s="8"/>
      <c r="I15" s="374" t="s">
        <v>362</v>
      </c>
      <c r="J15" s="380"/>
      <c r="K15" s="381"/>
      <c r="L15" s="50"/>
    </row>
    <row r="16" spans="1:49" ht="28.95" customHeight="1" thickBot="1" x14ac:dyDescent="0.35">
      <c r="H16" s="8"/>
      <c r="I16" s="374"/>
      <c r="J16" s="380"/>
      <c r="K16" s="380"/>
      <c r="L16" s="50"/>
    </row>
    <row r="17" spans="8:12" ht="28.95" customHeight="1" thickBot="1" x14ac:dyDescent="0.4">
      <c r="H17" s="8"/>
      <c r="I17" s="374" t="s">
        <v>287</v>
      </c>
      <c r="J17" s="380"/>
      <c r="K17" s="381"/>
      <c r="L17" s="50"/>
    </row>
    <row r="18" spans="8:12" ht="28.95" customHeight="1" thickBot="1" x14ac:dyDescent="0.35">
      <c r="H18" s="8"/>
      <c r="I18" s="374"/>
      <c r="J18" s="380"/>
      <c r="K18" s="380"/>
      <c r="L18" s="50"/>
    </row>
    <row r="19" spans="8:12" ht="28.95" customHeight="1" thickBot="1" x14ac:dyDescent="0.4">
      <c r="H19" s="8"/>
      <c r="I19" s="374" t="s">
        <v>293</v>
      </c>
      <c r="J19" s="380"/>
      <c r="K19" s="381"/>
      <c r="L19" s="50"/>
    </row>
    <row r="20" spans="8:12" ht="28.95" customHeight="1" thickBot="1" x14ac:dyDescent="0.35">
      <c r="H20" s="8"/>
      <c r="I20" s="374"/>
      <c r="J20" s="380"/>
      <c r="K20" s="380"/>
      <c r="L20" s="50"/>
    </row>
    <row r="21" spans="8:12" ht="28.95" customHeight="1" thickBot="1" x14ac:dyDescent="0.4">
      <c r="H21" s="8"/>
      <c r="I21" s="374" t="s">
        <v>403</v>
      </c>
      <c r="J21" s="380"/>
      <c r="K21" s="381"/>
      <c r="L21" s="50"/>
    </row>
    <row r="22" spans="8:12" ht="28.95" customHeight="1" thickBot="1" x14ac:dyDescent="0.35">
      <c r="H22" s="8"/>
      <c r="I22" s="374"/>
      <c r="J22" s="380"/>
      <c r="K22" s="380"/>
      <c r="L22" s="50"/>
    </row>
    <row r="23" spans="8:12" ht="28.95" customHeight="1" thickBot="1" x14ac:dyDescent="0.4">
      <c r="H23" s="8"/>
      <c r="I23" s="374" t="s">
        <v>408</v>
      </c>
      <c r="J23" s="380"/>
      <c r="K23" s="381"/>
      <c r="L23" s="50"/>
    </row>
    <row r="24" spans="8:12" ht="28.95" customHeight="1" thickBot="1" x14ac:dyDescent="0.35">
      <c r="H24" s="8"/>
      <c r="I24" s="374"/>
      <c r="J24" s="380"/>
      <c r="K24" s="380"/>
      <c r="L24" s="50"/>
    </row>
    <row r="25" spans="8:12" ht="28.95" customHeight="1" thickBot="1" x14ac:dyDescent="0.4">
      <c r="H25" s="8"/>
      <c r="I25" s="374" t="s">
        <v>407</v>
      </c>
      <c r="J25" s="380"/>
      <c r="K25" s="381"/>
      <c r="L25" s="50"/>
    </row>
    <row r="26" spans="8:12" ht="28.95" customHeight="1" thickBot="1" x14ac:dyDescent="0.35">
      <c r="H26" s="8"/>
      <c r="I26" s="374"/>
      <c r="J26" s="380"/>
      <c r="K26" s="380"/>
      <c r="L26" s="50"/>
    </row>
    <row r="27" spans="8:12" ht="28.95" customHeight="1" thickBot="1" x14ac:dyDescent="0.35">
      <c r="H27" s="8"/>
      <c r="I27" s="374" t="s">
        <v>294</v>
      </c>
      <c r="J27" s="380"/>
      <c r="K27" s="382"/>
      <c r="L27" s="50"/>
    </row>
    <row r="28" spans="8:12" ht="28.95" customHeight="1" x14ac:dyDescent="0.3">
      <c r="H28" s="61"/>
      <c r="I28" s="225"/>
      <c r="J28" s="225"/>
      <c r="K28" s="225"/>
      <c r="L28" s="7"/>
    </row>
    <row r="29" spans="8:12" ht="28.95" customHeight="1" x14ac:dyDescent="0.3">
      <c r="H29" s="61"/>
      <c r="I29" s="225"/>
      <c r="J29" s="225"/>
      <c r="K29" s="225"/>
      <c r="L29" s="7"/>
    </row>
    <row r="30" spans="8:12" ht="28.95" customHeight="1" x14ac:dyDescent="0.3">
      <c r="H30" s="61"/>
      <c r="I30" s="225"/>
      <c r="J30" s="225"/>
      <c r="K30" s="225"/>
      <c r="L30" s="7"/>
    </row>
    <row r="31" spans="8:12" ht="28.95" customHeight="1" x14ac:dyDescent="0.3">
      <c r="H31" s="61"/>
      <c r="I31" s="225"/>
      <c r="J31" s="225"/>
      <c r="K31" s="225"/>
      <c r="L31" s="7"/>
    </row>
    <row r="32" spans="8:12" ht="28.95" customHeight="1" x14ac:dyDescent="0.3">
      <c r="H32" s="61"/>
      <c r="I32" s="225"/>
      <c r="J32" s="225"/>
      <c r="K32" s="225"/>
      <c r="L32" s="7"/>
    </row>
    <row r="33" spans="8:12" ht="28.95" customHeight="1" x14ac:dyDescent="0.3">
      <c r="H33" s="61"/>
      <c r="I33" s="225"/>
      <c r="J33" s="225"/>
      <c r="K33" s="225"/>
      <c r="L33" s="7"/>
    </row>
    <row r="34" spans="8:12" ht="28.95" customHeight="1" thickBot="1" x14ac:dyDescent="0.35">
      <c r="H34" s="73"/>
      <c r="I34" s="74"/>
      <c r="J34" s="74"/>
      <c r="K34" s="74"/>
      <c r="L34" s="75"/>
    </row>
    <row r="35" spans="8:12" ht="28.95" customHeight="1" x14ac:dyDescent="0.3"/>
    <row r="36" spans="8:12" ht="28.95" customHeight="1" x14ac:dyDescent="0.3"/>
    <row r="37" spans="8:12" ht="28.95" customHeight="1" x14ac:dyDescent="0.3"/>
    <row r="38" spans="8:12" ht="28.95" customHeight="1" x14ac:dyDescent="0.3"/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37D3-57ED-43EA-9692-214AE70D6578}">
  <sheetPr codeName="Planilha42">
    <tabColor rgb="FF7030A0"/>
  </sheetPr>
  <dimension ref="A1:AW66"/>
  <sheetViews>
    <sheetView zoomScale="40" zoomScaleNormal="40" workbookViewId="0">
      <selection activeCell="E15" sqref="E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54.664062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368</v>
      </c>
      <c r="I12" s="535"/>
      <c r="J12" s="535"/>
      <c r="K12" s="535"/>
      <c r="L12" s="536"/>
    </row>
    <row r="13" spans="1:49" ht="28.95" customHeight="1" thickBot="1" x14ac:dyDescent="0.35">
      <c r="H13" s="537"/>
      <c r="I13" s="538"/>
      <c r="J13" s="538"/>
      <c r="K13" s="538"/>
      <c r="L13" s="539"/>
    </row>
    <row r="14" spans="1:49" ht="28.95" customHeight="1" thickBot="1" x14ac:dyDescent="0.35">
      <c r="H14" s="8"/>
      <c r="I14" s="379"/>
      <c r="J14" s="379"/>
      <c r="K14" s="379"/>
      <c r="L14" s="50"/>
    </row>
    <row r="15" spans="1:49" ht="28.95" customHeight="1" thickBot="1" x14ac:dyDescent="0.4">
      <c r="H15" s="8"/>
      <c r="I15" s="383" t="s">
        <v>362</v>
      </c>
      <c r="J15" s="379"/>
      <c r="K15" s="381" t="s">
        <v>479</v>
      </c>
      <c r="L15" s="50"/>
    </row>
    <row r="16" spans="1:49" ht="28.95" customHeight="1" thickBot="1" x14ac:dyDescent="0.4">
      <c r="H16" s="8"/>
      <c r="I16" s="113" t="s">
        <v>13</v>
      </c>
      <c r="J16" s="379"/>
      <c r="K16" s="355"/>
      <c r="L16" s="50"/>
    </row>
    <row r="17" spans="8:12" ht="28.95" customHeight="1" thickBot="1" x14ac:dyDescent="0.4">
      <c r="H17" s="8"/>
      <c r="I17" s="383" t="s">
        <v>363</v>
      </c>
      <c r="J17" s="379"/>
      <c r="K17" s="440" t="s">
        <v>478</v>
      </c>
      <c r="L17" s="50"/>
    </row>
    <row r="18" spans="8:12" ht="28.95" customHeight="1" thickBot="1" x14ac:dyDescent="0.4">
      <c r="H18" s="8"/>
      <c r="I18" s="113" t="s">
        <v>13</v>
      </c>
      <c r="J18" s="379"/>
      <c r="K18" s="355"/>
      <c r="L18" s="50"/>
    </row>
    <row r="19" spans="8:12" ht="28.95" customHeight="1" thickBot="1" x14ac:dyDescent="0.4">
      <c r="H19" s="8"/>
      <c r="I19" s="383" t="s">
        <v>293</v>
      </c>
      <c r="J19" s="379"/>
      <c r="K19" s="440" t="s">
        <v>481</v>
      </c>
      <c r="L19" s="50"/>
    </row>
    <row r="20" spans="8:12" ht="28.95" customHeight="1" thickBot="1" x14ac:dyDescent="0.4">
      <c r="H20" s="8"/>
      <c r="I20" s="113" t="s">
        <v>13</v>
      </c>
      <c r="J20" s="379"/>
      <c r="K20" s="355"/>
      <c r="L20" s="50"/>
    </row>
    <row r="21" spans="8:12" ht="28.95" customHeight="1" thickBot="1" x14ac:dyDescent="0.4">
      <c r="H21" s="8"/>
      <c r="I21" s="383" t="s">
        <v>282</v>
      </c>
      <c r="J21" s="379"/>
      <c r="K21" s="381" t="s">
        <v>232</v>
      </c>
      <c r="L21" s="50"/>
    </row>
    <row r="22" spans="8:12" ht="28.95" customHeight="1" thickBot="1" x14ac:dyDescent="0.4">
      <c r="H22" s="8"/>
      <c r="I22" s="113" t="s">
        <v>13</v>
      </c>
      <c r="J22" s="379"/>
      <c r="K22" s="355"/>
      <c r="L22" s="50"/>
    </row>
    <row r="23" spans="8:12" ht="28.95" customHeight="1" thickBot="1" x14ac:dyDescent="0.4">
      <c r="H23" s="8"/>
      <c r="I23" s="383" t="s">
        <v>283</v>
      </c>
      <c r="J23" s="379"/>
      <c r="K23" s="381">
        <v>9</v>
      </c>
      <c r="L23" s="50"/>
    </row>
    <row r="24" spans="8:12" ht="28.95" customHeight="1" thickBot="1" x14ac:dyDescent="0.4">
      <c r="H24" s="8"/>
      <c r="I24" s="113" t="s">
        <v>13</v>
      </c>
      <c r="J24" s="379"/>
      <c r="K24" s="355"/>
      <c r="L24" s="50"/>
    </row>
    <row r="25" spans="8:12" ht="28.95" customHeight="1" thickBot="1" x14ac:dyDescent="0.4">
      <c r="H25" s="8"/>
      <c r="I25" s="383" t="s">
        <v>364</v>
      </c>
      <c r="J25" s="379"/>
      <c r="K25" s="384">
        <v>10</v>
      </c>
      <c r="L25" s="50"/>
    </row>
    <row r="26" spans="8:12" ht="28.95" customHeight="1" thickBot="1" x14ac:dyDescent="0.4">
      <c r="H26" s="8"/>
      <c r="I26" s="113" t="s">
        <v>13</v>
      </c>
      <c r="J26" s="379"/>
      <c r="K26" s="355"/>
      <c r="L26" s="50"/>
    </row>
    <row r="27" spans="8:12" ht="28.95" customHeight="1" thickBot="1" x14ac:dyDescent="0.4">
      <c r="H27" s="8"/>
      <c r="I27" s="383" t="s">
        <v>365</v>
      </c>
      <c r="J27" s="379"/>
      <c r="K27" s="441">
        <v>90</v>
      </c>
      <c r="L27" s="50"/>
    </row>
    <row r="28" spans="8:12" ht="28.95" customHeight="1" thickBot="1" x14ac:dyDescent="0.4">
      <c r="H28" s="61"/>
      <c r="I28" s="113"/>
      <c r="J28" s="225"/>
      <c r="K28" s="355"/>
      <c r="L28" s="7"/>
    </row>
    <row r="29" spans="8:12" ht="28.95" customHeight="1" thickBot="1" x14ac:dyDescent="0.4">
      <c r="H29" s="61"/>
      <c r="I29" s="383" t="s">
        <v>366</v>
      </c>
      <c r="J29" s="225"/>
      <c r="K29" s="385"/>
      <c r="L29" s="7"/>
    </row>
    <row r="30" spans="8:12" ht="28.95" customHeight="1" thickBot="1" x14ac:dyDescent="0.4">
      <c r="H30" s="61"/>
      <c r="I30" s="113"/>
      <c r="J30" s="225"/>
      <c r="K30" s="355"/>
      <c r="L30" s="7"/>
    </row>
    <row r="31" spans="8:12" ht="28.95" customHeight="1" thickBot="1" x14ac:dyDescent="0.4">
      <c r="H31" s="61"/>
      <c r="I31" s="383" t="s">
        <v>367</v>
      </c>
      <c r="J31" s="225"/>
      <c r="K31" s="381" t="s">
        <v>744</v>
      </c>
      <c r="L31" s="7"/>
    </row>
    <row r="32" spans="8:12" ht="28.95" customHeight="1" x14ac:dyDescent="0.3">
      <c r="H32" s="61"/>
      <c r="I32" s="386"/>
      <c r="J32" s="225"/>
      <c r="K32" s="225"/>
      <c r="L32" s="7"/>
    </row>
    <row r="33" spans="8:12" ht="28.95" customHeight="1" x14ac:dyDescent="0.3">
      <c r="H33" s="61"/>
      <c r="I33" s="225"/>
      <c r="J33" s="225"/>
      <c r="K33" s="225"/>
      <c r="L33" s="7"/>
    </row>
    <row r="34" spans="8:12" ht="28.95" customHeight="1" x14ac:dyDescent="0.3">
      <c r="H34" s="61"/>
      <c r="I34" s="225"/>
      <c r="J34" s="225"/>
      <c r="K34" s="225"/>
      <c r="L34" s="7"/>
    </row>
    <row r="35" spans="8:12" ht="28.95" customHeight="1" x14ac:dyDescent="0.3">
      <c r="H35" s="61"/>
      <c r="I35" s="225"/>
      <c r="J35" s="225"/>
      <c r="K35" s="225"/>
      <c r="L35" s="7"/>
    </row>
    <row r="36" spans="8:12" ht="28.95" customHeight="1" x14ac:dyDescent="0.3">
      <c r="H36" s="61"/>
      <c r="I36" s="225"/>
      <c r="J36" s="225"/>
      <c r="K36" s="225"/>
      <c r="L36" s="7"/>
    </row>
    <row r="37" spans="8:12" ht="28.95" customHeight="1" x14ac:dyDescent="0.3">
      <c r="H37" s="61"/>
      <c r="I37" s="225"/>
      <c r="J37" s="225"/>
      <c r="K37" s="225"/>
      <c r="L37" s="7"/>
    </row>
    <row r="38" spans="8:12" ht="28.95" customHeight="1" thickBot="1" x14ac:dyDescent="0.35">
      <c r="H38" s="73"/>
      <c r="I38" s="74"/>
      <c r="J38" s="74"/>
      <c r="K38" s="74"/>
      <c r="L38" s="75"/>
    </row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67BC99-1231-4D1E-B95A-BB751BF3AE71}">
          <x14:formula1>
            <xm:f>N_VMETAS!$N$22:$N$25</xm:f>
          </x14:formula1>
          <xm:sqref>K21</xm:sqref>
        </x14:dataValidation>
        <x14:dataValidation type="list" allowBlank="1" showInputMessage="1" showErrorMessage="1" xr:uid="{5F75004B-09C4-4126-9C99-67CB23115D0F}">
          <x14:formula1>
            <xm:f>BD_CADAS!$C$10:$C$32</xm:f>
          </x14:formula1>
          <xm:sqref>K15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C2E0-F22E-4168-B43D-80B606AFEC7D}">
  <sheetPr codeName="Planilha43">
    <tabColor rgb="FF7030A0"/>
  </sheetPr>
  <dimension ref="A1:AW64"/>
  <sheetViews>
    <sheetView topLeftCell="C1" zoomScale="40" zoomScaleNormal="40" workbookViewId="0">
      <selection activeCell="E19" sqref="E19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42.44140625" style="100" customWidth="1"/>
    <col min="12" max="12" width="25.44140625" style="100" bestFit="1" customWidth="1"/>
    <col min="13" max="13" width="29" style="100" bestFit="1" customWidth="1"/>
    <col min="14" max="14" width="51.109375" style="100" customWidth="1"/>
    <col min="15" max="15" width="42.554687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4">
      <c r="H12" s="534" t="s">
        <v>369</v>
      </c>
      <c r="I12" s="535"/>
      <c r="J12" s="535"/>
      <c r="K12" s="535"/>
      <c r="L12" s="536"/>
      <c r="N12" s="227" t="s">
        <v>370</v>
      </c>
      <c r="O12" s="227" t="s">
        <v>283</v>
      </c>
    </row>
    <row r="13" spans="1:49" ht="28.95" customHeight="1" thickBot="1" x14ac:dyDescent="0.4">
      <c r="H13" s="537"/>
      <c r="I13" s="538"/>
      <c r="J13" s="538"/>
      <c r="K13" s="538"/>
      <c r="L13" s="539"/>
      <c r="N13" s="228" t="s">
        <v>745</v>
      </c>
      <c r="O13" s="229">
        <v>1600</v>
      </c>
    </row>
    <row r="14" spans="1:49" ht="28.95" customHeight="1" thickBot="1" x14ac:dyDescent="0.4">
      <c r="H14" s="387"/>
      <c r="I14" s="388"/>
      <c r="J14" s="388"/>
      <c r="K14" s="389"/>
      <c r="L14" s="390"/>
      <c r="N14" s="355"/>
      <c r="O14" s="355"/>
    </row>
    <row r="15" spans="1:49" ht="28.95" customHeight="1" thickBot="1" x14ac:dyDescent="0.4">
      <c r="H15" s="8"/>
      <c r="I15" s="383" t="s">
        <v>746</v>
      </c>
      <c r="J15" s="379"/>
      <c r="K15" s="381">
        <f>SUM(N_VRELCOM!H10:H52)</f>
        <v>8000</v>
      </c>
      <c r="L15" s="50"/>
    </row>
    <row r="16" spans="1:49" ht="28.95" customHeight="1" thickBot="1" x14ac:dyDescent="0.4">
      <c r="H16" s="8"/>
      <c r="I16" s="383"/>
      <c r="J16" s="379"/>
      <c r="K16" s="355"/>
      <c r="L16" s="50"/>
    </row>
    <row r="17" spans="8:15" ht="28.95" customHeight="1" thickBot="1" x14ac:dyDescent="0.4">
      <c r="H17" s="8"/>
      <c r="I17" s="383" t="s">
        <v>747</v>
      </c>
      <c r="J17" s="379"/>
      <c r="K17" s="381">
        <f>O13</f>
        <v>1600</v>
      </c>
      <c r="L17" s="50"/>
    </row>
    <row r="18" spans="8:15" ht="28.95" customHeight="1" thickBot="1" x14ac:dyDescent="0.4">
      <c r="H18" s="8"/>
      <c r="I18" s="383"/>
      <c r="J18" s="379"/>
      <c r="K18" s="355"/>
      <c r="L18" s="50"/>
    </row>
    <row r="19" spans="8:15" ht="28.95" customHeight="1" thickBot="1" x14ac:dyDescent="0.4">
      <c r="H19" s="8"/>
      <c r="I19" s="383" t="s">
        <v>748</v>
      </c>
      <c r="J19" s="379"/>
      <c r="K19" s="381" t="str">
        <f>IF(K15&gt;K17,"META ATINGIDA","META NÃO ATINGIDA")</f>
        <v>META ATINGIDA</v>
      </c>
      <c r="L19" s="50"/>
    </row>
    <row r="20" spans="8:15" ht="28.95" customHeight="1" x14ac:dyDescent="0.35">
      <c r="H20" s="8"/>
      <c r="I20" s="383"/>
      <c r="J20" s="379"/>
      <c r="K20" s="370"/>
      <c r="L20" s="50"/>
    </row>
    <row r="21" spans="8:15" ht="28.95" customHeight="1" x14ac:dyDescent="0.4">
      <c r="H21" s="8"/>
      <c r="I21" s="225"/>
      <c r="J21" s="379"/>
      <c r="K21" s="379"/>
      <c r="L21" s="50"/>
      <c r="N21" s="227" t="s">
        <v>749</v>
      </c>
      <c r="O21" s="227" t="s">
        <v>405</v>
      </c>
    </row>
    <row r="22" spans="8:15" ht="28.95" customHeight="1" x14ac:dyDescent="0.35">
      <c r="H22" s="8"/>
      <c r="I22" s="225"/>
      <c r="J22" s="379"/>
      <c r="K22" s="379"/>
      <c r="L22" s="50"/>
      <c r="N22" s="391" t="s">
        <v>750</v>
      </c>
      <c r="O22" s="392">
        <v>20</v>
      </c>
    </row>
    <row r="23" spans="8:15" ht="28.95" customHeight="1" x14ac:dyDescent="0.35">
      <c r="H23" s="8"/>
      <c r="I23" s="225"/>
      <c r="J23" s="379"/>
      <c r="K23" s="379"/>
      <c r="L23" s="50"/>
      <c r="N23" s="391" t="s">
        <v>371</v>
      </c>
      <c r="O23" s="392">
        <v>20</v>
      </c>
    </row>
    <row r="24" spans="8:15" ht="28.95" customHeight="1" x14ac:dyDescent="0.35">
      <c r="H24" s="8"/>
      <c r="I24" s="225"/>
      <c r="J24" s="379"/>
      <c r="K24" s="379"/>
      <c r="L24" s="50"/>
      <c r="N24" s="391" t="s">
        <v>232</v>
      </c>
      <c r="O24" s="392">
        <v>20</v>
      </c>
    </row>
    <row r="25" spans="8:15" ht="28.95" customHeight="1" thickBot="1" x14ac:dyDescent="0.4">
      <c r="H25" s="51"/>
      <c r="I25" s="74"/>
      <c r="J25" s="52"/>
      <c r="K25" s="226"/>
      <c r="L25" s="53"/>
      <c r="N25" s="393" t="s">
        <v>372</v>
      </c>
      <c r="O25" s="392">
        <v>20</v>
      </c>
    </row>
    <row r="26" spans="8:15" ht="28.95" customHeight="1" x14ac:dyDescent="0.3"/>
    <row r="27" spans="8:15" ht="28.95" customHeight="1" x14ac:dyDescent="0.3"/>
    <row r="28" spans="8:15" ht="28.95" customHeight="1" x14ac:dyDescent="0.3"/>
    <row r="29" spans="8:15" ht="28.95" customHeight="1" x14ac:dyDescent="0.3"/>
    <row r="30" spans="8:15" ht="28.95" customHeight="1" x14ac:dyDescent="0.3"/>
    <row r="31" spans="8:15" ht="28.95" customHeight="1" x14ac:dyDescent="0.3"/>
    <row r="32" spans="8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48889-C73A-46ED-ABD3-5C0AE81875A0}">
  <sheetPr codeName="Planilha45">
    <tabColor rgb="FF7030A0"/>
  </sheetPr>
  <dimension ref="B1:AS66"/>
  <sheetViews>
    <sheetView zoomScale="40" zoomScaleNormal="40" workbookViewId="0">
      <selection activeCell="L19" sqref="L19"/>
    </sheetView>
  </sheetViews>
  <sheetFormatPr defaultColWidth="8.88671875" defaultRowHeight="14.4" x14ac:dyDescent="0.3"/>
  <cols>
    <col min="1" max="1" width="8.88671875" style="100"/>
    <col min="2" max="2" width="32.44140625" style="100" customWidth="1"/>
    <col min="3" max="3" width="37.88671875" style="100" customWidth="1"/>
    <col min="4" max="4" width="44.33203125" style="100" customWidth="1"/>
    <col min="5" max="5" width="49.5546875" style="100" customWidth="1"/>
    <col min="6" max="6" width="57.5546875" style="100" customWidth="1"/>
    <col min="7" max="7" width="39.88671875" style="100" customWidth="1"/>
    <col min="8" max="8" width="47.88671875" style="100" customWidth="1"/>
    <col min="9" max="9" width="43.33203125" style="100" customWidth="1"/>
    <col min="10" max="10" width="47.88671875" style="100" bestFit="1" customWidth="1"/>
    <col min="11" max="11" width="29.33203125" style="100" customWidth="1"/>
    <col min="12" max="12" width="73.44140625" style="100" customWidth="1"/>
    <col min="13" max="13" width="15.5546875" style="100" customWidth="1"/>
    <col min="14" max="17" width="8.88671875" style="100"/>
    <col min="18" max="18" width="23.44140625" style="100" bestFit="1" customWidth="1"/>
    <col min="19" max="19" width="2.6640625" style="100" bestFit="1" customWidth="1"/>
    <col min="20" max="20" width="51.109375" style="100" customWidth="1"/>
    <col min="21" max="16384" width="8.88671875" style="100"/>
  </cols>
  <sheetData>
    <row r="1" spans="2:45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</row>
    <row r="2" spans="2:45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</row>
    <row r="3" spans="2:45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</row>
    <row r="4" spans="2:45" ht="46.2" customHeight="1" x14ac:dyDescent="0.3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</row>
    <row r="5" spans="2:45" x14ac:dyDescent="0.3"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</row>
    <row r="6" spans="2:45" x14ac:dyDescent="0.3"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</row>
    <row r="7" spans="2:45" x14ac:dyDescent="0.3"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</row>
    <row r="8" spans="2:45" ht="28.95" customHeight="1" x14ac:dyDescent="0.3"/>
    <row r="9" spans="2:45" ht="28.95" customHeight="1" thickBot="1" x14ac:dyDescent="0.35">
      <c r="B9" s="394" t="s">
        <v>362</v>
      </c>
      <c r="C9" s="394" t="s">
        <v>363</v>
      </c>
      <c r="D9" s="394" t="s">
        <v>293</v>
      </c>
      <c r="E9" s="394" t="s">
        <v>282</v>
      </c>
      <c r="F9" s="394" t="s">
        <v>283</v>
      </c>
      <c r="G9" s="394" t="s">
        <v>364</v>
      </c>
      <c r="H9" s="394" t="s">
        <v>365</v>
      </c>
      <c r="I9" s="394" t="s">
        <v>366</v>
      </c>
      <c r="J9" s="394" t="s">
        <v>367</v>
      </c>
    </row>
    <row r="10" spans="2:45" ht="28.95" customHeight="1" thickBot="1" x14ac:dyDescent="0.4">
      <c r="B10" s="381" t="s">
        <v>496</v>
      </c>
      <c r="C10" s="395" t="s">
        <v>495</v>
      </c>
      <c r="D10" s="395" t="s">
        <v>498</v>
      </c>
      <c r="E10" s="381" t="s">
        <v>232</v>
      </c>
      <c r="F10" s="381">
        <v>400</v>
      </c>
      <c r="G10" s="395">
        <v>20</v>
      </c>
      <c r="H10" s="395">
        <v>8000</v>
      </c>
      <c r="I10" s="385"/>
      <c r="J10" s="381" t="s">
        <v>751</v>
      </c>
    </row>
    <row r="11" spans="2:45" ht="28.95" customHeight="1" thickBot="1" x14ac:dyDescent="0.4">
      <c r="B11" s="381"/>
      <c r="C11" s="395"/>
      <c r="D11" s="395"/>
      <c r="E11" s="381"/>
      <c r="F11" s="381"/>
      <c r="G11" s="395"/>
      <c r="H11" s="395"/>
      <c r="I11" s="385"/>
      <c r="J11" s="381"/>
    </row>
    <row r="12" spans="2:45" ht="28.95" customHeight="1" thickBot="1" x14ac:dyDescent="0.4">
      <c r="B12" s="381"/>
      <c r="C12" s="395"/>
      <c r="D12" s="395"/>
      <c r="E12" s="381"/>
      <c r="F12" s="381"/>
      <c r="G12" s="395"/>
      <c r="H12" s="395"/>
      <c r="I12" s="385"/>
      <c r="J12" s="381"/>
      <c r="K12" s="396"/>
    </row>
    <row r="13" spans="2:45" ht="28.95" customHeight="1" x14ac:dyDescent="0.35">
      <c r="B13" s="395"/>
      <c r="C13" s="395"/>
      <c r="D13" s="395"/>
      <c r="E13" s="395"/>
      <c r="F13" s="395"/>
      <c r="G13" s="395"/>
      <c r="H13" s="395"/>
      <c r="I13" s="395"/>
      <c r="J13" s="395"/>
    </row>
    <row r="14" spans="2:45" ht="28.95" customHeight="1" x14ac:dyDescent="0.35">
      <c r="B14" s="395"/>
      <c r="C14" s="395"/>
      <c r="D14" s="395"/>
      <c r="E14" s="395"/>
      <c r="F14" s="395"/>
      <c r="G14" s="395"/>
      <c r="H14" s="395"/>
      <c r="I14" s="395"/>
      <c r="J14" s="395"/>
    </row>
    <row r="15" spans="2:45" ht="28.95" customHeight="1" x14ac:dyDescent="0.35">
      <c r="B15" s="395"/>
      <c r="C15" s="395"/>
      <c r="D15" s="395"/>
      <c r="E15" s="395"/>
      <c r="F15" s="395"/>
      <c r="G15" s="395"/>
      <c r="H15" s="395"/>
      <c r="I15" s="395"/>
      <c r="J15" s="395"/>
    </row>
    <row r="16" spans="2:45" ht="28.95" customHeight="1" x14ac:dyDescent="0.35">
      <c r="B16" s="395"/>
      <c r="C16" s="395"/>
      <c r="D16" s="395"/>
      <c r="E16" s="395"/>
      <c r="F16" s="395"/>
      <c r="G16" s="395"/>
      <c r="H16" s="395"/>
      <c r="I16" s="395"/>
      <c r="J16" s="395"/>
    </row>
    <row r="17" spans="2:10" ht="28.95" customHeight="1" x14ac:dyDescent="0.35">
      <c r="B17" s="395"/>
      <c r="C17" s="395"/>
      <c r="D17" s="395"/>
      <c r="E17" s="395"/>
      <c r="F17" s="395"/>
      <c r="G17" s="395"/>
      <c r="H17" s="395"/>
      <c r="I17" s="395"/>
      <c r="J17" s="395"/>
    </row>
    <row r="18" spans="2:10" ht="28.95" customHeight="1" x14ac:dyDescent="0.35">
      <c r="B18" s="395"/>
      <c r="C18" s="395"/>
      <c r="D18" s="395"/>
      <c r="E18" s="395"/>
      <c r="F18" s="395"/>
      <c r="G18" s="395"/>
      <c r="H18" s="395"/>
      <c r="I18" s="395"/>
      <c r="J18" s="395"/>
    </row>
    <row r="19" spans="2:10" ht="28.95" customHeight="1" x14ac:dyDescent="0.35">
      <c r="B19" s="395"/>
      <c r="C19" s="395"/>
      <c r="D19" s="395"/>
      <c r="E19" s="395"/>
      <c r="F19" s="395"/>
      <c r="G19" s="395"/>
      <c r="H19" s="395"/>
      <c r="I19" s="395"/>
      <c r="J19" s="395"/>
    </row>
    <row r="20" spans="2:10" ht="28.95" customHeight="1" x14ac:dyDescent="0.35">
      <c r="B20" s="395"/>
      <c r="C20" s="395"/>
      <c r="D20" s="395"/>
      <c r="E20" s="395"/>
      <c r="F20" s="395"/>
      <c r="G20" s="395"/>
      <c r="H20" s="395"/>
      <c r="I20" s="395"/>
      <c r="J20" s="395"/>
    </row>
    <row r="21" spans="2:10" ht="28.95" customHeight="1" x14ac:dyDescent="0.35">
      <c r="B21" s="395"/>
      <c r="C21" s="395"/>
      <c r="D21" s="395"/>
      <c r="E21" s="395"/>
      <c r="F21" s="395"/>
      <c r="G21" s="395"/>
      <c r="H21" s="395"/>
      <c r="I21" s="395"/>
      <c r="J21" s="395"/>
    </row>
    <row r="22" spans="2:10" ht="28.95" customHeight="1" x14ac:dyDescent="0.35">
      <c r="B22" s="395"/>
      <c r="C22" s="395"/>
      <c r="D22" s="395"/>
      <c r="E22" s="395"/>
      <c r="F22" s="395"/>
      <c r="G22" s="395"/>
      <c r="H22" s="395"/>
      <c r="I22" s="395"/>
      <c r="J22" s="395"/>
    </row>
    <row r="23" spans="2:10" ht="28.95" customHeight="1" x14ac:dyDescent="0.35">
      <c r="B23" s="395"/>
      <c r="C23" s="395"/>
      <c r="D23" s="395"/>
      <c r="E23" s="395"/>
      <c r="F23" s="395"/>
      <c r="G23" s="395"/>
      <c r="H23" s="395"/>
      <c r="I23" s="395"/>
      <c r="J23" s="395"/>
    </row>
    <row r="24" spans="2:10" ht="28.95" customHeight="1" x14ac:dyDescent="0.35">
      <c r="B24" s="395"/>
      <c r="C24" s="395"/>
      <c r="D24" s="395"/>
      <c r="E24" s="395"/>
      <c r="F24" s="395"/>
      <c r="G24" s="395"/>
      <c r="H24" s="395"/>
      <c r="I24" s="395"/>
      <c r="J24" s="395"/>
    </row>
    <row r="25" spans="2:10" ht="28.95" customHeight="1" x14ac:dyDescent="0.35">
      <c r="B25" s="395"/>
      <c r="C25" s="395"/>
      <c r="D25" s="395"/>
      <c r="E25" s="395"/>
      <c r="F25" s="395"/>
      <c r="G25" s="395"/>
      <c r="H25" s="395"/>
      <c r="I25" s="395"/>
      <c r="J25" s="395"/>
    </row>
    <row r="26" spans="2:10" ht="28.95" customHeight="1" x14ac:dyDescent="0.35">
      <c r="B26" s="395"/>
      <c r="C26" s="395"/>
      <c r="D26" s="395"/>
      <c r="E26" s="395"/>
      <c r="F26" s="395"/>
      <c r="G26" s="395"/>
      <c r="H26" s="395"/>
      <c r="I26" s="395"/>
      <c r="J26" s="395"/>
    </row>
    <row r="27" spans="2:10" ht="28.95" customHeight="1" x14ac:dyDescent="0.35">
      <c r="B27" s="395"/>
      <c r="C27" s="395"/>
      <c r="D27" s="395"/>
      <c r="E27" s="395"/>
      <c r="F27" s="395"/>
      <c r="G27" s="395"/>
      <c r="H27" s="395"/>
      <c r="I27" s="395"/>
      <c r="J27" s="395"/>
    </row>
    <row r="28" spans="2:10" ht="28.95" customHeight="1" x14ac:dyDescent="0.35">
      <c r="B28" s="395"/>
      <c r="C28" s="395"/>
      <c r="D28" s="395"/>
      <c r="E28" s="395"/>
      <c r="F28" s="395"/>
      <c r="G28" s="395"/>
      <c r="H28" s="395"/>
      <c r="I28" s="395"/>
      <c r="J28" s="395"/>
    </row>
    <row r="29" spans="2:10" ht="28.95" customHeight="1" x14ac:dyDescent="0.35">
      <c r="B29" s="395"/>
      <c r="C29" s="395"/>
      <c r="D29" s="395"/>
      <c r="E29" s="395"/>
      <c r="F29" s="395"/>
      <c r="G29" s="395"/>
      <c r="H29" s="395"/>
      <c r="I29" s="395"/>
      <c r="J29" s="395"/>
    </row>
    <row r="30" spans="2:10" ht="28.95" customHeight="1" x14ac:dyDescent="0.35">
      <c r="B30" s="395"/>
      <c r="C30" s="395"/>
      <c r="D30" s="395"/>
      <c r="E30" s="395"/>
      <c r="F30" s="395"/>
      <c r="G30" s="395"/>
      <c r="H30" s="395"/>
      <c r="I30" s="395"/>
      <c r="J30" s="395"/>
    </row>
    <row r="31" spans="2:10" ht="28.95" customHeight="1" x14ac:dyDescent="0.35">
      <c r="B31" s="395"/>
      <c r="C31" s="395"/>
      <c r="D31" s="395"/>
      <c r="E31" s="395"/>
      <c r="F31" s="395"/>
      <c r="G31" s="395"/>
      <c r="H31" s="395"/>
      <c r="I31" s="395"/>
      <c r="J31" s="395"/>
    </row>
    <row r="32" spans="2:10" ht="28.95" customHeight="1" x14ac:dyDescent="0.35">
      <c r="B32" s="395"/>
      <c r="C32" s="395"/>
      <c r="D32" s="395"/>
      <c r="E32" s="395"/>
      <c r="F32" s="395"/>
      <c r="G32" s="395"/>
      <c r="H32" s="395"/>
      <c r="I32" s="395"/>
      <c r="J32" s="395"/>
    </row>
    <row r="33" spans="2:10" ht="28.95" customHeight="1" x14ac:dyDescent="0.35">
      <c r="B33" s="395"/>
      <c r="C33" s="395"/>
      <c r="D33" s="395"/>
      <c r="E33" s="395"/>
      <c r="F33" s="395"/>
      <c r="G33" s="395"/>
      <c r="H33" s="395"/>
      <c r="I33" s="395"/>
      <c r="J33" s="395"/>
    </row>
    <row r="34" spans="2:10" ht="28.95" customHeight="1" x14ac:dyDescent="0.35">
      <c r="B34" s="395"/>
      <c r="C34" s="395"/>
      <c r="D34" s="395"/>
      <c r="E34" s="395"/>
      <c r="F34" s="395"/>
      <c r="G34" s="395"/>
      <c r="H34" s="395"/>
      <c r="I34" s="395"/>
      <c r="J34" s="395"/>
    </row>
    <row r="35" spans="2:10" ht="28.95" customHeight="1" x14ac:dyDescent="0.35">
      <c r="B35" s="395"/>
      <c r="C35" s="395"/>
      <c r="D35" s="395"/>
      <c r="E35" s="395"/>
      <c r="F35" s="395"/>
      <c r="G35" s="395"/>
      <c r="H35" s="395"/>
      <c r="I35" s="395"/>
      <c r="J35" s="395"/>
    </row>
    <row r="36" spans="2:10" ht="28.95" customHeight="1" x14ac:dyDescent="0.35">
      <c r="B36" s="395"/>
      <c r="C36" s="395"/>
      <c r="D36" s="395"/>
      <c r="E36" s="395"/>
      <c r="F36" s="395"/>
      <c r="G36" s="395"/>
      <c r="H36" s="395"/>
      <c r="I36" s="395"/>
      <c r="J36" s="395"/>
    </row>
    <row r="37" spans="2:10" ht="28.95" customHeight="1" x14ac:dyDescent="0.35">
      <c r="B37" s="395"/>
      <c r="C37" s="395"/>
      <c r="D37" s="395"/>
      <c r="E37" s="395"/>
      <c r="F37" s="395"/>
      <c r="G37" s="395"/>
      <c r="H37" s="395"/>
      <c r="I37" s="395"/>
      <c r="J37" s="395"/>
    </row>
    <row r="38" spans="2:10" ht="28.95" customHeight="1" x14ac:dyDescent="0.35">
      <c r="B38" s="395"/>
      <c r="C38" s="395"/>
      <c r="D38" s="395"/>
      <c r="E38" s="395"/>
      <c r="F38" s="395"/>
      <c r="G38" s="395"/>
      <c r="H38" s="395"/>
      <c r="I38" s="395"/>
      <c r="J38" s="395"/>
    </row>
    <row r="39" spans="2:10" ht="28.95" customHeight="1" x14ac:dyDescent="0.35">
      <c r="B39" s="395"/>
      <c r="C39" s="395"/>
      <c r="D39" s="395"/>
      <c r="E39" s="395"/>
      <c r="F39" s="395"/>
      <c r="G39" s="395"/>
      <c r="H39" s="395"/>
      <c r="I39" s="395"/>
      <c r="J39" s="395"/>
    </row>
    <row r="40" spans="2:10" ht="28.95" customHeight="1" x14ac:dyDescent="0.35">
      <c r="B40" s="395"/>
      <c r="C40" s="395"/>
      <c r="D40" s="395"/>
      <c r="E40" s="395"/>
      <c r="F40" s="395"/>
      <c r="G40" s="395"/>
      <c r="H40" s="395"/>
      <c r="I40" s="395"/>
      <c r="J40" s="395"/>
    </row>
    <row r="41" spans="2:10" ht="28.95" customHeight="1" x14ac:dyDescent="0.35">
      <c r="B41" s="395"/>
      <c r="C41" s="395"/>
      <c r="D41" s="395"/>
      <c r="E41" s="395"/>
      <c r="F41" s="395"/>
      <c r="G41" s="395"/>
      <c r="H41" s="395"/>
      <c r="I41" s="395"/>
      <c r="J41" s="395"/>
    </row>
    <row r="42" spans="2:10" ht="28.95" customHeight="1" x14ac:dyDescent="0.35">
      <c r="B42" s="395"/>
      <c r="C42" s="395"/>
      <c r="D42" s="395"/>
      <c r="E42" s="395"/>
      <c r="F42" s="395"/>
      <c r="G42" s="395"/>
      <c r="H42" s="395"/>
      <c r="I42" s="395"/>
      <c r="J42" s="395"/>
    </row>
    <row r="43" spans="2:10" ht="28.95" customHeight="1" x14ac:dyDescent="0.35">
      <c r="B43" s="395"/>
      <c r="C43" s="395"/>
      <c r="D43" s="395"/>
      <c r="E43" s="395"/>
      <c r="F43" s="395"/>
      <c r="G43" s="395"/>
      <c r="H43" s="395"/>
      <c r="I43" s="395"/>
      <c r="J43" s="395"/>
    </row>
    <row r="44" spans="2:10" ht="28.95" customHeight="1" x14ac:dyDescent="0.35">
      <c r="B44" s="395"/>
      <c r="C44" s="395"/>
      <c r="D44" s="395"/>
      <c r="E44" s="395"/>
      <c r="F44" s="395"/>
      <c r="G44" s="395"/>
      <c r="H44" s="395"/>
      <c r="I44" s="395"/>
      <c r="J44" s="395"/>
    </row>
    <row r="45" spans="2:10" ht="28.95" customHeight="1" x14ac:dyDescent="0.35">
      <c r="B45" s="395"/>
      <c r="C45" s="395"/>
      <c r="D45" s="395"/>
      <c r="E45" s="395"/>
      <c r="F45" s="395"/>
      <c r="G45" s="395"/>
      <c r="H45" s="395"/>
      <c r="I45" s="395"/>
      <c r="J45" s="395"/>
    </row>
    <row r="46" spans="2:10" ht="28.95" customHeight="1" x14ac:dyDescent="0.35">
      <c r="B46" s="395"/>
      <c r="C46" s="395"/>
      <c r="D46" s="395"/>
      <c r="E46" s="395"/>
      <c r="F46" s="395"/>
      <c r="G46" s="395"/>
      <c r="H46" s="395"/>
      <c r="I46" s="395"/>
      <c r="J46" s="395"/>
    </row>
    <row r="47" spans="2:10" ht="28.95" customHeight="1" x14ac:dyDescent="0.35">
      <c r="B47" s="395"/>
      <c r="C47" s="395"/>
      <c r="D47" s="395"/>
      <c r="E47" s="395"/>
      <c r="F47" s="395"/>
      <c r="G47" s="395"/>
      <c r="H47" s="395"/>
      <c r="I47" s="395"/>
      <c r="J47" s="395"/>
    </row>
    <row r="48" spans="2:10" ht="28.95" customHeight="1" x14ac:dyDescent="0.35">
      <c r="B48" s="395"/>
      <c r="C48" s="395"/>
      <c r="D48" s="395"/>
      <c r="E48" s="395"/>
      <c r="F48" s="395"/>
      <c r="G48" s="395"/>
      <c r="H48" s="395"/>
      <c r="I48" s="395"/>
      <c r="J48" s="395"/>
    </row>
    <row r="49" spans="2:10" ht="28.95" customHeight="1" x14ac:dyDescent="0.35">
      <c r="B49" s="395"/>
      <c r="C49" s="395"/>
      <c r="D49" s="395"/>
      <c r="E49" s="395"/>
      <c r="F49" s="395"/>
      <c r="G49" s="395"/>
      <c r="H49" s="395"/>
      <c r="I49" s="395"/>
      <c r="J49" s="395"/>
    </row>
    <row r="50" spans="2:10" ht="28.95" customHeight="1" x14ac:dyDescent="0.35">
      <c r="B50" s="395"/>
      <c r="C50" s="395"/>
      <c r="D50" s="395"/>
      <c r="E50" s="395"/>
      <c r="F50" s="395"/>
      <c r="G50" s="395"/>
      <c r="H50" s="395"/>
      <c r="I50" s="395"/>
      <c r="J50" s="395"/>
    </row>
    <row r="51" spans="2:10" ht="28.95" customHeight="1" x14ac:dyDescent="0.35">
      <c r="B51" s="395"/>
      <c r="C51" s="234"/>
      <c r="D51" s="234"/>
      <c r="E51" s="395"/>
      <c r="F51" s="395"/>
      <c r="G51" s="395"/>
      <c r="H51" s="395"/>
      <c r="I51" s="395"/>
      <c r="J51" s="395"/>
    </row>
    <row r="52" spans="2:10" ht="28.95" customHeight="1" x14ac:dyDescent="0.35">
      <c r="B52" s="395"/>
      <c r="C52" s="234"/>
      <c r="D52" s="234"/>
      <c r="E52" s="395"/>
      <c r="F52" s="395"/>
      <c r="G52" s="395"/>
      <c r="H52" s="395"/>
      <c r="I52" s="395"/>
      <c r="J52" s="395"/>
    </row>
    <row r="53" spans="2:10" ht="28.95" customHeight="1" x14ac:dyDescent="0.35">
      <c r="B53" s="395"/>
      <c r="E53" s="395"/>
      <c r="F53" s="395"/>
      <c r="I53" s="234"/>
      <c r="J53" s="234"/>
    </row>
    <row r="54" spans="2:10" ht="28.95" customHeight="1" x14ac:dyDescent="0.35">
      <c r="B54" s="395"/>
      <c r="E54" s="234"/>
      <c r="F54" s="234"/>
      <c r="I54" s="234"/>
      <c r="J54" s="234"/>
    </row>
    <row r="55" spans="2:10" ht="28.95" customHeight="1" x14ac:dyDescent="0.3"/>
    <row r="56" spans="2:10" ht="28.95" customHeight="1" x14ac:dyDescent="0.3"/>
    <row r="57" spans="2:10" ht="28.95" customHeight="1" x14ac:dyDescent="0.3"/>
    <row r="58" spans="2:10" ht="28.95" customHeight="1" x14ac:dyDescent="0.3"/>
    <row r="59" spans="2:10" ht="28.95" customHeight="1" x14ac:dyDescent="0.3"/>
    <row r="60" spans="2:10" ht="28.95" customHeight="1" x14ac:dyDescent="0.3"/>
    <row r="61" spans="2:10" ht="28.95" customHeight="1" x14ac:dyDescent="0.3"/>
    <row r="62" spans="2:10" ht="28.95" customHeight="1" x14ac:dyDescent="0.3"/>
    <row r="63" spans="2:10" ht="28.95" customHeight="1" x14ac:dyDescent="0.3"/>
    <row r="64" spans="2:10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8F359B-1B65-416F-A43F-47313C2A72B4}">
          <x14:formula1>
            <xm:f>N_VMETAS!$N$22:$N$25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926D-FC40-41E9-BF6A-2E546C49A236}">
  <sheetPr codeName="Planilha44">
    <tabColor rgb="FF7030A0"/>
  </sheetPr>
  <dimension ref="B1:AM66"/>
  <sheetViews>
    <sheetView zoomScale="40" zoomScaleNormal="40" workbookViewId="0">
      <selection activeCell="F16" sqref="F16"/>
    </sheetView>
  </sheetViews>
  <sheetFormatPr defaultColWidth="8.88671875" defaultRowHeight="14.4" x14ac:dyDescent="0.3"/>
  <cols>
    <col min="1" max="1" width="8.88671875" style="100"/>
    <col min="2" max="2" width="37.88671875" style="100" customWidth="1"/>
    <col min="3" max="3" width="40.44140625" style="100" customWidth="1"/>
    <col min="4" max="4" width="30.109375" style="100" customWidth="1"/>
    <col min="5" max="5" width="26" style="100" bestFit="1" customWidth="1"/>
    <col min="6" max="6" width="44.88671875" style="100" customWidth="1"/>
    <col min="7" max="7" width="15.5546875" style="100" customWidth="1"/>
    <col min="8" max="11" width="8.88671875" style="100"/>
    <col min="12" max="12" width="23.44140625" style="100" bestFit="1" customWidth="1"/>
    <col min="13" max="13" width="2.6640625" style="100" bestFit="1" customWidth="1"/>
    <col min="14" max="14" width="51.109375" style="100" customWidth="1"/>
    <col min="15" max="16384" width="8.88671875" style="100"/>
  </cols>
  <sheetData>
    <row r="1" spans="2:39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spans="2:39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spans="2:39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spans="2:39" ht="46.2" customHeight="1" x14ac:dyDescent="0.3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</row>
    <row r="5" spans="2:39" x14ac:dyDescent="0.3"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</row>
    <row r="6" spans="2:39" x14ac:dyDescent="0.3"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</row>
    <row r="7" spans="2:39" x14ac:dyDescent="0.3"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</row>
    <row r="8" spans="2:39" ht="28.95" customHeight="1" x14ac:dyDescent="0.3"/>
    <row r="9" spans="2:39" ht="28.95" customHeight="1" x14ac:dyDescent="0.3">
      <c r="B9" s="397" t="s">
        <v>752</v>
      </c>
      <c r="C9" s="397" t="s">
        <v>747</v>
      </c>
      <c r="D9" s="397" t="s">
        <v>748</v>
      </c>
    </row>
    <row r="10" spans="2:39" ht="28.95" customHeight="1" x14ac:dyDescent="0.35">
      <c r="B10" s="395">
        <v>160</v>
      </c>
      <c r="C10" s="395">
        <v>1600</v>
      </c>
      <c r="D10" s="395" t="s">
        <v>753</v>
      </c>
    </row>
    <row r="11" spans="2:39" ht="28.95" customHeight="1" x14ac:dyDescent="0.35">
      <c r="B11" s="395"/>
      <c r="C11" s="395"/>
      <c r="D11" s="395"/>
    </row>
    <row r="12" spans="2:39" ht="28.95" customHeight="1" x14ac:dyDescent="0.35">
      <c r="B12" s="395"/>
      <c r="C12" s="395"/>
      <c r="D12" s="395"/>
    </row>
    <row r="13" spans="2:39" ht="28.95" customHeight="1" x14ac:dyDescent="0.35">
      <c r="B13" s="395"/>
      <c r="C13" s="395"/>
      <c r="D13" s="395"/>
    </row>
    <row r="14" spans="2:39" ht="28.95" customHeight="1" x14ac:dyDescent="0.35">
      <c r="B14" s="395"/>
      <c r="C14" s="395"/>
      <c r="D14" s="395"/>
    </row>
    <row r="15" spans="2:39" ht="28.95" customHeight="1" x14ac:dyDescent="0.35">
      <c r="B15" s="395"/>
      <c r="C15" s="395"/>
      <c r="D15" s="395"/>
    </row>
    <row r="16" spans="2:39" ht="28.95" customHeight="1" x14ac:dyDescent="0.35">
      <c r="B16" s="395"/>
      <c r="C16" s="395"/>
      <c r="D16" s="395"/>
    </row>
    <row r="17" spans="2:4" ht="28.95" customHeight="1" x14ac:dyDescent="0.35">
      <c r="B17" s="395"/>
      <c r="C17" s="395"/>
      <c r="D17" s="395"/>
    </row>
    <row r="18" spans="2:4" ht="28.95" customHeight="1" x14ac:dyDescent="0.35">
      <c r="B18" s="395"/>
      <c r="C18" s="395"/>
      <c r="D18" s="395"/>
    </row>
    <row r="19" spans="2:4" ht="28.95" customHeight="1" x14ac:dyDescent="0.35">
      <c r="B19" s="395"/>
      <c r="C19" s="395"/>
      <c r="D19" s="395"/>
    </row>
    <row r="20" spans="2:4" ht="28.95" customHeight="1" x14ac:dyDescent="0.35">
      <c r="B20" s="395"/>
      <c r="C20" s="395"/>
      <c r="D20" s="395"/>
    </row>
    <row r="21" spans="2:4" ht="28.95" customHeight="1" x14ac:dyDescent="0.35">
      <c r="B21" s="395"/>
      <c r="C21" s="395"/>
      <c r="D21" s="395"/>
    </row>
    <row r="22" spans="2:4" ht="28.95" customHeight="1" x14ac:dyDescent="0.35">
      <c r="B22" s="395"/>
      <c r="C22" s="395"/>
      <c r="D22" s="395"/>
    </row>
    <row r="23" spans="2:4" ht="28.95" customHeight="1" x14ac:dyDescent="0.35">
      <c r="B23" s="395"/>
      <c r="C23" s="395"/>
      <c r="D23" s="395"/>
    </row>
    <row r="24" spans="2:4" ht="28.95" customHeight="1" x14ac:dyDescent="0.35">
      <c r="B24" s="395"/>
      <c r="C24" s="395"/>
      <c r="D24" s="395"/>
    </row>
    <row r="25" spans="2:4" ht="28.95" customHeight="1" x14ac:dyDescent="0.35">
      <c r="B25" s="395"/>
      <c r="C25" s="395"/>
      <c r="D25" s="395"/>
    </row>
    <row r="26" spans="2:4" ht="28.95" customHeight="1" x14ac:dyDescent="0.35">
      <c r="B26" s="395"/>
      <c r="C26" s="395"/>
      <c r="D26" s="395"/>
    </row>
    <row r="27" spans="2:4" ht="28.95" customHeight="1" x14ac:dyDescent="0.35">
      <c r="B27" s="395"/>
      <c r="C27" s="395"/>
      <c r="D27" s="395"/>
    </row>
    <row r="28" spans="2:4" ht="28.95" customHeight="1" x14ac:dyDescent="0.35">
      <c r="B28" s="395"/>
      <c r="C28" s="395"/>
      <c r="D28" s="395"/>
    </row>
    <row r="29" spans="2:4" ht="28.95" customHeight="1" x14ac:dyDescent="0.35">
      <c r="B29" s="395"/>
      <c r="C29" s="395"/>
      <c r="D29" s="395"/>
    </row>
    <row r="30" spans="2:4" ht="28.95" customHeight="1" x14ac:dyDescent="0.35">
      <c r="B30" s="395"/>
      <c r="C30" s="395"/>
      <c r="D30" s="395"/>
    </row>
    <row r="31" spans="2:4" ht="28.95" customHeight="1" x14ac:dyDescent="0.35">
      <c r="B31" s="395"/>
      <c r="C31" s="395"/>
      <c r="D31" s="395"/>
    </row>
    <row r="32" spans="2:4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>
      <selection activeCell="P14" sqref="P14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77734375" style="100" customWidth="1"/>
    <col min="13" max="13" width="19.2187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>
      <selection activeCell="E15" sqref="E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579</v>
      </c>
      <c r="I12" s="535"/>
      <c r="J12" s="535"/>
      <c r="K12" s="535"/>
      <c r="L12" s="535"/>
      <c r="M12" s="536"/>
    </row>
    <row r="13" spans="1:49" ht="28.95" customHeight="1" x14ac:dyDescent="0.3">
      <c r="G13" s="100" t="s">
        <v>655</v>
      </c>
      <c r="H13" s="540"/>
      <c r="I13" s="548"/>
      <c r="J13" s="548"/>
      <c r="K13" s="548"/>
      <c r="L13" s="548"/>
      <c r="M13" s="542"/>
    </row>
    <row r="14" spans="1:49" ht="28.95" customHeight="1" x14ac:dyDescent="0.3">
      <c r="H14" s="88"/>
      <c r="I14" s="250"/>
      <c r="J14" s="250"/>
      <c r="K14" s="250"/>
      <c r="L14" s="250"/>
      <c r="M14" s="89"/>
    </row>
    <row r="15" spans="1:49" ht="28.95" customHeight="1" x14ac:dyDescent="0.4">
      <c r="H15" s="90"/>
      <c r="I15" s="350" t="s">
        <v>373</v>
      </c>
      <c r="J15" s="251"/>
      <c r="K15" s="251"/>
      <c r="L15" s="351"/>
      <c r="M15" s="91"/>
    </row>
    <row r="16" spans="1:49" ht="28.95" customHeight="1" x14ac:dyDescent="0.4">
      <c r="H16" s="90"/>
      <c r="I16" s="352"/>
      <c r="J16" s="251"/>
      <c r="K16" s="251"/>
      <c r="L16" s="252"/>
      <c r="M16" s="91"/>
    </row>
    <row r="17" spans="8:13" ht="28.95" customHeight="1" x14ac:dyDescent="0.4">
      <c r="H17" s="92"/>
      <c r="I17" s="353" t="s">
        <v>375</v>
      </c>
      <c r="J17" s="253"/>
      <c r="K17" s="254"/>
      <c r="L17" s="354"/>
      <c r="M17" s="93"/>
    </row>
    <row r="18" spans="8:13" ht="28.95" customHeight="1" x14ac:dyDescent="0.4">
      <c r="H18" s="92"/>
      <c r="I18" s="353"/>
      <c r="J18" s="253"/>
      <c r="K18" s="254"/>
      <c r="L18" s="254"/>
      <c r="M18" s="93"/>
    </row>
    <row r="19" spans="8:13" ht="28.95" customHeight="1" x14ac:dyDescent="0.4">
      <c r="H19" s="92"/>
      <c r="I19" s="353" t="s">
        <v>362</v>
      </c>
      <c r="J19" s="253"/>
      <c r="K19" s="254"/>
      <c r="L19" s="354"/>
      <c r="M19" s="93"/>
    </row>
    <row r="20" spans="8:13" ht="28.95" customHeight="1" x14ac:dyDescent="0.35">
      <c r="H20" s="92"/>
      <c r="I20" s="355"/>
      <c r="J20" s="254"/>
      <c r="K20" s="254"/>
      <c r="L20" s="254"/>
      <c r="M20" s="93"/>
    </row>
    <row r="21" spans="8:13" ht="28.95" customHeight="1" x14ac:dyDescent="0.45">
      <c r="H21" s="92"/>
      <c r="I21" s="353" t="s">
        <v>36</v>
      </c>
      <c r="J21" s="254"/>
      <c r="K21" s="254"/>
      <c r="L21" s="356"/>
      <c r="M21" s="93"/>
    </row>
    <row r="22" spans="8:13" ht="28.95" customHeight="1" x14ac:dyDescent="0.35">
      <c r="H22" s="92"/>
      <c r="I22" s="355"/>
      <c r="J22" s="254"/>
      <c r="K22" s="254"/>
      <c r="L22" s="254"/>
      <c r="M22" s="93"/>
    </row>
    <row r="23" spans="8:13" ht="28.95" customHeight="1" x14ac:dyDescent="0.4">
      <c r="H23" s="92"/>
      <c r="I23" s="353" t="s">
        <v>35</v>
      </c>
      <c r="J23" s="254"/>
      <c r="K23" s="254"/>
      <c r="L23" s="354"/>
      <c r="M23" s="93"/>
    </row>
    <row r="24" spans="8:13" ht="28.95" customHeight="1" x14ac:dyDescent="0.35">
      <c r="H24" s="92"/>
      <c r="I24" s="355"/>
      <c r="J24" s="254"/>
      <c r="K24" s="254"/>
      <c r="L24" s="254"/>
      <c r="M24" s="93"/>
    </row>
    <row r="25" spans="8:13" ht="28.95" customHeight="1" x14ac:dyDescent="0.4">
      <c r="H25" s="92"/>
      <c r="I25" s="353" t="s">
        <v>380</v>
      </c>
      <c r="J25" s="254"/>
      <c r="K25" s="254"/>
      <c r="L25" s="354"/>
      <c r="M25" s="93"/>
    </row>
    <row r="26" spans="8:13" ht="28.95" customHeight="1" x14ac:dyDescent="0.35">
      <c r="H26" s="92"/>
      <c r="I26" s="355"/>
      <c r="J26" s="254"/>
      <c r="K26" s="255"/>
      <c r="L26" s="255"/>
      <c r="M26" s="94"/>
    </row>
    <row r="27" spans="8:13" ht="28.95" customHeight="1" x14ac:dyDescent="0.4">
      <c r="H27" s="92"/>
      <c r="I27" s="353" t="s">
        <v>382</v>
      </c>
      <c r="J27" s="254"/>
      <c r="K27" s="255"/>
      <c r="L27" s="357"/>
      <c r="M27" s="94"/>
    </row>
    <row r="28" spans="8:13" ht="28.95" customHeight="1" x14ac:dyDescent="0.4">
      <c r="H28" s="90"/>
      <c r="I28" s="352"/>
      <c r="J28" s="251"/>
      <c r="K28" s="251"/>
      <c r="L28" s="252"/>
      <c r="M28" s="91"/>
    </row>
    <row r="29" spans="8:13" ht="28.95" customHeight="1" x14ac:dyDescent="0.4">
      <c r="H29" s="92"/>
      <c r="I29" s="353" t="s">
        <v>384</v>
      </c>
      <c r="J29" s="254"/>
      <c r="K29" s="255"/>
      <c r="L29" s="357"/>
      <c r="M29" s="94"/>
    </row>
    <row r="30" spans="8:13" ht="28.95" customHeight="1" x14ac:dyDescent="0.35">
      <c r="H30" s="92"/>
      <c r="I30" s="355"/>
      <c r="J30" s="254"/>
      <c r="K30" s="255"/>
      <c r="L30" s="255"/>
      <c r="M30" s="94"/>
    </row>
    <row r="31" spans="8:13" ht="28.95" customHeight="1" x14ac:dyDescent="0.4">
      <c r="H31" s="92"/>
      <c r="I31" s="353" t="s">
        <v>386</v>
      </c>
      <c r="J31" s="254"/>
      <c r="K31" s="255"/>
      <c r="L31" s="358"/>
      <c r="M31" s="94"/>
    </row>
    <row r="32" spans="8:13" ht="28.95" customHeight="1" x14ac:dyDescent="0.3">
      <c r="H32" s="92"/>
      <c r="I32" s="254"/>
      <c r="J32" s="254"/>
      <c r="K32" s="255"/>
      <c r="L32" s="255"/>
      <c r="M32" s="94"/>
    </row>
    <row r="33" spans="8:13" ht="28.95" customHeight="1" x14ac:dyDescent="0.3">
      <c r="H33" s="92"/>
      <c r="I33" s="254"/>
      <c r="J33" s="254"/>
      <c r="K33" s="255"/>
      <c r="L33" s="255"/>
      <c r="M33" s="94"/>
    </row>
    <row r="34" spans="8:13" ht="28.95" customHeight="1" x14ac:dyDescent="0.3">
      <c r="H34" s="92"/>
      <c r="I34" s="254"/>
      <c r="J34" s="254"/>
      <c r="K34" s="255"/>
      <c r="L34" s="255" t="s">
        <v>655</v>
      </c>
      <c r="M34" s="94"/>
    </row>
    <row r="35" spans="8:13" ht="28.95" customHeight="1" x14ac:dyDescent="0.3">
      <c r="H35" s="92"/>
      <c r="I35" s="254"/>
      <c r="J35" s="254"/>
      <c r="K35" s="255"/>
      <c r="L35" s="255"/>
      <c r="M35" s="94"/>
    </row>
    <row r="36" spans="8:13" ht="28.95" customHeight="1" thickBot="1" x14ac:dyDescent="0.35">
      <c r="H36" s="95"/>
      <c r="I36" s="96"/>
      <c r="J36" s="96"/>
      <c r="K36" s="97"/>
      <c r="L36" s="97"/>
      <c r="M36" s="98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E21" sqref="E21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50.5546875" style="100" bestFit="1" customWidth="1"/>
    <col min="9" max="9" width="38.6640625" style="100" bestFit="1" customWidth="1"/>
    <col min="10" max="10" width="70.5546875" style="100" bestFit="1" customWidth="1"/>
    <col min="11" max="11" width="28.6640625" style="100" bestFit="1" customWidth="1"/>
    <col min="12" max="12" width="63.44140625" style="100" bestFit="1" customWidth="1"/>
    <col min="13" max="13" width="34.33203125" style="100" customWidth="1"/>
    <col min="14" max="14" width="28.5546875" style="100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x14ac:dyDescent="0.3">
      <c r="G12" s="359" t="s">
        <v>220</v>
      </c>
      <c r="H12" s="359" t="s">
        <v>656</v>
      </c>
      <c r="I12" s="359" t="s">
        <v>362</v>
      </c>
      <c r="J12" s="359" t="s">
        <v>294</v>
      </c>
      <c r="K12" s="359" t="s">
        <v>407</v>
      </c>
      <c r="L12" s="359" t="s">
        <v>293</v>
      </c>
      <c r="M12" s="359" t="s">
        <v>657</v>
      </c>
      <c r="N12" s="359" t="s">
        <v>282</v>
      </c>
      <c r="O12" s="359" t="s">
        <v>658</v>
      </c>
    </row>
    <row r="13" spans="1:49" ht="28.95" customHeight="1" x14ac:dyDescent="0.3">
      <c r="G13" s="360" t="s">
        <v>659</v>
      </c>
      <c r="H13" s="360" t="s">
        <v>660</v>
      </c>
      <c r="I13" s="360" t="s">
        <v>661</v>
      </c>
      <c r="J13" s="360" t="s">
        <v>662</v>
      </c>
      <c r="K13" s="360" t="s">
        <v>663</v>
      </c>
      <c r="L13" s="360" t="s">
        <v>664</v>
      </c>
      <c r="M13" s="360" t="s">
        <v>665</v>
      </c>
      <c r="N13" s="360" t="s">
        <v>666</v>
      </c>
      <c r="O13" s="361">
        <v>2.5</v>
      </c>
    </row>
    <row r="14" spans="1:49" ht="28.95" customHeight="1" x14ac:dyDescent="0.3">
      <c r="G14" s="360" t="s">
        <v>667</v>
      </c>
      <c r="H14" s="362" t="s">
        <v>668</v>
      </c>
      <c r="I14" s="362" t="s">
        <v>669</v>
      </c>
      <c r="J14" s="362" t="s">
        <v>670</v>
      </c>
      <c r="K14" s="362" t="s">
        <v>671</v>
      </c>
      <c r="L14" s="362" t="s">
        <v>672</v>
      </c>
      <c r="M14" s="362" t="s">
        <v>665</v>
      </c>
      <c r="N14" s="362" t="s">
        <v>666</v>
      </c>
      <c r="O14" s="363">
        <v>2.5</v>
      </c>
    </row>
    <row r="15" spans="1:49" ht="28.95" customHeight="1" x14ac:dyDescent="0.3">
      <c r="G15" s="360" t="s">
        <v>673</v>
      </c>
      <c r="H15" s="362" t="s">
        <v>674</v>
      </c>
      <c r="I15" s="362" t="s">
        <v>675</v>
      </c>
      <c r="J15" s="362" t="s">
        <v>676</v>
      </c>
      <c r="K15" s="362" t="s">
        <v>677</v>
      </c>
      <c r="L15" s="362" t="s">
        <v>678</v>
      </c>
      <c r="M15" s="362" t="s">
        <v>383</v>
      </c>
      <c r="N15" s="362" t="s">
        <v>679</v>
      </c>
      <c r="O15" s="363">
        <v>3.85</v>
      </c>
    </row>
    <row r="16" spans="1:49" ht="28.95" customHeight="1" x14ac:dyDescent="0.3">
      <c r="G16" s="360" t="s">
        <v>680</v>
      </c>
      <c r="H16" s="362" t="s">
        <v>681</v>
      </c>
      <c r="I16" s="362" t="s">
        <v>682</v>
      </c>
      <c r="J16" s="362" t="s">
        <v>683</v>
      </c>
      <c r="K16" s="362" t="s">
        <v>684</v>
      </c>
      <c r="L16" s="362" t="s">
        <v>685</v>
      </c>
      <c r="M16" s="362" t="s">
        <v>383</v>
      </c>
      <c r="N16" s="362" t="s">
        <v>666</v>
      </c>
      <c r="O16" s="363">
        <v>2.5</v>
      </c>
    </row>
    <row r="17" spans="6:15" ht="28.95" customHeight="1" x14ac:dyDescent="0.3">
      <c r="G17" s="360" t="s">
        <v>686</v>
      </c>
      <c r="H17" s="360" t="s">
        <v>687</v>
      </c>
      <c r="I17" s="360" t="s">
        <v>688</v>
      </c>
      <c r="J17" s="360" t="s">
        <v>689</v>
      </c>
      <c r="K17" s="360" t="s">
        <v>690</v>
      </c>
      <c r="L17" s="360" t="s">
        <v>691</v>
      </c>
      <c r="M17" s="360" t="s">
        <v>665</v>
      </c>
      <c r="N17" s="360" t="s">
        <v>679</v>
      </c>
      <c r="O17" s="361">
        <v>3.25</v>
      </c>
    </row>
    <row r="18" spans="6:15" ht="28.95" customHeight="1" x14ac:dyDescent="0.3">
      <c r="G18" s="360" t="s">
        <v>692</v>
      </c>
      <c r="H18" s="362" t="s">
        <v>693</v>
      </c>
      <c r="I18" s="362" t="s">
        <v>694</v>
      </c>
      <c r="J18" s="362" t="s">
        <v>695</v>
      </c>
      <c r="K18" s="362" t="s">
        <v>696</v>
      </c>
      <c r="L18" s="362" t="s">
        <v>697</v>
      </c>
      <c r="M18" s="364" t="s">
        <v>665</v>
      </c>
      <c r="N18" s="364" t="s">
        <v>679</v>
      </c>
      <c r="O18" s="365">
        <v>2.75</v>
      </c>
    </row>
    <row r="19" spans="6:15" ht="28.95" customHeight="1" x14ac:dyDescent="0.3">
      <c r="G19" s="360" t="s">
        <v>374</v>
      </c>
      <c r="H19" s="360" t="s">
        <v>376</v>
      </c>
      <c r="I19" s="360" t="s">
        <v>377</v>
      </c>
      <c r="J19" s="360" t="s">
        <v>378</v>
      </c>
      <c r="K19" s="360" t="s">
        <v>379</v>
      </c>
      <c r="L19" s="360" t="s">
        <v>381</v>
      </c>
      <c r="M19" s="360" t="s">
        <v>383</v>
      </c>
      <c r="N19" s="360" t="s">
        <v>679</v>
      </c>
      <c r="O19" s="361">
        <v>2.5</v>
      </c>
    </row>
    <row r="20" spans="6:15" ht="28.95" customHeight="1" x14ac:dyDescent="0.3">
      <c r="G20" s="360" t="s">
        <v>698</v>
      </c>
      <c r="H20" s="362" t="s">
        <v>699</v>
      </c>
      <c r="I20" s="362" t="s">
        <v>700</v>
      </c>
      <c r="J20" s="362" t="s">
        <v>701</v>
      </c>
      <c r="K20" s="362" t="s">
        <v>702</v>
      </c>
      <c r="L20" s="362" t="s">
        <v>703</v>
      </c>
      <c r="M20" s="362" t="s">
        <v>383</v>
      </c>
      <c r="N20" s="362" t="s">
        <v>385</v>
      </c>
      <c r="O20" s="363">
        <v>4.3</v>
      </c>
    </row>
    <row r="21" spans="6:15" ht="28.95" customHeight="1" x14ac:dyDescent="0.3">
      <c r="G21" s="360" t="s">
        <v>374</v>
      </c>
      <c r="H21" s="360" t="s">
        <v>376</v>
      </c>
      <c r="I21" s="360" t="s">
        <v>377</v>
      </c>
      <c r="J21" s="360" t="s">
        <v>378</v>
      </c>
      <c r="K21" s="360" t="s">
        <v>379</v>
      </c>
      <c r="L21" s="360" t="s">
        <v>381</v>
      </c>
      <c r="M21" s="360" t="s">
        <v>383</v>
      </c>
      <c r="N21" s="360" t="s">
        <v>385</v>
      </c>
      <c r="O21" s="361">
        <v>4.5</v>
      </c>
    </row>
    <row r="22" spans="6:15" ht="28.95" customHeight="1" x14ac:dyDescent="0.3">
      <c r="G22" s="360" t="s">
        <v>704</v>
      </c>
      <c r="H22" s="362" t="s">
        <v>705</v>
      </c>
      <c r="I22" s="362" t="s">
        <v>706</v>
      </c>
      <c r="J22" s="362" t="s">
        <v>707</v>
      </c>
      <c r="K22" s="362" t="s">
        <v>708</v>
      </c>
      <c r="L22" s="362" t="s">
        <v>709</v>
      </c>
      <c r="M22" s="362" t="s">
        <v>665</v>
      </c>
      <c r="N22" s="362" t="s">
        <v>385</v>
      </c>
      <c r="O22" s="363">
        <v>5</v>
      </c>
    </row>
    <row r="23" spans="6:15" ht="28.95" customHeight="1" x14ac:dyDescent="0.3">
      <c r="G23" s="360" t="s">
        <v>710</v>
      </c>
      <c r="H23" s="362" t="s">
        <v>711</v>
      </c>
      <c r="I23" s="362" t="s">
        <v>712</v>
      </c>
      <c r="J23" s="362" t="s">
        <v>713</v>
      </c>
      <c r="K23" s="362" t="s">
        <v>714</v>
      </c>
      <c r="L23" s="362" t="s">
        <v>715</v>
      </c>
      <c r="M23" s="362" t="s">
        <v>383</v>
      </c>
      <c r="N23" s="362" t="s">
        <v>716</v>
      </c>
      <c r="O23" s="363">
        <v>11.5</v>
      </c>
    </row>
    <row r="24" spans="6:15" ht="28.95" customHeight="1" x14ac:dyDescent="0.3">
      <c r="G24" s="360" t="s">
        <v>717</v>
      </c>
      <c r="H24" s="362" t="s">
        <v>718</v>
      </c>
      <c r="I24" s="362" t="s">
        <v>719</v>
      </c>
      <c r="J24" s="362" t="s">
        <v>720</v>
      </c>
      <c r="K24" s="362" t="s">
        <v>721</v>
      </c>
      <c r="L24" s="362" t="s">
        <v>722</v>
      </c>
      <c r="M24" s="362" t="s">
        <v>665</v>
      </c>
      <c r="N24" s="362" t="s">
        <v>716</v>
      </c>
      <c r="O24" s="363">
        <v>11.75</v>
      </c>
    </row>
    <row r="25" spans="6:15" ht="28.95" customHeight="1" x14ac:dyDescent="0.3">
      <c r="F25" s="100" t="s">
        <v>743</v>
      </c>
      <c r="G25" s="360" t="s">
        <v>723</v>
      </c>
      <c r="H25" s="360" t="s">
        <v>724</v>
      </c>
      <c r="I25" s="360" t="s">
        <v>725</v>
      </c>
      <c r="J25" s="360" t="s">
        <v>726</v>
      </c>
      <c r="K25" s="360" t="s">
        <v>727</v>
      </c>
      <c r="L25" s="360" t="s">
        <v>728</v>
      </c>
      <c r="M25" s="360" t="s">
        <v>383</v>
      </c>
      <c r="N25" s="360" t="s">
        <v>716</v>
      </c>
      <c r="O25" s="361">
        <v>12</v>
      </c>
    </row>
    <row r="26" spans="6:15" ht="28.95" customHeight="1" x14ac:dyDescent="0.3">
      <c r="G26" s="360" t="s">
        <v>729</v>
      </c>
      <c r="H26" s="362" t="s">
        <v>730</v>
      </c>
      <c r="I26" s="362" t="s">
        <v>731</v>
      </c>
      <c r="J26" s="362" t="s">
        <v>732</v>
      </c>
      <c r="K26" s="362" t="s">
        <v>733</v>
      </c>
      <c r="L26" s="362" t="s">
        <v>734</v>
      </c>
      <c r="M26" s="362" t="s">
        <v>665</v>
      </c>
      <c r="N26" s="362" t="s">
        <v>735</v>
      </c>
      <c r="O26" s="363">
        <v>17</v>
      </c>
    </row>
    <row r="27" spans="6:15" ht="28.95" customHeight="1" x14ac:dyDescent="0.3">
      <c r="G27" s="360" t="s">
        <v>736</v>
      </c>
      <c r="H27" s="362" t="s">
        <v>737</v>
      </c>
      <c r="I27" s="362" t="s">
        <v>738</v>
      </c>
      <c r="J27" s="362" t="s">
        <v>739</v>
      </c>
      <c r="K27" s="362" t="s">
        <v>740</v>
      </c>
      <c r="L27" s="362" t="s">
        <v>741</v>
      </c>
      <c r="M27" s="362" t="s">
        <v>383</v>
      </c>
      <c r="N27" s="362" t="s">
        <v>735</v>
      </c>
      <c r="O27" s="363">
        <v>16.149999999999999</v>
      </c>
    </row>
    <row r="28" spans="6:15" ht="28.95" customHeight="1" x14ac:dyDescent="0.3">
      <c r="G28" s="360" t="s">
        <v>659</v>
      </c>
      <c r="H28" s="360" t="s">
        <v>660</v>
      </c>
      <c r="I28" s="360" t="s">
        <v>661</v>
      </c>
      <c r="J28" s="360" t="s">
        <v>662</v>
      </c>
      <c r="K28" s="360" t="s">
        <v>663</v>
      </c>
      <c r="L28" s="360" t="s">
        <v>664</v>
      </c>
      <c r="M28" s="360" t="s">
        <v>383</v>
      </c>
      <c r="N28" s="360" t="s">
        <v>735</v>
      </c>
      <c r="O28" s="361">
        <v>15.65</v>
      </c>
    </row>
    <row r="29" spans="6:15" ht="28.95" customHeight="1" x14ac:dyDescent="0.3"/>
    <row r="30" spans="6:15" ht="28.95" customHeight="1" x14ac:dyDescent="0.3"/>
    <row r="31" spans="6:15" ht="28.95" customHeight="1" x14ac:dyDescent="0.3"/>
    <row r="32" spans="6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>
      <selection activeCell="E17" sqref="E17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394</v>
      </c>
      <c r="I12" s="535"/>
      <c r="J12" s="535"/>
      <c r="K12" s="535"/>
      <c r="L12" s="535"/>
      <c r="M12" s="536"/>
    </row>
    <row r="13" spans="1:49" ht="28.95" customHeight="1" x14ac:dyDescent="0.3">
      <c r="H13" s="540"/>
      <c r="I13" s="548"/>
      <c r="J13" s="548"/>
      <c r="K13" s="548"/>
      <c r="L13" s="548"/>
      <c r="M13" s="542"/>
    </row>
    <row r="14" spans="1:49" ht="28.95" customHeight="1" x14ac:dyDescent="0.3">
      <c r="H14" s="88"/>
      <c r="I14" s="250"/>
      <c r="J14" s="250"/>
      <c r="K14" s="250"/>
      <c r="L14" s="250"/>
      <c r="M14" s="89"/>
    </row>
    <row r="15" spans="1:49" ht="28.95" customHeight="1" x14ac:dyDescent="0.4">
      <c r="H15" s="90"/>
      <c r="I15" s="366" t="s">
        <v>392</v>
      </c>
      <c r="J15" s="352"/>
      <c r="K15" s="251"/>
      <c r="L15" s="351"/>
      <c r="M15" s="91"/>
    </row>
    <row r="16" spans="1:49" ht="28.95" customHeight="1" x14ac:dyDescent="0.4">
      <c r="H16" s="90"/>
      <c r="I16" s="367"/>
      <c r="J16" s="352"/>
      <c r="K16" s="251"/>
      <c r="L16" s="252"/>
      <c r="M16" s="91"/>
    </row>
    <row r="17" spans="8:13" ht="28.95" customHeight="1" x14ac:dyDescent="0.4">
      <c r="H17" s="92"/>
      <c r="I17" s="366" t="s">
        <v>393</v>
      </c>
      <c r="J17" s="353"/>
      <c r="K17" s="254"/>
      <c r="L17" s="354"/>
      <c r="M17" s="93"/>
    </row>
    <row r="18" spans="8:13" ht="28.95" customHeight="1" x14ac:dyDescent="0.4">
      <c r="H18" s="92"/>
      <c r="I18" s="368"/>
      <c r="J18" s="353"/>
      <c r="K18" s="254"/>
      <c r="L18" s="254"/>
      <c r="M18" s="93"/>
    </row>
    <row r="19" spans="8:13" ht="28.95" customHeight="1" x14ac:dyDescent="0.4">
      <c r="H19" s="92"/>
      <c r="I19" s="366" t="s">
        <v>384</v>
      </c>
      <c r="J19" s="353"/>
      <c r="K19" s="254"/>
      <c r="L19" s="354"/>
      <c r="M19" s="93"/>
    </row>
    <row r="20" spans="8:13" ht="28.95" customHeight="1" x14ac:dyDescent="0.35">
      <c r="H20" s="92"/>
      <c r="I20" s="368"/>
      <c r="J20" s="355"/>
      <c r="K20" s="254"/>
      <c r="L20" s="254"/>
      <c r="M20" s="93"/>
    </row>
    <row r="21" spans="8:13" ht="28.95" customHeight="1" x14ac:dyDescent="0.4">
      <c r="H21" s="92"/>
      <c r="I21" s="366" t="s">
        <v>225</v>
      </c>
      <c r="J21" s="355"/>
      <c r="K21" s="254"/>
      <c r="L21" s="369"/>
      <c r="M21" s="93"/>
    </row>
    <row r="22" spans="8:13" ht="28.95" customHeight="1" x14ac:dyDescent="0.35">
      <c r="H22" s="92"/>
      <c r="I22" s="370"/>
      <c r="J22" s="355"/>
      <c r="K22" s="254"/>
      <c r="L22" s="254"/>
      <c r="M22" s="93"/>
    </row>
    <row r="23" spans="8:13" ht="28.95" customHeight="1" x14ac:dyDescent="0.4">
      <c r="H23" s="92"/>
      <c r="I23" s="350"/>
      <c r="J23" s="355"/>
      <c r="K23" s="254"/>
      <c r="L23" s="254"/>
      <c r="M23" s="93"/>
    </row>
    <row r="24" spans="8:13" ht="28.95" customHeight="1" x14ac:dyDescent="0.35">
      <c r="H24" s="92"/>
      <c r="I24" s="355"/>
      <c r="J24" s="355"/>
      <c r="K24" s="254"/>
      <c r="L24" s="254"/>
      <c r="M24" s="93"/>
    </row>
    <row r="25" spans="8:13" ht="28.95" customHeight="1" x14ac:dyDescent="0.4">
      <c r="H25" s="92"/>
      <c r="I25" s="353"/>
      <c r="J25" s="355"/>
      <c r="K25" s="254"/>
      <c r="L25" s="254"/>
      <c r="M25" s="93"/>
    </row>
    <row r="26" spans="8:13" ht="28.95" customHeight="1" x14ac:dyDescent="0.35">
      <c r="H26" s="92"/>
      <c r="I26" s="355"/>
      <c r="J26" s="355"/>
      <c r="K26" s="255"/>
      <c r="L26" s="255"/>
      <c r="M26" s="94"/>
    </row>
    <row r="27" spans="8:13" ht="28.95" customHeight="1" thickBot="1" x14ac:dyDescent="0.45">
      <c r="H27" s="95"/>
      <c r="I27" s="261"/>
      <c r="J27" s="262"/>
      <c r="K27" s="97"/>
      <c r="L27" s="97"/>
      <c r="M27" s="98"/>
    </row>
    <row r="28" spans="8:13" ht="28.95" customHeight="1" x14ac:dyDescent="0.4">
      <c r="H28" s="371"/>
      <c r="I28" s="372"/>
      <c r="J28" s="371"/>
      <c r="K28" s="371"/>
      <c r="L28" s="373"/>
      <c r="M28" s="371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E14" sqref="E14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580</v>
      </c>
      <c r="I12" s="535"/>
      <c r="J12" s="535"/>
      <c r="K12" s="535"/>
      <c r="L12" s="535"/>
      <c r="M12" s="536"/>
    </row>
    <row r="13" spans="1:49" ht="28.95" customHeight="1" x14ac:dyDescent="0.3">
      <c r="H13" s="540"/>
      <c r="I13" s="548"/>
      <c r="J13" s="548"/>
      <c r="K13" s="548"/>
      <c r="L13" s="548"/>
      <c r="M13" s="542"/>
    </row>
    <row r="14" spans="1:49" ht="28.95" customHeight="1" x14ac:dyDescent="0.3">
      <c r="H14" s="88"/>
      <c r="I14" s="250"/>
      <c r="J14" s="250"/>
      <c r="K14" s="250"/>
      <c r="L14" s="250"/>
      <c r="M14" s="89"/>
    </row>
    <row r="15" spans="1:49" ht="28.95" customHeight="1" x14ac:dyDescent="0.4">
      <c r="H15" s="90"/>
      <c r="I15" s="350" t="s">
        <v>387</v>
      </c>
      <c r="J15" s="352"/>
      <c r="K15" s="251"/>
      <c r="L15" s="84"/>
      <c r="M15" s="91"/>
    </row>
    <row r="16" spans="1:49" ht="28.95" customHeight="1" x14ac:dyDescent="0.4">
      <c r="H16" s="90"/>
      <c r="I16" s="350"/>
      <c r="J16" s="352"/>
      <c r="K16" s="251"/>
      <c r="L16" s="252"/>
      <c r="M16" s="91"/>
    </row>
    <row r="17" spans="8:13" ht="28.95" customHeight="1" x14ac:dyDescent="0.4">
      <c r="H17" s="92"/>
      <c r="I17" s="350" t="s">
        <v>388</v>
      </c>
      <c r="J17" s="353"/>
      <c r="K17" s="254"/>
      <c r="L17" s="85"/>
      <c r="M17" s="93"/>
    </row>
    <row r="18" spans="8:13" ht="28.95" customHeight="1" x14ac:dyDescent="0.4">
      <c r="H18" s="92"/>
      <c r="I18" s="350"/>
      <c r="J18" s="353"/>
      <c r="K18" s="254"/>
      <c r="L18" s="254"/>
      <c r="M18" s="93"/>
    </row>
    <row r="19" spans="8:13" ht="28.95" customHeight="1" x14ac:dyDescent="0.4">
      <c r="H19" s="92"/>
      <c r="I19" s="350" t="s">
        <v>389</v>
      </c>
      <c r="J19" s="353"/>
      <c r="K19" s="254"/>
      <c r="L19" s="85"/>
      <c r="M19" s="93"/>
    </row>
    <row r="20" spans="8:13" ht="28.95" customHeight="1" x14ac:dyDescent="0.4">
      <c r="H20" s="92"/>
      <c r="I20" s="350"/>
      <c r="J20" s="355"/>
      <c r="K20" s="254"/>
      <c r="L20" s="254"/>
      <c r="M20" s="93"/>
    </row>
    <row r="21" spans="8:13" ht="28.95" customHeight="1" x14ac:dyDescent="0.4">
      <c r="H21" s="92"/>
      <c r="I21" s="350" t="s">
        <v>390</v>
      </c>
      <c r="J21" s="355"/>
      <c r="K21" s="254"/>
      <c r="L21" s="86"/>
      <c r="M21" s="93"/>
    </row>
    <row r="22" spans="8:13" ht="28.95" customHeight="1" x14ac:dyDescent="0.35">
      <c r="H22" s="92"/>
      <c r="I22" s="370"/>
      <c r="J22" s="355"/>
      <c r="K22" s="254"/>
      <c r="L22" s="254"/>
      <c r="M22" s="93"/>
    </row>
    <row r="23" spans="8:13" ht="28.95" customHeight="1" x14ac:dyDescent="0.4">
      <c r="H23" s="92"/>
      <c r="I23" s="350" t="s">
        <v>391</v>
      </c>
      <c r="J23" s="355"/>
      <c r="K23" s="254"/>
      <c r="L23" s="85"/>
      <c r="M23" s="93"/>
    </row>
    <row r="24" spans="8:13" ht="28.95" customHeight="1" x14ac:dyDescent="0.35">
      <c r="H24" s="92"/>
      <c r="I24" s="355"/>
      <c r="J24" s="355"/>
      <c r="K24" s="254"/>
      <c r="L24" s="254"/>
      <c r="M24" s="93"/>
    </row>
    <row r="25" spans="8:13" ht="28.95" customHeight="1" x14ac:dyDescent="0.4">
      <c r="H25" s="92"/>
      <c r="I25" s="353"/>
      <c r="J25" s="355"/>
      <c r="K25" s="254"/>
      <c r="L25" s="254"/>
      <c r="M25" s="93"/>
    </row>
    <row r="26" spans="8:13" ht="28.95" customHeight="1" x14ac:dyDescent="0.35">
      <c r="H26" s="92"/>
      <c r="I26" s="355"/>
      <c r="J26" s="355"/>
      <c r="K26" s="255"/>
      <c r="L26" s="255"/>
      <c r="M26" s="94"/>
    </row>
    <row r="27" spans="8:13" ht="28.95" customHeight="1" x14ac:dyDescent="0.4">
      <c r="H27" s="92"/>
      <c r="I27" s="353"/>
      <c r="J27" s="355"/>
      <c r="K27" s="255"/>
      <c r="L27" s="255"/>
      <c r="M27" s="94"/>
    </row>
    <row r="28" spans="8:13" ht="28.95" customHeight="1" thickBot="1" x14ac:dyDescent="0.45">
      <c r="H28" s="256"/>
      <c r="I28" s="257"/>
      <c r="J28" s="258"/>
      <c r="K28" s="258"/>
      <c r="L28" s="259"/>
      <c r="M28" s="260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>
      <selection activeCell="E16" sqref="E16"/>
    </sheetView>
  </sheetViews>
  <sheetFormatPr defaultColWidth="8.88671875" defaultRowHeight="14.4" x14ac:dyDescent="0.3"/>
  <cols>
    <col min="1" max="4" width="8.88671875" style="100"/>
    <col min="5" max="5" width="43" style="100" bestFit="1" customWidth="1"/>
    <col min="6" max="6" width="13.6640625" style="100" bestFit="1" customWidth="1"/>
    <col min="7" max="7" width="19.109375" style="100" customWidth="1"/>
    <col min="8" max="8" width="28" style="100" customWidth="1"/>
    <col min="9" max="9" width="22.88671875" style="100" bestFit="1" customWidth="1"/>
    <col min="10" max="10" width="25" style="100" customWidth="1"/>
    <col min="11" max="11" width="43" style="100" bestFit="1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>
      <c r="K11" s="132" t="s">
        <v>392</v>
      </c>
      <c r="L11" s="132" t="s">
        <v>393</v>
      </c>
      <c r="M11" s="132" t="s">
        <v>384</v>
      </c>
      <c r="N11" s="132" t="s">
        <v>225</v>
      </c>
    </row>
    <row r="12" spans="1:49" ht="28.95" customHeight="1" x14ac:dyDescent="0.4">
      <c r="H12" s="371"/>
      <c r="I12" s="372"/>
      <c r="J12" s="371"/>
      <c r="K12" s="351" t="s">
        <v>742</v>
      </c>
      <c r="L12" s="354" t="s">
        <v>742</v>
      </c>
      <c r="M12" s="354" t="s">
        <v>742</v>
      </c>
      <c r="N12" s="369" t="s">
        <v>742</v>
      </c>
    </row>
    <row r="13" spans="1:49" ht="28.95" customHeight="1" x14ac:dyDescent="0.3">
      <c r="K13" s="84"/>
      <c r="L13" s="85"/>
      <c r="M13" s="85"/>
      <c r="N13" s="86"/>
    </row>
    <row r="14" spans="1:49" ht="28.95" customHeight="1" x14ac:dyDescent="0.3">
      <c r="K14" s="371"/>
      <c r="L14" s="373"/>
      <c r="M14" s="371"/>
    </row>
    <row r="15" spans="1:49" ht="28.95" customHeight="1" x14ac:dyDescent="0.3"/>
    <row r="16" spans="1:49" ht="28.95" customHeight="1" x14ac:dyDescent="0.3"/>
    <row r="17" ht="28.95" customHeight="1" x14ac:dyDescent="0.3"/>
    <row r="18" ht="28.95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28.95" customHeight="1" x14ac:dyDescent="0.3"/>
    <row r="26" ht="28.95" customHeight="1" x14ac:dyDescent="0.3"/>
    <row r="27" ht="28.95" customHeight="1" x14ac:dyDescent="0.3"/>
    <row r="28" ht="28.95" customHeight="1" x14ac:dyDescent="0.3"/>
    <row r="29" ht="28.95" customHeight="1" x14ac:dyDescent="0.3"/>
    <row r="30" ht="28.95" customHeight="1" x14ac:dyDescent="0.3"/>
    <row r="31" ht="28.95" customHeight="1" x14ac:dyDescent="0.3"/>
    <row r="32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zoomScale="40" zoomScaleNormal="40" workbookViewId="0">
      <selection activeCell="E13" sqref="E13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349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</row>
    <row r="5" spans="1:49" x14ac:dyDescent="0.3">
      <c r="A5" s="349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</row>
    <row r="6" spans="1:49" x14ac:dyDescent="0.3">
      <c r="A6" s="349"/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</row>
    <row r="7" spans="1:49" x14ac:dyDescent="0.3">
      <c r="A7" s="349"/>
      <c r="B7" s="349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534" t="s">
        <v>399</v>
      </c>
      <c r="I12" s="535"/>
      <c r="J12" s="535"/>
      <c r="K12" s="535"/>
      <c r="L12" s="535"/>
      <c r="M12" s="536"/>
    </row>
    <row r="13" spans="1:49" ht="28.95" customHeight="1" x14ac:dyDescent="0.3">
      <c r="H13" s="540"/>
      <c r="I13" s="548"/>
      <c r="J13" s="548"/>
      <c r="K13" s="548"/>
      <c r="L13" s="548"/>
      <c r="M13" s="542"/>
    </row>
    <row r="14" spans="1:49" ht="28.95" customHeight="1" x14ac:dyDescent="0.3">
      <c r="H14" s="88"/>
      <c r="I14" s="250"/>
      <c r="J14" s="250"/>
      <c r="K14" s="250"/>
      <c r="L14" s="250"/>
      <c r="M14" s="89"/>
    </row>
    <row r="15" spans="1:49" ht="28.95" customHeight="1" x14ac:dyDescent="0.3">
      <c r="H15" s="90"/>
      <c r="I15" s="374" t="s">
        <v>395</v>
      </c>
      <c r="J15" s="251"/>
      <c r="K15" s="251"/>
      <c r="L15" s="84"/>
      <c r="M15" s="91"/>
    </row>
    <row r="16" spans="1:49" ht="28.95" customHeight="1" x14ac:dyDescent="0.3">
      <c r="H16" s="90"/>
      <c r="I16" s="374"/>
      <c r="J16" s="251"/>
      <c r="K16" s="251"/>
      <c r="L16" s="252"/>
      <c r="M16" s="91"/>
    </row>
    <row r="17" spans="8:13" ht="28.95" customHeight="1" x14ac:dyDescent="0.3">
      <c r="H17" s="92"/>
      <c r="I17" s="374" t="s">
        <v>373</v>
      </c>
      <c r="J17" s="253"/>
      <c r="K17" s="254"/>
      <c r="L17" s="85"/>
      <c r="M17" s="93"/>
    </row>
    <row r="18" spans="8:13" ht="28.95" customHeight="1" x14ac:dyDescent="0.3">
      <c r="H18" s="92"/>
      <c r="I18" s="374"/>
      <c r="J18" s="253"/>
      <c r="K18" s="254"/>
      <c r="L18" s="254"/>
      <c r="M18" s="93"/>
    </row>
    <row r="19" spans="8:13" ht="28.95" customHeight="1" x14ac:dyDescent="0.3">
      <c r="H19" s="92"/>
      <c r="I19" s="374" t="s">
        <v>396</v>
      </c>
      <c r="J19" s="253"/>
      <c r="K19" s="254"/>
      <c r="L19" s="85"/>
      <c r="M19" s="93"/>
    </row>
    <row r="20" spans="8:13" ht="28.95" customHeight="1" x14ac:dyDescent="0.3">
      <c r="H20" s="92"/>
      <c r="I20" s="374"/>
      <c r="J20" s="254"/>
      <c r="K20" s="254"/>
      <c r="L20" s="254"/>
      <c r="M20" s="93"/>
    </row>
    <row r="21" spans="8:13" ht="28.95" customHeight="1" x14ac:dyDescent="0.3">
      <c r="H21" s="92"/>
      <c r="I21" s="374" t="s">
        <v>35</v>
      </c>
      <c r="J21" s="254"/>
      <c r="K21" s="254"/>
      <c r="L21" s="86"/>
      <c r="M21" s="93"/>
    </row>
    <row r="22" spans="8:13" ht="28.95" customHeight="1" x14ac:dyDescent="0.3">
      <c r="H22" s="92"/>
      <c r="I22" s="374"/>
      <c r="J22" s="254"/>
      <c r="K22" s="254"/>
      <c r="L22" s="254"/>
      <c r="M22" s="93"/>
    </row>
    <row r="23" spans="8:13" ht="28.95" customHeight="1" x14ac:dyDescent="0.3">
      <c r="H23" s="92"/>
      <c r="I23" s="374" t="s">
        <v>384</v>
      </c>
      <c r="J23" s="254"/>
      <c r="K23" s="254"/>
      <c r="L23" s="85"/>
      <c r="M23" s="93"/>
    </row>
    <row r="24" spans="8:13" ht="28.95" customHeight="1" x14ac:dyDescent="0.3">
      <c r="H24" s="92"/>
      <c r="I24" s="375"/>
      <c r="J24" s="254"/>
      <c r="K24" s="254"/>
      <c r="L24" s="254"/>
      <c r="M24" s="93"/>
    </row>
    <row r="25" spans="8:13" ht="28.95" customHeight="1" x14ac:dyDescent="0.3">
      <c r="H25" s="92"/>
      <c r="I25" s="374" t="s">
        <v>397</v>
      </c>
      <c r="J25" s="254"/>
      <c r="K25" s="254"/>
      <c r="L25" s="85"/>
      <c r="M25" s="93"/>
    </row>
    <row r="26" spans="8:13" ht="28.95" customHeight="1" x14ac:dyDescent="0.3">
      <c r="H26" s="92"/>
      <c r="I26" s="374"/>
      <c r="J26" s="254"/>
      <c r="K26" s="255"/>
      <c r="L26" s="255"/>
      <c r="M26" s="94"/>
    </row>
    <row r="27" spans="8:13" ht="28.95" customHeight="1" x14ac:dyDescent="0.3">
      <c r="H27" s="92"/>
      <c r="I27" s="374" t="s">
        <v>225</v>
      </c>
      <c r="J27" s="254"/>
      <c r="K27" s="255"/>
      <c r="L27" s="87"/>
      <c r="M27" s="94"/>
    </row>
    <row r="28" spans="8:13" ht="28.95" customHeight="1" x14ac:dyDescent="0.3">
      <c r="H28" s="90"/>
      <c r="I28" s="374"/>
      <c r="J28" s="251"/>
      <c r="K28" s="251"/>
      <c r="L28" s="252"/>
      <c r="M28" s="91"/>
    </row>
    <row r="29" spans="8:13" ht="28.95" customHeight="1" x14ac:dyDescent="0.3">
      <c r="H29" s="92"/>
      <c r="I29" s="374" t="s">
        <v>398</v>
      </c>
      <c r="J29" s="254"/>
      <c r="K29" s="255"/>
      <c r="L29" s="87"/>
      <c r="M29" s="94"/>
    </row>
    <row r="30" spans="8:13" ht="28.95" customHeight="1" x14ac:dyDescent="0.35">
      <c r="H30" s="92"/>
      <c r="I30" s="355"/>
      <c r="J30" s="254"/>
      <c r="K30" s="255"/>
      <c r="L30" s="255"/>
      <c r="M30" s="94"/>
    </row>
    <row r="31" spans="8:13" ht="28.95" customHeight="1" x14ac:dyDescent="0.4">
      <c r="H31" s="92"/>
      <c r="I31" s="353"/>
      <c r="J31" s="254"/>
      <c r="K31" s="255"/>
      <c r="L31" s="376"/>
      <c r="M31" s="94"/>
    </row>
    <row r="32" spans="8:13" ht="28.95" customHeight="1" x14ac:dyDescent="0.3">
      <c r="H32" s="92"/>
      <c r="I32" s="254"/>
      <c r="J32" s="254"/>
      <c r="K32" s="255"/>
      <c r="L32" s="255"/>
      <c r="M32" s="94"/>
    </row>
    <row r="33" spans="8:13" ht="28.95" customHeight="1" x14ac:dyDescent="0.3">
      <c r="H33" s="92"/>
      <c r="I33" s="254"/>
      <c r="J33" s="254"/>
      <c r="K33" s="255"/>
      <c r="L33" s="255"/>
      <c r="M33" s="94"/>
    </row>
    <row r="34" spans="8:13" ht="28.95" customHeight="1" x14ac:dyDescent="0.3">
      <c r="H34" s="92"/>
      <c r="I34" s="254"/>
      <c r="J34" s="254"/>
      <c r="K34" s="255"/>
      <c r="L34" s="255"/>
      <c r="M34" s="94"/>
    </row>
    <row r="35" spans="8:13" ht="28.95" customHeight="1" thickBot="1" x14ac:dyDescent="0.35">
      <c r="H35" s="95"/>
      <c r="I35" s="96"/>
      <c r="J35" s="96"/>
      <c r="K35" s="97"/>
      <c r="L35" s="97"/>
      <c r="M35" s="98"/>
    </row>
    <row r="36" spans="8:13" ht="28.95" customHeight="1" x14ac:dyDescent="0.3">
      <c r="H36" s="377"/>
      <c r="I36" s="377"/>
      <c r="J36" s="377"/>
      <c r="K36" s="378"/>
      <c r="L36" s="378"/>
      <c r="M36" s="378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>
      <selection activeCell="V17" sqref="V1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22.44140625" style="100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8" customHeight="1" x14ac:dyDescent="0.3"/>
    <row r="64" spans="1:3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Q27" sqref="Q2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14.88671875" style="100" bestFit="1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x14ac:dyDescent="0.3"/>
    <row r="10" spans="1:49" ht="28.8" customHeight="1" x14ac:dyDescent="0.3">
      <c r="C10" s="555" t="s">
        <v>581</v>
      </c>
      <c r="D10" s="556"/>
      <c r="E10" s="556"/>
      <c r="F10" s="556"/>
      <c r="G10" s="557"/>
      <c r="I10" s="273" t="s">
        <v>596</v>
      </c>
      <c r="J10" s="132" t="s">
        <v>597</v>
      </c>
      <c r="K10" s="132" t="s">
        <v>598</v>
      </c>
      <c r="M10" s="274" t="s">
        <v>606</v>
      </c>
      <c r="N10" s="274" t="s">
        <v>597</v>
      </c>
      <c r="O10" s="132" t="s">
        <v>598</v>
      </c>
      <c r="Q10" s="551" t="s">
        <v>611</v>
      </c>
      <c r="R10" s="551"/>
      <c r="S10" s="551"/>
      <c r="T10" s="551"/>
      <c r="U10" s="551"/>
      <c r="V10" s="551"/>
      <c r="W10" s="551"/>
      <c r="X10" s="551"/>
    </row>
    <row r="11" spans="1:49" ht="28.8" customHeight="1" x14ac:dyDescent="0.4">
      <c r="C11" s="558" t="s">
        <v>582</v>
      </c>
      <c r="D11" s="558"/>
      <c r="E11" s="558"/>
      <c r="F11" s="558"/>
      <c r="G11" s="265" t="s">
        <v>583</v>
      </c>
      <c r="I11" s="269" t="s">
        <v>599</v>
      </c>
      <c r="J11" s="270">
        <v>1</v>
      </c>
      <c r="K11" s="271" t="e">
        <f>('[4]N_RHREF '!#REF!-'[4]N_RHREF '!#REF!-'[4]N_RHREF '!#REF!-'[4]N_RHREF '!#REF!-'[4]N_RHREF '!#REF!)</f>
        <v>#REF!</v>
      </c>
      <c r="M11" s="275" t="s">
        <v>599</v>
      </c>
      <c r="N11" s="275"/>
      <c r="O11" s="276" t="e">
        <f>'[4]N_RHREF '!#REF!</f>
        <v>#REF!</v>
      </c>
      <c r="Q11" s="549" t="s">
        <v>612</v>
      </c>
      <c r="R11" s="549"/>
      <c r="S11" s="549"/>
      <c r="T11" s="549"/>
      <c r="U11" s="549"/>
      <c r="V11" s="549"/>
      <c r="W11" s="552"/>
      <c r="X11" s="553"/>
    </row>
    <row r="12" spans="1:49" ht="28.8" customHeight="1" x14ac:dyDescent="0.35">
      <c r="C12" s="554" t="s">
        <v>584</v>
      </c>
      <c r="D12" s="554"/>
      <c r="E12" s="554"/>
      <c r="F12" s="554"/>
      <c r="G12" s="264">
        <v>450</v>
      </c>
      <c r="I12" s="269" t="s">
        <v>600</v>
      </c>
      <c r="J12" s="270">
        <v>4</v>
      </c>
      <c r="K12" s="271" t="e">
        <f>'[4]N_RHREF '!#REF!</f>
        <v>#REF!</v>
      </c>
      <c r="M12" s="275" t="s">
        <v>606</v>
      </c>
      <c r="N12" s="275"/>
      <c r="O12" s="276" t="e">
        <f>'[4]N_RHREF '!#REF!</f>
        <v>#REF!</v>
      </c>
      <c r="Q12" s="549" t="s">
        <v>613</v>
      </c>
      <c r="R12" s="549"/>
      <c r="S12" s="549"/>
      <c r="T12" s="549"/>
      <c r="U12" s="549"/>
      <c r="V12" s="549"/>
      <c r="W12" s="550">
        <f>(K29*L29)+(K30*L30)+(K31*L31)</f>
        <v>0</v>
      </c>
      <c r="X12" s="550"/>
    </row>
    <row r="13" spans="1:49" ht="28.8" customHeight="1" x14ac:dyDescent="0.35">
      <c r="C13" s="554" t="s">
        <v>585</v>
      </c>
      <c r="D13" s="554"/>
      <c r="E13" s="554"/>
      <c r="F13" s="554"/>
      <c r="G13" s="264">
        <v>4500</v>
      </c>
      <c r="I13" s="269" t="s">
        <v>601</v>
      </c>
      <c r="J13" s="270">
        <v>4</v>
      </c>
      <c r="K13" s="271" t="e">
        <f>'[4]N_RHREF '!#REF!</f>
        <v>#REF!</v>
      </c>
      <c r="Q13" s="549" t="s">
        <v>614</v>
      </c>
      <c r="R13" s="549"/>
      <c r="S13" s="549"/>
      <c r="T13" s="549"/>
      <c r="U13" s="549"/>
      <c r="V13" s="549"/>
      <c r="W13" s="550"/>
      <c r="X13" s="550"/>
    </row>
    <row r="14" spans="1:49" ht="28.8" customHeight="1" x14ac:dyDescent="0.35">
      <c r="C14" s="554" t="s">
        <v>586</v>
      </c>
      <c r="D14" s="554"/>
      <c r="E14" s="554"/>
      <c r="F14" s="554"/>
      <c r="G14" s="264">
        <v>37500</v>
      </c>
      <c r="J14" s="266"/>
      <c r="K14" s="267"/>
      <c r="M14" s="273" t="s">
        <v>607</v>
      </c>
      <c r="N14" s="132" t="s">
        <v>597</v>
      </c>
      <c r="O14" s="132" t="s">
        <v>598</v>
      </c>
      <c r="Q14" s="549" t="s">
        <v>615</v>
      </c>
      <c r="R14" s="549"/>
      <c r="S14" s="549"/>
      <c r="T14" s="549"/>
      <c r="U14" s="549"/>
      <c r="V14" s="549"/>
      <c r="W14" s="550"/>
      <c r="X14" s="550"/>
    </row>
    <row r="15" spans="1:49" ht="28.8" customHeight="1" x14ac:dyDescent="0.35">
      <c r="C15" s="554" t="s">
        <v>587</v>
      </c>
      <c r="D15" s="554"/>
      <c r="E15" s="554"/>
      <c r="F15" s="554"/>
      <c r="G15" s="264"/>
      <c r="I15" s="274" t="s">
        <v>602</v>
      </c>
      <c r="J15" s="274" t="s">
        <v>597</v>
      </c>
      <c r="K15" s="132" t="s">
        <v>598</v>
      </c>
      <c r="M15" s="269" t="s">
        <v>599</v>
      </c>
      <c r="N15" s="270"/>
      <c r="O15" s="271" t="e">
        <f>'[4]N_RHREF '!#REF!</f>
        <v>#REF!</v>
      </c>
    </row>
    <row r="16" spans="1:49" ht="28.8" customHeight="1" x14ac:dyDescent="0.35">
      <c r="C16" s="554" t="s">
        <v>588</v>
      </c>
      <c r="D16" s="554"/>
      <c r="E16" s="554"/>
      <c r="F16" s="554"/>
      <c r="G16" s="264"/>
      <c r="I16" s="275" t="s">
        <v>599</v>
      </c>
      <c r="J16" s="275"/>
      <c r="K16" s="276" t="e">
        <f>'[4]N_RHREF '!#REF!</f>
        <v>#REF!</v>
      </c>
      <c r="M16" s="269" t="s">
        <v>603</v>
      </c>
      <c r="N16" s="270"/>
      <c r="O16" s="271">
        <f>'[4]N_RHREF '!J1</f>
        <v>0</v>
      </c>
    </row>
    <row r="17" spans="3:15" ht="28.8" customHeight="1" x14ac:dyDescent="0.35">
      <c r="C17" s="554" t="s">
        <v>295</v>
      </c>
      <c r="D17" s="554"/>
      <c r="E17" s="554"/>
      <c r="F17" s="554"/>
      <c r="G17" s="264"/>
      <c r="I17" s="275" t="s">
        <v>603</v>
      </c>
      <c r="J17" s="275"/>
      <c r="K17" s="276" t="e">
        <f>'[4]N_RHREF '!#REF!</f>
        <v>#REF!</v>
      </c>
      <c r="M17" s="269" t="s">
        <v>601</v>
      </c>
      <c r="N17" s="270"/>
      <c r="O17" s="271">
        <f>'[4]N_RHREF '!J2</f>
        <v>0</v>
      </c>
    </row>
    <row r="18" spans="3:15" ht="28.8" customHeight="1" x14ac:dyDescent="0.35">
      <c r="C18" s="554" t="s">
        <v>589</v>
      </c>
      <c r="D18" s="554"/>
      <c r="E18" s="554"/>
      <c r="F18" s="554"/>
      <c r="G18" s="264">
        <v>130</v>
      </c>
      <c r="I18" s="275" t="s">
        <v>604</v>
      </c>
      <c r="J18" s="275"/>
      <c r="K18" s="276" t="e">
        <f>'[4]N_RHREF '!#REF!</f>
        <v>#REF!</v>
      </c>
    </row>
    <row r="19" spans="3:15" ht="28.8" customHeight="1" x14ac:dyDescent="0.35">
      <c r="C19" s="554" t="s">
        <v>590</v>
      </c>
      <c r="D19" s="554"/>
      <c r="E19" s="554"/>
      <c r="F19" s="554"/>
      <c r="G19" s="264">
        <v>45000</v>
      </c>
      <c r="J19" s="249"/>
      <c r="K19" s="268"/>
      <c r="M19" s="273" t="s">
        <v>608</v>
      </c>
      <c r="N19" s="132" t="s">
        <v>597</v>
      </c>
      <c r="O19" s="132" t="s">
        <v>598</v>
      </c>
    </row>
    <row r="20" spans="3:15" ht="28.8" customHeight="1" x14ac:dyDescent="0.35">
      <c r="C20" s="554" t="s">
        <v>591</v>
      </c>
      <c r="D20" s="554"/>
      <c r="E20" s="554"/>
      <c r="F20" s="554"/>
      <c r="G20" s="264"/>
      <c r="I20" s="274" t="s">
        <v>605</v>
      </c>
      <c r="J20" s="274" t="s">
        <v>597</v>
      </c>
      <c r="K20" s="132" t="s">
        <v>598</v>
      </c>
      <c r="M20" s="269" t="s">
        <v>599</v>
      </c>
      <c r="N20" s="270"/>
      <c r="O20" s="271">
        <f>'[4]N_RHREF '!J3</f>
        <v>0</v>
      </c>
    </row>
    <row r="21" spans="3:15" ht="28.8" customHeight="1" x14ac:dyDescent="0.35">
      <c r="C21" s="554" t="s">
        <v>592</v>
      </c>
      <c r="D21" s="554"/>
      <c r="E21" s="554"/>
      <c r="F21" s="554"/>
      <c r="G21" s="264"/>
      <c r="I21" s="275" t="s">
        <v>599</v>
      </c>
      <c r="J21" s="275"/>
      <c r="K21" s="276" t="e">
        <f>'[4]N_RHREF '!#REF!</f>
        <v>#REF!</v>
      </c>
      <c r="M21" s="269" t="s">
        <v>609</v>
      </c>
      <c r="N21" s="270"/>
      <c r="O21" s="271">
        <f>'[4]N_RHREF '!J4</f>
        <v>0</v>
      </c>
    </row>
    <row r="22" spans="3:15" ht="28.8" customHeight="1" x14ac:dyDescent="0.35">
      <c r="C22" s="554" t="s">
        <v>593</v>
      </c>
      <c r="D22" s="554"/>
      <c r="E22" s="554"/>
      <c r="F22" s="554"/>
      <c r="G22" s="264">
        <v>2500</v>
      </c>
      <c r="I22" s="275" t="s">
        <v>603</v>
      </c>
      <c r="J22" s="275"/>
      <c r="K22" s="276" t="e">
        <f>'[4]N_RHREF '!#REF!</f>
        <v>#REF!</v>
      </c>
      <c r="M22" s="269" t="s">
        <v>603</v>
      </c>
      <c r="N22" s="270"/>
      <c r="O22" s="271">
        <f>'[4]N_RHREF '!J5</f>
        <v>0</v>
      </c>
    </row>
    <row r="23" spans="3:15" ht="28.8" customHeight="1" x14ac:dyDescent="0.35">
      <c r="C23" s="554" t="s">
        <v>594</v>
      </c>
      <c r="D23" s="554"/>
      <c r="E23" s="554"/>
      <c r="F23" s="554"/>
      <c r="G23" s="264">
        <v>6000</v>
      </c>
      <c r="I23" s="275" t="s">
        <v>604</v>
      </c>
      <c r="J23" s="275"/>
      <c r="K23" s="276" t="e">
        <f>'[4]N_RHREF '!#REF!</f>
        <v>#REF!</v>
      </c>
      <c r="M23" s="275" t="s">
        <v>604</v>
      </c>
      <c r="N23" s="277"/>
      <c r="O23" s="278">
        <f>'[4]N_RHREF '!J6</f>
        <v>0</v>
      </c>
    </row>
    <row r="24" spans="3:15" ht="28.8" customHeight="1" x14ac:dyDescent="0.35">
      <c r="C24" s="554" t="s">
        <v>573</v>
      </c>
      <c r="D24" s="554"/>
      <c r="E24" s="554"/>
      <c r="F24" s="554"/>
      <c r="G24" s="264"/>
    </row>
    <row r="25" spans="3:15" ht="28.8" customHeight="1" x14ac:dyDescent="0.35">
      <c r="C25" s="554" t="s">
        <v>595</v>
      </c>
      <c r="D25" s="554"/>
      <c r="E25" s="554"/>
      <c r="F25" s="554"/>
      <c r="G25" s="264"/>
      <c r="M25" s="273" t="s">
        <v>610</v>
      </c>
      <c r="N25" s="132" t="s">
        <v>597</v>
      </c>
      <c r="O25" s="132" t="s">
        <v>598</v>
      </c>
    </row>
    <row r="26" spans="3:15" ht="28.8" customHeight="1" x14ac:dyDescent="0.35">
      <c r="M26" s="269" t="s">
        <v>599</v>
      </c>
      <c r="N26" s="270"/>
      <c r="O26" s="271">
        <f>'[4]N_RHREF '!J7</f>
        <v>0</v>
      </c>
    </row>
    <row r="27" spans="3:15" ht="28.8" customHeight="1" x14ac:dyDescent="0.35">
      <c r="M27" s="269" t="s">
        <v>609</v>
      </c>
      <c r="N27" s="270"/>
      <c r="O27" s="271">
        <f>'[4]N_RHREF '!J8</f>
        <v>0</v>
      </c>
    </row>
    <row r="28" spans="3:15" ht="28.8" customHeight="1" x14ac:dyDescent="0.35">
      <c r="M28" s="269" t="s">
        <v>601</v>
      </c>
      <c r="N28" s="270"/>
      <c r="O28" s="271">
        <f>'[4]N_RHREF '!J9</f>
        <v>2259.1999999999998</v>
      </c>
    </row>
    <row r="29" spans="3:15" ht="28.8" customHeight="1" x14ac:dyDescent="0.3"/>
    <row r="30" spans="3:15" ht="28.8" customHeight="1" x14ac:dyDescent="0.3"/>
    <row r="31" spans="3:15" ht="28.8" customHeight="1" x14ac:dyDescent="0.3"/>
    <row r="32" spans="3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5">
    <mergeCell ref="C19:F19"/>
    <mergeCell ref="C20:F20"/>
    <mergeCell ref="C11:F11"/>
    <mergeCell ref="C12:F12"/>
    <mergeCell ref="C13:F13"/>
    <mergeCell ref="C14:F14"/>
    <mergeCell ref="C10:G10"/>
    <mergeCell ref="C15:F15"/>
    <mergeCell ref="C16:F16"/>
    <mergeCell ref="C17:F17"/>
    <mergeCell ref="C18:F18"/>
    <mergeCell ref="C21:F21"/>
    <mergeCell ref="C22:F22"/>
    <mergeCell ref="C23:F23"/>
    <mergeCell ref="C24:F24"/>
    <mergeCell ref="C25:F25"/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E13" sqref="E13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81.77734375" style="100" bestFit="1" customWidth="1"/>
    <col min="11" max="11" width="22.44140625" style="100" customWidth="1"/>
    <col min="12" max="12" width="16.77734375" style="100" bestFit="1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</row>
    <row r="5" spans="1:49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</row>
    <row r="6" spans="1:49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</row>
    <row r="7" spans="1:49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</row>
    <row r="8" spans="1:49" ht="28.8" customHeight="1" x14ac:dyDescent="0.3"/>
    <row r="9" spans="1:49" ht="28.8" customHeight="1" x14ac:dyDescent="0.3"/>
    <row r="10" spans="1:49" ht="28.8" customHeight="1" x14ac:dyDescent="0.3">
      <c r="J10" s="273" t="s">
        <v>616</v>
      </c>
      <c r="K10" s="132" t="s">
        <v>617</v>
      </c>
      <c r="L10" s="132" t="s">
        <v>618</v>
      </c>
    </row>
    <row r="11" spans="1:49" ht="28.8" customHeight="1" x14ac:dyDescent="0.4">
      <c r="J11" s="275"/>
      <c r="K11" s="291"/>
      <c r="L11" s="292"/>
    </row>
    <row r="12" spans="1:49" ht="28.8" customHeight="1" x14ac:dyDescent="0.4">
      <c r="J12" s="293" t="s">
        <v>619</v>
      </c>
      <c r="K12" s="294"/>
      <c r="L12" s="295"/>
    </row>
    <row r="13" spans="1:49" ht="28.8" customHeight="1" x14ac:dyDescent="0.3">
      <c r="J13" s="280"/>
      <c r="K13" s="281"/>
      <c r="L13" s="282"/>
    </row>
    <row r="14" spans="1:49" ht="28.8" customHeight="1" x14ac:dyDescent="0.3">
      <c r="J14" s="283"/>
      <c r="K14" s="284"/>
      <c r="L14" s="285"/>
    </row>
    <row r="15" spans="1:49" ht="28.8" customHeight="1" x14ac:dyDescent="0.4">
      <c r="J15" s="296" t="s">
        <v>620</v>
      </c>
      <c r="K15" s="279"/>
      <c r="L15" s="263"/>
    </row>
    <row r="16" spans="1:49" ht="28.8" customHeight="1" x14ac:dyDescent="0.4">
      <c r="J16" s="296" t="s">
        <v>621</v>
      </c>
      <c r="K16" s="279"/>
      <c r="L16" s="263"/>
    </row>
    <row r="17" spans="10:12" ht="28.8" customHeight="1" x14ac:dyDescent="0.4">
      <c r="J17" s="297" t="s">
        <v>622</v>
      </c>
      <c r="K17" s="286"/>
      <c r="L17" s="287"/>
    </row>
    <row r="18" spans="10:12" ht="28.8" customHeight="1" x14ac:dyDescent="0.3">
      <c r="J18" s="288"/>
      <c r="K18" s="289"/>
      <c r="L18" s="290"/>
    </row>
    <row r="19" spans="10:12" ht="28.8" customHeight="1" x14ac:dyDescent="0.3">
      <c r="J19" s="559" t="s">
        <v>623</v>
      </c>
      <c r="K19" s="560"/>
      <c r="L19" s="561"/>
    </row>
    <row r="20" spans="10:12" ht="28.8" customHeight="1" x14ac:dyDescent="0.35">
      <c r="J20" s="275" t="s">
        <v>624</v>
      </c>
      <c r="K20" s="291">
        <f>[4]N_CUSTOFIXOEVARIAVEL!Q20</f>
        <v>0</v>
      </c>
      <c r="L20" s="291"/>
    </row>
    <row r="21" spans="10:12" ht="28.8" customHeight="1" x14ac:dyDescent="0.35">
      <c r="J21" s="275" t="s">
        <v>625</v>
      </c>
      <c r="K21" s="291">
        <f>[4]N_CUSTOFIXOEVARIAVEL!Q21</f>
        <v>0</v>
      </c>
      <c r="L21" s="291"/>
    </row>
    <row r="22" spans="10:12" ht="28.8" customHeight="1" x14ac:dyDescent="0.4">
      <c r="J22" s="275" t="s">
        <v>586</v>
      </c>
      <c r="K22" s="291">
        <f>[4]N_CUSTOFIXOEVARIAVEL!Q22</f>
        <v>0</v>
      </c>
      <c r="L22" s="292"/>
    </row>
    <row r="23" spans="10:12" ht="28.8" customHeight="1" x14ac:dyDescent="0.4">
      <c r="J23" s="275" t="s">
        <v>626</v>
      </c>
      <c r="K23" s="291"/>
      <c r="L23" s="292"/>
    </row>
    <row r="24" spans="10:12" ht="28.8" customHeight="1" x14ac:dyDescent="0.4">
      <c r="J24" s="275" t="s">
        <v>627</v>
      </c>
      <c r="K24" s="291"/>
      <c r="L24" s="292"/>
    </row>
    <row r="25" spans="10:12" ht="28.8" customHeight="1" x14ac:dyDescent="0.35">
      <c r="J25" s="275" t="s">
        <v>628</v>
      </c>
      <c r="K25" s="291"/>
      <c r="L25" s="291"/>
    </row>
    <row r="26" spans="10:12" ht="28.8" customHeight="1" x14ac:dyDescent="0.35">
      <c r="J26" s="275" t="s">
        <v>629</v>
      </c>
      <c r="K26" s="298">
        <f>[4]N_CUSTOFIXOEVARIAVEL!Q26</f>
        <v>0</v>
      </c>
      <c r="L26" s="291"/>
    </row>
    <row r="27" spans="10:12" ht="28.8" customHeight="1" x14ac:dyDescent="0.35">
      <c r="J27" s="275" t="s">
        <v>630</v>
      </c>
      <c r="K27" s="291">
        <f>[4]N_CUSTOFIXOEVARIAVEL!Q27</f>
        <v>0</v>
      </c>
      <c r="L27" s="291"/>
    </row>
    <row r="28" spans="10:12" ht="28.8" customHeight="1" x14ac:dyDescent="0.35">
      <c r="J28" s="275" t="s">
        <v>631</v>
      </c>
      <c r="K28" s="291"/>
      <c r="L28" s="291"/>
    </row>
    <row r="29" spans="10:12" ht="28.8" customHeight="1" x14ac:dyDescent="0.35">
      <c r="J29" s="275" t="s">
        <v>632</v>
      </c>
      <c r="K29" s="291"/>
      <c r="L29" s="291"/>
    </row>
    <row r="30" spans="10:12" ht="28.8" customHeight="1" x14ac:dyDescent="0.35">
      <c r="J30" s="275" t="s">
        <v>633</v>
      </c>
      <c r="K30" s="291">
        <f>[4]N_CUSTOFIXOEVARIAVEL!Q30</f>
        <v>0</v>
      </c>
      <c r="L30" s="291"/>
    </row>
    <row r="31" spans="10:12" ht="28.8" customHeight="1" x14ac:dyDescent="0.35">
      <c r="J31" s="275" t="s">
        <v>634</v>
      </c>
      <c r="K31" s="291">
        <f>[4]N_CUSTOFIXOEVARIAVEL!Q31</f>
        <v>0</v>
      </c>
      <c r="L31" s="291"/>
    </row>
    <row r="32" spans="10:12" ht="28.8" customHeight="1" x14ac:dyDescent="0.35">
      <c r="J32" s="275" t="s">
        <v>635</v>
      </c>
      <c r="K32" s="291"/>
      <c r="L32" s="291"/>
    </row>
    <row r="33" spans="10:12" ht="28.8" customHeight="1" x14ac:dyDescent="0.35">
      <c r="J33" s="275" t="s">
        <v>636</v>
      </c>
      <c r="K33" s="291"/>
      <c r="L33" s="291"/>
    </row>
    <row r="34" spans="10:12" ht="28.8" customHeight="1" x14ac:dyDescent="0.35">
      <c r="J34" s="275" t="s">
        <v>637</v>
      </c>
      <c r="K34" s="291"/>
      <c r="L34" s="291"/>
    </row>
    <row r="35" spans="10:12" ht="28.8" customHeight="1" x14ac:dyDescent="0.35">
      <c r="J35" s="275" t="s">
        <v>638</v>
      </c>
      <c r="K35" s="291"/>
      <c r="L35" s="291"/>
    </row>
    <row r="36" spans="10:12" ht="28.8" customHeight="1" x14ac:dyDescent="0.35">
      <c r="J36" s="275" t="s">
        <v>639</v>
      </c>
      <c r="K36" s="291"/>
      <c r="L36" s="291"/>
    </row>
    <row r="37" spans="10:12" ht="28.8" customHeight="1" x14ac:dyDescent="0.35">
      <c r="J37" s="275" t="s">
        <v>640</v>
      </c>
      <c r="K37" s="291"/>
      <c r="L37" s="291"/>
    </row>
    <row r="38" spans="10:12" ht="28.8" customHeight="1" x14ac:dyDescent="0.35">
      <c r="J38" s="275" t="s">
        <v>641</v>
      </c>
      <c r="K38" s="291"/>
      <c r="L38" s="291"/>
    </row>
    <row r="39" spans="10:12" ht="28.8" customHeight="1" x14ac:dyDescent="0.35">
      <c r="J39" s="275" t="s">
        <v>642</v>
      </c>
      <c r="K39" s="291"/>
      <c r="L39" s="291"/>
    </row>
    <row r="40" spans="10:12" ht="28.8" customHeight="1" x14ac:dyDescent="0.3"/>
    <row r="41" spans="10:12" ht="28.8" customHeight="1" x14ac:dyDescent="0.3"/>
    <row r="42" spans="10:12" ht="28.8" customHeight="1" x14ac:dyDescent="0.3"/>
    <row r="43" spans="10:12" ht="28.8" customHeight="1" x14ac:dyDescent="0.3"/>
    <row r="44" spans="10:12" ht="28.8" customHeight="1" x14ac:dyDescent="0.3"/>
    <row r="45" spans="10:12" ht="28.8" customHeight="1" x14ac:dyDescent="0.3"/>
    <row r="46" spans="10:12" ht="28.8" customHeight="1" x14ac:dyDescent="0.3"/>
    <row r="47" spans="10:12" ht="28.8" customHeight="1" x14ac:dyDescent="0.3"/>
    <row r="48" spans="10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E13" sqref="E13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49.5546875" style="100" customWidth="1"/>
    <col min="11" max="11" width="22.44140625" style="100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</row>
    <row r="5" spans="1:47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</row>
    <row r="6" spans="1:47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</row>
    <row r="7" spans="1:47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H11" s="273" t="s">
        <v>9</v>
      </c>
      <c r="I11" s="132" t="s">
        <v>597</v>
      </c>
      <c r="J11" s="274" t="s">
        <v>643</v>
      </c>
      <c r="K11" s="300"/>
      <c r="L11" s="273" t="s">
        <v>11</v>
      </c>
      <c r="M11" s="132" t="s">
        <v>597</v>
      </c>
      <c r="N11" s="274" t="s">
        <v>643</v>
      </c>
    </row>
    <row r="12" spans="1:47" ht="28.8" customHeight="1" x14ac:dyDescent="0.4">
      <c r="H12" s="275" t="s">
        <v>3</v>
      </c>
      <c r="I12" s="301">
        <f>[4]N_PRODREQ!N31</f>
        <v>0</v>
      </c>
      <c r="J12" s="291"/>
      <c r="L12" s="275" t="s">
        <v>3</v>
      </c>
      <c r="M12" s="301"/>
      <c r="N12" s="291"/>
    </row>
    <row r="13" spans="1:47" ht="28.8" customHeight="1" x14ac:dyDescent="0.4">
      <c r="H13" s="275" t="s">
        <v>4</v>
      </c>
      <c r="I13" s="301">
        <f>[4]N_PRODREQ!N33</f>
        <v>0</v>
      </c>
      <c r="J13" s="291"/>
      <c r="L13" s="275" t="s">
        <v>4</v>
      </c>
      <c r="M13" s="301"/>
      <c r="N13" s="291"/>
    </row>
    <row r="14" spans="1:47" ht="28.8" customHeight="1" x14ac:dyDescent="0.4">
      <c r="H14" s="275" t="s">
        <v>644</v>
      </c>
      <c r="I14" s="301">
        <f>[4]N_PRODREQ!N35</f>
        <v>0</v>
      </c>
      <c r="J14" s="292"/>
      <c r="L14" s="275" t="s">
        <v>644</v>
      </c>
      <c r="M14" s="301"/>
      <c r="N14" s="292"/>
    </row>
    <row r="15" spans="1:47" ht="28.8" customHeight="1" x14ac:dyDescent="0.4">
      <c r="H15" s="275" t="s">
        <v>645</v>
      </c>
      <c r="I15" s="301">
        <f>[4]N_PRODREQ!N37</f>
        <v>0</v>
      </c>
      <c r="J15" s="292"/>
      <c r="L15" s="275" t="s">
        <v>645</v>
      </c>
      <c r="M15" s="301"/>
      <c r="N15" s="292"/>
    </row>
    <row r="16" spans="1:47" ht="28.8" customHeight="1" x14ac:dyDescent="0.4">
      <c r="H16" s="275" t="s">
        <v>646</v>
      </c>
      <c r="I16" s="301">
        <f>[4]N_PRODREQ!N39</f>
        <v>0</v>
      </c>
      <c r="J16" s="292"/>
      <c r="L16" s="275" t="s">
        <v>646</v>
      </c>
      <c r="M16" s="301"/>
      <c r="N16" s="292"/>
    </row>
    <row r="17" spans="8:14" ht="28.8" customHeight="1" x14ac:dyDescent="0.3"/>
    <row r="18" spans="8:14" ht="28.8" customHeight="1" x14ac:dyDescent="0.3"/>
    <row r="19" spans="8:14" ht="28.8" customHeight="1" x14ac:dyDescent="0.3">
      <c r="H19" s="273" t="s">
        <v>647</v>
      </c>
      <c r="I19" s="132" t="s">
        <v>597</v>
      </c>
      <c r="J19" s="274" t="s">
        <v>643</v>
      </c>
      <c r="K19" s="300"/>
      <c r="L19" s="273" t="s">
        <v>10</v>
      </c>
      <c r="M19" s="132" t="s">
        <v>597</v>
      </c>
      <c r="N19" s="274" t="s">
        <v>643</v>
      </c>
    </row>
    <row r="20" spans="8:14" ht="28.8" customHeight="1" x14ac:dyDescent="0.4">
      <c r="H20" s="275" t="s">
        <v>3</v>
      </c>
      <c r="I20" s="301"/>
      <c r="J20" s="291"/>
      <c r="L20" s="275" t="s">
        <v>3</v>
      </c>
      <c r="M20" s="301"/>
      <c r="N20" s="291"/>
    </row>
    <row r="21" spans="8:14" ht="28.8" customHeight="1" x14ac:dyDescent="0.4">
      <c r="H21" s="275" t="s">
        <v>4</v>
      </c>
      <c r="I21" s="301"/>
      <c r="J21" s="291"/>
      <c r="L21" s="275" t="s">
        <v>4</v>
      </c>
      <c r="M21" s="301"/>
      <c r="N21" s="291"/>
    </row>
    <row r="22" spans="8:14" ht="28.8" customHeight="1" x14ac:dyDescent="0.4">
      <c r="H22" s="275" t="s">
        <v>644</v>
      </c>
      <c r="I22" s="301"/>
      <c r="J22" s="292"/>
      <c r="L22" s="275" t="s">
        <v>644</v>
      </c>
      <c r="M22" s="301"/>
      <c r="N22" s="292"/>
    </row>
    <row r="23" spans="8:14" ht="28.8" customHeight="1" x14ac:dyDescent="0.4">
      <c r="H23" s="275" t="s">
        <v>645</v>
      </c>
      <c r="I23" s="301"/>
      <c r="J23" s="292"/>
      <c r="L23" s="275" t="s">
        <v>645</v>
      </c>
      <c r="M23" s="301"/>
      <c r="N23" s="292"/>
    </row>
    <row r="24" spans="8:14" ht="28.8" customHeight="1" x14ac:dyDescent="0.4">
      <c r="H24" s="275" t="s">
        <v>646</v>
      </c>
      <c r="I24" s="301"/>
      <c r="J24" s="292"/>
      <c r="L24" s="275" t="s">
        <v>646</v>
      </c>
      <c r="M24" s="301"/>
      <c r="N24" s="292"/>
    </row>
    <row r="25" spans="8:14" ht="28.8" customHeight="1" x14ac:dyDescent="0.3"/>
    <row r="26" spans="8:14" ht="28.8" customHeight="1" x14ac:dyDescent="0.3"/>
    <row r="27" spans="8:14" ht="28.8" customHeight="1" x14ac:dyDescent="0.3"/>
    <row r="28" spans="8:14" ht="28.8" customHeight="1" x14ac:dyDescent="0.3"/>
    <row r="29" spans="8:14" ht="28.8" customHeight="1" x14ac:dyDescent="0.3"/>
    <row r="30" spans="8:14" ht="28.8" customHeight="1" x14ac:dyDescent="0.3"/>
    <row r="31" spans="8:14" ht="28.8" customHeight="1" x14ac:dyDescent="0.3"/>
    <row r="32" spans="8:14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zoomScale="40" zoomScaleNormal="40" workbookViewId="0">
      <selection activeCell="G3" activeCellId="1" sqref="E12 G3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</row>
    <row r="5" spans="1:47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</row>
    <row r="6" spans="1:47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</row>
    <row r="7" spans="1:47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</row>
    <row r="8" spans="1:47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8" customHeight="1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showGridLines="0" zoomScale="40" zoomScaleNormal="40" workbookViewId="0">
      <selection activeCell="E19" sqref="E19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</row>
    <row r="5" spans="1:47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</row>
    <row r="6" spans="1:47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</row>
    <row r="7" spans="1:47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/>
    <row r="12" spans="1:47" ht="28.8" customHeight="1" x14ac:dyDescent="0.3">
      <c r="F12" s="302"/>
      <c r="G12" s="562" t="s">
        <v>283</v>
      </c>
      <c r="H12" s="562"/>
      <c r="K12" s="302"/>
      <c r="L12" s="562" t="s">
        <v>283</v>
      </c>
      <c r="M12" s="562"/>
    </row>
    <row r="13" spans="1:47" ht="28.8" customHeight="1" x14ac:dyDescent="0.3">
      <c r="F13" s="305" t="s">
        <v>282</v>
      </c>
      <c r="G13" s="306" t="s">
        <v>648</v>
      </c>
      <c r="H13" s="306" t="s">
        <v>649</v>
      </c>
      <c r="K13" s="305" t="s">
        <v>650</v>
      </c>
      <c r="L13" s="306" t="s">
        <v>648</v>
      </c>
      <c r="M13" s="306" t="s">
        <v>649</v>
      </c>
    </row>
    <row r="14" spans="1:47" ht="28.8" customHeight="1" x14ac:dyDescent="0.3">
      <c r="F14" s="304" t="s">
        <v>647</v>
      </c>
      <c r="G14" s="307">
        <v>700</v>
      </c>
      <c r="H14" s="308"/>
      <c r="K14" s="304" t="s">
        <v>3</v>
      </c>
      <c r="L14" s="303"/>
      <c r="M14" s="303"/>
    </row>
    <row r="15" spans="1:47" ht="28.8" customHeight="1" x14ac:dyDescent="0.3">
      <c r="F15" s="304" t="s">
        <v>9</v>
      </c>
      <c r="G15" s="308">
        <v>200</v>
      </c>
      <c r="H15" s="308"/>
      <c r="K15" s="304" t="s">
        <v>4</v>
      </c>
      <c r="L15" s="303"/>
      <c r="M15" s="303"/>
    </row>
    <row r="16" spans="1:47" ht="28.8" customHeight="1" x14ac:dyDescent="0.3">
      <c r="F16" s="304" t="s">
        <v>10</v>
      </c>
      <c r="G16" s="308">
        <v>400</v>
      </c>
      <c r="H16" s="308"/>
      <c r="K16" s="304" t="s">
        <v>5</v>
      </c>
      <c r="L16" s="303"/>
      <c r="M16" s="303"/>
    </row>
    <row r="17" spans="6:13" ht="28.8" customHeight="1" x14ac:dyDescent="0.3">
      <c r="F17" s="304" t="s">
        <v>11</v>
      </c>
      <c r="G17" s="308"/>
      <c r="H17" s="308"/>
      <c r="K17" s="304" t="s">
        <v>6</v>
      </c>
      <c r="L17" s="303"/>
      <c r="M17" s="303"/>
    </row>
    <row r="18" spans="6:13" ht="28.8" customHeight="1" x14ac:dyDescent="0.3">
      <c r="K18" s="304" t="s">
        <v>7</v>
      </c>
      <c r="L18" s="234"/>
      <c r="M18" s="234"/>
    </row>
    <row r="19" spans="6:13" ht="28.8" customHeight="1" x14ac:dyDescent="0.3"/>
    <row r="20" spans="6:13" ht="28.8" customHeight="1" x14ac:dyDescent="0.3"/>
    <row r="21" spans="6:13" ht="28.8" customHeight="1" x14ac:dyDescent="0.3"/>
    <row r="22" spans="6:13" ht="28.8" customHeight="1" x14ac:dyDescent="0.3"/>
    <row r="23" spans="6:13" ht="28.8" customHeight="1" x14ac:dyDescent="0.3"/>
    <row r="24" spans="6:13" ht="28.8" customHeight="1" x14ac:dyDescent="0.3"/>
    <row r="25" spans="6:13" ht="28.8" customHeight="1" x14ac:dyDescent="0.3"/>
    <row r="26" spans="6:13" ht="28.8" customHeight="1" x14ac:dyDescent="0.3"/>
    <row r="27" spans="6:13" ht="28.8" customHeight="1" x14ac:dyDescent="0.3"/>
    <row r="28" spans="6:13" ht="28.8" customHeight="1" x14ac:dyDescent="0.3"/>
    <row r="29" spans="6:13" ht="28.8" customHeight="1" x14ac:dyDescent="0.3"/>
    <row r="30" spans="6:13" ht="28.8" customHeight="1" x14ac:dyDescent="0.3"/>
    <row r="31" spans="6:13" ht="28.8" customHeight="1" x14ac:dyDescent="0.3"/>
    <row r="32" spans="6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40" zoomScaleNormal="40" workbookViewId="0">
      <selection activeCell="M48" sqref="M48"/>
    </sheetView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47.6640625" style="100" customWidth="1"/>
    <col min="6" max="6" width="32.109375" style="100" bestFit="1" customWidth="1"/>
    <col min="7" max="7" width="26" style="100" customWidth="1"/>
    <col min="8" max="8" width="49" style="100" customWidth="1"/>
    <col min="9" max="9" width="25.44140625" style="100" bestFit="1" customWidth="1"/>
    <col min="10" max="10" width="21.44140625" style="100" bestFit="1" customWidth="1"/>
    <col min="11" max="11" width="51.6640625" style="100" customWidth="1"/>
    <col min="12" max="12" width="34.77734375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</row>
    <row r="5" spans="1:47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</row>
    <row r="6" spans="1:47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</row>
    <row r="7" spans="1:47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</row>
    <row r="8" spans="1:47" ht="28.8" customHeight="1" x14ac:dyDescent="0.3"/>
    <row r="9" spans="1:47" ht="28.8" customHeight="1" thickBot="1" x14ac:dyDescent="0.35"/>
    <row r="10" spans="1:47" ht="28.8" customHeight="1" thickBot="1" x14ac:dyDescent="0.45">
      <c r="E10" s="569" t="s">
        <v>361</v>
      </c>
      <c r="F10" s="570"/>
      <c r="G10" s="570"/>
      <c r="H10" s="570"/>
      <c r="I10" s="570"/>
      <c r="J10" s="570"/>
      <c r="K10" s="571"/>
      <c r="L10" s="310"/>
      <c r="M10" s="572" t="s">
        <v>406</v>
      </c>
      <c r="N10" s="573"/>
      <c r="O10" s="573"/>
      <c r="P10" s="574"/>
      <c r="Q10" s="232"/>
    </row>
    <row r="11" spans="1:47" ht="28.8" customHeight="1" x14ac:dyDescent="0.4">
      <c r="E11" s="311" t="s">
        <v>287</v>
      </c>
      <c r="F11" s="312" t="s">
        <v>362</v>
      </c>
      <c r="G11" s="312" t="s">
        <v>407</v>
      </c>
      <c r="H11" s="312" t="s">
        <v>293</v>
      </c>
      <c r="I11" s="312" t="s">
        <v>403</v>
      </c>
      <c r="J11" s="312" t="s">
        <v>408</v>
      </c>
      <c r="K11" s="313" t="s">
        <v>409</v>
      </c>
      <c r="L11" s="230"/>
      <c r="M11" s="326" t="s">
        <v>410</v>
      </c>
      <c r="N11" s="299" t="s">
        <v>362</v>
      </c>
      <c r="O11" s="299" t="s">
        <v>294</v>
      </c>
      <c r="P11" s="327" t="s">
        <v>407</v>
      </c>
      <c r="Q11" s="233"/>
    </row>
    <row r="12" spans="1:47" ht="28.8" customHeight="1" x14ac:dyDescent="0.4">
      <c r="E12" s="314" t="s">
        <v>411</v>
      </c>
      <c r="F12" s="315" t="s">
        <v>412</v>
      </c>
      <c r="G12" s="315" t="s">
        <v>413</v>
      </c>
      <c r="H12" s="316" t="s">
        <v>414</v>
      </c>
      <c r="I12" s="315" t="s">
        <v>415</v>
      </c>
      <c r="J12" s="315" t="s">
        <v>416</v>
      </c>
      <c r="K12" s="317" t="s">
        <v>417</v>
      </c>
      <c r="L12" s="230"/>
      <c r="M12" s="328"/>
      <c r="N12" s="329"/>
      <c r="O12" s="329"/>
      <c r="P12" s="330"/>
      <c r="Q12" s="233"/>
    </row>
    <row r="13" spans="1:47" ht="28.8" customHeight="1" x14ac:dyDescent="0.4">
      <c r="E13" s="314" t="s">
        <v>418</v>
      </c>
      <c r="F13" s="315" t="s">
        <v>419</v>
      </c>
      <c r="G13" s="315" t="s">
        <v>420</v>
      </c>
      <c r="H13" s="316" t="s">
        <v>421</v>
      </c>
      <c r="I13" s="315" t="s">
        <v>422</v>
      </c>
      <c r="J13" s="315" t="s">
        <v>416</v>
      </c>
      <c r="K13" s="318" t="s">
        <v>423</v>
      </c>
      <c r="L13" s="230"/>
      <c r="M13" s="328"/>
      <c r="N13" s="329"/>
      <c r="O13" s="329"/>
      <c r="P13" s="330"/>
      <c r="Q13" s="233"/>
    </row>
    <row r="14" spans="1:47" ht="28.8" customHeight="1" x14ac:dyDescent="0.4">
      <c r="E14" s="314" t="s">
        <v>424</v>
      </c>
      <c r="F14" s="315" t="s">
        <v>425</v>
      </c>
      <c r="G14" s="315" t="s">
        <v>426</v>
      </c>
      <c r="H14" s="316" t="s">
        <v>427</v>
      </c>
      <c r="I14" s="315" t="s">
        <v>428</v>
      </c>
      <c r="J14" s="315" t="s">
        <v>416</v>
      </c>
      <c r="K14" s="317" t="s">
        <v>429</v>
      </c>
      <c r="L14" s="230"/>
      <c r="M14" s="328"/>
      <c r="N14" s="329"/>
      <c r="O14" s="329"/>
      <c r="P14" s="330"/>
      <c r="Q14" s="233"/>
    </row>
    <row r="15" spans="1:47" ht="28.8" customHeight="1" x14ac:dyDescent="0.4">
      <c r="E15" s="314" t="s">
        <v>430</v>
      </c>
      <c r="F15" s="315" t="s">
        <v>431</v>
      </c>
      <c r="G15" s="315" t="s">
        <v>432</v>
      </c>
      <c r="H15" s="316" t="s">
        <v>433</v>
      </c>
      <c r="I15" s="315" t="s">
        <v>416</v>
      </c>
      <c r="J15" s="315" t="s">
        <v>416</v>
      </c>
      <c r="K15" s="319" t="s">
        <v>434</v>
      </c>
      <c r="L15" s="1"/>
      <c r="M15" s="328"/>
      <c r="N15" s="329"/>
      <c r="O15" s="329"/>
      <c r="P15" s="330"/>
      <c r="Q15" s="233"/>
    </row>
    <row r="16" spans="1:47" ht="28.8" customHeight="1" x14ac:dyDescent="0.4">
      <c r="E16" s="314" t="s">
        <v>435</v>
      </c>
      <c r="F16" s="315" t="s">
        <v>436</v>
      </c>
      <c r="G16" s="315" t="s">
        <v>437</v>
      </c>
      <c r="H16" s="316" t="s">
        <v>438</v>
      </c>
      <c r="I16" s="315" t="s">
        <v>439</v>
      </c>
      <c r="J16" s="315" t="s">
        <v>416</v>
      </c>
      <c r="K16" s="318" t="s">
        <v>440</v>
      </c>
      <c r="L16" s="1"/>
      <c r="M16" s="328"/>
      <c r="N16" s="329"/>
      <c r="O16" s="329"/>
      <c r="P16" s="330"/>
      <c r="Q16" s="233"/>
    </row>
    <row r="17" spans="5:17" ht="28.8" customHeight="1" x14ac:dyDescent="0.4">
      <c r="E17" s="314" t="s">
        <v>441</v>
      </c>
      <c r="F17" s="315" t="s">
        <v>442</v>
      </c>
      <c r="G17" s="315" t="s">
        <v>443</v>
      </c>
      <c r="H17" s="316" t="s">
        <v>444</v>
      </c>
      <c r="I17" s="315" t="s">
        <v>445</v>
      </c>
      <c r="J17" s="315" t="s">
        <v>416</v>
      </c>
      <c r="K17" s="317" t="s">
        <v>446</v>
      </c>
      <c r="L17" s="1"/>
      <c r="M17" s="328"/>
      <c r="N17" s="329"/>
      <c r="O17" s="329"/>
      <c r="P17" s="330"/>
      <c r="Q17" s="233"/>
    </row>
    <row r="18" spans="5:17" ht="28.8" customHeight="1" x14ac:dyDescent="0.4">
      <c r="E18" s="314" t="s">
        <v>447</v>
      </c>
      <c r="F18" s="315" t="s">
        <v>448</v>
      </c>
      <c r="G18" s="315" t="s">
        <v>449</v>
      </c>
      <c r="H18" s="316" t="s">
        <v>450</v>
      </c>
      <c r="I18" s="315" t="s">
        <v>451</v>
      </c>
      <c r="J18" s="315" t="s">
        <v>416</v>
      </c>
      <c r="K18" s="317" t="s">
        <v>452</v>
      </c>
      <c r="M18" s="328"/>
      <c r="N18" s="329"/>
      <c r="O18" s="329"/>
      <c r="P18" s="330"/>
      <c r="Q18" s="233"/>
    </row>
    <row r="19" spans="5:17" ht="28.8" customHeight="1" x14ac:dyDescent="0.4">
      <c r="E19" s="314" t="s">
        <v>453</v>
      </c>
      <c r="F19" s="315" t="s">
        <v>454</v>
      </c>
      <c r="G19" s="315" t="s">
        <v>455</v>
      </c>
      <c r="H19" s="316" t="s">
        <v>456</v>
      </c>
      <c r="I19" s="315" t="s">
        <v>457</v>
      </c>
      <c r="J19" s="315" t="s">
        <v>416</v>
      </c>
      <c r="K19" s="320" t="s">
        <v>458</v>
      </c>
      <c r="M19" s="328"/>
      <c r="N19" s="329"/>
      <c r="O19" s="329"/>
      <c r="P19" s="330"/>
      <c r="Q19" s="233"/>
    </row>
    <row r="20" spans="5:17" ht="28.8" customHeight="1" x14ac:dyDescent="0.4">
      <c r="E20" s="314" t="s">
        <v>459</v>
      </c>
      <c r="F20" s="315" t="s">
        <v>460</v>
      </c>
      <c r="G20" s="315" t="s">
        <v>461</v>
      </c>
      <c r="H20" s="316" t="s">
        <v>462</v>
      </c>
      <c r="I20" s="315" t="s">
        <v>463</v>
      </c>
      <c r="J20" s="315" t="s">
        <v>464</v>
      </c>
      <c r="K20" s="317" t="s">
        <v>465</v>
      </c>
      <c r="M20" s="328"/>
      <c r="N20" s="329"/>
      <c r="O20" s="329"/>
      <c r="P20" s="330"/>
      <c r="Q20" s="233"/>
    </row>
    <row r="21" spans="5:17" ht="28.8" customHeight="1" x14ac:dyDescent="0.4">
      <c r="E21" s="314" t="s">
        <v>466</v>
      </c>
      <c r="F21" s="315" t="s">
        <v>467</v>
      </c>
      <c r="G21" s="315" t="s">
        <v>468</v>
      </c>
      <c r="H21" s="316" t="s">
        <v>469</v>
      </c>
      <c r="I21" s="315" t="s">
        <v>470</v>
      </c>
      <c r="J21" s="315" t="s">
        <v>464</v>
      </c>
      <c r="K21" s="318" t="s">
        <v>471</v>
      </c>
      <c r="M21" s="328"/>
      <c r="N21" s="329"/>
      <c r="O21" s="329"/>
      <c r="P21" s="330"/>
      <c r="Q21" s="233"/>
    </row>
    <row r="22" spans="5:17" ht="28.8" customHeight="1" x14ac:dyDescent="0.4">
      <c r="E22" s="314" t="s">
        <v>472</v>
      </c>
      <c r="F22" s="315" t="s">
        <v>473</v>
      </c>
      <c r="G22" s="315" t="s">
        <v>474</v>
      </c>
      <c r="H22" s="316" t="s">
        <v>475</v>
      </c>
      <c r="I22" s="315" t="s">
        <v>476</v>
      </c>
      <c r="J22" s="315" t="s">
        <v>464</v>
      </c>
      <c r="K22" s="318" t="s">
        <v>477</v>
      </c>
      <c r="M22" s="328"/>
      <c r="N22" s="329"/>
      <c r="O22" s="329"/>
      <c r="P22" s="330"/>
      <c r="Q22" s="233"/>
    </row>
    <row r="23" spans="5:17" ht="28.8" customHeight="1" x14ac:dyDescent="0.4">
      <c r="E23" s="314" t="s">
        <v>478</v>
      </c>
      <c r="F23" s="315" t="s">
        <v>479</v>
      </c>
      <c r="G23" s="315" t="s">
        <v>480</v>
      </c>
      <c r="H23" s="316" t="s">
        <v>481</v>
      </c>
      <c r="I23" s="315" t="s">
        <v>482</v>
      </c>
      <c r="J23" s="315" t="s">
        <v>464</v>
      </c>
      <c r="K23" s="321" t="s">
        <v>483</v>
      </c>
      <c r="M23" s="328"/>
      <c r="N23" s="329"/>
      <c r="O23" s="329"/>
      <c r="P23" s="330"/>
      <c r="Q23" s="233"/>
    </row>
    <row r="24" spans="5:17" ht="28.8" customHeight="1" thickBot="1" x14ac:dyDescent="0.45">
      <c r="E24" s="314" t="s">
        <v>484</v>
      </c>
      <c r="F24" s="315" t="s">
        <v>485</v>
      </c>
      <c r="G24" s="315" t="s">
        <v>486</v>
      </c>
      <c r="H24" s="316" t="s">
        <v>487</v>
      </c>
      <c r="I24" s="315" t="s">
        <v>470</v>
      </c>
      <c r="J24" s="315" t="s">
        <v>464</v>
      </c>
      <c r="K24" s="317" t="s">
        <v>488</v>
      </c>
      <c r="L24" s="235"/>
      <c r="M24" s="331"/>
      <c r="N24" s="332"/>
      <c r="O24" s="332"/>
      <c r="P24" s="333"/>
    </row>
    <row r="25" spans="5:17" ht="28.8" customHeight="1" x14ac:dyDescent="0.35">
      <c r="E25" s="314" t="s">
        <v>489</v>
      </c>
      <c r="F25" s="315" t="s">
        <v>490</v>
      </c>
      <c r="G25" s="315" t="s">
        <v>491</v>
      </c>
      <c r="H25" s="316" t="s">
        <v>492</v>
      </c>
      <c r="I25" s="315" t="s">
        <v>493</v>
      </c>
      <c r="J25" s="315" t="s">
        <v>464</v>
      </c>
      <c r="K25" s="317" t="s">
        <v>494</v>
      </c>
    </row>
    <row r="26" spans="5:17" ht="28.8" customHeight="1" x14ac:dyDescent="0.35">
      <c r="E26" s="314" t="s">
        <v>495</v>
      </c>
      <c r="F26" s="315" t="s">
        <v>496</v>
      </c>
      <c r="G26" s="315" t="s">
        <v>497</v>
      </c>
      <c r="H26" s="316" t="s">
        <v>498</v>
      </c>
      <c r="I26" s="315" t="s">
        <v>499</v>
      </c>
      <c r="J26" s="315" t="s">
        <v>464</v>
      </c>
      <c r="K26" s="319" t="s">
        <v>500</v>
      </c>
    </row>
    <row r="27" spans="5:17" ht="28.8" customHeight="1" x14ac:dyDescent="0.35">
      <c r="E27" s="314" t="s">
        <v>501</v>
      </c>
      <c r="F27" s="315" t="s">
        <v>502</v>
      </c>
      <c r="G27" s="315" t="s">
        <v>503</v>
      </c>
      <c r="H27" s="316" t="s">
        <v>504</v>
      </c>
      <c r="I27" s="315" t="s">
        <v>505</v>
      </c>
      <c r="J27" s="315" t="s">
        <v>464</v>
      </c>
      <c r="K27" s="317" t="s">
        <v>506</v>
      </c>
    </row>
    <row r="28" spans="5:17" ht="28.8" customHeight="1" x14ac:dyDescent="0.35">
      <c r="E28" s="314" t="s">
        <v>507</v>
      </c>
      <c r="F28" s="315" t="s">
        <v>508</v>
      </c>
      <c r="G28" s="315" t="s">
        <v>509</v>
      </c>
      <c r="H28" s="316" t="s">
        <v>510</v>
      </c>
      <c r="I28" s="315" t="s">
        <v>511</v>
      </c>
      <c r="J28" s="315" t="s">
        <v>512</v>
      </c>
      <c r="K28" s="317" t="s">
        <v>513</v>
      </c>
    </row>
    <row r="29" spans="5:17" ht="28.8" customHeight="1" x14ac:dyDescent="0.35">
      <c r="E29" s="314" t="s">
        <v>514</v>
      </c>
      <c r="F29" s="315" t="s">
        <v>515</v>
      </c>
      <c r="G29" s="315" t="s">
        <v>516</v>
      </c>
      <c r="H29" s="316" t="s">
        <v>517</v>
      </c>
      <c r="I29" s="315" t="s">
        <v>518</v>
      </c>
      <c r="J29" s="315" t="s">
        <v>512</v>
      </c>
      <c r="K29" s="317" t="s">
        <v>519</v>
      </c>
    </row>
    <row r="30" spans="5:17" ht="28.8" customHeight="1" x14ac:dyDescent="0.35">
      <c r="E30" s="314" t="s">
        <v>520</v>
      </c>
      <c r="F30" s="315" t="s">
        <v>521</v>
      </c>
      <c r="G30" s="315" t="s">
        <v>522</v>
      </c>
      <c r="H30" s="316" t="s">
        <v>523</v>
      </c>
      <c r="I30" s="315" t="s">
        <v>524</v>
      </c>
      <c r="J30" s="315" t="s">
        <v>512</v>
      </c>
      <c r="K30" s="317" t="s">
        <v>525</v>
      </c>
    </row>
    <row r="31" spans="5:17" ht="28.8" customHeight="1" x14ac:dyDescent="0.35">
      <c r="E31" s="314" t="s">
        <v>526</v>
      </c>
      <c r="F31" s="315" t="s">
        <v>527</v>
      </c>
      <c r="G31" s="315" t="s">
        <v>528</v>
      </c>
      <c r="H31" s="316" t="s">
        <v>529</v>
      </c>
      <c r="I31" s="315" t="s">
        <v>530</v>
      </c>
      <c r="J31" s="315" t="s">
        <v>512</v>
      </c>
      <c r="K31" s="317" t="s">
        <v>531</v>
      </c>
    </row>
    <row r="32" spans="5:17" ht="28.8" customHeight="1" thickBot="1" x14ac:dyDescent="0.4">
      <c r="E32" s="322" t="s">
        <v>532</v>
      </c>
      <c r="F32" s="323" t="s">
        <v>533</v>
      </c>
      <c r="G32" s="323" t="s">
        <v>534</v>
      </c>
      <c r="H32" s="324" t="s">
        <v>535</v>
      </c>
      <c r="I32" s="323" t="s">
        <v>536</v>
      </c>
      <c r="J32" s="323" t="s">
        <v>512</v>
      </c>
      <c r="K32" s="325" t="s">
        <v>537</v>
      </c>
    </row>
    <row r="33" spans="2:18" ht="28.8" customHeight="1" x14ac:dyDescent="0.3"/>
    <row r="34" spans="2:18" ht="28.8" customHeight="1" thickBot="1" x14ac:dyDescent="0.35"/>
    <row r="35" spans="2:18" ht="28.8" customHeight="1" thickBot="1" x14ac:dyDescent="0.45">
      <c r="B35" s="575" t="s">
        <v>538</v>
      </c>
      <c r="C35" s="576"/>
      <c r="D35" s="576"/>
      <c r="E35" s="576"/>
      <c r="F35" s="576"/>
      <c r="G35" s="576"/>
      <c r="H35" s="576"/>
      <c r="I35" s="576"/>
      <c r="J35" s="576"/>
      <c r="K35" s="576"/>
      <c r="L35" s="576"/>
      <c r="M35" s="576"/>
      <c r="N35" s="576"/>
      <c r="O35" s="576"/>
      <c r="P35" s="576"/>
      <c r="Q35" s="576"/>
      <c r="R35" s="577"/>
    </row>
    <row r="36" spans="2:18" ht="28.8" customHeight="1" x14ac:dyDescent="0.4">
      <c r="B36" s="334" t="s">
        <v>287</v>
      </c>
      <c r="C36" s="335" t="s">
        <v>288</v>
      </c>
      <c r="D36" s="335" t="s">
        <v>289</v>
      </c>
      <c r="E36" s="335" t="s">
        <v>290</v>
      </c>
      <c r="F36" s="335" t="s">
        <v>291</v>
      </c>
      <c r="G36" s="335" t="s">
        <v>292</v>
      </c>
      <c r="H36" s="335" t="s">
        <v>293</v>
      </c>
      <c r="I36" s="335" t="s">
        <v>294</v>
      </c>
      <c r="J36" s="335" t="s">
        <v>295</v>
      </c>
      <c r="K36" s="335" t="s">
        <v>311</v>
      </c>
      <c r="L36" s="336" t="s">
        <v>539</v>
      </c>
      <c r="M36" s="336" t="s">
        <v>540</v>
      </c>
      <c r="N36" s="336" t="s">
        <v>541</v>
      </c>
      <c r="O36" s="336" t="s">
        <v>360</v>
      </c>
      <c r="P36" s="336" t="s">
        <v>542</v>
      </c>
      <c r="Q36" s="336" t="s">
        <v>543</v>
      </c>
      <c r="R36" s="337" t="s">
        <v>319</v>
      </c>
    </row>
    <row r="37" spans="2:18" ht="28.8" customHeight="1" x14ac:dyDescent="0.3">
      <c r="B37" s="239" t="s">
        <v>544</v>
      </c>
      <c r="C37" s="234" t="s">
        <v>545</v>
      </c>
      <c r="D37" s="234" t="s">
        <v>546</v>
      </c>
      <c r="E37" s="234" t="s">
        <v>547</v>
      </c>
      <c r="F37" s="234">
        <v>3336859865</v>
      </c>
      <c r="G37" s="234" t="s">
        <v>548</v>
      </c>
      <c r="H37" s="240" t="s">
        <v>444</v>
      </c>
      <c r="I37" s="241" t="s">
        <v>549</v>
      </c>
      <c r="J37" s="234" t="s">
        <v>550</v>
      </c>
      <c r="K37" s="234" t="s">
        <v>551</v>
      </c>
      <c r="L37" s="242">
        <v>3000</v>
      </c>
      <c r="M37" s="242"/>
      <c r="N37" s="242"/>
      <c r="O37" s="242"/>
      <c r="P37" s="242"/>
      <c r="Q37" s="242"/>
      <c r="R37" s="243"/>
    </row>
    <row r="38" spans="2:18" ht="28.8" customHeight="1" x14ac:dyDescent="0.3">
      <c r="B38" s="239" t="s">
        <v>552</v>
      </c>
      <c r="C38" s="234" t="s">
        <v>545</v>
      </c>
      <c r="D38" s="234" t="s">
        <v>553</v>
      </c>
      <c r="E38" s="234" t="s">
        <v>554</v>
      </c>
      <c r="F38" s="234">
        <v>3336859865</v>
      </c>
      <c r="G38" s="234" t="s">
        <v>555</v>
      </c>
      <c r="H38" s="240" t="s">
        <v>450</v>
      </c>
      <c r="I38" s="241" t="s">
        <v>556</v>
      </c>
      <c r="J38" s="234" t="s">
        <v>557</v>
      </c>
      <c r="K38" s="234" t="s">
        <v>551</v>
      </c>
      <c r="L38" s="242">
        <v>3000</v>
      </c>
      <c r="M38" s="242"/>
      <c r="N38" s="242"/>
      <c r="O38" s="242"/>
      <c r="P38" s="242"/>
      <c r="Q38" s="242"/>
      <c r="R38" s="243"/>
    </row>
    <row r="39" spans="2:18" ht="28.8" customHeight="1" x14ac:dyDescent="0.3">
      <c r="B39" s="239" t="s">
        <v>558</v>
      </c>
      <c r="C39" s="234" t="s">
        <v>545</v>
      </c>
      <c r="D39" s="234" t="s">
        <v>546</v>
      </c>
      <c r="E39" s="234" t="s">
        <v>547</v>
      </c>
      <c r="F39" s="234">
        <v>3336859865</v>
      </c>
      <c r="G39" s="234" t="s">
        <v>559</v>
      </c>
      <c r="H39" s="240" t="s">
        <v>456</v>
      </c>
      <c r="I39" s="241" t="s">
        <v>560</v>
      </c>
      <c r="J39" s="234" t="s">
        <v>561</v>
      </c>
      <c r="K39" s="234" t="s">
        <v>551</v>
      </c>
      <c r="L39" s="242">
        <v>3000</v>
      </c>
      <c r="M39" s="242"/>
      <c r="N39" s="242"/>
      <c r="O39" s="242"/>
      <c r="P39" s="242"/>
      <c r="Q39" s="242"/>
      <c r="R39" s="243"/>
    </row>
    <row r="40" spans="2:18" ht="28.8" customHeight="1" x14ac:dyDescent="0.3">
      <c r="B40" s="239" t="s">
        <v>562</v>
      </c>
      <c r="C40" s="234" t="s">
        <v>545</v>
      </c>
      <c r="D40" s="234" t="s">
        <v>563</v>
      </c>
      <c r="E40" s="234" t="s">
        <v>554</v>
      </c>
      <c r="F40" s="234">
        <v>3336859865</v>
      </c>
      <c r="G40" s="234" t="s">
        <v>564</v>
      </c>
      <c r="H40" s="240" t="s">
        <v>462</v>
      </c>
      <c r="I40" s="241" t="s">
        <v>565</v>
      </c>
      <c r="J40" s="234" t="s">
        <v>566</v>
      </c>
      <c r="K40" s="234" t="s">
        <v>551</v>
      </c>
      <c r="L40" s="242">
        <v>3000</v>
      </c>
      <c r="M40" s="242"/>
      <c r="N40" s="242"/>
      <c r="O40" s="242"/>
      <c r="P40" s="242"/>
      <c r="Q40" s="242"/>
      <c r="R40" s="243"/>
    </row>
    <row r="41" spans="2:18" ht="28.8" customHeight="1" thickBot="1" x14ac:dyDescent="0.35">
      <c r="B41" s="236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8"/>
    </row>
    <row r="42" spans="2:18" ht="28.8" customHeight="1" x14ac:dyDescent="0.3"/>
    <row r="43" spans="2:18" ht="28.8" customHeight="1" x14ac:dyDescent="0.3"/>
    <row r="44" spans="2:18" ht="28.8" customHeight="1" x14ac:dyDescent="0.3"/>
    <row r="45" spans="2:18" ht="28.8" customHeight="1" x14ac:dyDescent="0.3"/>
    <row r="46" spans="2:18" ht="28.8" customHeight="1" x14ac:dyDescent="0.3"/>
    <row r="47" spans="2:18" ht="28.8" customHeight="1" x14ac:dyDescent="0.3"/>
    <row r="48" spans="2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>
      <selection activeCell="J3" activeCellId="1" sqref="C19 J3"/>
    </sheetView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21" style="100" bestFit="1" customWidth="1"/>
    <col min="6" max="6" width="45.44140625" style="100" bestFit="1" customWidth="1"/>
    <col min="7" max="7" width="34" style="100" bestFit="1" customWidth="1"/>
    <col min="8" max="8" width="50.44140625" style="100" bestFit="1" customWidth="1"/>
    <col min="9" max="9" width="46.21875" style="100" bestFit="1" customWidth="1"/>
    <col min="10" max="10" width="35.6640625" style="100" bestFit="1" customWidth="1"/>
    <col min="11" max="11" width="36.21875" style="100" bestFit="1" customWidth="1"/>
    <col min="12" max="12" width="36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</row>
    <row r="5" spans="1:47" x14ac:dyDescent="0.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</row>
    <row r="6" spans="1:47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</row>
    <row r="7" spans="1:47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E11" s="578" t="s">
        <v>567</v>
      </c>
      <c r="F11" s="578"/>
      <c r="G11" s="578"/>
      <c r="H11" s="578"/>
      <c r="I11" s="578"/>
      <c r="J11" s="244"/>
      <c r="K11" s="244"/>
      <c r="L11" s="231"/>
    </row>
    <row r="12" spans="1:47" ht="28.8" customHeight="1" x14ac:dyDescent="0.4">
      <c r="E12" s="338" t="s">
        <v>282</v>
      </c>
      <c r="F12" s="338" t="s">
        <v>568</v>
      </c>
      <c r="G12" s="339" t="s">
        <v>364</v>
      </c>
      <c r="H12" s="338" t="s">
        <v>365</v>
      </c>
      <c r="I12" s="338" t="s">
        <v>569</v>
      </c>
      <c r="J12" s="245"/>
      <c r="K12" s="245"/>
      <c r="L12" s="230"/>
    </row>
    <row r="13" spans="1:47" ht="28.8" customHeight="1" x14ac:dyDescent="0.4">
      <c r="E13" s="340"/>
      <c r="F13" s="340"/>
      <c r="G13" s="341">
        <v>20</v>
      </c>
      <c r="H13" s="340"/>
      <c r="I13" s="340" t="s">
        <v>570</v>
      </c>
      <c r="J13" s="81"/>
      <c r="K13" s="246"/>
      <c r="L13" s="230"/>
    </row>
    <row r="14" spans="1:47" ht="28.8" customHeight="1" x14ac:dyDescent="0.35">
      <c r="E14" s="340"/>
      <c r="F14" s="342"/>
      <c r="G14" s="343">
        <v>30</v>
      </c>
      <c r="H14" s="340"/>
      <c r="I14" s="340" t="s">
        <v>570</v>
      </c>
      <c r="J14" s="81"/>
      <c r="K14" s="233"/>
      <c r="L14" s="230"/>
    </row>
    <row r="15" spans="1:47" ht="28.8" customHeight="1" x14ac:dyDescent="0.35">
      <c r="E15" s="340"/>
      <c r="F15" s="340"/>
      <c r="G15" s="343">
        <v>23</v>
      </c>
      <c r="H15" s="340"/>
      <c r="I15" s="340" t="s">
        <v>570</v>
      </c>
      <c r="J15" s="81"/>
      <c r="K15" s="246"/>
      <c r="L15" s="230"/>
    </row>
    <row r="16" spans="1:47" ht="28.8" customHeight="1" x14ac:dyDescent="0.35">
      <c r="E16" s="340"/>
      <c r="F16" s="340"/>
      <c r="G16" s="343">
        <v>50</v>
      </c>
      <c r="H16" s="340"/>
      <c r="I16" s="340" t="s">
        <v>570</v>
      </c>
      <c r="J16" s="81"/>
      <c r="K16" s="247"/>
      <c r="L16" s="1"/>
    </row>
    <row r="17" spans="5:12" ht="28.8" customHeight="1" x14ac:dyDescent="0.35">
      <c r="E17" s="340"/>
      <c r="F17" s="340"/>
      <c r="G17" s="343">
        <v>77</v>
      </c>
      <c r="H17" s="340"/>
      <c r="I17" s="340" t="s">
        <v>570</v>
      </c>
      <c r="J17" s="81"/>
      <c r="K17" s="233"/>
      <c r="L17" s="1"/>
    </row>
    <row r="18" spans="5:12" ht="28.8" customHeight="1" x14ac:dyDescent="0.35">
      <c r="E18" s="340"/>
      <c r="F18" s="340"/>
      <c r="G18" s="343">
        <v>55</v>
      </c>
      <c r="H18" s="340"/>
      <c r="I18" s="340" t="s">
        <v>570</v>
      </c>
      <c r="J18" s="81"/>
      <c r="K18" s="246"/>
      <c r="L18" s="1"/>
    </row>
    <row r="19" spans="5:12" ht="28.8" customHeight="1" x14ac:dyDescent="0.35">
      <c r="E19" s="340"/>
      <c r="F19" s="340"/>
      <c r="G19" s="343">
        <v>130</v>
      </c>
      <c r="H19" s="340"/>
      <c r="I19" s="340" t="s">
        <v>570</v>
      </c>
      <c r="J19" s="81"/>
      <c r="K19" s="246"/>
    </row>
    <row r="20" spans="5:12" ht="28.8" customHeight="1" x14ac:dyDescent="0.35">
      <c r="E20" s="340"/>
      <c r="F20" s="340"/>
      <c r="G20" s="343">
        <v>62</v>
      </c>
      <c r="H20" s="340"/>
      <c r="I20" s="340" t="s">
        <v>570</v>
      </c>
      <c r="J20" s="81"/>
      <c r="K20" s="248"/>
    </row>
    <row r="21" spans="5:12" ht="28.8" customHeight="1" x14ac:dyDescent="0.35">
      <c r="E21" s="340"/>
      <c r="F21" s="340"/>
      <c r="G21" s="343">
        <v>8</v>
      </c>
      <c r="H21" s="340"/>
      <c r="I21" s="340" t="s">
        <v>570</v>
      </c>
      <c r="J21" s="81"/>
      <c r="K21" s="246"/>
    </row>
    <row r="22" spans="5:12" ht="28.8" customHeight="1" x14ac:dyDescent="0.35">
      <c r="E22" s="340"/>
      <c r="F22" s="340"/>
      <c r="G22" s="343">
        <v>54</v>
      </c>
      <c r="H22" s="340"/>
      <c r="I22" s="340" t="s">
        <v>570</v>
      </c>
      <c r="J22" s="81"/>
      <c r="K22" s="233"/>
    </row>
    <row r="23" spans="5:12" ht="28.8" customHeight="1" x14ac:dyDescent="0.35">
      <c r="E23" s="340"/>
      <c r="F23" s="340"/>
      <c r="G23" s="343">
        <v>4</v>
      </c>
      <c r="H23" s="340"/>
      <c r="I23" s="340" t="s">
        <v>570</v>
      </c>
      <c r="J23" s="81"/>
      <c r="K23" s="233"/>
    </row>
    <row r="24" spans="5:12" ht="28.8" customHeight="1" x14ac:dyDescent="0.35">
      <c r="E24" s="340"/>
      <c r="F24" s="340"/>
      <c r="G24" s="343">
        <v>64</v>
      </c>
      <c r="H24" s="340"/>
      <c r="I24" s="340" t="s">
        <v>570</v>
      </c>
      <c r="J24" s="81"/>
      <c r="K24" s="249"/>
    </row>
    <row r="25" spans="5:12" ht="28.8" customHeight="1" x14ac:dyDescent="0.35">
      <c r="E25" s="340"/>
      <c r="F25" s="340"/>
      <c r="G25" s="343">
        <v>78</v>
      </c>
      <c r="H25" s="340"/>
      <c r="I25" s="340" t="s">
        <v>570</v>
      </c>
      <c r="J25" s="81"/>
      <c r="K25" s="246"/>
      <c r="L25" s="235"/>
    </row>
    <row r="26" spans="5:12" ht="28.8" customHeight="1" thickBot="1" x14ac:dyDescent="0.35">
      <c r="E26" s="81"/>
      <c r="F26" s="81"/>
      <c r="G26" s="81"/>
      <c r="H26" s="246"/>
      <c r="I26" s="81"/>
      <c r="J26" s="81"/>
      <c r="K26" s="246"/>
    </row>
    <row r="27" spans="5:12" ht="28.8" customHeight="1" x14ac:dyDescent="0.4">
      <c r="E27" s="566" t="s">
        <v>571</v>
      </c>
      <c r="F27" s="567"/>
      <c r="G27" s="567"/>
      <c r="H27" s="567"/>
      <c r="I27" s="567"/>
      <c r="J27" s="567"/>
      <c r="K27" s="567"/>
      <c r="L27" s="568"/>
    </row>
    <row r="28" spans="5:12" ht="28.8" customHeight="1" x14ac:dyDescent="0.3">
      <c r="E28" s="344" t="s">
        <v>220</v>
      </c>
      <c r="F28" s="272" t="s">
        <v>572</v>
      </c>
      <c r="G28" s="272" t="s">
        <v>573</v>
      </c>
      <c r="H28" s="272" t="s">
        <v>574</v>
      </c>
      <c r="I28" s="272" t="s">
        <v>575</v>
      </c>
      <c r="J28" s="272" t="s">
        <v>576</v>
      </c>
      <c r="K28" s="272" t="s">
        <v>577</v>
      </c>
      <c r="L28" s="345" t="s">
        <v>578</v>
      </c>
    </row>
    <row r="29" spans="5:12" ht="28.8" customHeight="1" x14ac:dyDescent="0.4">
      <c r="E29" s="346"/>
      <c r="F29" s="308"/>
      <c r="G29" s="308"/>
      <c r="H29" s="308"/>
      <c r="I29" s="308"/>
      <c r="J29" s="329"/>
      <c r="K29" s="329"/>
      <c r="L29" s="330"/>
    </row>
    <row r="30" spans="5:12" ht="28.8" customHeight="1" x14ac:dyDescent="0.4">
      <c r="E30" s="346"/>
      <c r="F30" s="308"/>
      <c r="G30" s="308"/>
      <c r="H30" s="308"/>
      <c r="I30" s="308"/>
      <c r="J30" s="329"/>
      <c r="K30" s="329"/>
      <c r="L30" s="330"/>
    </row>
    <row r="31" spans="5:12" ht="28.8" customHeight="1" x14ac:dyDescent="0.4">
      <c r="E31" s="328"/>
      <c r="F31" s="329"/>
      <c r="G31" s="329"/>
      <c r="H31" s="329"/>
      <c r="I31" s="329"/>
      <c r="J31" s="329"/>
      <c r="K31" s="329"/>
      <c r="L31" s="330"/>
    </row>
    <row r="32" spans="5:12" ht="28.8" customHeight="1" x14ac:dyDescent="0.4">
      <c r="E32" s="328"/>
      <c r="F32" s="329"/>
      <c r="G32" s="329"/>
      <c r="H32" s="329"/>
      <c r="I32" s="329"/>
      <c r="J32" s="329"/>
      <c r="K32" s="329"/>
      <c r="L32" s="330"/>
    </row>
    <row r="33" spans="5:12" ht="28.8" customHeight="1" x14ac:dyDescent="0.4">
      <c r="E33" s="328"/>
      <c r="F33" s="329"/>
      <c r="G33" s="329"/>
      <c r="H33" s="329"/>
      <c r="I33" s="329"/>
      <c r="J33" s="329"/>
      <c r="K33" s="329"/>
      <c r="L33" s="330"/>
    </row>
    <row r="34" spans="5:12" ht="28.8" customHeight="1" thickBot="1" x14ac:dyDescent="0.45">
      <c r="E34" s="331"/>
      <c r="F34" s="332"/>
      <c r="G34" s="332"/>
      <c r="H34" s="332"/>
      <c r="I34" s="332"/>
      <c r="J34" s="332"/>
      <c r="K34" s="332"/>
      <c r="L34" s="333"/>
    </row>
    <row r="35" spans="5:12" ht="28.8" customHeight="1" x14ac:dyDescent="0.3"/>
    <row r="36" spans="5:12" ht="28.8" customHeight="1" x14ac:dyDescent="0.3"/>
    <row r="37" spans="5:12" ht="28.8" customHeight="1" x14ac:dyDescent="0.3"/>
    <row r="38" spans="5:12" ht="28.8" customHeight="1" x14ac:dyDescent="0.3"/>
    <row r="39" spans="5:12" ht="28.8" customHeight="1" x14ac:dyDescent="0.3"/>
    <row r="40" spans="5:12" ht="28.8" customHeight="1" x14ac:dyDescent="0.3"/>
    <row r="41" spans="5:12" ht="28.8" customHeight="1" x14ac:dyDescent="0.3"/>
    <row r="42" spans="5:12" ht="28.8" customHeight="1" x14ac:dyDescent="0.3"/>
    <row r="43" spans="5:12" ht="28.8" customHeight="1" x14ac:dyDescent="0.3"/>
    <row r="44" spans="5:12" ht="28.8" customHeight="1" x14ac:dyDescent="0.3"/>
    <row r="45" spans="5:12" ht="28.8" customHeight="1" x14ac:dyDescent="0.3"/>
    <row r="46" spans="5:12" ht="28.8" customHeight="1" x14ac:dyDescent="0.3"/>
    <row r="47" spans="5:12" ht="28.8" customHeight="1" x14ac:dyDescent="0.3"/>
    <row r="48" spans="5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C8EE-79FD-42C7-8BD3-FBDDB6496E2E}">
  <sheetPr codeName="Planilha69">
    <tabColor rgb="FFFF0000"/>
  </sheetPr>
  <dimension ref="A1:AF42"/>
  <sheetViews>
    <sheetView showGridLines="0" tabSelected="1" zoomScale="40" zoomScaleNormal="40" workbookViewId="0">
      <selection activeCell="B17" sqref="B17"/>
    </sheetView>
  </sheetViews>
  <sheetFormatPr defaultColWidth="8.88671875" defaultRowHeight="14.4" x14ac:dyDescent="0.3"/>
  <cols>
    <col min="1" max="1" width="8.88671875" style="100"/>
    <col min="2" max="2" width="31" style="100" customWidth="1"/>
    <col min="3" max="3" width="59.88671875" style="100" customWidth="1"/>
    <col min="4" max="4" width="47.33203125" style="100" customWidth="1"/>
    <col min="5" max="5" width="52.109375" style="100" customWidth="1"/>
    <col min="6" max="6" width="41.5546875" style="100" customWidth="1"/>
    <col min="7" max="7" width="25.5546875" style="100" customWidth="1"/>
    <col min="8" max="8" width="27.5546875" style="100" customWidth="1"/>
    <col min="9" max="10" width="47.88671875" style="100" customWidth="1"/>
    <col min="11" max="11" width="33" style="100" customWidth="1"/>
    <col min="12" max="12" width="36" style="100" customWidth="1"/>
    <col min="13" max="13" width="28" style="100" bestFit="1" customWidth="1"/>
    <col min="14" max="14" width="30" style="100" customWidth="1"/>
    <col min="15" max="15" width="31" style="100" bestFit="1" customWidth="1"/>
    <col min="16" max="16" width="26.88671875" style="100" customWidth="1"/>
    <col min="17" max="17" width="14.5546875" style="100" customWidth="1"/>
    <col min="18" max="18" width="27" style="100" customWidth="1"/>
    <col min="19" max="19" width="13.33203125" style="100" customWidth="1"/>
    <col min="20" max="16384" width="8.88671875" style="100"/>
  </cols>
  <sheetData>
    <row r="1" spans="1:32" s="101" customFormat="1" x14ac:dyDescent="0.3"/>
    <row r="2" spans="1:32" s="101" customFormat="1" x14ac:dyDescent="0.3"/>
    <row r="3" spans="1:32" s="101" customFormat="1" ht="61.5" customHeight="1" x14ac:dyDescent="0.3"/>
    <row r="4" spans="1:32" ht="46.2" customHeight="1" x14ac:dyDescent="0.3">
      <c r="A4" s="563"/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</row>
    <row r="6" spans="1:32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32" ht="21.6" thickBot="1" x14ac:dyDescent="0.4">
      <c r="B7" s="406"/>
      <c r="C7" s="410"/>
      <c r="D7" s="564"/>
      <c r="E7" s="564"/>
      <c r="F7" s="406"/>
      <c r="G7" s="406"/>
      <c r="H7" s="410"/>
      <c r="I7" s="564"/>
      <c r="J7" s="564"/>
      <c r="K7" s="564"/>
      <c r="L7" s="406"/>
      <c r="M7" s="402"/>
      <c r="N7" s="402"/>
      <c r="O7" s="402"/>
      <c r="P7" s="402"/>
      <c r="Q7" s="402"/>
      <c r="R7" s="402"/>
      <c r="S7" s="402"/>
      <c r="T7" s="402"/>
    </row>
    <row r="8" spans="1:32" ht="21" x14ac:dyDescent="0.4">
      <c r="C8" s="565" t="s">
        <v>361</v>
      </c>
      <c r="D8" s="565"/>
      <c r="E8" s="565"/>
      <c r="F8" s="565"/>
      <c r="G8" s="565"/>
      <c r="H8" s="565"/>
      <c r="I8" s="565"/>
      <c r="J8" s="439"/>
      <c r="K8" s="309"/>
      <c r="L8" s="566" t="s">
        <v>406</v>
      </c>
      <c r="M8" s="567"/>
      <c r="N8" s="567"/>
      <c r="O8" s="568"/>
      <c r="P8" s="438"/>
      <c r="Q8" s="402"/>
      <c r="R8" s="402"/>
      <c r="S8" s="402"/>
      <c r="T8" s="402"/>
    </row>
    <row r="9" spans="1:32" ht="21.6" thickBot="1" x14ac:dyDescent="0.45">
      <c r="C9" s="437" t="s">
        <v>362</v>
      </c>
      <c r="D9" s="437" t="s">
        <v>287</v>
      </c>
      <c r="E9" s="437" t="s">
        <v>293</v>
      </c>
      <c r="F9" s="437" t="s">
        <v>403</v>
      </c>
      <c r="G9" s="437" t="s">
        <v>408</v>
      </c>
      <c r="H9" s="437" t="s">
        <v>407</v>
      </c>
      <c r="I9" s="437" t="s">
        <v>409</v>
      </c>
      <c r="J9" s="436"/>
      <c r="K9" s="410"/>
      <c r="L9" s="326" t="s">
        <v>410</v>
      </c>
      <c r="M9" s="299" t="s">
        <v>362</v>
      </c>
      <c r="N9" s="299" t="s">
        <v>294</v>
      </c>
      <c r="O9" s="327" t="s">
        <v>407</v>
      </c>
      <c r="P9" s="396"/>
      <c r="Q9" s="402"/>
      <c r="R9" s="402"/>
      <c r="S9" s="402"/>
      <c r="T9" s="402"/>
    </row>
    <row r="10" spans="1:32" ht="21" thickBot="1" x14ac:dyDescent="0.4">
      <c r="C10" s="381" t="s">
        <v>767</v>
      </c>
      <c r="D10" s="381" t="s">
        <v>744</v>
      </c>
      <c r="E10" s="381" t="s">
        <v>766</v>
      </c>
      <c r="F10" s="381" t="s">
        <v>765</v>
      </c>
      <c r="G10" s="381" t="s">
        <v>759</v>
      </c>
      <c r="H10" s="381" t="s">
        <v>764</v>
      </c>
      <c r="I10" s="382" t="s">
        <v>556</v>
      </c>
      <c r="J10" s="248"/>
      <c r="K10" s="410"/>
      <c r="L10" s="429"/>
      <c r="M10" s="395"/>
      <c r="N10" s="395"/>
      <c r="O10" s="428"/>
      <c r="P10" s="396"/>
      <c r="Q10" s="402"/>
      <c r="R10" s="402"/>
      <c r="S10" s="402"/>
      <c r="T10" s="402"/>
    </row>
    <row r="11" spans="1:32" ht="21" x14ac:dyDescent="0.4">
      <c r="C11" s="425" t="s">
        <v>763</v>
      </c>
      <c r="D11" s="340" t="s">
        <v>762</v>
      </c>
      <c r="E11" s="340" t="s">
        <v>761</v>
      </c>
      <c r="F11" s="340" t="s">
        <v>760</v>
      </c>
      <c r="G11" s="340" t="s">
        <v>759</v>
      </c>
      <c r="H11" s="340" t="s">
        <v>758</v>
      </c>
      <c r="I11" s="435" t="s">
        <v>757</v>
      </c>
      <c r="J11" s="233"/>
      <c r="K11" s="410"/>
      <c r="L11" s="429"/>
      <c r="M11" s="395"/>
      <c r="N11" s="395"/>
      <c r="O11" s="428"/>
      <c r="P11" s="396"/>
      <c r="Q11" s="402"/>
      <c r="R11" s="402"/>
      <c r="S11" s="402"/>
      <c r="T11" s="402"/>
    </row>
    <row r="12" spans="1:32" ht="20.399999999999999" x14ac:dyDescent="0.35">
      <c r="C12" s="434" t="s">
        <v>412</v>
      </c>
      <c r="D12" s="315" t="s">
        <v>411</v>
      </c>
      <c r="E12" s="433" t="s">
        <v>414</v>
      </c>
      <c r="F12" s="315" t="s">
        <v>415</v>
      </c>
      <c r="G12" s="315" t="s">
        <v>416</v>
      </c>
      <c r="H12" s="315" t="s">
        <v>413</v>
      </c>
      <c r="I12" s="432" t="s">
        <v>417</v>
      </c>
      <c r="J12" s="396"/>
      <c r="K12" s="406"/>
      <c r="L12" s="429"/>
      <c r="M12" s="395"/>
      <c r="N12" s="395"/>
      <c r="O12" s="428"/>
      <c r="P12" s="396"/>
      <c r="Q12" s="402"/>
      <c r="R12" s="402"/>
      <c r="S12" s="402"/>
      <c r="T12" s="402"/>
    </row>
    <row r="13" spans="1:32" ht="20.399999999999999" x14ac:dyDescent="0.35">
      <c r="C13" s="425" t="s">
        <v>419</v>
      </c>
      <c r="D13" s="315" t="s">
        <v>418</v>
      </c>
      <c r="E13" s="316" t="s">
        <v>421</v>
      </c>
      <c r="F13" s="315" t="s">
        <v>422</v>
      </c>
      <c r="G13" s="315" t="s">
        <v>416</v>
      </c>
      <c r="H13" s="315" t="s">
        <v>420</v>
      </c>
      <c r="I13" s="318" t="s">
        <v>423</v>
      </c>
      <c r="J13" s="410"/>
      <c r="K13" s="406"/>
      <c r="L13" s="429"/>
      <c r="M13" s="395"/>
      <c r="N13" s="395"/>
      <c r="O13" s="428"/>
      <c r="P13" s="396"/>
      <c r="Q13" s="402"/>
      <c r="R13" s="402"/>
      <c r="S13" s="402"/>
      <c r="T13" s="402"/>
    </row>
    <row r="14" spans="1:32" ht="20.399999999999999" x14ac:dyDescent="0.35">
      <c r="C14" s="425" t="s">
        <v>425</v>
      </c>
      <c r="D14" s="315" t="s">
        <v>424</v>
      </c>
      <c r="E14" s="316" t="s">
        <v>427</v>
      </c>
      <c r="F14" s="315" t="s">
        <v>428</v>
      </c>
      <c r="G14" s="315" t="s">
        <v>416</v>
      </c>
      <c r="H14" s="315" t="s">
        <v>426</v>
      </c>
      <c r="I14" s="317" t="s">
        <v>429</v>
      </c>
      <c r="J14" s="427"/>
      <c r="K14" s="406"/>
      <c r="L14" s="429"/>
      <c r="M14" s="395"/>
      <c r="N14" s="395"/>
      <c r="O14" s="428"/>
      <c r="P14" s="396"/>
      <c r="Q14" s="402"/>
      <c r="R14" s="402"/>
      <c r="S14" s="402"/>
      <c r="T14" s="402"/>
    </row>
    <row r="15" spans="1:32" ht="20.399999999999999" x14ac:dyDescent="0.35">
      <c r="C15" s="425" t="s">
        <v>431</v>
      </c>
      <c r="D15" s="315" t="s">
        <v>430</v>
      </c>
      <c r="E15" s="316" t="s">
        <v>433</v>
      </c>
      <c r="F15" s="315" t="s">
        <v>416</v>
      </c>
      <c r="G15" s="315" t="s">
        <v>416</v>
      </c>
      <c r="H15" s="315" t="s">
        <v>432</v>
      </c>
      <c r="I15" s="426" t="s">
        <v>434</v>
      </c>
      <c r="J15" s="396"/>
      <c r="K15" s="402"/>
      <c r="L15" s="429"/>
      <c r="M15" s="395"/>
      <c r="N15" s="395"/>
      <c r="O15" s="428"/>
      <c r="P15" s="396"/>
      <c r="Q15" s="402"/>
      <c r="R15" s="402"/>
      <c r="S15" s="402"/>
      <c r="T15" s="402"/>
    </row>
    <row r="16" spans="1:32" ht="20.399999999999999" x14ac:dyDescent="0.35">
      <c r="C16" s="425" t="s">
        <v>436</v>
      </c>
      <c r="D16" s="315" t="s">
        <v>435</v>
      </c>
      <c r="E16" s="316" t="s">
        <v>438</v>
      </c>
      <c r="F16" s="315" t="s">
        <v>439</v>
      </c>
      <c r="G16" s="315" t="s">
        <v>416</v>
      </c>
      <c r="H16" s="315" t="s">
        <v>437</v>
      </c>
      <c r="I16" s="318" t="s">
        <v>440</v>
      </c>
      <c r="J16" s="410"/>
      <c r="K16" s="402"/>
      <c r="L16" s="429"/>
      <c r="M16" s="395"/>
      <c r="N16" s="395"/>
      <c r="O16" s="428"/>
      <c r="P16" s="396"/>
      <c r="Q16" s="402"/>
      <c r="R16" s="402"/>
      <c r="S16" s="402"/>
      <c r="T16" s="402"/>
    </row>
    <row r="17" spans="2:20" ht="20.399999999999999" x14ac:dyDescent="0.35">
      <c r="C17" s="425" t="s">
        <v>442</v>
      </c>
      <c r="D17" s="315" t="s">
        <v>441</v>
      </c>
      <c r="E17" s="316" t="s">
        <v>444</v>
      </c>
      <c r="F17" s="315" t="s">
        <v>445</v>
      </c>
      <c r="G17" s="315" t="s">
        <v>416</v>
      </c>
      <c r="H17" s="315" t="s">
        <v>443</v>
      </c>
      <c r="I17" s="317" t="s">
        <v>446</v>
      </c>
      <c r="J17" s="410"/>
      <c r="K17" s="402"/>
      <c r="L17" s="429"/>
      <c r="M17" s="395"/>
      <c r="N17" s="395"/>
      <c r="O17" s="428"/>
      <c r="P17" s="396"/>
      <c r="Q17" s="402"/>
      <c r="R17" s="402"/>
      <c r="S17" s="402"/>
      <c r="T17" s="402"/>
    </row>
    <row r="18" spans="2:20" ht="20.399999999999999" x14ac:dyDescent="0.35">
      <c r="C18" s="425" t="s">
        <v>448</v>
      </c>
      <c r="D18" s="315" t="s">
        <v>447</v>
      </c>
      <c r="E18" s="316" t="s">
        <v>450</v>
      </c>
      <c r="F18" s="315" t="s">
        <v>451</v>
      </c>
      <c r="G18" s="315" t="s">
        <v>416</v>
      </c>
      <c r="H18" s="315" t="s">
        <v>449</v>
      </c>
      <c r="I18" s="317" t="s">
        <v>452</v>
      </c>
      <c r="J18" s="431"/>
      <c r="K18" s="402"/>
      <c r="L18" s="429"/>
      <c r="M18" s="395"/>
      <c r="N18" s="395"/>
      <c r="O18" s="428"/>
      <c r="P18" s="396"/>
      <c r="Q18" s="402"/>
      <c r="R18" s="402"/>
      <c r="S18" s="402"/>
      <c r="T18" s="402"/>
    </row>
    <row r="19" spans="2:20" ht="20.399999999999999" x14ac:dyDescent="0.35">
      <c r="C19" s="425" t="s">
        <v>454</v>
      </c>
      <c r="D19" s="315" t="s">
        <v>453</v>
      </c>
      <c r="E19" s="316" t="s">
        <v>456</v>
      </c>
      <c r="F19" s="315" t="s">
        <v>457</v>
      </c>
      <c r="G19" s="315" t="s">
        <v>416</v>
      </c>
      <c r="H19" s="315" t="s">
        <v>455</v>
      </c>
      <c r="I19" s="430" t="s">
        <v>458</v>
      </c>
      <c r="J19" s="410"/>
      <c r="K19" s="402"/>
      <c r="L19" s="429"/>
      <c r="M19" s="395"/>
      <c r="N19" s="395"/>
      <c r="O19" s="428"/>
      <c r="P19" s="396"/>
      <c r="Q19" s="402"/>
      <c r="R19" s="402"/>
      <c r="S19" s="402"/>
      <c r="T19" s="402"/>
    </row>
    <row r="20" spans="2:20" ht="20.399999999999999" x14ac:dyDescent="0.35">
      <c r="C20" s="425" t="s">
        <v>460</v>
      </c>
      <c r="D20" s="315" t="s">
        <v>459</v>
      </c>
      <c r="E20" s="316" t="s">
        <v>462</v>
      </c>
      <c r="F20" s="315" t="s">
        <v>463</v>
      </c>
      <c r="G20" s="315" t="s">
        <v>464</v>
      </c>
      <c r="H20" s="315" t="s">
        <v>461</v>
      </c>
      <c r="I20" s="317" t="s">
        <v>465</v>
      </c>
      <c r="J20" s="396"/>
      <c r="K20" s="402"/>
      <c r="L20" s="429"/>
      <c r="M20" s="395"/>
      <c r="N20" s="395"/>
      <c r="O20" s="428"/>
      <c r="P20" s="396"/>
      <c r="Q20" s="402"/>
      <c r="R20" s="402"/>
      <c r="S20" s="402"/>
      <c r="T20" s="402"/>
    </row>
    <row r="21" spans="2:20" ht="21.6" thickBot="1" x14ac:dyDescent="0.4">
      <c r="C21" s="425" t="s">
        <v>467</v>
      </c>
      <c r="D21" s="315" t="s">
        <v>466</v>
      </c>
      <c r="E21" s="316" t="s">
        <v>469</v>
      </c>
      <c r="F21" s="315" t="s">
        <v>470</v>
      </c>
      <c r="G21" s="315" t="s">
        <v>464</v>
      </c>
      <c r="H21" s="315" t="s">
        <v>468</v>
      </c>
      <c r="I21" s="318" t="s">
        <v>471</v>
      </c>
      <c r="J21" s="396"/>
      <c r="K21" s="309"/>
      <c r="L21" s="405"/>
      <c r="M21" s="404"/>
      <c r="N21" s="404"/>
      <c r="O21" s="411"/>
      <c r="P21" s="402"/>
      <c r="Q21" s="402"/>
      <c r="R21" s="402"/>
      <c r="S21" s="402"/>
      <c r="T21" s="402"/>
    </row>
    <row r="22" spans="2:20" ht="20.399999999999999" x14ac:dyDescent="0.35">
      <c r="C22" s="425" t="s">
        <v>473</v>
      </c>
      <c r="D22" s="315" t="s">
        <v>472</v>
      </c>
      <c r="E22" s="316" t="s">
        <v>475</v>
      </c>
      <c r="F22" s="315" t="s">
        <v>476</v>
      </c>
      <c r="G22" s="315" t="s">
        <v>464</v>
      </c>
      <c r="H22" s="315" t="s">
        <v>474</v>
      </c>
      <c r="I22" s="318" t="s">
        <v>477</v>
      </c>
      <c r="J22" s="406"/>
      <c r="K22" s="402"/>
      <c r="L22" s="402"/>
      <c r="M22" s="402"/>
      <c r="N22" s="402"/>
      <c r="O22" s="402"/>
      <c r="P22" s="402"/>
      <c r="Q22" s="402"/>
      <c r="R22" s="402"/>
      <c r="S22" s="402"/>
      <c r="T22" s="402"/>
    </row>
    <row r="23" spans="2:20" ht="20.399999999999999" x14ac:dyDescent="0.35">
      <c r="C23" s="425" t="s">
        <v>479</v>
      </c>
      <c r="D23" s="315" t="s">
        <v>478</v>
      </c>
      <c r="E23" s="316" t="s">
        <v>481</v>
      </c>
      <c r="F23" s="315" t="s">
        <v>482</v>
      </c>
      <c r="G23" s="315" t="s">
        <v>464</v>
      </c>
      <c r="H23" s="315" t="s">
        <v>480</v>
      </c>
      <c r="I23" s="321" t="s">
        <v>483</v>
      </c>
      <c r="J23" s="410"/>
      <c r="K23" s="402"/>
      <c r="L23" s="402"/>
      <c r="M23" s="402"/>
      <c r="N23" s="402"/>
      <c r="O23" s="402"/>
      <c r="P23" s="402"/>
      <c r="Q23" s="402"/>
      <c r="R23" s="402"/>
      <c r="S23" s="402"/>
      <c r="T23" s="402"/>
    </row>
    <row r="24" spans="2:20" ht="20.399999999999999" x14ac:dyDescent="0.35">
      <c r="C24" s="425" t="s">
        <v>485</v>
      </c>
      <c r="D24" s="315" t="s">
        <v>484</v>
      </c>
      <c r="E24" s="316" t="s">
        <v>487</v>
      </c>
      <c r="F24" s="315" t="s">
        <v>470</v>
      </c>
      <c r="G24" s="315" t="s">
        <v>464</v>
      </c>
      <c r="H24" s="315" t="s">
        <v>486</v>
      </c>
      <c r="I24" s="317" t="s">
        <v>488</v>
      </c>
      <c r="J24" s="410"/>
      <c r="K24" s="402"/>
      <c r="L24" s="402"/>
      <c r="M24" s="402"/>
      <c r="N24" s="402"/>
      <c r="O24" s="402"/>
      <c r="P24" s="402"/>
      <c r="Q24" s="402"/>
      <c r="R24" s="402"/>
      <c r="S24" s="402"/>
      <c r="T24" s="402"/>
    </row>
    <row r="25" spans="2:20" ht="20.399999999999999" x14ac:dyDescent="0.35">
      <c r="C25" s="425" t="s">
        <v>490</v>
      </c>
      <c r="D25" s="315" t="s">
        <v>489</v>
      </c>
      <c r="E25" s="316" t="s">
        <v>492</v>
      </c>
      <c r="F25" s="315" t="s">
        <v>493</v>
      </c>
      <c r="G25" s="315" t="s">
        <v>464</v>
      </c>
      <c r="H25" s="315" t="s">
        <v>491</v>
      </c>
      <c r="I25" s="317" t="s">
        <v>494</v>
      </c>
      <c r="J25" s="427"/>
      <c r="K25" s="402"/>
      <c r="L25" s="402"/>
      <c r="M25" s="402"/>
      <c r="N25" s="402"/>
      <c r="O25" s="402"/>
      <c r="P25" s="402"/>
      <c r="Q25" s="402"/>
      <c r="R25" s="402"/>
      <c r="S25" s="402"/>
      <c r="T25" s="402"/>
    </row>
    <row r="26" spans="2:20" ht="20.399999999999999" x14ac:dyDescent="0.35">
      <c r="C26" s="425" t="s">
        <v>496</v>
      </c>
      <c r="D26" s="315" t="s">
        <v>495</v>
      </c>
      <c r="E26" s="316" t="s">
        <v>498</v>
      </c>
      <c r="F26" s="315" t="s">
        <v>499</v>
      </c>
      <c r="G26" s="315" t="s">
        <v>464</v>
      </c>
      <c r="H26" s="315" t="s">
        <v>497</v>
      </c>
      <c r="I26" s="426" t="s">
        <v>500</v>
      </c>
      <c r="J26" s="410"/>
      <c r="K26" s="402"/>
      <c r="L26" s="402"/>
      <c r="M26" s="402"/>
      <c r="N26" s="402"/>
      <c r="O26" s="402"/>
      <c r="P26" s="402"/>
      <c r="Q26" s="402"/>
      <c r="R26" s="402"/>
      <c r="S26" s="402"/>
      <c r="T26" s="402"/>
    </row>
    <row r="27" spans="2:20" ht="20.399999999999999" x14ac:dyDescent="0.35">
      <c r="C27" s="425" t="s">
        <v>502</v>
      </c>
      <c r="D27" s="315" t="s">
        <v>501</v>
      </c>
      <c r="E27" s="316" t="s">
        <v>504</v>
      </c>
      <c r="F27" s="315" t="s">
        <v>505</v>
      </c>
      <c r="G27" s="315" t="s">
        <v>464</v>
      </c>
      <c r="H27" s="315" t="s">
        <v>503</v>
      </c>
      <c r="I27" s="317" t="s">
        <v>506</v>
      </c>
      <c r="J27" s="410"/>
      <c r="K27" s="402"/>
      <c r="L27" s="402"/>
      <c r="M27" s="402"/>
      <c r="N27" s="402"/>
      <c r="O27" s="402"/>
      <c r="P27" s="402"/>
      <c r="Q27" s="402"/>
      <c r="R27" s="402"/>
      <c r="S27" s="402"/>
      <c r="T27" s="402"/>
    </row>
    <row r="28" spans="2:20" ht="20.399999999999999" x14ac:dyDescent="0.35">
      <c r="C28" s="425" t="s">
        <v>508</v>
      </c>
      <c r="D28" s="315" t="s">
        <v>507</v>
      </c>
      <c r="E28" s="316" t="s">
        <v>510</v>
      </c>
      <c r="F28" s="315" t="s">
        <v>511</v>
      </c>
      <c r="G28" s="315" t="s">
        <v>512</v>
      </c>
      <c r="H28" s="315" t="s">
        <v>509</v>
      </c>
      <c r="I28" s="317" t="s">
        <v>513</v>
      </c>
      <c r="J28" s="410"/>
      <c r="K28" s="402"/>
      <c r="L28" s="402"/>
      <c r="M28" s="402"/>
      <c r="N28" s="402"/>
      <c r="O28" s="402"/>
      <c r="P28" s="402"/>
      <c r="Q28" s="402"/>
      <c r="R28" s="402"/>
      <c r="S28" s="402"/>
      <c r="T28" s="402"/>
    </row>
    <row r="29" spans="2:20" ht="20.399999999999999" x14ac:dyDescent="0.35">
      <c r="C29" s="425" t="s">
        <v>515</v>
      </c>
      <c r="D29" s="315" t="s">
        <v>514</v>
      </c>
      <c r="E29" s="316" t="s">
        <v>517</v>
      </c>
      <c r="F29" s="315" t="s">
        <v>518</v>
      </c>
      <c r="G29" s="315" t="s">
        <v>512</v>
      </c>
      <c r="H29" s="315" t="s">
        <v>516</v>
      </c>
      <c r="I29" s="317" t="s">
        <v>519</v>
      </c>
      <c r="J29" s="410"/>
      <c r="K29" s="402"/>
      <c r="L29" s="402"/>
      <c r="M29" s="402"/>
      <c r="N29" s="402"/>
      <c r="O29" s="402"/>
      <c r="P29" s="402"/>
      <c r="Q29" s="402"/>
      <c r="R29" s="402"/>
      <c r="S29" s="402"/>
      <c r="T29" s="402"/>
    </row>
    <row r="30" spans="2:20" ht="20.399999999999999" x14ac:dyDescent="0.35">
      <c r="B30" s="402"/>
      <c r="C30" s="425" t="s">
        <v>521</v>
      </c>
      <c r="D30" s="315" t="s">
        <v>520</v>
      </c>
      <c r="E30" s="316" t="s">
        <v>523</v>
      </c>
      <c r="F30" s="315" t="s">
        <v>524</v>
      </c>
      <c r="G30" s="315" t="s">
        <v>512</v>
      </c>
      <c r="H30" s="315" t="s">
        <v>522</v>
      </c>
      <c r="I30" s="317" t="s">
        <v>525</v>
      </c>
      <c r="J30" s="410"/>
      <c r="K30" s="402"/>
      <c r="L30" s="402"/>
      <c r="M30" s="402"/>
      <c r="N30" s="402"/>
      <c r="O30" s="402"/>
      <c r="P30" s="402"/>
      <c r="Q30" s="402"/>
      <c r="R30" s="402"/>
      <c r="S30" s="402"/>
      <c r="T30" s="402"/>
    </row>
    <row r="31" spans="2:20" ht="21" thickBot="1" x14ac:dyDescent="0.4">
      <c r="B31" s="402"/>
      <c r="C31" s="425" t="s">
        <v>527</v>
      </c>
      <c r="D31" s="315" t="s">
        <v>526</v>
      </c>
      <c r="E31" s="316" t="s">
        <v>529</v>
      </c>
      <c r="F31" s="315" t="s">
        <v>530</v>
      </c>
      <c r="G31" s="315" t="s">
        <v>512</v>
      </c>
      <c r="H31" s="315" t="s">
        <v>528</v>
      </c>
      <c r="I31" s="317" t="s">
        <v>531</v>
      </c>
      <c r="J31" s="410"/>
      <c r="K31" s="402"/>
      <c r="L31" s="402"/>
      <c r="M31" s="402"/>
      <c r="N31" s="402"/>
      <c r="O31" s="402"/>
      <c r="P31" s="402"/>
      <c r="Q31" s="402"/>
      <c r="R31" s="402"/>
      <c r="S31" s="402"/>
      <c r="T31" s="402"/>
    </row>
    <row r="32" spans="2:20" ht="21" thickBot="1" x14ac:dyDescent="0.4">
      <c r="B32" s="402"/>
      <c r="C32" s="425" t="s">
        <v>533</v>
      </c>
      <c r="D32" s="323" t="s">
        <v>532</v>
      </c>
      <c r="E32" s="324" t="s">
        <v>535</v>
      </c>
      <c r="F32" s="323" t="s">
        <v>536</v>
      </c>
      <c r="G32" s="323" t="s">
        <v>512</v>
      </c>
      <c r="H32" s="323" t="s">
        <v>534</v>
      </c>
      <c r="I32" s="325" t="s">
        <v>537</v>
      </c>
      <c r="J32" s="402"/>
      <c r="K32" s="419"/>
      <c r="L32" s="420"/>
      <c r="M32" s="420"/>
      <c r="N32" s="420"/>
      <c r="O32" s="420"/>
      <c r="P32" s="420"/>
      <c r="Q32" s="420"/>
      <c r="R32" s="420"/>
      <c r="S32" s="420"/>
      <c r="T32" s="424"/>
    </row>
    <row r="33" spans="2:20" ht="21" x14ac:dyDescent="0.4">
      <c r="B33" s="402"/>
      <c r="C33" s="402"/>
      <c r="D33" s="402"/>
      <c r="E33" s="402"/>
      <c r="F33" s="402"/>
      <c r="G33" s="402"/>
      <c r="H33" s="402"/>
      <c r="I33" s="402"/>
      <c r="J33" s="406"/>
      <c r="K33" s="299" t="s">
        <v>294</v>
      </c>
      <c r="L33" s="423" t="s">
        <v>295</v>
      </c>
      <c r="M33" s="335" t="s">
        <v>311</v>
      </c>
      <c r="N33" s="336" t="s">
        <v>539</v>
      </c>
      <c r="O33" s="336" t="s">
        <v>540</v>
      </c>
      <c r="P33" s="336" t="s">
        <v>541</v>
      </c>
      <c r="Q33" s="336" t="s">
        <v>360</v>
      </c>
      <c r="R33" s="336" t="s">
        <v>542</v>
      </c>
      <c r="S33" s="336" t="s">
        <v>543</v>
      </c>
      <c r="T33" s="337" t="s">
        <v>319</v>
      </c>
    </row>
    <row r="34" spans="2:20" ht="21" thickBot="1" x14ac:dyDescent="0.4">
      <c r="B34" s="402"/>
      <c r="C34" s="402"/>
      <c r="D34" s="402"/>
      <c r="E34" s="402"/>
      <c r="F34" s="402"/>
      <c r="G34" s="402"/>
      <c r="H34" s="402"/>
      <c r="I34" s="402"/>
      <c r="J34" s="422"/>
      <c r="K34" s="416" t="s">
        <v>549</v>
      </c>
      <c r="L34" s="415" t="s">
        <v>550</v>
      </c>
      <c r="M34" s="395" t="s">
        <v>551</v>
      </c>
      <c r="N34" s="414">
        <v>3000</v>
      </c>
      <c r="O34" s="414"/>
      <c r="P34" s="414"/>
      <c r="Q34" s="414"/>
      <c r="R34" s="414"/>
      <c r="S34" s="414"/>
      <c r="T34" s="413"/>
    </row>
    <row r="35" spans="2:20" ht="21.6" thickBot="1" x14ac:dyDescent="0.45">
      <c r="B35" s="402"/>
      <c r="C35" s="421" t="s">
        <v>538</v>
      </c>
      <c r="D35" s="420"/>
      <c r="E35" s="420"/>
      <c r="F35" s="420"/>
      <c r="G35" s="420"/>
      <c r="H35" s="420"/>
      <c r="I35" s="419"/>
      <c r="J35" s="418"/>
      <c r="K35" s="416" t="s">
        <v>556</v>
      </c>
      <c r="L35" s="415" t="s">
        <v>557</v>
      </c>
      <c r="M35" s="395" t="s">
        <v>551</v>
      </c>
      <c r="N35" s="414">
        <v>3000</v>
      </c>
      <c r="O35" s="414"/>
      <c r="P35" s="414"/>
      <c r="Q35" s="414"/>
      <c r="R35" s="414"/>
      <c r="S35" s="414"/>
      <c r="T35" s="413"/>
    </row>
    <row r="36" spans="2:20" ht="21" x14ac:dyDescent="0.4">
      <c r="B36" s="402"/>
      <c r="C36" s="334" t="s">
        <v>287</v>
      </c>
      <c r="D36" s="335" t="s">
        <v>288</v>
      </c>
      <c r="E36" s="335" t="s">
        <v>289</v>
      </c>
      <c r="F36" s="335" t="s">
        <v>290</v>
      </c>
      <c r="G36" s="335" t="s">
        <v>291</v>
      </c>
      <c r="H36" s="417" t="s">
        <v>292</v>
      </c>
      <c r="I36" s="299" t="s">
        <v>293</v>
      </c>
      <c r="J36" s="410"/>
      <c r="K36" s="416" t="s">
        <v>560</v>
      </c>
      <c r="L36" s="415" t="s">
        <v>561</v>
      </c>
      <c r="M36" s="395" t="s">
        <v>551</v>
      </c>
      <c r="N36" s="414">
        <v>3000</v>
      </c>
      <c r="O36" s="414"/>
      <c r="P36" s="414"/>
      <c r="Q36" s="414"/>
      <c r="R36" s="414"/>
      <c r="S36" s="414"/>
      <c r="T36" s="413"/>
    </row>
    <row r="37" spans="2:20" ht="20.399999999999999" x14ac:dyDescent="0.35">
      <c r="B37" s="402"/>
      <c r="C37" s="409" t="s">
        <v>756</v>
      </c>
      <c r="D37" s="395" t="s">
        <v>545</v>
      </c>
      <c r="E37" s="395" t="s">
        <v>546</v>
      </c>
      <c r="F37" s="395" t="s">
        <v>547</v>
      </c>
      <c r="G37" s="395">
        <v>3336859865</v>
      </c>
      <c r="H37" s="408" t="s">
        <v>548</v>
      </c>
      <c r="I37" s="407" t="s">
        <v>444</v>
      </c>
      <c r="J37" s="410"/>
      <c r="K37" s="416" t="s">
        <v>565</v>
      </c>
      <c r="L37" s="415" t="s">
        <v>566</v>
      </c>
      <c r="M37" s="395" t="s">
        <v>551</v>
      </c>
      <c r="N37" s="414">
        <v>3000</v>
      </c>
      <c r="O37" s="414"/>
      <c r="P37" s="414"/>
      <c r="Q37" s="414"/>
      <c r="R37" s="414"/>
      <c r="S37" s="414"/>
      <c r="T37" s="413"/>
    </row>
    <row r="38" spans="2:20" ht="21" thickBot="1" x14ac:dyDescent="0.4">
      <c r="B38" s="402"/>
      <c r="C38" s="409" t="s">
        <v>744</v>
      </c>
      <c r="D38" s="395" t="s">
        <v>545</v>
      </c>
      <c r="E38" s="395" t="s">
        <v>553</v>
      </c>
      <c r="F38" s="395" t="s">
        <v>554</v>
      </c>
      <c r="G38" s="395">
        <v>3336859865</v>
      </c>
      <c r="H38" s="408" t="s">
        <v>555</v>
      </c>
      <c r="I38" s="407" t="s">
        <v>450</v>
      </c>
      <c r="J38" s="410"/>
      <c r="K38" s="395"/>
      <c r="L38" s="412"/>
      <c r="M38" s="404"/>
      <c r="N38" s="404"/>
      <c r="O38" s="404"/>
      <c r="P38" s="404"/>
      <c r="Q38" s="404"/>
      <c r="R38" s="404"/>
      <c r="S38" s="404"/>
      <c r="T38" s="411"/>
    </row>
    <row r="39" spans="2:20" ht="20.399999999999999" x14ac:dyDescent="0.35">
      <c r="B39" s="402"/>
      <c r="C39" s="409" t="s">
        <v>751</v>
      </c>
      <c r="D39" s="395" t="s">
        <v>545</v>
      </c>
      <c r="E39" s="395" t="s">
        <v>546</v>
      </c>
      <c r="F39" s="395" t="s">
        <v>547</v>
      </c>
      <c r="G39" s="395">
        <v>3336859865</v>
      </c>
      <c r="H39" s="408" t="s">
        <v>559</v>
      </c>
      <c r="I39" s="407" t="s">
        <v>456</v>
      </c>
      <c r="J39" s="410"/>
      <c r="K39" s="402"/>
      <c r="L39" s="402"/>
      <c r="M39" s="402"/>
      <c r="N39" s="402"/>
      <c r="O39" s="402"/>
      <c r="P39" s="402"/>
      <c r="Q39" s="402"/>
      <c r="R39" s="402"/>
      <c r="S39" s="402"/>
      <c r="T39" s="402"/>
    </row>
    <row r="40" spans="2:20" ht="20.399999999999999" x14ac:dyDescent="0.35">
      <c r="C40" s="409" t="s">
        <v>755</v>
      </c>
      <c r="D40" s="395" t="s">
        <v>545</v>
      </c>
      <c r="E40" s="395" t="s">
        <v>563</v>
      </c>
      <c r="F40" s="395" t="s">
        <v>554</v>
      </c>
      <c r="G40" s="395">
        <v>3336859865</v>
      </c>
      <c r="H40" s="408" t="s">
        <v>564</v>
      </c>
      <c r="I40" s="407" t="s">
        <v>462</v>
      </c>
      <c r="J40" s="406"/>
    </row>
    <row r="41" spans="2:20" ht="21" thickBot="1" x14ac:dyDescent="0.4">
      <c r="C41" s="405"/>
      <c r="D41" s="404"/>
      <c r="E41" s="404"/>
      <c r="F41" s="404"/>
      <c r="G41" s="404"/>
      <c r="H41" s="403"/>
      <c r="I41" s="395"/>
      <c r="J41" s="402"/>
    </row>
    <row r="42" spans="2:20" ht="20.399999999999999" x14ac:dyDescent="0.35">
      <c r="C42" s="402"/>
      <c r="D42" s="402"/>
      <c r="E42" s="402"/>
      <c r="F42" s="402"/>
      <c r="G42" s="402"/>
      <c r="H42" s="402"/>
      <c r="I42" s="402"/>
    </row>
  </sheetData>
  <mergeCells count="5">
    <mergeCell ref="A4:AF4"/>
    <mergeCell ref="D7:E7"/>
    <mergeCell ref="I7:K7"/>
    <mergeCell ref="C8:I8"/>
    <mergeCell ref="L8:O8"/>
  </mergeCells>
  <hyperlinks>
    <hyperlink ref="L25" r:id="rId1" display="andréa.melo29@email.com" xr:uid="{3E6E6D88-8373-40B2-A094-E2E3FF79BE3A}"/>
    <hyperlink ref="I15" r:id="rId2" xr:uid="{C19F64B0-4457-493C-8DAD-B015A6C3BD2C}"/>
    <hyperlink ref="I26" r:id="rId3" xr:uid="{0337DD4B-9EA2-456A-B024-62332E5C6FE6}"/>
    <hyperlink ref="I19" r:id="rId4" xr:uid="{1635CB75-03AA-4200-AA7B-E8213F3595E7}"/>
    <hyperlink ref="K34" r:id="rId5" xr:uid="{2181951C-1177-4727-A213-7FD0A5960232}"/>
    <hyperlink ref="K35" r:id="rId6" xr:uid="{C2ED6515-46D8-4AAA-886D-92E4E8853B03}"/>
    <hyperlink ref="K36" r:id="rId7" xr:uid="{DE8B071B-1526-47C5-BE0E-EFD8A0C34761}"/>
    <hyperlink ref="K37" r:id="rId8" xr:uid="{921CCA23-1B63-4E91-8EDA-4B0F4574F838}"/>
    <hyperlink ref="I11" r:id="rId9" xr:uid="{C8883ABB-7DBC-4AF2-8BD6-F3B6F291C3CD}"/>
    <hyperlink ref="I10" r:id="rId10" xr:uid="{6C83747D-CBD0-443E-BBCD-2DCACB0AA4CC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LOGISTICA_CLIENTES</vt:lpstr>
      <vt:lpstr>LOGISTICA_VEICULOS</vt:lpstr>
      <vt:lpstr>LOGISTICA_CRONOGRAMA</vt:lpstr>
      <vt:lpstr>LOGISTICA_FRETE</vt:lpstr>
      <vt:lpstr>LOGISTICA_ENTREGAS</vt:lpstr>
      <vt:lpstr>LOGISTICA_ESTQ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</vt:lpstr>
      <vt:lpstr>N_VCINTRL</vt:lpstr>
      <vt:lpstr>N_VMETAS</vt:lpstr>
      <vt:lpstr>N_VRELCOM</vt:lpstr>
      <vt:lpstr>N_VRELMET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BANCO1</vt:lpstr>
      <vt:lpstr>B2</vt:lpstr>
      <vt:lpstr>B3</vt:lpstr>
      <vt:lpstr>BD_CADAS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2024-12-03T21:50:58Z</dcterms:modified>
  <cp:category/>
  <cp:contentStatus/>
</cp:coreProperties>
</file>