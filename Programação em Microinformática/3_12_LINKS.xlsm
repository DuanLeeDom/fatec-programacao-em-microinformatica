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uanl\Downloads\"/>
    </mc:Choice>
  </mc:AlternateContent>
  <xr:revisionPtr revIDLastSave="0" documentId="13_ncr:1_{B3A53D5E-5D63-4DD9-B549-243558561376}" xr6:coauthVersionLast="47" xr6:coauthVersionMax="47" xr10:uidLastSave="{00000000-0000-0000-0000-000000000000}"/>
  <bookViews>
    <workbookView xWindow="-120" yWindow="-120" windowWidth="29040" windowHeight="15720" tabRatio="902" firstSheet="14" activeTab="14" xr2:uid="{D62A3A3B-6FA0-4DAA-89BC-434730893DC8}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LOGISTICA_CLIENTES" sheetId="66" r:id="rId8"/>
    <sheet name="LOGISTICA_VEICULOS" sheetId="93" r:id="rId9"/>
    <sheet name="LOGISTICA_CRONOGRAMA" sheetId="94" r:id="rId10"/>
    <sheet name="LOGISTICA_FRETE" sheetId="95" r:id="rId11"/>
    <sheet name="LOGISTICA_ENTREGAS" sheetId="96" r:id="rId12"/>
    <sheet name="LOGISTICA_ESTQ" sheetId="97" r:id="rId13"/>
    <sheet name="LOGISTICA_CAD-VEICULOS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" sheetId="144" r:id="rId24"/>
    <sheet name="N_VCINTRL" sheetId="145" r:id="rId25"/>
    <sheet name="N_VMETAS" sheetId="146" r:id="rId26"/>
    <sheet name="N_VRELCOM" sheetId="147" r:id="rId27"/>
    <sheet name="N_VRELMET" sheetId="148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ANCO1" sheetId="121" r:id="rId41"/>
    <sheet name="B2" sheetId="122" r:id="rId42"/>
    <sheet name="B3" sheetId="123" r:id="rId43"/>
    <sheet name="BD_CADAS" sheetId="143" r:id="rId44"/>
  </sheets>
  <externalReferences>
    <externalReference r:id="rId45"/>
    <externalReference r:id="rId46"/>
    <externalReference r:id="rId47"/>
    <externalReference r:id="rId48"/>
  </externalReferences>
  <definedNames>
    <definedName name="_xlnm._FilterDatabase" localSheetId="30" hidden="1">N_PROCFOR!$G$12:$O$26</definedName>
    <definedName name="QUEIJOS" localSheetId="43">#REF!</definedName>
    <definedName name="QUEIJOS">#REF!</definedName>
    <definedName name="QUEIJOS_OFC" localSheetId="43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87" l="1"/>
  <c r="K17" i="146" l="1"/>
  <c r="K15" i="146"/>
  <c r="K19" i="146" s="1"/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<sst xmlns="http://schemas.openxmlformats.org/spreadsheetml/2006/main" count="1927" uniqueCount="768">
  <si>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</si>
  <si>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</si>
  <si>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</si>
  <si>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</si>
  <si>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</si>
  <si>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</si>
  <si>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</si>
  <si>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</si>
  <si>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</si>
  <si>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</si>
  <si>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</si>
  <si>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</si>
  <si>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</si>
  <si>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</si>
  <si>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</si>
  <si>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</si>
  <si>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</si>
  <si>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</si>
  <si>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</si>
  <si>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</si>
  <si>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</si>
  <si>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</si>
  <si>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</si>
  <si>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</si>
  <si>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</si>
  <si>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</si>
  <si>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</si>
  <si>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</si>
  <si>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</si>
  <si>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</si>
  <si>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</si>
  <si>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</si>
  <si>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</si>
  <si>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</si>
  <si>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</si>
  <si>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</si>
  <si>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</si>
  <si>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</si>
  <si>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</si>
  <si>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</si>
  <si>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</si>
  <si>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</si>
  <si>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</si>
  <si>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</si>
  <si>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</si>
  <si>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</si>
  <si>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</si>
  <si>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</si>
  <si>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</si>
  <si>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</si>
  <si>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</si>
  <si>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</si>
  <si>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</si>
  <si>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</si>
  <si>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</si>
  <si>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</si>
  <si>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</si>
  <si>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</si>
  <si>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</si>
  <si>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</si>
  <si>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</si>
  <si>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</si>
  <si>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</si>
  <si>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</si>
  <si>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</si>
  <si>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</si>
  <si>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</si>
  <si>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</si>
  <si>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</si>
  <si>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</si>
  <si>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</si>
  <si>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</si>
  <si>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</si>
  <si>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</si>
  <si>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</si>
  <si>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</si>
  <si>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</si>
  <si>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</si>
  <si>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</si>
  <si>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</si>
  <si>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</si>
  <si>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</si>
  <si>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</si>
  <si>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</si>
  <si>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</si>
  <si>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</si>
  <si>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</si>
  <si>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</si>
  <si>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</si>
  <si>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</si>
  <si>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</si>
  <si>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</si>
  <si>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</si>
  <si>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</si>
  <si>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</si>
  <si>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</si>
  <si>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</si>
  <si>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</si>
  <si>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</si>
  <si>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</si>
  <si>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</si>
  <si>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</si>
  <si>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</si>
  <si>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</si>
  <si>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</si>
  <si>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</si>
  <si>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</si>
  <si>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</si>
  <si>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</si>
  <si>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</si>
  <si>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</si>
  <si>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</si>
  <si>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</si>
  <si>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</si>
  <si>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</si>
  <si>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</si>
  <si>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</si>
  <si>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</si>
  <si>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</si>
  <si>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</si>
  <si>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</si>
  <si>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</si>
  <si>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</si>
  <si>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</si>
  <si>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</si>
  <si>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</si>
  <si>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</si>
  <si>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</si>
  <si>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</si>
  <si>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</si>
  <si>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</si>
  <si>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</si>
  <si>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</si>
  <si>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</si>
  <si>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</si>
  <si>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</si>
  <si>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</si>
  <si>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</si>
  <si>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</si>
  <si>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</si>
  <si>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</si>
  <si>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</si>
  <si>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</si>
  <si>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</si>
  <si>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</si>
  <si>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</si>
  <si>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</si>
  <si>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</si>
  <si>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</si>
  <si>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</si>
  <si>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</si>
  <si>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</si>
  <si>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</si>
  <si>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</si>
  <si>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</si>
  <si>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</si>
  <si>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</si>
  <si>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</si>
  <si>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</si>
  <si>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</si>
  <si>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</si>
  <si>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</si>
  <si>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</si>
  <si>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</si>
  <si>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</si>
  <si>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</si>
  <si>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</si>
  <si>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</si>
  <si>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</si>
  <si>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</si>
  <si>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</si>
  <si>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</si>
  <si>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</si>
  <si>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</si>
  <si>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</si>
  <si>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</si>
  <si>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</si>
  <si>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</si>
  <si>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</si>
  <si>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</si>
  <si>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</si>
  <si>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</si>
  <si>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</si>
  <si>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</si>
  <si>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</si>
  <si>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</si>
  <si>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</si>
  <si>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</si>
  <si>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</si>
  <si>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</si>
  <si>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</si>
  <si>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</si>
  <si>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</si>
  <si>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</si>
  <si>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</si>
  <si>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</si>
  <si>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</si>
  <si>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</si>
  <si>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</si>
  <si>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</si>
  <si>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</si>
  <si>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</si>
  <si>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</si>
  <si>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</si>
  <si>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</si>
  <si>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</si>
  <si>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</si>
  <si>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</si>
  <si>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</si>
  <si>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</si>
  <si>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</si>
  <si>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</si>
  <si>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</si>
  <si>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</si>
  <si>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</si>
  <si>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</si>
  <si>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</si>
  <si>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</si>
  <si>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</si>
  <si>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</si>
  <si>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</si>
  <si>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</si>
  <si>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</si>
  <si>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</si>
  <si>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</si>
  <si>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</si>
  <si>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</si>
  <si>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</si>
  <si>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</si>
  <si>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</si>
  <si>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</si>
  <si>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</si>
  <si>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</si>
  <si>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</si>
  <si>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</si>
  <si>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</si>
  <si>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</si>
  <si>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</si>
  <si>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</si>
  <si>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</si>
  <si>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</si>
  <si>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</si>
  <si>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</si>
  <si>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</si>
  <si>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</si>
  <si>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</si>
  <si>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</si>
  <si>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</si>
  <si>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</si>
  <si>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</si>
  <si>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</si>
  <si>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</si>
  <si>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</si>
  <si>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</si>
  <si>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</si>
  <si>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</si>
  <si>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</si>
  <si>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</si>
  <si>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</si>
  <si>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</si>
  <si>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</si>
  <si>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</si>
  <si>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</si>
  <si>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</si>
  <si>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</si>
  <si>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</si>
  <si>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</si>
  <si>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</si>
  <si>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</si>
  <si>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</si>
  <si>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</si>
  <si>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</si>
  <si>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</si>
  <si>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</si>
  <si>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</si>
  <si>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</si>
  <si>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</si>
  <si>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</si>
  <si>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</si>
  <si>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</si>
  <si>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</si>
  <si>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</si>
  <si>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</si>
  <si>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</si>
  <si>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</si>
  <si>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</si>
  <si>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</si>
  <si>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</si>
  <si>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</si>
  <si>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</si>
  <si>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</si>
  <si>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</si>
  <si>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</si>
  <si>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</si>
  <si>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</si>
  <si>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</si>
  <si>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</si>
  <si>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</si>
  <si>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</si>
  <si>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</si>
  <si>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</si>
  <si>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</si>
  <si>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</si>
  <si>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</si>
  <si>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</si>
  <si>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</si>
  <si>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</si>
  <si>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</si>
  <si>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</si>
  <si>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</si>
  <si>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</si>
  <si>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</si>
  <si>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</si>
  <si>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</si>
  <si>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</si>
  <si>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</si>
  <si>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</si>
  <si>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</si>
  <si>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</si>
  <si>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</si>
  <si>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</si>
  <si>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</si>
  <si>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</si>
  <si>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</si>
  <si>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</si>
  <si>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</si>
  <si>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</si>
  <si>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</si>
  <si>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</si>
  <si>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</si>
  <si>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</si>
  <si>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</si>
  <si>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</si>
  <si>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</si>
  <si>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</si>
  <si>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</si>
  <si>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</si>
  <si>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</si>
  <si>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</si>
  <si>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</si>
  <si>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</si>
  <si>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</si>
  <si>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</si>
  <si>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</si>
  <si>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</si>
  <si>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</si>
  <si>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</si>
  <si>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</si>
  <si>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</si>
  <si>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</si>
  <si>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</si>
  <si>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</si>
  <si>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</si>
  <si>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</si>
  <si>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</si>
  <si>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</si>
  <si>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</si>
  <si>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</si>
  <si>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</si>
  <si>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</si>
  <si>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</si>
  <si>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</si>
  <si>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</si>
  <si>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</si>
  <si>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</si>
  <si>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</si>
  <si>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</si>
  <si>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</si>
  <si>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</si>
  <si>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</si>
  <si>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</si>
  <si>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</si>
  <si>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</si>
  <si>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</si>
  <si>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</si>
  <si>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</si>
  <si>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</si>
  <si>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</si>
  <si>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</si>
  <si>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</si>
  <si>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</si>
  <si>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</si>
  <si>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</si>
  <si>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</si>
  <si>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</si>
  <si>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</si>
  <si>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</si>
  <si>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</si>
  <si>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</si>
  <si>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</si>
  <si>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</si>
  <si>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</si>
  <si>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</si>
  <si>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</si>
  <si>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</si>
  <si>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</si>
  <si>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</si>
  <si>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</si>
  <si>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</si>
  <si>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</si>
  <si>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</si>
  <si>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</si>
  <si>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</si>
  <si>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</si>
  <si>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</si>
  <si>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</si>
  <si>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</si>
  <si>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</si>
  <si>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</si>
  <si>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</si>
  <si>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</si>
  <si>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</si>
  <si>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</si>
  <si>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</si>
  <si>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</si>
  <si>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</si>
  <si>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</si>
  <si>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</si>
  <si>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</si>
  <si>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</si>
  <si>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</si>
  <si>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</si>
  <si>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</si>
  <si>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</si>
  <si>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</si>
  <si>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</si>
  <si>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</si>
  <si>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</si>
  <si>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</si>
  <si>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</si>
  <si>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</si>
  <si>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</si>
  <si>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</si>
  <si>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</si>
  <si>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</si>
  <si>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</si>
  <si>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</si>
  <si>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</si>
  <si>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</si>
  <si>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</si>
  <si>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</si>
  <si>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</si>
  <si>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</si>
  <si>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</si>
  <si>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</si>
  <si>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</si>
  <si>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</si>
  <si>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</si>
  <si>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</si>
  <si>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</si>
  <si>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</si>
  <si>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</si>
  <si>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</si>
  <si>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</si>
  <si>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</si>
  <si>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</si>
  <si>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</si>
  <si>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</si>
  <si>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</si>
  <si>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</si>
  <si>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</si>
  <si>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</si>
  <si>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</si>
  <si>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</si>
  <si>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</si>
  <si>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</si>
  <si>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</si>
  <si>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</si>
  <si>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</si>
  <si>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</si>
  <si>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</si>
  <si>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</si>
  <si>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</si>
  <si>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</si>
  <si>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</si>
  <si>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</si>
  <si>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</si>
  <si>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</si>
  <si>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</si>
  <si>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</si>
  <si>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</si>
  <si>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</si>
  <si>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</si>
  <si>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</si>
  <si>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</si>
  <si>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</si>
  <si>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</si>
  <si>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</si>
  <si>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</si>
  <si>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</si>
  <si>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</si>
  <si>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</si>
  <si>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</si>
  <si>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</si>
  <si>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</si>
  <si>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</si>
  <si>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</si>
  <si>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</si>
  <si>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</si>
  <si>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</si>
  <si>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</si>
  <si>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</si>
  <si>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</si>
  <si>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</si>
  <si>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</si>
  <si>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</si>
  <si>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</si>
  <si>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</si>
  <si>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</si>
  <si>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</si>
  <si>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</si>
  <si>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</si>
  <si>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</si>
  <si>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</si>
  <si>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</si>
  <si>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</si>
  <si>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</si>
  <si>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</si>
  <si>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</si>
  <si>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</si>
  <si>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</si>
  <si>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</si>
  <si>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</si>
  <si>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</si>
  <si>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</si>
  <si>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</si>
  <si>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</si>
  <si>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</si>
  <si>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</si>
  <si>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</si>
  <si>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</si>
  <si>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</si>
  <si>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</si>
  <si>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</si>
  <si>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</si>
  <si>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</si>
  <si>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</si>
  <si>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</si>
  <si>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</si>
  <si>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</si>
  <si>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</si>
  <si>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</si>
  <si>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</si>
  <si>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</si>
  <si>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</si>
  <si>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</si>
  <si>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</si>
  <si>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</si>
  <si>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</si>
  <si>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</si>
  <si>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</si>
  <si>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</si>
  <si>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</si>
  <si>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</si>
  <si>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</si>
  <si>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</si>
  <si>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</si>
  <si>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</si>
  <si>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</si>
  <si>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</si>
  <si>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</si>
  <si>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</si>
  <si>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</si>
  <si>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</si>
  <si>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</si>
  <si>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</si>
  <si>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</si>
  <si>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</si>
  <si>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</si>
  <si>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</si>
  <si>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</si>
  <si>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</si>
  <si>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</si>
  <si>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</si>
  <si>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</si>
  <si>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</si>
  <si>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</si>
  <si>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</si>
  <si>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</si>
  <si>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</si>
  <si>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</si>
  <si>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</si>
  <si>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</si>
  <si>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</si>
  <si>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</si>
  <si>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</si>
  <si>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</si>
  <si>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</si>
  <si>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</si>
  <si>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</si>
  <si>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</si>
  <si>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</si>
  <si>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</si>
  <si>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</si>
  <si>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</si>
  <si>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</si>
  <si>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</si>
  <si>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</si>
  <si>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</si>
  <si>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</si>
  <si>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</si>
  <si>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</si>
  <si>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</si>
  <si>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</si>
  <si>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</si>
  <si>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</si>
  <si>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</si>
  <si>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</si>
  <si>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</si>
  <si>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</si>
  <si>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</si>
  <si>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</si>
  <si>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</si>
  <si>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</si>
  <si>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</si>
  <si>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</si>
  <si>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</si>
  <si>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</si>
  <si>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</si>
  <si>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</si>
  <si>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</si>
  <si>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</si>
  <si>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</si>
  <si>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</si>
  <si>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</si>
  <si>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</si>
  <si>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</si>
  <si>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</si>
  <si>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</si>
  <si>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</si>
  <si>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</si>
  <si>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</si>
  <si>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</si>
  <si>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</si>
  <si>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</si>
  <si>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</si>
  <si>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</si>
  <si>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</si>
  <si>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</si>
  <si>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</si>
  <si>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</si>
  <si>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</si>
  <si>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</si>
  <si>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</si>
  <si>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</si>
  <si>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</si>
  <si>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</si>
  <si>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</si>
  <si>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</si>
  <si>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</si>
  <si>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</si>
  <si>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</si>
  <si>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</si>
  <si>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</si>
  <si>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</si>
  <si>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</si>
  <si>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</si>
  <si>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</si>
  <si>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</si>
  <si>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</si>
  <si>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</si>
  <si>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</si>
  <si>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</si>
  <si>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</si>
  <si>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</si>
  <si>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</si>
  <si>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</si>
  <si>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</si>
  <si>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</si>
  <si>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</si>
  <si>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</si>
  <si>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</si>
  <si>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</si>
  <si>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</si>
  <si>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</si>
  <si>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</si>
  <si>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</si>
  <si>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</si>
  <si>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</si>
  <si>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</si>
  <si>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</si>
  <si>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</si>
  <si>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</si>
  <si>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</si>
  <si>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</si>
  <si>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</si>
  <si>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</si>
  <si>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</si>
  <si>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</si>
  <si>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</si>
  <si>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</si>
  <si>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</si>
  <si>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</si>
  <si>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</si>
  <si>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</si>
  <si>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</si>
  <si>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</si>
  <si>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</si>
  <si>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</si>
  <si>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</si>
  <si>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</si>
  <si>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</si>
  <si>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</si>
  <si>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</si>
  <si>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</si>
  <si>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</si>
  <si>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</si>
  <si>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</si>
  <si>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</si>
  <si>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</si>
  <si>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</si>
  <si>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</si>
  <si>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</si>
  <si>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</si>
  <si>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</si>
  <si>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</si>
  <si>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</si>
  <si>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</si>
  <si>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</si>
  <si>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</si>
  <si>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</si>
  <si>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</si>
  <si>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</si>
  <si>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</si>
  <si>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</si>
  <si>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</si>
  <si>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</si>
  <si>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</si>
  <si>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</si>
  <si>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</si>
  <si>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</si>
  <si>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</si>
  <si>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</si>
  <si>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</si>
  <si>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</si>
  <si>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</si>
  <si>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</si>
  <si>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</si>
  <si>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</si>
  <si>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</si>
  <si>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</si>
  <si>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</si>
  <si>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</si>
  <si>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</si>
  <si>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</si>
  <si>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</si>
  <si>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</si>
  <si>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</si>
  <si>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</si>
  <si>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</si>
  <si>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</si>
  <si>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</si>
  <si>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</si>
  <si>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</si>
  <si>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</si>
  <si>
    <t>Beatriz</t>
  </si>
  <si>
    <t>João</t>
  </si>
  <si>
    <t>joquimsilva@email.com</t>
  </si>
  <si>
    <t>19 98572-4578</t>
  </si>
  <si>
    <t>SP</t>
  </si>
  <si>
    <t>campinas</t>
  </si>
  <si>
    <t>rua da mbaixadas</t>
  </si>
  <si>
    <t>joaquim</t>
  </si>
  <si>
    <t>09.091.029/0001-07</t>
  </si>
  <si>
    <t>19 98475-9876</t>
  </si>
  <si>
    <t>Hortolândia</t>
  </si>
  <si>
    <t>Rua dos Sertoes</t>
  </si>
  <si>
    <t>12950745/0111-01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</si>
</sst>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6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Arial"/>
      <family val="2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  <font>
      <u/>
      <sz val="16"/>
      <color theme="10"/>
      <name val="Arial"/>
      <family val="2"/>
    </font>
    <font>
      <b/>
      <sz val="24"/>
      <color theme="1"/>
      <name val="Arial"/>
      <family val="2"/>
    </font>
    <font>
      <b/>
      <sz val="22"/>
      <color rgb="FF000000"/>
      <name val="Arial"/>
      <family val="2"/>
    </font>
    <font>
      <b/>
      <sz val="24"/>
      <color rgb="FF000000"/>
      <name val="Arial"/>
      <family val="2"/>
    </font>
    <font>
      <b/>
      <sz val="24"/>
      <color theme="0"/>
      <name val="Arial"/>
      <family val="2"/>
    </font>
    <font>
      <b/>
      <sz val="26"/>
      <color theme="0"/>
      <name val="Arial"/>
      <family val="2"/>
    </font>
    <font>
      <sz val="22"/>
      <color rgb="FF000000"/>
      <name val="Arial"/>
      <family val="2"/>
    </font>
    <font>
      <sz val="24"/>
      <color rgb="FF000000"/>
      <name val="Calibri"/>
      <family val="2"/>
    </font>
    <font>
      <b/>
      <sz val="22"/>
      <color theme="0"/>
      <name val="Arial"/>
      <family val="2"/>
    </font>
    <font>
      <b/>
      <sz val="22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561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6" borderId="0" xfId="0" applyFill="1"/>
    <xf numFmtId="0" fontId="2" fillId="13" borderId="0" xfId="0" applyFont="1" applyFill="1"/>
    <xf numFmtId="0" fontId="2" fillId="13" borderId="45" xfId="0" applyFont="1" applyFill="1" applyBorder="1"/>
    <xf numFmtId="0" fontId="2" fillId="13" borderId="47" xfId="0" applyFont="1" applyFill="1" applyBorder="1"/>
    <xf numFmtId="0" fontId="2" fillId="13" borderId="48" xfId="0" applyFont="1" applyFill="1" applyBorder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Alignment="1">
      <alignment vertical="center"/>
    </xf>
    <xf numFmtId="0" fontId="2" fillId="11" borderId="7" xfId="0" applyFont="1" applyFill="1" applyBorder="1" applyAlignment="1">
      <alignment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5" fillId="2" borderId="52" xfId="0" applyFont="1" applyFill="1" applyBorder="1" applyAlignment="1">
      <alignment horizontal="center" vertical="center"/>
    </xf>
    <xf numFmtId="0" fontId="15" fillId="10" borderId="7" xfId="0" applyFont="1" applyFill="1" applyBorder="1" applyAlignment="1">
      <alignment horizontal="left" vertical="center"/>
    </xf>
    <xf numFmtId="0" fontId="15" fillId="10" borderId="0" xfId="0" applyFont="1" applyFill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9" xfId="0" applyFont="1" applyFill="1" applyBorder="1" applyAlignment="1">
      <alignment horizontal="left" vertical="center"/>
    </xf>
    <xf numFmtId="0" fontId="15" fillId="10" borderId="10" xfId="0" applyFont="1" applyFill="1" applyBorder="1" applyAlignment="1">
      <alignment vertical="center"/>
    </xf>
    <xf numFmtId="0" fontId="15" fillId="10" borderId="11" xfId="0" applyFont="1" applyFill="1" applyBorder="1" applyAlignment="1">
      <alignment vertical="center"/>
    </xf>
    <xf numFmtId="0" fontId="0" fillId="10" borderId="7" xfId="0" applyFill="1" applyBorder="1"/>
    <xf numFmtId="0" fontId="15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7" xfId="0" applyFill="1" applyBorder="1" applyAlignment="1">
      <alignment horizontal="center"/>
    </xf>
    <xf numFmtId="0" fontId="16" fillId="10" borderId="7" xfId="0" applyFont="1" applyFill="1" applyBorder="1" applyAlignment="1">
      <alignment horizontal="center" vertical="center"/>
    </xf>
    <xf numFmtId="0" fontId="16" fillId="10" borderId="0" xfId="0" applyFont="1" applyFill="1" applyAlignment="1">
      <alignment vertical="center"/>
    </xf>
    <xf numFmtId="0" fontId="16" fillId="10" borderId="8" xfId="0" applyFont="1" applyFill="1" applyBorder="1" applyAlignment="1">
      <alignment vertical="center"/>
    </xf>
    <xf numFmtId="0" fontId="13" fillId="10" borderId="7" xfId="0" applyFont="1" applyFill="1" applyBorder="1" applyAlignment="1">
      <alignment vertical="center"/>
    </xf>
    <xf numFmtId="0" fontId="13" fillId="10" borderId="8" xfId="0" applyFont="1" applyFill="1" applyBorder="1" applyAlignment="1">
      <alignment vertical="center"/>
    </xf>
    <xf numFmtId="0" fontId="13" fillId="10" borderId="7" xfId="0" applyFont="1" applyFill="1" applyBorder="1" applyAlignment="1">
      <alignment horizontal="center" vertical="center"/>
    </xf>
    <xf numFmtId="0" fontId="13" fillId="10" borderId="0" xfId="0" applyFont="1" applyFill="1" applyAlignment="1">
      <alignment vertical="center"/>
    </xf>
    <xf numFmtId="0" fontId="0" fillId="10" borderId="0" xfId="0" applyFill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" fillId="11" borderId="0" xfId="0" applyFont="1" applyFill="1" applyAlignment="1">
      <alignment vertical="center"/>
    </xf>
    <xf numFmtId="0" fontId="11" fillId="3" borderId="0" xfId="0" applyFont="1" applyFill="1"/>
    <xf numFmtId="0" fontId="20" fillId="2" borderId="1" xfId="0" applyFont="1" applyFill="1" applyBorder="1"/>
    <xf numFmtId="0" fontId="20" fillId="2" borderId="1" xfId="0" applyFont="1" applyFill="1" applyBorder="1" applyAlignment="1">
      <alignment horizontal="left"/>
    </xf>
    <xf numFmtId="0" fontId="28" fillId="2" borderId="1" xfId="2" applyFont="1" applyFill="1" applyBorder="1" applyAlignment="1">
      <alignment horizontal="left"/>
    </xf>
    <xf numFmtId="0" fontId="20" fillId="3" borderId="1" xfId="0" applyFont="1" applyFill="1" applyBorder="1" applyAlignment="1">
      <alignment horizontal="left"/>
    </xf>
    <xf numFmtId="0" fontId="21" fillId="10" borderId="7" xfId="0" applyFont="1" applyFill="1" applyBorder="1" applyAlignment="1">
      <alignment vertical="center"/>
    </xf>
    <xf numFmtId="0" fontId="21" fillId="10" borderId="8" xfId="0" applyFont="1" applyFill="1" applyBorder="1" applyAlignment="1">
      <alignment vertical="center"/>
    </xf>
    <xf numFmtId="0" fontId="27" fillId="10" borderId="7" xfId="0" applyFont="1" applyFill="1" applyBorder="1"/>
    <xf numFmtId="0" fontId="27" fillId="10" borderId="8" xfId="0" applyFont="1" applyFill="1" applyBorder="1"/>
    <xf numFmtId="0" fontId="20" fillId="10" borderId="7" xfId="0" applyFont="1" applyFill="1" applyBorder="1" applyAlignment="1">
      <alignment horizontal="left"/>
    </xf>
    <xf numFmtId="0" fontId="20" fillId="10" borderId="8" xfId="0" applyFont="1" applyFill="1" applyBorder="1" applyAlignment="1">
      <alignment horizontal="left"/>
    </xf>
    <xf numFmtId="0" fontId="20" fillId="11" borderId="8" xfId="0" applyFont="1" applyFill="1" applyBorder="1" applyAlignment="1">
      <alignment horizontal="left"/>
    </xf>
    <xf numFmtId="0" fontId="20" fillId="10" borderId="9" xfId="0" applyFont="1" applyFill="1" applyBorder="1" applyAlignment="1">
      <alignment horizontal="left"/>
    </xf>
    <xf numFmtId="0" fontId="20" fillId="10" borderId="10" xfId="0" applyFont="1" applyFill="1" applyBorder="1" applyAlignment="1">
      <alignment horizontal="left"/>
    </xf>
    <xf numFmtId="0" fontId="20" fillId="11" borderId="10" xfId="0" applyFont="1" applyFill="1" applyBorder="1" applyAlignment="1">
      <alignment horizontal="left"/>
    </xf>
    <xf numFmtId="0" fontId="20" fillId="11" borderId="11" xfId="0" applyFont="1" applyFill="1" applyBorder="1" applyAlignment="1">
      <alignment horizontal="left"/>
    </xf>
    <xf numFmtId="0" fontId="30" fillId="10" borderId="7" xfId="0" applyFont="1" applyFill="1" applyBorder="1"/>
    <xf numFmtId="0" fontId="31" fillId="10" borderId="0" xfId="0" applyFont="1" applyFill="1" applyAlignment="1">
      <alignment horizontal="center" vertical="center"/>
    </xf>
    <xf numFmtId="0" fontId="31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4" fillId="9" borderId="1" xfId="0" applyFont="1" applyFill="1" applyBorder="1" applyAlignment="1">
      <alignment horizontal="center" vertical="center"/>
    </xf>
    <xf numFmtId="0" fontId="23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15" borderId="0" xfId="0" applyFill="1"/>
    <xf numFmtId="0" fontId="34" fillId="16" borderId="1" xfId="0" applyFont="1" applyFill="1" applyBorder="1" applyAlignment="1">
      <alignment horizontal="center" vertical="center"/>
    </xf>
    <xf numFmtId="0" fontId="23" fillId="10" borderId="0" xfId="0" applyFont="1" applyFill="1" applyAlignment="1">
      <alignment vertical="center"/>
    </xf>
    <xf numFmtId="0" fontId="19" fillId="10" borderId="0" xfId="0" applyFont="1" applyFill="1"/>
    <xf numFmtId="0" fontId="2" fillId="9" borderId="1" xfId="0" applyFont="1" applyFill="1" applyBorder="1"/>
    <xf numFmtId="0" fontId="0" fillId="8" borderId="1" xfId="0" applyFill="1" applyBorder="1"/>
    <xf numFmtId="0" fontId="24" fillId="3" borderId="1" xfId="0" applyFont="1" applyFill="1" applyBorder="1" applyAlignment="1">
      <alignment horizontal="center" vertical="center"/>
    </xf>
    <xf numFmtId="0" fontId="33" fillId="10" borderId="0" xfId="0" applyFont="1" applyFill="1" applyAlignment="1">
      <alignment horizontal="left" vertical="center"/>
    </xf>
    <xf numFmtId="0" fontId="29" fillId="10" borderId="0" xfId="0" applyFont="1" applyFill="1" applyAlignment="1">
      <alignment horizontal="left" vertical="center"/>
    </xf>
    <xf numFmtId="0" fontId="33" fillId="17" borderId="52" xfId="0" applyFont="1" applyFill="1" applyBorder="1" applyAlignment="1">
      <alignment horizontal="center"/>
    </xf>
    <xf numFmtId="0" fontId="33" fillId="10" borderId="0" xfId="0" applyFont="1" applyFill="1" applyAlignment="1">
      <alignment horizontal="center" vertical="center"/>
    </xf>
    <xf numFmtId="0" fontId="36" fillId="18" borderId="0" xfId="0" applyFont="1" applyFill="1" applyAlignment="1">
      <alignment vertical="center"/>
    </xf>
    <xf numFmtId="0" fontId="7" fillId="19" borderId="0" xfId="0" applyFont="1" applyFill="1"/>
    <xf numFmtId="0" fontId="10" fillId="18" borderId="0" xfId="0" applyFont="1" applyFill="1"/>
    <xf numFmtId="0" fontId="8" fillId="18" borderId="49" xfId="0" applyFont="1" applyFill="1" applyBorder="1"/>
    <xf numFmtId="0" fontId="8" fillId="18" borderId="50" xfId="0" applyFont="1" applyFill="1" applyBorder="1"/>
    <xf numFmtId="0" fontId="8" fillId="18" borderId="15" xfId="0" applyFont="1" applyFill="1" applyBorder="1"/>
    <xf numFmtId="0" fontId="8" fillId="18" borderId="51" xfId="0" applyFont="1" applyFill="1" applyBorder="1"/>
    <xf numFmtId="0" fontId="8" fillId="18" borderId="0" xfId="0" applyFont="1" applyFill="1"/>
    <xf numFmtId="0" fontId="10" fillId="18" borderId="0" xfId="0" applyFont="1" applyFill="1" applyAlignment="1">
      <alignment horizontal="left" vertical="center"/>
    </xf>
    <xf numFmtId="0" fontId="8" fillId="18" borderId="20" xfId="0" applyFont="1" applyFill="1" applyBorder="1"/>
    <xf numFmtId="0" fontId="29" fillId="18" borderId="0" xfId="0" applyFont="1" applyFill="1"/>
    <xf numFmtId="0" fontId="37" fillId="2" borderId="1" xfId="0" applyFont="1" applyFill="1" applyBorder="1"/>
    <xf numFmtId="0" fontId="8" fillId="18" borderId="53" xfId="0" applyFont="1" applyFill="1" applyBorder="1"/>
    <xf numFmtId="0" fontId="8" fillId="18" borderId="14" xfId="0" applyFont="1" applyFill="1" applyBorder="1"/>
    <xf numFmtId="0" fontId="8" fillId="18" borderId="3" xfId="0" applyFont="1" applyFill="1" applyBorder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8" fillId="19" borderId="20" xfId="0" applyFont="1" applyFill="1" applyBorder="1"/>
    <xf numFmtId="0" fontId="8" fillId="2" borderId="1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13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1" xfId="0" applyFont="1" applyFill="1" applyBorder="1"/>
    <xf numFmtId="0" fontId="8" fillId="20" borderId="55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0" borderId="53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19" borderId="55" xfId="0" applyFont="1" applyFill="1" applyBorder="1"/>
    <xf numFmtId="0" fontId="8" fillId="19" borderId="54" xfId="0" applyFont="1" applyFill="1" applyBorder="1"/>
    <xf numFmtId="0" fontId="8" fillId="19" borderId="56" xfId="0" applyFont="1" applyFill="1" applyBorder="1"/>
    <xf numFmtId="0" fontId="8" fillId="19" borderId="5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10" fillId="19" borderId="0" xfId="0" applyFont="1" applyFill="1"/>
    <xf numFmtId="0" fontId="35" fillId="20" borderId="54" xfId="0" applyFont="1" applyFill="1" applyBorder="1"/>
    <xf numFmtId="0" fontId="26" fillId="20" borderId="55" xfId="0" applyFont="1" applyFill="1" applyBorder="1"/>
    <xf numFmtId="0" fontId="26" fillId="20" borderId="51" xfId="0" applyFont="1" applyFill="1" applyBorder="1"/>
    <xf numFmtId="0" fontId="35" fillId="20" borderId="55" xfId="0" applyFont="1" applyFill="1" applyBorder="1"/>
    <xf numFmtId="0" fontId="35" fillId="20" borderId="51" xfId="0" applyFont="1" applyFill="1" applyBorder="1"/>
    <xf numFmtId="0" fontId="33" fillId="20" borderId="0" xfId="0" applyFont="1" applyFill="1"/>
    <xf numFmtId="0" fontId="32" fillId="20" borderId="0" xfId="0" applyFont="1" applyFill="1"/>
    <xf numFmtId="0" fontId="35" fillId="20" borderId="0" xfId="0" applyFont="1" applyFill="1"/>
    <xf numFmtId="0" fontId="33" fillId="19" borderId="1" xfId="0" applyFont="1" applyFill="1" applyBorder="1"/>
    <xf numFmtId="0" fontId="29" fillId="20" borderId="0" xfId="0" applyFont="1" applyFill="1"/>
    <xf numFmtId="0" fontId="29" fillId="10" borderId="36" xfId="0" applyFont="1" applyFill="1" applyBorder="1" applyAlignment="1">
      <alignment horizontal="left" vertical="center"/>
    </xf>
    <xf numFmtId="0" fontId="29" fillId="10" borderId="38" xfId="0" applyFont="1" applyFill="1" applyBorder="1" applyAlignment="1">
      <alignment horizontal="left" vertical="center"/>
    </xf>
    <xf numFmtId="0" fontId="34" fillId="16" borderId="34" xfId="0" applyFont="1" applyFill="1" applyBorder="1" applyAlignment="1">
      <alignment horizontal="center"/>
    </xf>
    <xf numFmtId="0" fontId="34" fillId="16" borderId="35" xfId="0" applyFont="1" applyFill="1" applyBorder="1" applyAlignment="1">
      <alignment horizontal="center"/>
    </xf>
    <xf numFmtId="44" fontId="29" fillId="10" borderId="37" xfId="0" applyNumberFormat="1" applyFont="1" applyFill="1" applyBorder="1" applyAlignment="1">
      <alignment horizontal="left" vertical="center"/>
    </xf>
    <xf numFmtId="44" fontId="29" fillId="10" borderId="40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vertical="center"/>
    </xf>
    <xf numFmtId="44" fontId="29" fillId="10" borderId="1" xfId="0" applyNumberFormat="1" applyFont="1" applyFill="1" applyBorder="1" applyAlignment="1">
      <alignment horizontal="left"/>
    </xf>
    <xf numFmtId="0" fontId="29" fillId="10" borderId="36" xfId="0" applyFont="1" applyFill="1" applyBorder="1" applyAlignment="1">
      <alignment horizontal="left"/>
    </xf>
    <xf numFmtId="9" fontId="29" fillId="10" borderId="1" xfId="0" applyNumberFormat="1" applyFont="1" applyFill="1" applyBorder="1" applyAlignment="1">
      <alignment horizontal="left" vertical="center"/>
    </xf>
    <xf numFmtId="164" fontId="29" fillId="10" borderId="37" xfId="0" applyNumberFormat="1" applyFont="1" applyFill="1" applyBorder="1" applyAlignment="1">
      <alignment horizontal="left" vertical="center"/>
    </xf>
    <xf numFmtId="44" fontId="29" fillId="10" borderId="36" xfId="0" applyNumberFormat="1" applyFont="1" applyFill="1" applyBorder="1" applyAlignment="1">
      <alignment horizontal="left"/>
    </xf>
    <xf numFmtId="10" fontId="29" fillId="10" borderId="1" xfId="0" applyNumberFormat="1" applyFont="1" applyFill="1" applyBorder="1" applyAlignment="1">
      <alignment horizontal="left" vertical="center"/>
    </xf>
    <xf numFmtId="0" fontId="29" fillId="10" borderId="38" xfId="0" applyFont="1" applyFill="1" applyBorder="1" applyAlignment="1">
      <alignment horizontal="left"/>
    </xf>
    <xf numFmtId="44" fontId="29" fillId="10" borderId="39" xfId="0" applyNumberFormat="1" applyFont="1" applyFill="1" applyBorder="1" applyAlignment="1">
      <alignment horizontal="left"/>
    </xf>
    <xf numFmtId="10" fontId="29" fillId="10" borderId="39" xfId="0" applyNumberFormat="1" applyFont="1" applyFill="1" applyBorder="1" applyAlignment="1">
      <alignment horizontal="left" vertical="center"/>
    </xf>
    <xf numFmtId="164" fontId="29" fillId="10" borderId="40" xfId="0" applyNumberFormat="1" applyFont="1" applyFill="1" applyBorder="1" applyAlignment="1">
      <alignment horizontal="left" vertical="center"/>
    </xf>
    <xf numFmtId="0" fontId="29" fillId="10" borderId="1" xfId="0" applyFont="1" applyFill="1" applyBorder="1" applyAlignment="1">
      <alignment horizontal="left" vertical="center"/>
    </xf>
    <xf numFmtId="9" fontId="29" fillId="10" borderId="37" xfId="0" applyNumberFormat="1" applyFont="1" applyFill="1" applyBorder="1" applyAlignment="1">
      <alignment horizontal="left" vertical="center"/>
    </xf>
    <xf numFmtId="0" fontId="29" fillId="10" borderId="37" xfId="0" applyFont="1" applyFill="1" applyBorder="1" applyAlignment="1">
      <alignment horizontal="left" vertical="center"/>
    </xf>
    <xf numFmtId="0" fontId="29" fillId="10" borderId="39" xfId="0" applyFont="1" applyFill="1" applyBorder="1" applyAlignment="1">
      <alignment horizontal="left" vertical="center"/>
    </xf>
    <xf numFmtId="10" fontId="29" fillId="10" borderId="40" xfId="0" applyNumberFormat="1" applyFont="1" applyFill="1" applyBorder="1" applyAlignment="1">
      <alignment horizontal="left" vertical="center"/>
    </xf>
    <xf numFmtId="0" fontId="38" fillId="16" borderId="60" xfId="0" applyFont="1" applyFill="1" applyBorder="1"/>
    <xf numFmtId="9" fontId="29" fillId="10" borderId="61" xfId="0" applyNumberFormat="1" applyFont="1" applyFill="1" applyBorder="1" applyAlignment="1">
      <alignment horizontal="left"/>
    </xf>
    <xf numFmtId="0" fontId="8" fillId="13" borderId="10" xfId="0" applyFont="1" applyFill="1" applyBorder="1"/>
    <xf numFmtId="0" fontId="17" fillId="16" borderId="1" xfId="0" applyFont="1" applyFill="1" applyBorder="1"/>
    <xf numFmtId="0" fontId="29" fillId="10" borderId="62" xfId="0" applyFont="1" applyFill="1" applyBorder="1" applyAlignment="1">
      <alignment horizontal="left"/>
    </xf>
    <xf numFmtId="0" fontId="29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18" fillId="2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1" fillId="10" borderId="0" xfId="0" applyFont="1" applyFill="1" applyAlignment="1">
      <alignment vertical="center"/>
    </xf>
    <xf numFmtId="0" fontId="27" fillId="10" borderId="0" xfId="0" applyFont="1" applyFill="1"/>
    <xf numFmtId="0" fontId="20" fillId="10" borderId="0" xfId="0" applyFont="1" applyFill="1"/>
    <xf numFmtId="0" fontId="18" fillId="10" borderId="0" xfId="0" applyFont="1" applyFill="1" applyAlignment="1">
      <alignment horizontal="left"/>
    </xf>
    <xf numFmtId="0" fontId="20" fillId="10" borderId="0" xfId="0" applyFont="1" applyFill="1" applyAlignment="1">
      <alignment horizontal="left"/>
    </xf>
    <xf numFmtId="0" fontId="20" fillId="11" borderId="0" xfId="0" applyFont="1" applyFill="1" applyAlignment="1">
      <alignment horizontal="left"/>
    </xf>
    <xf numFmtId="0" fontId="27" fillId="10" borderId="9" xfId="0" applyFont="1" applyFill="1" applyBorder="1"/>
    <xf numFmtId="0" fontId="40" fillId="10" borderId="10" xfId="0" applyFont="1" applyFill="1" applyBorder="1"/>
    <xf numFmtId="0" fontId="27" fillId="10" borderId="10" xfId="0" applyFont="1" applyFill="1" applyBorder="1"/>
    <xf numFmtId="0" fontId="20" fillId="10" borderId="10" xfId="0" applyFont="1" applyFill="1" applyBorder="1"/>
    <xf numFmtId="0" fontId="27" fillId="10" borderId="11" xfId="0" applyFont="1" applyFill="1" applyBorder="1"/>
    <xf numFmtId="0" fontId="33" fillId="10" borderId="10" xfId="0" applyFont="1" applyFill="1" applyBorder="1" applyAlignment="1">
      <alignment horizontal="left"/>
    </xf>
    <xf numFmtId="0" fontId="29" fillId="10" borderId="10" xfId="0" applyFont="1" applyFill="1" applyBorder="1" applyAlignment="1">
      <alignment horizontal="left"/>
    </xf>
    <xf numFmtId="44" fontId="0" fillId="13" borderId="1" xfId="4" applyFont="1" applyFill="1" applyBorder="1"/>
    <xf numFmtId="44" fontId="39" fillId="13" borderId="1" xfId="4" applyFont="1" applyFill="1" applyBorder="1"/>
    <xf numFmtId="0" fontId="19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9" fillId="13" borderId="55" xfId="0" applyFont="1" applyFill="1" applyBorder="1"/>
    <xf numFmtId="0" fontId="29" fillId="13" borderId="1" xfId="0" applyFont="1" applyFill="1" applyBorder="1" applyAlignment="1">
      <alignment horizontal="center"/>
    </xf>
    <xf numFmtId="44" fontId="29" fillId="13" borderId="1" xfId="4" applyFont="1" applyFill="1" applyBorder="1" applyAlignment="1"/>
    <xf numFmtId="0" fontId="25" fillId="16" borderId="1" xfId="0" applyFont="1" applyFill="1" applyBorder="1" applyAlignment="1">
      <alignment horizontal="center" vertical="center"/>
    </xf>
    <xf numFmtId="0" fontId="34" fillId="16" borderId="55" xfId="0" applyFont="1" applyFill="1" applyBorder="1" applyAlignment="1">
      <alignment vertical="center"/>
    </xf>
    <xf numFmtId="0" fontId="34" fillId="16" borderId="1" xfId="0" applyFont="1" applyFill="1" applyBorder="1" applyAlignment="1">
      <alignment vertical="center"/>
    </xf>
    <xf numFmtId="0" fontId="29" fillId="13" borderId="1" xfId="0" applyFont="1" applyFill="1" applyBorder="1"/>
    <xf numFmtId="44" fontId="29" fillId="13" borderId="1" xfId="4" applyFont="1" applyFill="1" applyBorder="1" applyAlignment="1">
      <alignment horizontal="center"/>
    </xf>
    <xf numFmtId="0" fontId="29" fillId="10" borderId="1" xfId="0" applyFont="1" applyFill="1" applyBorder="1"/>
    <xf numFmtId="44" fontId="29" fillId="10" borderId="1" xfId="0" applyNumberFormat="1" applyFont="1" applyFill="1" applyBorder="1"/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6" borderId="13" xfId="4" applyFont="1" applyFill="1" applyBorder="1"/>
    <xf numFmtId="44" fontId="0" fillId="16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29" fillId="13" borderId="1" xfId="4" applyFont="1" applyFill="1" applyBorder="1"/>
    <xf numFmtId="44" fontId="40" fillId="13" borderId="1" xfId="4" applyFont="1" applyFill="1" applyBorder="1"/>
    <xf numFmtId="0" fontId="29" fillId="13" borderId="13" xfId="0" applyFont="1" applyFill="1" applyBorder="1"/>
    <xf numFmtId="44" fontId="29" fillId="13" borderId="13" xfId="4" applyFont="1" applyFill="1" applyBorder="1"/>
    <xf numFmtId="44" fontId="40" fillId="13" borderId="13" xfId="4" applyFont="1" applyFill="1" applyBorder="1"/>
    <xf numFmtId="0" fontId="30" fillId="13" borderId="1" xfId="0" applyFont="1" applyFill="1" applyBorder="1"/>
    <xf numFmtId="0" fontId="34" fillId="16" borderId="13" xfId="0" applyFont="1" applyFill="1" applyBorder="1"/>
    <xf numFmtId="44" fontId="29" fillId="13" borderId="0" xfId="4" applyFont="1" applyFill="1"/>
    <xf numFmtId="0" fontId="25" fillId="16" borderId="1" xfId="0" applyFont="1" applyFill="1" applyBorder="1" applyAlignment="1">
      <alignment horizontal="center"/>
    </xf>
    <xf numFmtId="0" fontId="42" fillId="0" borderId="0" xfId="0" applyFont="1" applyAlignment="1">
      <alignment vertical="center"/>
    </xf>
    <xf numFmtId="0" fontId="40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3" fillId="10" borderId="1" xfId="0" applyFont="1" applyFill="1" applyBorder="1" applyAlignment="1">
      <alignment horizontal="left" vertical="center"/>
    </xf>
    <xf numFmtId="0" fontId="17" fillId="16" borderId="1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5" fillId="12" borderId="34" xfId="0" applyFont="1" applyFill="1" applyBorder="1" applyAlignment="1">
      <alignment horizontal="center" vertical="center"/>
    </xf>
    <xf numFmtId="0" fontId="25" fillId="12" borderId="67" xfId="0" applyFont="1" applyFill="1" applyBorder="1" applyAlignment="1">
      <alignment horizontal="center" vertical="center"/>
    </xf>
    <xf numFmtId="0" fontId="25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29" fillId="2" borderId="1" xfId="0" applyFont="1" applyFill="1" applyBorder="1" applyAlignment="1">
      <alignment horizontal="left" vertical="center"/>
    </xf>
    <xf numFmtId="0" fontId="29" fillId="2" borderId="37" xfId="0" applyFont="1" applyFill="1" applyBorder="1" applyAlignment="1">
      <alignment horizontal="left" vertical="center"/>
    </xf>
    <xf numFmtId="0" fontId="29" fillId="2" borderId="37" xfId="0" applyFont="1" applyFill="1" applyBorder="1" applyAlignment="1">
      <alignment horizontal="left"/>
    </xf>
    <xf numFmtId="0" fontId="43" fillId="2" borderId="37" xfId="2" applyFont="1" applyFill="1" applyBorder="1" applyAlignment="1">
      <alignment horizontal="left" vertical="center"/>
    </xf>
    <xf numFmtId="0" fontId="43" fillId="2" borderId="37" xfId="2" applyFont="1" applyFill="1" applyBorder="1" applyAlignment="1">
      <alignment horizontal="left"/>
    </xf>
    <xf numFmtId="0" fontId="29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29" fillId="2" borderId="39" xfId="0" applyFont="1" applyFill="1" applyBorder="1" applyAlignment="1">
      <alignment horizontal="left" vertical="center"/>
    </xf>
    <xf numFmtId="0" fontId="29" fillId="2" borderId="40" xfId="0" applyFont="1" applyFill="1" applyBorder="1" applyAlignment="1">
      <alignment horizontal="left" vertical="center"/>
    </xf>
    <xf numFmtId="0" fontId="25" fillId="16" borderId="36" xfId="0" applyFont="1" applyFill="1" applyBorder="1" applyAlignment="1">
      <alignment horizontal="center"/>
    </xf>
    <xf numFmtId="0" fontId="25" fillId="16" borderId="37" xfId="0" applyFont="1" applyFill="1" applyBorder="1" applyAlignment="1">
      <alignment horizontal="center"/>
    </xf>
    <xf numFmtId="0" fontId="40" fillId="0" borderId="36" xfId="0" applyFont="1" applyBorder="1"/>
    <xf numFmtId="0" fontId="40" fillId="0" borderId="1" xfId="0" applyFont="1" applyBorder="1"/>
    <xf numFmtId="0" fontId="40" fillId="0" borderId="37" xfId="0" applyFont="1" applyBorder="1"/>
    <xf numFmtId="0" fontId="40" fillId="0" borderId="38" xfId="0" applyFont="1" applyBorder="1"/>
    <xf numFmtId="0" fontId="40" fillId="0" borderId="39" xfId="0" applyFont="1" applyBorder="1"/>
    <xf numFmtId="0" fontId="40" fillId="0" borderId="40" xfId="0" applyFont="1" applyBorder="1"/>
    <xf numFmtId="0" fontId="25" fillId="16" borderId="68" xfId="0" applyFont="1" applyFill="1" applyBorder="1" applyAlignment="1">
      <alignment horizontal="center"/>
    </xf>
    <xf numFmtId="0" fontId="25" fillId="16" borderId="2" xfId="0" applyFont="1" applyFill="1" applyBorder="1" applyAlignment="1">
      <alignment horizontal="center"/>
    </xf>
    <xf numFmtId="0" fontId="25" fillId="16" borderId="2" xfId="0" applyFont="1" applyFill="1" applyBorder="1" applyAlignment="1">
      <alignment horizontal="center" vertical="center"/>
    </xf>
    <xf numFmtId="0" fontId="25" fillId="16" borderId="33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/>
    </xf>
    <xf numFmtId="0" fontId="25" fillId="12" borderId="56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left"/>
    </xf>
    <xf numFmtId="0" fontId="33" fillId="2" borderId="18" xfId="0" applyFont="1" applyFill="1" applyBorder="1" applyAlignment="1">
      <alignment horizontal="left"/>
    </xf>
    <xf numFmtId="0" fontId="45" fillId="2" borderId="1" xfId="0" applyFont="1" applyFill="1" applyBorder="1" applyAlignment="1">
      <alignment horizontal="left"/>
    </xf>
    <xf numFmtId="0" fontId="29" fillId="2" borderId="18" xfId="0" applyFont="1" applyFill="1" applyBorder="1" applyAlignment="1">
      <alignment horizontal="left"/>
    </xf>
    <xf numFmtId="0" fontId="25" fillId="16" borderId="36" xfId="0" applyFont="1" applyFill="1" applyBorder="1" applyAlignment="1">
      <alignment horizontal="center" vertical="center"/>
    </xf>
    <xf numFmtId="0" fontId="25" fillId="16" borderId="37" xfId="0" applyFont="1" applyFill="1" applyBorder="1" applyAlignment="1">
      <alignment horizontal="center" vertical="center"/>
    </xf>
    <xf numFmtId="0" fontId="40" fillId="0" borderId="36" xfId="0" applyFont="1" applyBorder="1" applyAlignment="1">
      <alignment horizontal="center" vertical="center"/>
    </xf>
    <xf numFmtId="0" fontId="33" fillId="10" borderId="0" xfId="0" applyFont="1" applyFill="1"/>
    <xf numFmtId="0" fontId="30" fillId="2" borderId="1" xfId="0" applyFont="1" applyFill="1" applyBorder="1"/>
    <xf numFmtId="0" fontId="40" fillId="10" borderId="0" xfId="0" applyFont="1" applyFill="1"/>
    <xf numFmtId="0" fontId="33" fillId="10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29" fillId="10" borderId="0" xfId="0" applyFont="1" applyFill="1" applyAlignment="1">
      <alignment horizontal="left"/>
    </xf>
    <xf numFmtId="0" fontId="46" fillId="2" borderId="1" xfId="2" applyFont="1" applyFill="1" applyBorder="1" applyAlignment="1">
      <alignment horizontal="left"/>
    </xf>
    <xf numFmtId="0" fontId="30" fillId="3" borderId="1" xfId="0" applyFont="1" applyFill="1" applyBorder="1" applyAlignment="1">
      <alignment horizontal="left"/>
    </xf>
    <xf numFmtId="165" fontId="30" fillId="3" borderId="1" xfId="0" applyNumberFormat="1" applyFont="1" applyFill="1" applyBorder="1" applyAlignment="1">
      <alignment horizontal="left"/>
    </xf>
    <xf numFmtId="0" fontId="47" fillId="16" borderId="1" xfId="0" applyFont="1" applyFill="1" applyBorder="1" applyAlignment="1">
      <alignment horizontal="left" vertical="center"/>
    </xf>
    <xf numFmtId="0" fontId="30" fillId="13" borderId="1" xfId="0" applyFont="1" applyFill="1" applyBorder="1" applyAlignment="1">
      <alignment horizontal="left" vertical="center"/>
    </xf>
    <xf numFmtId="44" fontId="30" fillId="13" borderId="1" xfId="4" applyFont="1" applyFill="1" applyBorder="1" applyAlignment="1">
      <alignment horizontal="left" vertical="center"/>
    </xf>
    <xf numFmtId="0" fontId="48" fillId="13" borderId="1" xfId="0" applyFont="1" applyFill="1" applyBorder="1" applyAlignment="1">
      <alignment horizontal="left" vertical="center" wrapText="1"/>
    </xf>
    <xf numFmtId="44" fontId="48" fillId="13" borderId="1" xfId="4" applyFont="1" applyFill="1" applyBorder="1" applyAlignment="1">
      <alignment horizontal="left" vertical="center" wrapText="1"/>
    </xf>
    <xf numFmtId="0" fontId="48" fillId="13" borderId="13" xfId="0" applyFont="1" applyFill="1" applyBorder="1" applyAlignment="1">
      <alignment horizontal="left" vertical="center" wrapText="1"/>
    </xf>
    <xf numFmtId="44" fontId="48" fillId="13" borderId="13" xfId="4" applyFont="1" applyFill="1" applyBorder="1" applyAlignment="1">
      <alignment horizontal="left" vertical="center" wrapText="1"/>
    </xf>
    <xf numFmtId="0" fontId="32" fillId="10" borderId="0" xfId="0" applyFont="1" applyFill="1" applyAlignment="1">
      <alignment horizontal="left" vertical="center"/>
    </xf>
    <xf numFmtId="0" fontId="34" fillId="10" borderId="0" xfId="0" applyFont="1" applyFill="1" applyAlignment="1">
      <alignment horizontal="left" vertical="center"/>
    </xf>
    <xf numFmtId="0" fontId="38" fillId="10" borderId="0" xfId="0" applyFont="1" applyFill="1" applyAlignment="1">
      <alignment horizontal="left" vertical="center"/>
    </xf>
    <xf numFmtId="0" fontId="49" fillId="2" borderId="1" xfId="2" applyFont="1" applyFill="1" applyBorder="1" applyAlignment="1">
      <alignment horizontal="left"/>
    </xf>
    <xf numFmtId="0" fontId="29" fillId="10" borderId="0" xfId="0" applyFont="1" applyFill="1"/>
    <xf numFmtId="0" fontId="27" fillId="2" borderId="0" xfId="0" applyFont="1" applyFill="1"/>
    <xf numFmtId="0" fontId="40" fillId="2" borderId="0" xfId="0" applyFont="1" applyFill="1"/>
    <xf numFmtId="0" fontId="20" fillId="2" borderId="0" xfId="0" applyFont="1" applyFill="1"/>
    <xf numFmtId="0" fontId="19" fillId="10" borderId="0" xfId="0" applyFont="1" applyFill="1" applyAlignment="1">
      <alignment horizontal="left" vertical="center"/>
    </xf>
    <xf numFmtId="165" fontId="20" fillId="11" borderId="0" xfId="0" applyNumberFormat="1" applyFont="1" applyFill="1" applyAlignment="1">
      <alignment horizontal="left"/>
    </xf>
    <xf numFmtId="0" fontId="20" fillId="2" borderId="0" xfId="0" applyFont="1" applyFill="1" applyAlignment="1">
      <alignment horizontal="left"/>
    </xf>
    <xf numFmtId="0" fontId="20" fillId="3" borderId="0" xfId="0" applyFont="1" applyFill="1" applyAlignment="1">
      <alignment horizontal="left"/>
    </xf>
    <xf numFmtId="0" fontId="8" fillId="10" borderId="0" xfId="0" applyFont="1" applyFill="1" applyAlignment="1">
      <alignment horizontal="left"/>
    </xf>
    <xf numFmtId="0" fontId="29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29" fillId="2" borderId="52" xfId="0" applyNumberFormat="1" applyFont="1" applyFill="1" applyBorder="1" applyAlignment="1">
      <alignment horizontal="left"/>
    </xf>
    <xf numFmtId="14" fontId="29" fillId="2" borderId="52" xfId="0" applyNumberFormat="1" applyFont="1" applyFill="1" applyBorder="1" applyAlignment="1">
      <alignment horizontal="left"/>
    </xf>
    <xf numFmtId="0" fontId="17" fillId="10" borderId="7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33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3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29" fillId="0" borderId="1" xfId="0" applyFont="1" applyBorder="1"/>
    <xf numFmtId="0" fontId="29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29" fillId="0" borderId="0" xfId="0" applyFont="1"/>
    <xf numFmtId="0" fontId="29" fillId="0" borderId="71" xfId="0" applyFont="1" applyBorder="1"/>
    <xf numFmtId="0" fontId="29" fillId="0" borderId="39" xfId="0" applyFont="1" applyBorder="1"/>
    <xf numFmtId="0" fontId="29" fillId="0" borderId="38" xfId="0" applyFont="1" applyBorder="1"/>
    <xf numFmtId="0" fontId="29" fillId="2" borderId="0" xfId="0" applyFont="1" applyFill="1"/>
    <xf numFmtId="0" fontId="29" fillId="0" borderId="1" xfId="0" applyFont="1" applyBorder="1" applyAlignment="1">
      <alignment horizontal="left" vertical="center"/>
    </xf>
    <xf numFmtId="0" fontId="29" fillId="0" borderId="55" xfId="0" applyFont="1" applyBorder="1"/>
    <xf numFmtId="0" fontId="29" fillId="0" borderId="36" xfId="0" applyFont="1" applyBorder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29" fillId="0" borderId="40" xfId="0" applyFont="1" applyBorder="1"/>
    <xf numFmtId="0" fontId="29" fillId="0" borderId="72" xfId="0" applyFont="1" applyBorder="1"/>
    <xf numFmtId="44" fontId="29" fillId="0" borderId="37" xfId="5" applyFont="1" applyBorder="1"/>
    <xf numFmtId="44" fontId="29" fillId="0" borderId="1" xfId="5" applyFont="1" applyBorder="1"/>
    <xf numFmtId="0" fontId="29" fillId="0" borderId="56" xfId="0" applyFont="1" applyBorder="1"/>
    <xf numFmtId="0" fontId="50" fillId="0" borderId="1" xfId="2" applyFont="1" applyBorder="1"/>
    <xf numFmtId="0" fontId="25" fillId="16" borderId="53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41" fillId="7" borderId="1" xfId="0" applyFont="1" applyFill="1" applyBorder="1" applyAlignment="1">
      <alignment horizontal="center"/>
    </xf>
    <xf numFmtId="0" fontId="41" fillId="7" borderId="65" xfId="0" applyFont="1" applyFill="1" applyBorder="1" applyAlignment="1">
      <alignment horizontal="center"/>
    </xf>
    <xf numFmtId="0" fontId="41" fillId="7" borderId="64" xfId="0" applyFont="1" applyFill="1" applyBorder="1" applyAlignment="1">
      <alignment horizontal="center"/>
    </xf>
    <xf numFmtId="0" fontId="41" fillId="2" borderId="0" xfId="0" applyFont="1" applyFill="1" applyAlignment="1">
      <alignment horizontal="center"/>
    </xf>
    <xf numFmtId="0" fontId="25" fillId="16" borderId="3" xfId="0" applyFont="1" applyFill="1" applyBorder="1" applyAlignment="1">
      <alignment horizontal="center"/>
    </xf>
    <xf numFmtId="0" fontId="41" fillId="7" borderId="66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0" fillId="2" borderId="37" xfId="2" applyFont="1" applyFill="1" applyBorder="1" applyAlignment="1">
      <alignment horizontal="left" vertical="center"/>
    </xf>
    <xf numFmtId="0" fontId="50" fillId="2" borderId="0" xfId="2" applyFont="1" applyFill="1" applyBorder="1" applyAlignment="1">
      <alignment horizontal="left" vertical="center"/>
    </xf>
    <xf numFmtId="0" fontId="29" fillId="0" borderId="37" xfId="0" applyFont="1" applyBorder="1"/>
    <xf numFmtId="0" fontId="29" fillId="0" borderId="36" xfId="0" applyFont="1" applyBorder="1"/>
    <xf numFmtId="0" fontId="50" fillId="2" borderId="37" xfId="2" applyFont="1" applyFill="1" applyBorder="1" applyAlignment="1">
      <alignment horizontal="left"/>
    </xf>
    <xf numFmtId="0" fontId="50" fillId="2" borderId="0" xfId="2" applyFont="1" applyFill="1" applyBorder="1" applyAlignment="1">
      <alignment horizontal="left"/>
    </xf>
    <xf numFmtId="0" fontId="29" fillId="2" borderId="33" xfId="0" applyFont="1" applyFill="1" applyBorder="1" applyAlignment="1">
      <alignment horizontal="left" vertical="center"/>
    </xf>
    <xf numFmtId="0" fontId="29" fillId="2" borderId="2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43" fillId="2" borderId="1" xfId="2" applyFont="1" applyFill="1" applyBorder="1" applyAlignment="1">
      <alignment horizontal="left"/>
    </xf>
    <xf numFmtId="0" fontId="25" fillId="3" borderId="0" xfId="0" applyFont="1" applyFill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29" fillId="13" borderId="52" xfId="0" applyFont="1" applyFill="1" applyBorder="1" applyAlignment="1">
      <alignment horizontal="left"/>
    </xf>
    <xf numFmtId="164" fontId="29" fillId="13" borderId="52" xfId="0" applyNumberFormat="1" applyFont="1" applyFill="1" applyBorder="1" applyAlignment="1">
      <alignment horizontal="left"/>
    </xf>
    <xf numFmtId="0" fontId="52" fillId="9" borderId="1" xfId="0" applyFont="1" applyFill="1" applyBorder="1" applyAlignment="1">
      <alignment horizontal="center" vertical="center"/>
    </xf>
    <xf numFmtId="0" fontId="53" fillId="11" borderId="0" xfId="0" applyFont="1" applyFill="1" applyAlignment="1">
      <alignment horizontal="left" vertical="center"/>
    </xf>
    <xf numFmtId="0" fontId="53" fillId="11" borderId="0" xfId="0" applyFont="1" applyFill="1" applyAlignment="1">
      <alignment vertical="center"/>
    </xf>
    <xf numFmtId="0" fontId="51" fillId="8" borderId="23" xfId="0" applyFont="1" applyFill="1" applyBorder="1" applyAlignment="1">
      <alignment horizontal="center" vertical="center"/>
    </xf>
    <xf numFmtId="0" fontId="51" fillId="8" borderId="25" xfId="0" applyFont="1" applyFill="1" applyBorder="1" applyAlignment="1">
      <alignment horizontal="center" vertical="center"/>
    </xf>
    <xf numFmtId="0" fontId="51" fillId="8" borderId="27" xfId="0" applyFont="1" applyFill="1" applyBorder="1" applyAlignment="1">
      <alignment horizontal="center" vertical="center"/>
    </xf>
    <xf numFmtId="0" fontId="51" fillId="8" borderId="19" xfId="0" applyFont="1" applyFill="1" applyBorder="1" applyAlignment="1">
      <alignment horizontal="center" vertical="center"/>
    </xf>
    <xf numFmtId="0" fontId="51" fillId="8" borderId="16" xfId="0" applyFont="1" applyFill="1" applyBorder="1" applyAlignment="1">
      <alignment horizontal="center" vertical="center"/>
    </xf>
    <xf numFmtId="0" fontId="51" fillId="8" borderId="24" xfId="0" applyFont="1" applyFill="1" applyBorder="1" applyAlignment="1">
      <alignment horizontal="center" vertical="center"/>
    </xf>
    <xf numFmtId="0" fontId="36" fillId="2" borderId="17" xfId="0" applyFont="1" applyFill="1" applyBorder="1" applyAlignment="1">
      <alignment horizontal="center" vertical="center"/>
    </xf>
    <xf numFmtId="0" fontId="36" fillId="2" borderId="19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0" fontId="36" fillId="2" borderId="18" xfId="0" applyFont="1" applyFill="1" applyBorder="1" applyAlignment="1">
      <alignment horizontal="center" vertical="center"/>
    </xf>
    <xf numFmtId="0" fontId="36" fillId="2" borderId="12" xfId="0" applyFont="1" applyFill="1" applyBorder="1" applyAlignment="1">
      <alignment horizontal="center" vertical="center"/>
    </xf>
    <xf numFmtId="0" fontId="36" fillId="2" borderId="26" xfId="0" applyFont="1" applyFill="1" applyBorder="1" applyAlignment="1">
      <alignment horizontal="center" vertical="center"/>
    </xf>
    <xf numFmtId="0" fontId="36" fillId="2" borderId="28" xfId="0" applyFont="1" applyFill="1" applyBorder="1" applyAlignment="1">
      <alignment horizontal="center" vertical="center"/>
    </xf>
    <xf numFmtId="0" fontId="36" fillId="2" borderId="29" xfId="0" applyFont="1" applyFill="1" applyBorder="1" applyAlignment="1">
      <alignment horizontal="center" vertical="center"/>
    </xf>
    <xf numFmtId="0" fontId="36" fillId="2" borderId="30" xfId="0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0" fontId="57" fillId="11" borderId="0" xfId="0" applyFont="1" applyFill="1" applyAlignment="1">
      <alignment horizontal="left" vertical="center"/>
    </xf>
    <xf numFmtId="0" fontId="52" fillId="3" borderId="1" xfId="0" applyFont="1" applyFill="1" applyBorder="1" applyAlignment="1">
      <alignment horizontal="center" vertical="center"/>
    </xf>
    <xf numFmtId="0" fontId="51" fillId="11" borderId="0" xfId="0" applyFont="1" applyFill="1" applyAlignment="1">
      <alignment horizontal="left" vertical="center"/>
    </xf>
    <xf numFmtId="0" fontId="54" fillId="16" borderId="1" xfId="0" applyFont="1" applyFill="1" applyBorder="1" applyAlignment="1">
      <alignment horizontal="center" vertical="center"/>
    </xf>
    <xf numFmtId="0" fontId="36" fillId="13" borderId="1" xfId="0" applyFont="1" applyFill="1" applyBorder="1" applyAlignment="1">
      <alignment horizontal="left" vertical="center" wrapText="1"/>
    </xf>
    <xf numFmtId="0" fontId="54" fillId="16" borderId="1" xfId="0" applyFont="1" applyFill="1" applyBorder="1" applyAlignment="1">
      <alignment horizontal="left" vertical="center"/>
    </xf>
    <xf numFmtId="0" fontId="54" fillId="16" borderId="1" xfId="0" applyFont="1" applyFill="1" applyBorder="1" applyAlignment="1">
      <alignment horizontal="right" vertical="center"/>
    </xf>
    <xf numFmtId="3" fontId="36" fillId="13" borderId="1" xfId="0" applyNumberFormat="1" applyFont="1" applyFill="1" applyBorder="1" applyAlignment="1">
      <alignment horizontal="left" vertical="center" wrapText="1"/>
    </xf>
    <xf numFmtId="14" fontId="36" fillId="13" borderId="1" xfId="0" applyNumberFormat="1" applyFont="1" applyFill="1" applyBorder="1" applyAlignment="1">
      <alignment horizontal="left" vertical="center" wrapText="1"/>
    </xf>
    <xf numFmtId="20" fontId="36" fillId="13" borderId="1" xfId="0" applyNumberFormat="1" applyFont="1" applyFill="1" applyBorder="1" applyAlignment="1">
      <alignment horizontal="left" vertical="center" wrapText="1"/>
    </xf>
    <xf numFmtId="2" fontId="36" fillId="13" borderId="1" xfId="0" applyNumberFormat="1" applyFont="1" applyFill="1" applyBorder="1" applyAlignment="1">
      <alignment horizontal="left" vertical="center" wrapText="1"/>
    </xf>
    <xf numFmtId="8" fontId="36" fillId="13" borderId="1" xfId="0" applyNumberFormat="1" applyFont="1" applyFill="1" applyBorder="1" applyAlignment="1">
      <alignment horizontal="left" vertical="center" wrapText="1"/>
    </xf>
    <xf numFmtId="0" fontId="0" fillId="13" borderId="0" xfId="0" applyFill="1" applyAlignment="1">
      <alignment horizontal="center"/>
    </xf>
    <xf numFmtId="0" fontId="10" fillId="10" borderId="7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center" vertical="center"/>
    </xf>
    <xf numFmtId="0" fontId="52" fillId="9" borderId="31" xfId="0" applyFont="1" applyFill="1" applyBorder="1" applyAlignment="1">
      <alignment horizontal="center" vertical="center"/>
    </xf>
    <xf numFmtId="0" fontId="52" fillId="9" borderId="15" xfId="0" applyFont="1" applyFill="1" applyBorder="1" applyAlignment="1">
      <alignment horizontal="center" vertical="center"/>
    </xf>
    <xf numFmtId="0" fontId="52" fillId="9" borderId="21" xfId="0" applyFont="1" applyFill="1" applyBorder="1" applyAlignment="1">
      <alignment horizontal="center" vertical="center"/>
    </xf>
    <xf numFmtId="0" fontId="52" fillId="9" borderId="3" xfId="0" applyFont="1" applyFill="1" applyBorder="1" applyAlignment="1">
      <alignment horizontal="center" vertical="center"/>
    </xf>
    <xf numFmtId="0" fontId="56" fillId="3" borderId="13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55" fillId="5" borderId="4" xfId="0" applyFont="1" applyFill="1" applyBorder="1" applyAlignment="1">
      <alignment horizontal="center" vertical="center"/>
    </xf>
    <xf numFmtId="0" fontId="55" fillId="5" borderId="5" xfId="0" applyFont="1" applyFill="1" applyBorder="1" applyAlignment="1">
      <alignment horizontal="center" vertical="center"/>
    </xf>
    <xf numFmtId="0" fontId="55" fillId="5" borderId="6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55" fillId="5" borderId="14" xfId="0" applyFont="1" applyFill="1" applyBorder="1" applyAlignment="1">
      <alignment horizontal="center" vertical="center"/>
    </xf>
    <xf numFmtId="0" fontId="55" fillId="5" borderId="22" xfId="0" applyFont="1" applyFill="1" applyBorder="1" applyAlignment="1">
      <alignment horizontal="center" vertical="center"/>
    </xf>
    <xf numFmtId="0" fontId="54" fillId="4" borderId="4" xfId="0" applyFont="1" applyFill="1" applyBorder="1" applyAlignment="1">
      <alignment horizontal="center" vertical="center"/>
    </xf>
    <xf numFmtId="0" fontId="54" fillId="4" borderId="5" xfId="0" applyFont="1" applyFill="1" applyBorder="1" applyAlignment="1">
      <alignment horizontal="center" vertical="center"/>
    </xf>
    <xf numFmtId="0" fontId="54" fillId="4" borderId="6" xfId="0" applyFont="1" applyFill="1" applyBorder="1" applyAlignment="1">
      <alignment horizontal="center" vertical="center"/>
    </xf>
    <xf numFmtId="0" fontId="54" fillId="4" borderId="21" xfId="0" applyFont="1" applyFill="1" applyBorder="1" applyAlignment="1">
      <alignment horizontal="center" vertical="center"/>
    </xf>
    <xf numFmtId="0" fontId="54" fillId="4" borderId="14" xfId="0" applyFont="1" applyFill="1" applyBorder="1" applyAlignment="1">
      <alignment horizontal="center" vertical="center"/>
    </xf>
    <xf numFmtId="0" fontId="54" fillId="4" borderId="22" xfId="0" applyFont="1" applyFill="1" applyBorder="1" applyAlignment="1">
      <alignment horizontal="center" vertical="center"/>
    </xf>
    <xf numFmtId="0" fontId="55" fillId="12" borderId="4" xfId="0" applyFont="1" applyFill="1" applyBorder="1" applyAlignment="1">
      <alignment horizontal="center" vertical="center"/>
    </xf>
    <xf numFmtId="0" fontId="55" fillId="12" borderId="5" xfId="0" applyFont="1" applyFill="1" applyBorder="1" applyAlignment="1">
      <alignment horizontal="center" vertical="center"/>
    </xf>
    <xf numFmtId="0" fontId="55" fillId="12" borderId="6" xfId="0" applyFont="1" applyFill="1" applyBorder="1" applyAlignment="1">
      <alignment horizontal="center" vertical="center"/>
    </xf>
    <xf numFmtId="0" fontId="55" fillId="12" borderId="7" xfId="0" applyFont="1" applyFill="1" applyBorder="1" applyAlignment="1">
      <alignment horizontal="center" vertical="center"/>
    </xf>
    <xf numFmtId="0" fontId="55" fillId="12" borderId="0" xfId="0" applyFont="1" applyFill="1" applyAlignment="1">
      <alignment horizontal="center" vertical="center"/>
    </xf>
    <xf numFmtId="0" fontId="55" fillId="12" borderId="8" xfId="0" applyFont="1" applyFill="1" applyBorder="1" applyAlignment="1">
      <alignment horizontal="center" vertical="center"/>
    </xf>
    <xf numFmtId="0" fontId="55" fillId="12" borderId="9" xfId="0" applyFont="1" applyFill="1" applyBorder="1" applyAlignment="1">
      <alignment horizontal="center" vertical="center"/>
    </xf>
    <xf numFmtId="0" fontId="55" fillId="12" borderId="10" xfId="0" applyFont="1" applyFill="1" applyBorder="1" applyAlignment="1">
      <alignment horizontal="center" vertical="center"/>
    </xf>
    <xf numFmtId="0" fontId="55" fillId="12" borderId="11" xfId="0" applyFont="1" applyFill="1" applyBorder="1" applyAlignment="1">
      <alignment horizontal="center" vertical="center"/>
    </xf>
    <xf numFmtId="0" fontId="55" fillId="6" borderId="4" xfId="0" applyFont="1" applyFill="1" applyBorder="1" applyAlignment="1">
      <alignment horizontal="center" vertical="center"/>
    </xf>
    <xf numFmtId="0" fontId="55" fillId="6" borderId="5" xfId="0" applyFont="1" applyFill="1" applyBorder="1" applyAlignment="1">
      <alignment horizontal="center" vertical="center"/>
    </xf>
    <xf numFmtId="0" fontId="55" fillId="6" borderId="6" xfId="0" applyFont="1" applyFill="1" applyBorder="1" applyAlignment="1">
      <alignment horizontal="center" vertical="center"/>
    </xf>
    <xf numFmtId="0" fontId="55" fillId="6" borderId="21" xfId="0" applyFont="1" applyFill="1" applyBorder="1" applyAlignment="1">
      <alignment horizontal="center" vertical="center"/>
    </xf>
    <xf numFmtId="0" fontId="55" fillId="6" borderId="14" xfId="0" applyFont="1" applyFill="1" applyBorder="1" applyAlignment="1">
      <alignment horizontal="center" vertical="center"/>
    </xf>
    <xf numFmtId="0" fontId="55" fillId="6" borderId="22" xfId="0" applyFont="1" applyFill="1" applyBorder="1" applyAlignment="1">
      <alignment horizontal="center" vertical="center"/>
    </xf>
    <xf numFmtId="0" fontId="51" fillId="8" borderId="31" xfId="0" applyFont="1" applyFill="1" applyBorder="1" applyAlignment="1">
      <alignment horizontal="center" vertical="center"/>
    </xf>
    <xf numFmtId="0" fontId="51" fillId="8" borderId="50" xfId="0" applyFont="1" applyFill="1" applyBorder="1" applyAlignment="1">
      <alignment horizontal="center" vertical="center"/>
    </xf>
    <xf numFmtId="0" fontId="51" fillId="8" borderId="63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center" vertical="center"/>
    </xf>
    <xf numFmtId="0" fontId="51" fillId="8" borderId="10" xfId="0" applyFont="1" applyFill="1" applyBorder="1" applyAlignment="1">
      <alignment horizontal="center" vertical="center"/>
    </xf>
    <xf numFmtId="0" fontId="51" fillId="8" borderId="11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2" borderId="8" xfId="0" applyFont="1" applyFill="1" applyBorder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  <xf numFmtId="0" fontId="17" fillId="16" borderId="5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9" xfId="0" applyFont="1" applyFill="1" applyBorder="1" applyAlignment="1">
      <alignment horizontal="center" vertical="center"/>
    </xf>
    <xf numFmtId="0" fontId="17" fillId="16" borderId="10" xfId="0" applyFont="1" applyFill="1" applyBorder="1" applyAlignment="1">
      <alignment horizontal="center" vertical="center"/>
    </xf>
    <xf numFmtId="0" fontId="17" fillId="16" borderId="11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8" xfId="0" applyFont="1" applyFill="1" applyBorder="1" applyAlignment="1">
      <alignment horizontal="center" vertical="center"/>
    </xf>
    <xf numFmtId="0" fontId="34" fillId="16" borderId="57" xfId="0" applyFont="1" applyFill="1" applyBorder="1" applyAlignment="1">
      <alignment horizontal="center" vertical="center"/>
    </xf>
    <xf numFmtId="0" fontId="34" fillId="16" borderId="58" xfId="0" applyFont="1" applyFill="1" applyBorder="1" applyAlignment="1">
      <alignment horizontal="center" vertical="center"/>
    </xf>
    <xf numFmtId="0" fontId="34" fillId="16" borderId="59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left"/>
    </xf>
    <xf numFmtId="0" fontId="19" fillId="13" borderId="1" xfId="0" applyFont="1" applyFill="1" applyBorder="1" applyAlignment="1">
      <alignment horizontal="center"/>
    </xf>
    <xf numFmtId="0" fontId="25" fillId="16" borderId="55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9" fillId="13" borderId="1" xfId="0" applyFont="1" applyFill="1" applyBorder="1" applyAlignment="1">
      <alignment horizontal="left"/>
    </xf>
    <xf numFmtId="44" fontId="29" fillId="13" borderId="1" xfId="4" applyFont="1" applyFill="1" applyBorder="1" applyAlignment="1">
      <alignment horizontal="center"/>
    </xf>
    <xf numFmtId="0" fontId="34" fillId="16" borderId="1" xfId="0" applyFont="1" applyFill="1" applyBorder="1" applyAlignment="1">
      <alignment horizontal="center" vertical="center"/>
    </xf>
    <xf numFmtId="0" fontId="40" fillId="13" borderId="55" xfId="0" applyFont="1" applyFill="1" applyBorder="1" applyAlignment="1">
      <alignment horizontal="center"/>
    </xf>
    <xf numFmtId="0" fontId="40" fillId="13" borderId="56" xfId="0" applyFont="1" applyFill="1" applyBorder="1" applyAlignment="1">
      <alignment horizontal="center"/>
    </xf>
    <xf numFmtId="0" fontId="34" fillId="16" borderId="55" xfId="0" applyFont="1" applyFill="1" applyBorder="1" applyAlignment="1">
      <alignment horizontal="center" vertical="center"/>
    </xf>
    <xf numFmtId="0" fontId="34" fillId="16" borderId="54" xfId="0" applyFont="1" applyFill="1" applyBorder="1" applyAlignment="1">
      <alignment horizontal="center" vertical="center"/>
    </xf>
    <xf numFmtId="0" fontId="34" fillId="16" borderId="56" xfId="0" applyFont="1" applyFill="1" applyBorder="1" applyAlignment="1">
      <alignment horizontal="center" vertical="center"/>
    </xf>
    <xf numFmtId="0" fontId="17" fillId="16" borderId="14" xfId="0" applyFont="1" applyFill="1" applyBorder="1" applyAlignment="1">
      <alignment horizontal="center" vertical="center"/>
    </xf>
    <xf numFmtId="0" fontId="34" fillId="7" borderId="64" xfId="0" applyFont="1" applyFill="1" applyBorder="1" applyAlignment="1">
      <alignment horizontal="center" vertical="center"/>
    </xf>
    <xf numFmtId="0" fontId="34" fillId="7" borderId="65" xfId="0" applyFont="1" applyFill="1" applyBorder="1" applyAlignment="1">
      <alignment horizontal="center" vertical="center"/>
    </xf>
    <xf numFmtId="0" fontId="34" fillId="7" borderId="66" xfId="0" applyFont="1" applyFill="1" applyBorder="1" applyAlignment="1">
      <alignment horizontal="center" vertical="center"/>
    </xf>
    <xf numFmtId="0" fontId="34" fillId="21" borderId="57" xfId="0" applyFont="1" applyFill="1" applyBorder="1" applyAlignment="1">
      <alignment horizontal="center"/>
    </xf>
    <xf numFmtId="0" fontId="34" fillId="21" borderId="58" xfId="0" applyFont="1" applyFill="1" applyBorder="1" applyAlignment="1">
      <alignment horizontal="center"/>
    </xf>
    <xf numFmtId="0" fontId="34" fillId="21" borderId="59" xfId="0" applyFont="1" applyFill="1" applyBorder="1" applyAlignment="1">
      <alignment horizontal="center"/>
    </xf>
    <xf numFmtId="0" fontId="44" fillId="7" borderId="64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34" fillId="7" borderId="14" xfId="0" applyFont="1" applyFill="1" applyBorder="1" applyAlignment="1">
      <alignment horizontal="center" vertical="center"/>
    </xf>
    <xf numFmtId="0" fontId="25" fillId="21" borderId="57" xfId="0" applyFont="1" applyFill="1" applyBorder="1" applyAlignment="1">
      <alignment horizontal="center"/>
    </xf>
    <xf numFmtId="0" fontId="25" fillId="21" borderId="58" xfId="0" applyFont="1" applyFill="1" applyBorder="1" applyAlignment="1">
      <alignment horizontal="center"/>
    </xf>
    <xf numFmtId="0" fontId="25" fillId="21" borderId="59" xfId="0" applyFon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2" fillId="12" borderId="0" xfId="0" applyFont="1" applyFill="1"/>
    <xf numFmtId="0" fontId="0" fillId="13" borderId="0" xfId="0" applyFill="1" applyAlignment="1"/>
    <xf numFmtId="0" fontId="25" fillId="12" borderId="0" xfId="0" applyFont="1" applyFill="1" applyAlignment="1">
      <alignment vertical="center"/>
    </xf>
    <xf numFmtId="0" fontId="14" fillId="16" borderId="0" xfId="0" applyFont="1" applyFill="1" applyAlignment="1">
      <alignment vertical="center"/>
    </xf>
    <xf numFmtId="0" fontId="17" fillId="12" borderId="0" xfId="0" applyFont="1" applyFill="1" applyAlignment="1">
      <alignment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vertical="center"/>
    </xf>
    <xf numFmtId="0" fontId="23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left" vertical="center"/>
    </xf>
    <xf numFmtId="0" fontId="24" fillId="12" borderId="0" xfId="0" applyFont="1" applyFill="1" applyAlignment="1">
      <alignment horizontal="center" vertical="center"/>
    </xf>
    <xf numFmtId="0" fontId="23" fillId="12" borderId="0" xfId="0" applyFont="1" applyFill="1" applyAlignment="1">
      <alignment vertical="center"/>
    </xf>
    <xf numFmtId="0" fontId="3" fillId="12" borderId="0" xfId="0" applyFont="1" applyFill="1" applyAlignment="1">
      <alignment vertical="center"/>
    </xf>
    <xf numFmtId="0" fontId="24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9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5" fillId="7" borderId="0" xfId="0" applyFont="1" applyFill="1"/>
    <xf numFmtId="0" fontId="58" fillId="16" borderId="1" xfId="0" applyFont="1" applyFill="1" applyBorder="1" applyAlignment="1">
      <alignment horizontal="left" vertical="center"/>
    </xf>
    <xf numFmtId="0" fontId="15" fillId="16" borderId="0" xfId="0" applyFont="1" applyFill="1"/>
    <xf numFmtId="0" fontId="58" fillId="12" borderId="4" xfId="0" applyFont="1" applyFill="1" applyBorder="1" applyAlignment="1">
      <alignment horizontal="center" vertical="center"/>
    </xf>
    <xf numFmtId="0" fontId="58" fillId="12" borderId="5" xfId="0" applyFont="1" applyFill="1" applyBorder="1" applyAlignment="1">
      <alignment horizontal="center" vertical="center"/>
    </xf>
    <xf numFmtId="0" fontId="58" fillId="12" borderId="6" xfId="0" applyFont="1" applyFill="1" applyBorder="1" applyAlignment="1">
      <alignment horizontal="center" vertical="center"/>
    </xf>
    <xf numFmtId="0" fontId="58" fillId="16" borderId="41" xfId="0" applyFont="1" applyFill="1" applyBorder="1" applyAlignment="1">
      <alignment horizontal="center" vertical="center"/>
    </xf>
    <xf numFmtId="0" fontId="58" fillId="16" borderId="42" xfId="0" applyFont="1" applyFill="1" applyBorder="1" applyAlignment="1">
      <alignment horizontal="center" vertical="center"/>
    </xf>
    <xf numFmtId="0" fontId="58" fillId="16" borderId="43" xfId="0" applyFont="1" applyFill="1" applyBorder="1" applyAlignment="1">
      <alignment horizontal="center" vertical="center"/>
    </xf>
    <xf numFmtId="0" fontId="58" fillId="12" borderId="7" xfId="0" applyFont="1" applyFill="1" applyBorder="1" applyAlignment="1">
      <alignment horizontal="center" vertical="center"/>
    </xf>
    <xf numFmtId="0" fontId="58" fillId="12" borderId="0" xfId="0" applyFont="1" applyFill="1" applyAlignment="1">
      <alignment horizontal="center" vertical="center"/>
    </xf>
    <xf numFmtId="0" fontId="58" fillId="12" borderId="8" xfId="0" applyFont="1" applyFill="1" applyBorder="1" applyAlignment="1">
      <alignment horizontal="center" vertical="center"/>
    </xf>
    <xf numFmtId="0" fontId="58" fillId="16" borderId="44" xfId="0" applyFont="1" applyFill="1" applyBorder="1" applyAlignment="1">
      <alignment horizontal="center" vertical="center"/>
    </xf>
    <xf numFmtId="0" fontId="58" fillId="16" borderId="0" xfId="0" applyFont="1" applyFill="1" applyAlignment="1">
      <alignment horizontal="center" vertical="center"/>
    </xf>
    <xf numFmtId="0" fontId="58" fillId="16" borderId="45" xfId="0" applyFont="1" applyFill="1" applyBorder="1" applyAlignment="1">
      <alignment horizontal="center" vertical="center"/>
    </xf>
    <xf numFmtId="0" fontId="2" fillId="13" borderId="44" xfId="0" applyFont="1" applyFill="1" applyBorder="1"/>
    <xf numFmtId="0" fontId="52" fillId="11" borderId="0" xfId="0" applyFont="1" applyFill="1" applyAlignment="1">
      <alignment horizontal="left" vertical="center"/>
    </xf>
    <xf numFmtId="0" fontId="56" fillId="9" borderId="1" xfId="0" applyFont="1" applyFill="1" applyBorder="1" applyAlignment="1">
      <alignment horizontal="center" vertical="center"/>
    </xf>
    <xf numFmtId="0" fontId="52" fillId="13" borderId="0" xfId="0" applyFont="1" applyFill="1"/>
    <xf numFmtId="0" fontId="56" fillId="13" borderId="0" xfId="0" applyFont="1" applyFill="1"/>
    <xf numFmtId="0" fontId="56" fillId="2" borderId="12" xfId="0" applyFont="1" applyFill="1" applyBorder="1"/>
    <xf numFmtId="0" fontId="56" fillId="13" borderId="45" xfId="0" applyFont="1" applyFill="1" applyBorder="1"/>
    <xf numFmtId="0" fontId="52" fillId="10" borderId="0" xfId="0" applyFont="1" applyFill="1" applyAlignment="1">
      <alignment vertical="center"/>
    </xf>
    <xf numFmtId="0" fontId="59" fillId="10" borderId="0" xfId="0" applyFont="1" applyFill="1"/>
    <xf numFmtId="0" fontId="2" fillId="9" borderId="1" xfId="0" applyFont="1" applyFill="1" applyBorder="1" applyAlignment="1">
      <alignment horizontal="center" vertical="center"/>
    </xf>
    <xf numFmtId="0" fontId="15" fillId="10" borderId="7" xfId="0" applyFont="1" applyFill="1" applyBorder="1"/>
    <xf numFmtId="0" fontId="15" fillId="1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5" fillId="10" borderId="8" xfId="0" applyFont="1" applyFill="1" applyBorder="1"/>
    <xf numFmtId="0" fontId="2" fillId="13" borderId="46" xfId="0" applyFont="1" applyFill="1" applyBorder="1"/>
    <xf numFmtId="0" fontId="56" fillId="13" borderId="47" xfId="0" applyFont="1" applyFill="1" applyBorder="1"/>
    <xf numFmtId="0" fontId="15" fillId="10" borderId="9" xfId="0" applyFont="1" applyFill="1" applyBorder="1"/>
    <xf numFmtId="0" fontId="15" fillId="10" borderId="10" xfId="0" applyFont="1" applyFill="1" applyBorder="1"/>
    <xf numFmtId="0" fontId="15" fillId="10" borderId="11" xfId="0" applyFont="1" applyFill="1" applyBorder="1"/>
    <xf numFmtId="0" fontId="15" fillId="13" borderId="0" xfId="0" applyFont="1" applyFill="1" applyAlignment="1"/>
    <xf numFmtId="0" fontId="15" fillId="13" borderId="0" xfId="0" applyFont="1" applyFill="1" applyAlignment="1">
      <alignment horizontal="center"/>
    </xf>
    <xf numFmtId="0" fontId="60" fillId="16" borderId="0" xfId="0" applyFont="1" applyFill="1"/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4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BANCO1!$F$14:$F$17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BANCO1!$G$14:$G$17</c:f>
              <c:numCache>
                <c:formatCode>General</c:formatCode>
                <c:ptCount val="4"/>
                <c:pt idx="0">
                  <c:v>700</c:v>
                </c:pt>
                <c:pt idx="1">
                  <c:v>200</c:v>
                </c:pt>
                <c:pt idx="2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7-40EC-BF5B-08A5807A8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794895"/>
        <c:axId val="486795727"/>
      </c:barChart>
      <c:catAx>
        <c:axId val="4867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6795727"/>
        <c:crosses val="autoZero"/>
        <c:auto val="1"/>
        <c:lblAlgn val="ctr"/>
        <c:lblOffset val="100"/>
        <c:noMultiLvlLbl val="0"/>
      </c:catAx>
      <c:valAx>
        <c:axId val="48679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679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PROD_HOME!A1"/><Relationship Id="rId18" Type="http://schemas.openxmlformats.org/officeDocument/2006/relationships/hyperlink" Target="#HOME_ESTOQUE!A1"/><Relationship Id="rId26" Type="http://schemas.microsoft.com/office/2007/relationships/hdphoto" Target="../media/hdphoto7.wdp"/><Relationship Id="rId3" Type="http://schemas.openxmlformats.org/officeDocument/2006/relationships/image" Target="../media/image4.png"/><Relationship Id="rId21" Type="http://schemas.openxmlformats.org/officeDocument/2006/relationships/hyperlink" Target="#HOME_RH!A1"/><Relationship Id="rId34" Type="http://schemas.openxmlformats.org/officeDocument/2006/relationships/image" Target="../media/image14.png"/><Relationship Id="rId7" Type="http://schemas.openxmlformats.org/officeDocument/2006/relationships/hyperlink" Target="#PRODU&#199;&#195;O_EQUIPES!A1"/><Relationship Id="rId12" Type="http://schemas.microsoft.com/office/2007/relationships/hdphoto" Target="../media/hdphoto3.wdp"/><Relationship Id="rId17" Type="http://schemas.microsoft.com/office/2007/relationships/hdphoto" Target="../media/hdphoto4.wdp"/><Relationship Id="rId25" Type="http://schemas.openxmlformats.org/officeDocument/2006/relationships/image" Target="../media/image11.png"/><Relationship Id="rId33" Type="http://schemas.openxmlformats.org/officeDocument/2006/relationships/hyperlink" Target="#HOME_BD!A1"/><Relationship Id="rId2" Type="http://schemas.microsoft.com/office/2007/relationships/hdphoto" Target="../media/hdphoto1.wdp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image" Target="../media/image3.png"/><Relationship Id="rId6" Type="http://schemas.openxmlformats.org/officeDocument/2006/relationships/hyperlink" Target="#PRODU&#199;&#195;O_LAN&#199;AMENTOS!A1"/><Relationship Id="rId11" Type="http://schemas.openxmlformats.org/officeDocument/2006/relationships/image" Target="../media/image6.png"/><Relationship Id="rId24" Type="http://schemas.openxmlformats.org/officeDocument/2006/relationships/hyperlink" Target="#HOME_FINANCAS!A1"/><Relationship Id="rId32" Type="http://schemas.microsoft.com/office/2007/relationships/hdphoto" Target="../media/hdphoto9.wdp"/><Relationship Id="rId5" Type="http://schemas.openxmlformats.org/officeDocument/2006/relationships/hyperlink" Target="#PRODU&#199;&#195;O_REQUISI&#199;&#213;ES!A1"/><Relationship Id="rId15" Type="http://schemas.openxmlformats.org/officeDocument/2006/relationships/hyperlink" Target="#HOME_LOGISTICA!A1"/><Relationship Id="rId23" Type="http://schemas.microsoft.com/office/2007/relationships/hdphoto" Target="../media/hdphoto6.wdp"/><Relationship Id="rId28" Type="http://schemas.openxmlformats.org/officeDocument/2006/relationships/image" Target="../media/image12.png"/><Relationship Id="rId10" Type="http://schemas.openxmlformats.org/officeDocument/2006/relationships/hyperlink" Target="#HOME!A1"/><Relationship Id="rId19" Type="http://schemas.openxmlformats.org/officeDocument/2006/relationships/image" Target="../media/image9.png"/><Relationship Id="rId31" Type="http://schemas.openxmlformats.org/officeDocument/2006/relationships/image" Target="../media/image13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4" Type="http://schemas.openxmlformats.org/officeDocument/2006/relationships/image" Target="../media/image7.png"/><Relationship Id="rId22" Type="http://schemas.openxmlformats.org/officeDocument/2006/relationships/image" Target="../media/image10.png"/><Relationship Id="rId27" Type="http://schemas.openxmlformats.org/officeDocument/2006/relationships/hyperlink" Target="#HOME_COMPRAS!A1"/><Relationship Id="rId30" Type="http://schemas.openxmlformats.org/officeDocument/2006/relationships/hyperlink" Target="#HOME_VENDAS!A1"/><Relationship Id="rId35" Type="http://schemas.microsoft.com/office/2007/relationships/hdphoto" Target="../media/hdphoto10.wdp"/><Relationship Id="rId8" Type="http://schemas.openxmlformats.org/officeDocument/2006/relationships/hyperlink" Target="#PRODU&#199;&#195;O_CONSULTA!A1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openxmlformats.org/officeDocument/2006/relationships/hyperlink" Target="#HOME_RH!A1"/><Relationship Id="rId26" Type="http://schemas.microsoft.com/office/2007/relationships/hdphoto" Target="../media/hdphoto8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7" Type="http://schemas.openxmlformats.org/officeDocument/2006/relationships/image" Target="../media/image6.png"/><Relationship Id="rId12" Type="http://schemas.openxmlformats.org/officeDocument/2006/relationships/hyperlink" Target="#HOME_LOGISTICA!A1"/><Relationship Id="rId17" Type="http://schemas.microsoft.com/office/2007/relationships/hdphoto" Target="../media/hdphoto5.wdp"/><Relationship Id="rId25" Type="http://schemas.openxmlformats.org/officeDocument/2006/relationships/image" Target="../media/image12.png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9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10.wdp"/><Relationship Id="rId5" Type="http://schemas.openxmlformats.org/officeDocument/2006/relationships/hyperlink" Target="#PRODU&#199;&#195;O_CONSULTA!A1"/><Relationship Id="rId15" Type="http://schemas.openxmlformats.org/officeDocument/2006/relationships/hyperlink" Target="#HOME_ESTOQUE!A1"/><Relationship Id="rId23" Type="http://schemas.microsoft.com/office/2007/relationships/hdphoto" Target="../media/hdphoto7.wdp"/><Relationship Id="rId28" Type="http://schemas.openxmlformats.org/officeDocument/2006/relationships/image" Target="../media/image13.png"/><Relationship Id="rId10" Type="http://schemas.openxmlformats.org/officeDocument/2006/relationships/image" Target="../media/image7.png"/><Relationship Id="rId19" Type="http://schemas.openxmlformats.org/officeDocument/2006/relationships/image" Target="../media/image10.png"/><Relationship Id="rId31" Type="http://schemas.openxmlformats.org/officeDocument/2006/relationships/image" Target="../media/image14.png"/><Relationship Id="rId4" Type="http://schemas.openxmlformats.org/officeDocument/2006/relationships/image" Target="../media/image5.png"/><Relationship Id="rId9" Type="http://schemas.openxmlformats.org/officeDocument/2006/relationships/hyperlink" Target="#PROD_HOME!A1"/><Relationship Id="rId14" Type="http://schemas.microsoft.com/office/2007/relationships/hdphoto" Target="../media/hdphoto4.wdp"/><Relationship Id="rId22" Type="http://schemas.openxmlformats.org/officeDocument/2006/relationships/image" Target="../media/image11.png"/><Relationship Id="rId27" Type="http://schemas.openxmlformats.org/officeDocument/2006/relationships/hyperlink" Target="#HOME_VENDAS!A1"/><Relationship Id="rId30" Type="http://schemas.openxmlformats.org/officeDocument/2006/relationships/hyperlink" Target="#HOME_BD!A1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openxmlformats.org/officeDocument/2006/relationships/hyperlink" Target="#HOME_RH!A1"/><Relationship Id="rId26" Type="http://schemas.microsoft.com/office/2007/relationships/hdphoto" Target="../media/hdphoto8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7" Type="http://schemas.openxmlformats.org/officeDocument/2006/relationships/image" Target="../media/image6.png"/><Relationship Id="rId12" Type="http://schemas.openxmlformats.org/officeDocument/2006/relationships/hyperlink" Target="#HOME_LOGISTICA!A1"/><Relationship Id="rId17" Type="http://schemas.microsoft.com/office/2007/relationships/hdphoto" Target="../media/hdphoto5.wdp"/><Relationship Id="rId25" Type="http://schemas.openxmlformats.org/officeDocument/2006/relationships/image" Target="../media/image12.png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9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10.wdp"/><Relationship Id="rId5" Type="http://schemas.openxmlformats.org/officeDocument/2006/relationships/image" Target="../media/image5.png"/><Relationship Id="rId15" Type="http://schemas.openxmlformats.org/officeDocument/2006/relationships/hyperlink" Target="#HOME_ESTOQUE!A1"/><Relationship Id="rId23" Type="http://schemas.microsoft.com/office/2007/relationships/hdphoto" Target="../media/hdphoto7.wdp"/><Relationship Id="rId28" Type="http://schemas.openxmlformats.org/officeDocument/2006/relationships/image" Target="../media/image13.png"/><Relationship Id="rId10" Type="http://schemas.openxmlformats.org/officeDocument/2006/relationships/image" Target="../media/image7.png"/><Relationship Id="rId19" Type="http://schemas.openxmlformats.org/officeDocument/2006/relationships/image" Target="../media/image10.png"/><Relationship Id="rId31" Type="http://schemas.openxmlformats.org/officeDocument/2006/relationships/image" Target="../media/image14.png"/><Relationship Id="rId4" Type="http://schemas.openxmlformats.org/officeDocument/2006/relationships/hyperlink" Target="#PRODU&#199;&#195;O_CONSULTA!A1"/><Relationship Id="rId9" Type="http://schemas.openxmlformats.org/officeDocument/2006/relationships/hyperlink" Target="#PROD_HOME!A1"/><Relationship Id="rId14" Type="http://schemas.microsoft.com/office/2007/relationships/hdphoto" Target="../media/hdphoto4.wdp"/><Relationship Id="rId22" Type="http://schemas.openxmlformats.org/officeDocument/2006/relationships/image" Target="../media/image11.png"/><Relationship Id="rId27" Type="http://schemas.openxmlformats.org/officeDocument/2006/relationships/hyperlink" Target="#HOME_VENDAS!A1"/><Relationship Id="rId30" Type="http://schemas.openxmlformats.org/officeDocument/2006/relationships/hyperlink" Target="#HOME_BD!A1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openxmlformats.org/officeDocument/2006/relationships/hyperlink" Target="#HOME_RH!A1"/><Relationship Id="rId26" Type="http://schemas.microsoft.com/office/2007/relationships/hdphoto" Target="../media/hdphoto8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7" Type="http://schemas.openxmlformats.org/officeDocument/2006/relationships/image" Target="../media/image6.png"/><Relationship Id="rId12" Type="http://schemas.openxmlformats.org/officeDocument/2006/relationships/hyperlink" Target="#HOME_LOGISTICA!A1"/><Relationship Id="rId17" Type="http://schemas.microsoft.com/office/2007/relationships/hdphoto" Target="../media/hdphoto5.wdp"/><Relationship Id="rId25" Type="http://schemas.openxmlformats.org/officeDocument/2006/relationships/image" Target="../media/image12.png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9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10.wdp"/><Relationship Id="rId5" Type="http://schemas.openxmlformats.org/officeDocument/2006/relationships/image" Target="../media/image5.png"/><Relationship Id="rId15" Type="http://schemas.openxmlformats.org/officeDocument/2006/relationships/hyperlink" Target="#HOME_ESTOQUE!A1"/><Relationship Id="rId23" Type="http://schemas.microsoft.com/office/2007/relationships/hdphoto" Target="../media/hdphoto7.wdp"/><Relationship Id="rId28" Type="http://schemas.openxmlformats.org/officeDocument/2006/relationships/image" Target="../media/image13.png"/><Relationship Id="rId10" Type="http://schemas.openxmlformats.org/officeDocument/2006/relationships/image" Target="../media/image7.png"/><Relationship Id="rId19" Type="http://schemas.openxmlformats.org/officeDocument/2006/relationships/image" Target="../media/image10.png"/><Relationship Id="rId31" Type="http://schemas.openxmlformats.org/officeDocument/2006/relationships/image" Target="../media/image14.png"/><Relationship Id="rId4" Type="http://schemas.openxmlformats.org/officeDocument/2006/relationships/hyperlink" Target="#PRODU&#199;&#195;O_CONSULTA!A1"/><Relationship Id="rId9" Type="http://schemas.openxmlformats.org/officeDocument/2006/relationships/hyperlink" Target="#PROD_HOME!A1"/><Relationship Id="rId14" Type="http://schemas.microsoft.com/office/2007/relationships/hdphoto" Target="../media/hdphoto4.wdp"/><Relationship Id="rId22" Type="http://schemas.openxmlformats.org/officeDocument/2006/relationships/image" Target="../media/image11.png"/><Relationship Id="rId27" Type="http://schemas.openxmlformats.org/officeDocument/2006/relationships/hyperlink" Target="#HOME_VENDAS!A1"/><Relationship Id="rId30" Type="http://schemas.openxmlformats.org/officeDocument/2006/relationships/hyperlink" Target="#HOME_BD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5.wdp"/><Relationship Id="rId26" Type="http://schemas.openxmlformats.org/officeDocument/2006/relationships/image" Target="../media/image12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6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9.png"/><Relationship Id="rId25" Type="http://schemas.openxmlformats.org/officeDocument/2006/relationships/hyperlink" Target="#HOME_COMPRAS!A1"/><Relationship Id="rId33" Type="http://schemas.microsoft.com/office/2007/relationships/hdphoto" Target="../media/hdphoto10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10.png"/><Relationship Id="rId29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7.png"/><Relationship Id="rId24" Type="http://schemas.microsoft.com/office/2007/relationships/hdphoto" Target="../media/hdphoto7.wdp"/><Relationship Id="rId32" Type="http://schemas.openxmlformats.org/officeDocument/2006/relationships/image" Target="../media/image14.png"/><Relationship Id="rId5" Type="http://schemas.openxmlformats.org/officeDocument/2006/relationships/hyperlink" Target="#PRODU&#199;&#195;O_CONSULTA!A1"/><Relationship Id="rId15" Type="http://schemas.microsoft.com/office/2007/relationships/hdphoto" Target="../media/hdphoto4.wdp"/><Relationship Id="rId23" Type="http://schemas.openxmlformats.org/officeDocument/2006/relationships/image" Target="../media/image11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hyperlink" Target="#HOME_FINANCAS!A1"/><Relationship Id="rId27" Type="http://schemas.microsoft.com/office/2007/relationships/hdphoto" Target="../media/hdphoto8.wdp"/><Relationship Id="rId30" Type="http://schemas.microsoft.com/office/2007/relationships/hdphoto" Target="../media/hdphoto9.wdp"/><Relationship Id="rId8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7.png"/><Relationship Id="rId26" Type="http://schemas.openxmlformats.org/officeDocument/2006/relationships/hyperlink" Target="#HOME_RH!A1"/><Relationship Id="rId39" Type="http://schemas.openxmlformats.org/officeDocument/2006/relationships/image" Target="../media/image14.png"/><Relationship Id="rId21" Type="http://schemas.openxmlformats.org/officeDocument/2006/relationships/image" Target="../media/image8.png"/><Relationship Id="rId34" Type="http://schemas.microsoft.com/office/2007/relationships/hdphoto" Target="../media/hdphoto8.wdp"/><Relationship Id="rId7" Type="http://schemas.openxmlformats.org/officeDocument/2006/relationships/hyperlink" Target="#LOGISTICA_CLIENTES!A1"/><Relationship Id="rId2" Type="http://schemas.openxmlformats.org/officeDocument/2006/relationships/image" Target="../media/image15.png"/><Relationship Id="rId16" Type="http://schemas.microsoft.com/office/2007/relationships/hdphoto" Target="../media/hdphoto3.wdp"/><Relationship Id="rId20" Type="http://schemas.openxmlformats.org/officeDocument/2006/relationships/hyperlink" Target="#HOME_LOGISTICA!A1"/><Relationship Id="rId29" Type="http://schemas.openxmlformats.org/officeDocument/2006/relationships/hyperlink" Target="#HOME_FINANCAS!A1"/><Relationship Id="rId41" Type="http://schemas.openxmlformats.org/officeDocument/2006/relationships/hyperlink" Target="#'LOGISTICA_CAD-VEICULOS'!A1"/><Relationship Id="rId1" Type="http://schemas.openxmlformats.org/officeDocument/2006/relationships/hyperlink" Target="#Produ&#231;&#227;o!A1"/><Relationship Id="rId6" Type="http://schemas.openxmlformats.org/officeDocument/2006/relationships/image" Target="../media/image16.png"/><Relationship Id="rId11" Type="http://schemas.openxmlformats.org/officeDocument/2006/relationships/hyperlink" Target="#LOGISTICA_ENTREGAS!A1"/><Relationship Id="rId24" Type="http://schemas.openxmlformats.org/officeDocument/2006/relationships/image" Target="../media/image9.png"/><Relationship Id="rId32" Type="http://schemas.openxmlformats.org/officeDocument/2006/relationships/hyperlink" Target="#HOME_COMPRAS!A1"/><Relationship Id="rId37" Type="http://schemas.microsoft.com/office/2007/relationships/hdphoto" Target="../media/hdphoto9.wdp"/><Relationship Id="rId40" Type="http://schemas.microsoft.com/office/2007/relationships/hdphoto" Target="../media/hdphoto10.wdp"/><Relationship Id="rId5" Type="http://schemas.microsoft.com/office/2007/relationships/hdphoto" Target="../media/hdphoto1.wdp"/><Relationship Id="rId15" Type="http://schemas.openxmlformats.org/officeDocument/2006/relationships/image" Target="../media/image6.png"/><Relationship Id="rId23" Type="http://schemas.openxmlformats.org/officeDocument/2006/relationships/hyperlink" Target="#HOME_ESTOQUE!A1"/><Relationship Id="rId28" Type="http://schemas.microsoft.com/office/2007/relationships/hdphoto" Target="../media/hdphoto6.wdp"/><Relationship Id="rId36" Type="http://schemas.openxmlformats.org/officeDocument/2006/relationships/image" Target="../media/image13.png"/><Relationship Id="rId10" Type="http://schemas.openxmlformats.org/officeDocument/2006/relationships/hyperlink" Target="#LOGISTICA_FRETE!A1"/><Relationship Id="rId19" Type="http://schemas.microsoft.com/office/2007/relationships/hdphoto" Target="../media/hdphoto2.wdp"/><Relationship Id="rId31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openxmlformats.org/officeDocument/2006/relationships/hyperlink" Target="#LOGISTICA_CRONOGRAMA!A1"/><Relationship Id="rId14" Type="http://schemas.openxmlformats.org/officeDocument/2006/relationships/hyperlink" Target="#HOME!A1"/><Relationship Id="rId22" Type="http://schemas.microsoft.com/office/2007/relationships/hdphoto" Target="../media/hdphoto4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35" Type="http://schemas.openxmlformats.org/officeDocument/2006/relationships/hyperlink" Target="#HOME_VENDAS!A1"/><Relationship Id="rId8" Type="http://schemas.openxmlformats.org/officeDocument/2006/relationships/hyperlink" Target="#LOGISTICA_VEICULOS!A1"/><Relationship Id="rId3" Type="http://schemas.microsoft.com/office/2007/relationships/hdphoto" Target="../media/hdphoto11.wdp"/><Relationship Id="rId12" Type="http://schemas.openxmlformats.org/officeDocument/2006/relationships/hyperlink" Target="#LOGISTICA_ESTQ!A1"/><Relationship Id="rId17" Type="http://schemas.openxmlformats.org/officeDocument/2006/relationships/hyperlink" Target="#PROD_HOME!A1"/><Relationship Id="rId25" Type="http://schemas.microsoft.com/office/2007/relationships/hdphoto" Target="../media/hdphoto5.wdp"/><Relationship Id="rId33" Type="http://schemas.openxmlformats.org/officeDocument/2006/relationships/image" Target="../media/image12.png"/><Relationship Id="rId38" Type="http://schemas.openxmlformats.org/officeDocument/2006/relationships/hyperlink" Target="#HOME_BD!A1"/></Relationships>
</file>

<file path=xl/drawings/_rels/drawing8.xml.rels><?xml version="1.0" encoding="UTF-8" standalone="yes"?>
<Relationships xmlns="http://schemas.openxmlformats.org/package/2006/relationships"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21" Type="http://schemas.openxmlformats.org/officeDocument/2006/relationships/image" Target="../media/image11.png"/><Relationship Id="rId34" Type="http://schemas.openxmlformats.org/officeDocument/2006/relationships/hyperlink" Target="#LOGISTICA_CRONOGRAMA!A1"/><Relationship Id="rId7" Type="http://schemas.microsoft.com/office/2007/relationships/hdphoto" Target="../media/hdphoto3.wdp"/><Relationship Id="rId12" Type="http://schemas.openxmlformats.org/officeDocument/2006/relationships/image" Target="../media/image8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hyperlink" Target="#LOGISTICA_VEICULOS!A1"/><Relationship Id="rId38" Type="http://schemas.openxmlformats.org/officeDocument/2006/relationships/hyperlink" Target="#'LOGISTICA_CAD-VEICULOS'!A1"/><Relationship Id="rId2" Type="http://schemas.openxmlformats.org/officeDocument/2006/relationships/image" Target="../media/image15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LOGISTICA!A1"/><Relationship Id="rId24" Type="http://schemas.openxmlformats.org/officeDocument/2006/relationships/image" Target="../media/image12.png"/><Relationship Id="rId32" Type="http://schemas.openxmlformats.org/officeDocument/2006/relationships/hyperlink" Target="#LOGISTICA_CLIENTES!A1"/><Relationship Id="rId37" Type="http://schemas.openxmlformats.org/officeDocument/2006/relationships/hyperlink" Target="#LOGISTICA_ESTQ!A1"/><Relationship Id="rId5" Type="http://schemas.openxmlformats.org/officeDocument/2006/relationships/hyperlink" Target="#HOME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36" Type="http://schemas.openxmlformats.org/officeDocument/2006/relationships/hyperlink" Target="#LOGISTICA_ENTREGAS!A1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14.png"/><Relationship Id="rId35" Type="http://schemas.openxmlformats.org/officeDocument/2006/relationships/hyperlink" Target="#LOGISTICA_FRETE!A1"/><Relationship Id="rId8" Type="http://schemas.openxmlformats.org/officeDocument/2006/relationships/hyperlink" Target="#PROD_HOME!A1"/><Relationship Id="rId3" Type="http://schemas.microsoft.com/office/2007/relationships/hdphoto" Target="../media/hdphoto11.wdp"/></Relationships>
</file>

<file path=xl/drawings/_rels/drawing9.xml.rels><?xml version="1.0" encoding="UTF-8" standalone="yes"?>
<Relationships xmlns="http://schemas.openxmlformats.org/package/2006/relationships"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21" Type="http://schemas.openxmlformats.org/officeDocument/2006/relationships/image" Target="../media/image11.png"/><Relationship Id="rId34" Type="http://schemas.openxmlformats.org/officeDocument/2006/relationships/hyperlink" Target="#LOGISTICA_CRONOGRAMA!A1"/><Relationship Id="rId7" Type="http://schemas.microsoft.com/office/2007/relationships/hdphoto" Target="../media/hdphoto3.wdp"/><Relationship Id="rId12" Type="http://schemas.openxmlformats.org/officeDocument/2006/relationships/image" Target="../media/image8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hyperlink" Target="#LOGISTICA_VEICULOS!A1"/><Relationship Id="rId38" Type="http://schemas.openxmlformats.org/officeDocument/2006/relationships/hyperlink" Target="#'LOGISTICA_CAD-VEICULOS'!A1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LOGISTICA!A1"/><Relationship Id="rId24" Type="http://schemas.openxmlformats.org/officeDocument/2006/relationships/image" Target="../media/image12.png"/><Relationship Id="rId32" Type="http://schemas.openxmlformats.org/officeDocument/2006/relationships/hyperlink" Target="#LOGISTICA_CLIENTES!A1"/><Relationship Id="rId37" Type="http://schemas.openxmlformats.org/officeDocument/2006/relationships/hyperlink" Target="#LOGISTICA_ESTQ!A1"/><Relationship Id="rId5" Type="http://schemas.openxmlformats.org/officeDocument/2006/relationships/hyperlink" Target="#HOME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36" Type="http://schemas.openxmlformats.org/officeDocument/2006/relationships/hyperlink" Target="#LOGISTICA_ENTREGAS!A1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14.png"/><Relationship Id="rId35" Type="http://schemas.openxmlformats.org/officeDocument/2006/relationships/hyperlink" Target="#LOGISTICA_FRETE!A1"/><Relationship Id="rId8" Type="http://schemas.openxmlformats.org/officeDocument/2006/relationships/hyperlink" Target="#PROD_HOME!A1"/><Relationship Id="rId3" Type="http://schemas.microsoft.com/office/2007/relationships/hdphoto" Target="../media/hdphoto12.wdp"/></Relationships>
</file>

<file path=xl/drawings/_rels/drawing10.xml.rels><?xml version="1.0" encoding="UTF-8" standalone="yes"?>
<Relationships xmlns="http://schemas.openxmlformats.org/package/2006/relationships"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openxmlformats.org/officeDocument/2006/relationships/image" Target="../media/image6.png"/><Relationship Id="rId21" Type="http://schemas.openxmlformats.org/officeDocument/2006/relationships/image" Target="../media/image12.png"/><Relationship Id="rId34" Type="http://schemas.openxmlformats.org/officeDocument/2006/relationships/hyperlink" Target="#LOGISTICA_ESTQ!A1"/><Relationship Id="rId7" Type="http://schemas.microsoft.com/office/2007/relationships/hdphoto" Target="../media/hdphoto2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33" Type="http://schemas.openxmlformats.org/officeDocument/2006/relationships/hyperlink" Target="#LOGISTICA_ENTREGAS!A1"/><Relationship Id="rId2" Type="http://schemas.openxmlformats.org/officeDocument/2006/relationships/hyperlink" Target="#HOME!A1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LOGISTICA_CLIENTES!A1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32" Type="http://schemas.openxmlformats.org/officeDocument/2006/relationships/hyperlink" Target="#LOGISTICA_FRETE!A1"/><Relationship Id="rId5" Type="http://schemas.openxmlformats.org/officeDocument/2006/relationships/hyperlink" Target="#PROD_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4.wdp"/><Relationship Id="rId19" Type="http://schemas.microsoft.com/office/2007/relationships/hdphoto" Target="../media/hdphoto7.wdp"/><Relationship Id="rId31" Type="http://schemas.openxmlformats.org/officeDocument/2006/relationships/hyperlink" Target="#LOGISTICA_CRONOGRAMA!A1"/><Relationship Id="rId4" Type="http://schemas.microsoft.com/office/2007/relationships/hdphoto" Target="../media/hdphoto3.wdp"/><Relationship Id="rId9" Type="http://schemas.openxmlformats.org/officeDocument/2006/relationships/image" Target="../media/image8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hyperlink" Target="#LOGISTICA_VEICULOS!A1"/><Relationship Id="rId35" Type="http://schemas.openxmlformats.org/officeDocument/2006/relationships/hyperlink" Target="#'LOGISTICA_CAD-VEICULOS'!A1"/><Relationship Id="rId8" Type="http://schemas.openxmlformats.org/officeDocument/2006/relationships/hyperlink" Target="#HOME_LOGISTICA!A1"/></Relationships>
</file>

<file path=xl/drawings/_rels/drawing11.xml.rels><?xml version="1.0" encoding="UTF-8" standalone="yes"?>
<Relationships xmlns="http://schemas.openxmlformats.org/package/2006/relationships"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21" Type="http://schemas.openxmlformats.org/officeDocument/2006/relationships/image" Target="../media/image11.png"/><Relationship Id="rId34" Type="http://schemas.openxmlformats.org/officeDocument/2006/relationships/hyperlink" Target="#LOGISTICA_CRONOGRAMA!A1"/><Relationship Id="rId7" Type="http://schemas.microsoft.com/office/2007/relationships/hdphoto" Target="../media/hdphoto3.wdp"/><Relationship Id="rId12" Type="http://schemas.openxmlformats.org/officeDocument/2006/relationships/image" Target="../media/image8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hyperlink" Target="#LOGISTICA_VEICULOS!A1"/><Relationship Id="rId38" Type="http://schemas.openxmlformats.org/officeDocument/2006/relationships/hyperlink" Target="#'LOGISTICA_CAD-VEICULOS'!A1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LOGISTICA!A1"/><Relationship Id="rId24" Type="http://schemas.openxmlformats.org/officeDocument/2006/relationships/image" Target="../media/image12.png"/><Relationship Id="rId32" Type="http://schemas.openxmlformats.org/officeDocument/2006/relationships/hyperlink" Target="#LOGISTICA_CLIENTES!A1"/><Relationship Id="rId37" Type="http://schemas.openxmlformats.org/officeDocument/2006/relationships/hyperlink" Target="#LOGISTICA_ESTQ!A1"/><Relationship Id="rId5" Type="http://schemas.openxmlformats.org/officeDocument/2006/relationships/hyperlink" Target="#HOME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36" Type="http://schemas.openxmlformats.org/officeDocument/2006/relationships/hyperlink" Target="#LOGISTICA_ENTREGAS!A1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14.png"/><Relationship Id="rId35" Type="http://schemas.openxmlformats.org/officeDocument/2006/relationships/hyperlink" Target="#LOGISTICA_FRETE!A1"/><Relationship Id="rId8" Type="http://schemas.openxmlformats.org/officeDocument/2006/relationships/hyperlink" Target="#PROD_HOME!A1"/><Relationship Id="rId3" Type="http://schemas.microsoft.com/office/2007/relationships/hdphoto" Target="../media/hdphoto12.wdp"/></Relationships>
</file>

<file path=xl/drawings/_rels/drawing12.xml.rels><?xml version="1.0" encoding="UTF-8" standalone="yes"?>
<Relationships xmlns="http://schemas.openxmlformats.org/package/2006/relationships"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21" Type="http://schemas.openxmlformats.org/officeDocument/2006/relationships/image" Target="../media/image11.png"/><Relationship Id="rId34" Type="http://schemas.openxmlformats.org/officeDocument/2006/relationships/hyperlink" Target="#LOGISTICA_CRONOGRAMA!A1"/><Relationship Id="rId7" Type="http://schemas.microsoft.com/office/2007/relationships/hdphoto" Target="../media/hdphoto3.wdp"/><Relationship Id="rId12" Type="http://schemas.openxmlformats.org/officeDocument/2006/relationships/image" Target="../media/image8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hyperlink" Target="#LOGISTICA_VEICULOS!A1"/><Relationship Id="rId38" Type="http://schemas.openxmlformats.org/officeDocument/2006/relationships/hyperlink" Target="#'LOGISTICA_CAD-VEICULOS'!A1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LOGISTICA!A1"/><Relationship Id="rId24" Type="http://schemas.openxmlformats.org/officeDocument/2006/relationships/image" Target="../media/image12.png"/><Relationship Id="rId32" Type="http://schemas.openxmlformats.org/officeDocument/2006/relationships/hyperlink" Target="#LOGISTICA_CLIENTES!A1"/><Relationship Id="rId37" Type="http://schemas.openxmlformats.org/officeDocument/2006/relationships/hyperlink" Target="#LOGISTICA_ESTQ!A1"/><Relationship Id="rId5" Type="http://schemas.openxmlformats.org/officeDocument/2006/relationships/hyperlink" Target="#HOME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36" Type="http://schemas.openxmlformats.org/officeDocument/2006/relationships/hyperlink" Target="#LOGISTICA_ENTREGAS!A1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14.png"/><Relationship Id="rId35" Type="http://schemas.openxmlformats.org/officeDocument/2006/relationships/hyperlink" Target="#LOGISTICA_FRETE!A1"/><Relationship Id="rId8" Type="http://schemas.openxmlformats.org/officeDocument/2006/relationships/hyperlink" Target="#PROD_HOME!A1"/><Relationship Id="rId3" Type="http://schemas.microsoft.com/office/2007/relationships/hdphoto" Target="../media/hdphoto12.wdp"/></Relationships>
</file>

<file path=xl/drawings/_rels/drawing13.xml.rels><?xml version="1.0" encoding="UTF-8" standalone="yes"?>
<Relationships xmlns="http://schemas.openxmlformats.org/package/2006/relationships"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openxmlformats.org/officeDocument/2006/relationships/image" Target="../media/image6.png"/><Relationship Id="rId21" Type="http://schemas.openxmlformats.org/officeDocument/2006/relationships/image" Target="../media/image12.png"/><Relationship Id="rId34" Type="http://schemas.openxmlformats.org/officeDocument/2006/relationships/hyperlink" Target="#LOGISTICA_ESTQ!A1"/><Relationship Id="rId7" Type="http://schemas.microsoft.com/office/2007/relationships/hdphoto" Target="../media/hdphoto2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33" Type="http://schemas.openxmlformats.org/officeDocument/2006/relationships/hyperlink" Target="#LOGISTICA_ENTREGAS!A1"/><Relationship Id="rId2" Type="http://schemas.openxmlformats.org/officeDocument/2006/relationships/hyperlink" Target="#HOME!A1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LOGISTICA_CLIENTES!A1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32" Type="http://schemas.openxmlformats.org/officeDocument/2006/relationships/hyperlink" Target="#LOGISTICA_FRETE!A1"/><Relationship Id="rId5" Type="http://schemas.openxmlformats.org/officeDocument/2006/relationships/hyperlink" Target="#PROD_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4.wdp"/><Relationship Id="rId19" Type="http://schemas.microsoft.com/office/2007/relationships/hdphoto" Target="../media/hdphoto7.wdp"/><Relationship Id="rId31" Type="http://schemas.openxmlformats.org/officeDocument/2006/relationships/hyperlink" Target="#LOGISTICA_CRONOGRAMA!A1"/><Relationship Id="rId4" Type="http://schemas.microsoft.com/office/2007/relationships/hdphoto" Target="../media/hdphoto3.wdp"/><Relationship Id="rId9" Type="http://schemas.openxmlformats.org/officeDocument/2006/relationships/image" Target="../media/image8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hyperlink" Target="#LOGISTICA_VEICULOS!A1"/><Relationship Id="rId35" Type="http://schemas.openxmlformats.org/officeDocument/2006/relationships/hyperlink" Target="#'LOGISTICA_CAD-VEICULOS'!A1"/><Relationship Id="rId8" Type="http://schemas.openxmlformats.org/officeDocument/2006/relationships/hyperlink" Target="#HOME_LOGISTICA!A1"/></Relationships>
</file>

<file path=xl/drawings/_rels/drawing14.xml.rels><?xml version="1.0" encoding="UTF-8" standalone="yes"?>
<Relationships xmlns="http://schemas.openxmlformats.org/package/2006/relationships"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21" Type="http://schemas.openxmlformats.org/officeDocument/2006/relationships/image" Target="../media/image11.png"/><Relationship Id="rId34" Type="http://schemas.openxmlformats.org/officeDocument/2006/relationships/hyperlink" Target="#LOGISTICA_CRONOGRAMA!A1"/><Relationship Id="rId7" Type="http://schemas.microsoft.com/office/2007/relationships/hdphoto" Target="../media/hdphoto3.wdp"/><Relationship Id="rId12" Type="http://schemas.openxmlformats.org/officeDocument/2006/relationships/image" Target="../media/image8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hyperlink" Target="#LOGISTICA_VEICULOS!A1"/><Relationship Id="rId38" Type="http://schemas.openxmlformats.org/officeDocument/2006/relationships/hyperlink" Target="#'LOGISTICA_CAD-VEICULOS'!A1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LOGISTICA!A1"/><Relationship Id="rId24" Type="http://schemas.openxmlformats.org/officeDocument/2006/relationships/image" Target="../media/image12.png"/><Relationship Id="rId32" Type="http://schemas.openxmlformats.org/officeDocument/2006/relationships/hyperlink" Target="#LOGISTICA_CLIENTES!A1"/><Relationship Id="rId37" Type="http://schemas.openxmlformats.org/officeDocument/2006/relationships/hyperlink" Target="#LOGISTICA_ESTQ!A1"/><Relationship Id="rId5" Type="http://schemas.openxmlformats.org/officeDocument/2006/relationships/hyperlink" Target="#HOME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36" Type="http://schemas.openxmlformats.org/officeDocument/2006/relationships/hyperlink" Target="#LOGISTICA_ENTREGAS!A1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14.png"/><Relationship Id="rId35" Type="http://schemas.openxmlformats.org/officeDocument/2006/relationships/hyperlink" Target="#LOGISTICA_FRETE!A1"/><Relationship Id="rId8" Type="http://schemas.openxmlformats.org/officeDocument/2006/relationships/hyperlink" Target="#PROD_HOME!A1"/><Relationship Id="rId3" Type="http://schemas.microsoft.com/office/2007/relationships/hdphoto" Target="../media/hdphoto12.wdp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5.wdp"/><Relationship Id="rId26" Type="http://schemas.openxmlformats.org/officeDocument/2006/relationships/image" Target="../media/image12.png"/><Relationship Id="rId3" Type="http://schemas.openxmlformats.org/officeDocument/2006/relationships/image" Target="../media/image3.png"/><Relationship Id="rId21" Type="http://schemas.microsoft.com/office/2007/relationships/hdphoto" Target="../media/hdphoto6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9.png"/><Relationship Id="rId25" Type="http://schemas.openxmlformats.org/officeDocument/2006/relationships/hyperlink" Target="#HOME_COMPRAS!A1"/><Relationship Id="rId33" Type="http://schemas.microsoft.com/office/2007/relationships/hdphoto" Target="../media/hdphoto10.wdp"/><Relationship Id="rId2" Type="http://schemas.openxmlformats.org/officeDocument/2006/relationships/hyperlink" Target="#N_ESTQENTRAD!A1"/><Relationship Id="rId16" Type="http://schemas.openxmlformats.org/officeDocument/2006/relationships/hyperlink" Target="#HOME_ESTOQUE!A1"/><Relationship Id="rId20" Type="http://schemas.openxmlformats.org/officeDocument/2006/relationships/image" Target="../media/image10.png"/><Relationship Id="rId29" Type="http://schemas.openxmlformats.org/officeDocument/2006/relationships/image" Target="../media/image13.png"/><Relationship Id="rId1" Type="http://schemas.openxmlformats.org/officeDocument/2006/relationships/hyperlink" Target="#N_ESTQSA&#205;DAS!A1"/><Relationship Id="rId6" Type="http://schemas.openxmlformats.org/officeDocument/2006/relationships/image" Target="../media/image5.png"/><Relationship Id="rId11" Type="http://schemas.openxmlformats.org/officeDocument/2006/relationships/image" Target="../media/image7.png"/><Relationship Id="rId24" Type="http://schemas.microsoft.com/office/2007/relationships/hdphoto" Target="../media/hdphoto7.wdp"/><Relationship Id="rId32" Type="http://schemas.openxmlformats.org/officeDocument/2006/relationships/image" Target="../media/image14.png"/><Relationship Id="rId5" Type="http://schemas.openxmlformats.org/officeDocument/2006/relationships/image" Target="../media/image18.png"/><Relationship Id="rId15" Type="http://schemas.microsoft.com/office/2007/relationships/hdphoto" Target="../media/hdphoto4.wdp"/><Relationship Id="rId23" Type="http://schemas.openxmlformats.org/officeDocument/2006/relationships/image" Target="../media/image11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hyperlink" Target="#HOME_FINANCAS!A1"/><Relationship Id="rId27" Type="http://schemas.microsoft.com/office/2007/relationships/hdphoto" Target="../media/hdphoto8.wdp"/><Relationship Id="rId30" Type="http://schemas.microsoft.com/office/2007/relationships/hdphoto" Target="../media/hdphoto9.wdp"/><Relationship Id="rId8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HOME_ESTOQUE!A1"/><Relationship Id="rId18" Type="http://schemas.microsoft.com/office/2007/relationships/hdphoto" Target="../media/hdphoto6.wdp"/><Relationship Id="rId26" Type="http://schemas.openxmlformats.org/officeDocument/2006/relationships/image" Target="../media/image13.png"/><Relationship Id="rId3" Type="http://schemas.openxmlformats.org/officeDocument/2006/relationships/image" Target="../media/image5.png"/><Relationship Id="rId21" Type="http://schemas.microsoft.com/office/2007/relationships/hdphoto" Target="../media/hdphoto7.wdp"/><Relationship Id="rId7" Type="http://schemas.openxmlformats.org/officeDocument/2006/relationships/hyperlink" Target="#PROD_HOME!A1"/><Relationship Id="rId12" Type="http://schemas.microsoft.com/office/2007/relationships/hdphoto" Target="../media/hdphoto4.wdp"/><Relationship Id="rId17" Type="http://schemas.openxmlformats.org/officeDocument/2006/relationships/image" Target="../media/image10.png"/><Relationship Id="rId25" Type="http://schemas.openxmlformats.org/officeDocument/2006/relationships/hyperlink" Target="#HOME_VENDAS!A1"/><Relationship Id="rId2" Type="http://schemas.openxmlformats.org/officeDocument/2006/relationships/hyperlink" Target="#N_ESTQENTRAD!A1"/><Relationship Id="rId16" Type="http://schemas.openxmlformats.org/officeDocument/2006/relationships/hyperlink" Target="#HOME_RH!A1"/><Relationship Id="rId20" Type="http://schemas.openxmlformats.org/officeDocument/2006/relationships/image" Target="../media/image11.png"/><Relationship Id="rId29" Type="http://schemas.openxmlformats.org/officeDocument/2006/relationships/image" Target="../media/image14.png"/><Relationship Id="rId1" Type="http://schemas.openxmlformats.org/officeDocument/2006/relationships/hyperlink" Target="#N_ESTQSA&#205;DAS!A1"/><Relationship Id="rId6" Type="http://schemas.microsoft.com/office/2007/relationships/hdphoto" Target="../media/hdphoto3.wdp"/><Relationship Id="rId11" Type="http://schemas.openxmlformats.org/officeDocument/2006/relationships/image" Target="../media/image8.png"/><Relationship Id="rId24" Type="http://schemas.microsoft.com/office/2007/relationships/hdphoto" Target="../media/hdphoto8.wdp"/><Relationship Id="rId5" Type="http://schemas.openxmlformats.org/officeDocument/2006/relationships/image" Target="../media/image6.png"/><Relationship Id="rId15" Type="http://schemas.microsoft.com/office/2007/relationships/hdphoto" Target="../media/hdphoto5.wdp"/><Relationship Id="rId23" Type="http://schemas.openxmlformats.org/officeDocument/2006/relationships/image" Target="../media/image12.png"/><Relationship Id="rId28" Type="http://schemas.openxmlformats.org/officeDocument/2006/relationships/hyperlink" Target="#HOME_BD!A1"/><Relationship Id="rId10" Type="http://schemas.openxmlformats.org/officeDocument/2006/relationships/hyperlink" Target="#HOME_LOGISTICA!A1"/><Relationship Id="rId19" Type="http://schemas.openxmlformats.org/officeDocument/2006/relationships/hyperlink" Target="#HOME_FINANCAS!A1"/><Relationship Id="rId4" Type="http://schemas.openxmlformats.org/officeDocument/2006/relationships/hyperlink" Target="#HOME!A1"/><Relationship Id="rId9" Type="http://schemas.microsoft.com/office/2007/relationships/hdphoto" Target="../media/hdphoto2.wdp"/><Relationship Id="rId14" Type="http://schemas.openxmlformats.org/officeDocument/2006/relationships/image" Target="../media/image9.png"/><Relationship Id="rId22" Type="http://schemas.openxmlformats.org/officeDocument/2006/relationships/hyperlink" Target="#HOME_COMPRAS!A1"/><Relationship Id="rId27" Type="http://schemas.microsoft.com/office/2007/relationships/hdphoto" Target="../media/hdphoto9.wdp"/><Relationship Id="rId30" Type="http://schemas.microsoft.com/office/2007/relationships/hdphoto" Target="../media/hdphoto10.wdp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HOME_ESTOQUE!A1"/><Relationship Id="rId18" Type="http://schemas.microsoft.com/office/2007/relationships/hdphoto" Target="../media/hdphoto6.wdp"/><Relationship Id="rId26" Type="http://schemas.openxmlformats.org/officeDocument/2006/relationships/image" Target="../media/image13.png"/><Relationship Id="rId3" Type="http://schemas.openxmlformats.org/officeDocument/2006/relationships/image" Target="../media/image5.png"/><Relationship Id="rId21" Type="http://schemas.microsoft.com/office/2007/relationships/hdphoto" Target="../media/hdphoto7.wdp"/><Relationship Id="rId7" Type="http://schemas.openxmlformats.org/officeDocument/2006/relationships/hyperlink" Target="#PROD_HOME!A1"/><Relationship Id="rId12" Type="http://schemas.microsoft.com/office/2007/relationships/hdphoto" Target="../media/hdphoto4.wdp"/><Relationship Id="rId17" Type="http://schemas.openxmlformats.org/officeDocument/2006/relationships/image" Target="../media/image10.png"/><Relationship Id="rId25" Type="http://schemas.openxmlformats.org/officeDocument/2006/relationships/hyperlink" Target="#HOME_VENDAS!A1"/><Relationship Id="rId2" Type="http://schemas.openxmlformats.org/officeDocument/2006/relationships/hyperlink" Target="#N_ESTQENTRAD!A1"/><Relationship Id="rId16" Type="http://schemas.openxmlformats.org/officeDocument/2006/relationships/hyperlink" Target="#HOME_RH!A1"/><Relationship Id="rId20" Type="http://schemas.openxmlformats.org/officeDocument/2006/relationships/image" Target="../media/image11.png"/><Relationship Id="rId29" Type="http://schemas.openxmlformats.org/officeDocument/2006/relationships/image" Target="../media/image14.png"/><Relationship Id="rId1" Type="http://schemas.openxmlformats.org/officeDocument/2006/relationships/hyperlink" Target="#N_ESTQSA&#205;DAS!A1"/><Relationship Id="rId6" Type="http://schemas.microsoft.com/office/2007/relationships/hdphoto" Target="../media/hdphoto3.wdp"/><Relationship Id="rId11" Type="http://schemas.openxmlformats.org/officeDocument/2006/relationships/image" Target="../media/image8.png"/><Relationship Id="rId24" Type="http://schemas.microsoft.com/office/2007/relationships/hdphoto" Target="../media/hdphoto8.wdp"/><Relationship Id="rId5" Type="http://schemas.openxmlformats.org/officeDocument/2006/relationships/image" Target="../media/image6.png"/><Relationship Id="rId15" Type="http://schemas.microsoft.com/office/2007/relationships/hdphoto" Target="../media/hdphoto5.wdp"/><Relationship Id="rId23" Type="http://schemas.openxmlformats.org/officeDocument/2006/relationships/image" Target="../media/image12.png"/><Relationship Id="rId28" Type="http://schemas.openxmlformats.org/officeDocument/2006/relationships/hyperlink" Target="#HOME_BD!A1"/><Relationship Id="rId10" Type="http://schemas.openxmlformats.org/officeDocument/2006/relationships/hyperlink" Target="#HOME_LOGISTICA!A1"/><Relationship Id="rId19" Type="http://schemas.openxmlformats.org/officeDocument/2006/relationships/hyperlink" Target="#HOME_FINANCAS!A1"/><Relationship Id="rId4" Type="http://schemas.openxmlformats.org/officeDocument/2006/relationships/hyperlink" Target="#HOME!A1"/><Relationship Id="rId9" Type="http://schemas.microsoft.com/office/2007/relationships/hdphoto" Target="../media/hdphoto2.wdp"/><Relationship Id="rId14" Type="http://schemas.openxmlformats.org/officeDocument/2006/relationships/image" Target="../media/image9.png"/><Relationship Id="rId22" Type="http://schemas.openxmlformats.org/officeDocument/2006/relationships/hyperlink" Target="#HOME_COMPRAS!A1"/><Relationship Id="rId27" Type="http://schemas.microsoft.com/office/2007/relationships/hdphoto" Target="../media/hdphoto9.wdp"/><Relationship Id="rId30" Type="http://schemas.microsoft.com/office/2007/relationships/hdphoto" Target="../media/hdphoto10.wdp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hyperlink" Target="#HOME_RH!A1"/><Relationship Id="rId26" Type="http://schemas.microsoft.com/office/2007/relationships/hdphoto" Target="../media/hdphoto8.wdp"/><Relationship Id="rId3" Type="http://schemas.microsoft.com/office/2007/relationships/hdphoto" Target="../media/hdphoto12.wdp"/><Relationship Id="rId21" Type="http://schemas.openxmlformats.org/officeDocument/2006/relationships/hyperlink" Target="#HOME_FINANCAS!A1"/><Relationship Id="rId34" Type="http://schemas.openxmlformats.org/officeDocument/2006/relationships/image" Target="../media/image8.png"/><Relationship Id="rId7" Type="http://schemas.openxmlformats.org/officeDocument/2006/relationships/image" Target="../media/image19.png"/><Relationship Id="rId12" Type="http://schemas.openxmlformats.org/officeDocument/2006/relationships/hyperlink" Target="#PROD_HOME!A1"/><Relationship Id="rId17" Type="http://schemas.microsoft.com/office/2007/relationships/hdphoto" Target="../media/hdphoto5.wdp"/><Relationship Id="rId25" Type="http://schemas.openxmlformats.org/officeDocument/2006/relationships/image" Target="../media/image12.png"/><Relationship Id="rId33" Type="http://schemas.openxmlformats.org/officeDocument/2006/relationships/hyperlink" Target="#HOME_LOGISTICA!A1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231;&#227;o!A1"/><Relationship Id="rId6" Type="http://schemas.microsoft.com/office/2007/relationships/hdphoto" Target="../media/hdphoto1.wdp"/><Relationship Id="rId11" Type="http://schemas.microsoft.com/office/2007/relationships/hdphoto" Target="../media/hdphoto3.wdp"/><Relationship Id="rId24" Type="http://schemas.openxmlformats.org/officeDocument/2006/relationships/hyperlink" Target="#HOME_COMPRAS!A1"/><Relationship Id="rId32" Type="http://schemas.microsoft.com/office/2007/relationships/hdphoto" Target="../media/hdphoto10.wdp"/><Relationship Id="rId5" Type="http://schemas.openxmlformats.org/officeDocument/2006/relationships/image" Target="../media/image3.png"/><Relationship Id="rId15" Type="http://schemas.openxmlformats.org/officeDocument/2006/relationships/hyperlink" Target="#HOME_ESTOQUE!A1"/><Relationship Id="rId23" Type="http://schemas.microsoft.com/office/2007/relationships/hdphoto" Target="../media/hdphoto7.wdp"/><Relationship Id="rId28" Type="http://schemas.openxmlformats.org/officeDocument/2006/relationships/image" Target="../media/image13.png"/><Relationship Id="rId10" Type="http://schemas.openxmlformats.org/officeDocument/2006/relationships/image" Target="../media/image6.png"/><Relationship Id="rId19" Type="http://schemas.openxmlformats.org/officeDocument/2006/relationships/image" Target="../media/image20.png"/><Relationship Id="rId31" Type="http://schemas.openxmlformats.org/officeDocument/2006/relationships/image" Target="../media/image14.png"/><Relationship Id="rId4" Type="http://schemas.openxmlformats.org/officeDocument/2006/relationships/image" Target="../media/image5.png"/><Relationship Id="rId9" Type="http://schemas.openxmlformats.org/officeDocument/2006/relationships/hyperlink" Target="#Home!A1"/><Relationship Id="rId14" Type="http://schemas.microsoft.com/office/2007/relationships/hdphoto" Target="../media/hdphoto2.wdp"/><Relationship Id="rId22" Type="http://schemas.openxmlformats.org/officeDocument/2006/relationships/image" Target="../media/image11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4.wdp"/><Relationship Id="rId8" Type="http://schemas.microsoft.com/office/2007/relationships/hdphoto" Target="../media/hdphoto13.wdp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2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2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HOME_ESTOQUE!A1"/><Relationship Id="rId13" Type="http://schemas.microsoft.com/office/2007/relationships/hdphoto" Target="../media/hdphoto6.wdp"/><Relationship Id="rId18" Type="http://schemas.openxmlformats.org/officeDocument/2006/relationships/image" Target="../media/image12.png"/><Relationship Id="rId26" Type="http://schemas.openxmlformats.org/officeDocument/2006/relationships/hyperlink" Target="#HOME_LOGISTICA!A1"/><Relationship Id="rId3" Type="http://schemas.openxmlformats.org/officeDocument/2006/relationships/image" Target="../media/image6.png"/><Relationship Id="rId21" Type="http://schemas.openxmlformats.org/officeDocument/2006/relationships/image" Target="../media/image13.png"/><Relationship Id="rId7" Type="http://schemas.microsoft.com/office/2007/relationships/hdphoto" Target="../media/hdphoto2.wdp"/><Relationship Id="rId12" Type="http://schemas.openxmlformats.org/officeDocument/2006/relationships/image" Target="../media/image20.png"/><Relationship Id="rId17" Type="http://schemas.openxmlformats.org/officeDocument/2006/relationships/hyperlink" Target="#HOME_COMPRAS!A1"/><Relationship Id="rId25" Type="http://schemas.microsoft.com/office/2007/relationships/hdphoto" Target="../media/hdphoto10.wdp"/><Relationship Id="rId2" Type="http://schemas.openxmlformats.org/officeDocument/2006/relationships/hyperlink" Target="#Home!A1"/><Relationship Id="rId16" Type="http://schemas.microsoft.com/office/2007/relationships/hdphoto" Target="../media/hdphoto7.wdp"/><Relationship Id="rId20" Type="http://schemas.openxmlformats.org/officeDocument/2006/relationships/hyperlink" Target="#HOME_VENDAS!A1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hyperlink" Target="#HOME_RH!A1"/><Relationship Id="rId24" Type="http://schemas.openxmlformats.org/officeDocument/2006/relationships/image" Target="../media/image14.png"/><Relationship Id="rId5" Type="http://schemas.openxmlformats.org/officeDocument/2006/relationships/hyperlink" Target="#PROD_HOME!A1"/><Relationship Id="rId15" Type="http://schemas.openxmlformats.org/officeDocument/2006/relationships/image" Target="../media/image11.png"/><Relationship Id="rId23" Type="http://schemas.openxmlformats.org/officeDocument/2006/relationships/hyperlink" Target="#HOME_BD!A1"/><Relationship Id="rId28" Type="http://schemas.microsoft.com/office/2007/relationships/hdphoto" Target="../media/hdphoto4.wdp"/><Relationship Id="rId10" Type="http://schemas.microsoft.com/office/2007/relationships/hdphoto" Target="../media/hdphoto5.wdp"/><Relationship Id="rId19" Type="http://schemas.microsoft.com/office/2007/relationships/hdphoto" Target="../media/hdphoto8.wdp"/><Relationship Id="rId4" Type="http://schemas.microsoft.com/office/2007/relationships/hdphoto" Target="../media/hdphoto3.wdp"/><Relationship Id="rId9" Type="http://schemas.openxmlformats.org/officeDocument/2006/relationships/image" Target="../media/image9.png"/><Relationship Id="rId14" Type="http://schemas.openxmlformats.org/officeDocument/2006/relationships/hyperlink" Target="#HOME_FINANCAS!A1"/><Relationship Id="rId22" Type="http://schemas.microsoft.com/office/2007/relationships/hdphoto" Target="../media/hdphoto9.wdp"/><Relationship Id="rId27" Type="http://schemas.openxmlformats.org/officeDocument/2006/relationships/image" Target="../media/image8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2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hyperlink" Target="#HOME_RH!A1"/><Relationship Id="rId26" Type="http://schemas.microsoft.com/office/2007/relationships/hdphoto" Target="../media/hdphoto8.wdp"/><Relationship Id="rId3" Type="http://schemas.microsoft.com/office/2007/relationships/hdphoto" Target="../media/hdphoto12.wdp"/><Relationship Id="rId21" Type="http://schemas.openxmlformats.org/officeDocument/2006/relationships/hyperlink" Target="#HOME_FINANCAS!A1"/><Relationship Id="rId34" Type="http://schemas.openxmlformats.org/officeDocument/2006/relationships/image" Target="../media/image8.png"/><Relationship Id="rId7" Type="http://schemas.openxmlformats.org/officeDocument/2006/relationships/image" Target="../media/image21.png"/><Relationship Id="rId12" Type="http://schemas.openxmlformats.org/officeDocument/2006/relationships/hyperlink" Target="#PROD_HOME!A1"/><Relationship Id="rId17" Type="http://schemas.microsoft.com/office/2007/relationships/hdphoto" Target="../media/hdphoto5.wdp"/><Relationship Id="rId25" Type="http://schemas.openxmlformats.org/officeDocument/2006/relationships/image" Target="../media/image12.png"/><Relationship Id="rId33" Type="http://schemas.openxmlformats.org/officeDocument/2006/relationships/hyperlink" Target="#HOME_LOGISTICA!A1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231;&#227;o!A1"/><Relationship Id="rId6" Type="http://schemas.microsoft.com/office/2007/relationships/hdphoto" Target="../media/hdphoto1.wdp"/><Relationship Id="rId11" Type="http://schemas.microsoft.com/office/2007/relationships/hdphoto" Target="../media/hdphoto3.wdp"/><Relationship Id="rId24" Type="http://schemas.openxmlformats.org/officeDocument/2006/relationships/hyperlink" Target="#HOME_COMPRAS!A1"/><Relationship Id="rId32" Type="http://schemas.microsoft.com/office/2007/relationships/hdphoto" Target="../media/hdphoto10.wdp"/><Relationship Id="rId5" Type="http://schemas.openxmlformats.org/officeDocument/2006/relationships/image" Target="../media/image3.png"/><Relationship Id="rId15" Type="http://schemas.openxmlformats.org/officeDocument/2006/relationships/hyperlink" Target="#HOME_ESTOQUE!A1"/><Relationship Id="rId23" Type="http://schemas.microsoft.com/office/2007/relationships/hdphoto" Target="../media/hdphoto7.wdp"/><Relationship Id="rId28" Type="http://schemas.openxmlformats.org/officeDocument/2006/relationships/image" Target="../media/image22.png"/><Relationship Id="rId10" Type="http://schemas.openxmlformats.org/officeDocument/2006/relationships/image" Target="../media/image6.png"/><Relationship Id="rId19" Type="http://schemas.openxmlformats.org/officeDocument/2006/relationships/image" Target="../media/image10.png"/><Relationship Id="rId31" Type="http://schemas.openxmlformats.org/officeDocument/2006/relationships/image" Target="../media/image14.png"/><Relationship Id="rId4" Type="http://schemas.openxmlformats.org/officeDocument/2006/relationships/image" Target="../media/image5.png"/><Relationship Id="rId9" Type="http://schemas.openxmlformats.org/officeDocument/2006/relationships/hyperlink" Target="#Home!A1"/><Relationship Id="rId14" Type="http://schemas.microsoft.com/office/2007/relationships/hdphoto" Target="../media/hdphoto2.wdp"/><Relationship Id="rId22" Type="http://schemas.openxmlformats.org/officeDocument/2006/relationships/image" Target="../media/image11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4.wdp"/><Relationship Id="rId8" Type="http://schemas.microsoft.com/office/2007/relationships/hdphoto" Target="../media/hdphoto14.wdp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9.png"/><Relationship Id="rId18" Type="http://schemas.openxmlformats.org/officeDocument/2006/relationships/hyperlink" Target="#HOME_FINANCAS!A1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hyperlink" Target="#HOME_COMPRAS!A1"/><Relationship Id="rId7" Type="http://schemas.openxmlformats.org/officeDocument/2006/relationships/hyperlink" Target="#Home!A1"/><Relationship Id="rId12" Type="http://schemas.openxmlformats.org/officeDocument/2006/relationships/hyperlink" Target="#HOME_ESTOQUE!A1"/><Relationship Id="rId17" Type="http://schemas.microsoft.com/office/2007/relationships/hdphoto" Target="../media/hdphoto6.wdp"/><Relationship Id="rId25" Type="http://schemas.openxmlformats.org/officeDocument/2006/relationships/image" Target="../media/image22.png"/><Relationship Id="rId2" Type="http://schemas.openxmlformats.org/officeDocument/2006/relationships/image" Target="../media/image17.png"/><Relationship Id="rId16" Type="http://schemas.openxmlformats.org/officeDocument/2006/relationships/image" Target="../media/image10.png"/><Relationship Id="rId20" Type="http://schemas.microsoft.com/office/2007/relationships/hdphoto" Target="../media/hdphoto7.wdp"/><Relationship Id="rId29" Type="http://schemas.microsoft.com/office/2007/relationships/hdphoto" Target="../media/hdphoto10.wdp"/><Relationship Id="rId1" Type="http://schemas.openxmlformats.org/officeDocument/2006/relationships/hyperlink" Target="#Produ&#231;&#227;o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24" Type="http://schemas.openxmlformats.org/officeDocument/2006/relationships/hyperlink" Target="#HOME_VENDAS!A1"/><Relationship Id="rId32" Type="http://schemas.microsoft.com/office/2007/relationships/hdphoto" Target="../media/hdphoto4.wdp"/><Relationship Id="rId5" Type="http://schemas.openxmlformats.org/officeDocument/2006/relationships/image" Target="../media/image4.png"/><Relationship Id="rId15" Type="http://schemas.openxmlformats.org/officeDocument/2006/relationships/hyperlink" Target="#HOME_RH!A1"/><Relationship Id="rId23" Type="http://schemas.microsoft.com/office/2007/relationships/hdphoto" Target="../media/hdphoto8.wdp"/><Relationship Id="rId28" Type="http://schemas.openxmlformats.org/officeDocument/2006/relationships/image" Target="../media/image14.png"/><Relationship Id="rId10" Type="http://schemas.openxmlformats.org/officeDocument/2006/relationships/hyperlink" Target="#PROD_HOME!A1"/><Relationship Id="rId19" Type="http://schemas.openxmlformats.org/officeDocument/2006/relationships/image" Target="../media/image11.png"/><Relationship Id="rId31" Type="http://schemas.openxmlformats.org/officeDocument/2006/relationships/image" Target="../media/image8.png"/><Relationship Id="rId4" Type="http://schemas.openxmlformats.org/officeDocument/2006/relationships/image" Target="../media/image5.png"/><Relationship Id="rId9" Type="http://schemas.microsoft.com/office/2007/relationships/hdphoto" Target="../media/hdphoto3.wdp"/><Relationship Id="rId14" Type="http://schemas.microsoft.com/office/2007/relationships/hdphoto" Target="../media/hdphoto5.wdp"/><Relationship Id="rId22" Type="http://schemas.openxmlformats.org/officeDocument/2006/relationships/image" Target="../media/image12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22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22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22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22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2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hyperlink" Target="#HOME_RH!A1"/><Relationship Id="rId26" Type="http://schemas.microsoft.com/office/2007/relationships/hdphoto" Target="../media/hdphoto8.wdp"/><Relationship Id="rId3" Type="http://schemas.microsoft.com/office/2007/relationships/hdphoto" Target="../media/hdphoto12.wdp"/><Relationship Id="rId21" Type="http://schemas.openxmlformats.org/officeDocument/2006/relationships/hyperlink" Target="#HOME_FINANCAS!A1"/><Relationship Id="rId34" Type="http://schemas.openxmlformats.org/officeDocument/2006/relationships/image" Target="../media/image8.png"/><Relationship Id="rId7" Type="http://schemas.openxmlformats.org/officeDocument/2006/relationships/image" Target="../media/image23.png"/><Relationship Id="rId12" Type="http://schemas.openxmlformats.org/officeDocument/2006/relationships/hyperlink" Target="#PROD_HOME!A1"/><Relationship Id="rId17" Type="http://schemas.microsoft.com/office/2007/relationships/hdphoto" Target="../media/hdphoto5.wdp"/><Relationship Id="rId25" Type="http://schemas.openxmlformats.org/officeDocument/2006/relationships/image" Target="../media/image24.png"/><Relationship Id="rId33" Type="http://schemas.openxmlformats.org/officeDocument/2006/relationships/hyperlink" Target="#HOME_LOGISTICA!A1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231;&#227;o!A1"/><Relationship Id="rId6" Type="http://schemas.microsoft.com/office/2007/relationships/hdphoto" Target="../media/hdphoto1.wdp"/><Relationship Id="rId11" Type="http://schemas.microsoft.com/office/2007/relationships/hdphoto" Target="../media/hdphoto3.wdp"/><Relationship Id="rId24" Type="http://schemas.openxmlformats.org/officeDocument/2006/relationships/hyperlink" Target="#HOME_COMPRAS!A1"/><Relationship Id="rId32" Type="http://schemas.microsoft.com/office/2007/relationships/hdphoto" Target="../media/hdphoto10.wdp"/><Relationship Id="rId5" Type="http://schemas.openxmlformats.org/officeDocument/2006/relationships/image" Target="../media/image3.png"/><Relationship Id="rId15" Type="http://schemas.openxmlformats.org/officeDocument/2006/relationships/hyperlink" Target="#HOME_ESTOQUE!A1"/><Relationship Id="rId23" Type="http://schemas.microsoft.com/office/2007/relationships/hdphoto" Target="../media/hdphoto7.wdp"/><Relationship Id="rId28" Type="http://schemas.openxmlformats.org/officeDocument/2006/relationships/image" Target="../media/image13.png"/><Relationship Id="rId10" Type="http://schemas.openxmlformats.org/officeDocument/2006/relationships/image" Target="../media/image6.png"/><Relationship Id="rId19" Type="http://schemas.openxmlformats.org/officeDocument/2006/relationships/image" Target="../media/image10.png"/><Relationship Id="rId31" Type="http://schemas.openxmlformats.org/officeDocument/2006/relationships/image" Target="../media/image14.png"/><Relationship Id="rId4" Type="http://schemas.openxmlformats.org/officeDocument/2006/relationships/image" Target="../media/image5.png"/><Relationship Id="rId9" Type="http://schemas.openxmlformats.org/officeDocument/2006/relationships/hyperlink" Target="#Home!A1"/><Relationship Id="rId14" Type="http://schemas.microsoft.com/office/2007/relationships/hdphoto" Target="../media/hdphoto2.wdp"/><Relationship Id="rId22" Type="http://schemas.openxmlformats.org/officeDocument/2006/relationships/image" Target="../media/image11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4.wdp"/><Relationship Id="rId8" Type="http://schemas.microsoft.com/office/2007/relationships/hdphoto" Target="../media/hdphoto15.wdp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24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HOME_ESTOQUE!A1"/><Relationship Id="rId13" Type="http://schemas.microsoft.com/office/2007/relationships/hdphoto" Target="../media/hdphoto6.wdp"/><Relationship Id="rId18" Type="http://schemas.openxmlformats.org/officeDocument/2006/relationships/image" Target="../media/image24.png"/><Relationship Id="rId26" Type="http://schemas.openxmlformats.org/officeDocument/2006/relationships/hyperlink" Target="#HOME_LOGISTICA!A1"/><Relationship Id="rId3" Type="http://schemas.openxmlformats.org/officeDocument/2006/relationships/image" Target="../media/image6.png"/><Relationship Id="rId21" Type="http://schemas.openxmlformats.org/officeDocument/2006/relationships/image" Target="../media/image13.png"/><Relationship Id="rId7" Type="http://schemas.microsoft.com/office/2007/relationships/hdphoto" Target="../media/hdphoto2.wdp"/><Relationship Id="rId12" Type="http://schemas.openxmlformats.org/officeDocument/2006/relationships/image" Target="../media/image10.png"/><Relationship Id="rId17" Type="http://schemas.openxmlformats.org/officeDocument/2006/relationships/hyperlink" Target="#HOME_COMPRAS!A1"/><Relationship Id="rId25" Type="http://schemas.microsoft.com/office/2007/relationships/hdphoto" Target="../media/hdphoto10.wdp"/><Relationship Id="rId2" Type="http://schemas.openxmlformats.org/officeDocument/2006/relationships/hyperlink" Target="#Home!A1"/><Relationship Id="rId16" Type="http://schemas.microsoft.com/office/2007/relationships/hdphoto" Target="../media/hdphoto7.wdp"/><Relationship Id="rId20" Type="http://schemas.openxmlformats.org/officeDocument/2006/relationships/hyperlink" Target="#HOME_VENDAS!A1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hyperlink" Target="#HOME_RH!A1"/><Relationship Id="rId24" Type="http://schemas.openxmlformats.org/officeDocument/2006/relationships/image" Target="../media/image14.png"/><Relationship Id="rId5" Type="http://schemas.openxmlformats.org/officeDocument/2006/relationships/hyperlink" Target="#PROD_HOME!A1"/><Relationship Id="rId15" Type="http://schemas.openxmlformats.org/officeDocument/2006/relationships/image" Target="../media/image11.png"/><Relationship Id="rId23" Type="http://schemas.openxmlformats.org/officeDocument/2006/relationships/hyperlink" Target="#HOME_BD!A1"/><Relationship Id="rId28" Type="http://schemas.microsoft.com/office/2007/relationships/hdphoto" Target="../media/hdphoto4.wdp"/><Relationship Id="rId10" Type="http://schemas.microsoft.com/office/2007/relationships/hdphoto" Target="../media/hdphoto5.wdp"/><Relationship Id="rId19" Type="http://schemas.microsoft.com/office/2007/relationships/hdphoto" Target="../media/hdphoto8.wdp"/><Relationship Id="rId4" Type="http://schemas.microsoft.com/office/2007/relationships/hdphoto" Target="../media/hdphoto3.wdp"/><Relationship Id="rId9" Type="http://schemas.openxmlformats.org/officeDocument/2006/relationships/image" Target="../media/image9.png"/><Relationship Id="rId14" Type="http://schemas.openxmlformats.org/officeDocument/2006/relationships/hyperlink" Target="#HOME_FINANCAS!A1"/><Relationship Id="rId22" Type="http://schemas.microsoft.com/office/2007/relationships/hdphoto" Target="../media/hdphoto9.wdp"/><Relationship Id="rId27" Type="http://schemas.openxmlformats.org/officeDocument/2006/relationships/image" Target="../media/image8.png"/></Relationships>
</file>

<file path=xl/drawings/_rels/drawing3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9.png"/><Relationship Id="rId18" Type="http://schemas.openxmlformats.org/officeDocument/2006/relationships/hyperlink" Target="#HOME_FINANCAS!A1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hyperlink" Target="#HOME_COMPRAS!A1"/><Relationship Id="rId7" Type="http://schemas.openxmlformats.org/officeDocument/2006/relationships/image" Target="../media/image6.png"/><Relationship Id="rId12" Type="http://schemas.openxmlformats.org/officeDocument/2006/relationships/hyperlink" Target="#HOME_ESTOQUE!A1"/><Relationship Id="rId17" Type="http://schemas.microsoft.com/office/2007/relationships/hdphoto" Target="../media/hdphoto6.wdp"/><Relationship Id="rId25" Type="http://schemas.openxmlformats.org/officeDocument/2006/relationships/image" Target="../media/image13.png"/><Relationship Id="rId2" Type="http://schemas.openxmlformats.org/officeDocument/2006/relationships/image" Target="../media/image17.png"/><Relationship Id="rId16" Type="http://schemas.openxmlformats.org/officeDocument/2006/relationships/image" Target="../media/image10.png"/><Relationship Id="rId20" Type="http://schemas.microsoft.com/office/2007/relationships/hdphoto" Target="../media/hdphoto7.wdp"/><Relationship Id="rId29" Type="http://schemas.microsoft.com/office/2007/relationships/hdphoto" Target="../media/hdphoto10.wdp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VENDAS!A1"/><Relationship Id="rId32" Type="http://schemas.microsoft.com/office/2007/relationships/hdphoto" Target="../media/hdphoto4.wdp"/><Relationship Id="rId5" Type="http://schemas.openxmlformats.org/officeDocument/2006/relationships/hyperlink" Target="#SOLICITA&#199;&#213;ES!A1"/><Relationship Id="rId15" Type="http://schemas.openxmlformats.org/officeDocument/2006/relationships/hyperlink" Target="#HOME_RH!A1"/><Relationship Id="rId23" Type="http://schemas.microsoft.com/office/2007/relationships/hdphoto" Target="../media/hdphoto8.wdp"/><Relationship Id="rId28" Type="http://schemas.openxmlformats.org/officeDocument/2006/relationships/image" Target="../media/image14.png"/><Relationship Id="rId10" Type="http://schemas.openxmlformats.org/officeDocument/2006/relationships/image" Target="../media/image7.png"/><Relationship Id="rId19" Type="http://schemas.openxmlformats.org/officeDocument/2006/relationships/image" Target="../media/image11.png"/><Relationship Id="rId31" Type="http://schemas.openxmlformats.org/officeDocument/2006/relationships/image" Target="../media/image8.png"/><Relationship Id="rId4" Type="http://schemas.openxmlformats.org/officeDocument/2006/relationships/image" Target="../media/image5.png"/><Relationship Id="rId9" Type="http://schemas.openxmlformats.org/officeDocument/2006/relationships/hyperlink" Target="#PROD_HOME!A1"/><Relationship Id="rId14" Type="http://schemas.microsoft.com/office/2007/relationships/hdphoto" Target="../media/hdphoto5.wdp"/><Relationship Id="rId22" Type="http://schemas.openxmlformats.org/officeDocument/2006/relationships/image" Target="../media/image24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24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34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9.png"/><Relationship Id="rId18" Type="http://schemas.openxmlformats.org/officeDocument/2006/relationships/hyperlink" Target="#HOME_FINANCAS!A1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hyperlink" Target="#HOME_COMPRAS!A1"/><Relationship Id="rId7" Type="http://schemas.openxmlformats.org/officeDocument/2006/relationships/image" Target="../media/image6.png"/><Relationship Id="rId12" Type="http://schemas.openxmlformats.org/officeDocument/2006/relationships/hyperlink" Target="#HOME_ESTOQUE!A1"/><Relationship Id="rId17" Type="http://schemas.microsoft.com/office/2007/relationships/hdphoto" Target="../media/hdphoto6.wdp"/><Relationship Id="rId25" Type="http://schemas.openxmlformats.org/officeDocument/2006/relationships/image" Target="../media/image13.png"/><Relationship Id="rId2" Type="http://schemas.openxmlformats.org/officeDocument/2006/relationships/image" Target="../media/image17.png"/><Relationship Id="rId16" Type="http://schemas.openxmlformats.org/officeDocument/2006/relationships/image" Target="../media/image10.png"/><Relationship Id="rId20" Type="http://schemas.microsoft.com/office/2007/relationships/hdphoto" Target="../media/hdphoto7.wdp"/><Relationship Id="rId29" Type="http://schemas.microsoft.com/office/2007/relationships/hdphoto" Target="../media/hdphoto10.wdp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VENDAS!A1"/><Relationship Id="rId32" Type="http://schemas.microsoft.com/office/2007/relationships/hdphoto" Target="../media/hdphoto4.wdp"/><Relationship Id="rId5" Type="http://schemas.openxmlformats.org/officeDocument/2006/relationships/hyperlink" Target="#N_CSOLICITAR!A1"/><Relationship Id="rId15" Type="http://schemas.openxmlformats.org/officeDocument/2006/relationships/hyperlink" Target="#HOME_RH!A1"/><Relationship Id="rId23" Type="http://schemas.microsoft.com/office/2007/relationships/hdphoto" Target="../media/hdphoto8.wdp"/><Relationship Id="rId28" Type="http://schemas.openxmlformats.org/officeDocument/2006/relationships/image" Target="../media/image14.png"/><Relationship Id="rId10" Type="http://schemas.openxmlformats.org/officeDocument/2006/relationships/image" Target="../media/image7.png"/><Relationship Id="rId19" Type="http://schemas.openxmlformats.org/officeDocument/2006/relationships/image" Target="../media/image11.png"/><Relationship Id="rId31" Type="http://schemas.openxmlformats.org/officeDocument/2006/relationships/image" Target="../media/image8.png"/><Relationship Id="rId4" Type="http://schemas.openxmlformats.org/officeDocument/2006/relationships/image" Target="../media/image5.png"/><Relationship Id="rId9" Type="http://schemas.openxmlformats.org/officeDocument/2006/relationships/hyperlink" Target="#PROD_HOME!A1"/><Relationship Id="rId14" Type="http://schemas.microsoft.com/office/2007/relationships/hdphoto" Target="../media/hdphoto5.wdp"/><Relationship Id="rId22" Type="http://schemas.openxmlformats.org/officeDocument/2006/relationships/image" Target="../media/image24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11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24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3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3" Type="http://schemas.microsoft.com/office/2007/relationships/hdphoto" Target="../media/hdphoto12.wdp"/><Relationship Id="rId21" Type="http://schemas.openxmlformats.org/officeDocument/2006/relationships/image" Target="../media/image26.png"/><Relationship Id="rId34" Type="http://schemas.microsoft.com/office/2007/relationships/hdphoto" Target="../media/hdphoto4.wdp"/><Relationship Id="rId7" Type="http://schemas.openxmlformats.org/officeDocument/2006/relationships/image" Target="../media/image25.png"/><Relationship Id="rId12" Type="http://schemas.openxmlformats.org/officeDocument/2006/relationships/image" Target="../media/image7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image" Target="../media/image8.png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microsoft.com/office/2007/relationships/hdphoto" Target="../media/hdphoto1.wdp"/><Relationship Id="rId11" Type="http://schemas.openxmlformats.org/officeDocument/2006/relationships/hyperlink" Target="#PROD_HOME!A1"/><Relationship Id="rId24" Type="http://schemas.openxmlformats.org/officeDocument/2006/relationships/image" Target="../media/image12.png"/><Relationship Id="rId32" Type="http://schemas.openxmlformats.org/officeDocument/2006/relationships/hyperlink" Target="#HOME_LOGISTICA!A1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10" Type="http://schemas.microsoft.com/office/2007/relationships/hdphoto" Target="../media/hdphoto3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6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14.png"/><Relationship Id="rId8" Type="http://schemas.openxmlformats.org/officeDocument/2006/relationships/hyperlink" Target="#Home!A1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26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26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5.wdp"/><Relationship Id="rId18" Type="http://schemas.openxmlformats.org/officeDocument/2006/relationships/image" Target="../media/image26.png"/><Relationship Id="rId26" Type="http://schemas.openxmlformats.org/officeDocument/2006/relationships/hyperlink" Target="#HOME_BD!A1"/><Relationship Id="rId3" Type="http://schemas.microsoft.com/office/2007/relationships/hdphoto" Target="../media/hdphoto12.wdp"/><Relationship Id="rId21" Type="http://schemas.openxmlformats.org/officeDocument/2006/relationships/image" Target="../media/image12.png"/><Relationship Id="rId7" Type="http://schemas.microsoft.com/office/2007/relationships/hdphoto" Target="../media/hdphoto3.wdp"/><Relationship Id="rId12" Type="http://schemas.openxmlformats.org/officeDocument/2006/relationships/image" Target="../media/image9.png"/><Relationship Id="rId17" Type="http://schemas.openxmlformats.org/officeDocument/2006/relationships/hyperlink" Target="#HOME_FINANCAS!A1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microsoft.com/office/2007/relationships/hdphoto" Target="../media/hdphoto6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6.png"/><Relationship Id="rId11" Type="http://schemas.openxmlformats.org/officeDocument/2006/relationships/hyperlink" Target="#HOME_ESTOQUE!A1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openxmlformats.org/officeDocument/2006/relationships/image" Target="../media/image10.png"/><Relationship Id="rId23" Type="http://schemas.openxmlformats.org/officeDocument/2006/relationships/hyperlink" Target="#HOME_VENDAS!A1"/><Relationship Id="rId28" Type="http://schemas.microsoft.com/office/2007/relationships/hdphoto" Target="../media/hdphoto10.wdp"/><Relationship Id="rId10" Type="http://schemas.microsoft.com/office/2007/relationships/hdphoto" Target="../media/hdphoto2.wdp"/><Relationship Id="rId19" Type="http://schemas.microsoft.com/office/2007/relationships/hdphoto" Target="../media/hdphoto7.wdp"/><Relationship Id="rId31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hyperlink" Target="#HOME_RH!A1"/><Relationship Id="rId22" Type="http://schemas.microsoft.com/office/2007/relationships/hdphoto" Target="../media/hdphoto8.wdp"/><Relationship Id="rId27" Type="http://schemas.openxmlformats.org/officeDocument/2006/relationships/image" Target="../media/image14.png"/><Relationship Id="rId30" Type="http://schemas.openxmlformats.org/officeDocument/2006/relationships/image" Target="../media/image8.png"/></Relationships>
</file>

<file path=xl/drawings/_rels/drawing40.xml.rels><?xml version="1.0" encoding="UTF-8" standalone="yes"?>
<Relationships xmlns="http://schemas.openxmlformats.org/package/2006/relationships"><Relationship Id="rId13" Type="http://schemas.microsoft.com/office/2007/relationships/hdphoto" Target="../media/hdphoto3.wdp"/><Relationship Id="rId18" Type="http://schemas.openxmlformats.org/officeDocument/2006/relationships/image" Target="../media/image9.png"/><Relationship Id="rId26" Type="http://schemas.openxmlformats.org/officeDocument/2006/relationships/hyperlink" Target="#HOME_COMPRAS!A1"/><Relationship Id="rId21" Type="http://schemas.openxmlformats.org/officeDocument/2006/relationships/image" Target="../media/image10.png"/><Relationship Id="rId34" Type="http://schemas.microsoft.com/office/2007/relationships/hdphoto" Target="../media/hdphoto10.wdp"/><Relationship Id="rId7" Type="http://schemas.openxmlformats.org/officeDocument/2006/relationships/hyperlink" Target="#'B2'!A1"/><Relationship Id="rId12" Type="http://schemas.openxmlformats.org/officeDocument/2006/relationships/image" Target="../media/image6.png"/><Relationship Id="rId17" Type="http://schemas.openxmlformats.org/officeDocument/2006/relationships/hyperlink" Target="#HOME_ESTOQUE!A1"/><Relationship Id="rId25" Type="http://schemas.microsoft.com/office/2007/relationships/hdphoto" Target="../media/hdphoto7.wdp"/><Relationship Id="rId33" Type="http://schemas.openxmlformats.org/officeDocument/2006/relationships/image" Target="../media/image28.png"/><Relationship Id="rId2" Type="http://schemas.openxmlformats.org/officeDocument/2006/relationships/image" Target="../media/image17.png"/><Relationship Id="rId16" Type="http://schemas.microsoft.com/office/2007/relationships/hdphoto" Target="../media/hdphoto2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Home!A1"/><Relationship Id="rId24" Type="http://schemas.openxmlformats.org/officeDocument/2006/relationships/image" Target="../media/image11.png"/><Relationship Id="rId32" Type="http://schemas.openxmlformats.org/officeDocument/2006/relationships/hyperlink" Target="#HOME_BD!A1"/><Relationship Id="rId37" Type="http://schemas.microsoft.com/office/2007/relationships/hdphoto" Target="../media/hdphoto4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hyperlink" Target="#HOME_FINANCAS!A1"/><Relationship Id="rId28" Type="http://schemas.microsoft.com/office/2007/relationships/hdphoto" Target="../media/hdphoto8.wdp"/><Relationship Id="rId36" Type="http://schemas.openxmlformats.org/officeDocument/2006/relationships/image" Target="../media/image8.png"/><Relationship Id="rId10" Type="http://schemas.openxmlformats.org/officeDocument/2006/relationships/image" Target="../media/image27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5.png"/><Relationship Id="rId9" Type="http://schemas.microsoft.com/office/2007/relationships/hdphoto" Target="../media/hdphoto1.wdp"/><Relationship Id="rId14" Type="http://schemas.openxmlformats.org/officeDocument/2006/relationships/hyperlink" Target="#PROD_HOME!A1"/><Relationship Id="rId22" Type="http://schemas.microsoft.com/office/2007/relationships/hdphoto" Target="../media/hdphoto6.wdp"/><Relationship Id="rId27" Type="http://schemas.openxmlformats.org/officeDocument/2006/relationships/image" Target="../media/image12.png"/><Relationship Id="rId30" Type="http://schemas.openxmlformats.org/officeDocument/2006/relationships/image" Target="../media/image13.png"/><Relationship Id="rId35" Type="http://schemas.openxmlformats.org/officeDocument/2006/relationships/hyperlink" Target="#HOME_LOGISTICA!A1"/><Relationship Id="rId8" Type="http://schemas.openxmlformats.org/officeDocument/2006/relationships/image" Target="../media/image3.png"/><Relationship Id="rId3" Type="http://schemas.microsoft.com/office/2007/relationships/hdphoto" Target="../media/hdphoto12.wdp"/></Relationships>
</file>

<file path=xl/drawings/_rels/drawing41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3" Type="http://schemas.microsoft.com/office/2007/relationships/hdphoto" Target="../media/hdphoto12.wdp"/><Relationship Id="rId21" Type="http://schemas.openxmlformats.org/officeDocument/2006/relationships/image" Target="../media/image11.png"/><Relationship Id="rId34" Type="http://schemas.microsoft.com/office/2007/relationships/hdphoto" Target="../media/hdphoto4.wdp"/><Relationship Id="rId7" Type="http://schemas.openxmlformats.org/officeDocument/2006/relationships/hyperlink" Target="#'B2'!A1"/><Relationship Id="rId12" Type="http://schemas.openxmlformats.org/officeDocument/2006/relationships/image" Target="../media/image7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image" Target="../media/image8.png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PROD_HOME!A1"/><Relationship Id="rId24" Type="http://schemas.openxmlformats.org/officeDocument/2006/relationships/image" Target="../media/image12.png"/><Relationship Id="rId32" Type="http://schemas.openxmlformats.org/officeDocument/2006/relationships/hyperlink" Target="#HOME_LOGISTICA!A1"/><Relationship Id="rId5" Type="http://schemas.openxmlformats.org/officeDocument/2006/relationships/hyperlink" Target="#'B1'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10" Type="http://schemas.microsoft.com/office/2007/relationships/hdphoto" Target="../media/hdphoto3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6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28.png"/><Relationship Id="rId8" Type="http://schemas.openxmlformats.org/officeDocument/2006/relationships/hyperlink" Target="#Home!A1"/></Relationships>
</file>

<file path=xl/drawings/_rels/drawing42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3" Type="http://schemas.microsoft.com/office/2007/relationships/hdphoto" Target="../media/hdphoto12.wdp"/><Relationship Id="rId21" Type="http://schemas.openxmlformats.org/officeDocument/2006/relationships/image" Target="../media/image11.png"/><Relationship Id="rId34" Type="http://schemas.microsoft.com/office/2007/relationships/hdphoto" Target="../media/hdphoto4.wdp"/><Relationship Id="rId7" Type="http://schemas.openxmlformats.org/officeDocument/2006/relationships/hyperlink" Target="#'B2'!A1"/><Relationship Id="rId12" Type="http://schemas.openxmlformats.org/officeDocument/2006/relationships/image" Target="../media/image7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image" Target="../media/image8.png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PROD_HOME!A1"/><Relationship Id="rId24" Type="http://schemas.openxmlformats.org/officeDocument/2006/relationships/image" Target="../media/image12.png"/><Relationship Id="rId32" Type="http://schemas.openxmlformats.org/officeDocument/2006/relationships/hyperlink" Target="#HOME_LOGISTICA!A1"/><Relationship Id="rId5" Type="http://schemas.openxmlformats.org/officeDocument/2006/relationships/hyperlink" Target="#'B1'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10" Type="http://schemas.microsoft.com/office/2007/relationships/hdphoto" Target="../media/hdphoto3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6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28.png"/><Relationship Id="rId8" Type="http://schemas.openxmlformats.org/officeDocument/2006/relationships/hyperlink" Target="#Home!A1"/></Relationships>
</file>

<file path=xl/drawings/_rels/drawing43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10.png"/><Relationship Id="rId26" Type="http://schemas.openxmlformats.org/officeDocument/2006/relationships/hyperlink" Target="#HOME_VENDAS!A1"/><Relationship Id="rId3" Type="http://schemas.microsoft.com/office/2007/relationships/hdphoto" Target="../media/hdphoto12.wdp"/><Relationship Id="rId21" Type="http://schemas.openxmlformats.org/officeDocument/2006/relationships/image" Target="../media/image11.png"/><Relationship Id="rId34" Type="http://schemas.microsoft.com/office/2007/relationships/hdphoto" Target="../media/hdphoto4.wdp"/><Relationship Id="rId7" Type="http://schemas.openxmlformats.org/officeDocument/2006/relationships/hyperlink" Target="#'B2'!A1"/><Relationship Id="rId12" Type="http://schemas.openxmlformats.org/officeDocument/2006/relationships/image" Target="../media/image7.png"/><Relationship Id="rId17" Type="http://schemas.openxmlformats.org/officeDocument/2006/relationships/hyperlink" Target="#HOME_RH!A1"/><Relationship Id="rId25" Type="http://schemas.microsoft.com/office/2007/relationships/hdphoto" Target="../media/hdphoto8.wdp"/><Relationship Id="rId33" Type="http://schemas.openxmlformats.org/officeDocument/2006/relationships/image" Target="../media/image8.png"/><Relationship Id="rId2" Type="http://schemas.openxmlformats.org/officeDocument/2006/relationships/image" Target="../media/image17.png"/><Relationship Id="rId16" Type="http://schemas.microsoft.com/office/2007/relationships/hdphoto" Target="../media/hdphoto5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PROD_HOME!A1"/><Relationship Id="rId24" Type="http://schemas.openxmlformats.org/officeDocument/2006/relationships/image" Target="../media/image12.png"/><Relationship Id="rId32" Type="http://schemas.openxmlformats.org/officeDocument/2006/relationships/hyperlink" Target="#HOME_LOGISTICA!A1"/><Relationship Id="rId5" Type="http://schemas.openxmlformats.org/officeDocument/2006/relationships/hyperlink" Target="#'B1'!A1"/><Relationship Id="rId15" Type="http://schemas.openxmlformats.org/officeDocument/2006/relationships/image" Target="../media/image9.png"/><Relationship Id="rId23" Type="http://schemas.openxmlformats.org/officeDocument/2006/relationships/hyperlink" Target="#HOME_COMPRAS!A1"/><Relationship Id="rId28" Type="http://schemas.microsoft.com/office/2007/relationships/hdphoto" Target="../media/hdphoto9.wdp"/><Relationship Id="rId10" Type="http://schemas.microsoft.com/office/2007/relationships/hdphoto" Target="../media/hdphoto3.wdp"/><Relationship Id="rId19" Type="http://schemas.microsoft.com/office/2007/relationships/hdphoto" Target="../media/hdphoto6.wdp"/><Relationship Id="rId31" Type="http://schemas.microsoft.com/office/2007/relationships/hdphoto" Target="../media/hdphoto10.wdp"/><Relationship Id="rId4" Type="http://schemas.openxmlformats.org/officeDocument/2006/relationships/image" Target="../media/image5.png"/><Relationship Id="rId9" Type="http://schemas.openxmlformats.org/officeDocument/2006/relationships/image" Target="../media/image6.png"/><Relationship Id="rId14" Type="http://schemas.openxmlformats.org/officeDocument/2006/relationships/hyperlink" Target="#HOME_ESTOQUE!A1"/><Relationship Id="rId22" Type="http://schemas.microsoft.com/office/2007/relationships/hdphoto" Target="../media/hdphoto7.wdp"/><Relationship Id="rId27" Type="http://schemas.openxmlformats.org/officeDocument/2006/relationships/image" Target="../media/image13.png"/><Relationship Id="rId30" Type="http://schemas.openxmlformats.org/officeDocument/2006/relationships/image" Target="../media/image28.png"/><Relationship Id="rId8" Type="http://schemas.openxmlformats.org/officeDocument/2006/relationships/hyperlink" Target="#Home!A1"/></Relationships>
</file>

<file path=xl/drawings/_rels/drawing44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9.png"/><Relationship Id="rId18" Type="http://schemas.openxmlformats.org/officeDocument/2006/relationships/hyperlink" Target="#HOME_FINANCAS!A1"/><Relationship Id="rId26" Type="http://schemas.microsoft.com/office/2007/relationships/hdphoto" Target="../media/hdphoto9.wdp"/><Relationship Id="rId3" Type="http://schemas.openxmlformats.org/officeDocument/2006/relationships/image" Target="../media/image5.png"/><Relationship Id="rId21" Type="http://schemas.openxmlformats.org/officeDocument/2006/relationships/hyperlink" Target="#HOME_COMPRAS!A1"/><Relationship Id="rId7" Type="http://schemas.openxmlformats.org/officeDocument/2006/relationships/image" Target="../media/image6.png"/><Relationship Id="rId12" Type="http://schemas.openxmlformats.org/officeDocument/2006/relationships/hyperlink" Target="#HOME_ESTOQUE!A1"/><Relationship Id="rId17" Type="http://schemas.microsoft.com/office/2007/relationships/hdphoto" Target="../media/hdphoto6.wdp"/><Relationship Id="rId25" Type="http://schemas.openxmlformats.org/officeDocument/2006/relationships/image" Target="../media/image13.png"/><Relationship Id="rId2" Type="http://schemas.microsoft.com/office/2007/relationships/hdphoto" Target="../media/hdphoto16.wdp"/><Relationship Id="rId16" Type="http://schemas.openxmlformats.org/officeDocument/2006/relationships/image" Target="../media/image10.png"/><Relationship Id="rId20" Type="http://schemas.microsoft.com/office/2007/relationships/hdphoto" Target="../media/hdphoto7.wdp"/><Relationship Id="rId29" Type="http://schemas.microsoft.com/office/2007/relationships/hdphoto" Target="../media/hdphoto10.wdp"/><Relationship Id="rId1" Type="http://schemas.openxmlformats.org/officeDocument/2006/relationships/image" Target="../media/image29.png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VENDAS!A1"/><Relationship Id="rId32" Type="http://schemas.microsoft.com/office/2007/relationships/hdphoto" Target="../media/hdphoto4.wdp"/><Relationship Id="rId5" Type="http://schemas.openxmlformats.org/officeDocument/2006/relationships/image" Target="../media/image31.png"/><Relationship Id="rId15" Type="http://schemas.openxmlformats.org/officeDocument/2006/relationships/hyperlink" Target="#HOME_RH!A1"/><Relationship Id="rId23" Type="http://schemas.microsoft.com/office/2007/relationships/hdphoto" Target="../media/hdphoto8.wdp"/><Relationship Id="rId28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image" Target="../media/image11.png"/><Relationship Id="rId31" Type="http://schemas.openxmlformats.org/officeDocument/2006/relationships/image" Target="../media/image8.png"/><Relationship Id="rId4" Type="http://schemas.openxmlformats.org/officeDocument/2006/relationships/image" Target="../media/image30.png"/><Relationship Id="rId9" Type="http://schemas.openxmlformats.org/officeDocument/2006/relationships/hyperlink" Target="#PROD_HOME!A1"/><Relationship Id="rId14" Type="http://schemas.microsoft.com/office/2007/relationships/hdphoto" Target="../media/hdphoto5.wdp"/><Relationship Id="rId22" Type="http://schemas.openxmlformats.org/officeDocument/2006/relationships/image" Target="../media/image12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34</xdr:col>
      <xdr:colOff>147638</xdr:colOff>
      <xdr:row>0</xdr:row>
      <xdr:rowOff>133350</xdr:rowOff>
    </xdr:from>
    <xdr:to>
      <xdr:col>38</xdr:col>
      <xdr:colOff>285750</xdr:colOff>
      <xdr:row>1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21197888" y="133350"/>
          <a:ext cx="2614612" cy="652463"/>
        </a:xfrm>
        <a:prstGeom prst="rect">
          <a:avLst/>
        </a:prstGeom>
      </xdr:spPr>
    </xdr:pic>
    <xdr:clientData/>
  </xdr:twoCellAnchor>
  <xdr:twoCellAnchor editAs="absolute">
    <xdr:from>
      <xdr:col>21</xdr:col>
      <xdr:colOff>234260</xdr:colOff>
      <xdr:row>3</xdr:row>
      <xdr:rowOff>1282</xdr:rowOff>
    </xdr:from>
    <xdr:to>
      <xdr:col>51</xdr:col>
      <xdr:colOff>199128</xdr:colOff>
      <xdr:row>81</xdr:row>
      <xdr:rowOff>95251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13235885" y="1549095"/>
          <a:ext cx="18538618" cy="14952969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 editAs="absolute">
    <xdr:from>
      <xdr:col>1</xdr:col>
      <xdr:colOff>322125</xdr:colOff>
      <xdr:row>5</xdr:row>
      <xdr:rowOff>84000</xdr:rowOff>
    </xdr:from>
    <xdr:to>
      <xdr:col>3</xdr:col>
      <xdr:colOff>523875</xdr:colOff>
      <xdr:row>13</xdr:row>
      <xdr:rowOff>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941250" y="2012813"/>
          <a:ext cx="1440000" cy="1440000"/>
        </a:xfrm>
        <a:prstGeom prst="donu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190500</xdr:colOff>
      <xdr:row>14</xdr:row>
      <xdr:rowOff>342900</xdr:rowOff>
    </xdr:from>
    <xdr:to>
      <xdr:col>40</xdr:col>
      <xdr:colOff>350625</xdr:colOff>
      <xdr:row>50</xdr:row>
      <xdr:rowOff>84150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9DAAC046-4365-4D70-9D22-ACBD393646C5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23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15625" y="5224463"/>
          <a:ext cx="14400000" cy="12600000"/>
        </a:xfrm>
        <a:prstGeom prst="rect">
          <a:avLst/>
        </a:prstGeom>
      </xdr:spPr>
    </xdr:pic>
    <xdr:clientData/>
  </xdr:twoCellAnchor>
  <xdr:twoCellAnchor editAs="absolute">
    <xdr:from>
      <xdr:col>19</xdr:col>
      <xdr:colOff>572982</xdr:colOff>
      <xdr:row>7</xdr:row>
      <xdr:rowOff>171450</xdr:rowOff>
    </xdr:from>
    <xdr:to>
      <xdr:col>37</xdr:col>
      <xdr:colOff>587269</xdr:colOff>
      <xdr:row>14</xdr:row>
      <xdr:rowOff>252412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2428CDD7-0245-434D-9755-ED4B5931DC62}"/>
            </a:ext>
          </a:extLst>
        </xdr:cNvPr>
        <xdr:cNvSpPr txBox="1"/>
      </xdr:nvSpPr>
      <xdr:spPr>
        <a:xfrm>
          <a:off x="12336357" y="2552700"/>
          <a:ext cx="11158537" cy="2581275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 editAs="absolute">
    <xdr:from>
      <xdr:col>6</xdr:col>
      <xdr:colOff>381000</xdr:colOff>
      <xdr:row>27</xdr:row>
      <xdr:rowOff>112107</xdr:rowOff>
    </xdr:from>
    <xdr:to>
      <xdr:col>12</xdr:col>
      <xdr:colOff>161925</xdr:colOff>
      <xdr:row>37</xdr:row>
      <xdr:rowOff>314944</xdr:rowOff>
    </xdr:to>
    <xdr:pic>
      <xdr:nvPicPr>
        <xdr:cNvPr id="56" name="Imagem 17">
          <a:extLst>
            <a:ext uri="{FF2B5EF4-FFF2-40B4-BE49-F238E27FC236}">
              <a16:creationId xmlns:a16="http://schemas.microsoft.com/office/drawing/2014/main" id="{63042CF2-EEB7-45F5-A9DA-4690F2AD6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-1000"/>
                  </a14:imgEffect>
                  <a14:imgEffect>
                    <a14:brightnessContrast bright="-100000" contrast="-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9637107"/>
          <a:ext cx="3495675" cy="3774712"/>
        </a:xfrm>
        <a:prstGeom prst="rect">
          <a:avLst/>
        </a:prstGeom>
        <a:noFill/>
      </xdr:spPr>
    </xdr:pic>
    <xdr:clientData/>
  </xdr:twoCellAnchor>
  <xdr:twoCellAnchor editAs="absolute">
    <xdr:from>
      <xdr:col>46</xdr:col>
      <xdr:colOff>171450</xdr:colOff>
      <xdr:row>27</xdr:row>
      <xdr:rowOff>112107</xdr:rowOff>
    </xdr:from>
    <xdr:to>
      <xdr:col>51</xdr:col>
      <xdr:colOff>609600</xdr:colOff>
      <xdr:row>37</xdr:row>
      <xdr:rowOff>314944</xdr:rowOff>
    </xdr:to>
    <xdr:pic>
      <xdr:nvPicPr>
        <xdr:cNvPr id="57" name="Imagem 17">
          <a:extLst>
            <a:ext uri="{FF2B5EF4-FFF2-40B4-BE49-F238E27FC236}">
              <a16:creationId xmlns:a16="http://schemas.microsoft.com/office/drawing/2014/main" id="{BA4BDC84-D8A4-4496-86B3-873CB7121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51200" y="9637107"/>
          <a:ext cx="3533775" cy="3774712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348627</xdr:colOff>
      <xdr:row>3</xdr:row>
      <xdr:rowOff>243741</xdr:rowOff>
    </xdr:from>
    <xdr:to>
      <xdr:col>11</xdr:col>
      <xdr:colOff>43467</xdr:colOff>
      <xdr:row>6</xdr:row>
      <xdr:rowOff>69222</xdr:rowOff>
    </xdr:to>
    <xdr:sp macro="" textlink="">
      <xdr:nvSpPr>
        <xdr:cNvPr id="98" name="Retângulo 9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DA40028-3E2C-414C-A500-7165CE33B235}"/>
            </a:ext>
          </a:extLst>
        </xdr:cNvPr>
        <xdr:cNvSpPr/>
      </xdr:nvSpPr>
      <xdr:spPr>
        <a:xfrm>
          <a:off x="3444252" y="1386741"/>
          <a:ext cx="3409590" cy="754169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23</xdr:col>
      <xdr:colOff>404168</xdr:colOff>
      <xdr:row>3</xdr:row>
      <xdr:rowOff>243449</xdr:rowOff>
    </xdr:from>
    <xdr:to>
      <xdr:col>29</xdr:col>
      <xdr:colOff>53003</xdr:colOff>
      <xdr:row>6</xdr:row>
      <xdr:rowOff>69513</xdr:rowOff>
    </xdr:to>
    <xdr:sp macro="" textlink="">
      <xdr:nvSpPr>
        <xdr:cNvPr id="99" name="Retângulo 9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A89E49-EDB1-4A8E-8C2B-BA459010495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4644043" y="1386449"/>
          <a:ext cx="3363585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14</xdr:col>
      <xdr:colOff>446212</xdr:colOff>
      <xdr:row>3</xdr:row>
      <xdr:rowOff>243449</xdr:rowOff>
    </xdr:from>
    <xdr:to>
      <xdr:col>20</xdr:col>
      <xdr:colOff>53377</xdr:colOff>
      <xdr:row>6</xdr:row>
      <xdr:rowOff>69513</xdr:rowOff>
    </xdr:to>
    <xdr:sp macro="" textlink="">
      <xdr:nvSpPr>
        <xdr:cNvPr id="100" name="Retângulo 9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89D2E33-294A-4E10-81FB-FED1907E275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9113962" y="1386449"/>
          <a:ext cx="3321915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32</xdr:col>
      <xdr:colOff>416783</xdr:colOff>
      <xdr:row>3</xdr:row>
      <xdr:rowOff>243449</xdr:rowOff>
    </xdr:from>
    <xdr:to>
      <xdr:col>37</xdr:col>
      <xdr:colOff>595241</xdr:colOff>
      <xdr:row>6</xdr:row>
      <xdr:rowOff>69513</xdr:rowOff>
    </xdr:to>
    <xdr:sp macro="" textlink="">
      <xdr:nvSpPr>
        <xdr:cNvPr id="102" name="Retângulo 10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9CA087-13C6-484A-BF23-A2DE527724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20228783" y="1386449"/>
          <a:ext cx="3274083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0</xdr:colOff>
      <xdr:row>3</xdr:row>
      <xdr:rowOff>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id="{FCA9B635-6461-42C1-8475-5C89C5EE409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9252" t="39637" r="14079" b="25703"/>
        <a:stretch/>
      </xdr:blipFill>
      <xdr:spPr>
        <a:xfrm>
          <a:off x="0" y="0"/>
          <a:ext cx="2476500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533613</xdr:colOff>
      <xdr:row>0</xdr:row>
      <xdr:rowOff>0</xdr:rowOff>
    </xdr:from>
    <xdr:to>
      <xdr:col>9</xdr:col>
      <xdr:colOff>114952</xdr:colOff>
      <xdr:row>3</xdr:row>
      <xdr:rowOff>0</xdr:rowOff>
    </xdr:to>
    <xdr:grpSp>
      <xdr:nvGrpSpPr>
        <xdr:cNvPr id="141" name="Agrupar 1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7717BDD-B7E4-479D-A55D-673FEECAF69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248363" y="0"/>
          <a:ext cx="1438714" cy="1143000"/>
          <a:chOff x="1993654" y="0"/>
          <a:chExt cx="1022595" cy="781538"/>
        </a:xfrm>
      </xdr:grpSpPr>
      <xdr:sp macro="" textlink="">
        <xdr:nvSpPr>
          <xdr:cNvPr id="142" name="Retângulo 141">
            <a:extLst>
              <a:ext uri="{FF2B5EF4-FFF2-40B4-BE49-F238E27FC236}">
                <a16:creationId xmlns:a16="http://schemas.microsoft.com/office/drawing/2014/main" id="{3C40BB17-BB4A-4025-9AA6-F0E9C709096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3" name="Imagem 9">
            <a:extLst>
              <a:ext uri="{FF2B5EF4-FFF2-40B4-BE49-F238E27FC236}">
                <a16:creationId xmlns:a16="http://schemas.microsoft.com/office/drawing/2014/main" id="{67DCC75C-65CA-4FA4-B5AD-DB752A0F95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144" name="CaixaDeTexto 143">
            <a:extLst>
              <a:ext uri="{FF2B5EF4-FFF2-40B4-BE49-F238E27FC236}">
                <a16:creationId xmlns:a16="http://schemas.microsoft.com/office/drawing/2014/main" id="{1870F91E-97AE-476C-9391-6A326C42DA7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124690</xdr:colOff>
      <xdr:row>0</xdr:row>
      <xdr:rowOff>0</xdr:rowOff>
    </xdr:from>
    <xdr:to>
      <xdr:col>14</xdr:col>
      <xdr:colOff>454342</xdr:colOff>
      <xdr:row>3</xdr:row>
      <xdr:rowOff>0</xdr:rowOff>
    </xdr:to>
    <xdr:grpSp>
      <xdr:nvGrpSpPr>
        <xdr:cNvPr id="145" name="Agrupar 144">
          <a:extLst>
            <a:ext uri="{FF2B5EF4-FFF2-40B4-BE49-F238E27FC236}">
              <a16:creationId xmlns:a16="http://schemas.microsoft.com/office/drawing/2014/main" id="{4DBFA5DD-E143-43B2-940A-EFB5DCCE4349}"/>
            </a:ext>
          </a:extLst>
        </xdr:cNvPr>
        <xdr:cNvGrpSpPr/>
      </xdr:nvGrpSpPr>
      <xdr:grpSpPr>
        <a:xfrm>
          <a:off x="7554190" y="0"/>
          <a:ext cx="1567902" cy="1143000"/>
          <a:chOff x="5966368" y="0"/>
          <a:chExt cx="1591474" cy="1162050"/>
        </a:xfrm>
      </xdr:grpSpPr>
      <xdr:sp macro="" textlink="">
        <xdr:nvSpPr>
          <xdr:cNvPr id="146" name="Retângulo 145">
            <a:extLst>
              <a:ext uri="{FF2B5EF4-FFF2-40B4-BE49-F238E27FC236}">
                <a16:creationId xmlns:a16="http://schemas.microsoft.com/office/drawing/2014/main" id="{E4AA249F-3656-4924-A110-1ED8C01FB9CA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147" name="CaixaDeTexto 146">
            <a:extLst>
              <a:ext uri="{FF2B5EF4-FFF2-40B4-BE49-F238E27FC236}">
                <a16:creationId xmlns:a16="http://schemas.microsoft.com/office/drawing/2014/main" id="{ABD8CD38-CC05-4AA3-AB5C-A87F0AF2DD72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48" name="Imagem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6AAA6A3E-58EA-429F-9B82-570C240D687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17</xdr:col>
      <xdr:colOff>464080</xdr:colOff>
      <xdr:row>0</xdr:row>
      <xdr:rowOff>0</xdr:rowOff>
    </xdr:from>
    <xdr:to>
      <xdr:col>20</xdr:col>
      <xdr:colOff>181594</xdr:colOff>
      <xdr:row>3</xdr:row>
      <xdr:rowOff>0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AE8CDC59-A577-4567-AAE3-DFB5B6BBCC09}"/>
            </a:ext>
          </a:extLst>
        </xdr:cNvPr>
        <xdr:cNvGrpSpPr/>
      </xdr:nvGrpSpPr>
      <xdr:grpSpPr>
        <a:xfrm>
          <a:off x="10989205" y="0"/>
          <a:ext cx="1574889" cy="1143000"/>
          <a:chOff x="9596894" y="0"/>
          <a:chExt cx="1598566" cy="1162050"/>
        </a:xfrm>
      </xdr:grpSpPr>
      <xdr:sp macro="" textlink="">
        <xdr:nvSpPr>
          <xdr:cNvPr id="150" name="Retângulo 149">
            <a:extLst>
              <a:ext uri="{FF2B5EF4-FFF2-40B4-BE49-F238E27FC236}">
                <a16:creationId xmlns:a16="http://schemas.microsoft.com/office/drawing/2014/main" id="{395F7AA9-173C-4612-ACE9-78A285E76875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1" name="CaixaDeTexto 150">
            <a:extLst>
              <a:ext uri="{FF2B5EF4-FFF2-40B4-BE49-F238E27FC236}">
                <a16:creationId xmlns:a16="http://schemas.microsoft.com/office/drawing/2014/main" id="{E0FA4377-FCEB-4F49-ACF5-568FACAF0029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52" name="Imagem 151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237EFA4-82FE-4EB4-A141-67FA2F4F612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191332</xdr:colOff>
      <xdr:row>0</xdr:row>
      <xdr:rowOff>0</xdr:rowOff>
    </xdr:from>
    <xdr:to>
      <xdr:col>25</xdr:col>
      <xdr:colOff>521001</xdr:colOff>
      <xdr:row>3</xdr:row>
      <xdr:rowOff>0</xdr:rowOff>
    </xdr:to>
    <xdr:grpSp>
      <xdr:nvGrpSpPr>
        <xdr:cNvPr id="153" name="Agrupar 152">
          <a:extLst>
            <a:ext uri="{FF2B5EF4-FFF2-40B4-BE49-F238E27FC236}">
              <a16:creationId xmlns:a16="http://schemas.microsoft.com/office/drawing/2014/main" id="{E876D5CB-2F8F-4A20-BAC5-C10E69960267}"/>
            </a:ext>
          </a:extLst>
        </xdr:cNvPr>
        <xdr:cNvGrpSpPr/>
      </xdr:nvGrpSpPr>
      <xdr:grpSpPr>
        <a:xfrm>
          <a:off x="14431207" y="0"/>
          <a:ext cx="1567919" cy="1143000"/>
          <a:chOff x="13234512" y="0"/>
          <a:chExt cx="1591491" cy="1162050"/>
        </a:xfrm>
      </xdr:grpSpPr>
      <xdr:sp macro="" textlink="">
        <xdr:nvSpPr>
          <xdr:cNvPr id="154" name="Retângulo 153">
            <a:extLst>
              <a:ext uri="{FF2B5EF4-FFF2-40B4-BE49-F238E27FC236}">
                <a16:creationId xmlns:a16="http://schemas.microsoft.com/office/drawing/2014/main" id="{7D65A127-2341-4C8D-867B-63D5CEAB2E10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5" name="CaixaDeTexto 154">
            <a:extLst>
              <a:ext uri="{FF2B5EF4-FFF2-40B4-BE49-F238E27FC236}">
                <a16:creationId xmlns:a16="http://schemas.microsoft.com/office/drawing/2014/main" id="{5723B87C-E35E-473A-9D2F-6D44FDA0F13E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6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80EF3D68-6761-4955-AB7B-F39218DA932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530739</xdr:colOff>
      <xdr:row>0</xdr:row>
      <xdr:rowOff>0</xdr:rowOff>
    </xdr:from>
    <xdr:to>
      <xdr:col>31</xdr:col>
      <xdr:colOff>261772</xdr:colOff>
      <xdr:row>3</xdr:row>
      <xdr:rowOff>0</xdr:rowOff>
    </xdr:to>
    <xdr:grpSp>
      <xdr:nvGrpSpPr>
        <xdr:cNvPr id="157" name="Agrupar 156">
          <a:extLst>
            <a:ext uri="{FF2B5EF4-FFF2-40B4-BE49-F238E27FC236}">
              <a16:creationId xmlns:a16="http://schemas.microsoft.com/office/drawing/2014/main" id="{772B64E1-6497-4AE7-BFA4-B1623FBEEEA8}"/>
            </a:ext>
          </a:extLst>
        </xdr:cNvPr>
        <xdr:cNvGrpSpPr/>
      </xdr:nvGrpSpPr>
      <xdr:grpSpPr>
        <a:xfrm>
          <a:off x="17866239" y="0"/>
          <a:ext cx="1588408" cy="1143000"/>
          <a:chOff x="16865055" y="0"/>
          <a:chExt cx="1612288" cy="1162050"/>
        </a:xfrm>
      </xdr:grpSpPr>
      <xdr:sp macro="" textlink="">
        <xdr:nvSpPr>
          <xdr:cNvPr id="158" name="Retângulo 157">
            <a:extLst>
              <a:ext uri="{FF2B5EF4-FFF2-40B4-BE49-F238E27FC236}">
                <a16:creationId xmlns:a16="http://schemas.microsoft.com/office/drawing/2014/main" id="{74896CCF-90EE-4AB6-AB9B-D89D2CA43B49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9" name="CaixaDeTexto 158">
            <a:extLst>
              <a:ext uri="{FF2B5EF4-FFF2-40B4-BE49-F238E27FC236}">
                <a16:creationId xmlns:a16="http://schemas.microsoft.com/office/drawing/2014/main" id="{D51E07CF-C327-4F10-AE04-D50583795652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60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8FBC3690-8B9B-4A40-AC9A-4A1E30BD0F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271510</xdr:colOff>
      <xdr:row>0</xdr:row>
      <xdr:rowOff>0</xdr:rowOff>
    </xdr:from>
    <xdr:to>
      <xdr:col>36</xdr:col>
      <xdr:colOff>602574</xdr:colOff>
      <xdr:row>3</xdr:row>
      <xdr:rowOff>0</xdr:rowOff>
    </xdr:to>
    <xdr:grpSp>
      <xdr:nvGrpSpPr>
        <xdr:cNvPr id="161" name="Agrupar 160">
          <a:extLst>
            <a:ext uri="{FF2B5EF4-FFF2-40B4-BE49-F238E27FC236}">
              <a16:creationId xmlns:a16="http://schemas.microsoft.com/office/drawing/2014/main" id="{251411CD-1704-47D3-99F5-EFD91177371C}"/>
            </a:ext>
          </a:extLst>
        </xdr:cNvPr>
        <xdr:cNvGrpSpPr/>
      </xdr:nvGrpSpPr>
      <xdr:grpSpPr>
        <a:xfrm>
          <a:off x="21321760" y="0"/>
          <a:ext cx="1569314" cy="1143000"/>
          <a:chOff x="20516395" y="0"/>
          <a:chExt cx="1592907" cy="1162050"/>
        </a:xfrm>
      </xdr:grpSpPr>
      <xdr:sp macro="" textlink="">
        <xdr:nvSpPr>
          <xdr:cNvPr id="162" name="Retângulo 161">
            <a:extLst>
              <a:ext uri="{FF2B5EF4-FFF2-40B4-BE49-F238E27FC236}">
                <a16:creationId xmlns:a16="http://schemas.microsoft.com/office/drawing/2014/main" id="{A6EB3286-5D99-4B2A-A792-BACA8573CC8A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" name="CaixaDeTexto 162">
            <a:extLst>
              <a:ext uri="{FF2B5EF4-FFF2-40B4-BE49-F238E27FC236}">
                <a16:creationId xmlns:a16="http://schemas.microsoft.com/office/drawing/2014/main" id="{46906E84-2796-4866-8CDB-7C5B791918E0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64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979CD0CB-2400-4601-B06A-4D33FED7866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39</xdr:col>
      <xdr:colOff>612312</xdr:colOff>
      <xdr:row>0</xdr:row>
      <xdr:rowOff>0</xdr:rowOff>
    </xdr:from>
    <xdr:to>
      <xdr:col>42</xdr:col>
      <xdr:colOff>321444</xdr:colOff>
      <xdr:row>3</xdr:row>
      <xdr:rowOff>0</xdr:rowOff>
    </xdr:to>
    <xdr:grpSp>
      <xdr:nvGrpSpPr>
        <xdr:cNvPr id="165" name="Agrupar 164">
          <a:extLst>
            <a:ext uri="{FF2B5EF4-FFF2-40B4-BE49-F238E27FC236}">
              <a16:creationId xmlns:a16="http://schemas.microsoft.com/office/drawing/2014/main" id="{05C263CA-5B1D-41A1-820D-BA3692BE2485}"/>
            </a:ext>
          </a:extLst>
        </xdr:cNvPr>
        <xdr:cNvGrpSpPr/>
      </xdr:nvGrpSpPr>
      <xdr:grpSpPr>
        <a:xfrm>
          <a:off x="24758187" y="0"/>
          <a:ext cx="1566507" cy="1143000"/>
          <a:chOff x="24148354" y="0"/>
          <a:chExt cx="1590058" cy="1162050"/>
        </a:xfrm>
      </xdr:grpSpPr>
      <xdr:sp macro="" textlink="">
        <xdr:nvSpPr>
          <xdr:cNvPr id="166" name="Retângulo 165">
            <a:extLst>
              <a:ext uri="{FF2B5EF4-FFF2-40B4-BE49-F238E27FC236}">
                <a16:creationId xmlns:a16="http://schemas.microsoft.com/office/drawing/2014/main" id="{988B176C-9A99-478D-A953-46EE69F8F307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" name="CaixaDeTexto 166">
            <a:extLst>
              <a:ext uri="{FF2B5EF4-FFF2-40B4-BE49-F238E27FC236}">
                <a16:creationId xmlns:a16="http://schemas.microsoft.com/office/drawing/2014/main" id="{88379F46-B403-455A-9EFC-3E7DD3258B86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68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49FF702D-9CCF-4E03-BEE3-BB411800A3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331182</xdr:colOff>
      <xdr:row>0</xdr:row>
      <xdr:rowOff>0</xdr:rowOff>
    </xdr:from>
    <xdr:to>
      <xdr:col>48</xdr:col>
      <xdr:colOff>48698</xdr:colOff>
      <xdr:row>3</xdr:row>
      <xdr:rowOff>0</xdr:rowOff>
    </xdr:to>
    <xdr:grpSp>
      <xdr:nvGrpSpPr>
        <xdr:cNvPr id="169" name="Agrupar 168">
          <a:extLst>
            <a:ext uri="{FF2B5EF4-FFF2-40B4-BE49-F238E27FC236}">
              <a16:creationId xmlns:a16="http://schemas.microsoft.com/office/drawing/2014/main" id="{F7A9E308-3537-4BCB-A8AD-26A95E1702FB}"/>
            </a:ext>
          </a:extLst>
        </xdr:cNvPr>
        <xdr:cNvGrpSpPr/>
      </xdr:nvGrpSpPr>
      <xdr:grpSpPr>
        <a:xfrm>
          <a:off x="28191807" y="0"/>
          <a:ext cx="1574891" cy="1143000"/>
          <a:chOff x="27777464" y="0"/>
          <a:chExt cx="1598568" cy="1162050"/>
        </a:xfrm>
      </xdr:grpSpPr>
      <xdr:sp macro="" textlink="">
        <xdr:nvSpPr>
          <xdr:cNvPr id="170" name="Retângulo 169">
            <a:extLst>
              <a:ext uri="{FF2B5EF4-FFF2-40B4-BE49-F238E27FC236}">
                <a16:creationId xmlns:a16="http://schemas.microsoft.com/office/drawing/2014/main" id="{F5281269-177B-41E3-B039-5C6FFC36DCF0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1" name="CaixaDeTexto 170">
            <a:extLst>
              <a:ext uri="{FF2B5EF4-FFF2-40B4-BE49-F238E27FC236}">
                <a16:creationId xmlns:a16="http://schemas.microsoft.com/office/drawing/2014/main" id="{DD70B1C3-6168-4EC4-B60C-1293F553B1A6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72" name="Imagem 1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37B9B5E1-74A4-4875-A423-B3309658E9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51</xdr:col>
      <xdr:colOff>58436</xdr:colOff>
      <xdr:row>0</xdr:row>
      <xdr:rowOff>1</xdr:rowOff>
    </xdr:from>
    <xdr:to>
      <xdr:col>53</xdr:col>
      <xdr:colOff>395077</xdr:colOff>
      <xdr:row>3</xdr:row>
      <xdr:rowOff>0</xdr:rowOff>
    </xdr:to>
    <xdr:grpSp>
      <xdr:nvGrpSpPr>
        <xdr:cNvPr id="173" name="Agrupar 172">
          <a:extLst>
            <a:ext uri="{FF2B5EF4-FFF2-40B4-BE49-F238E27FC236}">
              <a16:creationId xmlns:a16="http://schemas.microsoft.com/office/drawing/2014/main" id="{7F157E94-F0AA-418C-A3C5-7B9A35CB2C13}"/>
            </a:ext>
          </a:extLst>
        </xdr:cNvPr>
        <xdr:cNvGrpSpPr/>
      </xdr:nvGrpSpPr>
      <xdr:grpSpPr>
        <a:xfrm>
          <a:off x="31633811" y="1"/>
          <a:ext cx="1574891" cy="1142999"/>
          <a:chOff x="31415083" y="0"/>
          <a:chExt cx="1598568" cy="1162049"/>
        </a:xfrm>
      </xdr:grpSpPr>
      <xdr:sp macro="" textlink="">
        <xdr:nvSpPr>
          <xdr:cNvPr id="174" name="Retângulo 173">
            <a:extLst>
              <a:ext uri="{FF2B5EF4-FFF2-40B4-BE49-F238E27FC236}">
                <a16:creationId xmlns:a16="http://schemas.microsoft.com/office/drawing/2014/main" id="{E59ADE3F-E9F4-4D46-BA33-75CAB984E617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" name="CaixaDeTexto 174">
            <a:extLst>
              <a:ext uri="{FF2B5EF4-FFF2-40B4-BE49-F238E27FC236}">
                <a16:creationId xmlns:a16="http://schemas.microsoft.com/office/drawing/2014/main" id="{2E9F454B-7F88-4B57-A594-55A3E94140EF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76" name="Imagem 175" descr="Ícone do banco de dados (símbolo png) preto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7B83B143-D074-436C-BF60-E225FAC725D8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56</xdr:col>
      <xdr:colOff>404812</xdr:colOff>
      <xdr:row>0</xdr:row>
      <xdr:rowOff>211500</xdr:rowOff>
    </xdr:from>
    <xdr:to>
      <xdr:col>57</xdr:col>
      <xdr:colOff>520395</xdr:colOff>
      <xdr:row>2</xdr:row>
      <xdr:rowOff>169500</xdr:rowOff>
    </xdr:to>
    <xdr:sp macro="[0]!BotaoComLogin" textlink="">
      <xdr:nvSpPr>
        <xdr:cNvPr id="177" name="Círculo: Vazio 176">
          <a:extLst>
            <a:ext uri="{FF2B5EF4-FFF2-40B4-BE49-F238E27FC236}">
              <a16:creationId xmlns:a16="http://schemas.microsoft.com/office/drawing/2014/main" id="{F195B534-A10A-4F18-9D10-3F7B6B6ABE28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348627</xdr:colOff>
      <xdr:row>3</xdr:row>
      <xdr:rowOff>243741</xdr:rowOff>
    </xdr:from>
    <xdr:to>
      <xdr:col>11</xdr:col>
      <xdr:colOff>43467</xdr:colOff>
      <xdr:row>6</xdr:row>
      <xdr:rowOff>69222</xdr:rowOff>
    </xdr:to>
    <xdr:sp macro="" textlink="">
      <xdr:nvSpPr>
        <xdr:cNvPr id="42" name="Retângulo 4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3411780" y="1386741"/>
          <a:ext cx="3370624" cy="76066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1213793</xdr:colOff>
      <xdr:row>3</xdr:row>
      <xdr:rowOff>243449</xdr:rowOff>
    </xdr:from>
    <xdr:to>
      <xdr:col>19</xdr:col>
      <xdr:colOff>957878</xdr:colOff>
      <xdr:row>6</xdr:row>
      <xdr:rowOff>69513</xdr:rowOff>
    </xdr:to>
    <xdr:sp macro="" textlink="">
      <xdr:nvSpPr>
        <xdr:cNvPr id="43" name="Retângulo 4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4566111" y="1386449"/>
          <a:ext cx="3380903" cy="7612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14</xdr:col>
      <xdr:colOff>446212</xdr:colOff>
      <xdr:row>3</xdr:row>
      <xdr:rowOff>243449</xdr:rowOff>
    </xdr:from>
    <xdr:to>
      <xdr:col>16</xdr:col>
      <xdr:colOff>2529877</xdr:colOff>
      <xdr:row>6</xdr:row>
      <xdr:rowOff>69513</xdr:rowOff>
    </xdr:to>
    <xdr:sp macro="" textlink="">
      <xdr:nvSpPr>
        <xdr:cNvPr id="44" name="Retângulo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9016547" y="1386449"/>
          <a:ext cx="3315421" cy="7612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629384</xdr:colOff>
      <xdr:row>36</xdr:row>
      <xdr:rowOff>260330</xdr:rowOff>
    </xdr:from>
    <xdr:to>
      <xdr:col>20</xdr:col>
      <xdr:colOff>690563</xdr:colOff>
      <xdr:row>40</xdr:row>
      <xdr:rowOff>23812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7679134" y="15976580"/>
          <a:ext cx="1966179" cy="11922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0"/>
          <a:ext cx="2476500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20</xdr:col>
      <xdr:colOff>1274033</xdr:colOff>
      <xdr:row>3</xdr:row>
      <xdr:rowOff>243449</xdr:rowOff>
    </xdr:from>
    <xdr:to>
      <xdr:col>22</xdr:col>
      <xdr:colOff>452366</xdr:colOff>
      <xdr:row>6</xdr:row>
      <xdr:rowOff>69513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20181158" y="1386449"/>
          <a:ext cx="3280577" cy="7612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6</xdr:col>
      <xdr:colOff>533613</xdr:colOff>
      <xdr:row>0</xdr:row>
      <xdr:rowOff>0</xdr:rowOff>
    </xdr:from>
    <xdr:to>
      <xdr:col>9</xdr:col>
      <xdr:colOff>114952</xdr:colOff>
      <xdr:row>3</xdr:row>
      <xdr:rowOff>0</xdr:rowOff>
    </xdr:to>
    <xdr:grpSp>
      <xdr:nvGrpSpPr>
        <xdr:cNvPr id="79" name="Agrupar 7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949DA68-9C3D-428F-BD5C-1AFDADB9BEB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248363" y="0"/>
          <a:ext cx="1438714" cy="1143000"/>
          <a:chOff x="1993654" y="0"/>
          <a:chExt cx="1022595" cy="781538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7D7C959A-463E-4921-99CA-A3B769D4176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3" name="Imagem 9">
            <a:extLst>
              <a:ext uri="{FF2B5EF4-FFF2-40B4-BE49-F238E27FC236}">
                <a16:creationId xmlns:a16="http://schemas.microsoft.com/office/drawing/2014/main" id="{9D3310A7-1671-429C-94FE-580929DA505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114" name="CaixaDeTexto 113">
            <a:extLst>
              <a:ext uri="{FF2B5EF4-FFF2-40B4-BE49-F238E27FC236}">
                <a16:creationId xmlns:a16="http://schemas.microsoft.com/office/drawing/2014/main" id="{D0BFDF53-39F1-4860-A8EC-3CFA5721BB8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124690</xdr:colOff>
      <xdr:row>0</xdr:row>
      <xdr:rowOff>0</xdr:rowOff>
    </xdr:from>
    <xdr:to>
      <xdr:col>14</xdr:col>
      <xdr:colOff>454342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1D195B3D-C7DA-458C-90A6-A4736215750A}"/>
            </a:ext>
          </a:extLst>
        </xdr:cNvPr>
        <xdr:cNvGrpSpPr/>
      </xdr:nvGrpSpPr>
      <xdr:grpSpPr>
        <a:xfrm>
          <a:off x="7554190" y="0"/>
          <a:ext cx="1567902" cy="1143000"/>
          <a:chOff x="5966368" y="0"/>
          <a:chExt cx="1591474" cy="1162050"/>
        </a:xfrm>
      </xdr:grpSpPr>
      <xdr:sp macro="" textlink="">
        <xdr:nvSpPr>
          <xdr:cNvPr id="109" name="Retângulo 108">
            <a:extLst>
              <a:ext uri="{FF2B5EF4-FFF2-40B4-BE49-F238E27FC236}">
                <a16:creationId xmlns:a16="http://schemas.microsoft.com/office/drawing/2014/main" id="{C7A24234-FAF6-42BD-B886-93C3FACCBA33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110" name="CaixaDeTexto 109">
            <a:extLst>
              <a:ext uri="{FF2B5EF4-FFF2-40B4-BE49-F238E27FC236}">
                <a16:creationId xmlns:a16="http://schemas.microsoft.com/office/drawing/2014/main" id="{ACB9DC01-4501-411C-9526-47FAF57FD492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11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1114F01-8E59-4D4A-8221-0F4A9A29CFC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16</xdr:col>
      <xdr:colOff>1083205</xdr:colOff>
      <xdr:row>0</xdr:row>
      <xdr:rowOff>0</xdr:rowOff>
    </xdr:from>
    <xdr:to>
      <xdr:col>16</xdr:col>
      <xdr:colOff>2658094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50B11AC7-5ED8-46F9-AC0B-7E8CA47A654E}"/>
            </a:ext>
          </a:extLst>
        </xdr:cNvPr>
        <xdr:cNvGrpSpPr/>
      </xdr:nvGrpSpPr>
      <xdr:grpSpPr>
        <a:xfrm>
          <a:off x="10989205" y="0"/>
          <a:ext cx="1574889" cy="1143000"/>
          <a:chOff x="9596894" y="0"/>
          <a:chExt cx="1598566" cy="1162050"/>
        </a:xfrm>
      </xdr:grpSpPr>
      <xdr:sp macro="" textlink="">
        <xdr:nvSpPr>
          <xdr:cNvPr id="106" name="Retângulo 105">
            <a:extLst>
              <a:ext uri="{FF2B5EF4-FFF2-40B4-BE49-F238E27FC236}">
                <a16:creationId xmlns:a16="http://schemas.microsoft.com/office/drawing/2014/main" id="{11E3E4F3-E09A-4FC7-975E-DC1626961732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0A876542-DC74-401B-9B18-DC9B9FAA8C4F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8" name="Imagem 10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1BCE424-8678-440F-9DE2-BD06461EBC4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1000957</xdr:colOff>
      <xdr:row>0</xdr:row>
      <xdr:rowOff>0</xdr:rowOff>
    </xdr:from>
    <xdr:to>
      <xdr:col>18</xdr:col>
      <xdr:colOff>1044876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929640AB-8AA1-473C-ACDA-2A4D636462E3}"/>
            </a:ext>
          </a:extLst>
        </xdr:cNvPr>
        <xdr:cNvGrpSpPr/>
      </xdr:nvGrpSpPr>
      <xdr:grpSpPr>
        <a:xfrm>
          <a:off x="14431207" y="0"/>
          <a:ext cx="1567919" cy="1143000"/>
          <a:chOff x="13234512" y="0"/>
          <a:chExt cx="1591491" cy="1162050"/>
        </a:xfrm>
      </xdr:grpSpPr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F883C91D-18A0-46ED-B500-EABEF0BA30D9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44F47F77-7CBF-4170-A66E-99B58B3232C2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5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EA92BBF-D689-4EA9-AE8B-B0258D693F6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816489</xdr:colOff>
      <xdr:row>0</xdr:row>
      <xdr:rowOff>0</xdr:rowOff>
    </xdr:from>
    <xdr:to>
      <xdr:col>20</xdr:col>
      <xdr:colOff>499897</xdr:colOff>
      <xdr:row>3</xdr:row>
      <xdr:rowOff>0</xdr:rowOff>
    </xdr:to>
    <xdr:grpSp>
      <xdr:nvGrpSpPr>
        <xdr:cNvPr id="83" name="Agrupar 82">
          <a:extLst>
            <a:ext uri="{FF2B5EF4-FFF2-40B4-BE49-F238E27FC236}">
              <a16:creationId xmlns:a16="http://schemas.microsoft.com/office/drawing/2014/main" id="{81D630AA-B065-4259-A412-C08B6BF5EE09}"/>
            </a:ext>
          </a:extLst>
        </xdr:cNvPr>
        <xdr:cNvGrpSpPr/>
      </xdr:nvGrpSpPr>
      <xdr:grpSpPr>
        <a:xfrm>
          <a:off x="17866239" y="0"/>
          <a:ext cx="1588408" cy="1143000"/>
          <a:chOff x="16865055" y="0"/>
          <a:chExt cx="1612288" cy="1162050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8EB67026-0E6D-49EC-A309-99953CCAD5CF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FCD59C17-EC2F-4D07-909E-1A35E0308AD4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2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5B5AE5B4-E050-4E42-AE9F-624CDAE8F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890635</xdr:colOff>
      <xdr:row>0</xdr:row>
      <xdr:rowOff>0</xdr:rowOff>
    </xdr:from>
    <xdr:to>
      <xdr:col>21</xdr:col>
      <xdr:colOff>2459949</xdr:colOff>
      <xdr:row>3</xdr:row>
      <xdr:rowOff>0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2D2840F1-5A0D-4BCD-BD1E-9C288A905B69}"/>
            </a:ext>
          </a:extLst>
        </xdr:cNvPr>
        <xdr:cNvGrpSpPr/>
      </xdr:nvGrpSpPr>
      <xdr:grpSpPr>
        <a:xfrm>
          <a:off x="21321760" y="0"/>
          <a:ext cx="1569314" cy="1143000"/>
          <a:chOff x="20516395" y="0"/>
          <a:chExt cx="1592907" cy="1162050"/>
        </a:xfrm>
      </xdr:grpSpPr>
      <xdr:sp macro="" textlink="">
        <xdr:nvSpPr>
          <xdr:cNvPr id="97" name="Retângulo 96">
            <a:extLst>
              <a:ext uri="{FF2B5EF4-FFF2-40B4-BE49-F238E27FC236}">
                <a16:creationId xmlns:a16="http://schemas.microsoft.com/office/drawing/2014/main" id="{36E62163-21DC-4337-96F0-29856FC83CF5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54208E3B-34D1-4D5E-8278-8FFA25FAC31A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99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28613B27-25B9-482B-9A5E-4677F57D4CE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469437</xdr:colOff>
      <xdr:row>0</xdr:row>
      <xdr:rowOff>0</xdr:rowOff>
    </xdr:from>
    <xdr:to>
      <xdr:col>27</xdr:col>
      <xdr:colOff>178569</xdr:colOff>
      <xdr:row>3</xdr:row>
      <xdr:rowOff>0</xdr:rowOff>
    </xdr:to>
    <xdr:grpSp>
      <xdr:nvGrpSpPr>
        <xdr:cNvPr id="85" name="Agrupar 84">
          <a:extLst>
            <a:ext uri="{FF2B5EF4-FFF2-40B4-BE49-F238E27FC236}">
              <a16:creationId xmlns:a16="http://schemas.microsoft.com/office/drawing/2014/main" id="{70120646-1865-4B38-A78A-113621047779}"/>
            </a:ext>
          </a:extLst>
        </xdr:cNvPr>
        <xdr:cNvGrpSpPr/>
      </xdr:nvGrpSpPr>
      <xdr:grpSpPr>
        <a:xfrm>
          <a:off x="24758187" y="0"/>
          <a:ext cx="1566507" cy="1143000"/>
          <a:chOff x="24148354" y="0"/>
          <a:chExt cx="1590058" cy="1162050"/>
        </a:xfrm>
      </xdr:grpSpPr>
      <xdr:sp macro="" textlink="">
        <xdr:nvSpPr>
          <xdr:cNvPr id="94" name="Retângulo 93">
            <a:extLst>
              <a:ext uri="{FF2B5EF4-FFF2-40B4-BE49-F238E27FC236}">
                <a16:creationId xmlns:a16="http://schemas.microsoft.com/office/drawing/2014/main" id="{B9A3BF0E-F807-4C9F-BCAD-D09F221B2865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059544F6-D653-489D-9D07-EC5FE355C5DE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96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20369CBF-E8F4-4F8A-9E44-180398E56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30</xdr:col>
      <xdr:colOff>188307</xdr:colOff>
      <xdr:row>0</xdr:row>
      <xdr:rowOff>0</xdr:rowOff>
    </xdr:from>
    <xdr:to>
      <xdr:col>32</xdr:col>
      <xdr:colOff>524948</xdr:colOff>
      <xdr:row>3</xdr:row>
      <xdr:rowOff>0</xdr:rowOff>
    </xdr:to>
    <xdr:grpSp>
      <xdr:nvGrpSpPr>
        <xdr:cNvPr id="86" name="Agrupar 85">
          <a:extLst>
            <a:ext uri="{FF2B5EF4-FFF2-40B4-BE49-F238E27FC236}">
              <a16:creationId xmlns:a16="http://schemas.microsoft.com/office/drawing/2014/main" id="{E618CD7E-AE3A-4552-8500-9BD357DEC4C9}"/>
            </a:ext>
          </a:extLst>
        </xdr:cNvPr>
        <xdr:cNvGrpSpPr/>
      </xdr:nvGrpSpPr>
      <xdr:grpSpPr>
        <a:xfrm>
          <a:off x="28191807" y="0"/>
          <a:ext cx="1574891" cy="1143000"/>
          <a:chOff x="27777464" y="0"/>
          <a:chExt cx="1598568" cy="1162050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A737769E-E6D0-4D5A-937F-D9ACA8ABC2CC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" name="CaixaDeTexto 91">
            <a:extLst>
              <a:ext uri="{FF2B5EF4-FFF2-40B4-BE49-F238E27FC236}">
                <a16:creationId xmlns:a16="http://schemas.microsoft.com/office/drawing/2014/main" id="{3E49F32B-CA86-430F-ADDB-9EF5D19981F0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93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17CF5B09-3C7F-4603-9CCC-F6F4CA7DA04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534686</xdr:colOff>
      <xdr:row>0</xdr:row>
      <xdr:rowOff>1</xdr:rowOff>
    </xdr:from>
    <xdr:to>
      <xdr:col>38</xdr:col>
      <xdr:colOff>252202</xdr:colOff>
      <xdr:row>3</xdr:row>
      <xdr:rowOff>0</xdr:rowOff>
    </xdr:to>
    <xdr:grpSp>
      <xdr:nvGrpSpPr>
        <xdr:cNvPr id="87" name="Agrupar 86">
          <a:extLst>
            <a:ext uri="{FF2B5EF4-FFF2-40B4-BE49-F238E27FC236}">
              <a16:creationId xmlns:a16="http://schemas.microsoft.com/office/drawing/2014/main" id="{0659C500-AD1A-443A-B00E-BCE1FF9FBB5A}"/>
            </a:ext>
          </a:extLst>
        </xdr:cNvPr>
        <xdr:cNvGrpSpPr/>
      </xdr:nvGrpSpPr>
      <xdr:grpSpPr>
        <a:xfrm>
          <a:off x="31633811" y="1"/>
          <a:ext cx="1574891" cy="1142999"/>
          <a:chOff x="31415083" y="0"/>
          <a:chExt cx="1598568" cy="1162049"/>
        </a:xfrm>
      </xdr:grpSpPr>
      <xdr:sp macro="" textlink="">
        <xdr:nvSpPr>
          <xdr:cNvPr id="88" name="Retângulo 87">
            <a:extLst>
              <a:ext uri="{FF2B5EF4-FFF2-40B4-BE49-F238E27FC236}">
                <a16:creationId xmlns:a16="http://schemas.microsoft.com/office/drawing/2014/main" id="{FB919FE8-AB95-4A05-B3E1-E0D28D1F4918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9A058E81-812F-4690-99CB-34B6F7B9AA5A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90" name="Imagem 89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D590DE44-C6BF-4F93-9E02-C4F51517E272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41</xdr:col>
      <xdr:colOff>261937</xdr:colOff>
      <xdr:row>0</xdr:row>
      <xdr:rowOff>211500</xdr:rowOff>
    </xdr:from>
    <xdr:to>
      <xdr:col>42</xdr:col>
      <xdr:colOff>377520</xdr:colOff>
      <xdr:row>2</xdr:row>
      <xdr:rowOff>169500</xdr:rowOff>
    </xdr:to>
    <xdr:sp macro="[0]!BotaoComLogin" textlink="">
      <xdr:nvSpPr>
        <xdr:cNvPr id="50" name="Círculo: Vazio 49">
          <a:extLst>
            <a:ext uri="{FF2B5EF4-FFF2-40B4-BE49-F238E27FC236}">
              <a16:creationId xmlns:a16="http://schemas.microsoft.com/office/drawing/2014/main" id="{0813646D-C82B-4AA2-8A21-1395E8577493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473830</xdr:colOff>
      <xdr:row>0</xdr:row>
      <xdr:rowOff>0</xdr:rowOff>
    </xdr:from>
    <xdr:to>
      <xdr:col>13</xdr:col>
      <xdr:colOff>1326004</xdr:colOff>
      <xdr:row>3</xdr:row>
      <xdr:rowOff>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CE7D064C-814D-41FC-8909-DDA2A3DC5C2A}"/>
            </a:ext>
          </a:extLst>
        </xdr:cNvPr>
        <xdr:cNvSpPr/>
      </xdr:nvSpPr>
      <xdr:spPr>
        <a:xfrm>
          <a:off x="9617830" y="0"/>
          <a:ext cx="1461774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424322</xdr:colOff>
      <xdr:row>2</xdr:row>
      <xdr:rowOff>384583</xdr:rowOff>
    </xdr:from>
    <xdr:to>
      <xdr:col>13</xdr:col>
      <xdr:colOff>1413288</xdr:colOff>
      <xdr:row>2</xdr:row>
      <xdr:rowOff>762890</xdr:rowOff>
    </xdr:to>
    <xdr:sp macro="" textlink="">
      <xdr:nvSpPr>
        <xdr:cNvPr id="118" name="CaixaDeTexto 117">
          <a:extLst>
            <a:ext uri="{FF2B5EF4-FFF2-40B4-BE49-F238E27FC236}">
              <a16:creationId xmlns:a16="http://schemas.microsoft.com/office/drawing/2014/main" id="{72238F4D-123B-4C2E-9250-E9D6345157B0}"/>
            </a:ext>
          </a:extLst>
        </xdr:cNvPr>
        <xdr:cNvSpPr txBox="1"/>
      </xdr:nvSpPr>
      <xdr:spPr>
        <a:xfrm rot="10800000" flipH="1" flipV="1">
          <a:off x="9568322" y="765583"/>
          <a:ext cx="15985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348627</xdr:colOff>
      <xdr:row>3</xdr:row>
      <xdr:rowOff>243741</xdr:rowOff>
    </xdr:from>
    <xdr:to>
      <xdr:col>11</xdr:col>
      <xdr:colOff>43467</xdr:colOff>
      <xdr:row>6</xdr:row>
      <xdr:rowOff>69222</xdr:rowOff>
    </xdr:to>
    <xdr:sp macro="" textlink="">
      <xdr:nvSpPr>
        <xdr:cNvPr id="49" name="Retângulo 4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FD1B6B-9437-4A11-B51B-6095E89FC4A4}"/>
            </a:ext>
          </a:extLst>
        </xdr:cNvPr>
        <xdr:cNvSpPr/>
      </xdr:nvSpPr>
      <xdr:spPr>
        <a:xfrm>
          <a:off x="3444252" y="1386741"/>
          <a:ext cx="3409590" cy="754169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20</xdr:col>
      <xdr:colOff>689918</xdr:colOff>
      <xdr:row>3</xdr:row>
      <xdr:rowOff>243449</xdr:rowOff>
    </xdr:from>
    <xdr:to>
      <xdr:col>23</xdr:col>
      <xdr:colOff>100628</xdr:colOff>
      <xdr:row>6</xdr:row>
      <xdr:rowOff>69513</xdr:rowOff>
    </xdr:to>
    <xdr:sp macro="" textlink="">
      <xdr:nvSpPr>
        <xdr:cNvPr id="52" name="Retângulo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093272-9FA6-4758-85C8-FB10D6DAE2D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4644043" y="1386449"/>
          <a:ext cx="3363585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13</xdr:col>
      <xdr:colOff>1446337</xdr:colOff>
      <xdr:row>3</xdr:row>
      <xdr:rowOff>243449</xdr:rowOff>
    </xdr:from>
    <xdr:to>
      <xdr:col>17</xdr:col>
      <xdr:colOff>2053627</xdr:colOff>
      <xdr:row>6</xdr:row>
      <xdr:rowOff>69513</xdr:rowOff>
    </xdr:to>
    <xdr:sp macro="" textlink="">
      <xdr:nvSpPr>
        <xdr:cNvPr id="83" name="Retângulo 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31169-74AD-4905-95CB-48803CDAAFF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9113962" y="1386449"/>
          <a:ext cx="3321915" cy="754752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25</xdr:col>
      <xdr:colOff>83408</xdr:colOff>
      <xdr:row>3</xdr:row>
      <xdr:rowOff>243449</xdr:rowOff>
    </xdr:from>
    <xdr:to>
      <xdr:col>28</xdr:col>
      <xdr:colOff>2633591</xdr:colOff>
      <xdr:row>6</xdr:row>
      <xdr:rowOff>69513</xdr:rowOff>
    </xdr:to>
    <xdr:sp macro="" textlink="">
      <xdr:nvSpPr>
        <xdr:cNvPr id="85" name="Retângulo 8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D9D824-55AE-4A68-9AE8-04970B2AD9D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20228783" y="1386449"/>
          <a:ext cx="3274083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0</xdr:colOff>
      <xdr:row>3</xdr:row>
      <xdr:rowOff>0</xdr:rowOff>
    </xdr:to>
    <xdr:pic>
      <xdr:nvPicPr>
        <xdr:cNvPr id="164" name="Imagem 163">
          <a:extLst>
            <a:ext uri="{FF2B5EF4-FFF2-40B4-BE49-F238E27FC236}">
              <a16:creationId xmlns:a16="http://schemas.microsoft.com/office/drawing/2014/main" id="{AD8D2AD0-795B-44EE-9E33-A81D1CB1009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9252" t="39637" r="14079" b="25703"/>
        <a:stretch/>
      </xdr:blipFill>
      <xdr:spPr>
        <a:xfrm>
          <a:off x="0" y="0"/>
          <a:ext cx="2476500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533613</xdr:colOff>
      <xdr:row>0</xdr:row>
      <xdr:rowOff>0</xdr:rowOff>
    </xdr:from>
    <xdr:to>
      <xdr:col>9</xdr:col>
      <xdr:colOff>114952</xdr:colOff>
      <xdr:row>3</xdr:row>
      <xdr:rowOff>0</xdr:rowOff>
    </xdr:to>
    <xdr:grpSp>
      <xdr:nvGrpSpPr>
        <xdr:cNvPr id="165" name="Agrupar 16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AC7A5F-D3AD-493B-82C7-B3089CA7505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248363" y="0"/>
          <a:ext cx="1438714" cy="1143000"/>
          <a:chOff x="1993654" y="0"/>
          <a:chExt cx="1022595" cy="781538"/>
        </a:xfrm>
      </xdr:grpSpPr>
      <xdr:sp macro="" textlink="">
        <xdr:nvSpPr>
          <xdr:cNvPr id="166" name="Retângulo 165">
            <a:extLst>
              <a:ext uri="{FF2B5EF4-FFF2-40B4-BE49-F238E27FC236}">
                <a16:creationId xmlns:a16="http://schemas.microsoft.com/office/drawing/2014/main" id="{4CEADD95-4ED8-449D-99EE-84B2FD162B4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7" name="Imagem 9">
            <a:extLst>
              <a:ext uri="{FF2B5EF4-FFF2-40B4-BE49-F238E27FC236}">
                <a16:creationId xmlns:a16="http://schemas.microsoft.com/office/drawing/2014/main" id="{78A558AE-719C-4917-AD35-F68A1F8682A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168" name="CaixaDeTexto 167">
            <a:extLst>
              <a:ext uri="{FF2B5EF4-FFF2-40B4-BE49-F238E27FC236}">
                <a16:creationId xmlns:a16="http://schemas.microsoft.com/office/drawing/2014/main" id="{7273E19E-DD95-45DE-BEFF-119F1676485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124690</xdr:colOff>
      <xdr:row>0</xdr:row>
      <xdr:rowOff>0</xdr:rowOff>
    </xdr:from>
    <xdr:to>
      <xdr:col>13</xdr:col>
      <xdr:colOff>1454467</xdr:colOff>
      <xdr:row>3</xdr:row>
      <xdr:rowOff>0</xdr:rowOff>
    </xdr:to>
    <xdr:grpSp>
      <xdr:nvGrpSpPr>
        <xdr:cNvPr id="169" name="Agrupar 168">
          <a:extLst>
            <a:ext uri="{FF2B5EF4-FFF2-40B4-BE49-F238E27FC236}">
              <a16:creationId xmlns:a16="http://schemas.microsoft.com/office/drawing/2014/main" id="{D4FD4419-C973-49E6-B7DB-C8846F60EDEF}"/>
            </a:ext>
          </a:extLst>
        </xdr:cNvPr>
        <xdr:cNvGrpSpPr/>
      </xdr:nvGrpSpPr>
      <xdr:grpSpPr>
        <a:xfrm>
          <a:off x="7554190" y="0"/>
          <a:ext cx="1567902" cy="1143000"/>
          <a:chOff x="5966368" y="0"/>
          <a:chExt cx="1591474" cy="1162050"/>
        </a:xfrm>
      </xdr:grpSpPr>
      <xdr:sp macro="" textlink="">
        <xdr:nvSpPr>
          <xdr:cNvPr id="170" name="Retângulo 169">
            <a:extLst>
              <a:ext uri="{FF2B5EF4-FFF2-40B4-BE49-F238E27FC236}">
                <a16:creationId xmlns:a16="http://schemas.microsoft.com/office/drawing/2014/main" id="{AE7EF038-D059-47BC-B9A7-705701225548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171" name="CaixaDeTexto 170">
            <a:extLst>
              <a:ext uri="{FF2B5EF4-FFF2-40B4-BE49-F238E27FC236}">
                <a16:creationId xmlns:a16="http://schemas.microsoft.com/office/drawing/2014/main" id="{99BF9421-2AF9-42B8-AC28-1E39EA099D86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72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F6422E-0899-4A8E-9EEA-8260D6A3F6E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17</xdr:col>
      <xdr:colOff>606955</xdr:colOff>
      <xdr:row>0</xdr:row>
      <xdr:rowOff>0</xdr:rowOff>
    </xdr:from>
    <xdr:to>
      <xdr:col>17</xdr:col>
      <xdr:colOff>2181844</xdr:colOff>
      <xdr:row>3</xdr:row>
      <xdr:rowOff>0</xdr:rowOff>
    </xdr:to>
    <xdr:grpSp>
      <xdr:nvGrpSpPr>
        <xdr:cNvPr id="173" name="Agrupar 172">
          <a:extLst>
            <a:ext uri="{FF2B5EF4-FFF2-40B4-BE49-F238E27FC236}">
              <a16:creationId xmlns:a16="http://schemas.microsoft.com/office/drawing/2014/main" id="{011A09FD-F2A3-4815-B67E-CB539A660655}"/>
            </a:ext>
          </a:extLst>
        </xdr:cNvPr>
        <xdr:cNvGrpSpPr/>
      </xdr:nvGrpSpPr>
      <xdr:grpSpPr>
        <a:xfrm>
          <a:off x="10989205" y="0"/>
          <a:ext cx="1574889" cy="1143000"/>
          <a:chOff x="9596894" y="0"/>
          <a:chExt cx="1598566" cy="1162050"/>
        </a:xfrm>
      </xdr:grpSpPr>
      <xdr:sp macro="" textlink="">
        <xdr:nvSpPr>
          <xdr:cNvPr id="174" name="Retângulo 173">
            <a:extLst>
              <a:ext uri="{FF2B5EF4-FFF2-40B4-BE49-F238E27FC236}">
                <a16:creationId xmlns:a16="http://schemas.microsoft.com/office/drawing/2014/main" id="{F86278A6-527A-4B8C-839E-CFD35295EFF8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" name="CaixaDeTexto 174">
            <a:extLst>
              <a:ext uri="{FF2B5EF4-FFF2-40B4-BE49-F238E27FC236}">
                <a16:creationId xmlns:a16="http://schemas.microsoft.com/office/drawing/2014/main" id="{7F6505A4-7A0F-4A09-BB32-66C0DA144835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76" name="Imagem 17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DA45C858-A04E-45C6-ACA3-6D715BE7E3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477082</xdr:colOff>
      <xdr:row>0</xdr:row>
      <xdr:rowOff>0</xdr:rowOff>
    </xdr:from>
    <xdr:to>
      <xdr:col>20</xdr:col>
      <xdr:colOff>2045001</xdr:colOff>
      <xdr:row>3</xdr:row>
      <xdr:rowOff>0</xdr:rowOff>
    </xdr:to>
    <xdr:grpSp>
      <xdr:nvGrpSpPr>
        <xdr:cNvPr id="177" name="Agrupar 176">
          <a:extLst>
            <a:ext uri="{FF2B5EF4-FFF2-40B4-BE49-F238E27FC236}">
              <a16:creationId xmlns:a16="http://schemas.microsoft.com/office/drawing/2014/main" id="{0D793394-8487-4FE0-BCD7-C9CCB5756D0D}"/>
            </a:ext>
          </a:extLst>
        </xdr:cNvPr>
        <xdr:cNvGrpSpPr/>
      </xdr:nvGrpSpPr>
      <xdr:grpSpPr>
        <a:xfrm>
          <a:off x="14431207" y="0"/>
          <a:ext cx="1567919" cy="1143000"/>
          <a:chOff x="13234512" y="0"/>
          <a:chExt cx="1591491" cy="1162050"/>
        </a:xfrm>
      </xdr:grpSpPr>
      <xdr:sp macro="" textlink="">
        <xdr:nvSpPr>
          <xdr:cNvPr id="178" name="Retângulo 177">
            <a:extLst>
              <a:ext uri="{FF2B5EF4-FFF2-40B4-BE49-F238E27FC236}">
                <a16:creationId xmlns:a16="http://schemas.microsoft.com/office/drawing/2014/main" id="{C5593D50-F76A-434D-A5AF-AE79999C9FC8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9" name="CaixaDeTexto 178">
            <a:extLst>
              <a:ext uri="{FF2B5EF4-FFF2-40B4-BE49-F238E27FC236}">
                <a16:creationId xmlns:a16="http://schemas.microsoft.com/office/drawing/2014/main" id="{22D61A18-E6AD-44D2-8B5C-4D67A0D63B3D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80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31329CED-B82D-43D9-A91C-08FC7CEF0D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578364</xdr:colOff>
      <xdr:row>0</xdr:row>
      <xdr:rowOff>0</xdr:rowOff>
    </xdr:from>
    <xdr:to>
      <xdr:col>24</xdr:col>
      <xdr:colOff>1309522</xdr:colOff>
      <xdr:row>3</xdr:row>
      <xdr:rowOff>0</xdr:rowOff>
    </xdr:to>
    <xdr:grpSp>
      <xdr:nvGrpSpPr>
        <xdr:cNvPr id="181" name="Agrupar 180">
          <a:extLst>
            <a:ext uri="{FF2B5EF4-FFF2-40B4-BE49-F238E27FC236}">
              <a16:creationId xmlns:a16="http://schemas.microsoft.com/office/drawing/2014/main" id="{638BD2A9-176F-4E9E-8A13-BCB60D09210A}"/>
            </a:ext>
          </a:extLst>
        </xdr:cNvPr>
        <xdr:cNvGrpSpPr/>
      </xdr:nvGrpSpPr>
      <xdr:grpSpPr>
        <a:xfrm>
          <a:off x="17866239" y="0"/>
          <a:ext cx="1588408" cy="1143000"/>
          <a:chOff x="16865055" y="0"/>
          <a:chExt cx="1612288" cy="1162050"/>
        </a:xfrm>
      </xdr:grpSpPr>
      <xdr:sp macro="" textlink="">
        <xdr:nvSpPr>
          <xdr:cNvPr id="182" name="Retângulo 181">
            <a:extLst>
              <a:ext uri="{FF2B5EF4-FFF2-40B4-BE49-F238E27FC236}">
                <a16:creationId xmlns:a16="http://schemas.microsoft.com/office/drawing/2014/main" id="{82438C05-939B-4AB7-BC21-7129404BFB09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" name="CaixaDeTexto 182">
            <a:extLst>
              <a:ext uri="{FF2B5EF4-FFF2-40B4-BE49-F238E27FC236}">
                <a16:creationId xmlns:a16="http://schemas.microsoft.com/office/drawing/2014/main" id="{B0625D31-B5E5-4428-80E7-C9B4EEF9C945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84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8AE6C198-55AE-4EF0-ABD4-F54B84178D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462010</xdr:colOff>
      <xdr:row>0</xdr:row>
      <xdr:rowOff>0</xdr:rowOff>
    </xdr:from>
    <xdr:to>
      <xdr:col>28</xdr:col>
      <xdr:colOff>2031324</xdr:colOff>
      <xdr:row>3</xdr:row>
      <xdr:rowOff>0</xdr:rowOff>
    </xdr:to>
    <xdr:grpSp>
      <xdr:nvGrpSpPr>
        <xdr:cNvPr id="185" name="Agrupar 184">
          <a:extLst>
            <a:ext uri="{FF2B5EF4-FFF2-40B4-BE49-F238E27FC236}">
              <a16:creationId xmlns:a16="http://schemas.microsoft.com/office/drawing/2014/main" id="{C9A2279E-95B1-4147-A2BA-35AAA6ED246C}"/>
            </a:ext>
          </a:extLst>
        </xdr:cNvPr>
        <xdr:cNvGrpSpPr/>
      </xdr:nvGrpSpPr>
      <xdr:grpSpPr>
        <a:xfrm>
          <a:off x="21321760" y="0"/>
          <a:ext cx="1569314" cy="1143000"/>
          <a:chOff x="20516395" y="0"/>
          <a:chExt cx="1592907" cy="1162050"/>
        </a:xfrm>
      </xdr:grpSpPr>
      <xdr:sp macro="" textlink="">
        <xdr:nvSpPr>
          <xdr:cNvPr id="186" name="Retângulo 185">
            <a:extLst>
              <a:ext uri="{FF2B5EF4-FFF2-40B4-BE49-F238E27FC236}">
                <a16:creationId xmlns:a16="http://schemas.microsoft.com/office/drawing/2014/main" id="{F85268F7-AF21-4F91-ACCA-168F1A76E6FE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7" name="CaixaDeTexto 186">
            <a:extLst>
              <a:ext uri="{FF2B5EF4-FFF2-40B4-BE49-F238E27FC236}">
                <a16:creationId xmlns:a16="http://schemas.microsoft.com/office/drawing/2014/main" id="{728CA2FB-174A-4667-A6A2-312968676949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88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5559972E-F8D7-41BB-B04A-F1334672453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326562</xdr:colOff>
      <xdr:row>0</xdr:row>
      <xdr:rowOff>0</xdr:rowOff>
    </xdr:from>
    <xdr:to>
      <xdr:col>34</xdr:col>
      <xdr:colOff>35694</xdr:colOff>
      <xdr:row>3</xdr:row>
      <xdr:rowOff>0</xdr:rowOff>
    </xdr:to>
    <xdr:grpSp>
      <xdr:nvGrpSpPr>
        <xdr:cNvPr id="189" name="Agrupar 188">
          <a:extLst>
            <a:ext uri="{FF2B5EF4-FFF2-40B4-BE49-F238E27FC236}">
              <a16:creationId xmlns:a16="http://schemas.microsoft.com/office/drawing/2014/main" id="{02BDEB8B-AC9D-4F73-B61F-BBF96496D47F}"/>
            </a:ext>
          </a:extLst>
        </xdr:cNvPr>
        <xdr:cNvGrpSpPr/>
      </xdr:nvGrpSpPr>
      <xdr:grpSpPr>
        <a:xfrm>
          <a:off x="24758187" y="0"/>
          <a:ext cx="1566507" cy="1143000"/>
          <a:chOff x="24148354" y="0"/>
          <a:chExt cx="1590058" cy="1162050"/>
        </a:xfrm>
      </xdr:grpSpPr>
      <xdr:sp macro="" textlink="">
        <xdr:nvSpPr>
          <xdr:cNvPr id="190" name="Retângulo 189">
            <a:extLst>
              <a:ext uri="{FF2B5EF4-FFF2-40B4-BE49-F238E27FC236}">
                <a16:creationId xmlns:a16="http://schemas.microsoft.com/office/drawing/2014/main" id="{7141D67F-1BA7-4E87-933A-9C99D16F5D6F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1" name="CaixaDeTexto 190">
            <a:extLst>
              <a:ext uri="{FF2B5EF4-FFF2-40B4-BE49-F238E27FC236}">
                <a16:creationId xmlns:a16="http://schemas.microsoft.com/office/drawing/2014/main" id="{3B6BC099-481B-4E3A-AB15-98C44660BE97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92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404B7D50-9EF9-44E9-9CC5-9CA919BBA6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37</xdr:col>
      <xdr:colOff>45432</xdr:colOff>
      <xdr:row>0</xdr:row>
      <xdr:rowOff>0</xdr:rowOff>
    </xdr:from>
    <xdr:to>
      <xdr:col>39</xdr:col>
      <xdr:colOff>382073</xdr:colOff>
      <xdr:row>3</xdr:row>
      <xdr:rowOff>0</xdr:rowOff>
    </xdr:to>
    <xdr:grpSp>
      <xdr:nvGrpSpPr>
        <xdr:cNvPr id="193" name="Agrupar 192">
          <a:extLst>
            <a:ext uri="{FF2B5EF4-FFF2-40B4-BE49-F238E27FC236}">
              <a16:creationId xmlns:a16="http://schemas.microsoft.com/office/drawing/2014/main" id="{02EA7EE0-8BF8-402F-A573-8F58581834A6}"/>
            </a:ext>
          </a:extLst>
        </xdr:cNvPr>
        <xdr:cNvGrpSpPr/>
      </xdr:nvGrpSpPr>
      <xdr:grpSpPr>
        <a:xfrm>
          <a:off x="28191807" y="0"/>
          <a:ext cx="1574891" cy="1143000"/>
          <a:chOff x="27777464" y="0"/>
          <a:chExt cx="1598568" cy="1162050"/>
        </a:xfrm>
      </xdr:grpSpPr>
      <xdr:sp macro="" textlink="">
        <xdr:nvSpPr>
          <xdr:cNvPr id="194" name="Retângulo 193">
            <a:extLst>
              <a:ext uri="{FF2B5EF4-FFF2-40B4-BE49-F238E27FC236}">
                <a16:creationId xmlns:a16="http://schemas.microsoft.com/office/drawing/2014/main" id="{422F8C3B-3006-49E3-8D37-3F6064A0F397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" name="CaixaDeTexto 194">
            <a:extLst>
              <a:ext uri="{FF2B5EF4-FFF2-40B4-BE49-F238E27FC236}">
                <a16:creationId xmlns:a16="http://schemas.microsoft.com/office/drawing/2014/main" id="{67B77AF2-8D94-4CE6-83DF-CBD61A73A878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96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63217BFA-B14A-4FDC-913F-43378B70988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42</xdr:col>
      <xdr:colOff>391811</xdr:colOff>
      <xdr:row>0</xdr:row>
      <xdr:rowOff>1</xdr:rowOff>
    </xdr:from>
    <xdr:to>
      <xdr:col>45</xdr:col>
      <xdr:colOff>109327</xdr:colOff>
      <xdr:row>3</xdr:row>
      <xdr:rowOff>0</xdr:rowOff>
    </xdr:to>
    <xdr:grpSp>
      <xdr:nvGrpSpPr>
        <xdr:cNvPr id="197" name="Agrupar 196">
          <a:extLst>
            <a:ext uri="{FF2B5EF4-FFF2-40B4-BE49-F238E27FC236}">
              <a16:creationId xmlns:a16="http://schemas.microsoft.com/office/drawing/2014/main" id="{72D13ACE-F7AA-49C9-A4A6-53C153600DA8}"/>
            </a:ext>
          </a:extLst>
        </xdr:cNvPr>
        <xdr:cNvGrpSpPr/>
      </xdr:nvGrpSpPr>
      <xdr:grpSpPr>
        <a:xfrm>
          <a:off x="31633811" y="1"/>
          <a:ext cx="1574891" cy="1142999"/>
          <a:chOff x="31415083" y="0"/>
          <a:chExt cx="1598568" cy="1162049"/>
        </a:xfrm>
      </xdr:grpSpPr>
      <xdr:sp macro="" textlink="">
        <xdr:nvSpPr>
          <xdr:cNvPr id="198" name="Retângulo 197">
            <a:extLst>
              <a:ext uri="{FF2B5EF4-FFF2-40B4-BE49-F238E27FC236}">
                <a16:creationId xmlns:a16="http://schemas.microsoft.com/office/drawing/2014/main" id="{77D178CA-0D17-4915-A452-15040B727CD4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" name="CaixaDeTexto 198">
            <a:extLst>
              <a:ext uri="{FF2B5EF4-FFF2-40B4-BE49-F238E27FC236}">
                <a16:creationId xmlns:a16="http://schemas.microsoft.com/office/drawing/2014/main" id="{A1D610F9-D0BB-4ACE-85D7-3ACCA5AD4B35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00" name="Imagem 199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C5824B02-E5FB-4B36-B075-A85C90FAB838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48</xdr:col>
      <xdr:colOff>119062</xdr:colOff>
      <xdr:row>0</xdr:row>
      <xdr:rowOff>211500</xdr:rowOff>
    </xdr:from>
    <xdr:to>
      <xdr:col>49</xdr:col>
      <xdr:colOff>234645</xdr:colOff>
      <xdr:row>2</xdr:row>
      <xdr:rowOff>169500</xdr:rowOff>
    </xdr:to>
    <xdr:sp macro="[0]!BotaoComLogin" textlink="">
      <xdr:nvSpPr>
        <xdr:cNvPr id="201" name="Círculo: Vazio 200">
          <a:extLst>
            <a:ext uri="{FF2B5EF4-FFF2-40B4-BE49-F238E27FC236}">
              <a16:creationId xmlns:a16="http://schemas.microsoft.com/office/drawing/2014/main" id="{56E250D4-588D-4EBF-B347-CC3EDDF86FAC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23</xdr:row>
      <xdr:rowOff>57151</xdr:rowOff>
    </xdr:from>
    <xdr:to>
      <xdr:col>23</xdr:col>
      <xdr:colOff>0</xdr:colOff>
      <xdr:row>26</xdr:row>
      <xdr:rowOff>0</xdr:rowOff>
    </xdr:to>
    <xdr:sp macro="[0]!Lançar_Prod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4811375" y="8153401"/>
          <a:ext cx="3238500" cy="101441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5</xdr:col>
      <xdr:colOff>348627</xdr:colOff>
      <xdr:row>3</xdr:row>
      <xdr:rowOff>243741</xdr:rowOff>
    </xdr:from>
    <xdr:to>
      <xdr:col>11</xdr:col>
      <xdr:colOff>43467</xdr:colOff>
      <xdr:row>6</xdr:row>
      <xdr:rowOff>69222</xdr:rowOff>
    </xdr:to>
    <xdr:sp macro="" textlink="">
      <xdr:nvSpPr>
        <xdr:cNvPr id="154" name="Retângulo 15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2D7B8-FB3E-479B-B96F-6C14659E3151}"/>
            </a:ext>
          </a:extLst>
        </xdr:cNvPr>
        <xdr:cNvSpPr/>
      </xdr:nvSpPr>
      <xdr:spPr>
        <a:xfrm>
          <a:off x="3444252" y="1386741"/>
          <a:ext cx="3409590" cy="754169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3880793</xdr:colOff>
      <xdr:row>3</xdr:row>
      <xdr:rowOff>243449</xdr:rowOff>
    </xdr:from>
    <xdr:to>
      <xdr:col>22</xdr:col>
      <xdr:colOff>2481878</xdr:colOff>
      <xdr:row>6</xdr:row>
      <xdr:rowOff>69513</xdr:rowOff>
    </xdr:to>
    <xdr:sp macro="" textlink="">
      <xdr:nvSpPr>
        <xdr:cNvPr id="155" name="Retângulo 15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967572-772E-4045-8825-6100A14F50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4644043" y="1386449"/>
          <a:ext cx="3363585" cy="754752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14</xdr:col>
      <xdr:colOff>446212</xdr:colOff>
      <xdr:row>3</xdr:row>
      <xdr:rowOff>243449</xdr:rowOff>
    </xdr:from>
    <xdr:to>
      <xdr:col>18</xdr:col>
      <xdr:colOff>1672627</xdr:colOff>
      <xdr:row>6</xdr:row>
      <xdr:rowOff>69513</xdr:rowOff>
    </xdr:to>
    <xdr:sp macro="" textlink="">
      <xdr:nvSpPr>
        <xdr:cNvPr id="156" name="Retângulo 15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D8A0B6-313C-4694-A5E0-76664663E53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9113962" y="1386449"/>
          <a:ext cx="3321915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27</xdr:col>
      <xdr:colOff>83408</xdr:colOff>
      <xdr:row>3</xdr:row>
      <xdr:rowOff>243449</xdr:rowOff>
    </xdr:from>
    <xdr:to>
      <xdr:col>32</xdr:col>
      <xdr:colOff>252341</xdr:colOff>
      <xdr:row>6</xdr:row>
      <xdr:rowOff>69513</xdr:rowOff>
    </xdr:to>
    <xdr:sp macro="" textlink="">
      <xdr:nvSpPr>
        <xdr:cNvPr id="157" name="Retângulo 15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3FE148-925B-45F0-97DE-D50F9EF33CE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20228783" y="1386449"/>
          <a:ext cx="3264558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6E46F716-661D-41F7-82AC-DC13DE507DC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9252" t="39637" r="14079" b="25703"/>
        <a:stretch/>
      </xdr:blipFill>
      <xdr:spPr>
        <a:xfrm>
          <a:off x="0" y="0"/>
          <a:ext cx="2420470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533613</xdr:colOff>
      <xdr:row>0</xdr:row>
      <xdr:rowOff>0</xdr:rowOff>
    </xdr:from>
    <xdr:to>
      <xdr:col>9</xdr:col>
      <xdr:colOff>114952</xdr:colOff>
      <xdr:row>3</xdr:row>
      <xdr:rowOff>0</xdr:rowOff>
    </xdr:to>
    <xdr:grpSp>
      <xdr:nvGrpSpPr>
        <xdr:cNvPr id="159" name="Agrupar 15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A5B978-0B3E-4722-8DD3-AB53FFBA02D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248363" y="0"/>
          <a:ext cx="1438714" cy="1143000"/>
          <a:chOff x="1993654" y="0"/>
          <a:chExt cx="1022595" cy="781538"/>
        </a:xfrm>
      </xdr:grpSpPr>
      <xdr:sp macro="" textlink="">
        <xdr:nvSpPr>
          <xdr:cNvPr id="160" name="Retângulo 159">
            <a:extLst>
              <a:ext uri="{FF2B5EF4-FFF2-40B4-BE49-F238E27FC236}">
                <a16:creationId xmlns:a16="http://schemas.microsoft.com/office/drawing/2014/main" id="{E223BD18-CF40-48E9-AA87-5E6CF264958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1" name="Imagem 9">
            <a:extLst>
              <a:ext uri="{FF2B5EF4-FFF2-40B4-BE49-F238E27FC236}">
                <a16:creationId xmlns:a16="http://schemas.microsoft.com/office/drawing/2014/main" id="{242C4B5E-316C-4A18-9C25-F8185FB3608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162" name="CaixaDeTexto 161">
            <a:extLst>
              <a:ext uri="{FF2B5EF4-FFF2-40B4-BE49-F238E27FC236}">
                <a16:creationId xmlns:a16="http://schemas.microsoft.com/office/drawing/2014/main" id="{4B0FC411-A81C-424C-8E2C-F3A7B782E7E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124690</xdr:colOff>
      <xdr:row>0</xdr:row>
      <xdr:rowOff>0</xdr:rowOff>
    </xdr:from>
    <xdr:to>
      <xdr:col>14</xdr:col>
      <xdr:colOff>454342</xdr:colOff>
      <xdr:row>3</xdr:row>
      <xdr:rowOff>0</xdr:rowOff>
    </xdr:to>
    <xdr:grpSp>
      <xdr:nvGrpSpPr>
        <xdr:cNvPr id="163" name="Agrupar 162">
          <a:extLst>
            <a:ext uri="{FF2B5EF4-FFF2-40B4-BE49-F238E27FC236}">
              <a16:creationId xmlns:a16="http://schemas.microsoft.com/office/drawing/2014/main" id="{550B6237-6EDE-4875-B2A9-1168826E0D5D}"/>
            </a:ext>
          </a:extLst>
        </xdr:cNvPr>
        <xdr:cNvGrpSpPr/>
      </xdr:nvGrpSpPr>
      <xdr:grpSpPr>
        <a:xfrm>
          <a:off x="7554190" y="0"/>
          <a:ext cx="1567902" cy="1143000"/>
          <a:chOff x="5966368" y="0"/>
          <a:chExt cx="1591474" cy="1162050"/>
        </a:xfrm>
      </xdr:grpSpPr>
      <xdr:sp macro="" textlink="">
        <xdr:nvSpPr>
          <xdr:cNvPr id="164" name="Retângulo 163">
            <a:extLst>
              <a:ext uri="{FF2B5EF4-FFF2-40B4-BE49-F238E27FC236}">
                <a16:creationId xmlns:a16="http://schemas.microsoft.com/office/drawing/2014/main" id="{F6060FED-F769-41AF-97A8-E8ECEC1EDF1E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165" name="CaixaDeTexto 164">
            <a:extLst>
              <a:ext uri="{FF2B5EF4-FFF2-40B4-BE49-F238E27FC236}">
                <a16:creationId xmlns:a16="http://schemas.microsoft.com/office/drawing/2014/main" id="{A3FBD184-B42F-4475-8F58-5E9584A4A8E9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6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A29734-9161-4FF9-B559-F4CB68E664BD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18</xdr:col>
      <xdr:colOff>225955</xdr:colOff>
      <xdr:row>0</xdr:row>
      <xdr:rowOff>0</xdr:rowOff>
    </xdr:from>
    <xdr:to>
      <xdr:col>18</xdr:col>
      <xdr:colOff>1800844</xdr:colOff>
      <xdr:row>3</xdr:row>
      <xdr:rowOff>0</xdr:rowOff>
    </xdr:to>
    <xdr:grpSp>
      <xdr:nvGrpSpPr>
        <xdr:cNvPr id="167" name="Agrupar 166">
          <a:extLst>
            <a:ext uri="{FF2B5EF4-FFF2-40B4-BE49-F238E27FC236}">
              <a16:creationId xmlns:a16="http://schemas.microsoft.com/office/drawing/2014/main" id="{C23B1304-DEBE-4408-9076-362022C321A4}"/>
            </a:ext>
          </a:extLst>
        </xdr:cNvPr>
        <xdr:cNvGrpSpPr/>
      </xdr:nvGrpSpPr>
      <xdr:grpSpPr>
        <a:xfrm>
          <a:off x="10989205" y="0"/>
          <a:ext cx="1574889" cy="1143000"/>
          <a:chOff x="9596894" y="0"/>
          <a:chExt cx="1598566" cy="1162050"/>
        </a:xfrm>
      </xdr:grpSpPr>
      <xdr:sp macro="" textlink="">
        <xdr:nvSpPr>
          <xdr:cNvPr id="168" name="Retângulo 167">
            <a:extLst>
              <a:ext uri="{FF2B5EF4-FFF2-40B4-BE49-F238E27FC236}">
                <a16:creationId xmlns:a16="http://schemas.microsoft.com/office/drawing/2014/main" id="{1F8A38C8-2D30-454D-B47B-966F73FD6539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" name="CaixaDeTexto 168">
            <a:extLst>
              <a:ext uri="{FF2B5EF4-FFF2-40B4-BE49-F238E27FC236}">
                <a16:creationId xmlns:a16="http://schemas.microsoft.com/office/drawing/2014/main" id="{7A189A73-A0C1-42F6-A8F0-67F02BFB353C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70" name="Imagem 16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D79D4BCD-DE5C-4975-B872-73282B86ED5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3667957</xdr:colOff>
      <xdr:row>0</xdr:row>
      <xdr:rowOff>0</xdr:rowOff>
    </xdr:from>
    <xdr:to>
      <xdr:col>22</xdr:col>
      <xdr:colOff>473376</xdr:colOff>
      <xdr:row>3</xdr:row>
      <xdr:rowOff>0</xdr:rowOff>
    </xdr:to>
    <xdr:grpSp>
      <xdr:nvGrpSpPr>
        <xdr:cNvPr id="171" name="Agrupar 170">
          <a:extLst>
            <a:ext uri="{FF2B5EF4-FFF2-40B4-BE49-F238E27FC236}">
              <a16:creationId xmlns:a16="http://schemas.microsoft.com/office/drawing/2014/main" id="{EFDD3D01-C67E-4C76-866E-D6F056AD9C21}"/>
            </a:ext>
          </a:extLst>
        </xdr:cNvPr>
        <xdr:cNvGrpSpPr/>
      </xdr:nvGrpSpPr>
      <xdr:grpSpPr>
        <a:xfrm>
          <a:off x="14431207" y="0"/>
          <a:ext cx="1567919" cy="1143000"/>
          <a:chOff x="13234512" y="0"/>
          <a:chExt cx="1591491" cy="1162050"/>
        </a:xfrm>
      </xdr:grpSpPr>
      <xdr:sp macro="" textlink="">
        <xdr:nvSpPr>
          <xdr:cNvPr id="172" name="Retângulo 171">
            <a:extLst>
              <a:ext uri="{FF2B5EF4-FFF2-40B4-BE49-F238E27FC236}">
                <a16:creationId xmlns:a16="http://schemas.microsoft.com/office/drawing/2014/main" id="{FC2481BF-5C44-46E8-AB83-0B148E840AD1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3" name="CaixaDeTexto 172">
            <a:extLst>
              <a:ext uri="{FF2B5EF4-FFF2-40B4-BE49-F238E27FC236}">
                <a16:creationId xmlns:a16="http://schemas.microsoft.com/office/drawing/2014/main" id="{22F7243A-21F7-424B-871E-C687B764A0F5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4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37A98A28-3476-4471-A0AD-366A356C78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2340489</xdr:colOff>
      <xdr:row>0</xdr:row>
      <xdr:rowOff>0</xdr:rowOff>
    </xdr:from>
    <xdr:to>
      <xdr:col>25</xdr:col>
      <xdr:colOff>547522</xdr:colOff>
      <xdr:row>3</xdr:row>
      <xdr:rowOff>0</xdr:rowOff>
    </xdr:to>
    <xdr:grpSp>
      <xdr:nvGrpSpPr>
        <xdr:cNvPr id="175" name="Agrupar 174">
          <a:extLst>
            <a:ext uri="{FF2B5EF4-FFF2-40B4-BE49-F238E27FC236}">
              <a16:creationId xmlns:a16="http://schemas.microsoft.com/office/drawing/2014/main" id="{A2CE765E-779E-477B-9D2C-9D5654E73498}"/>
            </a:ext>
          </a:extLst>
        </xdr:cNvPr>
        <xdr:cNvGrpSpPr/>
      </xdr:nvGrpSpPr>
      <xdr:grpSpPr>
        <a:xfrm>
          <a:off x="17866239" y="0"/>
          <a:ext cx="1588408" cy="1143000"/>
          <a:chOff x="16865055" y="0"/>
          <a:chExt cx="1612288" cy="1162050"/>
        </a:xfrm>
      </xdr:grpSpPr>
      <xdr:sp macro="" textlink="">
        <xdr:nvSpPr>
          <xdr:cNvPr id="176" name="Retângulo 175">
            <a:extLst>
              <a:ext uri="{FF2B5EF4-FFF2-40B4-BE49-F238E27FC236}">
                <a16:creationId xmlns:a16="http://schemas.microsoft.com/office/drawing/2014/main" id="{715E59C2-01FC-4AA8-AA3B-FD38FFA52CCA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" name="CaixaDeTexto 176">
            <a:extLst>
              <a:ext uri="{FF2B5EF4-FFF2-40B4-BE49-F238E27FC236}">
                <a16:creationId xmlns:a16="http://schemas.microsoft.com/office/drawing/2014/main" id="{0D949952-A288-4D93-87C7-7034EE57649C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78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B278E5F-97F9-40A1-8BCB-F1BA33299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557260</xdr:colOff>
      <xdr:row>0</xdr:row>
      <xdr:rowOff>0</xdr:rowOff>
    </xdr:from>
    <xdr:to>
      <xdr:col>31</xdr:col>
      <xdr:colOff>269199</xdr:colOff>
      <xdr:row>3</xdr:row>
      <xdr:rowOff>0</xdr:rowOff>
    </xdr:to>
    <xdr:grpSp>
      <xdr:nvGrpSpPr>
        <xdr:cNvPr id="179" name="Agrupar 178">
          <a:extLst>
            <a:ext uri="{FF2B5EF4-FFF2-40B4-BE49-F238E27FC236}">
              <a16:creationId xmlns:a16="http://schemas.microsoft.com/office/drawing/2014/main" id="{9F94322A-232E-43D2-A986-326CD7C1E37B}"/>
            </a:ext>
          </a:extLst>
        </xdr:cNvPr>
        <xdr:cNvGrpSpPr/>
      </xdr:nvGrpSpPr>
      <xdr:grpSpPr>
        <a:xfrm>
          <a:off x="21321760" y="0"/>
          <a:ext cx="1569314" cy="1143000"/>
          <a:chOff x="20516395" y="0"/>
          <a:chExt cx="1592907" cy="1162050"/>
        </a:xfrm>
      </xdr:grpSpPr>
      <xdr:sp macro="" textlink="">
        <xdr:nvSpPr>
          <xdr:cNvPr id="180" name="Retângulo 179">
            <a:extLst>
              <a:ext uri="{FF2B5EF4-FFF2-40B4-BE49-F238E27FC236}">
                <a16:creationId xmlns:a16="http://schemas.microsoft.com/office/drawing/2014/main" id="{2A782A41-1B49-44C2-8273-CFCCD547EC6B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1" name="CaixaDeTexto 180">
            <a:extLst>
              <a:ext uri="{FF2B5EF4-FFF2-40B4-BE49-F238E27FC236}">
                <a16:creationId xmlns:a16="http://schemas.microsoft.com/office/drawing/2014/main" id="{E4EA7C88-A367-484F-9845-B643764AFEBF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82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6763DE3-4A41-4AA1-A995-6BD436BAB28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278937</xdr:colOff>
      <xdr:row>0</xdr:row>
      <xdr:rowOff>0</xdr:rowOff>
    </xdr:from>
    <xdr:to>
      <xdr:col>36</xdr:col>
      <xdr:colOff>607194</xdr:colOff>
      <xdr:row>3</xdr:row>
      <xdr:rowOff>0</xdr:rowOff>
    </xdr:to>
    <xdr:grpSp>
      <xdr:nvGrpSpPr>
        <xdr:cNvPr id="183" name="Agrupar 182">
          <a:extLst>
            <a:ext uri="{FF2B5EF4-FFF2-40B4-BE49-F238E27FC236}">
              <a16:creationId xmlns:a16="http://schemas.microsoft.com/office/drawing/2014/main" id="{E8EB4327-EBB9-4396-8BA2-5D56AB6ACF7C}"/>
            </a:ext>
          </a:extLst>
        </xdr:cNvPr>
        <xdr:cNvGrpSpPr/>
      </xdr:nvGrpSpPr>
      <xdr:grpSpPr>
        <a:xfrm>
          <a:off x="24758187" y="0"/>
          <a:ext cx="1566507" cy="1143000"/>
          <a:chOff x="24148354" y="0"/>
          <a:chExt cx="1590058" cy="1162050"/>
        </a:xfrm>
      </xdr:grpSpPr>
      <xdr:sp macro="" textlink="">
        <xdr:nvSpPr>
          <xdr:cNvPr id="184" name="Retângulo 183">
            <a:extLst>
              <a:ext uri="{FF2B5EF4-FFF2-40B4-BE49-F238E27FC236}">
                <a16:creationId xmlns:a16="http://schemas.microsoft.com/office/drawing/2014/main" id="{CBCCCF73-7D1E-4796-98C9-4F237BDA1BE0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" name="CaixaDeTexto 184">
            <a:extLst>
              <a:ext uri="{FF2B5EF4-FFF2-40B4-BE49-F238E27FC236}">
                <a16:creationId xmlns:a16="http://schemas.microsoft.com/office/drawing/2014/main" id="{560D7F02-1F3D-47C3-879C-961ED7CA8EE3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86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B8F05C20-383E-4E58-80C9-5FCF39E343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39</xdr:col>
      <xdr:colOff>607407</xdr:colOff>
      <xdr:row>0</xdr:row>
      <xdr:rowOff>0</xdr:rowOff>
    </xdr:from>
    <xdr:to>
      <xdr:col>42</xdr:col>
      <xdr:colOff>334448</xdr:colOff>
      <xdr:row>3</xdr:row>
      <xdr:rowOff>0</xdr:rowOff>
    </xdr:to>
    <xdr:grpSp>
      <xdr:nvGrpSpPr>
        <xdr:cNvPr id="187" name="Agrupar 186">
          <a:extLst>
            <a:ext uri="{FF2B5EF4-FFF2-40B4-BE49-F238E27FC236}">
              <a16:creationId xmlns:a16="http://schemas.microsoft.com/office/drawing/2014/main" id="{18FF1D9C-A09C-46E6-A93E-73A6069E5D47}"/>
            </a:ext>
          </a:extLst>
        </xdr:cNvPr>
        <xdr:cNvGrpSpPr/>
      </xdr:nvGrpSpPr>
      <xdr:grpSpPr>
        <a:xfrm>
          <a:off x="28182282" y="0"/>
          <a:ext cx="1584416" cy="1143000"/>
          <a:chOff x="27777464" y="0"/>
          <a:chExt cx="1598568" cy="1162050"/>
        </a:xfrm>
      </xdr:grpSpPr>
      <xdr:sp macro="" textlink="">
        <xdr:nvSpPr>
          <xdr:cNvPr id="188" name="Retângulo 187">
            <a:extLst>
              <a:ext uri="{FF2B5EF4-FFF2-40B4-BE49-F238E27FC236}">
                <a16:creationId xmlns:a16="http://schemas.microsoft.com/office/drawing/2014/main" id="{FEF26E7C-2645-4BD6-9BEF-B5FBF5FB7B5D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9" name="CaixaDeTexto 188">
            <a:extLst>
              <a:ext uri="{FF2B5EF4-FFF2-40B4-BE49-F238E27FC236}">
                <a16:creationId xmlns:a16="http://schemas.microsoft.com/office/drawing/2014/main" id="{574213FF-C82C-4A90-90F2-45CE9BDA2109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90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9CEDAAA8-7E27-4BC4-9D9B-118790A1B79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344186</xdr:colOff>
      <xdr:row>0</xdr:row>
      <xdr:rowOff>1</xdr:rowOff>
    </xdr:from>
    <xdr:to>
      <xdr:col>48</xdr:col>
      <xdr:colOff>61702</xdr:colOff>
      <xdr:row>3</xdr:row>
      <xdr:rowOff>0</xdr:rowOff>
    </xdr:to>
    <xdr:grpSp>
      <xdr:nvGrpSpPr>
        <xdr:cNvPr id="191" name="Agrupar 190">
          <a:extLst>
            <a:ext uri="{FF2B5EF4-FFF2-40B4-BE49-F238E27FC236}">
              <a16:creationId xmlns:a16="http://schemas.microsoft.com/office/drawing/2014/main" id="{C3F0B742-05DB-4122-92B4-E0D714AB3675}"/>
            </a:ext>
          </a:extLst>
        </xdr:cNvPr>
        <xdr:cNvGrpSpPr/>
      </xdr:nvGrpSpPr>
      <xdr:grpSpPr>
        <a:xfrm>
          <a:off x="31633811" y="1"/>
          <a:ext cx="1574891" cy="1142999"/>
          <a:chOff x="31415083" y="0"/>
          <a:chExt cx="1598568" cy="1162049"/>
        </a:xfrm>
      </xdr:grpSpPr>
      <xdr:sp macro="" textlink="">
        <xdr:nvSpPr>
          <xdr:cNvPr id="192" name="Retângulo 191">
            <a:extLst>
              <a:ext uri="{FF2B5EF4-FFF2-40B4-BE49-F238E27FC236}">
                <a16:creationId xmlns:a16="http://schemas.microsoft.com/office/drawing/2014/main" id="{417ECA6D-B6E7-4E90-9919-3F76438E4028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3" name="CaixaDeTexto 192">
            <a:extLst>
              <a:ext uri="{FF2B5EF4-FFF2-40B4-BE49-F238E27FC236}">
                <a16:creationId xmlns:a16="http://schemas.microsoft.com/office/drawing/2014/main" id="{C63C41A7-39E7-40FF-84CC-4A97BAE40687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94" name="Imagem 193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232EFF1E-929F-4BF3-BBE5-B0D4B7B0E9B9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51</xdr:col>
      <xdr:colOff>71437</xdr:colOff>
      <xdr:row>0</xdr:row>
      <xdr:rowOff>211500</xdr:rowOff>
    </xdr:from>
    <xdr:to>
      <xdr:col>52</xdr:col>
      <xdr:colOff>187020</xdr:colOff>
      <xdr:row>2</xdr:row>
      <xdr:rowOff>169500</xdr:rowOff>
    </xdr:to>
    <xdr:sp macro="[0]!BotaoComLogin" textlink="">
      <xdr:nvSpPr>
        <xdr:cNvPr id="195" name="Círculo: Vazio 194">
          <a:extLst>
            <a:ext uri="{FF2B5EF4-FFF2-40B4-BE49-F238E27FC236}">
              <a16:creationId xmlns:a16="http://schemas.microsoft.com/office/drawing/2014/main" id="{A54AAE98-1339-428B-AA93-99F46735074B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21</xdr:row>
      <xdr:rowOff>190500</xdr:rowOff>
    </xdr:from>
    <xdr:to>
      <xdr:col>25</xdr:col>
      <xdr:colOff>57150</xdr:colOff>
      <xdr:row>45</xdr:row>
      <xdr:rowOff>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C8ECBF96-D643-4B96-8490-0D0DF993B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348627</xdr:colOff>
      <xdr:row>3</xdr:row>
      <xdr:rowOff>243741</xdr:rowOff>
    </xdr:from>
    <xdr:to>
      <xdr:col>11</xdr:col>
      <xdr:colOff>43467</xdr:colOff>
      <xdr:row>6</xdr:row>
      <xdr:rowOff>69222</xdr:rowOff>
    </xdr:to>
    <xdr:sp macro="" textlink="">
      <xdr:nvSpPr>
        <xdr:cNvPr id="51" name="Retângulo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080BD2-925C-4687-9999-A087F6893972}"/>
            </a:ext>
          </a:extLst>
        </xdr:cNvPr>
        <xdr:cNvSpPr/>
      </xdr:nvSpPr>
      <xdr:spPr>
        <a:xfrm>
          <a:off x="3444252" y="1386741"/>
          <a:ext cx="3409590" cy="754169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3261668</xdr:colOff>
      <xdr:row>3</xdr:row>
      <xdr:rowOff>243449</xdr:rowOff>
    </xdr:from>
    <xdr:to>
      <xdr:col>23</xdr:col>
      <xdr:colOff>1862753</xdr:colOff>
      <xdr:row>6</xdr:row>
      <xdr:rowOff>69513</xdr:rowOff>
    </xdr:to>
    <xdr:sp macro="" textlink="">
      <xdr:nvSpPr>
        <xdr:cNvPr id="52" name="Retângul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988C0F-93BD-4E8A-A051-2F04BCD4CD4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4644043" y="1386449"/>
          <a:ext cx="3363585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14</xdr:col>
      <xdr:colOff>446212</xdr:colOff>
      <xdr:row>3</xdr:row>
      <xdr:rowOff>243449</xdr:rowOff>
    </xdr:from>
    <xdr:to>
      <xdr:col>19</xdr:col>
      <xdr:colOff>1053502</xdr:colOff>
      <xdr:row>6</xdr:row>
      <xdr:rowOff>69513</xdr:rowOff>
    </xdr:to>
    <xdr:sp macro="" textlink="">
      <xdr:nvSpPr>
        <xdr:cNvPr id="53" name="Retângulo 5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9BE052-81C4-44A5-AAF7-25484F9B22A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9113962" y="1386449"/>
          <a:ext cx="3321915" cy="754752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27</xdr:col>
      <xdr:colOff>83408</xdr:colOff>
      <xdr:row>3</xdr:row>
      <xdr:rowOff>243449</xdr:rowOff>
    </xdr:from>
    <xdr:to>
      <xdr:col>32</xdr:col>
      <xdr:colOff>252341</xdr:colOff>
      <xdr:row>6</xdr:row>
      <xdr:rowOff>69513</xdr:rowOff>
    </xdr:to>
    <xdr:sp macro="" textlink="">
      <xdr:nvSpPr>
        <xdr:cNvPr id="54" name="Retângulo 5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70F64-936A-45B3-B5C4-333B48272A4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20228783" y="1386449"/>
          <a:ext cx="3264558" cy="754752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4E9E0671-CD24-4CAF-AAE8-BF61AA08526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531709</xdr:colOff>
      <xdr:row>0</xdr:row>
      <xdr:rowOff>0</xdr:rowOff>
    </xdr:from>
    <xdr:to>
      <xdr:col>9</xdr:col>
      <xdr:colOff>122573</xdr:colOff>
      <xdr:row>3</xdr:row>
      <xdr:rowOff>0</xdr:rowOff>
    </xdr:to>
    <xdr:grpSp>
      <xdr:nvGrpSpPr>
        <xdr:cNvPr id="56" name="Agrupar 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B624500-856A-4476-BE14-DD778EB61C2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246459" y="0"/>
          <a:ext cx="1448239" cy="1143000"/>
          <a:chOff x="1993654" y="0"/>
          <a:chExt cx="1022595" cy="781538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F6E97B34-9F59-4758-A8CB-9A4D391584A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8" name="Imagem 9">
            <a:extLst>
              <a:ext uri="{FF2B5EF4-FFF2-40B4-BE49-F238E27FC236}">
                <a16:creationId xmlns:a16="http://schemas.microsoft.com/office/drawing/2014/main" id="{72DF1503-EC1B-4188-BE58-EAD154203F1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AFCAA353-4039-4427-87BA-B3B8CA51F83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130406</xdr:colOff>
      <xdr:row>0</xdr:row>
      <xdr:rowOff>0</xdr:rowOff>
    </xdr:from>
    <xdr:to>
      <xdr:col>14</xdr:col>
      <xdr:colOff>460058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D779B50C-A3A5-4D5F-9A24-D74834B2ACEA}"/>
            </a:ext>
          </a:extLst>
        </xdr:cNvPr>
        <xdr:cNvGrpSpPr/>
      </xdr:nvGrpSpPr>
      <xdr:grpSpPr>
        <a:xfrm>
          <a:off x="7559906" y="0"/>
          <a:ext cx="1567902" cy="1143000"/>
          <a:chOff x="5966368" y="0"/>
          <a:chExt cx="1591474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7D0AB0B2-72ED-4AA2-884F-CA435AADF529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4F8ABAFB-93B7-465F-9855-EAB265DAC2AF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354635B-D50E-4005-AF8E-568C90AA3E4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17</xdr:col>
      <xdr:colOff>467891</xdr:colOff>
      <xdr:row>0</xdr:row>
      <xdr:rowOff>0</xdr:rowOff>
    </xdr:from>
    <xdr:to>
      <xdr:col>19</xdr:col>
      <xdr:colOff>1185530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B445BCFF-8B4D-4D73-9CFF-583753E82D69}"/>
            </a:ext>
          </a:extLst>
        </xdr:cNvPr>
        <xdr:cNvGrpSpPr/>
      </xdr:nvGrpSpPr>
      <xdr:grpSpPr>
        <a:xfrm>
          <a:off x="10993016" y="0"/>
          <a:ext cx="1574889" cy="1143000"/>
          <a:chOff x="9596894" y="0"/>
          <a:chExt cx="1598566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DE027F66-B3B8-41E5-A2F1-252EDE8A37A9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59E19CB3-2965-4CF8-AF6B-071A544E3A3D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7" name="Imagem 66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95A94601-8896-463A-A097-30CBC5F4094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3050738</xdr:colOff>
      <xdr:row>0</xdr:row>
      <xdr:rowOff>0</xdr:rowOff>
    </xdr:from>
    <xdr:to>
      <xdr:col>22</xdr:col>
      <xdr:colOff>94282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6DE6E76D-D984-492F-9796-F26330F72678}"/>
            </a:ext>
          </a:extLst>
        </xdr:cNvPr>
        <xdr:cNvGrpSpPr/>
      </xdr:nvGrpSpPr>
      <xdr:grpSpPr>
        <a:xfrm>
          <a:off x="14433113" y="0"/>
          <a:ext cx="1567919" cy="1143000"/>
          <a:chOff x="13234512" y="0"/>
          <a:chExt cx="1591491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0A15AC01-DEC0-43D7-A31A-A650F4CCF308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4D6314E2-EB1B-45C8-B905-2F8D59285A6D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1" name="Imagem 17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DCA45668-A3C9-4A35-B59A-A9917F103D2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1721365</xdr:colOff>
      <xdr:row>0</xdr:row>
      <xdr:rowOff>0</xdr:rowOff>
    </xdr:from>
    <xdr:to>
      <xdr:col>25</xdr:col>
      <xdr:colOff>547523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F3839E2A-B015-4FAC-8F54-935DD5B7E76B}"/>
            </a:ext>
          </a:extLst>
        </xdr:cNvPr>
        <xdr:cNvGrpSpPr/>
      </xdr:nvGrpSpPr>
      <xdr:grpSpPr>
        <a:xfrm>
          <a:off x="17866240" y="0"/>
          <a:ext cx="1588408" cy="1143000"/>
          <a:chOff x="16865055" y="0"/>
          <a:chExt cx="1612288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02F068A1-1F64-4D0C-B2C5-9978275A9C98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703370F1-1D30-4847-9257-12A3C6C6535D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5" name="Imagem 17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681C01F-39A2-4062-8DB9-209E525D59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555356</xdr:colOff>
      <xdr:row>0</xdr:row>
      <xdr:rowOff>0</xdr:rowOff>
    </xdr:from>
    <xdr:to>
      <xdr:col>31</xdr:col>
      <xdr:colOff>267295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A2A8CA33-2BAD-49C2-AB8C-5B3341A60267}"/>
            </a:ext>
          </a:extLst>
        </xdr:cNvPr>
        <xdr:cNvGrpSpPr/>
      </xdr:nvGrpSpPr>
      <xdr:grpSpPr>
        <a:xfrm>
          <a:off x="21319856" y="0"/>
          <a:ext cx="1569314" cy="1143000"/>
          <a:chOff x="20516395" y="0"/>
          <a:chExt cx="1592907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46806189-CF0F-4F6D-AD24-B8786C4B738B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C28D380D-B96B-457A-9177-6F44AB888999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9" name="Imagem 1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293FEE46-EE18-4F05-A344-59CAA0700C3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275128</xdr:colOff>
      <xdr:row>0</xdr:row>
      <xdr:rowOff>0</xdr:rowOff>
    </xdr:from>
    <xdr:to>
      <xdr:col>36</xdr:col>
      <xdr:colOff>603385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D9943426-A8E1-4B28-AC6D-A38CE8F7FA67}"/>
            </a:ext>
          </a:extLst>
        </xdr:cNvPr>
        <xdr:cNvGrpSpPr/>
      </xdr:nvGrpSpPr>
      <xdr:grpSpPr>
        <a:xfrm>
          <a:off x="24754378" y="0"/>
          <a:ext cx="1566507" cy="1143000"/>
          <a:chOff x="24148354" y="0"/>
          <a:chExt cx="1590058" cy="1162050"/>
        </a:xfrm>
      </xdr:grpSpPr>
      <xdr:sp macro="" textlink="">
        <xdr:nvSpPr>
          <xdr:cNvPr id="81" name="Retângulo 80">
            <a:extLst>
              <a:ext uri="{FF2B5EF4-FFF2-40B4-BE49-F238E27FC236}">
                <a16:creationId xmlns:a16="http://schemas.microsoft.com/office/drawing/2014/main" id="{D8C2838E-641D-4A5F-A646-3BAA125C8B52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53D7692C-1459-452F-9C7D-E94D54FD1B68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83" name="Imagem 17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D781A6A2-ECC3-4041-8EFE-CAA8D337D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39</xdr:col>
      <xdr:colOff>611218</xdr:colOff>
      <xdr:row>0</xdr:row>
      <xdr:rowOff>0</xdr:rowOff>
    </xdr:from>
    <xdr:to>
      <xdr:col>42</xdr:col>
      <xdr:colOff>338259</xdr:colOff>
      <xdr:row>3</xdr:row>
      <xdr:rowOff>0</xdr:rowOff>
    </xdr:to>
    <xdr:grpSp>
      <xdr:nvGrpSpPr>
        <xdr:cNvPr id="127" name="Agrupar 126">
          <a:extLst>
            <a:ext uri="{FF2B5EF4-FFF2-40B4-BE49-F238E27FC236}">
              <a16:creationId xmlns:a16="http://schemas.microsoft.com/office/drawing/2014/main" id="{D975AAE9-EF91-43E6-9FA2-AEDBE26A7AF7}"/>
            </a:ext>
          </a:extLst>
        </xdr:cNvPr>
        <xdr:cNvGrpSpPr/>
      </xdr:nvGrpSpPr>
      <xdr:grpSpPr>
        <a:xfrm>
          <a:off x="28186093" y="0"/>
          <a:ext cx="1584416" cy="1143000"/>
          <a:chOff x="27777464" y="0"/>
          <a:chExt cx="1598568" cy="1162050"/>
        </a:xfrm>
      </xdr:grpSpPr>
      <xdr:sp macro="" textlink="">
        <xdr:nvSpPr>
          <xdr:cNvPr id="128" name="Retângulo 127">
            <a:extLst>
              <a:ext uri="{FF2B5EF4-FFF2-40B4-BE49-F238E27FC236}">
                <a16:creationId xmlns:a16="http://schemas.microsoft.com/office/drawing/2014/main" id="{B62F494E-83F6-49FF-ADFD-810B37B88E8D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9" name="CaixaDeTexto 128">
            <a:extLst>
              <a:ext uri="{FF2B5EF4-FFF2-40B4-BE49-F238E27FC236}">
                <a16:creationId xmlns:a16="http://schemas.microsoft.com/office/drawing/2014/main" id="{25563B6D-04CA-4ABD-89F3-C7DE08C2DDA9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30" name="Imagem 1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6DF7C927-EFF0-48EB-BD0B-78E6597C4A5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346092</xdr:colOff>
      <xdr:row>0</xdr:row>
      <xdr:rowOff>1</xdr:rowOff>
    </xdr:from>
    <xdr:to>
      <xdr:col>48</xdr:col>
      <xdr:colOff>63608</xdr:colOff>
      <xdr:row>3</xdr:row>
      <xdr:rowOff>0</xdr:rowOff>
    </xdr:to>
    <xdr:grpSp>
      <xdr:nvGrpSpPr>
        <xdr:cNvPr id="131" name="Agrupar 130">
          <a:extLst>
            <a:ext uri="{FF2B5EF4-FFF2-40B4-BE49-F238E27FC236}">
              <a16:creationId xmlns:a16="http://schemas.microsoft.com/office/drawing/2014/main" id="{2A1B2019-C3A5-419B-A795-95AE86B5DD33}"/>
            </a:ext>
          </a:extLst>
        </xdr:cNvPr>
        <xdr:cNvGrpSpPr/>
      </xdr:nvGrpSpPr>
      <xdr:grpSpPr>
        <a:xfrm>
          <a:off x="31635717" y="1"/>
          <a:ext cx="1574891" cy="1142999"/>
          <a:chOff x="31415083" y="0"/>
          <a:chExt cx="1598568" cy="1162049"/>
        </a:xfrm>
      </xdr:grpSpPr>
      <xdr:sp macro="" textlink="">
        <xdr:nvSpPr>
          <xdr:cNvPr id="132" name="Retângulo 131">
            <a:extLst>
              <a:ext uri="{FF2B5EF4-FFF2-40B4-BE49-F238E27FC236}">
                <a16:creationId xmlns:a16="http://schemas.microsoft.com/office/drawing/2014/main" id="{C39A957E-25D7-4B73-90D4-582E3DC758F9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3" name="CaixaDeTexto 132">
            <a:extLst>
              <a:ext uri="{FF2B5EF4-FFF2-40B4-BE49-F238E27FC236}">
                <a16:creationId xmlns:a16="http://schemas.microsoft.com/office/drawing/2014/main" id="{D7DF840B-1AD2-4D1A-A935-91AF833B1969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34" name="Imagem 133" descr="Ícone do banco de dados (símbolo png) preto">
            <a:hlinkClick xmlns:r="http://schemas.openxmlformats.org/officeDocument/2006/relationships" r:id="rId31"/>
            <a:extLst>
              <a:ext uri="{FF2B5EF4-FFF2-40B4-BE49-F238E27FC236}">
                <a16:creationId xmlns:a16="http://schemas.microsoft.com/office/drawing/2014/main" id="{39239FD4-B710-42FB-8BDA-0B62BF73A2FC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51</xdr:col>
      <xdr:colOff>71437</xdr:colOff>
      <xdr:row>0</xdr:row>
      <xdr:rowOff>211500</xdr:rowOff>
    </xdr:from>
    <xdr:to>
      <xdr:col>52</xdr:col>
      <xdr:colOff>187020</xdr:colOff>
      <xdr:row>2</xdr:row>
      <xdr:rowOff>169500</xdr:rowOff>
    </xdr:to>
    <xdr:sp macro="[0]!BotaoComLogin" textlink="">
      <xdr:nvSpPr>
        <xdr:cNvPr id="135" name="Círculo: Vazio 134">
          <a:extLst>
            <a:ext uri="{FF2B5EF4-FFF2-40B4-BE49-F238E27FC236}">
              <a16:creationId xmlns:a16="http://schemas.microsoft.com/office/drawing/2014/main" id="{BDAD0E26-157F-41E5-8679-69EF3FE4F581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44145</xdr:colOff>
      <xdr:row>1</xdr:row>
      <xdr:rowOff>133894</xdr:rowOff>
    </xdr:from>
    <xdr:to>
      <xdr:col>8</xdr:col>
      <xdr:colOff>484205</xdr:colOff>
      <xdr:row>2</xdr:row>
      <xdr:rowOff>7325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380970</xdr:colOff>
      <xdr:row>0</xdr:row>
      <xdr:rowOff>91651</xdr:rowOff>
    </xdr:from>
    <xdr:to>
      <xdr:col>8</xdr:col>
      <xdr:colOff>121931</xdr:colOff>
      <xdr:row>1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17</xdr:col>
      <xdr:colOff>223838</xdr:colOff>
      <xdr:row>14</xdr:row>
      <xdr:rowOff>247650</xdr:rowOff>
    </xdr:from>
    <xdr:to>
      <xdr:col>41</xdr:col>
      <xdr:colOff>447675</xdr:colOff>
      <xdr:row>53</xdr:row>
      <xdr:rowOff>84622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C99F2DEE-ED7B-4320-8567-3464A132890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23000"/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5200650"/>
          <a:ext cx="15449550" cy="13953022"/>
        </a:xfrm>
        <a:prstGeom prst="rect">
          <a:avLst/>
        </a:prstGeom>
      </xdr:spPr>
    </xdr:pic>
    <xdr:clientData/>
  </xdr:twoCellAnchor>
  <xdr:twoCellAnchor editAs="absolute">
    <xdr:from>
      <xdr:col>20</xdr:col>
      <xdr:colOff>328613</xdr:colOff>
      <xdr:row>7</xdr:row>
      <xdr:rowOff>342900</xdr:rowOff>
    </xdr:from>
    <xdr:to>
      <xdr:col>38</xdr:col>
      <xdr:colOff>266700</xdr:colOff>
      <xdr:row>15</xdr:row>
      <xdr:rowOff>57150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45BA2B2-90B5-47C0-B21B-1CBFD85D4085}"/>
            </a:ext>
          </a:extLst>
        </xdr:cNvPr>
        <xdr:cNvSpPr txBox="1"/>
      </xdr:nvSpPr>
      <xdr:spPr>
        <a:xfrm>
          <a:off x="13011150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 editAs="absolute">
    <xdr:from>
      <xdr:col>7</xdr:col>
      <xdr:colOff>180975</xdr:colOff>
      <xdr:row>24</xdr:row>
      <xdr:rowOff>321078</xdr:rowOff>
    </xdr:from>
    <xdr:to>
      <xdr:col>13</xdr:col>
      <xdr:colOff>28575</xdr:colOff>
      <xdr:row>35</xdr:row>
      <xdr:rowOff>821</xdr:rowOff>
    </xdr:to>
    <xdr:pic>
      <xdr:nvPicPr>
        <xdr:cNvPr id="51" name="Imagem 17">
          <a:extLst>
            <a:ext uri="{FF2B5EF4-FFF2-40B4-BE49-F238E27FC236}">
              <a16:creationId xmlns:a16="http://schemas.microsoft.com/office/drawing/2014/main" id="{E202DD36-2FED-4309-A22A-E3B010220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72000" y="8798328"/>
          <a:ext cx="3619500" cy="3656430"/>
        </a:xfrm>
        <a:prstGeom prst="rect">
          <a:avLst/>
        </a:prstGeom>
        <a:noFill/>
      </xdr:spPr>
    </xdr:pic>
    <xdr:clientData/>
  </xdr:twoCellAnchor>
  <xdr:twoCellAnchor editAs="absolute">
    <xdr:from>
      <xdr:col>46</xdr:col>
      <xdr:colOff>447675</xdr:colOff>
      <xdr:row>24</xdr:row>
      <xdr:rowOff>321078</xdr:rowOff>
    </xdr:from>
    <xdr:to>
      <xdr:col>52</xdr:col>
      <xdr:colOff>280988</xdr:colOff>
      <xdr:row>35</xdr:row>
      <xdr:rowOff>821</xdr:rowOff>
    </xdr:to>
    <xdr:pic>
      <xdr:nvPicPr>
        <xdr:cNvPr id="52" name="Imagem 17">
          <a:extLst>
            <a:ext uri="{FF2B5EF4-FFF2-40B4-BE49-F238E27FC236}">
              <a16:creationId xmlns:a16="http://schemas.microsoft.com/office/drawing/2014/main" id="{D82AEF7A-9511-4C15-8BCD-ED68AEF41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718000" y="8798328"/>
          <a:ext cx="3619500" cy="3656430"/>
        </a:xfrm>
        <a:prstGeom prst="rect">
          <a:avLst/>
        </a:prstGeom>
        <a:noFill/>
      </xdr:spPr>
    </xdr:pic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53" name="Retângulo 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13C29-48C4-494E-A32A-E704386F8CB6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17</xdr:col>
      <xdr:colOff>184579</xdr:colOff>
      <xdr:row>6</xdr:row>
      <xdr:rowOff>66112</xdr:rowOff>
    </xdr:to>
    <xdr:sp macro="" textlink="">
      <xdr:nvSpPr>
        <xdr:cNvPr id="54" name="Retângulo 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395F9A-184C-4E87-83C3-9BD1B0980123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18</xdr:col>
      <xdr:colOff>458856</xdr:colOff>
      <xdr:row>3</xdr:row>
      <xdr:rowOff>243450</xdr:rowOff>
    </xdr:from>
    <xdr:to>
      <xdr:col>26</xdr:col>
      <xdr:colOff>280619</xdr:colOff>
      <xdr:row>6</xdr:row>
      <xdr:rowOff>66112</xdr:rowOff>
    </xdr:to>
    <xdr:sp macro="" textlink="">
      <xdr:nvSpPr>
        <xdr:cNvPr id="55" name="Retângul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6993A9D-260B-4E1D-B22C-6F2DDAF56569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27</xdr:col>
      <xdr:colOff>554896</xdr:colOff>
      <xdr:row>3</xdr:row>
      <xdr:rowOff>243450</xdr:rowOff>
    </xdr:from>
    <xdr:to>
      <xdr:col>34</xdr:col>
      <xdr:colOff>194981</xdr:colOff>
      <xdr:row>6</xdr:row>
      <xdr:rowOff>66112</xdr:rowOff>
    </xdr:to>
    <xdr:sp macro="" textlink="">
      <xdr:nvSpPr>
        <xdr:cNvPr id="56" name="Retângulo 5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4F8C4FC-927B-491C-AD95-AA6AF27E444C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35</xdr:col>
      <xdr:colOff>469258</xdr:colOff>
      <xdr:row>3</xdr:row>
      <xdr:rowOff>243450</xdr:rowOff>
    </xdr:from>
    <xdr:to>
      <xdr:col>43</xdr:col>
      <xdr:colOff>295087</xdr:colOff>
      <xdr:row>6</xdr:row>
      <xdr:rowOff>66112</xdr:rowOff>
    </xdr:to>
    <xdr:sp macro="" textlink="">
      <xdr:nvSpPr>
        <xdr:cNvPr id="57" name="Retângulo 5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F1CE2B7-493F-4262-8299-D954819FACDE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44</xdr:col>
      <xdr:colOff>569364</xdr:colOff>
      <xdr:row>3</xdr:row>
      <xdr:rowOff>243450</xdr:rowOff>
    </xdr:from>
    <xdr:to>
      <xdr:col>53</xdr:col>
      <xdr:colOff>254359</xdr:colOff>
      <xdr:row>6</xdr:row>
      <xdr:rowOff>66112</xdr:rowOff>
    </xdr:to>
    <xdr:sp macro="" textlink="">
      <xdr:nvSpPr>
        <xdr:cNvPr id="58" name="Retângulo 5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6F7C35A-2978-40AA-8942-9FD5BA9D2E66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C6B149F1-DABD-43BA-A24F-15852E84FBC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607907</xdr:colOff>
      <xdr:row>0</xdr:row>
      <xdr:rowOff>0</xdr:rowOff>
    </xdr:from>
    <xdr:to>
      <xdr:col>9</xdr:col>
      <xdr:colOff>208296</xdr:colOff>
      <xdr:row>3</xdr:row>
      <xdr:rowOff>0</xdr:rowOff>
    </xdr:to>
    <xdr:grpSp>
      <xdr:nvGrpSpPr>
        <xdr:cNvPr id="60" name="Agrupar 5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89DB8FA-94C0-4E2B-BEEA-6BB610FF67B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2657" y="0"/>
          <a:ext cx="1457764" cy="1143000"/>
          <a:chOff x="1993654" y="0"/>
          <a:chExt cx="1022595" cy="781538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D05A08D4-09CF-45A1-8F0E-F71038B6260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2" name="Imagem 9">
            <a:extLst>
              <a:ext uri="{FF2B5EF4-FFF2-40B4-BE49-F238E27FC236}">
                <a16:creationId xmlns:a16="http://schemas.microsoft.com/office/drawing/2014/main" id="{768026FC-E958-43DC-9076-532EE212A33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FAD28251-D429-4740-BC85-375766B997C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206604</xdr:colOff>
      <xdr:row>0</xdr:row>
      <xdr:rowOff>0</xdr:rowOff>
    </xdr:from>
    <xdr:to>
      <xdr:col>14</xdr:col>
      <xdr:colOff>536256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0AB26EC7-36AB-45EA-AD14-59E89634CF63}"/>
            </a:ext>
          </a:extLst>
        </xdr:cNvPr>
        <xdr:cNvGrpSpPr/>
      </xdr:nvGrpSpPr>
      <xdr:grpSpPr>
        <a:xfrm>
          <a:off x="7636104" y="0"/>
          <a:ext cx="1567902" cy="1143000"/>
          <a:chOff x="5966368" y="0"/>
          <a:chExt cx="1591474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D9C1697F-BDCB-4221-B449-F38441841866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2CC100A0-3FC6-49BD-8FE5-D1E0318C3920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AE9DCB0-6A52-485D-AF5C-CF032B2D9D1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17</xdr:col>
      <xdr:colOff>534564</xdr:colOff>
      <xdr:row>0</xdr:row>
      <xdr:rowOff>0</xdr:rowOff>
    </xdr:from>
    <xdr:to>
      <xdr:col>20</xdr:col>
      <xdr:colOff>252078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7A8B0098-EB23-43BA-BB64-B17FCF9868A9}"/>
            </a:ext>
          </a:extLst>
        </xdr:cNvPr>
        <xdr:cNvGrpSpPr/>
      </xdr:nvGrpSpPr>
      <xdr:grpSpPr>
        <a:xfrm>
          <a:off x="11059689" y="0"/>
          <a:ext cx="1574889" cy="1143000"/>
          <a:chOff x="9596894" y="0"/>
          <a:chExt cx="1598566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CE53E4E9-82D3-4EFD-98BF-317C78215972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2975A788-9C1F-4A24-9DB0-D261E49C19AE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71" name="Imagem 70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D1B3CB3-01AE-4372-85FF-A11C8B5341A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250386</xdr:colOff>
      <xdr:row>0</xdr:row>
      <xdr:rowOff>0</xdr:rowOff>
    </xdr:from>
    <xdr:to>
      <xdr:col>25</xdr:col>
      <xdr:colOff>580055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777C9116-659F-46C5-806C-3355B84009FE}"/>
            </a:ext>
          </a:extLst>
        </xdr:cNvPr>
        <xdr:cNvGrpSpPr/>
      </xdr:nvGrpSpPr>
      <xdr:grpSpPr>
        <a:xfrm>
          <a:off x="14490261" y="0"/>
          <a:ext cx="1567919" cy="1143000"/>
          <a:chOff x="13234512" y="0"/>
          <a:chExt cx="1591491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38191750-FFF9-45DF-AE62-B77701E7A7AB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6DF0F9E6-E52C-4789-B5F9-CA1B9A860579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DA8822A-4C9D-453E-8F58-DBD8C5086E7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578363</xdr:colOff>
      <xdr:row>0</xdr:row>
      <xdr:rowOff>0</xdr:rowOff>
    </xdr:from>
    <xdr:to>
      <xdr:col>31</xdr:col>
      <xdr:colOff>309396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0466E64-8B50-43B9-AD19-5AA9E4C2F9D8}"/>
            </a:ext>
          </a:extLst>
        </xdr:cNvPr>
        <xdr:cNvGrpSpPr/>
      </xdr:nvGrpSpPr>
      <xdr:grpSpPr>
        <a:xfrm>
          <a:off x="17913863" y="0"/>
          <a:ext cx="1588408" cy="1143000"/>
          <a:chOff x="16865055" y="0"/>
          <a:chExt cx="1612288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6BCC2E47-B433-4BCC-88F6-1E28023B4EF3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8DF9789F-5FDE-4873-838D-C34ED186F767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DCF7D8CD-6325-420D-9175-18ED1BA3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307704</xdr:colOff>
      <xdr:row>0</xdr:row>
      <xdr:rowOff>0</xdr:rowOff>
    </xdr:from>
    <xdr:to>
      <xdr:col>37</xdr:col>
      <xdr:colOff>19643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79510F27-C8F4-4C6B-A3DE-081A571BBBA8}"/>
            </a:ext>
          </a:extLst>
        </xdr:cNvPr>
        <xdr:cNvGrpSpPr/>
      </xdr:nvGrpSpPr>
      <xdr:grpSpPr>
        <a:xfrm>
          <a:off x="21357954" y="0"/>
          <a:ext cx="1569314" cy="1143000"/>
          <a:chOff x="20516395" y="0"/>
          <a:chExt cx="1592907" cy="1162050"/>
        </a:xfrm>
      </xdr:grpSpPr>
      <xdr:sp macro="" textlink="">
        <xdr:nvSpPr>
          <xdr:cNvPr id="81" name="Retângulo 80">
            <a:extLst>
              <a:ext uri="{FF2B5EF4-FFF2-40B4-BE49-F238E27FC236}">
                <a16:creationId xmlns:a16="http://schemas.microsoft.com/office/drawing/2014/main" id="{5F206A7C-72E7-4201-8414-DE8F9BC7E2CF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2E25AB0F-18EF-4F0D-B27E-3D5C115239EB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83" name="Imagem 1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12C2387B-F3DC-4EEE-BAEF-56790CCE81C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40</xdr:col>
      <xdr:colOff>17951</xdr:colOff>
      <xdr:row>0</xdr:row>
      <xdr:rowOff>0</xdr:rowOff>
    </xdr:from>
    <xdr:to>
      <xdr:col>42</xdr:col>
      <xdr:colOff>346208</xdr:colOff>
      <xdr:row>3</xdr:row>
      <xdr:rowOff>0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E365BC9-76B0-4679-963E-5E28D6DE52A1}"/>
            </a:ext>
          </a:extLst>
        </xdr:cNvPr>
        <xdr:cNvGrpSpPr/>
      </xdr:nvGrpSpPr>
      <xdr:grpSpPr>
        <a:xfrm>
          <a:off x="24782951" y="0"/>
          <a:ext cx="1566507" cy="1143000"/>
          <a:chOff x="24148354" y="0"/>
          <a:chExt cx="1590058" cy="1162050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6EF21886-39F9-4F03-9629-6BD08AF06EF2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3E59B5F7-0920-47F6-A62F-8AAA8B3AA4AB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87" name="Imagem 17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8E22EC6F-A9C4-4770-A5A5-A5213C066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344516</xdr:colOff>
      <xdr:row>0</xdr:row>
      <xdr:rowOff>0</xdr:rowOff>
    </xdr:from>
    <xdr:to>
      <xdr:col>48</xdr:col>
      <xdr:colOff>71557</xdr:colOff>
      <xdr:row>3</xdr:row>
      <xdr:rowOff>0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B099C409-00F4-4A95-ABAF-EC2AC77F9BEE}"/>
            </a:ext>
          </a:extLst>
        </xdr:cNvPr>
        <xdr:cNvGrpSpPr/>
      </xdr:nvGrpSpPr>
      <xdr:grpSpPr>
        <a:xfrm>
          <a:off x="28205141" y="0"/>
          <a:ext cx="1584416" cy="1143000"/>
          <a:chOff x="27777464" y="0"/>
          <a:chExt cx="1598568" cy="1162050"/>
        </a:xfrm>
      </xdr:grpSpPr>
      <xdr:sp macro="" textlink="">
        <xdr:nvSpPr>
          <xdr:cNvPr id="89" name="Retângulo 88">
            <a:extLst>
              <a:ext uri="{FF2B5EF4-FFF2-40B4-BE49-F238E27FC236}">
                <a16:creationId xmlns:a16="http://schemas.microsoft.com/office/drawing/2014/main" id="{B2383C5E-4D01-4BF6-B9E1-55748C1DF5FB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0" name="CaixaDeTexto 89">
            <a:extLst>
              <a:ext uri="{FF2B5EF4-FFF2-40B4-BE49-F238E27FC236}">
                <a16:creationId xmlns:a16="http://schemas.microsoft.com/office/drawing/2014/main" id="{853E61AB-7D19-406E-BB22-1303730B76FE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91" name="Imagem 17">
            <a:hlinkClick xmlns:r="http://schemas.openxmlformats.org/officeDocument/2006/relationships" r:id="rId35"/>
            <a:extLst>
              <a:ext uri="{FF2B5EF4-FFF2-40B4-BE49-F238E27FC236}">
                <a16:creationId xmlns:a16="http://schemas.microsoft.com/office/drawing/2014/main" id="{80CA1699-AAD3-4B20-B927-95AFDFFDA09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6" cstate="print">
            <a:extLst>
              <a:ext uri="{BEBA8EAE-BF5A-486C-A8C5-ECC9F3942E4B}">
                <a14:imgProps xmlns:a14="http://schemas.microsoft.com/office/drawing/2010/main">
                  <a14:imgLayer r:embed="rId3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51</xdr:col>
      <xdr:colOff>69865</xdr:colOff>
      <xdr:row>0</xdr:row>
      <xdr:rowOff>1</xdr:rowOff>
    </xdr:from>
    <xdr:to>
      <xdr:col>53</xdr:col>
      <xdr:colOff>406506</xdr:colOff>
      <xdr:row>3</xdr:row>
      <xdr:rowOff>0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D6E2E7A3-94EB-4C31-A856-92039744810C}"/>
            </a:ext>
          </a:extLst>
        </xdr:cNvPr>
        <xdr:cNvGrpSpPr/>
      </xdr:nvGrpSpPr>
      <xdr:grpSpPr>
        <a:xfrm>
          <a:off x="31645240" y="1"/>
          <a:ext cx="1574891" cy="1142999"/>
          <a:chOff x="31415083" y="0"/>
          <a:chExt cx="1598568" cy="1162049"/>
        </a:xfrm>
      </xdr:grpSpPr>
      <xdr:sp macro="" textlink="">
        <xdr:nvSpPr>
          <xdr:cNvPr id="93" name="Retângulo 92">
            <a:extLst>
              <a:ext uri="{FF2B5EF4-FFF2-40B4-BE49-F238E27FC236}">
                <a16:creationId xmlns:a16="http://schemas.microsoft.com/office/drawing/2014/main" id="{C2F38DB7-93F0-4840-88D1-ADBD1035C332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755D7BFE-27A1-49AB-86F5-68728CDF9FC4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95" name="Imagem 94" descr="Ícone do banco de dados (símbolo png) preto">
            <a:hlinkClick xmlns:r="http://schemas.openxmlformats.org/officeDocument/2006/relationships" r:id="rId38"/>
            <a:extLst>
              <a:ext uri="{FF2B5EF4-FFF2-40B4-BE49-F238E27FC236}">
                <a16:creationId xmlns:a16="http://schemas.microsoft.com/office/drawing/2014/main" id="{46A3A032-3F87-4285-9278-CE9A86D1CC99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9" cstate="print">
            <a:extLst>
              <a:ext uri="{BEBA8EAE-BF5A-486C-A8C5-ECC9F3942E4B}">
                <a14:imgProps xmlns:a14="http://schemas.microsoft.com/office/drawing/2010/main">
                  <a14:imgLayer r:embed="rId4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56</xdr:col>
      <xdr:colOff>404812</xdr:colOff>
      <xdr:row>0</xdr:row>
      <xdr:rowOff>211500</xdr:rowOff>
    </xdr:from>
    <xdr:to>
      <xdr:col>57</xdr:col>
      <xdr:colOff>520395</xdr:colOff>
      <xdr:row>2</xdr:row>
      <xdr:rowOff>169500</xdr:rowOff>
    </xdr:to>
    <xdr:sp macro="[0]!BotaoComLogin" textlink="">
      <xdr:nvSpPr>
        <xdr:cNvPr id="96" name="Círculo: Vazio 95">
          <a:extLst>
            <a:ext uri="{FF2B5EF4-FFF2-40B4-BE49-F238E27FC236}">
              <a16:creationId xmlns:a16="http://schemas.microsoft.com/office/drawing/2014/main" id="{FD99729C-EE6D-430D-A45F-49D80C3FD136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54</xdr:col>
      <xdr:colOff>528637</xdr:colOff>
      <xdr:row>3</xdr:row>
      <xdr:rowOff>243450</xdr:rowOff>
    </xdr:from>
    <xdr:to>
      <xdr:col>62</xdr:col>
      <xdr:colOff>23812</xdr:colOff>
      <xdr:row>6</xdr:row>
      <xdr:rowOff>66112</xdr:rowOff>
    </xdr:to>
    <xdr:sp macro="" textlink="">
      <xdr:nvSpPr>
        <xdr:cNvPr id="98" name="Retângulo 9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F91B0AFE-E2F5-4B15-AE5F-6671A59BD004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139395</xdr:colOff>
      <xdr:row>1</xdr:row>
      <xdr:rowOff>133894</xdr:rowOff>
    </xdr:from>
    <xdr:to>
      <xdr:col>8</xdr:col>
      <xdr:colOff>579455</xdr:colOff>
      <xdr:row>2</xdr:row>
      <xdr:rowOff>7325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476220</xdr:colOff>
      <xdr:row>0</xdr:row>
      <xdr:rowOff>91651</xdr:rowOff>
    </xdr:from>
    <xdr:to>
      <xdr:col>8</xdr:col>
      <xdr:colOff>217181</xdr:colOff>
      <xdr:row>1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1F9C3C95-B681-4E24-8A10-6C4D209A5DD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606954</xdr:colOff>
      <xdr:row>0</xdr:row>
      <xdr:rowOff>0</xdr:rowOff>
    </xdr:from>
    <xdr:to>
      <xdr:col>8</xdr:col>
      <xdr:colOff>835993</xdr:colOff>
      <xdr:row>3</xdr:row>
      <xdr:rowOff>0</xdr:rowOff>
    </xdr:to>
    <xdr:grpSp>
      <xdr:nvGrpSpPr>
        <xdr:cNvPr id="54" name="Agrupar 5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827A82-C177-4187-9DC4-FE79057F2C7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1704" y="0"/>
          <a:ext cx="1467289" cy="1143000"/>
          <a:chOff x="1993654" y="0"/>
          <a:chExt cx="1022595" cy="781538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C2D832D7-FBE7-40C0-AB57-A17113800AC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6" name="Imagem 9">
            <a:extLst>
              <a:ext uri="{FF2B5EF4-FFF2-40B4-BE49-F238E27FC236}">
                <a16:creationId xmlns:a16="http://schemas.microsoft.com/office/drawing/2014/main" id="{E2B058A0-3D11-4862-9EE8-BFF0143DCF6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287EB84F-348A-4DDB-8A22-CAA01199112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9</xdr:col>
      <xdr:colOff>1595348</xdr:colOff>
      <xdr:row>0</xdr:row>
      <xdr:rowOff>0</xdr:rowOff>
    </xdr:from>
    <xdr:to>
      <xdr:col>10</xdr:col>
      <xdr:colOff>353375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23CC6D21-6C41-4F98-A253-60C365CD1BB3}"/>
            </a:ext>
          </a:extLst>
        </xdr:cNvPr>
        <xdr:cNvGrpSpPr/>
      </xdr:nvGrpSpPr>
      <xdr:grpSpPr>
        <a:xfrm>
          <a:off x="7643723" y="0"/>
          <a:ext cx="1567902" cy="1143000"/>
          <a:chOff x="5966368" y="0"/>
          <a:chExt cx="1591474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E47558C4-8FDA-463E-9566-1CC8BFD99A02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F82CAEFC-E9E2-4072-B8F5-5F6D512FA21F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1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3B9BC2E-771B-4EBD-8F86-783709C2FC3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10</xdr:col>
      <xdr:colOff>2208105</xdr:colOff>
      <xdr:row>0</xdr:row>
      <xdr:rowOff>0</xdr:rowOff>
    </xdr:from>
    <xdr:to>
      <xdr:col>10</xdr:col>
      <xdr:colOff>3782994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CBA0083F-4ABF-44DD-9DEC-072B101D76F2}"/>
            </a:ext>
          </a:extLst>
        </xdr:cNvPr>
        <xdr:cNvGrpSpPr/>
      </xdr:nvGrpSpPr>
      <xdr:grpSpPr>
        <a:xfrm>
          <a:off x="11066355" y="0"/>
          <a:ext cx="1574889" cy="1143000"/>
          <a:chOff x="9596894" y="0"/>
          <a:chExt cx="1598566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7761037A-C11B-4B3E-B3F7-70D488D21D47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4C80F247-7CE5-4A99-B4A7-26284DB66A23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5" name="Imagem 6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8E65183-EEF2-469D-BE6D-522FF948D6E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1065724</xdr:colOff>
      <xdr:row>0</xdr:row>
      <xdr:rowOff>0</xdr:rowOff>
    </xdr:from>
    <xdr:to>
      <xdr:col>11</xdr:col>
      <xdr:colOff>2633643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5293C58C-A119-48F5-A787-D0441CA90310}"/>
            </a:ext>
          </a:extLst>
        </xdr:cNvPr>
        <xdr:cNvGrpSpPr/>
      </xdr:nvGrpSpPr>
      <xdr:grpSpPr>
        <a:xfrm>
          <a:off x="14495974" y="0"/>
          <a:ext cx="1567919" cy="1143000"/>
          <a:chOff x="13234512" y="0"/>
          <a:chExt cx="159149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2D62C146-41E9-4193-B748-FD9609A5FCEB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3CBACB6B-D2CF-41CB-8947-727AC0DC7BEC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753B42A-51C5-4A5D-B585-9B7C26B6B1C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1678498</xdr:colOff>
      <xdr:row>0</xdr:row>
      <xdr:rowOff>0</xdr:rowOff>
    </xdr:from>
    <xdr:to>
      <xdr:col>13</xdr:col>
      <xdr:colOff>790406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6512715B-D551-4F52-B97A-59AA193BC57F}"/>
            </a:ext>
          </a:extLst>
        </xdr:cNvPr>
        <xdr:cNvGrpSpPr/>
      </xdr:nvGrpSpPr>
      <xdr:grpSpPr>
        <a:xfrm>
          <a:off x="17918623" y="0"/>
          <a:ext cx="1588408" cy="1143000"/>
          <a:chOff x="16865055" y="0"/>
          <a:chExt cx="1612288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A4B4EACC-F4EB-47AD-ACEA-AC88911AE247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D109744F-120B-4EE5-946E-BEA88EA90064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3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AD44F33-8C39-4B24-B659-DE8A21C02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2645136</xdr:colOff>
      <xdr:row>0</xdr:row>
      <xdr:rowOff>0</xdr:rowOff>
    </xdr:from>
    <xdr:to>
      <xdr:col>13</xdr:col>
      <xdr:colOff>4214450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AF335EDF-32E7-43D5-8755-B81C7592C192}"/>
            </a:ext>
          </a:extLst>
        </xdr:cNvPr>
        <xdr:cNvGrpSpPr/>
      </xdr:nvGrpSpPr>
      <xdr:grpSpPr>
        <a:xfrm>
          <a:off x="21361761" y="0"/>
          <a:ext cx="1569314" cy="1143000"/>
          <a:chOff x="20516395" y="0"/>
          <a:chExt cx="1592907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F48DDBD4-7CC9-48AF-999A-219606A20D30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B59C8A39-2F60-42A2-8EBD-139C9C33FD29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7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941102C-0937-4E40-8093-30F5FF86C2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1259055</xdr:colOff>
      <xdr:row>0</xdr:row>
      <xdr:rowOff>0</xdr:rowOff>
    </xdr:from>
    <xdr:to>
      <xdr:col>14</xdr:col>
      <xdr:colOff>2825562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8F49E88D-5EAD-4CE5-949B-8F98F611769A}"/>
            </a:ext>
          </a:extLst>
        </xdr:cNvPr>
        <xdr:cNvGrpSpPr/>
      </xdr:nvGrpSpPr>
      <xdr:grpSpPr>
        <a:xfrm>
          <a:off x="24785805" y="0"/>
          <a:ext cx="1566507" cy="1143000"/>
          <a:chOff x="24148354" y="0"/>
          <a:chExt cx="1590058" cy="1162050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93AAA970-6A37-42CF-829A-8B062DA47883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08647A94-244D-4938-8732-E44796333CA4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81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280CA755-8E13-4A0E-BD8A-56324397A0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13042</xdr:colOff>
      <xdr:row>0</xdr:row>
      <xdr:rowOff>0</xdr:rowOff>
    </xdr:from>
    <xdr:to>
      <xdr:col>18</xdr:col>
      <xdr:colOff>359208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F2B736E9-55BF-4C77-9EB1-BAE00DAFBA4D}"/>
            </a:ext>
          </a:extLst>
        </xdr:cNvPr>
        <xdr:cNvGrpSpPr/>
      </xdr:nvGrpSpPr>
      <xdr:grpSpPr>
        <a:xfrm>
          <a:off x="28207042" y="0"/>
          <a:ext cx="1584416" cy="1143000"/>
          <a:chOff x="27777464" y="0"/>
          <a:chExt cx="1598568" cy="1162050"/>
        </a:xfrm>
      </xdr:grpSpPr>
      <xdr:sp macro="" textlink="">
        <xdr:nvSpPr>
          <xdr:cNvPr id="83" name="Retângulo 82">
            <a:extLst>
              <a:ext uri="{FF2B5EF4-FFF2-40B4-BE49-F238E27FC236}">
                <a16:creationId xmlns:a16="http://schemas.microsoft.com/office/drawing/2014/main" id="{26620F51-9829-4D25-BB8D-4145798FD6C3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7B31487D-1310-4BC5-963D-FFFD2F6163AD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5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DEDDE55-2EA9-43EB-84FA-085F15E1E6F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356563</xdr:colOff>
      <xdr:row>0</xdr:row>
      <xdr:rowOff>1</xdr:rowOff>
    </xdr:from>
    <xdr:to>
      <xdr:col>24</xdr:col>
      <xdr:colOff>74079</xdr:colOff>
      <xdr:row>3</xdr:row>
      <xdr:rowOff>0</xdr:rowOff>
    </xdr:to>
    <xdr:grpSp>
      <xdr:nvGrpSpPr>
        <xdr:cNvPr id="86" name="Agrupar 85">
          <a:extLst>
            <a:ext uri="{FF2B5EF4-FFF2-40B4-BE49-F238E27FC236}">
              <a16:creationId xmlns:a16="http://schemas.microsoft.com/office/drawing/2014/main" id="{454BA7F2-F49E-418D-AB44-B25D4D72DDB1}"/>
            </a:ext>
          </a:extLst>
        </xdr:cNvPr>
        <xdr:cNvGrpSpPr/>
      </xdr:nvGrpSpPr>
      <xdr:grpSpPr>
        <a:xfrm>
          <a:off x="31646188" y="1"/>
          <a:ext cx="1574891" cy="1142999"/>
          <a:chOff x="31415083" y="0"/>
          <a:chExt cx="1598568" cy="1162049"/>
        </a:xfrm>
      </xdr:grpSpPr>
      <xdr:sp macro="" textlink="">
        <xdr:nvSpPr>
          <xdr:cNvPr id="87" name="Retângulo 86">
            <a:extLst>
              <a:ext uri="{FF2B5EF4-FFF2-40B4-BE49-F238E27FC236}">
                <a16:creationId xmlns:a16="http://schemas.microsoft.com/office/drawing/2014/main" id="{4C3005B7-53FE-4626-9AA7-7CB657846AA5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AC807430-05C7-4D85-B6D2-D8B0780730CF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9" name="Imagem 88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78B54CC-65D3-4DC9-B311-E4B7AB918632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27</xdr:col>
      <xdr:colOff>71437</xdr:colOff>
      <xdr:row>0</xdr:row>
      <xdr:rowOff>211500</xdr:rowOff>
    </xdr:from>
    <xdr:to>
      <xdr:col>28</xdr:col>
      <xdr:colOff>187020</xdr:colOff>
      <xdr:row>2</xdr:row>
      <xdr:rowOff>169500</xdr:rowOff>
    </xdr:to>
    <xdr:sp macro="[0]!BotaoComLogin" textlink="">
      <xdr:nvSpPr>
        <xdr:cNvPr id="90" name="Círculo: Vazio 89">
          <a:extLst>
            <a:ext uri="{FF2B5EF4-FFF2-40B4-BE49-F238E27FC236}">
              <a16:creationId xmlns:a16="http://schemas.microsoft.com/office/drawing/2014/main" id="{059DBD88-32CC-4D45-AA5B-4C75C6347FE6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92" name="Retângulo 9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ACC1421-D4A1-425A-B147-1543D62E5530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9</xdr:col>
      <xdr:colOff>317929</xdr:colOff>
      <xdr:row>3</xdr:row>
      <xdr:rowOff>243450</xdr:rowOff>
    </xdr:from>
    <xdr:to>
      <xdr:col>10</xdr:col>
      <xdr:colOff>1851454</xdr:colOff>
      <xdr:row>6</xdr:row>
      <xdr:rowOff>66112</xdr:rowOff>
    </xdr:to>
    <xdr:sp macro="" textlink="">
      <xdr:nvSpPr>
        <xdr:cNvPr id="93" name="Retângulo 9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60EBFE46-1275-4EDC-8FE5-66AC61DDB686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10</xdr:col>
      <xdr:colOff>2744856</xdr:colOff>
      <xdr:row>3</xdr:row>
      <xdr:rowOff>243450</xdr:rowOff>
    </xdr:from>
    <xdr:to>
      <xdr:col>12</xdr:col>
      <xdr:colOff>137744</xdr:colOff>
      <xdr:row>6</xdr:row>
      <xdr:rowOff>66112</xdr:rowOff>
    </xdr:to>
    <xdr:sp macro="" textlink="">
      <xdr:nvSpPr>
        <xdr:cNvPr id="94" name="Retângulo 9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99FC5C4-A3C7-4C05-B603-FFE1D6D8D0DD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12</xdr:col>
      <xdr:colOff>1031146</xdr:colOff>
      <xdr:row>3</xdr:row>
      <xdr:rowOff>243450</xdr:rowOff>
    </xdr:from>
    <xdr:to>
      <xdr:col>13</xdr:col>
      <xdr:colOff>2528606</xdr:colOff>
      <xdr:row>6</xdr:row>
      <xdr:rowOff>66112</xdr:rowOff>
    </xdr:to>
    <xdr:sp macro="" textlink="">
      <xdr:nvSpPr>
        <xdr:cNvPr id="95" name="Retângulo 9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B33B19A-EDD1-403A-85A9-C5691B7F41A3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3422008</xdr:colOff>
      <xdr:row>3</xdr:row>
      <xdr:rowOff>243450</xdr:rowOff>
    </xdr:from>
    <xdr:to>
      <xdr:col>14</xdr:col>
      <xdr:colOff>3390712</xdr:colOff>
      <xdr:row>6</xdr:row>
      <xdr:rowOff>66112</xdr:rowOff>
    </xdr:to>
    <xdr:sp macro="" textlink="">
      <xdr:nvSpPr>
        <xdr:cNvPr id="96" name="Retângulo 95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98D2061D-9A1E-4F85-BD4F-F486A755D2B5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15</xdr:col>
      <xdr:colOff>235989</xdr:colOff>
      <xdr:row>3</xdr:row>
      <xdr:rowOff>243450</xdr:rowOff>
    </xdr:from>
    <xdr:to>
      <xdr:col>23</xdr:col>
      <xdr:colOff>540109</xdr:colOff>
      <xdr:row>6</xdr:row>
      <xdr:rowOff>66112</xdr:rowOff>
    </xdr:to>
    <xdr:sp macro="" textlink="">
      <xdr:nvSpPr>
        <xdr:cNvPr id="97" name="Retângulo 96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D215669-6AC9-48C1-947D-EA90C58F624F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25</xdr:col>
      <xdr:colOff>195262</xdr:colOff>
      <xdr:row>3</xdr:row>
      <xdr:rowOff>243450</xdr:rowOff>
    </xdr:from>
    <xdr:to>
      <xdr:col>32</xdr:col>
      <xdr:colOff>309562</xdr:colOff>
      <xdr:row>6</xdr:row>
      <xdr:rowOff>66112</xdr:rowOff>
    </xdr:to>
    <xdr:sp macro="" textlink="">
      <xdr:nvSpPr>
        <xdr:cNvPr id="98" name="Retângulo 9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1AABE0A0-91AF-402C-A7F4-1A3168BB37C8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606120</xdr:colOff>
      <xdr:row>1</xdr:row>
      <xdr:rowOff>133894</xdr:rowOff>
    </xdr:from>
    <xdr:to>
      <xdr:col>8</xdr:col>
      <xdr:colOff>493730</xdr:colOff>
      <xdr:row>2</xdr:row>
      <xdr:rowOff>7325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333345</xdr:colOff>
      <xdr:row>0</xdr:row>
      <xdr:rowOff>91651</xdr:rowOff>
    </xdr:from>
    <xdr:to>
      <xdr:col>8</xdr:col>
      <xdr:colOff>131456</xdr:colOff>
      <xdr:row>1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78E0B168-43C7-486B-B886-6D70BB61C28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606002</xdr:colOff>
      <xdr:row>0</xdr:row>
      <xdr:rowOff>0</xdr:rowOff>
    </xdr:from>
    <xdr:to>
      <xdr:col>9</xdr:col>
      <xdr:colOff>225441</xdr:colOff>
      <xdr:row>3</xdr:row>
      <xdr:rowOff>0</xdr:rowOff>
    </xdr:to>
    <xdr:grpSp>
      <xdr:nvGrpSpPr>
        <xdr:cNvPr id="90" name="Agrupar 8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6E78AE-76DF-4430-AE98-8FB02707D36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0752" y="0"/>
          <a:ext cx="1476814" cy="1143000"/>
          <a:chOff x="1993654" y="0"/>
          <a:chExt cx="1022595" cy="781538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0AC9A2EB-4C09-486B-8A8C-EF655890E68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2" name="Imagem 9">
            <a:extLst>
              <a:ext uri="{FF2B5EF4-FFF2-40B4-BE49-F238E27FC236}">
                <a16:creationId xmlns:a16="http://schemas.microsoft.com/office/drawing/2014/main" id="{41AFCB61-0F3F-4DCF-8721-6ED4A52594D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4E2ECDA8-75D3-4CFE-AD8F-D0A1A2D6D03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888594</xdr:colOff>
      <xdr:row>0</xdr:row>
      <xdr:rowOff>0</xdr:rowOff>
    </xdr:from>
    <xdr:to>
      <xdr:col>11</xdr:col>
      <xdr:colOff>2456496</xdr:colOff>
      <xdr:row>3</xdr:row>
      <xdr:rowOff>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AD183EED-7511-4885-A757-3854C0494EF3}"/>
            </a:ext>
          </a:extLst>
        </xdr:cNvPr>
        <xdr:cNvGrpSpPr/>
      </xdr:nvGrpSpPr>
      <xdr:grpSpPr>
        <a:xfrm>
          <a:off x="7651344" y="0"/>
          <a:ext cx="1567902" cy="1143000"/>
          <a:chOff x="5966368" y="0"/>
          <a:chExt cx="1591474" cy="1162050"/>
        </a:xfrm>
      </xdr:grpSpPr>
      <xdr:sp macro="" textlink="">
        <xdr:nvSpPr>
          <xdr:cNvPr id="95" name="Retângulo 94">
            <a:extLst>
              <a:ext uri="{FF2B5EF4-FFF2-40B4-BE49-F238E27FC236}">
                <a16:creationId xmlns:a16="http://schemas.microsoft.com/office/drawing/2014/main" id="{3D1EC42A-8460-4C28-937D-AB534EEEC9CF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6" name="CaixaDeTexto 95">
            <a:extLst>
              <a:ext uri="{FF2B5EF4-FFF2-40B4-BE49-F238E27FC236}">
                <a16:creationId xmlns:a16="http://schemas.microsoft.com/office/drawing/2014/main" id="{D2C74E6A-53C8-48A2-BEA6-4A2EF3D87639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DC27C92-2A12-4F43-ACA3-D42182CB190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12</xdr:col>
      <xdr:colOff>1214649</xdr:colOff>
      <xdr:row>0</xdr:row>
      <xdr:rowOff>0</xdr:rowOff>
    </xdr:from>
    <xdr:to>
      <xdr:col>13</xdr:col>
      <xdr:colOff>122538</xdr:colOff>
      <xdr:row>3</xdr:row>
      <xdr:rowOff>0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2C238711-A8A4-469F-97B7-BD8F36157D90}"/>
            </a:ext>
          </a:extLst>
        </xdr:cNvPr>
        <xdr:cNvGrpSpPr/>
      </xdr:nvGrpSpPr>
      <xdr:grpSpPr>
        <a:xfrm>
          <a:off x="11073024" y="0"/>
          <a:ext cx="1574889" cy="1143000"/>
          <a:chOff x="9596894" y="0"/>
          <a:chExt cx="1598566" cy="1162050"/>
        </a:xfrm>
      </xdr:grpSpPr>
      <xdr:sp macro="" textlink="">
        <xdr:nvSpPr>
          <xdr:cNvPr id="99" name="Retângulo 98">
            <a:extLst>
              <a:ext uri="{FF2B5EF4-FFF2-40B4-BE49-F238E27FC236}">
                <a16:creationId xmlns:a16="http://schemas.microsoft.com/office/drawing/2014/main" id="{605AD655-414E-4699-8C4A-D67AE9D16D9F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530F9425-FD7C-4968-892A-A0E119458918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1" name="Imagem 10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3616793-204A-4828-942A-A203C8B6C4C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1976316</xdr:colOff>
      <xdr:row>0</xdr:row>
      <xdr:rowOff>0</xdr:rowOff>
    </xdr:from>
    <xdr:to>
      <xdr:col>13</xdr:col>
      <xdr:colOff>3544235</xdr:colOff>
      <xdr:row>3</xdr:row>
      <xdr:rowOff>0</xdr:rowOff>
    </xdr:to>
    <xdr:grpSp>
      <xdr:nvGrpSpPr>
        <xdr:cNvPr id="102" name="Agrupar 101">
          <a:extLst>
            <a:ext uri="{FF2B5EF4-FFF2-40B4-BE49-F238E27FC236}">
              <a16:creationId xmlns:a16="http://schemas.microsoft.com/office/drawing/2014/main" id="{19C9961A-93F7-4E92-865E-584E73BB97E0}"/>
            </a:ext>
          </a:extLst>
        </xdr:cNvPr>
        <xdr:cNvGrpSpPr/>
      </xdr:nvGrpSpPr>
      <xdr:grpSpPr>
        <a:xfrm>
          <a:off x="14501691" y="0"/>
          <a:ext cx="1567919" cy="1143000"/>
          <a:chOff x="13234512" y="0"/>
          <a:chExt cx="1591491" cy="1162050"/>
        </a:xfrm>
      </xdr:grpSpPr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39C83FF4-58FC-41B2-B84C-898A03E782A1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85AF6309-3B3B-416F-A2DA-40205022B427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8414AE2-25A8-4FF5-8369-9B87B41BCF7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1064138</xdr:colOff>
      <xdr:row>0</xdr:row>
      <xdr:rowOff>0</xdr:rowOff>
    </xdr:from>
    <xdr:to>
      <xdr:col>14</xdr:col>
      <xdr:colOff>2652546</xdr:colOff>
      <xdr:row>3</xdr:row>
      <xdr:rowOff>0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914EF6B4-D79D-4F03-8081-35B9EE324241}"/>
            </a:ext>
          </a:extLst>
        </xdr:cNvPr>
        <xdr:cNvGrpSpPr/>
      </xdr:nvGrpSpPr>
      <xdr:grpSpPr>
        <a:xfrm>
          <a:off x="17923388" y="0"/>
          <a:ext cx="1588408" cy="1143000"/>
          <a:chOff x="16865055" y="0"/>
          <a:chExt cx="1612288" cy="1162050"/>
        </a:xfrm>
      </xdr:grpSpPr>
      <xdr:sp macro="" textlink="">
        <xdr:nvSpPr>
          <xdr:cNvPr id="107" name="Retângulo 106">
            <a:extLst>
              <a:ext uri="{FF2B5EF4-FFF2-40B4-BE49-F238E27FC236}">
                <a16:creationId xmlns:a16="http://schemas.microsoft.com/office/drawing/2014/main" id="{1B0C4ABF-406C-40A1-BE81-F7700A97CC5E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8399898E-2C6C-41E2-80DF-129EA8E56337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26BF3AA3-DD4B-48C0-8FB5-D609AE853E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1601199</xdr:colOff>
      <xdr:row>0</xdr:row>
      <xdr:rowOff>0</xdr:rowOff>
    </xdr:from>
    <xdr:to>
      <xdr:col>16</xdr:col>
      <xdr:colOff>27263</xdr:colOff>
      <xdr:row>3</xdr:row>
      <xdr:rowOff>0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CE01CF0E-14F3-4483-BEDF-C7B684E0E19B}"/>
            </a:ext>
          </a:extLst>
        </xdr:cNvPr>
        <xdr:cNvGrpSpPr/>
      </xdr:nvGrpSpPr>
      <xdr:grpSpPr>
        <a:xfrm>
          <a:off x="21365574" y="0"/>
          <a:ext cx="1569314" cy="1143000"/>
          <a:chOff x="20516395" y="0"/>
          <a:chExt cx="1592907" cy="1162050"/>
        </a:xfrm>
      </xdr:grpSpPr>
      <xdr:sp macro="" textlink="">
        <xdr:nvSpPr>
          <xdr:cNvPr id="111" name="Retângulo 110">
            <a:extLst>
              <a:ext uri="{FF2B5EF4-FFF2-40B4-BE49-F238E27FC236}">
                <a16:creationId xmlns:a16="http://schemas.microsoft.com/office/drawing/2014/main" id="{1C4084F7-67DB-4F07-8BB1-0289810881CD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78A00ECC-292D-4962-A9FC-C837AE06DEA3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98E95E3-D478-4A16-A99A-D0A9F984DC8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1881041</xdr:colOff>
      <xdr:row>0</xdr:row>
      <xdr:rowOff>0</xdr:rowOff>
    </xdr:from>
    <xdr:to>
      <xdr:col>16</xdr:col>
      <xdr:colOff>3447548</xdr:colOff>
      <xdr:row>3</xdr:row>
      <xdr:rowOff>0</xdr:rowOff>
    </xdr:to>
    <xdr:grpSp>
      <xdr:nvGrpSpPr>
        <xdr:cNvPr id="114" name="Agrupar 113">
          <a:extLst>
            <a:ext uri="{FF2B5EF4-FFF2-40B4-BE49-F238E27FC236}">
              <a16:creationId xmlns:a16="http://schemas.microsoft.com/office/drawing/2014/main" id="{5CF89F97-EF75-4F09-A8B4-CA3D70BDDD00}"/>
            </a:ext>
          </a:extLst>
        </xdr:cNvPr>
        <xdr:cNvGrpSpPr/>
      </xdr:nvGrpSpPr>
      <xdr:grpSpPr>
        <a:xfrm>
          <a:off x="24788666" y="0"/>
          <a:ext cx="1566507" cy="1143000"/>
          <a:chOff x="24148354" y="0"/>
          <a:chExt cx="1590058" cy="1162050"/>
        </a:xfrm>
      </xdr:grpSpPr>
      <xdr:sp macro="" textlink="">
        <xdr:nvSpPr>
          <xdr:cNvPr id="115" name="Retângulo 114">
            <a:extLst>
              <a:ext uri="{FF2B5EF4-FFF2-40B4-BE49-F238E27FC236}">
                <a16:creationId xmlns:a16="http://schemas.microsoft.com/office/drawing/2014/main" id="{2844B00C-9603-43F4-A651-18FFD20E6E4B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CEAFDC6A-7701-46DC-91EA-CA7DEA595CD2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7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6BA37F03-2782-4296-B2BF-71CEF16E79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1634201</xdr:colOff>
      <xdr:row>0</xdr:row>
      <xdr:rowOff>0</xdr:rowOff>
    </xdr:from>
    <xdr:to>
      <xdr:col>18</xdr:col>
      <xdr:colOff>265867</xdr:colOff>
      <xdr:row>3</xdr:row>
      <xdr:rowOff>0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DBCBF86A-6CC0-4044-B4E0-759A5D3FD16B}"/>
            </a:ext>
          </a:extLst>
        </xdr:cNvPr>
        <xdr:cNvGrpSpPr/>
      </xdr:nvGrpSpPr>
      <xdr:grpSpPr>
        <a:xfrm>
          <a:off x="28208951" y="0"/>
          <a:ext cx="1584416" cy="1143000"/>
          <a:chOff x="27777464" y="0"/>
          <a:chExt cx="1598568" cy="1162050"/>
        </a:xfrm>
      </xdr:grpSpPr>
      <xdr:sp macro="" textlink="">
        <xdr:nvSpPr>
          <xdr:cNvPr id="119" name="Retângulo 118">
            <a:extLst>
              <a:ext uri="{FF2B5EF4-FFF2-40B4-BE49-F238E27FC236}">
                <a16:creationId xmlns:a16="http://schemas.microsoft.com/office/drawing/2014/main" id="{77991BF8-87B9-4555-8871-96D9B93A0450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44669E11-2EFC-407D-9DBF-8BEC575F6B1B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1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C473D14B-8565-45ED-9E11-08EFA1B3E23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262270</xdr:colOff>
      <xdr:row>0</xdr:row>
      <xdr:rowOff>1</xdr:rowOff>
    </xdr:from>
    <xdr:to>
      <xdr:col>23</xdr:col>
      <xdr:colOff>598911</xdr:colOff>
      <xdr:row>3</xdr:row>
      <xdr:rowOff>0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0CFD7A83-95E7-4CCA-9903-4DCB0F1C0DEF}"/>
            </a:ext>
          </a:extLst>
        </xdr:cNvPr>
        <xdr:cNvGrpSpPr/>
      </xdr:nvGrpSpPr>
      <xdr:grpSpPr>
        <a:xfrm>
          <a:off x="31647145" y="1"/>
          <a:ext cx="1574891" cy="1142999"/>
          <a:chOff x="31415083" y="0"/>
          <a:chExt cx="1598568" cy="1162049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0B4694BE-E677-4AB7-8C18-B5AFD2BA9A6F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CaixaDeTexto 123">
            <a:extLst>
              <a:ext uri="{FF2B5EF4-FFF2-40B4-BE49-F238E27FC236}">
                <a16:creationId xmlns:a16="http://schemas.microsoft.com/office/drawing/2014/main" id="{FC6A7E29-0204-4A62-8104-E922E7D864D5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5" name="Imagem 124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9D2591F-53A7-462A-AF5D-19CCB9C65BD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26</xdr:col>
      <xdr:colOff>595312</xdr:colOff>
      <xdr:row>0</xdr:row>
      <xdr:rowOff>211500</xdr:rowOff>
    </xdr:from>
    <xdr:to>
      <xdr:col>28</xdr:col>
      <xdr:colOff>91770</xdr:colOff>
      <xdr:row>2</xdr:row>
      <xdr:rowOff>169500</xdr:rowOff>
    </xdr:to>
    <xdr:sp macro="[0]!BotaoComLogin" textlink="">
      <xdr:nvSpPr>
        <xdr:cNvPr id="126" name="Círculo: Vazio 125">
          <a:extLst>
            <a:ext uri="{FF2B5EF4-FFF2-40B4-BE49-F238E27FC236}">
              <a16:creationId xmlns:a16="http://schemas.microsoft.com/office/drawing/2014/main" id="{E830ED3B-79F8-4B1B-BAD9-3BD4CC946F9C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128" name="Retângulo 12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29F4FF3-47B9-458B-90B2-22691C0C6B06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12</xdr:col>
      <xdr:colOff>851329</xdr:colOff>
      <xdr:row>6</xdr:row>
      <xdr:rowOff>66112</xdr:rowOff>
    </xdr:to>
    <xdr:sp macro="" textlink="">
      <xdr:nvSpPr>
        <xdr:cNvPr id="129" name="Retângulo 12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71EB0E3-3C69-4FB5-99E6-EA19B0B15B35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12</xdr:col>
      <xdr:colOff>1744731</xdr:colOff>
      <xdr:row>3</xdr:row>
      <xdr:rowOff>243450</xdr:rowOff>
    </xdr:from>
    <xdr:to>
      <xdr:col>13</xdr:col>
      <xdr:colOff>3852494</xdr:colOff>
      <xdr:row>6</xdr:row>
      <xdr:rowOff>66112</xdr:rowOff>
    </xdr:to>
    <xdr:sp macro="" textlink="">
      <xdr:nvSpPr>
        <xdr:cNvPr id="130" name="Retângulo 129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B9FB622B-7353-43EA-A346-1C21B6C9B828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412021</xdr:colOff>
      <xdr:row>3</xdr:row>
      <xdr:rowOff>243450</xdr:rowOff>
    </xdr:from>
    <xdr:to>
      <xdr:col>15</xdr:col>
      <xdr:colOff>1480856</xdr:colOff>
      <xdr:row>6</xdr:row>
      <xdr:rowOff>66112</xdr:rowOff>
    </xdr:to>
    <xdr:sp macro="" textlink="">
      <xdr:nvSpPr>
        <xdr:cNvPr id="131" name="Retângulo 13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D4B8480-EBDE-489D-A0A8-23FDB5B4BB0D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15</xdr:col>
      <xdr:colOff>2374258</xdr:colOff>
      <xdr:row>3</xdr:row>
      <xdr:rowOff>243450</xdr:rowOff>
    </xdr:from>
    <xdr:to>
      <xdr:col>17</xdr:col>
      <xdr:colOff>342712</xdr:colOff>
      <xdr:row>6</xdr:row>
      <xdr:rowOff>66112</xdr:rowOff>
    </xdr:to>
    <xdr:sp macro="" textlink="">
      <xdr:nvSpPr>
        <xdr:cNvPr id="132" name="Retângulo 13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50CDC00-9096-4292-A004-1C6B63FF5C0B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1236114</xdr:colOff>
      <xdr:row>3</xdr:row>
      <xdr:rowOff>243450</xdr:rowOff>
    </xdr:from>
    <xdr:to>
      <xdr:col>23</xdr:col>
      <xdr:colOff>444859</xdr:colOff>
      <xdr:row>6</xdr:row>
      <xdr:rowOff>66112</xdr:rowOff>
    </xdr:to>
    <xdr:sp macro="" textlink="">
      <xdr:nvSpPr>
        <xdr:cNvPr id="133" name="Retângulo 13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DB938BF-8194-49EC-9491-C238B6FD0245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25</xdr:col>
      <xdr:colOff>100012</xdr:colOff>
      <xdr:row>3</xdr:row>
      <xdr:rowOff>243450</xdr:rowOff>
    </xdr:from>
    <xdr:to>
      <xdr:col>32</xdr:col>
      <xdr:colOff>214312</xdr:colOff>
      <xdr:row>6</xdr:row>
      <xdr:rowOff>66112</xdr:rowOff>
    </xdr:to>
    <xdr:sp macro="" textlink="">
      <xdr:nvSpPr>
        <xdr:cNvPr id="134" name="Retângulo 13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15070690-62E9-446D-ABB5-E3CBAE6CFE29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ED705771-E13F-49DB-8DC7-59D0031386E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605049</xdr:colOff>
      <xdr:row>0</xdr:row>
      <xdr:rowOff>0</xdr:rowOff>
    </xdr:from>
    <xdr:to>
      <xdr:col>9</xdr:col>
      <xdr:colOff>234013</xdr:colOff>
      <xdr:row>3</xdr:row>
      <xdr:rowOff>0</xdr:rowOff>
    </xdr:to>
    <xdr:grpSp>
      <xdr:nvGrpSpPr>
        <xdr:cNvPr id="90" name="Agrupar 8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1C4C1E-21B6-4BFE-B5CD-D77F4A96C26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19799" y="0"/>
          <a:ext cx="1486339" cy="1143000"/>
          <a:chOff x="1993654" y="0"/>
          <a:chExt cx="1022595" cy="781538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EF565C2B-7B74-4081-8BFE-970B57B70C7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2" name="Imagem 9">
            <a:extLst>
              <a:ext uri="{FF2B5EF4-FFF2-40B4-BE49-F238E27FC236}">
                <a16:creationId xmlns:a16="http://schemas.microsoft.com/office/drawing/2014/main" id="{632242FD-7419-426F-AC0F-270F714FF75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7B87EB5D-A24B-41BD-A80E-F69B9F66209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991463</xdr:colOff>
      <xdr:row>0</xdr:row>
      <xdr:rowOff>0</xdr:rowOff>
    </xdr:from>
    <xdr:to>
      <xdr:col>11</xdr:col>
      <xdr:colOff>2559365</xdr:colOff>
      <xdr:row>3</xdr:row>
      <xdr:rowOff>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7ED66DE5-34D0-47C7-8DFC-01B3DBDC9E9F}"/>
            </a:ext>
          </a:extLst>
        </xdr:cNvPr>
        <xdr:cNvGrpSpPr/>
      </xdr:nvGrpSpPr>
      <xdr:grpSpPr>
        <a:xfrm>
          <a:off x="7658963" y="0"/>
          <a:ext cx="1567902" cy="1143000"/>
          <a:chOff x="5966368" y="0"/>
          <a:chExt cx="1591474" cy="1162050"/>
        </a:xfrm>
      </xdr:grpSpPr>
      <xdr:sp macro="" textlink="">
        <xdr:nvSpPr>
          <xdr:cNvPr id="95" name="Retângulo 94">
            <a:extLst>
              <a:ext uri="{FF2B5EF4-FFF2-40B4-BE49-F238E27FC236}">
                <a16:creationId xmlns:a16="http://schemas.microsoft.com/office/drawing/2014/main" id="{DC45C97C-0281-4DA1-BA04-A311A54ED1EB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6" name="CaixaDeTexto 95">
            <a:extLst>
              <a:ext uri="{FF2B5EF4-FFF2-40B4-BE49-F238E27FC236}">
                <a16:creationId xmlns:a16="http://schemas.microsoft.com/office/drawing/2014/main" id="{A2A1C27A-350E-4D1C-BFE7-DA89CCC6ECA1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7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EB38D68-66E1-496F-B945-D8FBE0BFF27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12</xdr:col>
      <xdr:colOff>1697565</xdr:colOff>
      <xdr:row>0</xdr:row>
      <xdr:rowOff>0</xdr:rowOff>
    </xdr:from>
    <xdr:to>
      <xdr:col>13</xdr:col>
      <xdr:colOff>843579</xdr:colOff>
      <xdr:row>3</xdr:row>
      <xdr:rowOff>0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FA6B481B-8FD6-4C8F-85ED-CAC685481802}"/>
            </a:ext>
          </a:extLst>
        </xdr:cNvPr>
        <xdr:cNvGrpSpPr/>
      </xdr:nvGrpSpPr>
      <xdr:grpSpPr>
        <a:xfrm>
          <a:off x="11079690" y="0"/>
          <a:ext cx="1574889" cy="1143000"/>
          <a:chOff x="9596894" y="0"/>
          <a:chExt cx="1598566" cy="1162050"/>
        </a:xfrm>
      </xdr:grpSpPr>
      <xdr:sp macro="" textlink="">
        <xdr:nvSpPr>
          <xdr:cNvPr id="99" name="Retângulo 98">
            <a:extLst>
              <a:ext uri="{FF2B5EF4-FFF2-40B4-BE49-F238E27FC236}">
                <a16:creationId xmlns:a16="http://schemas.microsoft.com/office/drawing/2014/main" id="{4B4A45D0-602F-425E-A050-AC0066B7A3D1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16178F79-527D-41B5-8011-F7FEF9742FD2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1" name="Imagem 10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D562CF7-815C-4705-A037-BE6ECE967B5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2696404</xdr:colOff>
      <xdr:row>0</xdr:row>
      <xdr:rowOff>0</xdr:rowOff>
    </xdr:from>
    <xdr:to>
      <xdr:col>14</xdr:col>
      <xdr:colOff>1454448</xdr:colOff>
      <xdr:row>3</xdr:row>
      <xdr:rowOff>0</xdr:rowOff>
    </xdr:to>
    <xdr:grpSp>
      <xdr:nvGrpSpPr>
        <xdr:cNvPr id="102" name="Agrupar 101">
          <a:extLst>
            <a:ext uri="{FF2B5EF4-FFF2-40B4-BE49-F238E27FC236}">
              <a16:creationId xmlns:a16="http://schemas.microsoft.com/office/drawing/2014/main" id="{8A47A95F-3268-4EAB-8C19-D5CF41858DD2}"/>
            </a:ext>
          </a:extLst>
        </xdr:cNvPr>
        <xdr:cNvGrpSpPr/>
      </xdr:nvGrpSpPr>
      <xdr:grpSpPr>
        <a:xfrm>
          <a:off x="14507404" y="0"/>
          <a:ext cx="1567919" cy="1143000"/>
          <a:chOff x="13234512" y="0"/>
          <a:chExt cx="1591491" cy="1162050"/>
        </a:xfrm>
      </xdr:grpSpPr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692A2D89-86DB-4400-8D4E-DB48ACCB15E4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33B4D623-359E-4F9D-B093-E1F1219C5F6B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5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94E21A9-0A19-4FCA-9B1A-9476AAFF8F7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3307273</xdr:colOff>
      <xdr:row>0</xdr:row>
      <xdr:rowOff>0</xdr:rowOff>
    </xdr:from>
    <xdr:to>
      <xdr:col>15</xdr:col>
      <xdr:colOff>85556</xdr:colOff>
      <xdr:row>3</xdr:row>
      <xdr:rowOff>0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26F25D67-5726-4B1F-A7A9-71E7622420A5}"/>
            </a:ext>
          </a:extLst>
        </xdr:cNvPr>
        <xdr:cNvGrpSpPr/>
      </xdr:nvGrpSpPr>
      <xdr:grpSpPr>
        <a:xfrm>
          <a:off x="17928148" y="0"/>
          <a:ext cx="1588408" cy="1143000"/>
          <a:chOff x="16865055" y="0"/>
          <a:chExt cx="1612288" cy="1162050"/>
        </a:xfrm>
      </xdr:grpSpPr>
      <xdr:sp macro="" textlink="">
        <xdr:nvSpPr>
          <xdr:cNvPr id="107" name="Retângulo 106">
            <a:extLst>
              <a:ext uri="{FF2B5EF4-FFF2-40B4-BE49-F238E27FC236}">
                <a16:creationId xmlns:a16="http://schemas.microsoft.com/office/drawing/2014/main" id="{2ED18086-E8BA-4708-9DAE-8FF77B45B529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54F69214-B3A2-40A1-B8C8-CDA3FACF912C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D1D3940A-7F74-4EA8-BD1D-967F6E2AD6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1938381</xdr:colOff>
      <xdr:row>0</xdr:row>
      <xdr:rowOff>0</xdr:rowOff>
    </xdr:from>
    <xdr:to>
      <xdr:col>16</xdr:col>
      <xdr:colOff>983570</xdr:colOff>
      <xdr:row>3</xdr:row>
      <xdr:rowOff>0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1671D4CA-B0C1-4EEB-9BFC-A17F8DB04B18}"/>
            </a:ext>
          </a:extLst>
        </xdr:cNvPr>
        <xdr:cNvGrpSpPr/>
      </xdr:nvGrpSpPr>
      <xdr:grpSpPr>
        <a:xfrm>
          <a:off x="21369381" y="0"/>
          <a:ext cx="1569314" cy="1143000"/>
          <a:chOff x="20516395" y="0"/>
          <a:chExt cx="1592907" cy="1162050"/>
        </a:xfrm>
      </xdr:grpSpPr>
      <xdr:sp macro="" textlink="">
        <xdr:nvSpPr>
          <xdr:cNvPr id="111" name="Retângulo 110">
            <a:extLst>
              <a:ext uri="{FF2B5EF4-FFF2-40B4-BE49-F238E27FC236}">
                <a16:creationId xmlns:a16="http://schemas.microsoft.com/office/drawing/2014/main" id="{73F19507-8762-4D14-844E-9F0D70CAB657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D0983610-8555-4349-8F95-A544E1220232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3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1C3A900-3C57-4F51-87C7-90CBE6DB5F9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836145</xdr:colOff>
      <xdr:row>0</xdr:row>
      <xdr:rowOff>0</xdr:rowOff>
    </xdr:from>
    <xdr:to>
      <xdr:col>17</xdr:col>
      <xdr:colOff>2402652</xdr:colOff>
      <xdr:row>3</xdr:row>
      <xdr:rowOff>0</xdr:rowOff>
    </xdr:to>
    <xdr:grpSp>
      <xdr:nvGrpSpPr>
        <xdr:cNvPr id="114" name="Agrupar 113">
          <a:extLst>
            <a:ext uri="{FF2B5EF4-FFF2-40B4-BE49-F238E27FC236}">
              <a16:creationId xmlns:a16="http://schemas.microsoft.com/office/drawing/2014/main" id="{172C7B3C-3C84-48D4-A9F8-931EEE387D43}"/>
            </a:ext>
          </a:extLst>
        </xdr:cNvPr>
        <xdr:cNvGrpSpPr/>
      </xdr:nvGrpSpPr>
      <xdr:grpSpPr>
        <a:xfrm>
          <a:off x="24791520" y="0"/>
          <a:ext cx="1566507" cy="1143000"/>
          <a:chOff x="24148354" y="0"/>
          <a:chExt cx="1590058" cy="1162050"/>
        </a:xfrm>
      </xdr:grpSpPr>
      <xdr:sp macro="" textlink="">
        <xdr:nvSpPr>
          <xdr:cNvPr id="115" name="Retângulo 114">
            <a:extLst>
              <a:ext uri="{FF2B5EF4-FFF2-40B4-BE49-F238E27FC236}">
                <a16:creationId xmlns:a16="http://schemas.microsoft.com/office/drawing/2014/main" id="{683063E5-8ACB-4E6C-8F04-1C6ACA359940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C3A8085B-87A4-4DCA-850B-F0F22444F405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7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4CC8B84C-1BE8-4F68-89E1-0984ACC406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731227</xdr:colOff>
      <xdr:row>0</xdr:row>
      <xdr:rowOff>0</xdr:rowOff>
    </xdr:from>
    <xdr:to>
      <xdr:col>18</xdr:col>
      <xdr:colOff>2315643</xdr:colOff>
      <xdr:row>3</xdr:row>
      <xdr:rowOff>0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E93F03C0-06E0-4039-845E-A69FF0D0ECB6}"/>
            </a:ext>
          </a:extLst>
        </xdr:cNvPr>
        <xdr:cNvGrpSpPr/>
      </xdr:nvGrpSpPr>
      <xdr:grpSpPr>
        <a:xfrm>
          <a:off x="28210852" y="0"/>
          <a:ext cx="1584416" cy="1143000"/>
          <a:chOff x="27777464" y="0"/>
          <a:chExt cx="1598568" cy="1162050"/>
        </a:xfrm>
      </xdr:grpSpPr>
      <xdr:sp macro="" textlink="">
        <xdr:nvSpPr>
          <xdr:cNvPr id="119" name="Retângulo 118">
            <a:extLst>
              <a:ext uri="{FF2B5EF4-FFF2-40B4-BE49-F238E27FC236}">
                <a16:creationId xmlns:a16="http://schemas.microsoft.com/office/drawing/2014/main" id="{D0407287-ED7A-4232-9818-2522849B9B5E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7A1EC3DE-782C-4377-934C-9E8856908EEB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1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D05DAD03-F03C-47A0-8BFD-2C43DEBE751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596593</xdr:colOff>
      <xdr:row>0</xdr:row>
      <xdr:rowOff>1</xdr:rowOff>
    </xdr:from>
    <xdr:to>
      <xdr:col>23</xdr:col>
      <xdr:colOff>314109</xdr:colOff>
      <xdr:row>3</xdr:row>
      <xdr:rowOff>0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9E55BACA-CF34-4D02-954F-01BFE99F7828}"/>
            </a:ext>
          </a:extLst>
        </xdr:cNvPr>
        <xdr:cNvGrpSpPr/>
      </xdr:nvGrpSpPr>
      <xdr:grpSpPr>
        <a:xfrm>
          <a:off x="31648093" y="1"/>
          <a:ext cx="1574891" cy="1142999"/>
          <a:chOff x="31415083" y="0"/>
          <a:chExt cx="1598568" cy="1162049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011038F1-9CA6-4EC5-8C8C-69F6F10B00C7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CaixaDeTexto 123">
            <a:extLst>
              <a:ext uri="{FF2B5EF4-FFF2-40B4-BE49-F238E27FC236}">
                <a16:creationId xmlns:a16="http://schemas.microsoft.com/office/drawing/2014/main" id="{482BCD39-BCB3-4F60-8A60-45794AA64520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5" name="Imagem 124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61621DC9-18AD-4699-8AC3-D9ACFC936623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26</xdr:col>
      <xdr:colOff>309562</xdr:colOff>
      <xdr:row>0</xdr:row>
      <xdr:rowOff>211500</xdr:rowOff>
    </xdr:from>
    <xdr:to>
      <xdr:col>27</xdr:col>
      <xdr:colOff>425145</xdr:colOff>
      <xdr:row>2</xdr:row>
      <xdr:rowOff>169500</xdr:rowOff>
    </xdr:to>
    <xdr:sp macro="[0]!BotaoComLogin" textlink="">
      <xdr:nvSpPr>
        <xdr:cNvPr id="126" name="Círculo: Vazio 125">
          <a:extLst>
            <a:ext uri="{FF2B5EF4-FFF2-40B4-BE49-F238E27FC236}">
              <a16:creationId xmlns:a16="http://schemas.microsoft.com/office/drawing/2014/main" id="{CC4BF55F-FC60-48F2-84E0-3203B1C87EB9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128" name="Retângulo 12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259079FD-BCAA-496E-9D2D-9A74F4630474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12</xdr:col>
      <xdr:colOff>1327579</xdr:colOff>
      <xdr:row>6</xdr:row>
      <xdr:rowOff>66112</xdr:rowOff>
    </xdr:to>
    <xdr:sp macro="" textlink="">
      <xdr:nvSpPr>
        <xdr:cNvPr id="129" name="Retângulo 128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6DD77440-70B2-4448-8E1A-DC1F7D56BD18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12</xdr:col>
      <xdr:colOff>2220981</xdr:colOff>
      <xdr:row>3</xdr:row>
      <xdr:rowOff>243450</xdr:rowOff>
    </xdr:from>
    <xdr:to>
      <xdr:col>14</xdr:col>
      <xdr:colOff>1756994</xdr:colOff>
      <xdr:row>6</xdr:row>
      <xdr:rowOff>66112</xdr:rowOff>
    </xdr:to>
    <xdr:sp macro="" textlink="">
      <xdr:nvSpPr>
        <xdr:cNvPr id="130" name="Retângulo 12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D431E9E3-7F6D-44C4-95B5-6C88E5F2EAEA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2650396</xdr:colOff>
      <xdr:row>3</xdr:row>
      <xdr:rowOff>243450</xdr:rowOff>
    </xdr:from>
    <xdr:to>
      <xdr:col>15</xdr:col>
      <xdr:colOff>1814231</xdr:colOff>
      <xdr:row>6</xdr:row>
      <xdr:rowOff>66112</xdr:rowOff>
    </xdr:to>
    <xdr:sp macro="" textlink="">
      <xdr:nvSpPr>
        <xdr:cNvPr id="131" name="Retângulo 130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074084D-094E-4A0C-85B4-BA72BDD5EE03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183508</xdr:colOff>
      <xdr:row>3</xdr:row>
      <xdr:rowOff>243450</xdr:rowOff>
    </xdr:from>
    <xdr:to>
      <xdr:col>17</xdr:col>
      <xdr:colOff>2962087</xdr:colOff>
      <xdr:row>6</xdr:row>
      <xdr:rowOff>66112</xdr:rowOff>
    </xdr:to>
    <xdr:sp macro="" textlink="">
      <xdr:nvSpPr>
        <xdr:cNvPr id="132" name="Retângulo 131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412C7C84-2D0D-4CD6-924D-B9A243DEE61B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331239</xdr:colOff>
      <xdr:row>3</xdr:row>
      <xdr:rowOff>243450</xdr:rowOff>
    </xdr:from>
    <xdr:to>
      <xdr:col>23</xdr:col>
      <xdr:colOff>159109</xdr:colOff>
      <xdr:row>6</xdr:row>
      <xdr:rowOff>66112</xdr:rowOff>
    </xdr:to>
    <xdr:sp macro="" textlink="">
      <xdr:nvSpPr>
        <xdr:cNvPr id="133" name="Retângulo 13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EB1D0518-B9FA-4390-AB01-A13DE7CDD89A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433387</xdr:colOff>
      <xdr:row>3</xdr:row>
      <xdr:rowOff>243450</xdr:rowOff>
    </xdr:from>
    <xdr:to>
      <xdr:col>31</xdr:col>
      <xdr:colOff>547687</xdr:colOff>
      <xdr:row>6</xdr:row>
      <xdr:rowOff>66112</xdr:rowOff>
    </xdr:to>
    <xdr:sp macro="" textlink="">
      <xdr:nvSpPr>
        <xdr:cNvPr id="134" name="Retângulo 13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BE8A8D4-C286-487B-A72E-AB3B5EF68D65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606120</xdr:colOff>
      <xdr:row>1</xdr:row>
      <xdr:rowOff>133894</xdr:rowOff>
    </xdr:from>
    <xdr:to>
      <xdr:col>8</xdr:col>
      <xdr:colOff>493730</xdr:colOff>
      <xdr:row>2</xdr:row>
      <xdr:rowOff>7325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333345</xdr:colOff>
      <xdr:row>0</xdr:row>
      <xdr:rowOff>91651</xdr:rowOff>
    </xdr:from>
    <xdr:to>
      <xdr:col>8</xdr:col>
      <xdr:colOff>131456</xdr:colOff>
      <xdr:row>1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1</xdr:colOff>
      <xdr:row>0</xdr:row>
      <xdr:rowOff>0</xdr:rowOff>
    </xdr:from>
    <xdr:to>
      <xdr:col>4</xdr:col>
      <xdr:colOff>0</xdr:colOff>
      <xdr:row>3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846649FC-E11E-403B-8563-72070AE078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1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613623</xdr:colOff>
      <xdr:row>0</xdr:row>
      <xdr:rowOff>0</xdr:rowOff>
    </xdr:from>
    <xdr:to>
      <xdr:col>9</xdr:col>
      <xdr:colOff>242587</xdr:colOff>
      <xdr:row>3</xdr:row>
      <xdr:rowOff>0</xdr:rowOff>
    </xdr:to>
    <xdr:grpSp>
      <xdr:nvGrpSpPr>
        <xdr:cNvPr id="90" name="Agrupar 8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43603B4-7442-48D1-8EE8-85A5D490A25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8373" y="0"/>
          <a:ext cx="1486339" cy="1143000"/>
          <a:chOff x="1993654" y="0"/>
          <a:chExt cx="1022595" cy="781538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2625BA67-33A5-4C20-9C22-D27EF71A983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2" name="Imagem 9">
            <a:extLst>
              <a:ext uri="{FF2B5EF4-FFF2-40B4-BE49-F238E27FC236}">
                <a16:creationId xmlns:a16="http://schemas.microsoft.com/office/drawing/2014/main" id="{4EF9F1FF-FF7D-49D8-BD8C-576CFD4C7AF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CF7E7790-2DAF-45D7-8B7B-AAA86913A5B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999085</xdr:colOff>
      <xdr:row>0</xdr:row>
      <xdr:rowOff>0</xdr:rowOff>
    </xdr:from>
    <xdr:to>
      <xdr:col>12</xdr:col>
      <xdr:colOff>185737</xdr:colOff>
      <xdr:row>3</xdr:row>
      <xdr:rowOff>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0D9BA2C9-073B-4511-A126-4379F2EFE2BE}"/>
            </a:ext>
          </a:extLst>
        </xdr:cNvPr>
        <xdr:cNvGrpSpPr/>
      </xdr:nvGrpSpPr>
      <xdr:grpSpPr>
        <a:xfrm>
          <a:off x="7666585" y="0"/>
          <a:ext cx="1567902" cy="1143000"/>
          <a:chOff x="5966368" y="0"/>
          <a:chExt cx="1591474" cy="1162050"/>
        </a:xfrm>
      </xdr:grpSpPr>
      <xdr:sp macro="" textlink="">
        <xdr:nvSpPr>
          <xdr:cNvPr id="95" name="Retângulo 94">
            <a:extLst>
              <a:ext uri="{FF2B5EF4-FFF2-40B4-BE49-F238E27FC236}">
                <a16:creationId xmlns:a16="http://schemas.microsoft.com/office/drawing/2014/main" id="{24F826E3-E6C2-4DAD-A59F-5A493065EF4F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6" name="CaixaDeTexto 95">
            <a:extLst>
              <a:ext uri="{FF2B5EF4-FFF2-40B4-BE49-F238E27FC236}">
                <a16:creationId xmlns:a16="http://schemas.microsoft.com/office/drawing/2014/main" id="{1346897A-A99F-4A66-86A6-00D67DE5A2DA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B8FA11-F11E-4E33-A159-743B0FCD0C7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12</xdr:col>
      <xdr:colOff>2037610</xdr:colOff>
      <xdr:row>0</xdr:row>
      <xdr:rowOff>0</xdr:rowOff>
    </xdr:from>
    <xdr:to>
      <xdr:col>13</xdr:col>
      <xdr:colOff>1088374</xdr:colOff>
      <xdr:row>3</xdr:row>
      <xdr:rowOff>0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A924470B-C8C5-4502-9834-AE14B5F6F8B2}"/>
            </a:ext>
          </a:extLst>
        </xdr:cNvPr>
        <xdr:cNvGrpSpPr/>
      </xdr:nvGrpSpPr>
      <xdr:grpSpPr>
        <a:xfrm>
          <a:off x="11086360" y="0"/>
          <a:ext cx="1574889" cy="1143000"/>
          <a:chOff x="9596894" y="0"/>
          <a:chExt cx="1598566" cy="1162050"/>
        </a:xfrm>
      </xdr:grpSpPr>
      <xdr:sp macro="" textlink="">
        <xdr:nvSpPr>
          <xdr:cNvPr id="99" name="Retângulo 98">
            <a:extLst>
              <a:ext uri="{FF2B5EF4-FFF2-40B4-BE49-F238E27FC236}">
                <a16:creationId xmlns:a16="http://schemas.microsoft.com/office/drawing/2014/main" id="{1C23DB9F-4DE0-46C9-8331-ED18BF94CECC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4D53DCB8-643A-491C-BD25-F3D679A8D7B2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1" name="Imagem 10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195139F-E24D-412C-9BD5-48852D55195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463747</xdr:colOff>
      <xdr:row>0</xdr:row>
      <xdr:rowOff>0</xdr:rowOff>
    </xdr:from>
    <xdr:to>
      <xdr:col>14</xdr:col>
      <xdr:colOff>2031666</xdr:colOff>
      <xdr:row>3</xdr:row>
      <xdr:rowOff>0</xdr:rowOff>
    </xdr:to>
    <xdr:grpSp>
      <xdr:nvGrpSpPr>
        <xdr:cNvPr id="102" name="Agrupar 101">
          <a:extLst>
            <a:ext uri="{FF2B5EF4-FFF2-40B4-BE49-F238E27FC236}">
              <a16:creationId xmlns:a16="http://schemas.microsoft.com/office/drawing/2014/main" id="{48CC6BDB-F185-470B-9CDA-4504E897567C}"/>
            </a:ext>
          </a:extLst>
        </xdr:cNvPr>
        <xdr:cNvGrpSpPr/>
      </xdr:nvGrpSpPr>
      <xdr:grpSpPr>
        <a:xfrm>
          <a:off x="14513122" y="0"/>
          <a:ext cx="1567919" cy="1143000"/>
          <a:chOff x="13234512" y="0"/>
          <a:chExt cx="1591491" cy="1162050"/>
        </a:xfrm>
      </xdr:grpSpPr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A21F5834-1BA2-4022-8CA2-E15AC4E01B37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B944A024-1BD8-465E-9F65-39D746B62073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E95B7C80-F13F-4A6C-89B6-7BFC3957A01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1454664</xdr:colOff>
      <xdr:row>0</xdr:row>
      <xdr:rowOff>0</xdr:rowOff>
    </xdr:from>
    <xdr:to>
      <xdr:col>15</xdr:col>
      <xdr:colOff>3043072</xdr:colOff>
      <xdr:row>3</xdr:row>
      <xdr:rowOff>0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F155517F-FD95-4B1E-AC7B-7E719FD7AEFC}"/>
            </a:ext>
          </a:extLst>
        </xdr:cNvPr>
        <xdr:cNvGrpSpPr/>
      </xdr:nvGrpSpPr>
      <xdr:grpSpPr>
        <a:xfrm>
          <a:off x="17932914" y="0"/>
          <a:ext cx="1588408" cy="1143000"/>
          <a:chOff x="16865055" y="0"/>
          <a:chExt cx="1612288" cy="1162050"/>
        </a:xfrm>
      </xdr:grpSpPr>
      <xdr:sp macro="" textlink="">
        <xdr:nvSpPr>
          <xdr:cNvPr id="107" name="Retângulo 106">
            <a:extLst>
              <a:ext uri="{FF2B5EF4-FFF2-40B4-BE49-F238E27FC236}">
                <a16:creationId xmlns:a16="http://schemas.microsoft.com/office/drawing/2014/main" id="{21741737-DB7E-47C6-8203-B06E72874DA1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E6956F30-1B01-42CC-9478-3B566B710AA0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45ABA41-7F02-4453-A229-7EDA5C94FD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608695</xdr:colOff>
      <xdr:row>0</xdr:row>
      <xdr:rowOff>0</xdr:rowOff>
    </xdr:from>
    <xdr:to>
      <xdr:col>19</xdr:col>
      <xdr:colOff>320634</xdr:colOff>
      <xdr:row>3</xdr:row>
      <xdr:rowOff>0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3350BD68-1D0C-40FE-9D4B-CA6C8E57F9EF}"/>
            </a:ext>
          </a:extLst>
        </xdr:cNvPr>
        <xdr:cNvGrpSpPr/>
      </xdr:nvGrpSpPr>
      <xdr:grpSpPr>
        <a:xfrm>
          <a:off x="21373195" y="0"/>
          <a:ext cx="1569314" cy="1143000"/>
          <a:chOff x="20516395" y="0"/>
          <a:chExt cx="1592907" cy="1162050"/>
        </a:xfrm>
      </xdr:grpSpPr>
      <xdr:sp macro="" textlink="">
        <xdr:nvSpPr>
          <xdr:cNvPr id="111" name="Retângulo 110">
            <a:extLst>
              <a:ext uri="{FF2B5EF4-FFF2-40B4-BE49-F238E27FC236}">
                <a16:creationId xmlns:a16="http://schemas.microsoft.com/office/drawing/2014/main" id="{7C4B44D9-C3F9-449E-935F-3BCFCB2F35BB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719D47C7-BC49-4E00-80F4-B68BDFAACEA2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7B2A9F8-A866-4601-B828-80EACEC1209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315132</xdr:colOff>
      <xdr:row>0</xdr:row>
      <xdr:rowOff>0</xdr:rowOff>
    </xdr:from>
    <xdr:to>
      <xdr:col>25</xdr:col>
      <xdr:colOff>24264</xdr:colOff>
      <xdr:row>3</xdr:row>
      <xdr:rowOff>0</xdr:rowOff>
    </xdr:to>
    <xdr:grpSp>
      <xdr:nvGrpSpPr>
        <xdr:cNvPr id="114" name="Agrupar 113">
          <a:extLst>
            <a:ext uri="{FF2B5EF4-FFF2-40B4-BE49-F238E27FC236}">
              <a16:creationId xmlns:a16="http://schemas.microsoft.com/office/drawing/2014/main" id="{824334B0-039E-4B58-B626-4F86B5D20E2F}"/>
            </a:ext>
          </a:extLst>
        </xdr:cNvPr>
        <xdr:cNvGrpSpPr/>
      </xdr:nvGrpSpPr>
      <xdr:grpSpPr>
        <a:xfrm>
          <a:off x="24794382" y="0"/>
          <a:ext cx="1566507" cy="1143000"/>
          <a:chOff x="24148354" y="0"/>
          <a:chExt cx="1590058" cy="1162050"/>
        </a:xfrm>
      </xdr:grpSpPr>
      <xdr:sp macro="" textlink="">
        <xdr:nvSpPr>
          <xdr:cNvPr id="115" name="Retângulo 114">
            <a:extLst>
              <a:ext uri="{FF2B5EF4-FFF2-40B4-BE49-F238E27FC236}">
                <a16:creationId xmlns:a16="http://schemas.microsoft.com/office/drawing/2014/main" id="{9BB07030-2725-48CD-9C3F-9B108EF20BE0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01043E9D-F9B7-4736-8FE9-1BE368B5EB93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7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FBA9E21C-43B1-4FFB-A77E-7294DC303F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18762</xdr:colOff>
      <xdr:row>0</xdr:row>
      <xdr:rowOff>0</xdr:rowOff>
    </xdr:from>
    <xdr:to>
      <xdr:col>30</xdr:col>
      <xdr:colOff>364928</xdr:colOff>
      <xdr:row>3</xdr:row>
      <xdr:rowOff>0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AE7F873D-92F7-40BB-914D-A264E7347301}"/>
            </a:ext>
          </a:extLst>
        </xdr:cNvPr>
        <xdr:cNvGrpSpPr/>
      </xdr:nvGrpSpPr>
      <xdr:grpSpPr>
        <a:xfrm>
          <a:off x="28212762" y="0"/>
          <a:ext cx="1584416" cy="1143000"/>
          <a:chOff x="27777464" y="0"/>
          <a:chExt cx="1598568" cy="1162050"/>
        </a:xfrm>
      </xdr:grpSpPr>
      <xdr:sp macro="" textlink="">
        <xdr:nvSpPr>
          <xdr:cNvPr id="119" name="Retângulo 118">
            <a:extLst>
              <a:ext uri="{FF2B5EF4-FFF2-40B4-BE49-F238E27FC236}">
                <a16:creationId xmlns:a16="http://schemas.microsoft.com/office/drawing/2014/main" id="{702A2D17-2130-4BCD-8A0C-D1B496E9D9FF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98298603-4626-4CF4-8C32-FEB48D122FB0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1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79ED1D50-0194-4E38-A2FD-4E8D3E9EB1A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33</xdr:col>
      <xdr:colOff>359426</xdr:colOff>
      <xdr:row>0</xdr:row>
      <xdr:rowOff>1</xdr:rowOff>
    </xdr:from>
    <xdr:to>
      <xdr:col>36</xdr:col>
      <xdr:colOff>76942</xdr:colOff>
      <xdr:row>3</xdr:row>
      <xdr:rowOff>0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078FDFE8-A18D-49B4-9914-E6E099BB8F8B}"/>
            </a:ext>
          </a:extLst>
        </xdr:cNvPr>
        <xdr:cNvGrpSpPr/>
      </xdr:nvGrpSpPr>
      <xdr:grpSpPr>
        <a:xfrm>
          <a:off x="31649051" y="1"/>
          <a:ext cx="1574891" cy="1142999"/>
          <a:chOff x="31415083" y="0"/>
          <a:chExt cx="1598568" cy="1162049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AAA9E609-BE6C-4292-BF82-EB7E241C3248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CaixaDeTexto 123">
            <a:extLst>
              <a:ext uri="{FF2B5EF4-FFF2-40B4-BE49-F238E27FC236}">
                <a16:creationId xmlns:a16="http://schemas.microsoft.com/office/drawing/2014/main" id="{78089065-29C8-422E-8D28-49A158BC0CE2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5" name="Imagem 124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BE860B73-5D92-4B5C-AC64-89FB894357B9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39</xdr:col>
      <xdr:colOff>71438</xdr:colOff>
      <xdr:row>0</xdr:row>
      <xdr:rowOff>211500</xdr:rowOff>
    </xdr:from>
    <xdr:to>
      <xdr:col>40</xdr:col>
      <xdr:colOff>187021</xdr:colOff>
      <xdr:row>2</xdr:row>
      <xdr:rowOff>169500</xdr:rowOff>
    </xdr:to>
    <xdr:sp macro="[0]!BotaoComLogin" textlink="">
      <xdr:nvSpPr>
        <xdr:cNvPr id="126" name="Círculo: Vazio 125">
          <a:extLst>
            <a:ext uri="{FF2B5EF4-FFF2-40B4-BE49-F238E27FC236}">
              <a16:creationId xmlns:a16="http://schemas.microsoft.com/office/drawing/2014/main" id="{716FF8F2-8E7E-4E94-A299-390D3CE12613}"/>
            </a:ext>
          </a:extLst>
        </xdr:cNvPr>
        <xdr:cNvSpPr>
          <a:spLocks noChangeAspect="1"/>
        </xdr:cNvSpPr>
      </xdr:nvSpPr>
      <xdr:spPr>
        <a:xfrm>
          <a:off x="35075813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136" name="Retângulo 13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1CD6871-621A-43CE-8B81-78B237D3B006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12</xdr:col>
      <xdr:colOff>1660954</xdr:colOff>
      <xdr:row>6</xdr:row>
      <xdr:rowOff>66112</xdr:rowOff>
    </xdr:to>
    <xdr:sp macro="" textlink="">
      <xdr:nvSpPr>
        <xdr:cNvPr id="137" name="Retângulo 13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3870ED1-D13E-4A96-A344-464D18573A39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13</xdr:col>
      <xdr:colOff>30231</xdr:colOff>
      <xdr:row>3</xdr:row>
      <xdr:rowOff>243450</xdr:rowOff>
    </xdr:from>
    <xdr:to>
      <xdr:col>14</xdr:col>
      <xdr:colOff>2328494</xdr:colOff>
      <xdr:row>6</xdr:row>
      <xdr:rowOff>66112</xdr:rowOff>
    </xdr:to>
    <xdr:sp macro="" textlink="">
      <xdr:nvSpPr>
        <xdr:cNvPr id="138" name="Retângulo 13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C8A7AD6-146C-4E69-9F7D-60795C66CE20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15</xdr:col>
      <xdr:colOff>793021</xdr:colOff>
      <xdr:row>3</xdr:row>
      <xdr:rowOff>243450</xdr:rowOff>
    </xdr:from>
    <xdr:to>
      <xdr:col>16</xdr:col>
      <xdr:colOff>480731</xdr:colOff>
      <xdr:row>6</xdr:row>
      <xdr:rowOff>66112</xdr:rowOff>
    </xdr:to>
    <xdr:sp macro="" textlink="">
      <xdr:nvSpPr>
        <xdr:cNvPr id="139" name="Retângulo 13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DE70619-A130-478A-8AB8-4A6FC6D96176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18</xdr:col>
      <xdr:colOff>135883</xdr:colOff>
      <xdr:row>3</xdr:row>
      <xdr:rowOff>243450</xdr:rowOff>
    </xdr:from>
    <xdr:to>
      <xdr:col>25</xdr:col>
      <xdr:colOff>580837</xdr:colOff>
      <xdr:row>6</xdr:row>
      <xdr:rowOff>66112</xdr:rowOff>
    </xdr:to>
    <xdr:sp macro="" textlink="">
      <xdr:nvSpPr>
        <xdr:cNvPr id="140" name="Retângulo 139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30D9A884-AF5F-427A-BDB0-1F7B67964743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27</xdr:col>
      <xdr:colOff>235989</xdr:colOff>
      <xdr:row>3</xdr:row>
      <xdr:rowOff>243450</xdr:rowOff>
    </xdr:from>
    <xdr:to>
      <xdr:col>35</xdr:col>
      <xdr:colOff>540109</xdr:colOff>
      <xdr:row>6</xdr:row>
      <xdr:rowOff>66112</xdr:rowOff>
    </xdr:to>
    <xdr:sp macro="" textlink="">
      <xdr:nvSpPr>
        <xdr:cNvPr id="141" name="Retângulo 140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9006CF4-F048-4FBF-9047-8515BC3187FA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37</xdr:col>
      <xdr:colOff>195262</xdr:colOff>
      <xdr:row>3</xdr:row>
      <xdr:rowOff>243450</xdr:rowOff>
    </xdr:from>
    <xdr:to>
      <xdr:col>44</xdr:col>
      <xdr:colOff>309562</xdr:colOff>
      <xdr:row>6</xdr:row>
      <xdr:rowOff>66112</xdr:rowOff>
    </xdr:to>
    <xdr:sp macro="" textlink="">
      <xdr:nvSpPr>
        <xdr:cNvPr id="142" name="Retângulo 14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B01D374-5AF5-46E0-BA50-4808969D5958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606120</xdr:colOff>
      <xdr:row>1</xdr:row>
      <xdr:rowOff>133894</xdr:rowOff>
    </xdr:from>
    <xdr:to>
      <xdr:col>8</xdr:col>
      <xdr:colOff>493730</xdr:colOff>
      <xdr:row>2</xdr:row>
      <xdr:rowOff>7325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333345</xdr:colOff>
      <xdr:row>0</xdr:row>
      <xdr:rowOff>91651</xdr:rowOff>
    </xdr:from>
    <xdr:to>
      <xdr:col>8</xdr:col>
      <xdr:colOff>131456</xdr:colOff>
      <xdr:row>1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4C1A85C3-7856-4317-A054-435ED803DB5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613622</xdr:colOff>
      <xdr:row>0</xdr:row>
      <xdr:rowOff>0</xdr:rowOff>
    </xdr:from>
    <xdr:to>
      <xdr:col>9</xdr:col>
      <xdr:colOff>242586</xdr:colOff>
      <xdr:row>3</xdr:row>
      <xdr:rowOff>0</xdr:rowOff>
    </xdr:to>
    <xdr:grpSp>
      <xdr:nvGrpSpPr>
        <xdr:cNvPr id="90" name="Agrupar 8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4109D7-3EC8-4D2A-88EE-3DEF5F61B5A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8372" y="0"/>
          <a:ext cx="1486339" cy="1143000"/>
          <a:chOff x="1993654" y="0"/>
          <a:chExt cx="1022595" cy="781538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A27BF787-16B1-40AA-862E-8E33D9A450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2" name="Imagem 9">
            <a:extLst>
              <a:ext uri="{FF2B5EF4-FFF2-40B4-BE49-F238E27FC236}">
                <a16:creationId xmlns:a16="http://schemas.microsoft.com/office/drawing/2014/main" id="{B8B0E758-90A0-427C-913B-C38AFFDF250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EF4082C8-351C-42A2-85DA-C5459C81EB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999084</xdr:colOff>
      <xdr:row>0</xdr:row>
      <xdr:rowOff>0</xdr:rowOff>
    </xdr:from>
    <xdr:to>
      <xdr:col>12</xdr:col>
      <xdr:colOff>185736</xdr:colOff>
      <xdr:row>3</xdr:row>
      <xdr:rowOff>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8AB9B849-DFCD-42EE-B9A4-155D52FAB04D}"/>
            </a:ext>
          </a:extLst>
        </xdr:cNvPr>
        <xdr:cNvGrpSpPr/>
      </xdr:nvGrpSpPr>
      <xdr:grpSpPr>
        <a:xfrm>
          <a:off x="7666584" y="0"/>
          <a:ext cx="1567902" cy="1143000"/>
          <a:chOff x="5966368" y="0"/>
          <a:chExt cx="1591474" cy="1162050"/>
        </a:xfrm>
      </xdr:grpSpPr>
      <xdr:sp macro="" textlink="">
        <xdr:nvSpPr>
          <xdr:cNvPr id="95" name="Retângulo 94">
            <a:extLst>
              <a:ext uri="{FF2B5EF4-FFF2-40B4-BE49-F238E27FC236}">
                <a16:creationId xmlns:a16="http://schemas.microsoft.com/office/drawing/2014/main" id="{F93E2D26-A081-4B79-B415-035B17B6EBDB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6" name="CaixaDeTexto 95">
            <a:extLst>
              <a:ext uri="{FF2B5EF4-FFF2-40B4-BE49-F238E27FC236}">
                <a16:creationId xmlns:a16="http://schemas.microsoft.com/office/drawing/2014/main" id="{DD52188E-A306-448B-AAA0-3CA751484A8D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7E9E373-8B9A-42E4-AF57-F0022BBFE97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12</xdr:col>
      <xdr:colOff>2037609</xdr:colOff>
      <xdr:row>0</xdr:row>
      <xdr:rowOff>0</xdr:rowOff>
    </xdr:from>
    <xdr:to>
      <xdr:col>13</xdr:col>
      <xdr:colOff>1088373</xdr:colOff>
      <xdr:row>3</xdr:row>
      <xdr:rowOff>0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CA1C0F2D-8754-4639-9936-D71B62F6555C}"/>
            </a:ext>
          </a:extLst>
        </xdr:cNvPr>
        <xdr:cNvGrpSpPr/>
      </xdr:nvGrpSpPr>
      <xdr:grpSpPr>
        <a:xfrm>
          <a:off x="11086359" y="0"/>
          <a:ext cx="1574889" cy="1143000"/>
          <a:chOff x="9596894" y="0"/>
          <a:chExt cx="1598566" cy="1162050"/>
        </a:xfrm>
      </xdr:grpSpPr>
      <xdr:sp macro="" textlink="">
        <xdr:nvSpPr>
          <xdr:cNvPr id="99" name="Retângulo 98">
            <a:extLst>
              <a:ext uri="{FF2B5EF4-FFF2-40B4-BE49-F238E27FC236}">
                <a16:creationId xmlns:a16="http://schemas.microsoft.com/office/drawing/2014/main" id="{B4B79095-1DBC-410F-925F-438CBA4C222D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C2656D16-8D28-43B1-A750-B4B7ED348D86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1" name="Imagem 10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6F74DAE-3766-4237-9C41-B65696E6561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463746</xdr:colOff>
      <xdr:row>0</xdr:row>
      <xdr:rowOff>0</xdr:rowOff>
    </xdr:from>
    <xdr:to>
      <xdr:col>14</xdr:col>
      <xdr:colOff>2031665</xdr:colOff>
      <xdr:row>3</xdr:row>
      <xdr:rowOff>0</xdr:rowOff>
    </xdr:to>
    <xdr:grpSp>
      <xdr:nvGrpSpPr>
        <xdr:cNvPr id="102" name="Agrupar 101">
          <a:extLst>
            <a:ext uri="{FF2B5EF4-FFF2-40B4-BE49-F238E27FC236}">
              <a16:creationId xmlns:a16="http://schemas.microsoft.com/office/drawing/2014/main" id="{37AB63D8-5859-4050-B13E-2B144C6BACE7}"/>
            </a:ext>
          </a:extLst>
        </xdr:cNvPr>
        <xdr:cNvGrpSpPr/>
      </xdr:nvGrpSpPr>
      <xdr:grpSpPr>
        <a:xfrm>
          <a:off x="14513121" y="0"/>
          <a:ext cx="1567919" cy="1143000"/>
          <a:chOff x="13234512" y="0"/>
          <a:chExt cx="1591491" cy="1162050"/>
        </a:xfrm>
      </xdr:grpSpPr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07E173DF-960D-43E1-9921-EB79B0865614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01558D46-A805-4516-9E7B-645CC3F29711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BAE2CDD2-B08B-4C9E-8E66-06852CD0C1D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1454663</xdr:colOff>
      <xdr:row>0</xdr:row>
      <xdr:rowOff>0</xdr:rowOff>
    </xdr:from>
    <xdr:to>
      <xdr:col>15</xdr:col>
      <xdr:colOff>3043071</xdr:colOff>
      <xdr:row>3</xdr:row>
      <xdr:rowOff>0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17E0C353-A220-480B-B2D2-B45ACB15D331}"/>
            </a:ext>
          </a:extLst>
        </xdr:cNvPr>
        <xdr:cNvGrpSpPr/>
      </xdr:nvGrpSpPr>
      <xdr:grpSpPr>
        <a:xfrm>
          <a:off x="17932913" y="0"/>
          <a:ext cx="1588408" cy="1143000"/>
          <a:chOff x="16865055" y="0"/>
          <a:chExt cx="1612288" cy="1162050"/>
        </a:xfrm>
      </xdr:grpSpPr>
      <xdr:sp macro="" textlink="">
        <xdr:nvSpPr>
          <xdr:cNvPr id="107" name="Retângulo 106">
            <a:extLst>
              <a:ext uri="{FF2B5EF4-FFF2-40B4-BE49-F238E27FC236}">
                <a16:creationId xmlns:a16="http://schemas.microsoft.com/office/drawing/2014/main" id="{83E272DE-64BA-41D0-95D1-2532EDA419CA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F5F4B001-02CC-4F6A-800B-6D77C2DFBF26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3AD0582-C55E-42BE-939B-9C70ED00A1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608694</xdr:colOff>
      <xdr:row>0</xdr:row>
      <xdr:rowOff>0</xdr:rowOff>
    </xdr:from>
    <xdr:to>
      <xdr:col>19</xdr:col>
      <xdr:colOff>320633</xdr:colOff>
      <xdr:row>3</xdr:row>
      <xdr:rowOff>0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ABF084D2-6C9E-4815-AFFD-EB279E552AE1}"/>
            </a:ext>
          </a:extLst>
        </xdr:cNvPr>
        <xdr:cNvGrpSpPr/>
      </xdr:nvGrpSpPr>
      <xdr:grpSpPr>
        <a:xfrm>
          <a:off x="21373194" y="0"/>
          <a:ext cx="1569314" cy="1143000"/>
          <a:chOff x="20516395" y="0"/>
          <a:chExt cx="1592907" cy="1162050"/>
        </a:xfrm>
      </xdr:grpSpPr>
      <xdr:sp macro="" textlink="">
        <xdr:nvSpPr>
          <xdr:cNvPr id="111" name="Retângulo 110">
            <a:extLst>
              <a:ext uri="{FF2B5EF4-FFF2-40B4-BE49-F238E27FC236}">
                <a16:creationId xmlns:a16="http://schemas.microsoft.com/office/drawing/2014/main" id="{883541F3-422B-4FEC-92D2-694458C5A191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8377FEB4-6873-4DA5-B2E7-ED29BD804D29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3AADE5A-B4D3-43AD-8796-8D936439225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315131</xdr:colOff>
      <xdr:row>0</xdr:row>
      <xdr:rowOff>0</xdr:rowOff>
    </xdr:from>
    <xdr:to>
      <xdr:col>25</xdr:col>
      <xdr:colOff>24263</xdr:colOff>
      <xdr:row>3</xdr:row>
      <xdr:rowOff>0</xdr:rowOff>
    </xdr:to>
    <xdr:grpSp>
      <xdr:nvGrpSpPr>
        <xdr:cNvPr id="114" name="Agrupar 113">
          <a:extLst>
            <a:ext uri="{FF2B5EF4-FFF2-40B4-BE49-F238E27FC236}">
              <a16:creationId xmlns:a16="http://schemas.microsoft.com/office/drawing/2014/main" id="{6846B127-2877-4E7C-B7F3-B95F09733BA9}"/>
            </a:ext>
          </a:extLst>
        </xdr:cNvPr>
        <xdr:cNvGrpSpPr/>
      </xdr:nvGrpSpPr>
      <xdr:grpSpPr>
        <a:xfrm>
          <a:off x="24794381" y="0"/>
          <a:ext cx="1566507" cy="1143000"/>
          <a:chOff x="24148354" y="0"/>
          <a:chExt cx="1590058" cy="1162050"/>
        </a:xfrm>
      </xdr:grpSpPr>
      <xdr:sp macro="" textlink="">
        <xdr:nvSpPr>
          <xdr:cNvPr id="115" name="Retângulo 114">
            <a:extLst>
              <a:ext uri="{FF2B5EF4-FFF2-40B4-BE49-F238E27FC236}">
                <a16:creationId xmlns:a16="http://schemas.microsoft.com/office/drawing/2014/main" id="{7B70A8E0-6A88-4B50-9969-18923DA43E64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61DDD6BC-5E10-4512-AE94-DEEA201EFDAB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7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496BFAC4-6733-4531-A9A7-AA1FDEB763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18761</xdr:colOff>
      <xdr:row>0</xdr:row>
      <xdr:rowOff>0</xdr:rowOff>
    </xdr:from>
    <xdr:to>
      <xdr:col>30</xdr:col>
      <xdr:colOff>364927</xdr:colOff>
      <xdr:row>3</xdr:row>
      <xdr:rowOff>0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1AAB4578-CD9E-445F-852F-548BB6B873CE}"/>
            </a:ext>
          </a:extLst>
        </xdr:cNvPr>
        <xdr:cNvGrpSpPr/>
      </xdr:nvGrpSpPr>
      <xdr:grpSpPr>
        <a:xfrm>
          <a:off x="28212761" y="0"/>
          <a:ext cx="1584416" cy="1143000"/>
          <a:chOff x="27777464" y="0"/>
          <a:chExt cx="1598568" cy="1162050"/>
        </a:xfrm>
      </xdr:grpSpPr>
      <xdr:sp macro="" textlink="">
        <xdr:nvSpPr>
          <xdr:cNvPr id="119" name="Retângulo 118">
            <a:extLst>
              <a:ext uri="{FF2B5EF4-FFF2-40B4-BE49-F238E27FC236}">
                <a16:creationId xmlns:a16="http://schemas.microsoft.com/office/drawing/2014/main" id="{8239CC9C-C1E1-43EB-919D-A115E88A949E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A3F6AA4B-43B7-4949-8AF9-95AE0DEB1F45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1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4B08DF0-D28F-4D19-9FF7-8B6240001C7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33</xdr:col>
      <xdr:colOff>359425</xdr:colOff>
      <xdr:row>0</xdr:row>
      <xdr:rowOff>1</xdr:rowOff>
    </xdr:from>
    <xdr:to>
      <xdr:col>36</xdr:col>
      <xdr:colOff>76941</xdr:colOff>
      <xdr:row>3</xdr:row>
      <xdr:rowOff>0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C2ADCFDE-9322-4E56-867F-64FD208C70B8}"/>
            </a:ext>
          </a:extLst>
        </xdr:cNvPr>
        <xdr:cNvGrpSpPr/>
      </xdr:nvGrpSpPr>
      <xdr:grpSpPr>
        <a:xfrm>
          <a:off x="31649050" y="1"/>
          <a:ext cx="1574891" cy="1142999"/>
          <a:chOff x="31415083" y="0"/>
          <a:chExt cx="1598568" cy="1162049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5A28A8CB-3A12-45A5-983B-F3ACC775F17D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CaixaDeTexto 123">
            <a:extLst>
              <a:ext uri="{FF2B5EF4-FFF2-40B4-BE49-F238E27FC236}">
                <a16:creationId xmlns:a16="http://schemas.microsoft.com/office/drawing/2014/main" id="{46818A08-0743-4A07-A146-B1957E7D6AE0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5" name="Imagem 124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F7F1484E-395B-43B4-91BD-67FEEEA2E484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39</xdr:col>
      <xdr:colOff>71437</xdr:colOff>
      <xdr:row>0</xdr:row>
      <xdr:rowOff>211500</xdr:rowOff>
    </xdr:from>
    <xdr:to>
      <xdr:col>40</xdr:col>
      <xdr:colOff>187020</xdr:colOff>
      <xdr:row>2</xdr:row>
      <xdr:rowOff>169500</xdr:rowOff>
    </xdr:to>
    <xdr:sp macro="[0]!BotaoComLogin" textlink="">
      <xdr:nvSpPr>
        <xdr:cNvPr id="126" name="Círculo: Vazio 125">
          <a:extLst>
            <a:ext uri="{FF2B5EF4-FFF2-40B4-BE49-F238E27FC236}">
              <a16:creationId xmlns:a16="http://schemas.microsoft.com/office/drawing/2014/main" id="{2ED61F23-DA1C-4521-836C-9847EC220460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161" name="Retângulo 160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FB8DE7-F2C6-4BCE-95DD-DF9327EF5A64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12</xdr:col>
      <xdr:colOff>1660954</xdr:colOff>
      <xdr:row>6</xdr:row>
      <xdr:rowOff>66112</xdr:rowOff>
    </xdr:to>
    <xdr:sp macro="" textlink="">
      <xdr:nvSpPr>
        <xdr:cNvPr id="162" name="Retângulo 161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37DD4F0E-276C-44AE-B136-F45A6BBEBC13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13</xdr:col>
      <xdr:colOff>30231</xdr:colOff>
      <xdr:row>3</xdr:row>
      <xdr:rowOff>243450</xdr:rowOff>
    </xdr:from>
    <xdr:to>
      <xdr:col>14</xdr:col>
      <xdr:colOff>2328494</xdr:colOff>
      <xdr:row>6</xdr:row>
      <xdr:rowOff>66112</xdr:rowOff>
    </xdr:to>
    <xdr:sp macro="" textlink="">
      <xdr:nvSpPr>
        <xdr:cNvPr id="163" name="Retângulo 16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FC11620-86E5-4D6B-846D-23E009FEE1D8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15</xdr:col>
      <xdr:colOff>793021</xdr:colOff>
      <xdr:row>3</xdr:row>
      <xdr:rowOff>243450</xdr:rowOff>
    </xdr:from>
    <xdr:to>
      <xdr:col>16</xdr:col>
      <xdr:colOff>480731</xdr:colOff>
      <xdr:row>6</xdr:row>
      <xdr:rowOff>66112</xdr:rowOff>
    </xdr:to>
    <xdr:sp macro="" textlink="">
      <xdr:nvSpPr>
        <xdr:cNvPr id="164" name="Retângulo 16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ABD683A-FF83-4F35-B4FE-E8DAAEFABCAD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18</xdr:col>
      <xdr:colOff>135883</xdr:colOff>
      <xdr:row>3</xdr:row>
      <xdr:rowOff>243450</xdr:rowOff>
    </xdr:from>
    <xdr:to>
      <xdr:col>25</xdr:col>
      <xdr:colOff>580837</xdr:colOff>
      <xdr:row>6</xdr:row>
      <xdr:rowOff>66112</xdr:rowOff>
    </xdr:to>
    <xdr:sp macro="" textlink="">
      <xdr:nvSpPr>
        <xdr:cNvPr id="165" name="Retângulo 164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D0D72A75-E83D-4BBE-AF30-1A27B6483933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27</xdr:col>
      <xdr:colOff>235989</xdr:colOff>
      <xdr:row>3</xdr:row>
      <xdr:rowOff>243450</xdr:rowOff>
    </xdr:from>
    <xdr:to>
      <xdr:col>35</xdr:col>
      <xdr:colOff>540109</xdr:colOff>
      <xdr:row>6</xdr:row>
      <xdr:rowOff>66112</xdr:rowOff>
    </xdr:to>
    <xdr:sp macro="" textlink="">
      <xdr:nvSpPr>
        <xdr:cNvPr id="166" name="Retângulo 16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40823ED-EB72-4B5A-9038-8EFC8A7C7465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37</xdr:col>
      <xdr:colOff>195262</xdr:colOff>
      <xdr:row>3</xdr:row>
      <xdr:rowOff>243450</xdr:rowOff>
    </xdr:from>
    <xdr:to>
      <xdr:col>44</xdr:col>
      <xdr:colOff>309562</xdr:colOff>
      <xdr:row>6</xdr:row>
      <xdr:rowOff>66112</xdr:rowOff>
    </xdr:to>
    <xdr:sp macro="" textlink="">
      <xdr:nvSpPr>
        <xdr:cNvPr id="167" name="Retângulo 166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023BD18-97FA-4A44-A75E-3FDEBFB6F14E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4</xdr:col>
      <xdr:colOff>0</xdr:colOff>
      <xdr:row>3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E713FA36-9D8F-4E4A-B043-0BFBF2206E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1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613623</xdr:colOff>
      <xdr:row>0</xdr:row>
      <xdr:rowOff>0</xdr:rowOff>
    </xdr:from>
    <xdr:to>
      <xdr:col>9</xdr:col>
      <xdr:colOff>242587</xdr:colOff>
      <xdr:row>3</xdr:row>
      <xdr:rowOff>0</xdr:rowOff>
    </xdr:to>
    <xdr:grpSp>
      <xdr:nvGrpSpPr>
        <xdr:cNvPr id="90" name="Agrupar 8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DC639E-5FF5-424C-8223-E13A0A0C25E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8373" y="0"/>
          <a:ext cx="1486339" cy="1143000"/>
          <a:chOff x="1993654" y="0"/>
          <a:chExt cx="1022595" cy="781538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3F21B4FC-2720-45E5-B6AA-2EF906444EE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2" name="Imagem 9">
            <a:extLst>
              <a:ext uri="{FF2B5EF4-FFF2-40B4-BE49-F238E27FC236}">
                <a16:creationId xmlns:a16="http://schemas.microsoft.com/office/drawing/2014/main" id="{4595B245-F2EE-447C-B9EA-CF46D70F384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68EC1DA3-43A5-4AB2-BC09-9FD6C09C93A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999085</xdr:colOff>
      <xdr:row>0</xdr:row>
      <xdr:rowOff>0</xdr:rowOff>
    </xdr:from>
    <xdr:to>
      <xdr:col>12</xdr:col>
      <xdr:colOff>185737</xdr:colOff>
      <xdr:row>3</xdr:row>
      <xdr:rowOff>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B4046A81-7FFB-4891-91BC-7FE4C7791A35}"/>
            </a:ext>
          </a:extLst>
        </xdr:cNvPr>
        <xdr:cNvGrpSpPr/>
      </xdr:nvGrpSpPr>
      <xdr:grpSpPr>
        <a:xfrm>
          <a:off x="7666585" y="0"/>
          <a:ext cx="1567902" cy="1143000"/>
          <a:chOff x="5966368" y="0"/>
          <a:chExt cx="1591474" cy="1162050"/>
        </a:xfrm>
      </xdr:grpSpPr>
      <xdr:sp macro="" textlink="">
        <xdr:nvSpPr>
          <xdr:cNvPr id="95" name="Retângulo 94">
            <a:extLst>
              <a:ext uri="{FF2B5EF4-FFF2-40B4-BE49-F238E27FC236}">
                <a16:creationId xmlns:a16="http://schemas.microsoft.com/office/drawing/2014/main" id="{9A736416-DF4B-40F3-9C36-DC304918448E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6" name="CaixaDeTexto 95">
            <a:extLst>
              <a:ext uri="{FF2B5EF4-FFF2-40B4-BE49-F238E27FC236}">
                <a16:creationId xmlns:a16="http://schemas.microsoft.com/office/drawing/2014/main" id="{1BBFAF08-4E8A-48BB-B4DA-D22C8E4091B4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7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D6B630C-59DC-44AD-A1B5-FCE7C645E48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12</xdr:col>
      <xdr:colOff>2037610</xdr:colOff>
      <xdr:row>0</xdr:row>
      <xdr:rowOff>0</xdr:rowOff>
    </xdr:from>
    <xdr:to>
      <xdr:col>13</xdr:col>
      <xdr:colOff>1088374</xdr:colOff>
      <xdr:row>3</xdr:row>
      <xdr:rowOff>0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278F92FB-8DCC-4DC1-93D5-35AFA2DD0565}"/>
            </a:ext>
          </a:extLst>
        </xdr:cNvPr>
        <xdr:cNvGrpSpPr/>
      </xdr:nvGrpSpPr>
      <xdr:grpSpPr>
        <a:xfrm>
          <a:off x="11086360" y="0"/>
          <a:ext cx="1574889" cy="1143000"/>
          <a:chOff x="9596894" y="0"/>
          <a:chExt cx="1598566" cy="1162050"/>
        </a:xfrm>
      </xdr:grpSpPr>
      <xdr:sp macro="" textlink="">
        <xdr:nvSpPr>
          <xdr:cNvPr id="99" name="Retângulo 98">
            <a:extLst>
              <a:ext uri="{FF2B5EF4-FFF2-40B4-BE49-F238E27FC236}">
                <a16:creationId xmlns:a16="http://schemas.microsoft.com/office/drawing/2014/main" id="{D2B88F9A-311F-4519-88D8-F335D00B9B06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01DBA269-1692-4B23-8E0F-40DEBB12950F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1" name="Imagem 10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CD3A87B-F002-4FF7-B3F5-DA9FC996C47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463747</xdr:colOff>
      <xdr:row>0</xdr:row>
      <xdr:rowOff>0</xdr:rowOff>
    </xdr:from>
    <xdr:to>
      <xdr:col>14</xdr:col>
      <xdr:colOff>2031666</xdr:colOff>
      <xdr:row>3</xdr:row>
      <xdr:rowOff>0</xdr:rowOff>
    </xdr:to>
    <xdr:grpSp>
      <xdr:nvGrpSpPr>
        <xdr:cNvPr id="102" name="Agrupar 101">
          <a:extLst>
            <a:ext uri="{FF2B5EF4-FFF2-40B4-BE49-F238E27FC236}">
              <a16:creationId xmlns:a16="http://schemas.microsoft.com/office/drawing/2014/main" id="{6C467A9D-BF86-418D-A868-A1102AC12867}"/>
            </a:ext>
          </a:extLst>
        </xdr:cNvPr>
        <xdr:cNvGrpSpPr/>
      </xdr:nvGrpSpPr>
      <xdr:grpSpPr>
        <a:xfrm>
          <a:off x="14513122" y="0"/>
          <a:ext cx="1567919" cy="1143000"/>
          <a:chOff x="13234512" y="0"/>
          <a:chExt cx="1591491" cy="1162050"/>
        </a:xfrm>
      </xdr:grpSpPr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3CB254AD-AB50-49FB-999E-CB4C82786779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496C4FB4-4642-46BE-B90A-48A6C6B40AB7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5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F364CEC-827D-4587-964A-080C2419D7A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1454664</xdr:colOff>
      <xdr:row>0</xdr:row>
      <xdr:rowOff>0</xdr:rowOff>
    </xdr:from>
    <xdr:to>
      <xdr:col>15</xdr:col>
      <xdr:colOff>3043072</xdr:colOff>
      <xdr:row>3</xdr:row>
      <xdr:rowOff>0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63BBEAF8-7317-4D9D-89D4-F0C56B57D6EE}"/>
            </a:ext>
          </a:extLst>
        </xdr:cNvPr>
        <xdr:cNvGrpSpPr/>
      </xdr:nvGrpSpPr>
      <xdr:grpSpPr>
        <a:xfrm>
          <a:off x="17932914" y="0"/>
          <a:ext cx="1588408" cy="1143000"/>
          <a:chOff x="16865055" y="0"/>
          <a:chExt cx="1612288" cy="1162050"/>
        </a:xfrm>
      </xdr:grpSpPr>
      <xdr:sp macro="" textlink="">
        <xdr:nvSpPr>
          <xdr:cNvPr id="107" name="Retângulo 106">
            <a:extLst>
              <a:ext uri="{FF2B5EF4-FFF2-40B4-BE49-F238E27FC236}">
                <a16:creationId xmlns:a16="http://schemas.microsoft.com/office/drawing/2014/main" id="{D4CBD63F-800A-4F4D-AE66-CA49CF132087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0E4FBD94-D89F-4DCE-A0D6-385F2185107D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44D01AE-17EC-4DFD-91C5-6168D60C53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608695</xdr:colOff>
      <xdr:row>0</xdr:row>
      <xdr:rowOff>0</xdr:rowOff>
    </xdr:from>
    <xdr:to>
      <xdr:col>19</xdr:col>
      <xdr:colOff>320634</xdr:colOff>
      <xdr:row>3</xdr:row>
      <xdr:rowOff>0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43229AA7-9494-427C-8760-D4AB5CA5B21F}"/>
            </a:ext>
          </a:extLst>
        </xdr:cNvPr>
        <xdr:cNvGrpSpPr/>
      </xdr:nvGrpSpPr>
      <xdr:grpSpPr>
        <a:xfrm>
          <a:off x="21373195" y="0"/>
          <a:ext cx="1569314" cy="1143000"/>
          <a:chOff x="20516395" y="0"/>
          <a:chExt cx="1592907" cy="1162050"/>
        </a:xfrm>
      </xdr:grpSpPr>
      <xdr:sp macro="" textlink="">
        <xdr:nvSpPr>
          <xdr:cNvPr id="111" name="Retângulo 110">
            <a:extLst>
              <a:ext uri="{FF2B5EF4-FFF2-40B4-BE49-F238E27FC236}">
                <a16:creationId xmlns:a16="http://schemas.microsoft.com/office/drawing/2014/main" id="{70C8CEF0-D255-40EB-A0C0-5E2BF9F44D1D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19C6E300-B13B-4483-B9F3-EAFD8B14397C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3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C6F1934-C9DE-473A-AA8C-1689F67AB0D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315132</xdr:colOff>
      <xdr:row>0</xdr:row>
      <xdr:rowOff>0</xdr:rowOff>
    </xdr:from>
    <xdr:to>
      <xdr:col>25</xdr:col>
      <xdr:colOff>24264</xdr:colOff>
      <xdr:row>3</xdr:row>
      <xdr:rowOff>0</xdr:rowOff>
    </xdr:to>
    <xdr:grpSp>
      <xdr:nvGrpSpPr>
        <xdr:cNvPr id="114" name="Agrupar 113">
          <a:extLst>
            <a:ext uri="{FF2B5EF4-FFF2-40B4-BE49-F238E27FC236}">
              <a16:creationId xmlns:a16="http://schemas.microsoft.com/office/drawing/2014/main" id="{CCA07BE2-7F20-4294-B2E6-5D351E522B3C}"/>
            </a:ext>
          </a:extLst>
        </xdr:cNvPr>
        <xdr:cNvGrpSpPr/>
      </xdr:nvGrpSpPr>
      <xdr:grpSpPr>
        <a:xfrm>
          <a:off x="24794382" y="0"/>
          <a:ext cx="1566507" cy="1143000"/>
          <a:chOff x="24148354" y="0"/>
          <a:chExt cx="1590058" cy="1162050"/>
        </a:xfrm>
      </xdr:grpSpPr>
      <xdr:sp macro="" textlink="">
        <xdr:nvSpPr>
          <xdr:cNvPr id="115" name="Retângulo 114">
            <a:extLst>
              <a:ext uri="{FF2B5EF4-FFF2-40B4-BE49-F238E27FC236}">
                <a16:creationId xmlns:a16="http://schemas.microsoft.com/office/drawing/2014/main" id="{0F6B030D-F26B-4C9B-AAF1-881AFE793A3B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51C5CECD-2E86-49B5-9505-16139DE56BE1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7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59459CD-F52A-4552-A27D-9B9882C32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18762</xdr:colOff>
      <xdr:row>0</xdr:row>
      <xdr:rowOff>0</xdr:rowOff>
    </xdr:from>
    <xdr:to>
      <xdr:col>30</xdr:col>
      <xdr:colOff>364928</xdr:colOff>
      <xdr:row>3</xdr:row>
      <xdr:rowOff>0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D2E77671-69B4-4FDF-B34B-2D7A6DB47855}"/>
            </a:ext>
          </a:extLst>
        </xdr:cNvPr>
        <xdr:cNvGrpSpPr/>
      </xdr:nvGrpSpPr>
      <xdr:grpSpPr>
        <a:xfrm>
          <a:off x="28212762" y="0"/>
          <a:ext cx="1584416" cy="1143000"/>
          <a:chOff x="27777464" y="0"/>
          <a:chExt cx="1598568" cy="1162050"/>
        </a:xfrm>
      </xdr:grpSpPr>
      <xdr:sp macro="" textlink="">
        <xdr:nvSpPr>
          <xdr:cNvPr id="119" name="Retângulo 118">
            <a:extLst>
              <a:ext uri="{FF2B5EF4-FFF2-40B4-BE49-F238E27FC236}">
                <a16:creationId xmlns:a16="http://schemas.microsoft.com/office/drawing/2014/main" id="{448B07BB-FF53-4E0F-B4A8-0B34C9688615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78AD788B-4D44-444D-9C28-7EC3821991B5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1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E15D689C-D5C2-4307-9907-3F711B85693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33</xdr:col>
      <xdr:colOff>359426</xdr:colOff>
      <xdr:row>0</xdr:row>
      <xdr:rowOff>1</xdr:rowOff>
    </xdr:from>
    <xdr:to>
      <xdr:col>36</xdr:col>
      <xdr:colOff>76942</xdr:colOff>
      <xdr:row>3</xdr:row>
      <xdr:rowOff>0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AAC304F0-9632-453A-82CB-B7F129C2FDD2}"/>
            </a:ext>
          </a:extLst>
        </xdr:cNvPr>
        <xdr:cNvGrpSpPr/>
      </xdr:nvGrpSpPr>
      <xdr:grpSpPr>
        <a:xfrm>
          <a:off x="31649051" y="1"/>
          <a:ext cx="1574891" cy="1142999"/>
          <a:chOff x="31415083" y="0"/>
          <a:chExt cx="1598568" cy="1162049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996AB10B-0479-4137-ABBF-654773F7F17E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CaixaDeTexto 123">
            <a:extLst>
              <a:ext uri="{FF2B5EF4-FFF2-40B4-BE49-F238E27FC236}">
                <a16:creationId xmlns:a16="http://schemas.microsoft.com/office/drawing/2014/main" id="{BA5B6437-F9DB-4383-839A-0956A6379951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5" name="Imagem 124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89CB8968-9946-48C5-B105-9D6D00435E3E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39</xdr:col>
      <xdr:colOff>71438</xdr:colOff>
      <xdr:row>0</xdr:row>
      <xdr:rowOff>211500</xdr:rowOff>
    </xdr:from>
    <xdr:to>
      <xdr:col>40</xdr:col>
      <xdr:colOff>187021</xdr:colOff>
      <xdr:row>2</xdr:row>
      <xdr:rowOff>169500</xdr:rowOff>
    </xdr:to>
    <xdr:sp macro="[0]!BotaoComLogin" textlink="">
      <xdr:nvSpPr>
        <xdr:cNvPr id="126" name="Círculo: Vazio 125">
          <a:extLst>
            <a:ext uri="{FF2B5EF4-FFF2-40B4-BE49-F238E27FC236}">
              <a16:creationId xmlns:a16="http://schemas.microsoft.com/office/drawing/2014/main" id="{6CEB16A2-319F-4F8C-87DD-18ED5CF8B1A5}"/>
            </a:ext>
          </a:extLst>
        </xdr:cNvPr>
        <xdr:cNvSpPr>
          <a:spLocks noChangeAspect="1"/>
        </xdr:cNvSpPr>
      </xdr:nvSpPr>
      <xdr:spPr>
        <a:xfrm>
          <a:off x="35075813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129" name="Retângulo 12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F1A0E4F-D447-44C4-AB21-B34754D5A9CC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12</xdr:col>
      <xdr:colOff>1660954</xdr:colOff>
      <xdr:row>6</xdr:row>
      <xdr:rowOff>66112</xdr:rowOff>
    </xdr:to>
    <xdr:sp macro="" textlink="">
      <xdr:nvSpPr>
        <xdr:cNvPr id="130" name="Retângulo 12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34BB249-41F8-4E34-90A0-3A24ECCE31A0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13</xdr:col>
      <xdr:colOff>30231</xdr:colOff>
      <xdr:row>3</xdr:row>
      <xdr:rowOff>243450</xdr:rowOff>
    </xdr:from>
    <xdr:to>
      <xdr:col>14</xdr:col>
      <xdr:colOff>2328494</xdr:colOff>
      <xdr:row>6</xdr:row>
      <xdr:rowOff>66112</xdr:rowOff>
    </xdr:to>
    <xdr:sp macro="" textlink="">
      <xdr:nvSpPr>
        <xdr:cNvPr id="131" name="Retângulo 13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61552D4-97E5-40BE-AF79-01F9F8DD83A3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15</xdr:col>
      <xdr:colOff>793021</xdr:colOff>
      <xdr:row>3</xdr:row>
      <xdr:rowOff>243450</xdr:rowOff>
    </xdr:from>
    <xdr:to>
      <xdr:col>16</xdr:col>
      <xdr:colOff>480731</xdr:colOff>
      <xdr:row>6</xdr:row>
      <xdr:rowOff>66112</xdr:rowOff>
    </xdr:to>
    <xdr:sp macro="" textlink="">
      <xdr:nvSpPr>
        <xdr:cNvPr id="132" name="Retângulo 13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359149AD-64F3-4D43-8DC5-859736FEB0F3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18</xdr:col>
      <xdr:colOff>135883</xdr:colOff>
      <xdr:row>3</xdr:row>
      <xdr:rowOff>243450</xdr:rowOff>
    </xdr:from>
    <xdr:to>
      <xdr:col>25</xdr:col>
      <xdr:colOff>580837</xdr:colOff>
      <xdr:row>6</xdr:row>
      <xdr:rowOff>66112</xdr:rowOff>
    </xdr:to>
    <xdr:sp macro="" textlink="">
      <xdr:nvSpPr>
        <xdr:cNvPr id="133" name="Retângulo 13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E2C3F9D9-31DF-4832-ABC8-44D4F491D9B8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27</xdr:col>
      <xdr:colOff>235989</xdr:colOff>
      <xdr:row>3</xdr:row>
      <xdr:rowOff>243450</xdr:rowOff>
    </xdr:from>
    <xdr:to>
      <xdr:col>35</xdr:col>
      <xdr:colOff>540109</xdr:colOff>
      <xdr:row>6</xdr:row>
      <xdr:rowOff>66112</xdr:rowOff>
    </xdr:to>
    <xdr:sp macro="" textlink="">
      <xdr:nvSpPr>
        <xdr:cNvPr id="134" name="Retângulo 13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1570028-45DE-46FF-9A78-7E9F2737846B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37</xdr:col>
      <xdr:colOff>195262</xdr:colOff>
      <xdr:row>3</xdr:row>
      <xdr:rowOff>243450</xdr:rowOff>
    </xdr:from>
    <xdr:to>
      <xdr:col>44</xdr:col>
      <xdr:colOff>309562</xdr:colOff>
      <xdr:row>6</xdr:row>
      <xdr:rowOff>66112</xdr:rowOff>
    </xdr:to>
    <xdr:sp macro="" textlink="">
      <xdr:nvSpPr>
        <xdr:cNvPr id="135" name="Retângulo 13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1AA9A3F-307F-40A9-9F5D-EBE09B730737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606120</xdr:colOff>
      <xdr:row>1</xdr:row>
      <xdr:rowOff>133894</xdr:rowOff>
    </xdr:from>
    <xdr:to>
      <xdr:col>8</xdr:col>
      <xdr:colOff>493730</xdr:colOff>
      <xdr:row>2</xdr:row>
      <xdr:rowOff>7325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333345</xdr:colOff>
      <xdr:row>0</xdr:row>
      <xdr:rowOff>91651</xdr:rowOff>
    </xdr:from>
    <xdr:to>
      <xdr:col>8</xdr:col>
      <xdr:colOff>131456</xdr:colOff>
      <xdr:row>1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6922C992-59FC-4F1B-8A6E-44F9262DBCA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613622</xdr:colOff>
      <xdr:row>0</xdr:row>
      <xdr:rowOff>0</xdr:rowOff>
    </xdr:from>
    <xdr:to>
      <xdr:col>9</xdr:col>
      <xdr:colOff>242586</xdr:colOff>
      <xdr:row>3</xdr:row>
      <xdr:rowOff>0</xdr:rowOff>
    </xdr:to>
    <xdr:grpSp>
      <xdr:nvGrpSpPr>
        <xdr:cNvPr id="92" name="Agrupar 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5A5BE6-1E89-491A-85EA-BE4EDDC73B1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8372" y="0"/>
          <a:ext cx="1486339" cy="1143000"/>
          <a:chOff x="1993654" y="0"/>
          <a:chExt cx="1022595" cy="781538"/>
        </a:xfrm>
      </xdr:grpSpPr>
      <xdr:sp macro="" textlink="">
        <xdr:nvSpPr>
          <xdr:cNvPr id="93" name="Retângulo 92">
            <a:extLst>
              <a:ext uri="{FF2B5EF4-FFF2-40B4-BE49-F238E27FC236}">
                <a16:creationId xmlns:a16="http://schemas.microsoft.com/office/drawing/2014/main" id="{400CAAC1-DAFF-43D8-8EDE-A414AE329DE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4" name="Imagem 9">
            <a:extLst>
              <a:ext uri="{FF2B5EF4-FFF2-40B4-BE49-F238E27FC236}">
                <a16:creationId xmlns:a16="http://schemas.microsoft.com/office/drawing/2014/main" id="{FEC1E25A-D357-4E35-826D-A20FE810F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AF427BFB-68F0-43BD-8A61-1719B341820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11</xdr:col>
      <xdr:colOff>999084</xdr:colOff>
      <xdr:row>0</xdr:row>
      <xdr:rowOff>0</xdr:rowOff>
    </xdr:from>
    <xdr:to>
      <xdr:col>12</xdr:col>
      <xdr:colOff>376236</xdr:colOff>
      <xdr:row>3</xdr:row>
      <xdr:rowOff>0</xdr:rowOff>
    </xdr:to>
    <xdr:grpSp>
      <xdr:nvGrpSpPr>
        <xdr:cNvPr id="96" name="Agrupar 95">
          <a:extLst>
            <a:ext uri="{FF2B5EF4-FFF2-40B4-BE49-F238E27FC236}">
              <a16:creationId xmlns:a16="http://schemas.microsoft.com/office/drawing/2014/main" id="{7D012410-9EDB-4B09-9118-8CF2083066CE}"/>
            </a:ext>
          </a:extLst>
        </xdr:cNvPr>
        <xdr:cNvGrpSpPr/>
      </xdr:nvGrpSpPr>
      <xdr:grpSpPr>
        <a:xfrm>
          <a:off x="7666584" y="0"/>
          <a:ext cx="1567902" cy="1143000"/>
          <a:chOff x="5966368" y="0"/>
          <a:chExt cx="1591474" cy="1162050"/>
        </a:xfrm>
      </xdr:grpSpPr>
      <xdr:sp macro="" textlink="">
        <xdr:nvSpPr>
          <xdr:cNvPr id="97" name="Retângulo 96">
            <a:extLst>
              <a:ext uri="{FF2B5EF4-FFF2-40B4-BE49-F238E27FC236}">
                <a16:creationId xmlns:a16="http://schemas.microsoft.com/office/drawing/2014/main" id="{3EA51A67-0E0A-418A-B117-966FED38A0D0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84AB1C5F-99A7-4E42-9F9C-E77500359667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9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30AB11F-0E65-454E-8F12-F1EADD07D4C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12</xdr:col>
      <xdr:colOff>2228109</xdr:colOff>
      <xdr:row>0</xdr:row>
      <xdr:rowOff>0</xdr:rowOff>
    </xdr:from>
    <xdr:to>
      <xdr:col>13</xdr:col>
      <xdr:colOff>1516998</xdr:colOff>
      <xdr:row>3</xdr:row>
      <xdr:rowOff>0</xdr:rowOff>
    </xdr:to>
    <xdr:grpSp>
      <xdr:nvGrpSpPr>
        <xdr:cNvPr id="100" name="Agrupar 99">
          <a:extLst>
            <a:ext uri="{FF2B5EF4-FFF2-40B4-BE49-F238E27FC236}">
              <a16:creationId xmlns:a16="http://schemas.microsoft.com/office/drawing/2014/main" id="{48092717-409F-4E55-A7CB-AA068295E992}"/>
            </a:ext>
          </a:extLst>
        </xdr:cNvPr>
        <xdr:cNvGrpSpPr/>
      </xdr:nvGrpSpPr>
      <xdr:grpSpPr>
        <a:xfrm>
          <a:off x="11086359" y="0"/>
          <a:ext cx="1574889" cy="1143000"/>
          <a:chOff x="9596894" y="0"/>
          <a:chExt cx="1598566" cy="1162050"/>
        </a:xfrm>
      </xdr:grpSpPr>
      <xdr:sp macro="" textlink="">
        <xdr:nvSpPr>
          <xdr:cNvPr id="101" name="Retângulo 100">
            <a:extLst>
              <a:ext uri="{FF2B5EF4-FFF2-40B4-BE49-F238E27FC236}">
                <a16:creationId xmlns:a16="http://schemas.microsoft.com/office/drawing/2014/main" id="{828E74EA-F3B1-49DC-85FB-286B8330BE79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2" name="CaixaDeTexto 101">
            <a:extLst>
              <a:ext uri="{FF2B5EF4-FFF2-40B4-BE49-F238E27FC236}">
                <a16:creationId xmlns:a16="http://schemas.microsoft.com/office/drawing/2014/main" id="{BFE82C45-4047-42AE-95CA-45100655B749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03" name="Imagem 10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F9A9328-ED77-4C80-BE0E-D633DD9DE04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1178121</xdr:colOff>
      <xdr:row>0</xdr:row>
      <xdr:rowOff>0</xdr:rowOff>
    </xdr:from>
    <xdr:to>
      <xdr:col>15</xdr:col>
      <xdr:colOff>555290</xdr:colOff>
      <xdr:row>3</xdr:row>
      <xdr:rowOff>0</xdr:rowOff>
    </xdr:to>
    <xdr:grpSp>
      <xdr:nvGrpSpPr>
        <xdr:cNvPr id="104" name="Agrupar 103">
          <a:extLst>
            <a:ext uri="{FF2B5EF4-FFF2-40B4-BE49-F238E27FC236}">
              <a16:creationId xmlns:a16="http://schemas.microsoft.com/office/drawing/2014/main" id="{2E0826D5-9F06-41FB-911F-FC5A41017F1B}"/>
            </a:ext>
          </a:extLst>
        </xdr:cNvPr>
        <xdr:cNvGrpSpPr/>
      </xdr:nvGrpSpPr>
      <xdr:grpSpPr>
        <a:xfrm>
          <a:off x="14513121" y="0"/>
          <a:ext cx="1567919" cy="1143000"/>
          <a:chOff x="13234512" y="0"/>
          <a:chExt cx="1591491" cy="1162050"/>
        </a:xfrm>
      </xdr:grpSpPr>
      <xdr:sp macro="" textlink="">
        <xdr:nvSpPr>
          <xdr:cNvPr id="105" name="Retângulo 104">
            <a:extLst>
              <a:ext uri="{FF2B5EF4-FFF2-40B4-BE49-F238E27FC236}">
                <a16:creationId xmlns:a16="http://schemas.microsoft.com/office/drawing/2014/main" id="{7FA99DD5-AE61-465C-92C6-D42DD48C491A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8FBBDF33-B329-4158-8C80-8ACD5A1F2A90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7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154E8F80-4A34-4818-8D69-9E83686F542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2407163</xdr:colOff>
      <xdr:row>0</xdr:row>
      <xdr:rowOff>0</xdr:rowOff>
    </xdr:from>
    <xdr:to>
      <xdr:col>15</xdr:col>
      <xdr:colOff>3995571</xdr:colOff>
      <xdr:row>3</xdr:row>
      <xdr:rowOff>0</xdr:rowOff>
    </xdr:to>
    <xdr:grpSp>
      <xdr:nvGrpSpPr>
        <xdr:cNvPr id="108" name="Agrupar 107">
          <a:extLst>
            <a:ext uri="{FF2B5EF4-FFF2-40B4-BE49-F238E27FC236}">
              <a16:creationId xmlns:a16="http://schemas.microsoft.com/office/drawing/2014/main" id="{F15045EF-B272-45B5-9DB4-6DEF16B369C3}"/>
            </a:ext>
          </a:extLst>
        </xdr:cNvPr>
        <xdr:cNvGrpSpPr/>
      </xdr:nvGrpSpPr>
      <xdr:grpSpPr>
        <a:xfrm>
          <a:off x="17932913" y="0"/>
          <a:ext cx="1588408" cy="1143000"/>
          <a:chOff x="16865055" y="0"/>
          <a:chExt cx="1612288" cy="1162050"/>
        </a:xfrm>
      </xdr:grpSpPr>
      <xdr:sp macro="" textlink="">
        <xdr:nvSpPr>
          <xdr:cNvPr id="109" name="Retângulo 108">
            <a:extLst>
              <a:ext uri="{FF2B5EF4-FFF2-40B4-BE49-F238E27FC236}">
                <a16:creationId xmlns:a16="http://schemas.microsoft.com/office/drawing/2014/main" id="{D9075AA1-475D-4468-9DEA-6D32EA84E931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0" name="CaixaDeTexto 109">
            <a:extLst>
              <a:ext uri="{FF2B5EF4-FFF2-40B4-BE49-F238E27FC236}">
                <a16:creationId xmlns:a16="http://schemas.microsoft.com/office/drawing/2014/main" id="{612EEED7-237E-49C7-B2F7-0089B4EFBCD0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11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E84B454-E50A-4079-91D4-E97D4CE2E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322944</xdr:colOff>
      <xdr:row>0</xdr:row>
      <xdr:rowOff>0</xdr:rowOff>
    </xdr:from>
    <xdr:to>
      <xdr:col>21</xdr:col>
      <xdr:colOff>34883</xdr:colOff>
      <xdr:row>3</xdr:row>
      <xdr:rowOff>0</xdr:rowOff>
    </xdr:to>
    <xdr:grpSp>
      <xdr:nvGrpSpPr>
        <xdr:cNvPr id="112" name="Agrupar 111">
          <a:extLst>
            <a:ext uri="{FF2B5EF4-FFF2-40B4-BE49-F238E27FC236}">
              <a16:creationId xmlns:a16="http://schemas.microsoft.com/office/drawing/2014/main" id="{0663BAE2-733E-41D9-B75B-622D46B91203}"/>
            </a:ext>
          </a:extLst>
        </xdr:cNvPr>
        <xdr:cNvGrpSpPr/>
      </xdr:nvGrpSpPr>
      <xdr:grpSpPr>
        <a:xfrm>
          <a:off x="21373194" y="0"/>
          <a:ext cx="1569314" cy="1143000"/>
          <a:chOff x="20516395" y="0"/>
          <a:chExt cx="1592907" cy="1162050"/>
        </a:xfrm>
      </xdr:grpSpPr>
      <xdr:sp macro="" textlink="">
        <xdr:nvSpPr>
          <xdr:cNvPr id="113" name="Retângulo 112">
            <a:extLst>
              <a:ext uri="{FF2B5EF4-FFF2-40B4-BE49-F238E27FC236}">
                <a16:creationId xmlns:a16="http://schemas.microsoft.com/office/drawing/2014/main" id="{3C5E26E5-BD19-4834-88F6-71890DBD573A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CaixaDeTexto 113">
            <a:extLst>
              <a:ext uri="{FF2B5EF4-FFF2-40B4-BE49-F238E27FC236}">
                <a16:creationId xmlns:a16="http://schemas.microsoft.com/office/drawing/2014/main" id="{5A06760A-8C94-4D43-A215-FBE425909854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5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6A8C50CB-E862-40EB-9E2D-1D27D12098E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29381</xdr:colOff>
      <xdr:row>0</xdr:row>
      <xdr:rowOff>0</xdr:rowOff>
    </xdr:from>
    <xdr:to>
      <xdr:col>26</xdr:col>
      <xdr:colOff>357638</xdr:colOff>
      <xdr:row>3</xdr:row>
      <xdr:rowOff>0</xdr:rowOff>
    </xdr:to>
    <xdr:grpSp>
      <xdr:nvGrpSpPr>
        <xdr:cNvPr id="116" name="Agrupar 115">
          <a:extLst>
            <a:ext uri="{FF2B5EF4-FFF2-40B4-BE49-F238E27FC236}">
              <a16:creationId xmlns:a16="http://schemas.microsoft.com/office/drawing/2014/main" id="{AA2A4BF1-6AC1-4CFE-AAEA-E9F5D9B030C3}"/>
            </a:ext>
          </a:extLst>
        </xdr:cNvPr>
        <xdr:cNvGrpSpPr/>
      </xdr:nvGrpSpPr>
      <xdr:grpSpPr>
        <a:xfrm>
          <a:off x="24794381" y="0"/>
          <a:ext cx="1566507" cy="1143000"/>
          <a:chOff x="24148354" y="0"/>
          <a:chExt cx="1590058" cy="1162050"/>
        </a:xfrm>
      </xdr:grpSpPr>
      <xdr:sp macro="" textlink="">
        <xdr:nvSpPr>
          <xdr:cNvPr id="117" name="Retângulo 116">
            <a:extLst>
              <a:ext uri="{FF2B5EF4-FFF2-40B4-BE49-F238E27FC236}">
                <a16:creationId xmlns:a16="http://schemas.microsoft.com/office/drawing/2014/main" id="{4FA088DD-6CA1-4514-BBE1-694AAB2CAE66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8" name="CaixaDeTexto 117">
            <a:extLst>
              <a:ext uri="{FF2B5EF4-FFF2-40B4-BE49-F238E27FC236}">
                <a16:creationId xmlns:a16="http://schemas.microsoft.com/office/drawing/2014/main" id="{CAD86242-5B66-4321-BCDD-F85E8B615200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9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CCB5DD1-790F-4374-BB07-3F3AAE6971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352136</xdr:colOff>
      <xdr:row>0</xdr:row>
      <xdr:rowOff>0</xdr:rowOff>
    </xdr:from>
    <xdr:to>
      <xdr:col>32</xdr:col>
      <xdr:colOff>79177</xdr:colOff>
      <xdr:row>3</xdr:row>
      <xdr:rowOff>0</xdr:rowOff>
    </xdr:to>
    <xdr:grpSp>
      <xdr:nvGrpSpPr>
        <xdr:cNvPr id="120" name="Agrupar 119">
          <a:extLst>
            <a:ext uri="{FF2B5EF4-FFF2-40B4-BE49-F238E27FC236}">
              <a16:creationId xmlns:a16="http://schemas.microsoft.com/office/drawing/2014/main" id="{BB0E3AC7-9FA9-430F-B047-1757A8938E66}"/>
            </a:ext>
          </a:extLst>
        </xdr:cNvPr>
        <xdr:cNvGrpSpPr/>
      </xdr:nvGrpSpPr>
      <xdr:grpSpPr>
        <a:xfrm>
          <a:off x="28212761" y="0"/>
          <a:ext cx="1584416" cy="1143000"/>
          <a:chOff x="27777464" y="0"/>
          <a:chExt cx="1598568" cy="1162050"/>
        </a:xfrm>
      </xdr:grpSpPr>
      <xdr:sp macro="" textlink="">
        <xdr:nvSpPr>
          <xdr:cNvPr id="121" name="Retângulo 120">
            <a:extLst>
              <a:ext uri="{FF2B5EF4-FFF2-40B4-BE49-F238E27FC236}">
                <a16:creationId xmlns:a16="http://schemas.microsoft.com/office/drawing/2014/main" id="{9AEF32C0-6CCB-4DAD-9111-8057F96DC5DB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2" name="CaixaDeTexto 121">
            <a:extLst>
              <a:ext uri="{FF2B5EF4-FFF2-40B4-BE49-F238E27FC236}">
                <a16:creationId xmlns:a16="http://schemas.microsoft.com/office/drawing/2014/main" id="{280CAF32-ACAA-4D04-B116-BAB6729FEC53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3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06CED1D-A69C-406C-A141-AD1A6533A7DD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73675</xdr:colOff>
      <xdr:row>0</xdr:row>
      <xdr:rowOff>1</xdr:rowOff>
    </xdr:from>
    <xdr:to>
      <xdr:col>37</xdr:col>
      <xdr:colOff>410316</xdr:colOff>
      <xdr:row>3</xdr:row>
      <xdr:rowOff>0</xdr:rowOff>
    </xdr:to>
    <xdr:grpSp>
      <xdr:nvGrpSpPr>
        <xdr:cNvPr id="124" name="Agrupar 123">
          <a:extLst>
            <a:ext uri="{FF2B5EF4-FFF2-40B4-BE49-F238E27FC236}">
              <a16:creationId xmlns:a16="http://schemas.microsoft.com/office/drawing/2014/main" id="{10FEDE49-915B-48DB-8933-ED04DCEF9665}"/>
            </a:ext>
          </a:extLst>
        </xdr:cNvPr>
        <xdr:cNvGrpSpPr/>
      </xdr:nvGrpSpPr>
      <xdr:grpSpPr>
        <a:xfrm>
          <a:off x="31649050" y="1"/>
          <a:ext cx="1574891" cy="1142999"/>
          <a:chOff x="31415083" y="0"/>
          <a:chExt cx="1598568" cy="1162049"/>
        </a:xfrm>
      </xdr:grpSpPr>
      <xdr:sp macro="" textlink="">
        <xdr:nvSpPr>
          <xdr:cNvPr id="125" name="Retângulo 124">
            <a:extLst>
              <a:ext uri="{FF2B5EF4-FFF2-40B4-BE49-F238E27FC236}">
                <a16:creationId xmlns:a16="http://schemas.microsoft.com/office/drawing/2014/main" id="{07630427-02F2-4FAC-8191-2F2F9466409D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6" name="CaixaDeTexto 125">
            <a:extLst>
              <a:ext uri="{FF2B5EF4-FFF2-40B4-BE49-F238E27FC236}">
                <a16:creationId xmlns:a16="http://schemas.microsoft.com/office/drawing/2014/main" id="{D9AAB801-86AC-4238-81AA-0DB0FF85FA56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7" name="Imagem 126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8D84AC81-7258-4C07-8C1C-863F3C62BE91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40</xdr:col>
      <xdr:colOff>404812</xdr:colOff>
      <xdr:row>0</xdr:row>
      <xdr:rowOff>211500</xdr:rowOff>
    </xdr:from>
    <xdr:to>
      <xdr:col>41</xdr:col>
      <xdr:colOff>520395</xdr:colOff>
      <xdr:row>2</xdr:row>
      <xdr:rowOff>169500</xdr:rowOff>
    </xdr:to>
    <xdr:sp macro="[0]!BotaoComLogin" textlink="">
      <xdr:nvSpPr>
        <xdr:cNvPr id="128" name="Círculo: Vazio 127">
          <a:extLst>
            <a:ext uri="{FF2B5EF4-FFF2-40B4-BE49-F238E27FC236}">
              <a16:creationId xmlns:a16="http://schemas.microsoft.com/office/drawing/2014/main" id="{E98FAF07-D7A0-4F70-821D-19F7F73BD3CC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274277</xdr:colOff>
      <xdr:row>3</xdr:row>
      <xdr:rowOff>243450</xdr:rowOff>
    </xdr:from>
    <xdr:to>
      <xdr:col>8</xdr:col>
      <xdr:colOff>519902</xdr:colOff>
      <xdr:row>6</xdr:row>
      <xdr:rowOff>66112</xdr:rowOff>
    </xdr:to>
    <xdr:sp macro="" textlink="">
      <xdr:nvSpPr>
        <xdr:cNvPr id="130" name="Retângulo 12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144F290-0BBB-48F2-9259-FB7ECA4DFD6C}"/>
            </a:ext>
          </a:extLst>
        </xdr:cNvPr>
        <xdr:cNvSpPr/>
      </xdr:nvSpPr>
      <xdr:spPr>
        <a:xfrm>
          <a:off x="2131652" y="1386450"/>
          <a:ext cx="334125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10</xdr:col>
      <xdr:colOff>175054</xdr:colOff>
      <xdr:row>3</xdr:row>
      <xdr:rowOff>243450</xdr:rowOff>
    </xdr:from>
    <xdr:to>
      <xdr:col>12</xdr:col>
      <xdr:colOff>1851454</xdr:colOff>
      <xdr:row>6</xdr:row>
      <xdr:rowOff>66112</xdr:rowOff>
    </xdr:to>
    <xdr:sp macro="" textlink="">
      <xdr:nvSpPr>
        <xdr:cNvPr id="131" name="Retângulo 13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80D6991F-CE6B-4141-8EBE-923D24C2547A}"/>
            </a:ext>
          </a:extLst>
        </xdr:cNvPr>
        <xdr:cNvSpPr/>
      </xdr:nvSpPr>
      <xdr:spPr>
        <a:xfrm>
          <a:off x="6366304" y="1386450"/>
          <a:ext cx="4343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13</xdr:col>
      <xdr:colOff>458856</xdr:colOff>
      <xdr:row>3</xdr:row>
      <xdr:rowOff>243450</xdr:rowOff>
    </xdr:from>
    <xdr:to>
      <xdr:col>15</xdr:col>
      <xdr:colOff>852119</xdr:colOff>
      <xdr:row>6</xdr:row>
      <xdr:rowOff>66112</xdr:rowOff>
    </xdr:to>
    <xdr:sp macro="" textlink="">
      <xdr:nvSpPr>
        <xdr:cNvPr id="132" name="Retângulo 13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A998A64-1CE9-4882-B93A-07D57D76EFCC}"/>
            </a:ext>
          </a:extLst>
        </xdr:cNvPr>
        <xdr:cNvSpPr/>
      </xdr:nvSpPr>
      <xdr:spPr>
        <a:xfrm>
          <a:off x="11603106" y="1386450"/>
          <a:ext cx="4774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15</xdr:col>
      <xdr:colOff>1745521</xdr:colOff>
      <xdr:row>3</xdr:row>
      <xdr:rowOff>243450</xdr:rowOff>
    </xdr:from>
    <xdr:to>
      <xdr:col>18</xdr:col>
      <xdr:colOff>194981</xdr:colOff>
      <xdr:row>6</xdr:row>
      <xdr:rowOff>66112</xdr:rowOff>
    </xdr:to>
    <xdr:sp macro="" textlink="">
      <xdr:nvSpPr>
        <xdr:cNvPr id="133" name="Retângulo 13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EF3AB24-E3ED-4269-80D3-E253E8D459C7}"/>
            </a:ext>
          </a:extLst>
        </xdr:cNvPr>
        <xdr:cNvSpPr/>
      </xdr:nvSpPr>
      <xdr:spPr>
        <a:xfrm>
          <a:off x="17271271" y="1386450"/>
          <a:ext cx="39739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19</xdr:col>
      <xdr:colOff>469258</xdr:colOff>
      <xdr:row>3</xdr:row>
      <xdr:rowOff>243450</xdr:rowOff>
    </xdr:from>
    <xdr:to>
      <xdr:col>27</xdr:col>
      <xdr:colOff>295087</xdr:colOff>
      <xdr:row>6</xdr:row>
      <xdr:rowOff>66112</xdr:rowOff>
    </xdr:to>
    <xdr:sp macro="" textlink="">
      <xdr:nvSpPr>
        <xdr:cNvPr id="134" name="Retângulo 13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8D9DDE4-37C8-4360-9829-99491B6D9D22}"/>
            </a:ext>
          </a:extLst>
        </xdr:cNvPr>
        <xdr:cNvSpPr/>
      </xdr:nvSpPr>
      <xdr:spPr>
        <a:xfrm>
          <a:off x="22138633" y="1386450"/>
          <a:ext cx="4778829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28</xdr:col>
      <xdr:colOff>569364</xdr:colOff>
      <xdr:row>3</xdr:row>
      <xdr:rowOff>243450</xdr:rowOff>
    </xdr:from>
    <xdr:to>
      <xdr:col>37</xdr:col>
      <xdr:colOff>254359</xdr:colOff>
      <xdr:row>6</xdr:row>
      <xdr:rowOff>66112</xdr:rowOff>
    </xdr:to>
    <xdr:sp macro="" textlink="">
      <xdr:nvSpPr>
        <xdr:cNvPr id="135" name="Retângulo 134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1A0324E-818A-440C-BCF3-FC50F0913C3D}"/>
            </a:ext>
          </a:extLst>
        </xdr:cNvPr>
        <xdr:cNvSpPr/>
      </xdr:nvSpPr>
      <xdr:spPr>
        <a:xfrm>
          <a:off x="27810864" y="1386450"/>
          <a:ext cx="525712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38</xdr:col>
      <xdr:colOff>528637</xdr:colOff>
      <xdr:row>3</xdr:row>
      <xdr:rowOff>243450</xdr:rowOff>
    </xdr:from>
    <xdr:to>
      <xdr:col>46</xdr:col>
      <xdr:colOff>23812</xdr:colOff>
      <xdr:row>6</xdr:row>
      <xdr:rowOff>66112</xdr:rowOff>
    </xdr:to>
    <xdr:sp macro="" textlink="">
      <xdr:nvSpPr>
        <xdr:cNvPr id="136" name="Retângulo 135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3192DFC3-9F98-4DEA-BB90-A7BA9DA4C8DC}"/>
            </a:ext>
          </a:extLst>
        </xdr:cNvPr>
        <xdr:cNvSpPr/>
      </xdr:nvSpPr>
      <xdr:spPr>
        <a:xfrm>
          <a:off x="33961387" y="1386450"/>
          <a:ext cx="4448175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216337</xdr:colOff>
      <xdr:row>3</xdr:row>
      <xdr:rowOff>243450</xdr:rowOff>
    </xdr:from>
    <xdr:to>
      <xdr:col>12</xdr:col>
      <xdr:colOff>466725</xdr:colOff>
      <xdr:row>6</xdr:row>
      <xdr:rowOff>66112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4550212" y="1386450"/>
          <a:ext cx="334601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111562</xdr:colOff>
      <xdr:row>3</xdr:row>
      <xdr:rowOff>243450</xdr:rowOff>
    </xdr:from>
    <xdr:to>
      <xdr:col>23</xdr:col>
      <xdr:colOff>266700</xdr:colOff>
      <xdr:row>6</xdr:row>
      <xdr:rowOff>66112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11255812" y="1386450"/>
          <a:ext cx="3250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16</xdr:col>
      <xdr:colOff>285750</xdr:colOff>
      <xdr:row>14</xdr:row>
      <xdr:rowOff>228600</xdr:rowOff>
    </xdr:from>
    <xdr:to>
      <xdr:col>40</xdr:col>
      <xdr:colOff>461963</xdr:colOff>
      <xdr:row>53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alphaModFix amt="23000"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5181600"/>
          <a:ext cx="15449550" cy="13953022"/>
        </a:xfrm>
        <a:prstGeom prst="rect">
          <a:avLst/>
        </a:prstGeom>
      </xdr:spPr>
    </xdr:pic>
    <xdr:clientData/>
  </xdr:twoCellAnchor>
  <xdr:twoCellAnchor editAs="absolute">
    <xdr:from>
      <xdr:col>19</xdr:col>
      <xdr:colOff>347663</xdr:colOff>
      <xdr:row>8</xdr:row>
      <xdr:rowOff>19050</xdr:rowOff>
    </xdr:from>
    <xdr:to>
      <xdr:col>37</xdr:col>
      <xdr:colOff>309563</xdr:colOff>
      <xdr:row>15</xdr:row>
      <xdr:rowOff>95250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6D7FE784-1C3F-4ACD-A006-E112BD975693}"/>
            </a:ext>
          </a:extLst>
        </xdr:cNvPr>
        <xdr:cNvSpPr txBox="1"/>
      </xdr:nvSpPr>
      <xdr:spPr>
        <a:xfrm>
          <a:off x="12420600" y="27051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ESTOQUE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232781</xdr:colOff>
      <xdr:row>25</xdr:row>
      <xdr:rowOff>1991</xdr:rowOff>
    </xdr:from>
    <xdr:to>
      <xdr:col>11</xdr:col>
      <xdr:colOff>567319</xdr:colOff>
      <xdr:row>35</xdr:row>
      <xdr:rowOff>34158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45E50BE2-F6F5-496E-B6F3-03D930461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99918" y="8836428"/>
          <a:ext cx="3582563" cy="3656430"/>
        </a:xfrm>
        <a:prstGeom prst="rect">
          <a:avLst/>
        </a:prstGeom>
        <a:noFill/>
      </xdr:spPr>
    </xdr:pic>
    <xdr:clientData/>
  </xdr:twoCellAnchor>
  <xdr:twoCellAnchor editAs="absolute">
    <xdr:from>
      <xdr:col>45</xdr:col>
      <xdr:colOff>528056</xdr:colOff>
      <xdr:row>25</xdr:row>
      <xdr:rowOff>1991</xdr:rowOff>
    </xdr:from>
    <xdr:to>
      <xdr:col>51</xdr:col>
      <xdr:colOff>319669</xdr:colOff>
      <xdr:row>35</xdr:row>
      <xdr:rowOff>34158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5986575-ADCE-4909-87CC-8C973E89D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45918" y="8836428"/>
          <a:ext cx="3582563" cy="3656430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-1</xdr:colOff>
      <xdr:row>3</xdr:row>
      <xdr:rowOff>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17103ACD-5435-452B-9DCD-CD269E33C80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613622</xdr:colOff>
      <xdr:row>0</xdr:row>
      <xdr:rowOff>0</xdr:rowOff>
    </xdr:from>
    <xdr:to>
      <xdr:col>9</xdr:col>
      <xdr:colOff>242586</xdr:colOff>
      <xdr:row>3</xdr:row>
      <xdr:rowOff>0</xdr:rowOff>
    </xdr:to>
    <xdr:grpSp>
      <xdr:nvGrpSpPr>
        <xdr:cNvPr id="55" name="Agrupar 5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B65DB7F-DB29-4752-BA5F-4130EF6F04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8372" y="0"/>
          <a:ext cx="1486339" cy="1143000"/>
          <a:chOff x="1993654" y="0"/>
          <a:chExt cx="1022595" cy="781538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7DCBA1D9-9146-4CF1-A644-EFC0678AAEF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0" name="Imagem 9">
            <a:extLst>
              <a:ext uri="{FF2B5EF4-FFF2-40B4-BE49-F238E27FC236}">
                <a16:creationId xmlns:a16="http://schemas.microsoft.com/office/drawing/2014/main" id="{F0A88142-84EC-4E14-8E4F-A3BE930E276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7DAE8B0E-0BAE-4D60-87D3-F1EBA813295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237084</xdr:colOff>
      <xdr:row>0</xdr:row>
      <xdr:rowOff>0</xdr:rowOff>
    </xdr:from>
    <xdr:to>
      <xdr:col>14</xdr:col>
      <xdr:colOff>566736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F943FBC1-4AE3-4628-9A9E-2FBDE7147681}"/>
            </a:ext>
          </a:extLst>
        </xdr:cNvPr>
        <xdr:cNvGrpSpPr/>
      </xdr:nvGrpSpPr>
      <xdr:grpSpPr>
        <a:xfrm>
          <a:off x="7666584" y="0"/>
          <a:ext cx="1567902" cy="1143000"/>
          <a:chOff x="5966368" y="0"/>
          <a:chExt cx="1591474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A7724E4-5930-4727-AADD-D058F3DFD581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5169E1FE-BB98-4998-9FD0-F7D5E2198BB0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5DF93AD-51B6-4E9A-AEF1-F62EF6655EA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17</xdr:col>
      <xdr:colOff>561234</xdr:colOff>
      <xdr:row>0</xdr:row>
      <xdr:rowOff>0</xdr:rowOff>
    </xdr:from>
    <xdr:to>
      <xdr:col>20</xdr:col>
      <xdr:colOff>278748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E45A42D9-781E-44DD-8164-A54C6E5B088D}"/>
            </a:ext>
          </a:extLst>
        </xdr:cNvPr>
        <xdr:cNvGrpSpPr/>
      </xdr:nvGrpSpPr>
      <xdr:grpSpPr>
        <a:xfrm>
          <a:off x="11086359" y="0"/>
          <a:ext cx="1574889" cy="1143000"/>
          <a:chOff x="9596894" y="0"/>
          <a:chExt cx="1598566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8AA48228-B991-467F-BE2B-70FEA79AD669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867EA771-AA6F-4D91-9820-5DB1116192EA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9" name="Imagem 6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B536E64D-37FA-4B33-8C0D-5F013CE32DA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273246</xdr:colOff>
      <xdr:row>0</xdr:row>
      <xdr:rowOff>0</xdr:rowOff>
    </xdr:from>
    <xdr:to>
      <xdr:col>25</xdr:col>
      <xdr:colOff>602915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86EB9B31-D34B-49D4-B20A-E32D6DEAD2BE}"/>
            </a:ext>
          </a:extLst>
        </xdr:cNvPr>
        <xdr:cNvGrpSpPr/>
      </xdr:nvGrpSpPr>
      <xdr:grpSpPr>
        <a:xfrm>
          <a:off x="14513121" y="0"/>
          <a:ext cx="1567919" cy="1143000"/>
          <a:chOff x="13234512" y="0"/>
          <a:chExt cx="1591491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86866AF1-D778-4B21-BDF5-D51C14F8D830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20E92D03-48C6-4623-AF03-C38555FA112E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3" name="Imagem 17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11916E51-FFEE-49E2-835C-5C536059F07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597413</xdr:colOff>
      <xdr:row>0</xdr:row>
      <xdr:rowOff>0</xdr:rowOff>
    </xdr:from>
    <xdr:to>
      <xdr:col>31</xdr:col>
      <xdr:colOff>328446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920110ED-772C-4BDE-B5C0-8C78DB581AED}"/>
            </a:ext>
          </a:extLst>
        </xdr:cNvPr>
        <xdr:cNvGrpSpPr/>
      </xdr:nvGrpSpPr>
      <xdr:grpSpPr>
        <a:xfrm>
          <a:off x="17932913" y="0"/>
          <a:ext cx="1588408" cy="1143000"/>
          <a:chOff x="16865055" y="0"/>
          <a:chExt cx="1612288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967C5D70-E070-4395-A595-9C0F40E020AB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B658853B-5267-47AF-A120-DAE841D70603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7" name="Imagem 17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19DB89C-E751-4134-8DEA-8BC8C7FB04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322944</xdr:colOff>
      <xdr:row>0</xdr:row>
      <xdr:rowOff>0</xdr:rowOff>
    </xdr:from>
    <xdr:to>
      <xdr:col>37</xdr:col>
      <xdr:colOff>34883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40562338-35BF-429C-BBFF-B7039EF4414A}"/>
            </a:ext>
          </a:extLst>
        </xdr:cNvPr>
        <xdr:cNvGrpSpPr/>
      </xdr:nvGrpSpPr>
      <xdr:grpSpPr>
        <a:xfrm>
          <a:off x="21373194" y="0"/>
          <a:ext cx="1569314" cy="1143000"/>
          <a:chOff x="20516395" y="0"/>
          <a:chExt cx="1592907" cy="1162050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A5A98D87-B671-4A23-9B6E-B0C145D6AE80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95C5035C-17E3-476B-B353-1BCA154FD5CF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81" name="Imagem 1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34B253CC-A71E-4DE7-B18F-B256C9BF938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40</xdr:col>
      <xdr:colOff>29381</xdr:colOff>
      <xdr:row>0</xdr:row>
      <xdr:rowOff>0</xdr:rowOff>
    </xdr:from>
    <xdr:to>
      <xdr:col>42</xdr:col>
      <xdr:colOff>357638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429C4ACF-8A77-406D-B3F4-DDC3705AFB76}"/>
            </a:ext>
          </a:extLst>
        </xdr:cNvPr>
        <xdr:cNvGrpSpPr/>
      </xdr:nvGrpSpPr>
      <xdr:grpSpPr>
        <a:xfrm>
          <a:off x="24794381" y="0"/>
          <a:ext cx="1566507" cy="1143000"/>
          <a:chOff x="24148354" y="0"/>
          <a:chExt cx="1590058" cy="1162050"/>
        </a:xfrm>
      </xdr:grpSpPr>
      <xdr:sp macro="" textlink="">
        <xdr:nvSpPr>
          <xdr:cNvPr id="83" name="Retângulo 82">
            <a:extLst>
              <a:ext uri="{FF2B5EF4-FFF2-40B4-BE49-F238E27FC236}">
                <a16:creationId xmlns:a16="http://schemas.microsoft.com/office/drawing/2014/main" id="{EB1BF313-2EC9-4F2F-AA51-00C4532F8EA9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511CE096-0A4B-4D4D-B2DF-7CBCE29DBD68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85" name="Imagem 17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18DE932-6F10-4EE5-93D0-081DF361B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45</xdr:col>
      <xdr:colOff>352136</xdr:colOff>
      <xdr:row>0</xdr:row>
      <xdr:rowOff>0</xdr:rowOff>
    </xdr:from>
    <xdr:to>
      <xdr:col>48</xdr:col>
      <xdr:colOff>79177</xdr:colOff>
      <xdr:row>3</xdr:row>
      <xdr:rowOff>0</xdr:rowOff>
    </xdr:to>
    <xdr:grpSp>
      <xdr:nvGrpSpPr>
        <xdr:cNvPr id="86" name="Agrupar 85">
          <a:extLst>
            <a:ext uri="{FF2B5EF4-FFF2-40B4-BE49-F238E27FC236}">
              <a16:creationId xmlns:a16="http://schemas.microsoft.com/office/drawing/2014/main" id="{15B536DC-BDB5-42AD-B2BB-104907C67BB1}"/>
            </a:ext>
          </a:extLst>
        </xdr:cNvPr>
        <xdr:cNvGrpSpPr/>
      </xdr:nvGrpSpPr>
      <xdr:grpSpPr>
        <a:xfrm>
          <a:off x="28212761" y="0"/>
          <a:ext cx="1584416" cy="1143000"/>
          <a:chOff x="27777464" y="0"/>
          <a:chExt cx="1598568" cy="1162050"/>
        </a:xfrm>
      </xdr:grpSpPr>
      <xdr:sp macro="" textlink="">
        <xdr:nvSpPr>
          <xdr:cNvPr id="87" name="Retângulo 86">
            <a:extLst>
              <a:ext uri="{FF2B5EF4-FFF2-40B4-BE49-F238E27FC236}">
                <a16:creationId xmlns:a16="http://schemas.microsoft.com/office/drawing/2014/main" id="{045DE263-5442-4247-A0D1-C60E09D87A75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3F50B6DA-C47C-40AB-847F-EFA25EC2584E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9" name="Imagem 1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9C747211-B32A-4BAB-80C3-064B8D346FC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51</xdr:col>
      <xdr:colOff>73675</xdr:colOff>
      <xdr:row>0</xdr:row>
      <xdr:rowOff>1</xdr:rowOff>
    </xdr:from>
    <xdr:to>
      <xdr:col>53</xdr:col>
      <xdr:colOff>410316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FEE0480F-023C-4E63-9EDB-95F24AF83A85}"/>
            </a:ext>
          </a:extLst>
        </xdr:cNvPr>
        <xdr:cNvGrpSpPr/>
      </xdr:nvGrpSpPr>
      <xdr:grpSpPr>
        <a:xfrm>
          <a:off x="31649050" y="1"/>
          <a:ext cx="1574891" cy="1142999"/>
          <a:chOff x="31415083" y="0"/>
          <a:chExt cx="1598568" cy="1162049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129A5A1A-FDA1-4AB0-B84C-BD052DD86DFA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" name="CaixaDeTexto 91">
            <a:extLst>
              <a:ext uri="{FF2B5EF4-FFF2-40B4-BE49-F238E27FC236}">
                <a16:creationId xmlns:a16="http://schemas.microsoft.com/office/drawing/2014/main" id="{4B75ABAA-9CA9-4445-88A8-87A857999047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93" name="Imagem 92" descr="Ícone do banco de dados (símbolo png) preto">
            <a:hlinkClick xmlns:r="http://schemas.openxmlformats.org/officeDocument/2006/relationships" r:id="rId31"/>
            <a:extLst>
              <a:ext uri="{FF2B5EF4-FFF2-40B4-BE49-F238E27FC236}">
                <a16:creationId xmlns:a16="http://schemas.microsoft.com/office/drawing/2014/main" id="{733211A2-2CC5-46E5-97AB-935FEB37BF0A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56</xdr:col>
      <xdr:colOff>404812</xdr:colOff>
      <xdr:row>0</xdr:row>
      <xdr:rowOff>211500</xdr:rowOff>
    </xdr:from>
    <xdr:to>
      <xdr:col>57</xdr:col>
      <xdr:colOff>520395</xdr:colOff>
      <xdr:row>2</xdr:row>
      <xdr:rowOff>169500</xdr:rowOff>
    </xdr:to>
    <xdr:sp macro="[0]!BotaoComLogin" textlink="">
      <xdr:nvSpPr>
        <xdr:cNvPr id="94" name="Círculo: Vazio 93">
          <a:extLst>
            <a:ext uri="{FF2B5EF4-FFF2-40B4-BE49-F238E27FC236}">
              <a16:creationId xmlns:a16="http://schemas.microsoft.com/office/drawing/2014/main" id="{B0621691-A718-4AF3-A272-78370A13C069}"/>
            </a:ext>
          </a:extLst>
        </xdr:cNvPr>
        <xdr:cNvSpPr>
          <a:spLocks noChangeAspect="1"/>
        </xdr:cNvSpPr>
      </xdr:nvSpPr>
      <xdr:spPr>
        <a:xfrm>
          <a:off x="35075812" y="211500"/>
          <a:ext cx="734708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1528763</xdr:colOff>
      <xdr:row>27</xdr:row>
      <xdr:rowOff>119063</xdr:rowOff>
    </xdr:from>
    <xdr:to>
      <xdr:col>19</xdr:col>
      <xdr:colOff>0</xdr:colOff>
      <xdr:row>30</xdr:row>
      <xdr:rowOff>187345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2863513" y="9644063"/>
          <a:ext cx="1852612" cy="113984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1446848</xdr:colOff>
      <xdr:row>23</xdr:row>
      <xdr:rowOff>0</xdr:rowOff>
    </xdr:from>
    <xdr:to>
      <xdr:col>25</xdr:col>
      <xdr:colOff>3357563</xdr:colOff>
      <xdr:row>26</xdr:row>
      <xdr:rowOff>92742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0020598" y="8001000"/>
          <a:ext cx="1910715" cy="116430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  <xdr:twoCellAnchor editAs="absolute">
    <xdr:from>
      <xdr:col>7</xdr:col>
      <xdr:colOff>216337</xdr:colOff>
      <xdr:row>3</xdr:row>
      <xdr:rowOff>243450</xdr:rowOff>
    </xdr:from>
    <xdr:to>
      <xdr:col>12</xdr:col>
      <xdr:colOff>466725</xdr:colOff>
      <xdr:row>6</xdr:row>
      <xdr:rowOff>66112</xdr:rowOff>
    </xdr:to>
    <xdr:sp macro="" textlink="">
      <xdr:nvSpPr>
        <xdr:cNvPr id="45" name="Retângulo 4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50694A-8BEB-4362-9E20-755CFDFF0E36}"/>
            </a:ext>
          </a:extLst>
        </xdr:cNvPr>
        <xdr:cNvSpPr/>
      </xdr:nvSpPr>
      <xdr:spPr>
        <a:xfrm>
          <a:off x="4550212" y="1386450"/>
          <a:ext cx="3346013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159187</xdr:colOff>
      <xdr:row>3</xdr:row>
      <xdr:rowOff>243450</xdr:rowOff>
    </xdr:from>
    <xdr:to>
      <xdr:col>18</xdr:col>
      <xdr:colOff>3171825</xdr:colOff>
      <xdr:row>6</xdr:row>
      <xdr:rowOff>66112</xdr:rowOff>
    </xdr:to>
    <xdr:sp macro="" textlink="">
      <xdr:nvSpPr>
        <xdr:cNvPr id="46" name="Retângulo 4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1FC834B-1E1B-46B7-9B55-4691177EFBEC}"/>
            </a:ext>
          </a:extLst>
        </xdr:cNvPr>
        <xdr:cNvSpPr/>
      </xdr:nvSpPr>
      <xdr:spPr>
        <a:xfrm>
          <a:off x="11255812" y="1386450"/>
          <a:ext cx="325076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13005</xdr:colOff>
      <xdr:row>0</xdr:row>
      <xdr:rowOff>0</xdr:rowOff>
    </xdr:from>
    <xdr:to>
      <xdr:col>4</xdr:col>
      <xdr:colOff>13004</xdr:colOff>
      <xdr:row>3</xdr:row>
      <xdr:rowOff>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D864C74F-3C6A-4511-80B8-1F0D08632EB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252" t="39637" r="14079" b="25703"/>
        <a:stretch/>
      </xdr:blipFill>
      <xdr:spPr>
        <a:xfrm>
          <a:off x="13005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7</xdr:col>
      <xdr:colOff>7502</xdr:colOff>
      <xdr:row>0</xdr:row>
      <xdr:rowOff>0</xdr:rowOff>
    </xdr:from>
    <xdr:to>
      <xdr:col>9</xdr:col>
      <xdr:colOff>255591</xdr:colOff>
      <xdr:row>3</xdr:row>
      <xdr:rowOff>0</xdr:rowOff>
    </xdr:to>
    <xdr:grpSp>
      <xdr:nvGrpSpPr>
        <xdr:cNvPr id="82" name="Agrupar 8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E60B63-12F1-4098-A8DB-FB1BAC46AC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41377" y="0"/>
          <a:ext cx="1486339" cy="1143000"/>
          <a:chOff x="1993654" y="0"/>
          <a:chExt cx="1022595" cy="781538"/>
        </a:xfrm>
      </xdr:grpSpPr>
      <xdr:sp macro="" textlink="">
        <xdr:nvSpPr>
          <xdr:cNvPr id="88" name="Retângulo 87">
            <a:extLst>
              <a:ext uri="{FF2B5EF4-FFF2-40B4-BE49-F238E27FC236}">
                <a16:creationId xmlns:a16="http://schemas.microsoft.com/office/drawing/2014/main" id="{74463850-0D45-4EAB-988F-A4163CEE394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9" name="Imagem 9">
            <a:extLst>
              <a:ext uri="{FF2B5EF4-FFF2-40B4-BE49-F238E27FC236}">
                <a16:creationId xmlns:a16="http://schemas.microsoft.com/office/drawing/2014/main" id="{560C7D15-74D9-4CB1-90B6-34B4DEC62B3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90" name="CaixaDeTexto 89">
            <a:extLst>
              <a:ext uri="{FF2B5EF4-FFF2-40B4-BE49-F238E27FC236}">
                <a16:creationId xmlns:a16="http://schemas.microsoft.com/office/drawing/2014/main" id="{77142548-A0F9-4A78-B5C9-563CDD572B9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12</xdr:col>
      <xdr:colOff>250089</xdr:colOff>
      <xdr:row>0</xdr:row>
      <xdr:rowOff>0</xdr:rowOff>
    </xdr:from>
    <xdr:to>
      <xdr:col>14</xdr:col>
      <xdr:colOff>960741</xdr:colOff>
      <xdr:row>3</xdr:row>
      <xdr:rowOff>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50DBC243-4DF7-4DC0-9835-30B4131C8973}"/>
            </a:ext>
          </a:extLst>
        </xdr:cNvPr>
        <xdr:cNvGrpSpPr/>
      </xdr:nvGrpSpPr>
      <xdr:grpSpPr>
        <a:xfrm>
          <a:off x="7679589" y="0"/>
          <a:ext cx="1567902" cy="1143000"/>
          <a:chOff x="5966368" y="0"/>
          <a:chExt cx="1591474" cy="1162050"/>
        </a:xfrm>
      </xdr:grpSpPr>
      <xdr:sp macro="" textlink="">
        <xdr:nvSpPr>
          <xdr:cNvPr id="92" name="Retângulo 91">
            <a:extLst>
              <a:ext uri="{FF2B5EF4-FFF2-40B4-BE49-F238E27FC236}">
                <a16:creationId xmlns:a16="http://schemas.microsoft.com/office/drawing/2014/main" id="{636953C6-7DAD-4CF2-A130-F21B02896137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6B918FBB-3C6B-4582-8477-4BEE39D65524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4" name="Imagem 1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9905E332-A2FB-477A-B08B-2D35251C08ED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17</xdr:col>
      <xdr:colOff>2739</xdr:colOff>
      <xdr:row>0</xdr:row>
      <xdr:rowOff>0</xdr:rowOff>
    </xdr:from>
    <xdr:to>
      <xdr:col>18</xdr:col>
      <xdr:colOff>1339503</xdr:colOff>
      <xdr:row>3</xdr:row>
      <xdr:rowOff>0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EC5F5BD2-DE67-42EB-884B-22F06C3198A6}"/>
            </a:ext>
          </a:extLst>
        </xdr:cNvPr>
        <xdr:cNvGrpSpPr/>
      </xdr:nvGrpSpPr>
      <xdr:grpSpPr>
        <a:xfrm>
          <a:off x="11099364" y="0"/>
          <a:ext cx="1574889" cy="1143000"/>
          <a:chOff x="9596894" y="0"/>
          <a:chExt cx="1598566" cy="1162050"/>
        </a:xfrm>
      </xdr:grpSpPr>
      <xdr:sp macro="" textlink="">
        <xdr:nvSpPr>
          <xdr:cNvPr id="96" name="Retângulo 95">
            <a:extLst>
              <a:ext uri="{FF2B5EF4-FFF2-40B4-BE49-F238E27FC236}">
                <a16:creationId xmlns:a16="http://schemas.microsoft.com/office/drawing/2014/main" id="{05E53B54-40FE-41FE-9CF7-5E927495A517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0825895A-4E07-4402-A7F2-5A463478600D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98" name="Imagem 9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1FBA29F-F90F-4F3C-9C2D-5649A0EE262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3191376</xdr:colOff>
      <xdr:row>0</xdr:row>
      <xdr:rowOff>0</xdr:rowOff>
    </xdr:from>
    <xdr:to>
      <xdr:col>21</xdr:col>
      <xdr:colOff>520670</xdr:colOff>
      <xdr:row>3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AD977374-6793-48D8-9B93-A81029FA8806}"/>
            </a:ext>
          </a:extLst>
        </xdr:cNvPr>
        <xdr:cNvGrpSpPr/>
      </xdr:nvGrpSpPr>
      <xdr:grpSpPr>
        <a:xfrm>
          <a:off x="14526126" y="0"/>
          <a:ext cx="1567919" cy="1143000"/>
          <a:chOff x="13234512" y="0"/>
          <a:chExt cx="1591491" cy="1162050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0401F834-6C00-4521-913E-43D5DDC4F328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15A94EDA-6ACA-46AE-A6B9-6BA3E18C3F1C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02" name="Imagem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BD268F2-7074-46C4-AFB4-0EA73169B4D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1610543</xdr:colOff>
      <xdr:row>0</xdr:row>
      <xdr:rowOff>0</xdr:rowOff>
    </xdr:from>
    <xdr:to>
      <xdr:col>25</xdr:col>
      <xdr:colOff>960576</xdr:colOff>
      <xdr:row>3</xdr:row>
      <xdr:rowOff>0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B3B696F3-FFFB-41F3-B9DA-14CC5B8F4D12}"/>
            </a:ext>
          </a:extLst>
        </xdr:cNvPr>
        <xdr:cNvGrpSpPr/>
      </xdr:nvGrpSpPr>
      <xdr:grpSpPr>
        <a:xfrm>
          <a:off x="17945918" y="0"/>
          <a:ext cx="1588408" cy="1143000"/>
          <a:chOff x="16865055" y="0"/>
          <a:chExt cx="1612288" cy="1162050"/>
        </a:xfrm>
      </xdr:grpSpPr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AC69BDAD-1EB8-41F0-A7C2-CDF0F007B6D4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6DCA48DB-E61E-4F4F-B15C-3A722CB108F9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6" name="Imagem 17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385AB875-EA91-4ABD-ADE4-4E959DD05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2812449</xdr:colOff>
      <xdr:row>0</xdr:row>
      <xdr:rowOff>0</xdr:rowOff>
    </xdr:from>
    <xdr:to>
      <xdr:col>28</xdr:col>
      <xdr:colOff>143138</xdr:colOff>
      <xdr:row>3</xdr:row>
      <xdr:rowOff>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A3BAE19C-2F82-47A8-8A6C-BD1D4F3FC3E7}"/>
            </a:ext>
          </a:extLst>
        </xdr:cNvPr>
        <xdr:cNvGrpSpPr/>
      </xdr:nvGrpSpPr>
      <xdr:grpSpPr>
        <a:xfrm>
          <a:off x="21386199" y="0"/>
          <a:ext cx="1569314" cy="1143000"/>
          <a:chOff x="20516395" y="0"/>
          <a:chExt cx="1592907" cy="1162050"/>
        </a:xfrm>
      </xdr:grpSpPr>
      <xdr:sp macro="" textlink="">
        <xdr:nvSpPr>
          <xdr:cNvPr id="108" name="Retângulo 107">
            <a:extLst>
              <a:ext uri="{FF2B5EF4-FFF2-40B4-BE49-F238E27FC236}">
                <a16:creationId xmlns:a16="http://schemas.microsoft.com/office/drawing/2014/main" id="{06F0AD0A-8A8A-4190-8DD8-30A7B88633E4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E8097F23-873C-475C-B49B-D751BE38B1F3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0" name="Imagem 17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C0583E70-2B48-4B6A-9157-B20D96642F5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137636</xdr:colOff>
      <xdr:row>0</xdr:row>
      <xdr:rowOff>0</xdr:rowOff>
    </xdr:from>
    <xdr:to>
      <xdr:col>33</xdr:col>
      <xdr:colOff>465893</xdr:colOff>
      <xdr:row>3</xdr:row>
      <xdr:rowOff>0</xdr:rowOff>
    </xdr:to>
    <xdr:grpSp>
      <xdr:nvGrpSpPr>
        <xdr:cNvPr id="111" name="Agrupar 110">
          <a:extLst>
            <a:ext uri="{FF2B5EF4-FFF2-40B4-BE49-F238E27FC236}">
              <a16:creationId xmlns:a16="http://schemas.microsoft.com/office/drawing/2014/main" id="{BCC9E56B-CEF9-4733-9BDA-1BDAA3C6E72C}"/>
            </a:ext>
          </a:extLst>
        </xdr:cNvPr>
        <xdr:cNvGrpSpPr/>
      </xdr:nvGrpSpPr>
      <xdr:grpSpPr>
        <a:xfrm>
          <a:off x="24807386" y="0"/>
          <a:ext cx="1566507" cy="1143000"/>
          <a:chOff x="24148354" y="0"/>
          <a:chExt cx="1590058" cy="1162050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8D7A6B60-82DE-442D-95CB-72D0817BA742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CaixaDeTexto 112">
            <a:extLst>
              <a:ext uri="{FF2B5EF4-FFF2-40B4-BE49-F238E27FC236}">
                <a16:creationId xmlns:a16="http://schemas.microsoft.com/office/drawing/2014/main" id="{FF69B019-D53E-4A81-A9DE-B0D0512B1721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4" name="Imagem 1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51C20783-3528-4E3F-A5B0-239F81FDDA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36</xdr:col>
      <xdr:colOff>460391</xdr:colOff>
      <xdr:row>0</xdr:row>
      <xdr:rowOff>0</xdr:rowOff>
    </xdr:from>
    <xdr:to>
      <xdr:col>39</xdr:col>
      <xdr:colOff>187432</xdr:colOff>
      <xdr:row>3</xdr:row>
      <xdr:rowOff>0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6A891AB4-47AE-40D8-A95A-99925FC572EA}"/>
            </a:ext>
          </a:extLst>
        </xdr:cNvPr>
        <xdr:cNvGrpSpPr/>
      </xdr:nvGrpSpPr>
      <xdr:grpSpPr>
        <a:xfrm>
          <a:off x="28225766" y="0"/>
          <a:ext cx="1584416" cy="1143000"/>
          <a:chOff x="27777464" y="0"/>
          <a:chExt cx="1598568" cy="1162050"/>
        </a:xfrm>
      </xdr:grpSpPr>
      <xdr:sp macro="" textlink="">
        <xdr:nvSpPr>
          <xdr:cNvPr id="116" name="Retângulo 115">
            <a:extLst>
              <a:ext uri="{FF2B5EF4-FFF2-40B4-BE49-F238E27FC236}">
                <a16:creationId xmlns:a16="http://schemas.microsoft.com/office/drawing/2014/main" id="{9314B170-3793-4262-BBE8-BE5D6DE5EB7E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CaixaDeTexto 116">
            <a:extLst>
              <a:ext uri="{FF2B5EF4-FFF2-40B4-BE49-F238E27FC236}">
                <a16:creationId xmlns:a16="http://schemas.microsoft.com/office/drawing/2014/main" id="{56332134-C4BF-4F2E-B60B-67B6B6ECA138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18" name="Imagem 17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AD674439-C5CF-4598-A24C-014DC01C7BB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42</xdr:col>
      <xdr:colOff>181930</xdr:colOff>
      <xdr:row>0</xdr:row>
      <xdr:rowOff>1</xdr:rowOff>
    </xdr:from>
    <xdr:to>
      <xdr:col>44</xdr:col>
      <xdr:colOff>518571</xdr:colOff>
      <xdr:row>3</xdr:row>
      <xdr:rowOff>0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022CC750-6C55-4EB3-BD18-DC7B47024BC5}"/>
            </a:ext>
          </a:extLst>
        </xdr:cNvPr>
        <xdr:cNvGrpSpPr/>
      </xdr:nvGrpSpPr>
      <xdr:grpSpPr>
        <a:xfrm>
          <a:off x="31662055" y="1"/>
          <a:ext cx="1574891" cy="1142999"/>
          <a:chOff x="31415083" y="0"/>
          <a:chExt cx="1598568" cy="1162049"/>
        </a:xfrm>
      </xdr:grpSpPr>
      <xdr:sp macro="" textlink="">
        <xdr:nvSpPr>
          <xdr:cNvPr id="120" name="Retângulo 119">
            <a:extLst>
              <a:ext uri="{FF2B5EF4-FFF2-40B4-BE49-F238E27FC236}">
                <a16:creationId xmlns:a16="http://schemas.microsoft.com/office/drawing/2014/main" id="{A4FDC8FE-CD36-4682-9187-FC22A8E7DFFB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CaixaDeTexto 120">
            <a:extLst>
              <a:ext uri="{FF2B5EF4-FFF2-40B4-BE49-F238E27FC236}">
                <a16:creationId xmlns:a16="http://schemas.microsoft.com/office/drawing/2014/main" id="{B7961CF5-7165-40F0-9A87-990DDADEEE73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22" name="Imagem 121" descr="Ícone do banco de dados (símbolo png) preto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C39271A8-B74B-4C02-AFD7-E1C39D04BF2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47</xdr:col>
      <xdr:colOff>513067</xdr:colOff>
      <xdr:row>0</xdr:row>
      <xdr:rowOff>211500</xdr:rowOff>
    </xdr:from>
    <xdr:to>
      <xdr:col>49</xdr:col>
      <xdr:colOff>0</xdr:colOff>
      <xdr:row>2</xdr:row>
      <xdr:rowOff>169500</xdr:rowOff>
    </xdr:to>
    <xdr:sp macro="[0]!BotaoComLogin" textlink="">
      <xdr:nvSpPr>
        <xdr:cNvPr id="123" name="Círculo: Vazio 122">
          <a:extLst>
            <a:ext uri="{FF2B5EF4-FFF2-40B4-BE49-F238E27FC236}">
              <a16:creationId xmlns:a16="http://schemas.microsoft.com/office/drawing/2014/main" id="{1CD2E140-67A9-4525-A58D-69A1EBF7E662}"/>
            </a:ext>
          </a:extLst>
        </xdr:cNvPr>
        <xdr:cNvSpPr>
          <a:spLocks noChangeAspect="1"/>
        </xdr:cNvSpPr>
      </xdr:nvSpPr>
      <xdr:spPr>
        <a:xfrm>
          <a:off x="35088817" y="211500"/>
          <a:ext cx="725183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1485901</xdr:colOff>
      <xdr:row>27</xdr:row>
      <xdr:rowOff>166689</xdr:rowOff>
    </xdr:from>
    <xdr:to>
      <xdr:col>19</xdr:col>
      <xdr:colOff>0</xdr:colOff>
      <xdr:row>30</xdr:row>
      <xdr:rowOff>234971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2201526" y="9691689"/>
          <a:ext cx="1895474" cy="113984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  <xdr:twoCellAnchor editAs="absolute">
    <xdr:from>
      <xdr:col>7</xdr:col>
      <xdr:colOff>536707</xdr:colOff>
      <xdr:row>3</xdr:row>
      <xdr:rowOff>243450</xdr:rowOff>
    </xdr:from>
    <xdr:to>
      <xdr:col>14</xdr:col>
      <xdr:colOff>215595</xdr:colOff>
      <xdr:row>6</xdr:row>
      <xdr:rowOff>66112</xdr:rowOff>
    </xdr:to>
    <xdr:sp macro="" textlink="">
      <xdr:nvSpPr>
        <xdr:cNvPr id="80" name="Retângulo 7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F031E5-EB27-47BE-ACC0-256837EBB443}"/>
            </a:ext>
          </a:extLst>
        </xdr:cNvPr>
        <xdr:cNvSpPr/>
      </xdr:nvSpPr>
      <xdr:spPr>
        <a:xfrm>
          <a:off x="4537207" y="1386450"/>
          <a:ext cx="3346013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527182</xdr:colOff>
      <xdr:row>3</xdr:row>
      <xdr:rowOff>243450</xdr:rowOff>
    </xdr:from>
    <xdr:to>
      <xdr:col>20</xdr:col>
      <xdr:colOff>158445</xdr:colOff>
      <xdr:row>6</xdr:row>
      <xdr:rowOff>66112</xdr:rowOff>
    </xdr:to>
    <xdr:sp macro="" textlink="">
      <xdr:nvSpPr>
        <xdr:cNvPr id="81" name="Retângulo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E477C9-8989-4F1E-B1F5-D0B3E8EA21D5}"/>
            </a:ext>
          </a:extLst>
        </xdr:cNvPr>
        <xdr:cNvSpPr/>
      </xdr:nvSpPr>
      <xdr:spPr>
        <a:xfrm>
          <a:off x="11242807" y="1386450"/>
          <a:ext cx="3250763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190499</xdr:colOff>
      <xdr:row>3</xdr:row>
      <xdr:rowOff>0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52EA3B13-5D8A-48F3-A705-D897EF58104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252" t="39637" r="14079" b="25703"/>
        <a:stretch/>
      </xdr:blipFill>
      <xdr:spPr>
        <a:xfrm>
          <a:off x="0" y="0"/>
          <a:ext cx="2476499" cy="1143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7</xdr:col>
      <xdr:colOff>327872</xdr:colOff>
      <xdr:row>0</xdr:row>
      <xdr:rowOff>0</xdr:rowOff>
    </xdr:from>
    <xdr:to>
      <xdr:col>10</xdr:col>
      <xdr:colOff>99711</xdr:colOff>
      <xdr:row>3</xdr:row>
      <xdr:rowOff>0</xdr:rowOff>
    </xdr:to>
    <xdr:grpSp>
      <xdr:nvGrpSpPr>
        <xdr:cNvPr id="83" name="Agrupar 8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843EDC-2C53-4505-B919-9546A112860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4328372" y="0"/>
          <a:ext cx="1486339" cy="1143000"/>
          <a:chOff x="1993654" y="0"/>
          <a:chExt cx="1022595" cy="781538"/>
        </a:xfrm>
      </xdr:grpSpPr>
      <xdr:sp macro="" textlink="">
        <xdr:nvSpPr>
          <xdr:cNvPr id="84" name="Retângulo 83">
            <a:extLst>
              <a:ext uri="{FF2B5EF4-FFF2-40B4-BE49-F238E27FC236}">
                <a16:creationId xmlns:a16="http://schemas.microsoft.com/office/drawing/2014/main" id="{F6706D28-391E-450F-9314-A420BC67C40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5" name="Imagem 9">
            <a:extLst>
              <a:ext uri="{FF2B5EF4-FFF2-40B4-BE49-F238E27FC236}">
                <a16:creationId xmlns:a16="http://schemas.microsoft.com/office/drawing/2014/main" id="{F6890384-A657-48B2-BC7D-A34FF4B5F30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04162" y="85377"/>
            <a:ext cx="389339" cy="369231"/>
          </a:xfrm>
          <a:prstGeom prst="rect">
            <a:avLst/>
          </a:prstGeom>
          <a:noFill/>
        </xdr:spPr>
      </xdr:pic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74779D8A-C764-4C95-8573-8D901865595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13</xdr:col>
      <xdr:colOff>237084</xdr:colOff>
      <xdr:row>0</xdr:row>
      <xdr:rowOff>0</xdr:rowOff>
    </xdr:from>
    <xdr:to>
      <xdr:col>14</xdr:col>
      <xdr:colOff>1566861</xdr:colOff>
      <xdr:row>3</xdr:row>
      <xdr:rowOff>0</xdr:rowOff>
    </xdr:to>
    <xdr:grpSp>
      <xdr:nvGrpSpPr>
        <xdr:cNvPr id="87" name="Agrupar 86">
          <a:extLst>
            <a:ext uri="{FF2B5EF4-FFF2-40B4-BE49-F238E27FC236}">
              <a16:creationId xmlns:a16="http://schemas.microsoft.com/office/drawing/2014/main" id="{90F6D25F-CB5D-4553-9823-BC5516ACAFCE}"/>
            </a:ext>
          </a:extLst>
        </xdr:cNvPr>
        <xdr:cNvGrpSpPr/>
      </xdr:nvGrpSpPr>
      <xdr:grpSpPr>
        <a:xfrm>
          <a:off x="7657059" y="0"/>
          <a:ext cx="1577427" cy="1143000"/>
          <a:chOff x="5966368" y="0"/>
          <a:chExt cx="1591474" cy="1162050"/>
        </a:xfrm>
      </xdr:grpSpPr>
      <xdr:sp macro="" textlink="">
        <xdr:nvSpPr>
          <xdr:cNvPr id="88" name="Retângulo 87">
            <a:extLst>
              <a:ext uri="{FF2B5EF4-FFF2-40B4-BE49-F238E27FC236}">
                <a16:creationId xmlns:a16="http://schemas.microsoft.com/office/drawing/2014/main" id="{FD480C66-EABD-4568-874A-8285004F25ED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ysClr val="windowText" lastClr="000000"/>
          </a:solidFill>
          <a:ln>
            <a:noFill/>
          </a:ln>
          <a:effectLst>
            <a:glow>
              <a:schemeClr val="accent1"/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ysClr val="windowText" lastClr="000000"/>
              </a:solidFill>
              <a:effectLst>
                <a:glow>
                  <a:schemeClr val="accent1">
                    <a:alpha val="32000"/>
                  </a:schemeClr>
                </a:glow>
              </a:effectLst>
            </a:endParaRPr>
          </a:p>
        </xdr:txBody>
      </xdr: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69037892-6186-4C82-8929-E204AC8708AE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0" name="Imagem 1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C0D938E5-D7A8-4B1D-A643-7AB980E1205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86816" y="126203"/>
            <a:ext cx="550578" cy="549000"/>
          </a:xfrm>
          <a:prstGeom prst="rect">
            <a:avLst/>
          </a:prstGeom>
          <a:solidFill>
            <a:sysClr val="windowText" lastClr="000000"/>
          </a:solidFill>
          <a:effectLst>
            <a:glow>
              <a:schemeClr val="accent1"/>
            </a:glow>
            <a:softEdge rad="0"/>
          </a:effectLst>
        </xdr:spPr>
      </xdr:pic>
    </xdr:grpSp>
    <xdr:clientData/>
  </xdr:twoCellAnchor>
  <xdr:twoCellAnchor editAs="absolute">
    <xdr:from>
      <xdr:col>18</xdr:col>
      <xdr:colOff>370734</xdr:colOff>
      <xdr:row>0</xdr:row>
      <xdr:rowOff>0</xdr:rowOff>
    </xdr:from>
    <xdr:to>
      <xdr:col>18</xdr:col>
      <xdr:colOff>1945623</xdr:colOff>
      <xdr:row>3</xdr:row>
      <xdr:rowOff>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2A896413-E81C-486A-908E-3E76170795EA}"/>
            </a:ext>
          </a:extLst>
        </xdr:cNvPr>
        <xdr:cNvGrpSpPr/>
      </xdr:nvGrpSpPr>
      <xdr:grpSpPr>
        <a:xfrm>
          <a:off x="11086359" y="0"/>
          <a:ext cx="1574889" cy="1143000"/>
          <a:chOff x="9596894" y="0"/>
          <a:chExt cx="1598566" cy="1162050"/>
        </a:xfrm>
      </xdr:grpSpPr>
      <xdr:sp macro="" textlink="">
        <xdr:nvSpPr>
          <xdr:cNvPr id="92" name="Retângulo 91">
            <a:extLst>
              <a:ext uri="{FF2B5EF4-FFF2-40B4-BE49-F238E27FC236}">
                <a16:creationId xmlns:a16="http://schemas.microsoft.com/office/drawing/2014/main" id="{6E461A87-196E-49BE-A7B2-BA90E454A718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9B710C5E-3AA7-4816-A209-85061DCF5521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94" name="Imagem 9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1D0A635C-BE89-4D60-B3F5-51D1D72FAC3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22847" y="136274"/>
            <a:ext cx="546659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177996</xdr:colOff>
      <xdr:row>0</xdr:row>
      <xdr:rowOff>0</xdr:rowOff>
    </xdr:from>
    <xdr:to>
      <xdr:col>23</xdr:col>
      <xdr:colOff>31415</xdr:colOff>
      <xdr:row>3</xdr:row>
      <xdr:rowOff>0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620A4636-9EEE-45A7-A677-3439CAEE3BC9}"/>
            </a:ext>
          </a:extLst>
        </xdr:cNvPr>
        <xdr:cNvGrpSpPr/>
      </xdr:nvGrpSpPr>
      <xdr:grpSpPr>
        <a:xfrm>
          <a:off x="14513121" y="0"/>
          <a:ext cx="1567919" cy="1143000"/>
          <a:chOff x="13234512" y="0"/>
          <a:chExt cx="1591491" cy="1162050"/>
        </a:xfrm>
      </xdr:grpSpPr>
      <xdr:sp macro="" textlink="">
        <xdr:nvSpPr>
          <xdr:cNvPr id="96" name="Retângulo 95">
            <a:extLst>
              <a:ext uri="{FF2B5EF4-FFF2-40B4-BE49-F238E27FC236}">
                <a16:creationId xmlns:a16="http://schemas.microsoft.com/office/drawing/2014/main" id="{BD93B83B-0DB8-4804-8208-6009012F11C5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39B8CB8B-9980-4C19-985C-B8B623E1462D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98" name="Imagem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A584F294-915E-40BE-A96F-6C5CA70B229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56198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168788</xdr:colOff>
      <xdr:row>0</xdr:row>
      <xdr:rowOff>0</xdr:rowOff>
    </xdr:from>
    <xdr:to>
      <xdr:col>29</xdr:col>
      <xdr:colOff>42696</xdr:colOff>
      <xdr:row>3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A7CEEBA2-7EFC-48EF-9B2F-5B617DBA4757}"/>
            </a:ext>
          </a:extLst>
        </xdr:cNvPr>
        <xdr:cNvGrpSpPr/>
      </xdr:nvGrpSpPr>
      <xdr:grpSpPr>
        <a:xfrm>
          <a:off x="17932913" y="0"/>
          <a:ext cx="1588408" cy="1143000"/>
          <a:chOff x="16865055" y="0"/>
          <a:chExt cx="1612288" cy="1162050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74C8072E-ADD3-4F83-9686-762E978824D3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6B8A5C42-B282-43A0-ADBB-17DFCD285EB3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02" name="Imagem 17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607FDDA6-5884-4FBF-A992-407FCAEE6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9535" y="136274"/>
            <a:ext cx="543327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32</xdr:col>
      <xdr:colOff>180069</xdr:colOff>
      <xdr:row>0</xdr:row>
      <xdr:rowOff>0</xdr:rowOff>
    </xdr:from>
    <xdr:to>
      <xdr:col>35</xdr:col>
      <xdr:colOff>34883</xdr:colOff>
      <xdr:row>3</xdr:row>
      <xdr:rowOff>0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42E41881-9337-46B3-BDD7-E6AEF8DC0BAE}"/>
            </a:ext>
          </a:extLst>
        </xdr:cNvPr>
        <xdr:cNvGrpSpPr/>
      </xdr:nvGrpSpPr>
      <xdr:grpSpPr>
        <a:xfrm>
          <a:off x="21373194" y="0"/>
          <a:ext cx="1569314" cy="1143000"/>
          <a:chOff x="20516395" y="0"/>
          <a:chExt cx="1592907" cy="1162050"/>
        </a:xfrm>
      </xdr:grpSpPr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3A3DB4F3-2FCB-4172-9BE3-2B1A84947381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8C0A4209-2679-4450-9DA8-B4738D0A8F24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06" name="Imagem 17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33B8EC13-E82F-430B-B854-68C8E1105F8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39277" y="136274"/>
            <a:ext cx="547142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38</xdr:col>
      <xdr:colOff>172256</xdr:colOff>
      <xdr:row>0</xdr:row>
      <xdr:rowOff>0</xdr:rowOff>
    </xdr:from>
    <xdr:to>
      <xdr:col>41</xdr:col>
      <xdr:colOff>24263</xdr:colOff>
      <xdr:row>3</xdr:row>
      <xdr:rowOff>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6AE149BF-BB61-44F9-BE8B-2DBF5925E961}"/>
            </a:ext>
          </a:extLst>
        </xdr:cNvPr>
        <xdr:cNvGrpSpPr/>
      </xdr:nvGrpSpPr>
      <xdr:grpSpPr>
        <a:xfrm>
          <a:off x="24794381" y="0"/>
          <a:ext cx="1566507" cy="1143000"/>
          <a:chOff x="24148354" y="0"/>
          <a:chExt cx="1590058" cy="1162050"/>
        </a:xfrm>
      </xdr:grpSpPr>
      <xdr:sp macro="" textlink="">
        <xdr:nvSpPr>
          <xdr:cNvPr id="108" name="Retângulo 107">
            <a:extLst>
              <a:ext uri="{FF2B5EF4-FFF2-40B4-BE49-F238E27FC236}">
                <a16:creationId xmlns:a16="http://schemas.microsoft.com/office/drawing/2014/main" id="{17FACCAD-7F6A-40CF-BF83-45BF2E4DF5EE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27E8AD8D-9F2B-41A2-8624-88632435B7CA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10" name="Imagem 1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D7918156-1F3B-4154-8B48-161F8000FA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69323" y="136274"/>
            <a:ext cx="548118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44</xdr:col>
      <xdr:colOff>161636</xdr:colOff>
      <xdr:row>0</xdr:row>
      <xdr:rowOff>0</xdr:rowOff>
    </xdr:from>
    <xdr:to>
      <xdr:col>47</xdr:col>
      <xdr:colOff>31552</xdr:colOff>
      <xdr:row>3</xdr:row>
      <xdr:rowOff>0</xdr:rowOff>
    </xdr:to>
    <xdr:grpSp>
      <xdr:nvGrpSpPr>
        <xdr:cNvPr id="111" name="Agrupar 110">
          <a:extLst>
            <a:ext uri="{FF2B5EF4-FFF2-40B4-BE49-F238E27FC236}">
              <a16:creationId xmlns:a16="http://schemas.microsoft.com/office/drawing/2014/main" id="{41D14CB9-A9E5-48C6-83CB-0C5C67313855}"/>
            </a:ext>
          </a:extLst>
        </xdr:cNvPr>
        <xdr:cNvGrpSpPr/>
      </xdr:nvGrpSpPr>
      <xdr:grpSpPr>
        <a:xfrm>
          <a:off x="28212761" y="0"/>
          <a:ext cx="1584416" cy="1143000"/>
          <a:chOff x="27777464" y="0"/>
          <a:chExt cx="1598568" cy="1162050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4D4789DE-E305-402E-9BEB-298CC7E67C8A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CaixaDeTexto 112">
            <a:extLst>
              <a:ext uri="{FF2B5EF4-FFF2-40B4-BE49-F238E27FC236}">
                <a16:creationId xmlns:a16="http://schemas.microsoft.com/office/drawing/2014/main" id="{FDD5AD73-F285-426F-BA78-9F9D179B2188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14" name="Imagem 17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CA9CD786-BA05-44E4-9BE9-02CC7A3B71A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97725" y="136274"/>
            <a:ext cx="558045" cy="549000"/>
          </a:xfrm>
          <a:prstGeom prst="rect">
            <a:avLst/>
          </a:prstGeom>
        </xdr:spPr>
      </xdr:pic>
    </xdr:grpSp>
    <xdr:clientData/>
  </xdr:twoCellAnchor>
  <xdr:twoCellAnchor editAs="absolute">
    <xdr:from>
      <xdr:col>50</xdr:col>
      <xdr:colOff>168925</xdr:colOff>
      <xdr:row>0</xdr:row>
      <xdr:rowOff>1</xdr:rowOff>
    </xdr:from>
    <xdr:to>
      <xdr:col>53</xdr:col>
      <xdr:colOff>29316</xdr:colOff>
      <xdr:row>3</xdr:row>
      <xdr:rowOff>0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AC005785-A2AD-4B08-BA43-9356186348A1}"/>
            </a:ext>
          </a:extLst>
        </xdr:cNvPr>
        <xdr:cNvGrpSpPr/>
      </xdr:nvGrpSpPr>
      <xdr:grpSpPr>
        <a:xfrm>
          <a:off x="31649050" y="1"/>
          <a:ext cx="1574891" cy="1142999"/>
          <a:chOff x="31415083" y="0"/>
          <a:chExt cx="1598568" cy="1162049"/>
        </a:xfrm>
      </xdr:grpSpPr>
      <xdr:sp macro="" textlink="">
        <xdr:nvSpPr>
          <xdr:cNvPr id="116" name="Retângulo 115">
            <a:extLst>
              <a:ext uri="{FF2B5EF4-FFF2-40B4-BE49-F238E27FC236}">
                <a16:creationId xmlns:a16="http://schemas.microsoft.com/office/drawing/2014/main" id="{4B97B268-6B0A-42D7-A56A-1F28A837915D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CaixaDeTexto 116">
            <a:extLst>
              <a:ext uri="{FF2B5EF4-FFF2-40B4-BE49-F238E27FC236}">
                <a16:creationId xmlns:a16="http://schemas.microsoft.com/office/drawing/2014/main" id="{1FA30723-9BC9-44D9-A4D3-12C9AD5585F5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18" name="Imagem 117" descr="Ícone do banco de dados (símbolo png) preto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6B1EB9DF-C59C-4177-BEA0-8C0C01911B4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932795" y="105753"/>
            <a:ext cx="563144" cy="549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56</xdr:col>
      <xdr:colOff>166687</xdr:colOff>
      <xdr:row>0</xdr:row>
      <xdr:rowOff>211500</xdr:rowOff>
    </xdr:from>
    <xdr:to>
      <xdr:col>57</xdr:col>
      <xdr:colOff>320370</xdr:colOff>
      <xdr:row>2</xdr:row>
      <xdr:rowOff>169500</xdr:rowOff>
    </xdr:to>
    <xdr:sp macro="[0]!BotaoComLogin" textlink="">
      <xdr:nvSpPr>
        <xdr:cNvPr id="119" name="Círculo: Vazio 118">
          <a:extLst>
            <a:ext uri="{FF2B5EF4-FFF2-40B4-BE49-F238E27FC236}">
              <a16:creationId xmlns:a16="http://schemas.microsoft.com/office/drawing/2014/main" id="{5BFDD0BD-B0F8-4658-9042-0B8953C5B8DF}"/>
            </a:ext>
          </a:extLst>
        </xdr:cNvPr>
        <xdr:cNvSpPr>
          <a:spLocks noChangeAspect="1"/>
        </xdr:cNvSpPr>
      </xdr:nvSpPr>
      <xdr:spPr>
        <a:xfrm>
          <a:off x="35075812" y="211500"/>
          <a:ext cx="725183" cy="7200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15</xdr:row>
      <xdr:rowOff>76200</xdr:rowOff>
    </xdr:from>
    <xdr:to>
      <xdr:col>19</xdr:col>
      <xdr:colOff>438150</xdr:colOff>
      <xdr:row>53</xdr:row>
      <xdr:rowOff>275122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52959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1562682</xdr:colOff>
      <xdr:row>7</xdr:row>
      <xdr:rowOff>342900</xdr:rowOff>
    </xdr:from>
    <xdr:to>
      <xdr:col>16</xdr:col>
      <xdr:colOff>3429582</xdr:colOff>
      <xdr:row>15</xdr:row>
      <xdr:rowOff>57150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82A981D0-848C-4345-B128-6A229CDD8F2D}"/>
            </a:ext>
          </a:extLst>
        </xdr:cNvPr>
        <xdr:cNvSpPr txBox="1"/>
      </xdr:nvSpPr>
      <xdr:spPr>
        <a:xfrm>
          <a:off x="12706932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RH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38100</xdr:colOff>
      <xdr:row>24</xdr:row>
      <xdr:rowOff>321078</xdr:rowOff>
    </xdr:from>
    <xdr:to>
      <xdr:col>8</xdr:col>
      <xdr:colOff>496463</xdr:colOff>
      <xdr:row>34</xdr:row>
      <xdr:rowOff>358007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1A8B0C1-A404-4927-816D-A964C1A9D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86250" y="8798328"/>
          <a:ext cx="3582563" cy="3656429"/>
        </a:xfrm>
        <a:prstGeom prst="rect">
          <a:avLst/>
        </a:prstGeom>
        <a:noFill/>
      </xdr:spPr>
    </xdr:pic>
    <xdr:clientData/>
  </xdr:twoCellAnchor>
  <xdr:twoCellAnchor>
    <xdr:from>
      <xdr:col>23</xdr:col>
      <xdr:colOff>647700</xdr:colOff>
      <xdr:row>24</xdr:row>
      <xdr:rowOff>321078</xdr:rowOff>
    </xdr:from>
    <xdr:to>
      <xdr:col>25</xdr:col>
      <xdr:colOff>115463</xdr:colOff>
      <xdr:row>34</xdr:row>
      <xdr:rowOff>358007</xdr:rowOff>
    </xdr:to>
    <xdr:pic>
      <xdr:nvPicPr>
        <xdr:cNvPr id="47" name="Imagem 17">
          <a:extLst>
            <a:ext uri="{FF2B5EF4-FFF2-40B4-BE49-F238E27FC236}">
              <a16:creationId xmlns:a16="http://schemas.microsoft.com/office/drawing/2014/main" id="{CFB22664-93C8-4082-B995-91B7CF63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432250" y="8798328"/>
          <a:ext cx="3582563" cy="3656429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F5B355BF-E856-4B34-8966-D7944F9AB3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CB52B458-73A9-4F4D-9D92-1398EE62B78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0" name="Imagem 4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4E04AD-1770-4C1E-B682-129E886EB2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CF5626E-5784-4571-9E33-91EF7AD738B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CC037491-5DCC-4BED-A12F-7DC5013CD374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CB4135E4-E887-4613-BEDB-56C685521700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F9F7F09E-2CCE-46F5-848B-0349DE9F7DD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5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1D4C4F-A600-4403-940C-A1179131F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169C9F9C-F243-49B8-88B3-452803BE0F97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E377E2DB-96BA-4456-B8AA-B41832E01E57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FC5F5047-1486-4E7B-BF85-D8076582D2E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4F8B0A97-8DEC-45C2-98F7-725DF8BD76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3707441</xdr:colOff>
      <xdr:row>0</xdr:row>
      <xdr:rowOff>0</xdr:rowOff>
    </xdr:from>
    <xdr:to>
      <xdr:col>14</xdr:col>
      <xdr:colOff>5319327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72D29922-6178-4B18-B267-4B45A59B2008}"/>
            </a:ext>
          </a:extLst>
        </xdr:cNvPr>
        <xdr:cNvGrpSpPr/>
      </xdr:nvGrpSpPr>
      <xdr:grpSpPr>
        <a:xfrm>
          <a:off x="16494754" y="0"/>
          <a:ext cx="1611886" cy="1143000"/>
          <a:chOff x="16832891" y="0"/>
          <a:chExt cx="1611886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6774225D-A914-450F-BAC7-DB7899306B50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255AB357-1196-4AB5-AB00-B45CE218BA19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B683924-A4DB-4F86-93C4-2E698FFDFC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60F3675C-7516-43DB-B692-4594B2A7BE43}"/>
            </a:ext>
          </a:extLst>
        </xdr:cNvPr>
        <xdr:cNvGrpSpPr/>
      </xdr:nvGrpSpPr>
      <xdr:grpSpPr>
        <a:xfrm>
          <a:off x="19945158" y="0"/>
          <a:ext cx="1592510" cy="1143000"/>
          <a:chOff x="20483320" y="0"/>
          <a:chExt cx="1592510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59A0D465-07E2-48D5-9B27-DC216A6547A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263CFCFC-2F3F-41AC-9612-D7F702B320B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8100170A-BE81-465D-BB5B-0E62E9F88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B82872F3-BA56-46D9-B108-1ECAB557EDAC}"/>
            </a:ext>
          </a:extLst>
        </xdr:cNvPr>
        <xdr:cNvGrpSpPr/>
      </xdr:nvGrpSpPr>
      <xdr:grpSpPr>
        <a:xfrm>
          <a:off x="23576211" y="0"/>
          <a:ext cx="1465836" cy="1143000"/>
          <a:chOff x="24114373" y="0"/>
          <a:chExt cx="1589661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EC63D0D7-B4EC-45DD-981A-3A4393383D6A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1F37BDD4-3616-40AC-BCBE-AB2393F23446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9B99F4D-6FED-42C5-B134-3A61403E97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78A7C7B2-1419-47D3-911F-DC8192887FEC}"/>
            </a:ext>
          </a:extLst>
        </xdr:cNvPr>
        <xdr:cNvGrpSpPr/>
      </xdr:nvGrpSpPr>
      <xdr:grpSpPr>
        <a:xfrm>
          <a:off x="27037728" y="0"/>
          <a:ext cx="1569594" cy="1143000"/>
          <a:chOff x="27742578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A3E2490B-F338-4BD1-BCB1-C49EF04D287D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EF5DE0B5-497C-4B28-B41A-F3B37F8454A2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5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5EA5C061-7646-446B-AD37-09575A981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E683E8D0-41EA-4DFC-AA71-3E5F4D9D725D}"/>
            </a:ext>
          </a:extLst>
        </xdr:cNvPr>
        <xdr:cNvGrpSpPr/>
      </xdr:nvGrpSpPr>
      <xdr:grpSpPr>
        <a:xfrm>
          <a:off x="30645864" y="0"/>
          <a:ext cx="1483869" cy="1143000"/>
          <a:chOff x="31379289" y="0"/>
          <a:chExt cx="1598169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023A4151-0C10-4C50-9271-49C1F4D37E39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A5D23F-AC84-46BD-9D73-3F714F67D45F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9" name="Imagem 78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DF9DE710-91A0-4D41-A3E6-F4D96EDACA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94131D3F-2FB1-4A02-85D3-D0D1A1262C21}"/>
            </a:ext>
          </a:extLst>
        </xdr:cNvPr>
        <xdr:cNvGrpSpPr/>
      </xdr:nvGrpSpPr>
      <xdr:grpSpPr>
        <a:xfrm>
          <a:off x="9327823" y="0"/>
          <a:ext cx="1529165" cy="1143000"/>
          <a:chOff x="9575473" y="0"/>
          <a:chExt cx="1591077" cy="1162050"/>
        </a:xfrm>
      </xdr:grpSpPr>
      <xdr:sp macro="" textlink="">
        <xdr:nvSpPr>
          <xdr:cNvPr id="81" name="Retângulo 8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C66009B-3DE8-466D-A13E-F4B91D690C5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2" name="Imagem 81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B46F261B-CC32-43EF-A991-99FDC53F94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8D50BF37-063D-493E-8E57-CA146FC1FDA2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BC03312-E937-49B9-B70C-43FF89B33C3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7037F852-7D25-405D-84E0-D1960C6CADC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5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D04913D-A825-4C39-A260-2A4162381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CC22E155-365E-429E-B41A-229B4C39B71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42E6C017-211A-4FED-B2FC-5A1C13E21F16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D2F2AB40-600C-4074-B16D-D8C91E4D00C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BB881523-03FA-422D-BFBA-97825436F4D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03E713A-E648-468E-B30D-5325897A3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3F7E37E0-4CDE-43C6-AA44-2C90135C507D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5A3A12BA-0413-436E-B09D-89AACA230C6C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928E22B4-AF68-4943-975E-E5169B09E51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8A1A6B9-87A6-41DC-B7BF-45B06238E9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3707441</xdr:colOff>
      <xdr:row>0</xdr:row>
      <xdr:rowOff>0</xdr:rowOff>
    </xdr:from>
    <xdr:to>
      <xdr:col>14</xdr:col>
      <xdr:colOff>5319327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0F94A620-9B21-4317-BAD1-FB0EC9C237DC}"/>
            </a:ext>
          </a:extLst>
        </xdr:cNvPr>
        <xdr:cNvGrpSpPr/>
      </xdr:nvGrpSpPr>
      <xdr:grpSpPr>
        <a:xfrm>
          <a:off x="16494754" y="0"/>
          <a:ext cx="1611886" cy="1143000"/>
          <a:chOff x="16832891" y="0"/>
          <a:chExt cx="1611886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346F452F-96AE-4293-8047-089AD5A409C4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3A387031-A709-4456-9ED9-234C60F6F3C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1F82FA5-43B7-429F-9457-279522929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FCDBFE72-6845-4FBE-A3E8-5ED533B7F564}"/>
            </a:ext>
          </a:extLst>
        </xdr:cNvPr>
        <xdr:cNvGrpSpPr/>
      </xdr:nvGrpSpPr>
      <xdr:grpSpPr>
        <a:xfrm>
          <a:off x="19945158" y="0"/>
          <a:ext cx="1592510" cy="1143000"/>
          <a:chOff x="20483320" y="0"/>
          <a:chExt cx="1592510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8860AA3C-23B6-47D6-A154-0928040B5EFB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BC36CF3B-AABC-4048-9037-440E69211231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847EF8F-CDCB-45AF-B70E-2D38489E0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2CB9DA95-8FD3-456B-8D6A-499AF9326ADB}"/>
            </a:ext>
          </a:extLst>
        </xdr:cNvPr>
        <xdr:cNvGrpSpPr/>
      </xdr:nvGrpSpPr>
      <xdr:grpSpPr>
        <a:xfrm>
          <a:off x="23576211" y="0"/>
          <a:ext cx="1465836" cy="1143000"/>
          <a:chOff x="24114373" y="0"/>
          <a:chExt cx="1589661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02210E46-C85A-4D9F-92BA-FEE26285631C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73E27442-3C17-48A0-9C2C-BF85ACC3B33A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D8892670-C85B-4783-9240-CEB31B9A8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ECC86797-4657-4882-A4DA-D360A12009EA}"/>
            </a:ext>
          </a:extLst>
        </xdr:cNvPr>
        <xdr:cNvGrpSpPr/>
      </xdr:nvGrpSpPr>
      <xdr:grpSpPr>
        <a:xfrm>
          <a:off x="27037728" y="0"/>
          <a:ext cx="1569594" cy="1143000"/>
          <a:chOff x="27742578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890D6CC5-9A21-4407-9529-15124303B71E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697C7FDC-4D80-4BFE-9B44-F61FFDCC10F0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6C056CF-C79C-4D75-9837-3A2D692CE3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CBEA7404-8A28-4E44-A745-2CC47759DE4C}"/>
            </a:ext>
          </a:extLst>
        </xdr:cNvPr>
        <xdr:cNvGrpSpPr/>
      </xdr:nvGrpSpPr>
      <xdr:grpSpPr>
        <a:xfrm>
          <a:off x="30645864" y="0"/>
          <a:ext cx="1483869" cy="1143000"/>
          <a:chOff x="31379289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8CDCF357-9153-440C-9BBD-A2E5FDB2ECE6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466C8307-A742-4497-811F-9A5358BE54A6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0" name="Imagem 79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A8D8143D-2424-4161-80AC-799C8679E96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42524D7F-6AAA-4EE8-82FE-6F25838D4E90}"/>
            </a:ext>
          </a:extLst>
        </xdr:cNvPr>
        <xdr:cNvGrpSpPr/>
      </xdr:nvGrpSpPr>
      <xdr:grpSpPr>
        <a:xfrm>
          <a:off x="9327823" y="0"/>
          <a:ext cx="1529165" cy="1143000"/>
          <a:chOff x="9575473" y="0"/>
          <a:chExt cx="1591077" cy="1162050"/>
        </a:xfrm>
      </xdr:grpSpPr>
      <xdr:sp macro="" textlink="">
        <xdr:nvSpPr>
          <xdr:cNvPr id="82" name="Retângulo 81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533F2B87-BB1F-4519-80BC-57E3466E373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3" name="Imagem 82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D340CB6-53BE-40F2-B425-D40F21BDFA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50C0437B-86F4-4901-9F25-309A7B806364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9B720B69-E9A7-44A8-96F3-C2297564A97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5A2AFBE2-3886-4E2A-BD77-ABE710330A9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86255F4-3927-4D5D-B463-EB29814F0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DFCECE2A-21E8-4F1E-9E56-E0348B68601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4CEBA35E-D92B-4904-A43C-DD5E76B15F96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57AD2ECC-4BE6-4A13-A499-3828FBFB7FB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A53CBA34-CE61-4943-A119-6BB12136D82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2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7370B42-4AE4-4F32-A5DC-1BDC5D5A4D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13</xdr:col>
      <xdr:colOff>1449404</xdr:colOff>
      <xdr:row>0</xdr:row>
      <xdr:rowOff>0</xdr:rowOff>
    </xdr:from>
    <xdr:to>
      <xdr:col>14</xdr:col>
      <xdr:colOff>944998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98B7A9CC-3D28-4DA1-844F-B1D7F94E6214}"/>
            </a:ext>
          </a:extLst>
        </xdr:cNvPr>
        <xdr:cNvGrpSpPr/>
      </xdr:nvGrpSpPr>
      <xdr:grpSpPr>
        <a:xfrm>
          <a:off x="12879404" y="0"/>
          <a:ext cx="1543469" cy="1143000"/>
          <a:chOff x="13203254" y="0"/>
          <a:chExt cx="1591094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1ACE78CE-B901-423C-90AD-97FD44899179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DEF846B3-DA58-4305-8235-1CAA737D42F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6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7A2259A-2FD7-47E0-9BCC-F6482BA7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964241</xdr:colOff>
      <xdr:row>0</xdr:row>
      <xdr:rowOff>0</xdr:rowOff>
    </xdr:from>
    <xdr:to>
      <xdr:col>15</xdr:col>
      <xdr:colOff>2576127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F1747003-C5E9-4777-9F6C-584DAC14ED1F}"/>
            </a:ext>
          </a:extLst>
        </xdr:cNvPr>
        <xdr:cNvGrpSpPr/>
      </xdr:nvGrpSpPr>
      <xdr:grpSpPr>
        <a:xfrm>
          <a:off x="16394741" y="0"/>
          <a:ext cx="1611886" cy="1143000"/>
          <a:chOff x="16832891" y="0"/>
          <a:chExt cx="1611886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8C33B25B-83A6-4912-9F86-6387BFD2B337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764496D0-7A87-4287-A1D2-68C1C3A98BB8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9DC5FB4-02EC-4565-B3D9-0C7E6B64C6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F033746A-909D-48F4-9E18-9F81D2A02BEF}"/>
            </a:ext>
          </a:extLst>
        </xdr:cNvPr>
        <xdr:cNvGrpSpPr/>
      </xdr:nvGrpSpPr>
      <xdr:grpSpPr>
        <a:xfrm>
          <a:off x="20045170" y="0"/>
          <a:ext cx="1449635" cy="1143000"/>
          <a:chOff x="20483320" y="0"/>
          <a:chExt cx="1592510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A9EFCA2F-5500-423C-9339-97EFF41D66D9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A33C55BC-350D-4E86-9474-79D4EBBF47E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B3F73D3-2CE9-4C63-9A6C-D6E64EBDE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EFF5AF28-025B-4DED-A017-F797BFB3AF79}"/>
            </a:ext>
          </a:extLst>
        </xdr:cNvPr>
        <xdr:cNvGrpSpPr/>
      </xdr:nvGrpSpPr>
      <xdr:grpSpPr>
        <a:xfrm>
          <a:off x="23490486" y="0"/>
          <a:ext cx="1575373" cy="1143000"/>
          <a:chOff x="24114373" y="0"/>
          <a:chExt cx="1589661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E4CC3245-09CC-4F16-B05B-F96F2316130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5A738492-036B-420E-9B30-7C06B90DB927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2C5BAF9-81C2-41B0-AA05-202E0EC74F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398CE05-93F1-4804-B2EA-DE81648F968D}"/>
            </a:ext>
          </a:extLst>
        </xdr:cNvPr>
        <xdr:cNvGrpSpPr/>
      </xdr:nvGrpSpPr>
      <xdr:grpSpPr>
        <a:xfrm>
          <a:off x="27075828" y="0"/>
          <a:ext cx="1598169" cy="1143000"/>
          <a:chOff x="27742578" y="0"/>
          <a:chExt cx="1598169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303F32C7-E230-4154-B9DF-A7DF52DDAE96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992442E0-DC33-4A3F-A00E-2CB3C018CE11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ABD5FC7-D45C-461D-9A45-5A06585F3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3355760F-AA86-4A3F-BE10-020E1EEF3821}"/>
            </a:ext>
          </a:extLst>
        </xdr:cNvPr>
        <xdr:cNvGrpSpPr/>
      </xdr:nvGrpSpPr>
      <xdr:grpSpPr>
        <a:xfrm>
          <a:off x="30583952" y="0"/>
          <a:ext cx="1555306" cy="1143000"/>
          <a:chOff x="31379289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6546E15A-9043-45EB-BF33-30D9B9113647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B55B25B4-098F-4ECD-9C71-FECFCCA4223D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6" name="Imagem 75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EA4F25AD-D99B-46A8-9765-FB12DF1653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2F96B66D-3D5D-4DD0-889A-8B111B614FF7}"/>
            </a:ext>
          </a:extLst>
        </xdr:cNvPr>
        <xdr:cNvGrpSpPr/>
      </xdr:nvGrpSpPr>
      <xdr:grpSpPr>
        <a:xfrm>
          <a:off x="9327823" y="0"/>
          <a:ext cx="1529165" cy="1143000"/>
          <a:chOff x="9575473" y="0"/>
          <a:chExt cx="1591077" cy="1162050"/>
        </a:xfrm>
      </xdr:grpSpPr>
      <xdr:sp macro="" textlink="">
        <xdr:nvSpPr>
          <xdr:cNvPr id="78" name="Retângulo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9E6EB74-B69C-4BA4-A4BF-844015BB5E8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8A460DEC-AEA4-4842-9CD3-70D228AAFB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FEECB7F0-4A1B-41DD-89CC-3C90460C0BE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7031794D-28D2-4E68-A2C2-1ACAF75DE71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1F2589F2-6834-4FB7-AD10-09B14FBDE85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AB6F56B-6CB6-4F2A-8FDE-B4661A19D0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911F8A3E-0784-4BAD-9E44-07329BDB5B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C4B8D111-EEA7-491E-8676-B4DC8FC4F74F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5648C532-B0C0-48F2-A032-F3A7E6CFC49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738581C1-ECD4-4B29-B2F3-4BAADCE172E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8F83FD2-51B3-4C7B-B0FB-41A5ABD311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1925654</xdr:colOff>
      <xdr:row>0</xdr:row>
      <xdr:rowOff>0</xdr:rowOff>
    </xdr:from>
    <xdr:to>
      <xdr:col>8</xdr:col>
      <xdr:colOff>3516748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40C4302-0161-488B-A717-6862E3031938}"/>
            </a:ext>
          </a:extLst>
        </xdr:cNvPr>
        <xdr:cNvGrpSpPr/>
      </xdr:nvGrpSpPr>
      <xdr:grpSpPr>
        <a:xfrm>
          <a:off x="12903217" y="0"/>
          <a:ext cx="1591094" cy="114300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AAA3389D-CF07-4EE6-952E-C9ED7541445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E682444B-162F-48A2-A6CE-5442462F746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FBB1672-F013-4C09-A707-346C1A0537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5555291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FE8CCAF2-C7AC-4DDD-816B-5D170A1DF13E}"/>
            </a:ext>
          </a:extLst>
        </xdr:cNvPr>
        <xdr:cNvGrpSpPr/>
      </xdr:nvGrpSpPr>
      <xdr:grpSpPr>
        <a:xfrm>
          <a:off x="16532854" y="0"/>
          <a:ext cx="1402336" cy="114300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7B3CDC48-48A7-4256-8DFF-311FDCC7F2A7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AF95CE4-297C-4B88-98AC-98F5F76C32F8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9EF7C1F-C08C-4583-9110-0296E490D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54DC2C7C-238C-44DD-89B4-056949075E4F}"/>
            </a:ext>
          </a:extLst>
        </xdr:cNvPr>
        <xdr:cNvGrpSpPr/>
      </xdr:nvGrpSpPr>
      <xdr:grpSpPr>
        <a:xfrm>
          <a:off x="19959445" y="0"/>
          <a:ext cx="1530598" cy="114300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B317078-C04B-4139-A94E-0401E716D731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2E548573-6CB9-4FEA-9813-9A34826D8C4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4F9FAAE5-9DBF-43F6-B233-36CECCA820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FFD9405B-3427-4AB8-A042-D9D4F9749AB9}"/>
            </a:ext>
          </a:extLst>
        </xdr:cNvPr>
        <xdr:cNvGrpSpPr/>
      </xdr:nvGrpSpPr>
      <xdr:grpSpPr>
        <a:xfrm>
          <a:off x="23476198" y="0"/>
          <a:ext cx="1589661" cy="1143000"/>
          <a:chOff x="2411437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B89F2093-8E46-4B8E-A75A-A4C3FFBC5ECF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209B2125-3961-4561-877A-6D315AAEA97E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0F38A6-F2D0-4009-B16F-BF0F479AD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4E8CA806-26B1-40F3-8C94-399F0B950E95}"/>
            </a:ext>
          </a:extLst>
        </xdr:cNvPr>
        <xdr:cNvGrpSpPr/>
      </xdr:nvGrpSpPr>
      <xdr:grpSpPr>
        <a:xfrm>
          <a:off x="27018678" y="0"/>
          <a:ext cx="1531494" cy="1143000"/>
          <a:chOff x="2774257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FDFFF383-231F-4438-AE0D-B892BF454CE3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D45667F-9BE5-44FF-BC2F-4C3689DB412F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5429309-DD71-4A47-963C-EEA2B19AA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B198ECE3-722B-41A2-AB23-65929E6DB8F8}"/>
            </a:ext>
          </a:extLst>
        </xdr:cNvPr>
        <xdr:cNvGrpSpPr/>
      </xdr:nvGrpSpPr>
      <xdr:grpSpPr>
        <a:xfrm>
          <a:off x="30588714" y="0"/>
          <a:ext cx="1598169" cy="114300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05325ABB-B4E6-4EC8-916E-D6FBD8C3162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9946C7A5-0091-430C-AC66-333A8B5A0274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2E87C00B-E89F-4DA6-AFF8-B9F1A38DD8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1422073</xdr:colOff>
      <xdr:row>0</xdr:row>
      <xdr:rowOff>0</xdr:rowOff>
    </xdr:from>
    <xdr:to>
      <xdr:col>7</xdr:col>
      <xdr:colOff>1222450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F1F5213-8025-44B1-A4C8-2D4FADC8490C}"/>
            </a:ext>
          </a:extLst>
        </xdr:cNvPr>
        <xdr:cNvGrpSpPr/>
      </xdr:nvGrpSpPr>
      <xdr:grpSpPr>
        <a:xfrm>
          <a:off x="9375448" y="0"/>
          <a:ext cx="1538690" cy="114300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6E5E2940-46CD-45DE-8196-74AF7938D1F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02AD85F-B33D-4737-A1B4-A3CDA5C2E7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48672973-A048-475D-B409-692C8EA6BE99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FF82FEF5-412F-43E9-9865-18E2E4FAB99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3AB22C3C-E36B-4E45-B127-F7E94C769A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FCEDFDE-9537-493C-AB76-51063CF8DB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48938CB8-37C9-4F82-BED5-3ECA8278F4F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8217BBDF-0D2E-409E-93B9-608784371A27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EF3D42D1-E08F-4768-861D-661958D2DA2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073619CB-F54A-456C-8B56-35D547554E9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3E174A1-9049-4F34-B870-0FAB7BE5A8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D4F1F411-8A60-4ED9-A2AF-61B1D66A026F}"/>
            </a:ext>
          </a:extLst>
        </xdr:cNvPr>
        <xdr:cNvGrpSpPr/>
      </xdr:nvGrpSpPr>
      <xdr:grpSpPr>
        <a:xfrm>
          <a:off x="12860354" y="0"/>
          <a:ext cx="1552994" cy="114300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597912B2-4178-4465-8824-7752BC028DA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44514409-E6DD-493D-9EED-040B8A241F00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A4DC96E-36BB-4CB5-9266-FF7B46480A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1CAE47B-A4CF-4290-BFA2-C3AF28398726}"/>
            </a:ext>
          </a:extLst>
        </xdr:cNvPr>
        <xdr:cNvGrpSpPr/>
      </xdr:nvGrpSpPr>
      <xdr:grpSpPr>
        <a:xfrm>
          <a:off x="16404266" y="0"/>
          <a:ext cx="1611886" cy="114300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AC0C0802-B307-45A1-A057-C322E281A04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C74EDCBA-D009-49D0-80D8-F5336F3F49C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BE48A2A0-593B-402C-B397-156D84112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D8ECF7C-1345-42F7-B8F2-2218553A203C}"/>
            </a:ext>
          </a:extLst>
        </xdr:cNvPr>
        <xdr:cNvGrpSpPr/>
      </xdr:nvGrpSpPr>
      <xdr:grpSpPr>
        <a:xfrm>
          <a:off x="19930870" y="0"/>
          <a:ext cx="1592510" cy="114300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7F6D1E7-454E-4CBF-9100-18E34628EA2C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C7E00D89-60D2-40D3-AD7D-C0E4A0983A6A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48C1275-3F14-44A3-9BCA-EDD872F6E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3584718-CB1D-4E8F-BC29-95FC01745EF8}"/>
            </a:ext>
          </a:extLst>
        </xdr:cNvPr>
        <xdr:cNvGrpSpPr/>
      </xdr:nvGrpSpPr>
      <xdr:grpSpPr>
        <a:xfrm>
          <a:off x="23509536" y="0"/>
          <a:ext cx="1503936" cy="114300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69AEB58-6E19-4067-9D62-84FC2B569DC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D2E6F17-F415-4DE0-97BA-AF5932812A1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49605E50-EF96-4F5B-9828-AD97D2D231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F3D3586E-FF08-4881-9019-A7FFE8978DA1}"/>
            </a:ext>
          </a:extLst>
        </xdr:cNvPr>
        <xdr:cNvGrpSpPr/>
      </xdr:nvGrpSpPr>
      <xdr:grpSpPr>
        <a:xfrm>
          <a:off x="26985341" y="0"/>
          <a:ext cx="1598169" cy="1143000"/>
          <a:chOff x="2774257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B52FD304-423B-4DD8-91D3-08EA951AE995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2DF47EC3-9D25-43B4-97A1-C558D4E3AFF4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DB983475-9E17-4A25-A114-017D9A806C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84523670-8A4F-4F5F-AAE3-5026E2F3CDCD}"/>
            </a:ext>
          </a:extLst>
        </xdr:cNvPr>
        <xdr:cNvGrpSpPr/>
      </xdr:nvGrpSpPr>
      <xdr:grpSpPr>
        <a:xfrm>
          <a:off x="30622052" y="0"/>
          <a:ext cx="1474344" cy="114300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F91C4B21-7EF0-4486-A353-D822D8C17A29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82CE33F-9A77-48C2-8BD7-E7A9DC43F522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C7DBFC90-8802-4038-BAEF-AB650BC067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9E0A479B-1F77-4BC6-B6F9-2DE76BDDD478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D99259DA-6CBF-41A1-A19F-C4EC0197399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FFCCB17-FF45-4362-99DF-A213C1580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9B83B6BC-AD80-4336-832C-3E0FB6DD1397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15</xdr:row>
      <xdr:rowOff>0</xdr:rowOff>
    </xdr:from>
    <xdr:to>
      <xdr:col>14</xdr:col>
      <xdr:colOff>514350</xdr:colOff>
      <xdr:row>53</xdr:row>
      <xdr:rowOff>198922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19632</xdr:colOff>
      <xdr:row>7</xdr:row>
      <xdr:rowOff>323850</xdr:rowOff>
    </xdr:from>
    <xdr:to>
      <xdr:col>13</xdr:col>
      <xdr:colOff>1734132</xdr:colOff>
      <xdr:row>15</xdr:row>
      <xdr:rowOff>38100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A60037B2-EBFA-49D0-8B58-2CE333869070}"/>
            </a:ext>
          </a:extLst>
        </xdr:cNvPr>
        <xdr:cNvSpPr txBox="1"/>
      </xdr:nvSpPr>
      <xdr:spPr>
        <a:xfrm>
          <a:off x="12554532" y="26479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VENDAS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1750849</xdr:colOff>
      <xdr:row>24</xdr:row>
      <xdr:rowOff>302028</xdr:rowOff>
    </xdr:from>
    <xdr:to>
      <xdr:col>5</xdr:col>
      <xdr:colOff>269613</xdr:colOff>
      <xdr:row>34</xdr:row>
      <xdr:rowOff>338957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93D3F7AB-C26D-4106-93CA-5ADB82D9B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189249" y="8779278"/>
          <a:ext cx="3471764" cy="3656429"/>
        </a:xfrm>
        <a:prstGeom prst="rect">
          <a:avLst/>
        </a:prstGeom>
        <a:noFill/>
      </xdr:spPr>
    </xdr:pic>
    <xdr:clientData/>
  </xdr:twoCellAnchor>
  <xdr:twoCellAnchor>
    <xdr:from>
      <xdr:col>15</xdr:col>
      <xdr:colOff>1788949</xdr:colOff>
      <xdr:row>24</xdr:row>
      <xdr:rowOff>302028</xdr:rowOff>
    </xdr:from>
    <xdr:to>
      <xdr:col>16</xdr:col>
      <xdr:colOff>231513</xdr:colOff>
      <xdr:row>34</xdr:row>
      <xdr:rowOff>338957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60FFD11F-5D7B-4DB9-A086-42A2C9B9A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335249" y="8779278"/>
          <a:ext cx="3471764" cy="3656429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923B2EA7-C9B9-4F43-8B75-0B82F67FDD8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7566B652-3ADE-4172-8386-B3BFC7C63F8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FC1D884-89A3-4C7E-9003-295C4D15F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5138F28F-00E0-4B43-B95E-70294B70201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4423A75F-7DA5-4C82-A89C-C008D5E6000B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76BDC4B7-9B21-4F94-8E67-0A45377435D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9FED7B50-DCD2-4082-A4BC-5D10779EFE8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61DCA86-AB10-4DBF-A157-42C7138FA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23D6A5-74BC-40E2-BC72-CC9F00263BFC}"/>
            </a:ext>
          </a:extLst>
        </xdr:cNvPr>
        <xdr:cNvGrpSpPr/>
      </xdr:nvGrpSpPr>
      <xdr:grpSpPr>
        <a:xfrm>
          <a:off x="12860354" y="0"/>
          <a:ext cx="1552994" cy="114300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A9005B68-6430-4723-A99F-57B26D57E84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05B5B54E-216B-40C8-8976-DC546EC8A91F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37B8DE54-D68A-4F97-83B4-8ACBD075B2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17734858-FE6D-4770-B085-6362525D183F}"/>
            </a:ext>
          </a:extLst>
        </xdr:cNvPr>
        <xdr:cNvGrpSpPr/>
      </xdr:nvGrpSpPr>
      <xdr:grpSpPr>
        <a:xfrm>
          <a:off x="16404266" y="0"/>
          <a:ext cx="1611886" cy="114300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FF20BBB3-0ABA-4DD8-8CB3-3A1ECC732469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893246CB-A37A-471D-82C9-41969D392CB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F7355E-F0C5-4D8E-86DF-8362E94DB7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F31CC6C5-390A-4995-BE0E-D31BC17C210B}"/>
            </a:ext>
          </a:extLst>
        </xdr:cNvPr>
        <xdr:cNvGrpSpPr/>
      </xdr:nvGrpSpPr>
      <xdr:grpSpPr>
        <a:xfrm>
          <a:off x="19930870" y="0"/>
          <a:ext cx="1592510" cy="114300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B414C523-3327-42FE-BF63-84FD7E59098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64894604-6FF6-4879-A93E-014EAC5A5FB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1D1F10A2-760C-4B47-9A9E-1C924A9C39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41BDFD46-29DE-4098-9433-1BCA11C8D87C}"/>
            </a:ext>
          </a:extLst>
        </xdr:cNvPr>
        <xdr:cNvGrpSpPr/>
      </xdr:nvGrpSpPr>
      <xdr:grpSpPr>
        <a:xfrm>
          <a:off x="23509536" y="0"/>
          <a:ext cx="1503936" cy="1143000"/>
          <a:chOff x="2411437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18CE7336-522A-4D05-ADC7-9445D4A2F3D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7B914EF5-8A77-450E-8CDD-F0FF7A0907E8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4C712F4B-64D7-4AB8-892A-BB261993A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886EF63D-7E36-4699-8637-D1C2C020BCE4}"/>
            </a:ext>
          </a:extLst>
        </xdr:cNvPr>
        <xdr:cNvGrpSpPr/>
      </xdr:nvGrpSpPr>
      <xdr:grpSpPr>
        <a:xfrm>
          <a:off x="26985341" y="0"/>
          <a:ext cx="1598169" cy="1143000"/>
          <a:chOff x="2774257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E6AAFE8A-C712-4AD8-8B9C-00582A9ADE96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F6A554A3-9BAA-48B7-AF2C-B127DEB669B2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B75EC340-C4BA-4F1D-9912-CCA41E2149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8E20442F-74A5-4C15-9482-73D8D552E99C}"/>
            </a:ext>
          </a:extLst>
        </xdr:cNvPr>
        <xdr:cNvGrpSpPr/>
      </xdr:nvGrpSpPr>
      <xdr:grpSpPr>
        <a:xfrm>
          <a:off x="30622052" y="0"/>
          <a:ext cx="1474344" cy="114300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7DD05296-94D0-4DC8-A075-26A0CF827417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A023805F-BD37-484D-990C-CF12A37BDBC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46E0F5F-9AC8-4C67-A800-3B9CFA7B9BE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B6DA41EE-6CA7-4C51-9FCD-5D80B6010025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E2B05CF5-C33C-4E6B-BA26-AE9C0906059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78A8E83-A10F-4A43-BE93-998831AB7D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7D4D9A02-5955-4A4F-8A0B-FD8344CBB13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1B43528-F9AD-49F0-9508-D2A0A26D917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567A84-FA24-4BE8-9978-637DF59FF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321360F-203F-47CE-9135-501C2E2D7549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977C954-05CD-4B26-BE12-224CB46903D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4338025</xdr:colOff>
      <xdr:row>0</xdr:row>
      <xdr:rowOff>0</xdr:rowOff>
    </xdr:from>
    <xdr:to>
      <xdr:col>4</xdr:col>
      <xdr:colOff>4933049</xdr:colOff>
      <xdr:row>2</xdr:row>
      <xdr:rowOff>238129</xdr:rowOff>
    </xdr:to>
    <xdr:pic>
      <xdr:nvPicPr>
        <xdr:cNvPr id="1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4A3DE6-2DB1-4A49-B6DB-EEB33016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6425" y="0"/>
          <a:ext cx="595024" cy="619129"/>
        </a:xfrm>
        <a:prstGeom prst="rect">
          <a:avLst/>
        </a:prstGeom>
        <a:noFill/>
      </xdr:spPr>
    </xdr:pic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02E4E0A-F2BB-47D1-97CA-4B449EE8817E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8B9A075-68E8-4879-A49B-7A5EA7ED9F3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C00C0E6-68D2-4BFE-9D09-707C66FAC4E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46BF0-C4BF-4916-BA3E-AC17B633620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DE48FCA-52C1-4031-8822-568BCC35FCF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41ECE56-B29F-46D2-9930-F37B709102C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08688EFA-8ABA-4C87-A893-4FF8B983B6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0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A0A41C8-9FDA-4773-802F-415316DCB15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7F2CF6FD-8075-46CF-BAEE-50271819A8A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76D70D85-A017-4C36-B622-DB8E6DC558A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1" name="Imagem 10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A3D323E-41B6-4E59-8CC2-E20F6E621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02" name="CaixaDeTexto 101">
            <a:extLst>
              <a:ext uri="{FF2B5EF4-FFF2-40B4-BE49-F238E27FC236}">
                <a16:creationId xmlns:a16="http://schemas.microsoft.com/office/drawing/2014/main" id="{624005BC-1919-4085-A0A2-3CB072AE2B9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F4049F5E-4A1D-41B8-A91B-DFCFC9832CC7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3007D10D-6901-4948-ABD3-1026EE71F70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50F9E6A9-0D4E-4F15-AFE9-9C3CD3CAAB03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06" name="Imagem 1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DAC3DE0-FD32-4AB8-81EF-74C786CB5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C06FB779-F534-48EA-A82E-0C9C4925168E}"/>
            </a:ext>
          </a:extLst>
        </xdr:cNvPr>
        <xdr:cNvGrpSpPr/>
      </xdr:nvGrpSpPr>
      <xdr:grpSpPr>
        <a:xfrm>
          <a:off x="12860354" y="0"/>
          <a:ext cx="1552994" cy="1143000"/>
          <a:chOff x="13203254" y="0"/>
          <a:chExt cx="1591094" cy="1162050"/>
        </a:xfrm>
      </xdr:grpSpPr>
      <xdr:sp macro="" textlink="">
        <xdr:nvSpPr>
          <xdr:cNvPr id="108" name="Retângulo 107">
            <a:extLst>
              <a:ext uri="{FF2B5EF4-FFF2-40B4-BE49-F238E27FC236}">
                <a16:creationId xmlns:a16="http://schemas.microsoft.com/office/drawing/2014/main" id="{FF649CDF-7544-4341-8C61-97DA96AD3C64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90255A56-3E1F-43B5-AEBA-423F51C65B3C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10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F2EA071-C21E-4033-9B85-985A5A5A58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135" name="Agrupar 134">
          <a:extLst>
            <a:ext uri="{FF2B5EF4-FFF2-40B4-BE49-F238E27FC236}">
              <a16:creationId xmlns:a16="http://schemas.microsoft.com/office/drawing/2014/main" id="{59E2B82A-1B83-43C5-AEAE-2091215C67FB}"/>
            </a:ext>
          </a:extLst>
        </xdr:cNvPr>
        <xdr:cNvGrpSpPr/>
      </xdr:nvGrpSpPr>
      <xdr:grpSpPr>
        <a:xfrm>
          <a:off x="16404266" y="0"/>
          <a:ext cx="1611886" cy="1143000"/>
          <a:chOff x="16832891" y="0"/>
          <a:chExt cx="1611886" cy="1162050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8027C3CA-7867-4BF7-A532-E20BD5491873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CaixaDeTexto 112">
            <a:extLst>
              <a:ext uri="{FF2B5EF4-FFF2-40B4-BE49-F238E27FC236}">
                <a16:creationId xmlns:a16="http://schemas.microsoft.com/office/drawing/2014/main" id="{A5433FCB-B5CD-450C-BE39-79A6E2C9A60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14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9149E2C2-15FC-423D-95AB-8499F356A0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994B09AA-8C78-46ED-9A17-644B8E75E477}"/>
            </a:ext>
          </a:extLst>
        </xdr:cNvPr>
        <xdr:cNvGrpSpPr/>
      </xdr:nvGrpSpPr>
      <xdr:grpSpPr>
        <a:xfrm>
          <a:off x="19930870" y="0"/>
          <a:ext cx="1592510" cy="1143000"/>
          <a:chOff x="20483320" y="0"/>
          <a:chExt cx="1592510" cy="1162050"/>
        </a:xfrm>
      </xdr:grpSpPr>
      <xdr:sp macro="" textlink="">
        <xdr:nvSpPr>
          <xdr:cNvPr id="116" name="Retângulo 115">
            <a:extLst>
              <a:ext uri="{FF2B5EF4-FFF2-40B4-BE49-F238E27FC236}">
                <a16:creationId xmlns:a16="http://schemas.microsoft.com/office/drawing/2014/main" id="{49508857-2FEC-4DE3-99E4-D5C267301E6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CaixaDeTexto 116">
            <a:extLst>
              <a:ext uri="{FF2B5EF4-FFF2-40B4-BE49-F238E27FC236}">
                <a16:creationId xmlns:a16="http://schemas.microsoft.com/office/drawing/2014/main" id="{7B74FC1D-7CDC-4580-996A-A1FB46C5CC9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8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9A2D233-2788-4DC6-8952-221D55927D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E84C710B-F5F7-495C-A86E-E8DC3C706B0F}"/>
            </a:ext>
          </a:extLst>
        </xdr:cNvPr>
        <xdr:cNvGrpSpPr/>
      </xdr:nvGrpSpPr>
      <xdr:grpSpPr>
        <a:xfrm>
          <a:off x="23509536" y="0"/>
          <a:ext cx="1503936" cy="1143000"/>
          <a:chOff x="24114373" y="0"/>
          <a:chExt cx="1589661" cy="1162050"/>
        </a:xfrm>
      </xdr:grpSpPr>
      <xdr:sp macro="" textlink="">
        <xdr:nvSpPr>
          <xdr:cNvPr id="120" name="Retângulo 119">
            <a:extLst>
              <a:ext uri="{FF2B5EF4-FFF2-40B4-BE49-F238E27FC236}">
                <a16:creationId xmlns:a16="http://schemas.microsoft.com/office/drawing/2014/main" id="{0072EADC-9F2F-48BE-95C4-62D57775A104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CaixaDeTexto 120">
            <a:extLst>
              <a:ext uri="{FF2B5EF4-FFF2-40B4-BE49-F238E27FC236}">
                <a16:creationId xmlns:a16="http://schemas.microsoft.com/office/drawing/2014/main" id="{3FC7B72A-C29D-4F39-ACEB-85B130D8DF26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22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7DB5D1F-B019-4859-A51C-71814C3F6C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1674E4A-E82C-407D-8CA8-9ACA1B9100B3}"/>
            </a:ext>
          </a:extLst>
        </xdr:cNvPr>
        <xdr:cNvGrpSpPr/>
      </xdr:nvGrpSpPr>
      <xdr:grpSpPr>
        <a:xfrm>
          <a:off x="26985341" y="0"/>
          <a:ext cx="1598169" cy="1143000"/>
          <a:chOff x="27742578" y="0"/>
          <a:chExt cx="1598169" cy="1162050"/>
        </a:xfrm>
      </xdr:grpSpPr>
      <xdr:sp macro="" textlink="">
        <xdr:nvSpPr>
          <xdr:cNvPr id="124" name="Retângulo 123">
            <a:extLst>
              <a:ext uri="{FF2B5EF4-FFF2-40B4-BE49-F238E27FC236}">
                <a16:creationId xmlns:a16="http://schemas.microsoft.com/office/drawing/2014/main" id="{A66B3311-EC5D-43A6-B832-6A773D89CA29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5" name="CaixaDeTexto 124">
            <a:extLst>
              <a:ext uri="{FF2B5EF4-FFF2-40B4-BE49-F238E27FC236}">
                <a16:creationId xmlns:a16="http://schemas.microsoft.com/office/drawing/2014/main" id="{281E9315-BA17-4E9B-9581-E94E3209AC50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6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55383016-36C5-4209-8091-1C26E18043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127" name="Agrupar 126">
          <a:extLst>
            <a:ext uri="{FF2B5EF4-FFF2-40B4-BE49-F238E27FC236}">
              <a16:creationId xmlns:a16="http://schemas.microsoft.com/office/drawing/2014/main" id="{C6B74C78-CE3B-451F-8E57-C1C7AC7310F3}"/>
            </a:ext>
          </a:extLst>
        </xdr:cNvPr>
        <xdr:cNvGrpSpPr/>
      </xdr:nvGrpSpPr>
      <xdr:grpSpPr>
        <a:xfrm>
          <a:off x="30622052" y="0"/>
          <a:ext cx="1474344" cy="1143000"/>
          <a:chOff x="31379289" y="0"/>
          <a:chExt cx="1598169" cy="1162050"/>
        </a:xfrm>
      </xdr:grpSpPr>
      <xdr:sp macro="" textlink="">
        <xdr:nvSpPr>
          <xdr:cNvPr id="128" name="Retângulo 127">
            <a:extLst>
              <a:ext uri="{FF2B5EF4-FFF2-40B4-BE49-F238E27FC236}">
                <a16:creationId xmlns:a16="http://schemas.microsoft.com/office/drawing/2014/main" id="{2E783347-B569-4A8E-88DD-3E76D816CCF4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9" name="CaixaDeTexto 128">
            <a:extLst>
              <a:ext uri="{FF2B5EF4-FFF2-40B4-BE49-F238E27FC236}">
                <a16:creationId xmlns:a16="http://schemas.microsoft.com/office/drawing/2014/main" id="{981839C2-A490-4AF8-A0AE-FC6F8A1DA2B9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30" name="Imagem 129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3CAF5307-0DFC-47BB-9127-EA8E9A2503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131" name="Agrupar 130">
          <a:extLst>
            <a:ext uri="{FF2B5EF4-FFF2-40B4-BE49-F238E27FC236}">
              <a16:creationId xmlns:a16="http://schemas.microsoft.com/office/drawing/2014/main" id="{F491229E-5EA2-4EDC-B134-BD19C7DD0C7B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132" name="Retângulo 131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A6533A3-1FC2-4D8A-9BB5-861B16492F9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3" name="Imagem 132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FB65D2AB-2335-4B19-A8BA-2095AC4B6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134" name="CaixaDeTexto 133">
            <a:extLst>
              <a:ext uri="{FF2B5EF4-FFF2-40B4-BE49-F238E27FC236}">
                <a16:creationId xmlns:a16="http://schemas.microsoft.com/office/drawing/2014/main" id="{3FEDA3D7-5750-4A78-A4BA-C41EF59E96EC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1A2F05A-3B61-4FEF-A478-77A2737D13D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80844-F3B1-4769-AC9C-CFB6E85E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D70A59E5-DFB7-47BE-A234-C19D7277B85F}"/>
            </a:ext>
          </a:extLst>
        </xdr:cNvPr>
        <xdr:cNvSpPr/>
      </xdr:nvSpPr>
      <xdr:spPr>
        <a:xfrm>
          <a:off x="25269825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9E70D87-A1B8-445C-8A70-0384E2A9E53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4E4E27E-1A0F-4163-8194-09D1934777BB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CDC1D25-4069-4057-A0BB-C474E973C9E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A24D736-D377-4403-A442-B465F290E87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0F3DC27-A6A5-4374-AFAD-2B58D6EB0D3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3F6FD8C-382E-4699-AE8C-61364687D837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E331176-9587-4A3F-97E9-69F286C872D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10</xdr:col>
      <xdr:colOff>381000</xdr:colOff>
      <xdr:row>33</xdr:row>
      <xdr:rowOff>57150</xdr:rowOff>
    </xdr:from>
    <xdr:to>
      <xdr:col>10</xdr:col>
      <xdr:colOff>3454036</xdr:colOff>
      <xdr:row>37</xdr:row>
      <xdr:rowOff>41569</xdr:rowOff>
    </xdr:to>
    <xdr:sp macro="[0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D9695B1-7EB5-4CEB-9A73-D973E82B528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38300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7</xdr:col>
      <xdr:colOff>1543050</xdr:colOff>
      <xdr:row>33</xdr:row>
      <xdr:rowOff>57150</xdr:rowOff>
    </xdr:from>
    <xdr:to>
      <xdr:col>9</xdr:col>
      <xdr:colOff>1301386</xdr:colOff>
      <xdr:row>37</xdr:row>
      <xdr:rowOff>41569</xdr:rowOff>
    </xdr:to>
    <xdr:sp macro="[0]!ProcvVBA_Executar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29C4BDF-98FF-41A3-806D-78B10A7A3C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23253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COMPLETAR FORMULÁRIO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2CD1E87D-CD41-4921-83CD-645964DB330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9073322-B205-43E7-B175-E40A37261B1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50BD1C6-0561-4444-8BA5-4A6DE77B95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9FF09BBE-EEE4-40FB-B258-C90CB5F3935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394354B0-14FA-4F00-8514-1AC3B134E890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93151437-855B-48A0-8375-BC7B3C4F02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C60AA2E1-079D-4516-B34E-5E92CB379AC6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BD3711-2FE8-4AB0-82A5-C655C9363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4023051-2D62-4F61-BBE9-FDDF58DF105D}"/>
            </a:ext>
          </a:extLst>
        </xdr:cNvPr>
        <xdr:cNvGrpSpPr/>
      </xdr:nvGrpSpPr>
      <xdr:grpSpPr>
        <a:xfrm>
          <a:off x="12860354" y="0"/>
          <a:ext cx="1552994" cy="114300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DF1BCBAD-BC7D-4593-A9D8-F98BBDADD67A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E2C49F14-E751-42BC-9309-80691D5D9C9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AFA04D4-F169-43DF-BCDF-6693D5DA92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8F518DB9-B105-4D21-BD16-5A83267B2029}"/>
            </a:ext>
          </a:extLst>
        </xdr:cNvPr>
        <xdr:cNvGrpSpPr/>
      </xdr:nvGrpSpPr>
      <xdr:grpSpPr>
        <a:xfrm>
          <a:off x="16404266" y="0"/>
          <a:ext cx="1611886" cy="114300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5D4292A0-1771-4176-B6C3-DAD8C2089FAE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CD52B4EE-7959-4156-BBE6-2FDDEE816E5D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414D999-D573-4244-AD61-609BCA0D12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728470</xdr:colOff>
      <xdr:row>0</xdr:row>
      <xdr:rowOff>0</xdr:rowOff>
    </xdr:from>
    <xdr:to>
      <xdr:col>12</xdr:col>
      <xdr:colOff>568380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E5A7B53A-5A4F-42CA-A806-B51C986B0B13}"/>
            </a:ext>
          </a:extLst>
        </xdr:cNvPr>
        <xdr:cNvGrpSpPr/>
      </xdr:nvGrpSpPr>
      <xdr:grpSpPr>
        <a:xfrm>
          <a:off x="19945158" y="0"/>
          <a:ext cx="1530597" cy="114300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1DA66B30-1E6D-404B-B7FB-A820FE130E61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79C91EAD-520E-487D-8E2A-19E21B0819F8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AEFCB7D9-D365-465C-B762-AC613E65F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625723</xdr:colOff>
      <xdr:row>0</xdr:row>
      <xdr:rowOff>0</xdr:rowOff>
    </xdr:from>
    <xdr:to>
      <xdr:col>13</xdr:col>
      <xdr:colOff>2215384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13F237DF-B5FA-43C4-9745-01FC36A879FE}"/>
            </a:ext>
          </a:extLst>
        </xdr:cNvPr>
        <xdr:cNvGrpSpPr/>
      </xdr:nvGrpSpPr>
      <xdr:grpSpPr>
        <a:xfrm>
          <a:off x="23461911" y="0"/>
          <a:ext cx="1589661" cy="1143000"/>
          <a:chOff x="2411437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FB8C956-7545-4427-858E-F2E77C212601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207D4241-9DB3-4DD7-ACCB-F8671C2248CC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40F0142-C0EC-4566-987B-C6E256C5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977328</xdr:colOff>
      <xdr:row>0</xdr:row>
      <xdr:rowOff>0</xdr:rowOff>
    </xdr:from>
    <xdr:to>
      <xdr:col>15</xdr:col>
      <xdr:colOff>556197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B8B1877F-2BE7-47C4-A5D7-FBF199051500}"/>
            </a:ext>
          </a:extLst>
        </xdr:cNvPr>
        <xdr:cNvGrpSpPr/>
      </xdr:nvGrpSpPr>
      <xdr:grpSpPr>
        <a:xfrm>
          <a:off x="27004391" y="0"/>
          <a:ext cx="1531494" cy="1143000"/>
          <a:chOff x="2774257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5BBA1771-EDDE-4B5D-A27A-12AE95E74FAB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79BA1071-C992-4AAD-B8D4-F1DE3CAEC751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724BEE2D-642D-45FB-891B-8728EF5FBF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2594739</xdr:colOff>
      <xdr:row>0</xdr:row>
      <xdr:rowOff>0</xdr:rowOff>
    </xdr:from>
    <xdr:to>
      <xdr:col>15</xdr:col>
      <xdr:colOff>4192908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DE9A34EE-94A3-4697-8845-6F722095BF23}"/>
            </a:ext>
          </a:extLst>
        </xdr:cNvPr>
        <xdr:cNvGrpSpPr/>
      </xdr:nvGrpSpPr>
      <xdr:grpSpPr>
        <a:xfrm>
          <a:off x="30574427" y="0"/>
          <a:ext cx="1598169" cy="114300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813A3912-6B8A-466F-BEE9-69BCF39DD675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F06175C9-0A19-4F8A-9EE9-322104779AA3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1D54962-01D8-48F8-8091-08CB82AAE1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85E039ED-C561-429E-A6B6-098FF21A5001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4A7EE5B3-B8DC-4240-B5C0-E3FA5CD6F02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67E65FB-31D4-4DEA-9366-113944750A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FF953F43-EB48-4183-A549-B924C0A1BD4D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51D2CA7-80E5-496F-8F21-2B46BFE32F9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153A3-6D37-48F5-8492-15F6CB2B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5BDC9EDD-D4D5-49F6-8F29-87B810FE26A6}"/>
            </a:ext>
          </a:extLst>
        </xdr:cNvPr>
        <xdr:cNvSpPr/>
      </xdr:nvSpPr>
      <xdr:spPr>
        <a:xfrm>
          <a:off x="2524125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128125C-0428-4625-B986-FE83D5D710C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83423B6-B624-4F7E-BC5E-53ADF5836B2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57E4C0D-2DC7-4A0B-BDAE-F26EF97A3B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D13E0CCE-93AE-4E98-997D-D9F6F81F246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224F0652-D404-4421-83F2-2141E29D568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B9485A-81E6-446A-ACFB-24080583AC6A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DE76E1-0D85-483B-A39F-C393DDB16F9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0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71BF4E26-109E-404C-8D19-EC4CB80D8A7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6B490F8E-9EEE-4B69-A768-49DF84E3155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EB0AF229-52ED-42D3-98FE-E15C401FDD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41DC9BE-3168-4D5C-9B79-2F15CD766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0884F7DD-69F0-4B5C-945B-FBDA90246FA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3517573</xdr:colOff>
      <xdr:row>0</xdr:row>
      <xdr:rowOff>0</xdr:rowOff>
    </xdr:from>
    <xdr:to>
      <xdr:col>5</xdr:col>
      <xdr:colOff>155650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3FE539F-5C4A-4F0D-AA01-23A9635F7992}"/>
            </a:ext>
          </a:extLst>
        </xdr:cNvPr>
        <xdr:cNvGrpSpPr/>
      </xdr:nvGrpSpPr>
      <xdr:grpSpPr>
        <a:xfrm>
          <a:off x="5898823" y="0"/>
          <a:ext cx="1448202" cy="1143000"/>
          <a:chOff x="5936923" y="0"/>
          <a:chExt cx="1591077" cy="1162050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AA42A107-3FCF-4A51-A963-51DA76491F0C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664A5644-D5E0-49EA-AF54-0A53EFA07FD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2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C6BECB8-964F-4E64-B511-29AE4A6F5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687404</xdr:colOff>
      <xdr:row>0</xdr:row>
      <xdr:rowOff>0</xdr:rowOff>
    </xdr:from>
    <xdr:to>
      <xdr:col>9</xdr:col>
      <xdr:colOff>716398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9F250BA1-0613-473A-98C7-F01DC681FA2D}"/>
            </a:ext>
          </a:extLst>
        </xdr:cNvPr>
        <xdr:cNvGrpSpPr/>
      </xdr:nvGrpSpPr>
      <xdr:grpSpPr>
        <a:xfrm>
          <a:off x="12879404" y="0"/>
          <a:ext cx="1552994" cy="1143000"/>
          <a:chOff x="13203254" y="0"/>
          <a:chExt cx="1591094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43D9612-F28B-4124-8F47-B43C6082351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CFDB9650-AB36-4E09-9A1A-9452F270749B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6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43FE0E0-5386-4CC9-A863-5E5F25B50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849941</xdr:colOff>
      <xdr:row>0</xdr:row>
      <xdr:rowOff>0</xdr:rowOff>
    </xdr:from>
    <xdr:to>
      <xdr:col>10</xdr:col>
      <xdr:colOff>2461827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4635E77B-6AED-455B-B973-2F281E0A7ABB}"/>
            </a:ext>
          </a:extLst>
        </xdr:cNvPr>
        <xdr:cNvGrpSpPr/>
      </xdr:nvGrpSpPr>
      <xdr:grpSpPr>
        <a:xfrm>
          <a:off x="16423316" y="0"/>
          <a:ext cx="1611886" cy="1143000"/>
          <a:chOff x="16832891" y="0"/>
          <a:chExt cx="1611886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955F39F0-5164-4A7D-8C4A-C9B9ABC1F609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A54470B6-9A27-4552-8CB7-8CBCBEE587BB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51BB0CD-BE8A-42AC-9181-3C598087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1585720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D800BC83-1909-4D92-B5C6-11D0A369312E}"/>
            </a:ext>
          </a:extLst>
        </xdr:cNvPr>
        <xdr:cNvGrpSpPr/>
      </xdr:nvGrpSpPr>
      <xdr:grpSpPr>
        <a:xfrm>
          <a:off x="19992783" y="0"/>
          <a:ext cx="1530597" cy="1143000"/>
          <a:chOff x="20483320" y="0"/>
          <a:chExt cx="1592510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48F0BF03-171C-467E-90C1-1C97EBBE3F04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261E681-6A4C-4977-AE4F-CF3FAD0A676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62DF708-D2E9-451D-ADFC-775025CF8B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1482973</xdr:colOff>
      <xdr:row>0</xdr:row>
      <xdr:rowOff>0</xdr:rowOff>
    </xdr:from>
    <xdr:to>
      <xdr:col>13</xdr:col>
      <xdr:colOff>3072634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A40F1B38-A694-401C-A874-47D2778620AD}"/>
            </a:ext>
          </a:extLst>
        </xdr:cNvPr>
        <xdr:cNvGrpSpPr/>
      </xdr:nvGrpSpPr>
      <xdr:grpSpPr>
        <a:xfrm>
          <a:off x="23509536" y="0"/>
          <a:ext cx="1589661" cy="1143000"/>
          <a:chOff x="24114373" y="0"/>
          <a:chExt cx="1589661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CA542A6A-13FC-489E-A71C-2ACA605CE61D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86FE23B3-1A9C-4747-8C96-E71C5556A9F0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DE4CA43-2B57-4DBC-A009-4C623262B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1605978</xdr:colOff>
      <xdr:row>0</xdr:row>
      <xdr:rowOff>0</xdr:rowOff>
    </xdr:from>
    <xdr:to>
      <xdr:col>15</xdr:col>
      <xdr:colOff>289497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D67C5B7-8422-496E-97B3-14A442F4981F}"/>
            </a:ext>
          </a:extLst>
        </xdr:cNvPr>
        <xdr:cNvGrpSpPr/>
      </xdr:nvGrpSpPr>
      <xdr:grpSpPr>
        <a:xfrm>
          <a:off x="27037728" y="0"/>
          <a:ext cx="1517207" cy="1143000"/>
          <a:chOff x="27742578" y="0"/>
          <a:chExt cx="1598169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354AAAD1-AA6E-4B21-A843-C604FE409FF5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A01E2C28-27ED-4F25-B063-26B0CAC75876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7E3BD65-0E6C-4C87-9DD6-BBD6FAF03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2328039</xdr:colOff>
      <xdr:row>0</xdr:row>
      <xdr:rowOff>0</xdr:rowOff>
    </xdr:from>
    <xdr:to>
      <xdr:col>15</xdr:col>
      <xdr:colOff>3926208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D139D493-D1A5-4DB4-835E-70F651526E0B}"/>
            </a:ext>
          </a:extLst>
        </xdr:cNvPr>
        <xdr:cNvGrpSpPr/>
      </xdr:nvGrpSpPr>
      <xdr:grpSpPr>
        <a:xfrm>
          <a:off x="30593477" y="0"/>
          <a:ext cx="1598169" cy="1143000"/>
          <a:chOff x="31379289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E1C9A26F-917E-4E83-8640-9BD0B8868E3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33459CDE-6ED9-47DC-8E49-18FC6A3391E9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6" name="Imagem 75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D58E28EB-8A8B-41D1-BD83-A1A9790F8B9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602923</xdr:colOff>
      <xdr:row>0</xdr:row>
      <xdr:rowOff>0</xdr:rowOff>
    </xdr:from>
    <xdr:to>
      <xdr:col>7</xdr:col>
      <xdr:colOff>403300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5D163446-B12D-46C4-A24A-EB5B6B30DEC8}"/>
            </a:ext>
          </a:extLst>
        </xdr:cNvPr>
        <xdr:cNvGrpSpPr/>
      </xdr:nvGrpSpPr>
      <xdr:grpSpPr>
        <a:xfrm>
          <a:off x="9342111" y="0"/>
          <a:ext cx="1538689" cy="1143000"/>
          <a:chOff x="9575473" y="0"/>
          <a:chExt cx="1591077" cy="1162050"/>
        </a:xfrm>
      </xdr:grpSpPr>
      <xdr:sp macro="" textlink="">
        <xdr:nvSpPr>
          <xdr:cNvPr id="78" name="Retângulo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1676BF1-8448-4627-A16A-613A14AA828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1247DBE3-2A6C-4A98-888B-6B8AAE0469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C0EC52F6-399D-46C0-8A0C-95D43C03601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9074656-E109-40C5-BC18-EB2BF08B782D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B7064-EB0E-4B4B-9E70-F93492044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613F1E82-CB11-4BB6-956B-574004B2EACD}"/>
            </a:ext>
          </a:extLst>
        </xdr:cNvPr>
        <xdr:cNvSpPr/>
      </xdr:nvSpPr>
      <xdr:spPr>
        <a:xfrm>
          <a:off x="2528697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B42E7FF-E11B-4D78-B5DC-42A8FB686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7B0165-AEBD-461A-8BFB-1372A1D3B521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15AC9C3-8BC3-4B92-BA67-13AFF60437E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B139AE0-09BE-4E97-A8C0-420B147CEF5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2640E36-C810-4589-A4FD-80C910EDDFD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994F9BA-AFAB-4B0D-9380-5ADE69856731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DFE2EDE-B11B-4AAF-98CE-2B39B1B319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1</xdr:col>
      <xdr:colOff>1828800</xdr:colOff>
      <xdr:row>0</xdr:row>
      <xdr:rowOff>0</xdr:rowOff>
    </xdr:from>
    <xdr:to>
      <xdr:col>2</xdr:col>
      <xdr:colOff>1059930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32643EE-6EC1-4DE2-B02F-7D6CD125F4F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24113" y="0"/>
          <a:ext cx="1398067" cy="1143000"/>
          <a:chOff x="1993654" y="0"/>
          <a:chExt cx="1022595" cy="781538"/>
        </a:xfrm>
      </xdr:grpSpPr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C0582113-A058-4781-9DA3-12ADB579774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6" name="Imagem 4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B4B08AB-3767-43D9-8B48-C5D814202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7971F645-AC5B-46F4-96C8-B2B594198EA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3</xdr:col>
      <xdr:colOff>507673</xdr:colOff>
      <xdr:row>0</xdr:row>
      <xdr:rowOff>0</xdr:rowOff>
    </xdr:from>
    <xdr:to>
      <xdr:col>3</xdr:col>
      <xdr:colOff>2098750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CD6D158E-82AC-4AB0-BAD3-6165572ECF62}"/>
            </a:ext>
          </a:extLst>
        </xdr:cNvPr>
        <xdr:cNvGrpSpPr/>
      </xdr:nvGrpSpPr>
      <xdr:grpSpPr>
        <a:xfrm>
          <a:off x="5794048" y="0"/>
          <a:ext cx="1591077" cy="1143000"/>
          <a:chOff x="5936923" y="0"/>
          <a:chExt cx="1591077" cy="1162050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B7129C75-572C-4FC0-AAF6-666A48440B94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2C5A4B84-8C69-4193-A6A8-77193543CA3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1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84ABFB1-67ED-4C8E-ACD1-6AFED424F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5</xdr:col>
      <xdr:colOff>1335104</xdr:colOff>
      <xdr:row>0</xdr:row>
      <xdr:rowOff>0</xdr:rowOff>
    </xdr:from>
    <xdr:to>
      <xdr:col>5</xdr:col>
      <xdr:colOff>2926198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6C84C28D-BE19-46F3-9D1C-D36A4B679533}"/>
            </a:ext>
          </a:extLst>
        </xdr:cNvPr>
        <xdr:cNvGrpSpPr/>
      </xdr:nvGrpSpPr>
      <xdr:grpSpPr>
        <a:xfrm>
          <a:off x="12884167" y="0"/>
          <a:ext cx="1591094" cy="1143000"/>
          <a:chOff x="13203254" y="0"/>
          <a:chExt cx="1591094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6E264A2D-622D-405D-AB4B-2B0404CA97B4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6F939FC7-E9C0-47B6-887A-00D0F4D18ED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5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A1CF63-E16B-469E-A7C2-2DEC11D8F9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1021391</xdr:colOff>
      <xdr:row>0</xdr:row>
      <xdr:rowOff>0</xdr:rowOff>
    </xdr:from>
    <xdr:to>
      <xdr:col>6</xdr:col>
      <xdr:colOff>2633277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92C7C626-223C-4DB1-B770-2AE2001C9B23}"/>
            </a:ext>
          </a:extLst>
        </xdr:cNvPr>
        <xdr:cNvGrpSpPr/>
      </xdr:nvGrpSpPr>
      <xdr:grpSpPr>
        <a:xfrm>
          <a:off x="16404266" y="0"/>
          <a:ext cx="1611886" cy="1143000"/>
          <a:chOff x="16832891" y="0"/>
          <a:chExt cx="1611886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29AC35B7-9B5C-4DA0-9B3D-3B350FA657EB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447CE286-43C7-4B1D-A757-03FCC72105DD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3F59D8E-C582-4032-BB75-1879061C8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1928620</xdr:colOff>
      <xdr:row>0</xdr:row>
      <xdr:rowOff>0</xdr:rowOff>
    </xdr:from>
    <xdr:to>
      <xdr:col>8</xdr:col>
      <xdr:colOff>244530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C5E613FF-40D3-4294-BFA1-4F08F1B422D3}"/>
            </a:ext>
          </a:extLst>
        </xdr:cNvPr>
        <xdr:cNvGrpSpPr/>
      </xdr:nvGrpSpPr>
      <xdr:grpSpPr>
        <a:xfrm>
          <a:off x="19978495" y="0"/>
          <a:ext cx="1506785" cy="1143000"/>
          <a:chOff x="20483320" y="0"/>
          <a:chExt cx="1592510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9ABD8574-1308-485B-9E7B-7D2A86A3D6B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71AD8599-2041-41AB-80E3-699A7AC869A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2AF0002A-6949-4F20-B7B8-0810F8ADF6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2283073</xdr:colOff>
      <xdr:row>0</xdr:row>
      <xdr:rowOff>0</xdr:rowOff>
    </xdr:from>
    <xdr:to>
      <xdr:col>9</xdr:col>
      <xdr:colOff>900934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8CBF806E-0171-498F-9717-9079C9796878}"/>
            </a:ext>
          </a:extLst>
        </xdr:cNvPr>
        <xdr:cNvGrpSpPr/>
      </xdr:nvGrpSpPr>
      <xdr:grpSpPr>
        <a:xfrm>
          <a:off x="23523823" y="0"/>
          <a:ext cx="1499174" cy="1143000"/>
          <a:chOff x="24114373" y="0"/>
          <a:chExt cx="1589661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7734B1D4-6D8F-4209-A436-116EBDEEDD0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32AB5D0B-B9B4-4653-91EF-689CA2CB9D61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E932FB6-DD76-4EC5-BA2C-65CAA7EAF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2939478</xdr:colOff>
      <xdr:row>0</xdr:row>
      <xdr:rowOff>0</xdr:rowOff>
    </xdr:from>
    <xdr:to>
      <xdr:col>10</xdr:col>
      <xdr:colOff>1261047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1CC70723-83D5-4C66-B9E1-9559A9B92DCD}"/>
            </a:ext>
          </a:extLst>
        </xdr:cNvPr>
        <xdr:cNvGrpSpPr/>
      </xdr:nvGrpSpPr>
      <xdr:grpSpPr>
        <a:xfrm>
          <a:off x="27061541" y="0"/>
          <a:ext cx="1512444" cy="1143000"/>
          <a:chOff x="27742578" y="0"/>
          <a:chExt cx="1598169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4BA1047C-AA77-4059-ADFE-E7E444A90F3A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6C54B1B5-CDE5-484E-B18F-1D7C272DC826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82F2045E-396C-44A1-8C1B-FC955638A4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1280289</xdr:colOff>
      <xdr:row>0</xdr:row>
      <xdr:rowOff>0</xdr:rowOff>
    </xdr:from>
    <xdr:to>
      <xdr:col>11</xdr:col>
      <xdr:colOff>2878458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1442C0FB-BD9C-40D4-9681-B98DBA5D7A1F}"/>
            </a:ext>
          </a:extLst>
        </xdr:cNvPr>
        <xdr:cNvGrpSpPr/>
      </xdr:nvGrpSpPr>
      <xdr:grpSpPr>
        <a:xfrm>
          <a:off x="30545852" y="0"/>
          <a:ext cx="1598169" cy="1143000"/>
          <a:chOff x="31379289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3947FA2E-1F00-456C-A37F-3A1E1E75FE5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1A1780F7-7069-4D24-A3F5-C28F8DBCC818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5" name="Imagem 74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A0E9DDE9-65E5-4574-8DA4-8B902214DFB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1098223</xdr:colOff>
      <xdr:row>0</xdr:row>
      <xdr:rowOff>0</xdr:rowOff>
    </xdr:from>
    <xdr:to>
      <xdr:col>4</xdr:col>
      <xdr:colOff>2689300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863D72BA-918C-4F28-A587-3D292F03852B}"/>
            </a:ext>
          </a:extLst>
        </xdr:cNvPr>
        <xdr:cNvGrpSpPr/>
      </xdr:nvGrpSpPr>
      <xdr:grpSpPr>
        <a:xfrm>
          <a:off x="9337348" y="0"/>
          <a:ext cx="1591077" cy="1143000"/>
          <a:chOff x="9575473" y="0"/>
          <a:chExt cx="1591077" cy="1162050"/>
        </a:xfrm>
      </xdr:grpSpPr>
      <xdr:sp macro="" textlink="">
        <xdr:nvSpPr>
          <xdr:cNvPr id="77" name="Retângulo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B6EF5BB-435D-4599-B61C-269D97B6494F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8" name="Imagem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9C6F62A2-DC9C-4BC0-B411-72AAAFAB1B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0F1D893C-9DA7-4FA6-9067-BA48958788F9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46A18DE-D145-4419-A094-E6DBE4170650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4127B2-9F85-4EA2-9800-27ACD53EE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934F6A51-DEFB-4179-BC2E-89D034200EDE}"/>
            </a:ext>
          </a:extLst>
        </xdr:cNvPr>
        <xdr:cNvSpPr/>
      </xdr:nvSpPr>
      <xdr:spPr>
        <a:xfrm>
          <a:off x="25404400" y="1390650"/>
          <a:ext cx="378279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BD6FAC7-7FB8-4BE1-8CAE-58518C8103D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CA06473-5145-464E-99EE-3897761A937F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99F8039-F6E2-4C8B-A314-14668DAE2D2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DDF37B-DFB8-44E8-A818-283542BB6AE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0DB4D05-4465-41BE-B43A-8920A37533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B048BD-F207-4AB4-9B18-A78337D79038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1828800</xdr:colOff>
      <xdr:row>0</xdr:row>
      <xdr:rowOff>0</xdr:rowOff>
    </xdr:from>
    <xdr:to>
      <xdr:col>2</xdr:col>
      <xdr:colOff>697980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BD5BC47F-98EA-4C42-8F42-1DDF371FF67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24113" y="0"/>
          <a:ext cx="1393305" cy="114300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2353EB09-6CCC-44DC-A5E5-2FF7B2A9F56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6EF3B59-5CB0-4CC9-A7EF-4C0532A74B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70C609D5-753C-4E95-9B91-BC9A4CA977B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2736523</xdr:colOff>
      <xdr:row>0</xdr:row>
      <xdr:rowOff>0</xdr:rowOff>
    </xdr:from>
    <xdr:to>
      <xdr:col>3</xdr:col>
      <xdr:colOff>1546300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7A2F1A15-54CA-4FE0-8F29-71C1A1D66495}"/>
            </a:ext>
          </a:extLst>
        </xdr:cNvPr>
        <xdr:cNvGrpSpPr/>
      </xdr:nvGrpSpPr>
      <xdr:grpSpPr>
        <a:xfrm>
          <a:off x="5817861" y="0"/>
          <a:ext cx="1538689" cy="114300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75341EF4-9107-4A17-A39E-9A34A729DB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8AF531D6-9AC3-4AB2-AAFD-7B2892F5871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7BFAB35-D5B8-47D2-8EC2-6B0D93D6E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6</xdr:col>
      <xdr:colOff>287354</xdr:colOff>
      <xdr:row>0</xdr:row>
      <xdr:rowOff>0</xdr:rowOff>
    </xdr:from>
    <xdr:to>
      <xdr:col>8</xdr:col>
      <xdr:colOff>202048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A8CE631-3B62-469D-B35E-6B6035CC87BF}"/>
            </a:ext>
          </a:extLst>
        </xdr:cNvPr>
        <xdr:cNvGrpSpPr/>
      </xdr:nvGrpSpPr>
      <xdr:grpSpPr>
        <a:xfrm>
          <a:off x="12836542" y="0"/>
          <a:ext cx="1557756" cy="114300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CE801AD3-1DD8-47DC-A52D-9CCF9F36CCD2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1BD51541-CF21-4268-AD86-90C315BF84F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57FBA0C-7145-445E-ACA0-2A083B4B46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411791</xdr:colOff>
      <xdr:row>0</xdr:row>
      <xdr:rowOff>0</xdr:rowOff>
    </xdr:from>
    <xdr:to>
      <xdr:col>13</xdr:col>
      <xdr:colOff>232977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B0D92A3-88D8-4D4D-B95F-3D066BF47B37}"/>
            </a:ext>
          </a:extLst>
        </xdr:cNvPr>
        <xdr:cNvGrpSpPr/>
      </xdr:nvGrpSpPr>
      <xdr:grpSpPr>
        <a:xfrm>
          <a:off x="16389979" y="0"/>
          <a:ext cx="1583311" cy="114300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C9A728FC-0F42-4E7C-85E2-1118B7F1AC1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A01AA667-7AF7-4243-B769-9864EB520335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F96EF19-FFAF-4FBC-A595-844C8B150C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2271520</xdr:colOff>
      <xdr:row>0</xdr:row>
      <xdr:rowOff>0</xdr:rowOff>
    </xdr:from>
    <xdr:to>
      <xdr:col>14</xdr:col>
      <xdr:colOff>358830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77F787E7-A435-4782-B28D-30358070D5DC}"/>
            </a:ext>
          </a:extLst>
        </xdr:cNvPr>
        <xdr:cNvGrpSpPr/>
      </xdr:nvGrpSpPr>
      <xdr:grpSpPr>
        <a:xfrm>
          <a:off x="20011833" y="0"/>
          <a:ext cx="1492497" cy="114300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42EC5695-D486-44F1-A5B5-345A2A304FE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CC6DA98-FE9E-418E-928A-CCA67E211BC0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F01CC09-528D-42E5-88F8-F6F9327485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568573</xdr:colOff>
      <xdr:row>0</xdr:row>
      <xdr:rowOff>0</xdr:rowOff>
    </xdr:from>
    <xdr:to>
      <xdr:col>20</xdr:col>
      <xdr:colOff>329434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3E0FD0E7-87C7-459E-BB13-2DAE188470F4}"/>
            </a:ext>
          </a:extLst>
        </xdr:cNvPr>
        <xdr:cNvGrpSpPr/>
      </xdr:nvGrpSpPr>
      <xdr:grpSpPr>
        <a:xfrm>
          <a:off x="23500011" y="0"/>
          <a:ext cx="1546798" cy="114300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237CEE1F-B831-48F0-B4D9-57B0B3623179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1061C1E7-E34E-4FC5-A683-DB20751844D8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919CAA3-F64C-415E-B64F-D6B0892C7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539178</xdr:colOff>
      <xdr:row>0</xdr:row>
      <xdr:rowOff>0</xdr:rowOff>
    </xdr:from>
    <xdr:to>
      <xdr:col>26</xdr:col>
      <xdr:colOff>308547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804BB569-3AEC-4EB1-95BA-8B94F3C3778E}"/>
            </a:ext>
          </a:extLst>
        </xdr:cNvPr>
        <xdr:cNvGrpSpPr/>
      </xdr:nvGrpSpPr>
      <xdr:grpSpPr>
        <a:xfrm>
          <a:off x="27042491" y="0"/>
          <a:ext cx="1555306" cy="1143000"/>
          <a:chOff x="2774257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E4E9ADC2-A00B-451B-AD49-29AE150BCF39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F8FA8740-716C-4908-9AEA-8205811EF0CC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85C59517-15CF-49DC-9751-654E5FDC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518289</xdr:colOff>
      <xdr:row>0</xdr:row>
      <xdr:rowOff>0</xdr:rowOff>
    </xdr:from>
    <xdr:to>
      <xdr:col>32</xdr:col>
      <xdr:colOff>287658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6E088C5-CC49-4668-8AE7-8D75DB2CFC35}"/>
            </a:ext>
          </a:extLst>
        </xdr:cNvPr>
        <xdr:cNvGrpSpPr/>
      </xdr:nvGrpSpPr>
      <xdr:grpSpPr>
        <a:xfrm>
          <a:off x="30593477" y="0"/>
          <a:ext cx="1555306" cy="114300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1C81C68C-5D61-4638-936C-20461B807CD2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15159F75-1D26-49FD-884B-3655F23EA7BC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2C783A86-C218-4166-AA74-6F9B216E4F1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1536373</xdr:colOff>
      <xdr:row>0</xdr:row>
      <xdr:rowOff>0</xdr:rowOff>
    </xdr:from>
    <xdr:to>
      <xdr:col>5</xdr:col>
      <xdr:colOff>1336750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D3C55CBF-8A2C-464D-AC7D-AF1B26E31744}"/>
            </a:ext>
          </a:extLst>
        </xdr:cNvPr>
        <xdr:cNvGrpSpPr/>
      </xdr:nvGrpSpPr>
      <xdr:grpSpPr>
        <a:xfrm>
          <a:off x="9346873" y="0"/>
          <a:ext cx="1538690" cy="114300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F049D3E9-8F3E-466D-9BA4-45463BF2D530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51A4C33-6676-4E0C-9D45-1F47BCD5FF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8FD1338F-A333-4D18-8AD5-B4AD8BF41FD6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6</xdr:col>
      <xdr:colOff>1257300</xdr:colOff>
      <xdr:row>16</xdr:row>
      <xdr:rowOff>133350</xdr:rowOff>
    </xdr:from>
    <xdr:to>
      <xdr:col>14</xdr:col>
      <xdr:colOff>781050</xdr:colOff>
      <xdr:row>54</xdr:row>
      <xdr:rowOff>332272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57150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364283</xdr:colOff>
      <xdr:row>8</xdr:row>
      <xdr:rowOff>152400</xdr:rowOff>
    </xdr:from>
    <xdr:to>
      <xdr:col>13</xdr:col>
      <xdr:colOff>1983533</xdr:colOff>
      <xdr:row>15</xdr:row>
      <xdr:rowOff>228600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E306E1E2-5C11-409C-87FD-9DE22D9EBBFA}"/>
            </a:ext>
          </a:extLst>
        </xdr:cNvPr>
        <xdr:cNvSpPr txBox="1"/>
      </xdr:nvSpPr>
      <xdr:spPr>
        <a:xfrm>
          <a:off x="12194333" y="28384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COMPRAS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1390650</xdr:colOff>
      <xdr:row>25</xdr:row>
      <xdr:rowOff>166913</xdr:rowOff>
    </xdr:from>
    <xdr:to>
      <xdr:col>4</xdr:col>
      <xdr:colOff>4862414</xdr:colOff>
      <xdr:row>35</xdr:row>
      <xdr:rowOff>131171</xdr:rowOff>
    </xdr:to>
    <xdr:pic>
      <xdr:nvPicPr>
        <xdr:cNvPr id="48" name="Imagem 17">
          <a:extLst>
            <a:ext uri="{FF2B5EF4-FFF2-40B4-BE49-F238E27FC236}">
              <a16:creationId xmlns:a16="http://schemas.microsoft.com/office/drawing/2014/main" id="{EFD6EF70-06A1-4F62-9FF2-FE300449B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29050" y="9006113"/>
          <a:ext cx="3471764" cy="3583758"/>
        </a:xfrm>
        <a:prstGeom prst="rect">
          <a:avLst/>
        </a:prstGeom>
        <a:noFill/>
      </xdr:spPr>
    </xdr:pic>
    <xdr:clientData/>
  </xdr:twoCellAnchor>
  <xdr:twoCellAnchor>
    <xdr:from>
      <xdr:col>15</xdr:col>
      <xdr:colOff>2038350</xdr:colOff>
      <xdr:row>25</xdr:row>
      <xdr:rowOff>166913</xdr:rowOff>
    </xdr:from>
    <xdr:to>
      <xdr:col>16</xdr:col>
      <xdr:colOff>480914</xdr:colOff>
      <xdr:row>35</xdr:row>
      <xdr:rowOff>131171</xdr:rowOff>
    </xdr:to>
    <xdr:pic>
      <xdr:nvPicPr>
        <xdr:cNvPr id="49" name="Imagem 17">
          <a:extLst>
            <a:ext uri="{FF2B5EF4-FFF2-40B4-BE49-F238E27FC236}">
              <a16:creationId xmlns:a16="http://schemas.microsoft.com/office/drawing/2014/main" id="{9D64A85B-6C72-4FE6-826F-7BC1886C1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975050" y="9006113"/>
          <a:ext cx="3471764" cy="3583758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6933BC8-9D86-4A01-B9FF-EEB70722783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43000"/>
          <a:chOff x="1993654" y="0"/>
          <a:chExt cx="1022595" cy="781538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DB984EF2-904C-4DB4-B8F5-6232F212C16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Imagem 5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A04148C-D5AE-4E2F-B060-F281278DB8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01F3A05-C101-4773-92DA-18CF7AED6C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3517573</xdr:colOff>
      <xdr:row>0</xdr:row>
      <xdr:rowOff>0</xdr:rowOff>
    </xdr:from>
    <xdr:to>
      <xdr:col>5</xdr:col>
      <xdr:colOff>155650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4B6882F8-5963-4CDF-9FFD-F2ADF6355A29}"/>
            </a:ext>
          </a:extLst>
        </xdr:cNvPr>
        <xdr:cNvGrpSpPr/>
      </xdr:nvGrpSpPr>
      <xdr:grpSpPr>
        <a:xfrm>
          <a:off x="5898823" y="0"/>
          <a:ext cx="1448202" cy="1143000"/>
          <a:chOff x="5936923" y="0"/>
          <a:chExt cx="1591077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B8428429-AB1F-4F5B-9C27-9B6CAF6CBD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D669853E-8576-49C4-85B8-A76E2AE234E6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9FCBB57-4369-4B42-8C15-60795AD728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1392254</xdr:colOff>
      <xdr:row>0</xdr:row>
      <xdr:rowOff>0</xdr:rowOff>
    </xdr:from>
    <xdr:to>
      <xdr:col>9</xdr:col>
      <xdr:colOff>1421248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61311DF6-EAA2-45D6-BDC1-93A24F41EB46}"/>
            </a:ext>
          </a:extLst>
        </xdr:cNvPr>
        <xdr:cNvGrpSpPr/>
      </xdr:nvGrpSpPr>
      <xdr:grpSpPr>
        <a:xfrm>
          <a:off x="12893692" y="0"/>
          <a:ext cx="1552994" cy="1143000"/>
          <a:chOff x="13203254" y="0"/>
          <a:chExt cx="1591094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486286AE-BE8F-4901-9283-27BCDC96690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FC6168A2-1557-4D08-A99C-1C64664A550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9B95A82C-054E-446A-B7CE-4E31BD260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1554791</xdr:colOff>
      <xdr:row>0</xdr:row>
      <xdr:rowOff>0</xdr:rowOff>
    </xdr:from>
    <xdr:to>
      <xdr:col>11</xdr:col>
      <xdr:colOff>1147377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F2D67ABE-7FCA-4502-9115-572CE4C8DB18}"/>
            </a:ext>
          </a:extLst>
        </xdr:cNvPr>
        <xdr:cNvGrpSpPr/>
      </xdr:nvGrpSpPr>
      <xdr:grpSpPr>
        <a:xfrm>
          <a:off x="16437604" y="0"/>
          <a:ext cx="1569023" cy="1143000"/>
          <a:chOff x="16832891" y="0"/>
          <a:chExt cx="1611886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5C82A69-7AFB-4FA2-A995-F49064583A96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7A434A2C-1B0B-4578-B6E1-5F6665731C5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CDD533F-C42C-41AE-B6BD-032783828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176020</xdr:colOff>
      <xdr:row>0</xdr:row>
      <xdr:rowOff>0</xdr:rowOff>
    </xdr:from>
    <xdr:to>
      <xdr:col>13</xdr:col>
      <xdr:colOff>454080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D5EB8CF1-7C39-463A-BBE4-77AF7B70D575}"/>
            </a:ext>
          </a:extLst>
        </xdr:cNvPr>
        <xdr:cNvGrpSpPr/>
      </xdr:nvGrpSpPr>
      <xdr:grpSpPr>
        <a:xfrm>
          <a:off x="19940395" y="0"/>
          <a:ext cx="1563935" cy="1143000"/>
          <a:chOff x="20483320" y="0"/>
          <a:chExt cx="1592510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3D1F6ABA-38B1-4B19-BD77-8FAFE4BCE36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A2C9C57D-8879-45E0-AB91-6445FDB2DDC1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C2CF1C-68EF-46EA-85E1-43A00E998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2492623</xdr:colOff>
      <xdr:row>0</xdr:row>
      <xdr:rowOff>0</xdr:rowOff>
    </xdr:from>
    <xdr:to>
      <xdr:col>14</xdr:col>
      <xdr:colOff>805684</xdr:colOff>
      <xdr:row>3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CB0FB63-FC64-4223-A28D-8AB5320C1981}"/>
            </a:ext>
          </a:extLst>
        </xdr:cNvPr>
        <xdr:cNvGrpSpPr/>
      </xdr:nvGrpSpPr>
      <xdr:grpSpPr>
        <a:xfrm>
          <a:off x="23542873" y="0"/>
          <a:ext cx="1503936" cy="1143000"/>
          <a:chOff x="24133423" y="0"/>
          <a:chExt cx="1589661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97B1F924-B192-436B-A1A4-6D6786F96D59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87CC6424-783A-448A-93A9-42D7ABDFD838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63E88D2B-A65F-4E82-840D-68F061FBEB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824928</xdr:colOff>
      <xdr:row>0</xdr:row>
      <xdr:rowOff>0</xdr:rowOff>
    </xdr:from>
    <xdr:to>
      <xdr:col>15</xdr:col>
      <xdr:colOff>2423097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5A52DF20-5372-482D-84A9-C2B509F31F6E}"/>
            </a:ext>
          </a:extLst>
        </xdr:cNvPr>
        <xdr:cNvGrpSpPr/>
      </xdr:nvGrpSpPr>
      <xdr:grpSpPr>
        <a:xfrm>
          <a:off x="27018678" y="0"/>
          <a:ext cx="1598169" cy="1143000"/>
          <a:chOff x="27761628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FD301723-683F-4E97-90B0-FEE7A73A7910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70A8CAF6-CB80-42D2-AE6B-F2982DFCC9AD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7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E65B5E1D-81FA-41AC-B126-29CBADE64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4461639</xdr:colOff>
      <xdr:row>0</xdr:row>
      <xdr:rowOff>0</xdr:rowOff>
    </xdr:from>
    <xdr:to>
      <xdr:col>16</xdr:col>
      <xdr:colOff>1030608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BF99E555-87BB-42A9-B2B6-8974765609BA}"/>
            </a:ext>
          </a:extLst>
        </xdr:cNvPr>
        <xdr:cNvGrpSpPr/>
      </xdr:nvGrpSpPr>
      <xdr:grpSpPr>
        <a:xfrm>
          <a:off x="30655389" y="0"/>
          <a:ext cx="1474344" cy="1143000"/>
          <a:chOff x="31379289" y="0"/>
          <a:chExt cx="1598169" cy="1162050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8E37DED5-ADE2-4825-9C7E-0D3CE8DB139C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18928EB7-F335-46FC-A5D5-2193AB484ABA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1" name="Imagem 80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DEE2FAEE-B186-4D4C-9887-9BBB959AA0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602923</xdr:colOff>
      <xdr:row>0</xdr:row>
      <xdr:rowOff>0</xdr:rowOff>
    </xdr:from>
    <xdr:to>
      <xdr:col>7</xdr:col>
      <xdr:colOff>403300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078424CF-1BFF-48BE-9653-F94DE6B2424D}"/>
            </a:ext>
          </a:extLst>
        </xdr:cNvPr>
        <xdr:cNvGrpSpPr/>
      </xdr:nvGrpSpPr>
      <xdr:grpSpPr>
        <a:xfrm>
          <a:off x="9342111" y="0"/>
          <a:ext cx="1538689" cy="1143000"/>
          <a:chOff x="9575473" y="0"/>
          <a:chExt cx="1591077" cy="1162050"/>
        </a:xfrm>
      </xdr:grpSpPr>
      <xdr:sp macro="" textlink="">
        <xdr:nvSpPr>
          <xdr:cNvPr id="83" name="Retângulo 82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E5719A7C-10F6-4A81-94A7-34803B29FA0E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4" name="Imagem 83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E3AC590A-B8BE-4F31-B9F3-E0B737E093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88EAF25-2574-4355-8B97-7676B5AA4FF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0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83" name="Agrupar 82">
          <a:extLst>
            <a:ext uri="{FF2B5EF4-FFF2-40B4-BE49-F238E27FC236}">
              <a16:creationId xmlns:a16="http://schemas.microsoft.com/office/drawing/2014/main" id="{F1B4F91E-8E4F-4482-A2BB-D0718FACCEA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43000"/>
          <a:chOff x="1993654" y="0"/>
          <a:chExt cx="1022595" cy="781538"/>
        </a:xfrm>
      </xdr:grpSpPr>
      <xdr:sp macro="" textlink="">
        <xdr:nvSpPr>
          <xdr:cNvPr id="84" name="Retângulo 83">
            <a:extLst>
              <a:ext uri="{FF2B5EF4-FFF2-40B4-BE49-F238E27FC236}">
                <a16:creationId xmlns:a16="http://schemas.microsoft.com/office/drawing/2014/main" id="{1A747821-6430-42DC-BDCC-29CD490FD18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5" name="Imagem 8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0318A-8677-4BE4-B43B-7B235BA6D2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7EFFBFB9-5773-4DAA-B922-032782324A2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3517573</xdr:colOff>
      <xdr:row>0</xdr:row>
      <xdr:rowOff>0</xdr:rowOff>
    </xdr:from>
    <xdr:to>
      <xdr:col>5</xdr:col>
      <xdr:colOff>155650</xdr:colOff>
      <xdr:row>3</xdr:row>
      <xdr:rowOff>0</xdr:rowOff>
    </xdr:to>
    <xdr:grpSp>
      <xdr:nvGrpSpPr>
        <xdr:cNvPr id="87" name="Agrupar 86">
          <a:extLst>
            <a:ext uri="{FF2B5EF4-FFF2-40B4-BE49-F238E27FC236}">
              <a16:creationId xmlns:a16="http://schemas.microsoft.com/office/drawing/2014/main" id="{941A06ED-8FBA-4F3F-97C3-751379C2A64B}"/>
            </a:ext>
          </a:extLst>
        </xdr:cNvPr>
        <xdr:cNvGrpSpPr/>
      </xdr:nvGrpSpPr>
      <xdr:grpSpPr>
        <a:xfrm>
          <a:off x="5898823" y="0"/>
          <a:ext cx="1448202" cy="1143000"/>
          <a:chOff x="5936923" y="0"/>
          <a:chExt cx="1591077" cy="1162050"/>
        </a:xfrm>
      </xdr:grpSpPr>
      <xdr:sp macro="" textlink="">
        <xdr:nvSpPr>
          <xdr:cNvPr id="88" name="Retângulo 87">
            <a:extLst>
              <a:ext uri="{FF2B5EF4-FFF2-40B4-BE49-F238E27FC236}">
                <a16:creationId xmlns:a16="http://schemas.microsoft.com/office/drawing/2014/main" id="{44A73598-8C22-48BE-B3B5-F9D68FCDAA2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E38FC97A-7EF0-4833-B60C-71114F3E3CE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88C440-3EC6-475B-AA21-3BF72D01F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1392254</xdr:colOff>
      <xdr:row>0</xdr:row>
      <xdr:rowOff>0</xdr:rowOff>
    </xdr:from>
    <xdr:to>
      <xdr:col>9</xdr:col>
      <xdr:colOff>1421248</xdr:colOff>
      <xdr:row>3</xdr:row>
      <xdr:rowOff>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DC41A7EF-F1CB-49D2-BBA1-562AC871261A}"/>
            </a:ext>
          </a:extLst>
        </xdr:cNvPr>
        <xdr:cNvGrpSpPr/>
      </xdr:nvGrpSpPr>
      <xdr:grpSpPr>
        <a:xfrm>
          <a:off x="12893692" y="0"/>
          <a:ext cx="1552994" cy="1143000"/>
          <a:chOff x="13203254" y="0"/>
          <a:chExt cx="1591094" cy="1162050"/>
        </a:xfrm>
      </xdr:grpSpPr>
      <xdr:sp macro="" textlink="">
        <xdr:nvSpPr>
          <xdr:cNvPr id="92" name="Retângulo 91">
            <a:extLst>
              <a:ext uri="{FF2B5EF4-FFF2-40B4-BE49-F238E27FC236}">
                <a16:creationId xmlns:a16="http://schemas.microsoft.com/office/drawing/2014/main" id="{863C16E2-2BAA-4261-A689-CF1F0761E2DA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558601F5-990B-4EEB-B984-124658A89E4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9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070BBC3-E494-4D3D-AA95-332B49997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1554791</xdr:colOff>
      <xdr:row>0</xdr:row>
      <xdr:rowOff>0</xdr:rowOff>
    </xdr:from>
    <xdr:to>
      <xdr:col>11</xdr:col>
      <xdr:colOff>1147377</xdr:colOff>
      <xdr:row>3</xdr:row>
      <xdr:rowOff>0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46599920-1B2B-4B71-A62C-88E9A6C72CEE}"/>
            </a:ext>
          </a:extLst>
        </xdr:cNvPr>
        <xdr:cNvGrpSpPr/>
      </xdr:nvGrpSpPr>
      <xdr:grpSpPr>
        <a:xfrm>
          <a:off x="16437604" y="0"/>
          <a:ext cx="1569023" cy="1143000"/>
          <a:chOff x="16832891" y="0"/>
          <a:chExt cx="1611886" cy="1162050"/>
        </a:xfrm>
      </xdr:grpSpPr>
      <xdr:sp macro="" textlink="">
        <xdr:nvSpPr>
          <xdr:cNvPr id="96" name="Retângulo 95">
            <a:extLst>
              <a:ext uri="{FF2B5EF4-FFF2-40B4-BE49-F238E27FC236}">
                <a16:creationId xmlns:a16="http://schemas.microsoft.com/office/drawing/2014/main" id="{74A064F9-B87B-4FE1-9A51-193030F4D3DF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129FDB46-1A52-4DFE-AFCC-77A97FADB73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9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2A53070-6FAF-4638-A5E4-1885E026D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195070</xdr:colOff>
      <xdr:row>0</xdr:row>
      <xdr:rowOff>0</xdr:rowOff>
    </xdr:from>
    <xdr:to>
      <xdr:col>13</xdr:col>
      <xdr:colOff>454080</xdr:colOff>
      <xdr:row>3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D45D2DBE-B44D-4493-AB08-D221FEB92D61}"/>
            </a:ext>
          </a:extLst>
        </xdr:cNvPr>
        <xdr:cNvGrpSpPr/>
      </xdr:nvGrpSpPr>
      <xdr:grpSpPr>
        <a:xfrm>
          <a:off x="19959445" y="0"/>
          <a:ext cx="1544885" cy="1143000"/>
          <a:chOff x="20483320" y="0"/>
          <a:chExt cx="1592510" cy="1162050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29C801B5-1B42-4BA7-9D14-5FC33B9A32D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BFFE37B2-0DC3-45B6-AEB6-D06596BFA6A1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0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D8FE6CA-CCBC-49E2-A7BC-7B687F3FC6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2492623</xdr:colOff>
      <xdr:row>0</xdr:row>
      <xdr:rowOff>0</xdr:rowOff>
    </xdr:from>
    <xdr:to>
      <xdr:col>14</xdr:col>
      <xdr:colOff>805684</xdr:colOff>
      <xdr:row>3</xdr:row>
      <xdr:rowOff>0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9DB57863-1669-479B-AC51-F24C4E1DCF16}"/>
            </a:ext>
          </a:extLst>
        </xdr:cNvPr>
        <xdr:cNvGrpSpPr/>
      </xdr:nvGrpSpPr>
      <xdr:grpSpPr>
        <a:xfrm>
          <a:off x="23542873" y="0"/>
          <a:ext cx="1503936" cy="1143000"/>
          <a:chOff x="24133423" y="0"/>
          <a:chExt cx="1589661" cy="1162050"/>
        </a:xfrm>
      </xdr:grpSpPr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38B15255-0540-4A6C-8E5B-4F66BCEF057E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F83017EB-06ED-47F9-A466-3CC281C19F0E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0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7A135623-9740-4741-9935-A33EF273F0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824928</xdr:colOff>
      <xdr:row>0</xdr:row>
      <xdr:rowOff>0</xdr:rowOff>
    </xdr:from>
    <xdr:to>
      <xdr:col>15</xdr:col>
      <xdr:colOff>2423097</xdr:colOff>
      <xdr:row>3</xdr:row>
      <xdr:rowOff>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39E78B5B-912C-40F6-BAF6-674117081BE4}"/>
            </a:ext>
          </a:extLst>
        </xdr:cNvPr>
        <xdr:cNvGrpSpPr/>
      </xdr:nvGrpSpPr>
      <xdr:grpSpPr>
        <a:xfrm>
          <a:off x="27018678" y="0"/>
          <a:ext cx="1598169" cy="1143000"/>
          <a:chOff x="27761628" y="0"/>
          <a:chExt cx="1598169" cy="1162050"/>
        </a:xfrm>
      </xdr:grpSpPr>
      <xdr:sp macro="" textlink="">
        <xdr:nvSpPr>
          <xdr:cNvPr id="108" name="Retângulo 107">
            <a:extLst>
              <a:ext uri="{FF2B5EF4-FFF2-40B4-BE49-F238E27FC236}">
                <a16:creationId xmlns:a16="http://schemas.microsoft.com/office/drawing/2014/main" id="{2480A4F1-0CB6-46B1-A152-54E1A70244B4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B3D231BD-A933-4165-BD2D-EB71EA3DB4C9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1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62C4129C-A3A4-45D9-A848-4D0569C7A5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4461639</xdr:colOff>
      <xdr:row>0</xdr:row>
      <xdr:rowOff>0</xdr:rowOff>
    </xdr:from>
    <xdr:to>
      <xdr:col>16</xdr:col>
      <xdr:colOff>1030608</xdr:colOff>
      <xdr:row>3</xdr:row>
      <xdr:rowOff>0</xdr:rowOff>
    </xdr:to>
    <xdr:grpSp>
      <xdr:nvGrpSpPr>
        <xdr:cNvPr id="111" name="Agrupar 110">
          <a:extLst>
            <a:ext uri="{FF2B5EF4-FFF2-40B4-BE49-F238E27FC236}">
              <a16:creationId xmlns:a16="http://schemas.microsoft.com/office/drawing/2014/main" id="{A01EFFD2-8702-4D3A-A64F-566AC0FA8DBF}"/>
            </a:ext>
          </a:extLst>
        </xdr:cNvPr>
        <xdr:cNvGrpSpPr/>
      </xdr:nvGrpSpPr>
      <xdr:grpSpPr>
        <a:xfrm>
          <a:off x="30655389" y="0"/>
          <a:ext cx="1474344" cy="1143000"/>
          <a:chOff x="31379289" y="0"/>
          <a:chExt cx="1598169" cy="1162050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3E27EF0A-EC53-47BB-B4DC-11AA1D62DBD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CaixaDeTexto 112">
            <a:extLst>
              <a:ext uri="{FF2B5EF4-FFF2-40B4-BE49-F238E27FC236}">
                <a16:creationId xmlns:a16="http://schemas.microsoft.com/office/drawing/2014/main" id="{175A4A4B-1CCD-4608-BD01-3133EDF2BD90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14" name="Imagem 11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B2D056A-AF9E-400F-90E4-35380AFA9C7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602923</xdr:colOff>
      <xdr:row>0</xdr:row>
      <xdr:rowOff>0</xdr:rowOff>
    </xdr:from>
    <xdr:to>
      <xdr:col>7</xdr:col>
      <xdr:colOff>403300</xdr:colOff>
      <xdr:row>3</xdr:row>
      <xdr:rowOff>0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668E46B4-5714-4CA7-A5B1-FE1B3B7583AB}"/>
            </a:ext>
          </a:extLst>
        </xdr:cNvPr>
        <xdr:cNvGrpSpPr/>
      </xdr:nvGrpSpPr>
      <xdr:grpSpPr>
        <a:xfrm>
          <a:off x="9342111" y="0"/>
          <a:ext cx="1538689" cy="1143000"/>
          <a:chOff x="9575473" y="0"/>
          <a:chExt cx="1591077" cy="1162050"/>
        </a:xfrm>
      </xdr:grpSpPr>
      <xdr:sp macro="" textlink="">
        <xdr:nvSpPr>
          <xdr:cNvPr id="116" name="Retângulo 11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4F7805BB-93C1-44EC-B8CC-BD11D4B1FEF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7" name="Imagem 11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069930F-C6B4-450B-A668-3BE17DE1F6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118" name="CaixaDeTexto 117">
            <a:extLst>
              <a:ext uri="{FF2B5EF4-FFF2-40B4-BE49-F238E27FC236}">
                <a16:creationId xmlns:a16="http://schemas.microsoft.com/office/drawing/2014/main" id="{040C0BAA-B09E-493D-AC67-2CF17749FFE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0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0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0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0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0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0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3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3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3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3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590550</xdr:colOff>
      <xdr:row>0</xdr:row>
      <xdr:rowOff>0</xdr:rowOff>
    </xdr:from>
    <xdr:to>
      <xdr:col>4</xdr:col>
      <xdr:colOff>1440930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66C77643-2499-4597-A7BB-AB870496D4F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76488" y="0"/>
          <a:ext cx="1445692" cy="1143000"/>
          <a:chOff x="1993654" y="0"/>
          <a:chExt cx="1022595" cy="781538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DF4AA351-2B37-484D-90FC-C90C02B5848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8" name="Imagem 5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FAD42D1-E3B8-42D8-AA32-7188DE9A1C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10F51493-FBC8-4FB9-81E2-58796DCA579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3479473</xdr:colOff>
      <xdr:row>0</xdr:row>
      <xdr:rowOff>0</xdr:rowOff>
    </xdr:from>
    <xdr:to>
      <xdr:col>5</xdr:col>
      <xdr:colOff>117550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6B447141-EE25-4C58-AAFA-F5CA16CC893B}"/>
            </a:ext>
          </a:extLst>
        </xdr:cNvPr>
        <xdr:cNvGrpSpPr/>
      </xdr:nvGrpSpPr>
      <xdr:grpSpPr>
        <a:xfrm>
          <a:off x="5860723" y="0"/>
          <a:ext cx="1448202" cy="1143000"/>
          <a:chOff x="5936923" y="0"/>
          <a:chExt cx="1591077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89ECD97F-B1FD-43F7-B271-5930C48FABA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F102AFA5-C444-470C-B7D8-89E6B457C09B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3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450A251-EC68-4F74-9470-670606445A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2401904</xdr:colOff>
      <xdr:row>0</xdr:row>
      <xdr:rowOff>0</xdr:rowOff>
    </xdr:from>
    <xdr:to>
      <xdr:col>8</xdr:col>
      <xdr:colOff>525898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F7E5A88C-D6A0-4241-9B34-62454CC4273E}"/>
            </a:ext>
          </a:extLst>
        </xdr:cNvPr>
        <xdr:cNvGrpSpPr/>
      </xdr:nvGrpSpPr>
      <xdr:grpSpPr>
        <a:xfrm>
          <a:off x="12879404" y="0"/>
          <a:ext cx="1505369" cy="1143000"/>
          <a:chOff x="13203254" y="0"/>
          <a:chExt cx="1591094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2CF452C2-89D8-4BD4-9F36-D93F2305ADD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37254781-B8D6-4445-BB0D-9C2B9A537BFC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0EB894F-8F68-4521-A20A-D5BEC293B5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2564441</xdr:colOff>
      <xdr:row>0</xdr:row>
      <xdr:rowOff>0</xdr:rowOff>
    </xdr:from>
    <xdr:to>
      <xdr:col>9</xdr:col>
      <xdr:colOff>1528377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9774F342-EA81-4C5E-9908-9CF3D07B4960}"/>
            </a:ext>
          </a:extLst>
        </xdr:cNvPr>
        <xdr:cNvGrpSpPr/>
      </xdr:nvGrpSpPr>
      <xdr:grpSpPr>
        <a:xfrm>
          <a:off x="16423316" y="0"/>
          <a:ext cx="1535686" cy="1143000"/>
          <a:chOff x="16832891" y="0"/>
          <a:chExt cx="1611886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3191E853-F204-4035-8CEF-E6C170958F38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1AF2EF15-ACE8-463F-BD1D-1C175BAC7BF1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1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ECE0532-AF34-446C-883F-DA6248573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3566920</xdr:colOff>
      <xdr:row>0</xdr:row>
      <xdr:rowOff>0</xdr:rowOff>
    </xdr:from>
    <xdr:to>
      <xdr:col>10</xdr:col>
      <xdr:colOff>320730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91312367-9B96-4FB2-A825-38AE3A15196B}"/>
            </a:ext>
          </a:extLst>
        </xdr:cNvPr>
        <xdr:cNvGrpSpPr/>
      </xdr:nvGrpSpPr>
      <xdr:grpSpPr>
        <a:xfrm>
          <a:off x="19997545" y="0"/>
          <a:ext cx="1468685" cy="1143000"/>
          <a:chOff x="20483320" y="0"/>
          <a:chExt cx="1592510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C14071D3-18AA-4F07-B893-0EAB28637A5A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6107D0AD-4312-4123-A45A-168EB206620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D3F595D0-F0C3-4E79-BC7F-396F6612B4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397123</xdr:colOff>
      <xdr:row>0</xdr:row>
      <xdr:rowOff>0</xdr:rowOff>
    </xdr:from>
    <xdr:to>
      <xdr:col>11</xdr:col>
      <xdr:colOff>1986784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FAC5296-1A88-46FE-8849-2ABC48787D09}"/>
            </a:ext>
          </a:extLst>
        </xdr:cNvPr>
        <xdr:cNvGrpSpPr/>
      </xdr:nvGrpSpPr>
      <xdr:grpSpPr>
        <a:xfrm>
          <a:off x="23447623" y="0"/>
          <a:ext cx="1589661" cy="1143000"/>
          <a:chOff x="24133423" y="0"/>
          <a:chExt cx="1589661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0D003692-0C4D-4ED3-8F65-301A02BA7EB0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C12E9963-EEAC-45BC-B4B9-64ED07DA6BA8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5C1EFA7-2704-4540-B9F8-B76BD805AF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4025328</xdr:colOff>
      <xdr:row>0</xdr:row>
      <xdr:rowOff>0</xdr:rowOff>
    </xdr:from>
    <xdr:to>
      <xdr:col>12</xdr:col>
      <xdr:colOff>1280097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075A29F9-8E11-4485-997C-1EAE76B46ADC}"/>
            </a:ext>
          </a:extLst>
        </xdr:cNvPr>
        <xdr:cNvGrpSpPr/>
      </xdr:nvGrpSpPr>
      <xdr:grpSpPr>
        <a:xfrm>
          <a:off x="27075828" y="0"/>
          <a:ext cx="1493394" cy="1143000"/>
          <a:chOff x="27761628" y="0"/>
          <a:chExt cx="1598169" cy="1162050"/>
        </a:xfrm>
      </xdr:grpSpPr>
      <xdr:sp macro="" textlink="">
        <xdr:nvSpPr>
          <xdr:cNvPr id="81" name="Retângulo 80">
            <a:extLst>
              <a:ext uri="{FF2B5EF4-FFF2-40B4-BE49-F238E27FC236}">
                <a16:creationId xmlns:a16="http://schemas.microsoft.com/office/drawing/2014/main" id="{0DC08612-A0F2-4C3D-805F-59F85012B405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629F9ABF-7D95-449D-83D7-AD6A80D01902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EA4F1C73-AC9A-4A07-A7B4-7EB26461FF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956439</xdr:colOff>
      <xdr:row>0</xdr:row>
      <xdr:rowOff>0</xdr:rowOff>
    </xdr:from>
    <xdr:to>
      <xdr:col>14</xdr:col>
      <xdr:colOff>592458</xdr:colOff>
      <xdr:row>3</xdr:row>
      <xdr:rowOff>0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B7B7AD48-15DB-4C81-95DA-63EEF34441DE}"/>
            </a:ext>
          </a:extLst>
        </xdr:cNvPr>
        <xdr:cNvGrpSpPr/>
      </xdr:nvGrpSpPr>
      <xdr:grpSpPr>
        <a:xfrm>
          <a:off x="30531564" y="0"/>
          <a:ext cx="1541019" cy="1143000"/>
          <a:chOff x="31379289" y="0"/>
          <a:chExt cx="1598169" cy="1162050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A11C4AAE-DD62-4B53-885C-B7E464BA9949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9DC11386-E651-4A8A-9ED9-617B1F869D1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7" name="Imagem 86" descr="Ícone do banco de dados (símbolo png) pret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AD08F627-4DAE-4E21-ABAE-006067832D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564823</xdr:colOff>
      <xdr:row>0</xdr:row>
      <xdr:rowOff>0</xdr:rowOff>
    </xdr:from>
    <xdr:to>
      <xdr:col>7</xdr:col>
      <xdr:colOff>365200</xdr:colOff>
      <xdr:row>3</xdr:row>
      <xdr:rowOff>0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F5D173C3-A207-4CBF-A2F6-ABD1FA903B3F}"/>
            </a:ext>
          </a:extLst>
        </xdr:cNvPr>
        <xdr:cNvGrpSpPr/>
      </xdr:nvGrpSpPr>
      <xdr:grpSpPr>
        <a:xfrm>
          <a:off x="9304011" y="0"/>
          <a:ext cx="1538689" cy="1143000"/>
          <a:chOff x="9575473" y="0"/>
          <a:chExt cx="1591077" cy="1162050"/>
        </a:xfrm>
      </xdr:grpSpPr>
      <xdr:sp macro="" textlink="">
        <xdr:nvSpPr>
          <xdr:cNvPr id="89" name="Retângulo 88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71383DB4-EBD0-4B8F-A162-C824F5FC48F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0" name="Imagem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B3444FB3-98A4-46A6-9721-B7E8C79A8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CE3AB56A-C6E2-4E01-B6B1-E62BE7BCDE2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0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4E273BFA-6ED3-47CD-BB73-C1A786C65AA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7C873CC-1040-42F0-ABD0-DC4E71E8254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0" name="Imagem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31870F6-5C19-4107-BC77-DC1ECDB300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32AE5CF8-DFB8-4880-8E0A-1DD1481F8E4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E9004E00-9985-495D-8F8C-C90553BE51C5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FC3F30E2-5C01-448E-A0C2-E5551C9AA05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1FC94DD-5B1F-4494-8B1E-2C809EC4DF0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5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FF92326-8D5E-47EA-9924-484D840E3B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9</xdr:col>
      <xdr:colOff>1402198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D7E1178F-1ACD-4699-9174-BBC9A0DE1B25}"/>
            </a:ext>
          </a:extLst>
        </xdr:cNvPr>
        <xdr:cNvGrpSpPr/>
      </xdr:nvGrpSpPr>
      <xdr:grpSpPr>
        <a:xfrm>
          <a:off x="12874642" y="0"/>
          <a:ext cx="1552994" cy="1143000"/>
          <a:chOff x="13203254" y="0"/>
          <a:chExt cx="1591094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5B7B9DC8-99C6-4209-ACA2-16A28AC43CE8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495C455C-E751-4E77-8E89-957E47C0BAC3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F90E64C-3D06-4ECF-9D09-BA918B994C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1535741</xdr:colOff>
      <xdr:row>0</xdr:row>
      <xdr:rowOff>0</xdr:rowOff>
    </xdr:from>
    <xdr:to>
      <xdr:col>11</xdr:col>
      <xdr:colOff>1128327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52EC198E-530C-46FA-92C4-49C2042E2A8D}"/>
            </a:ext>
          </a:extLst>
        </xdr:cNvPr>
        <xdr:cNvGrpSpPr/>
      </xdr:nvGrpSpPr>
      <xdr:grpSpPr>
        <a:xfrm>
          <a:off x="16418554" y="0"/>
          <a:ext cx="1569023" cy="1143000"/>
          <a:chOff x="16832891" y="0"/>
          <a:chExt cx="1611886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777AD8EF-71BF-4C0D-8782-9B5055AEE008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67B6EDFC-988C-4520-B288-01609CEA71D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7A5980DE-3672-4C35-A14A-40E7AF4745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385570</xdr:colOff>
      <xdr:row>0</xdr:row>
      <xdr:rowOff>0</xdr:rowOff>
    </xdr:from>
    <xdr:to>
      <xdr:col>13</xdr:col>
      <xdr:colOff>644580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5A7FB078-7FAF-4ECD-81E6-DFDF722FD5DE}"/>
            </a:ext>
          </a:extLst>
        </xdr:cNvPr>
        <xdr:cNvGrpSpPr/>
      </xdr:nvGrpSpPr>
      <xdr:grpSpPr>
        <a:xfrm>
          <a:off x="19935633" y="0"/>
          <a:ext cx="1544885" cy="1143000"/>
          <a:chOff x="20483320" y="0"/>
          <a:chExt cx="1592510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F2DC77FF-B5B8-45C1-A4EC-83B0673FB30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8553AC05-CDBA-4794-8F24-427CEBC2B12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1F0718-3207-4D50-9B35-9CE56692FF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2683123</xdr:colOff>
      <xdr:row>0</xdr:row>
      <xdr:rowOff>0</xdr:rowOff>
    </xdr:from>
    <xdr:to>
      <xdr:col>14</xdr:col>
      <xdr:colOff>996184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4E15A8E4-8467-4152-96F5-85EE84B4D0C1}"/>
            </a:ext>
          </a:extLst>
        </xdr:cNvPr>
        <xdr:cNvGrpSpPr/>
      </xdr:nvGrpSpPr>
      <xdr:grpSpPr>
        <a:xfrm>
          <a:off x="23519061" y="0"/>
          <a:ext cx="1503936" cy="1143000"/>
          <a:chOff x="24133423" y="0"/>
          <a:chExt cx="1589661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B58A76BE-203D-404A-8C5A-BDACB9CEFEF0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2BFAB41B-20AE-4BFB-BF0F-7BE6D856BD0E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C9604206-0357-4F80-A636-C812FCCA3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1015428</xdr:colOff>
      <xdr:row>0</xdr:row>
      <xdr:rowOff>0</xdr:rowOff>
    </xdr:from>
    <xdr:to>
      <xdr:col>15</xdr:col>
      <xdr:colOff>2613597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2928CF46-58F7-48FA-9E5B-9A6AC8DFB1D5}"/>
            </a:ext>
          </a:extLst>
        </xdr:cNvPr>
        <xdr:cNvGrpSpPr/>
      </xdr:nvGrpSpPr>
      <xdr:grpSpPr>
        <a:xfrm>
          <a:off x="26994866" y="0"/>
          <a:ext cx="1598169" cy="1143000"/>
          <a:chOff x="27761628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13063BA2-DB07-46B1-B9E0-D02A7229E395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7B897552-A252-4BCB-91F9-36B1415B6C1F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5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74DA7A8C-3A22-4861-975C-9CB2BBE815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4652139</xdr:colOff>
      <xdr:row>0</xdr:row>
      <xdr:rowOff>0</xdr:rowOff>
    </xdr:from>
    <xdr:to>
      <xdr:col>17</xdr:col>
      <xdr:colOff>154308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8932F44-6542-4F4E-81C0-B84094732EF2}"/>
            </a:ext>
          </a:extLst>
        </xdr:cNvPr>
        <xdr:cNvGrpSpPr/>
      </xdr:nvGrpSpPr>
      <xdr:grpSpPr>
        <a:xfrm>
          <a:off x="30631577" y="0"/>
          <a:ext cx="1455294" cy="1143000"/>
          <a:chOff x="31379289" y="0"/>
          <a:chExt cx="1598169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C0AAADF7-3F3A-484C-8B5F-545F0B5841F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EE875A6B-5683-4679-A195-5404F0E8BEF0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9" name="Imagem 78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C1B79CF6-C295-4799-A016-D5F6B6241A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B0020F5B-2EE6-4EE0-87D9-5B418F9E21C4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81" name="Retângulo 80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36AF79B4-E656-4FB9-B198-9AAC7FF2AE8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2" name="Imagem 81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C61876F3-C9B8-41D9-AF3A-897AAC991A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5444AEF2-3C9F-4626-887A-EC329252A6B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693D5FDB-22B5-4D57-9C94-FF2FFCE0994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92198002-9D9B-44A3-942C-7725B33A7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7AA0F6D-7149-4E92-A72B-7398F44A8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A8390FDC-0301-47EF-A674-D0184E53F9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83CEA69-DB33-4F52-9421-545E24BC784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BBE9C94-25B4-432D-AE20-6BEC4C22994B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E3616A70-38FB-4FA9-B8A9-2C636697B34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8B15BCA-C763-4C65-ADD6-B8BDC1C1E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9</xdr:col>
      <xdr:colOff>1402198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9EFB3FDF-9DB8-4ED4-B3F1-F6ADD4B80C1A}"/>
            </a:ext>
          </a:extLst>
        </xdr:cNvPr>
        <xdr:cNvGrpSpPr/>
      </xdr:nvGrpSpPr>
      <xdr:grpSpPr>
        <a:xfrm>
          <a:off x="12874642" y="0"/>
          <a:ext cx="1552994" cy="114300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4EB9594A-7C29-4C2E-96A7-56EFF200BCCE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A6A8B82F-019C-41F2-B14A-7FDE20C5242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80CD006-478D-4B29-AF23-DE5574E80F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1535741</xdr:colOff>
      <xdr:row>0</xdr:row>
      <xdr:rowOff>0</xdr:rowOff>
    </xdr:from>
    <xdr:to>
      <xdr:col>11</xdr:col>
      <xdr:colOff>1128327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97928BD2-9AE2-4DFE-9BE3-150C0BA225CE}"/>
            </a:ext>
          </a:extLst>
        </xdr:cNvPr>
        <xdr:cNvGrpSpPr/>
      </xdr:nvGrpSpPr>
      <xdr:grpSpPr>
        <a:xfrm>
          <a:off x="16418554" y="0"/>
          <a:ext cx="1569023" cy="114300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805FAB49-4C53-436D-BBCD-1B69C4CF9EE6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3DA0E77A-F600-4839-B272-E2E0E4AD5B92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A86B11A4-4C43-447C-84EA-3C717C7564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385570</xdr:colOff>
      <xdr:row>0</xdr:row>
      <xdr:rowOff>0</xdr:rowOff>
    </xdr:from>
    <xdr:to>
      <xdr:col>13</xdr:col>
      <xdr:colOff>644580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DC803BC2-7047-4212-B98E-C7C48192D12A}"/>
            </a:ext>
          </a:extLst>
        </xdr:cNvPr>
        <xdr:cNvGrpSpPr/>
      </xdr:nvGrpSpPr>
      <xdr:grpSpPr>
        <a:xfrm>
          <a:off x="19935633" y="0"/>
          <a:ext cx="1544885" cy="114300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5A5C2FA4-693E-4FF2-8CED-2A292DE9C5F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C46C3240-79E2-4B2D-A491-FD42362E5FAB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366D194-B9EF-4BC5-AFCC-41CC44D86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2683123</xdr:colOff>
      <xdr:row>0</xdr:row>
      <xdr:rowOff>0</xdr:rowOff>
    </xdr:from>
    <xdr:to>
      <xdr:col>14</xdr:col>
      <xdr:colOff>996184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D41502F9-5528-44BD-8D47-F486D852523D}"/>
            </a:ext>
          </a:extLst>
        </xdr:cNvPr>
        <xdr:cNvGrpSpPr/>
      </xdr:nvGrpSpPr>
      <xdr:grpSpPr>
        <a:xfrm>
          <a:off x="23519061" y="0"/>
          <a:ext cx="1503936" cy="1143000"/>
          <a:chOff x="2413342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7A86975A-AFC4-447D-A307-7AF86831E8D0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EFB152A4-D572-42B6-B8E6-5D8DC8266F88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D16943B-48C1-4878-A995-76926E548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1015428</xdr:colOff>
      <xdr:row>0</xdr:row>
      <xdr:rowOff>0</xdr:rowOff>
    </xdr:from>
    <xdr:to>
      <xdr:col>15</xdr:col>
      <xdr:colOff>2613597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3E35257-139D-43F7-9D41-205149887384}"/>
            </a:ext>
          </a:extLst>
        </xdr:cNvPr>
        <xdr:cNvGrpSpPr/>
      </xdr:nvGrpSpPr>
      <xdr:grpSpPr>
        <a:xfrm>
          <a:off x="26994866" y="0"/>
          <a:ext cx="1598169" cy="1143000"/>
          <a:chOff x="2776162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D351DBCE-8C90-45E3-B615-1562A16BF010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86C0F83D-5ED6-44C7-ABAA-AE11C28E82A3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629AC75-CF6E-4925-B0A7-F1716B585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4652139</xdr:colOff>
      <xdr:row>0</xdr:row>
      <xdr:rowOff>0</xdr:rowOff>
    </xdr:from>
    <xdr:to>
      <xdr:col>17</xdr:col>
      <xdr:colOff>154308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6B5F13DD-9013-44A1-8FAF-03B1625867C2}"/>
            </a:ext>
          </a:extLst>
        </xdr:cNvPr>
        <xdr:cNvGrpSpPr/>
      </xdr:nvGrpSpPr>
      <xdr:grpSpPr>
        <a:xfrm>
          <a:off x="30631577" y="0"/>
          <a:ext cx="1455294" cy="114300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8C988711-61F4-44EA-8A62-D7ECFDCCE5D2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EAF9A42D-E98E-4F33-AFEC-DEFBA8BBD15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26DE944-B7DF-466B-8A42-FF16EA6E26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8B8A89C-7DC9-47A5-8413-270560B41C75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0D98997-4F1A-4F34-8BB3-180286973DE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6467722-89AA-4AD4-9D8D-6BBE9085AF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D1E1BE81-CF8D-4D7D-89B7-F9D5E476D222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82B78B6A-D2C2-4313-A15F-B0EC6564AA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4300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5CE97B0D-6D79-4EE5-861D-7F1BACFF0DB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386482-C73C-41D1-A843-0FE4001E2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3046167D-328F-4391-85A5-2482AD2CD99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5</xdr:col>
      <xdr:colOff>564823</xdr:colOff>
      <xdr:row>0</xdr:row>
      <xdr:rowOff>0</xdr:rowOff>
    </xdr:from>
    <xdr:to>
      <xdr:col>6</xdr:col>
      <xdr:colOff>1222450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E786AE1-11C7-4640-8B75-55B6AB38C685}"/>
            </a:ext>
          </a:extLst>
        </xdr:cNvPr>
        <xdr:cNvGrpSpPr/>
      </xdr:nvGrpSpPr>
      <xdr:grpSpPr>
        <a:xfrm>
          <a:off x="5803573" y="0"/>
          <a:ext cx="1562502" cy="114300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D5EB6F47-85B8-4DAA-8575-79B4F5004CD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5BFADC23-1AB4-4839-AD84-D3E63549A736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0A46E5C-F26A-47F3-A178-024B4E351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10</xdr:col>
      <xdr:colOff>382604</xdr:colOff>
      <xdr:row>0</xdr:row>
      <xdr:rowOff>0</xdr:rowOff>
    </xdr:from>
    <xdr:to>
      <xdr:col>10</xdr:col>
      <xdr:colOff>1973698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886419B8-56E4-442E-8DB4-F12E0ADF9E37}"/>
            </a:ext>
          </a:extLst>
        </xdr:cNvPr>
        <xdr:cNvGrpSpPr/>
      </xdr:nvGrpSpPr>
      <xdr:grpSpPr>
        <a:xfrm>
          <a:off x="12860354" y="0"/>
          <a:ext cx="1591094" cy="114300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8DD2546D-18B0-495E-88A6-B00668631744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5742EC87-325C-4C45-8E0B-CB5F70207B84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8CDF939-B507-4154-BC25-C1D0BA1021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1059491</xdr:colOff>
      <xdr:row>0</xdr:row>
      <xdr:rowOff>0</xdr:rowOff>
    </xdr:from>
    <xdr:to>
      <xdr:col>11</xdr:col>
      <xdr:colOff>2671377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00E1691-1D61-4494-99C6-BD76D6455707}"/>
            </a:ext>
          </a:extLst>
        </xdr:cNvPr>
        <xdr:cNvGrpSpPr/>
      </xdr:nvGrpSpPr>
      <xdr:grpSpPr>
        <a:xfrm>
          <a:off x="16394741" y="0"/>
          <a:ext cx="1611886" cy="114300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DE06B26B-92E6-4FBA-91E6-D0417407626B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76FEF012-C787-4614-A65D-8CBE41C2E2D6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2DC8E60E-6573-492A-A313-5F86B7E780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595120</xdr:colOff>
      <xdr:row>0</xdr:row>
      <xdr:rowOff>0</xdr:rowOff>
    </xdr:from>
    <xdr:to>
      <xdr:col>13</xdr:col>
      <xdr:colOff>2187630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CDF7D89-D2BA-42B0-977C-6BAAF076C7B2}"/>
            </a:ext>
          </a:extLst>
        </xdr:cNvPr>
        <xdr:cNvGrpSpPr/>
      </xdr:nvGrpSpPr>
      <xdr:grpSpPr>
        <a:xfrm>
          <a:off x="19907058" y="0"/>
          <a:ext cx="1592510" cy="114300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AA483F0C-C7A1-4B8C-A49A-E04B5DDF0717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52A0FD3-6491-4960-9559-A267F921893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5A81A3F9-22E2-498A-A47C-33044D53E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949573</xdr:colOff>
      <xdr:row>0</xdr:row>
      <xdr:rowOff>0</xdr:rowOff>
    </xdr:from>
    <xdr:to>
      <xdr:col>15</xdr:col>
      <xdr:colOff>519934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59A7DF2F-9B6A-44DF-923F-EA83AC20B7FE}"/>
            </a:ext>
          </a:extLst>
        </xdr:cNvPr>
        <xdr:cNvGrpSpPr/>
      </xdr:nvGrpSpPr>
      <xdr:grpSpPr>
        <a:xfrm>
          <a:off x="23452386" y="0"/>
          <a:ext cx="1522986" cy="1143000"/>
          <a:chOff x="2413342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E6B3BA50-AF88-4478-B7E4-21A4735E87E2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8491EC73-D045-4CC7-9200-18EC8FAE0115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2EE3A4B-2FD5-440D-883D-3AB803DEB5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2558478</xdr:colOff>
      <xdr:row>0</xdr:row>
      <xdr:rowOff>0</xdr:rowOff>
    </xdr:from>
    <xdr:to>
      <xdr:col>15</xdr:col>
      <xdr:colOff>4156647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AB8C386F-39C4-4EC9-BF72-5AD2C6CFC151}"/>
            </a:ext>
          </a:extLst>
        </xdr:cNvPr>
        <xdr:cNvGrpSpPr/>
      </xdr:nvGrpSpPr>
      <xdr:grpSpPr>
        <a:xfrm>
          <a:off x="27013916" y="0"/>
          <a:ext cx="1598169" cy="1143000"/>
          <a:chOff x="2776162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C0177AEE-CAA9-4A91-B6C2-7B5114B51840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81672E54-DB55-4163-B842-0970FE56AEB4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DB886245-F29F-475C-B0A8-1456EE196D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99189</xdr:colOff>
      <xdr:row>0</xdr:row>
      <xdr:rowOff>0</xdr:rowOff>
    </xdr:from>
    <xdr:to>
      <xdr:col>19</xdr:col>
      <xdr:colOff>478158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C0564780-F67F-4158-9326-64A944DDD436}"/>
            </a:ext>
          </a:extLst>
        </xdr:cNvPr>
        <xdr:cNvGrpSpPr/>
      </xdr:nvGrpSpPr>
      <xdr:grpSpPr>
        <a:xfrm>
          <a:off x="30507752" y="0"/>
          <a:ext cx="1569594" cy="114300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D37C1097-7C3C-4AAB-A614-B5F05200224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6FBF11BC-3510-48C3-B23A-CE7D287848F2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978CB968-B4ED-4963-A71A-48EC808610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31423</xdr:colOff>
      <xdr:row>0</xdr:row>
      <xdr:rowOff>0</xdr:rowOff>
    </xdr:from>
    <xdr:to>
      <xdr:col>9</xdr:col>
      <xdr:colOff>60400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9AA1A047-D6CC-4592-984E-A920F3EF352C}"/>
            </a:ext>
          </a:extLst>
        </xdr:cNvPr>
        <xdr:cNvGrpSpPr/>
      </xdr:nvGrpSpPr>
      <xdr:grpSpPr>
        <a:xfrm>
          <a:off x="9318298" y="0"/>
          <a:ext cx="1552977" cy="114300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C1C41E2-AFB0-4A27-9FA5-DDA430B69D5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FA14AE1-DF42-4E4D-A35B-C58C7F828C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088589BA-3009-4EF6-90D7-B61539C9F4E6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0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590550</xdr:colOff>
      <xdr:row>0</xdr:row>
      <xdr:rowOff>0</xdr:rowOff>
    </xdr:from>
    <xdr:to>
      <xdr:col>4</xdr:col>
      <xdr:colOff>1440930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248A15F7-8C45-49B4-B227-8F7A28B5F74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76488" y="0"/>
          <a:ext cx="1445692" cy="114300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74BE6B84-561B-4041-9367-6129FCD9652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9B303EB-C64A-4057-812F-81D188B51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6B3E83DB-2FF7-4EE6-883B-D5AE4B39433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3479473</xdr:colOff>
      <xdr:row>0</xdr:row>
      <xdr:rowOff>0</xdr:rowOff>
    </xdr:from>
    <xdr:to>
      <xdr:col>5</xdr:col>
      <xdr:colOff>117550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B0148F08-A9E0-4279-88BA-8C9D50AE01ED}"/>
            </a:ext>
          </a:extLst>
        </xdr:cNvPr>
        <xdr:cNvGrpSpPr/>
      </xdr:nvGrpSpPr>
      <xdr:grpSpPr>
        <a:xfrm>
          <a:off x="5860723" y="0"/>
          <a:ext cx="1448202" cy="114300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21DDCD27-8BDB-4420-B74F-1B97560A517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3917B63B-C113-4339-8C5A-6BCD311B87B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422702E-8111-4264-AD3B-8F6207335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1354154</xdr:colOff>
      <xdr:row>0</xdr:row>
      <xdr:rowOff>0</xdr:rowOff>
    </xdr:from>
    <xdr:to>
      <xdr:col>9</xdr:col>
      <xdr:colOff>1383148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1555EB3-A8F4-42CE-ABBD-BD52506A6DF6}"/>
            </a:ext>
          </a:extLst>
        </xdr:cNvPr>
        <xdr:cNvGrpSpPr/>
      </xdr:nvGrpSpPr>
      <xdr:grpSpPr>
        <a:xfrm>
          <a:off x="12855592" y="0"/>
          <a:ext cx="1552994" cy="114300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D63ABF98-F253-4488-A9C8-5ED71FE030F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F3E79E0B-6101-4B92-B94E-514C3C704C29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21213FE-E222-4093-A4D1-F1FC735A00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1516691</xdr:colOff>
      <xdr:row>0</xdr:row>
      <xdr:rowOff>0</xdr:rowOff>
    </xdr:from>
    <xdr:to>
      <xdr:col>11</xdr:col>
      <xdr:colOff>1109277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FD22F247-FB6C-405C-9D82-2B9240BC1F24}"/>
            </a:ext>
          </a:extLst>
        </xdr:cNvPr>
        <xdr:cNvGrpSpPr/>
      </xdr:nvGrpSpPr>
      <xdr:grpSpPr>
        <a:xfrm>
          <a:off x="16399504" y="0"/>
          <a:ext cx="1569023" cy="114300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C36E23A0-AD2C-4946-81F6-CF6D8C62A913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5635CB04-9B7A-4772-896C-4015288A75B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EB84498-D487-4FE9-B6BD-2C98F6F0DB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156970</xdr:colOff>
      <xdr:row>0</xdr:row>
      <xdr:rowOff>0</xdr:rowOff>
    </xdr:from>
    <xdr:to>
      <xdr:col>13</xdr:col>
      <xdr:colOff>415980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DEF64275-8872-436B-8A1F-610726191202}"/>
            </a:ext>
          </a:extLst>
        </xdr:cNvPr>
        <xdr:cNvGrpSpPr/>
      </xdr:nvGrpSpPr>
      <xdr:grpSpPr>
        <a:xfrm>
          <a:off x="19921345" y="0"/>
          <a:ext cx="1544885" cy="114300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421720CA-B953-4943-9067-2FEDEC66829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99107047-669B-4691-8880-363DC9738B4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9B4335EF-18E8-445D-B074-20A97D065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2454523</xdr:colOff>
      <xdr:row>0</xdr:row>
      <xdr:rowOff>0</xdr:rowOff>
    </xdr:from>
    <xdr:to>
      <xdr:col>14</xdr:col>
      <xdr:colOff>767584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962484D9-E9EB-4342-AEB1-24FAFB7C6ABC}"/>
            </a:ext>
          </a:extLst>
        </xdr:cNvPr>
        <xdr:cNvGrpSpPr/>
      </xdr:nvGrpSpPr>
      <xdr:grpSpPr>
        <a:xfrm>
          <a:off x="23504773" y="0"/>
          <a:ext cx="1503936" cy="1143000"/>
          <a:chOff x="2413342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F382762-0775-41B5-9D47-CC0CE7B75664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BB4D80C8-1864-4A46-800B-8A8AC6762A75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024F572-F9E4-49CD-B858-7F72CC819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786828</xdr:colOff>
      <xdr:row>0</xdr:row>
      <xdr:rowOff>0</xdr:rowOff>
    </xdr:from>
    <xdr:to>
      <xdr:col>15</xdr:col>
      <xdr:colOff>2384997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9E85324A-362B-4D5C-AC44-ED00DE0A3627}"/>
            </a:ext>
          </a:extLst>
        </xdr:cNvPr>
        <xdr:cNvGrpSpPr/>
      </xdr:nvGrpSpPr>
      <xdr:grpSpPr>
        <a:xfrm>
          <a:off x="26980578" y="0"/>
          <a:ext cx="1598169" cy="1143000"/>
          <a:chOff x="2776162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5EAA1E6C-76DA-431D-9D41-A7BFB27775DB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5D44E28B-D4E6-4398-8B60-8AA1FE1528BC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B86DA82-644F-43D2-AA0F-52D1FA50A4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4423539</xdr:colOff>
      <xdr:row>0</xdr:row>
      <xdr:rowOff>0</xdr:rowOff>
    </xdr:from>
    <xdr:to>
      <xdr:col>16</xdr:col>
      <xdr:colOff>992508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E1656A9F-FD14-48B1-BCB1-CA65396894FA}"/>
            </a:ext>
          </a:extLst>
        </xdr:cNvPr>
        <xdr:cNvGrpSpPr/>
      </xdr:nvGrpSpPr>
      <xdr:grpSpPr>
        <a:xfrm>
          <a:off x="30617289" y="0"/>
          <a:ext cx="1474344" cy="114300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17FF9A3F-0DCE-4809-9B06-8F35195416BF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72D1529A-1527-4B5D-8D55-31B2A6DE4D6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1678E746-4D2C-4B92-92FE-77F13EA54E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564823</xdr:colOff>
      <xdr:row>0</xdr:row>
      <xdr:rowOff>0</xdr:rowOff>
    </xdr:from>
    <xdr:to>
      <xdr:col>7</xdr:col>
      <xdr:colOff>365200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AF0C9411-1B5B-4CBC-B85E-12FD098D5F88}"/>
            </a:ext>
          </a:extLst>
        </xdr:cNvPr>
        <xdr:cNvGrpSpPr/>
      </xdr:nvGrpSpPr>
      <xdr:grpSpPr>
        <a:xfrm>
          <a:off x="9304011" y="0"/>
          <a:ext cx="1538689" cy="114300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466C221-9071-4FA8-932B-73EA1AF21B9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31C40B1-2421-4D22-9D50-D6C52322C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42D552D0-92B5-4664-9BF3-6FF7786AD19C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1409700</xdr:colOff>
      <xdr:row>15</xdr:row>
      <xdr:rowOff>0</xdr:rowOff>
    </xdr:from>
    <xdr:to>
      <xdr:col>21</xdr:col>
      <xdr:colOff>381000</xdr:colOff>
      <xdr:row>53</xdr:row>
      <xdr:rowOff>198922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535733</xdr:colOff>
      <xdr:row>8</xdr:row>
      <xdr:rowOff>0</xdr:rowOff>
    </xdr:from>
    <xdr:to>
      <xdr:col>18</xdr:col>
      <xdr:colOff>154733</xdr:colOff>
      <xdr:row>15</xdr:row>
      <xdr:rowOff>76200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B3CFEE21-BA4D-4FD8-BCBE-8FDF803B91DD}"/>
            </a:ext>
          </a:extLst>
        </xdr:cNvPr>
        <xdr:cNvSpPr txBox="1"/>
      </xdr:nvSpPr>
      <xdr:spPr>
        <a:xfrm>
          <a:off x="12365783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FINANÇAS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1578502</xdr:colOff>
      <xdr:row>25</xdr:row>
      <xdr:rowOff>14513</xdr:rowOff>
    </xdr:from>
    <xdr:to>
      <xdr:col>5</xdr:col>
      <xdr:colOff>64462</xdr:colOff>
      <xdr:row>34</xdr:row>
      <xdr:rowOff>340721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CB3BC692-38B2-4EE2-A66C-2CD8A64D4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6902" y="8853713"/>
          <a:ext cx="3438960" cy="3583758"/>
        </a:xfrm>
        <a:prstGeom prst="rect">
          <a:avLst/>
        </a:prstGeom>
        <a:noFill/>
      </xdr:spPr>
    </xdr:pic>
    <xdr:clientData/>
  </xdr:twoCellAnchor>
  <xdr:twoCellAnchor>
    <xdr:from>
      <xdr:col>23</xdr:col>
      <xdr:colOff>1902352</xdr:colOff>
      <xdr:row>25</xdr:row>
      <xdr:rowOff>14513</xdr:rowOff>
    </xdr:from>
    <xdr:to>
      <xdr:col>27</xdr:col>
      <xdr:colOff>7312</xdr:colOff>
      <xdr:row>34</xdr:row>
      <xdr:rowOff>340721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0D967B19-796C-4542-9B59-EB7711F63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2902" y="8853713"/>
          <a:ext cx="3438960" cy="3583758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DCD6E7AF-CB55-4633-A70B-7ED56F9ECD2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2913B4AB-67BE-4063-8D6B-26F99D45BCA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A10F4BB-43AF-41C2-902C-F610F61F7F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B00A1449-CDF5-4504-A6E5-AF6CE91DB3F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FBC52E98-1C44-46C5-A259-CAA3F663EB68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26139F8C-C297-4C2D-BB0F-A90E8DB89F9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152C1799-3FE0-4271-A541-4C1F31E9B3A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E69AFCF-792E-4E6A-BD20-9CDACAD84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10</xdr:col>
      <xdr:colOff>716398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CA5A752-3CBD-407D-AEDE-5D1126D02903}"/>
            </a:ext>
          </a:extLst>
        </xdr:cNvPr>
        <xdr:cNvGrpSpPr/>
      </xdr:nvGrpSpPr>
      <xdr:grpSpPr>
        <a:xfrm>
          <a:off x="12874642" y="0"/>
          <a:ext cx="1533944" cy="114300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E133C56D-1210-4FE2-A4F3-26ABAAF616C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C5E10680-1D34-4D0A-89AA-563CB64B5333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E5C7E2E-723C-4A04-AA5A-78FDF6A93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164141</xdr:colOff>
      <xdr:row>0</xdr:row>
      <xdr:rowOff>0</xdr:rowOff>
    </xdr:from>
    <xdr:to>
      <xdr:col>13</xdr:col>
      <xdr:colOff>328227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4B1D93EC-49F7-4204-BCD0-9DDC7E2E0AA5}"/>
            </a:ext>
          </a:extLst>
        </xdr:cNvPr>
        <xdr:cNvGrpSpPr/>
      </xdr:nvGrpSpPr>
      <xdr:grpSpPr>
        <a:xfrm>
          <a:off x="16380454" y="0"/>
          <a:ext cx="1569023" cy="114300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7ED24185-D157-42FD-BFBE-8A00268D9B5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294DCD0F-68F1-42E8-9392-1AD4B97AA1A5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6D0601F-467A-466E-979A-2EDF6B8E9F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233170</xdr:colOff>
      <xdr:row>0</xdr:row>
      <xdr:rowOff>0</xdr:rowOff>
    </xdr:from>
    <xdr:to>
      <xdr:col>16</xdr:col>
      <xdr:colOff>111180</xdr:colOff>
      <xdr:row>3</xdr:row>
      <xdr:rowOff>0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CDA6997B-1A6D-46C2-9FD1-A646848FA91D}"/>
            </a:ext>
          </a:extLst>
        </xdr:cNvPr>
        <xdr:cNvGrpSpPr/>
      </xdr:nvGrpSpPr>
      <xdr:grpSpPr>
        <a:xfrm>
          <a:off x="19926108" y="0"/>
          <a:ext cx="1544885" cy="114300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6039557E-CE8F-4E74-A5A5-1E3FB079ED5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D2E6A344-3340-4435-99CC-C1484A3C2659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0EC0391-1E52-4EC3-98DE-258D23F3C4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473323</xdr:colOff>
      <xdr:row>0</xdr:row>
      <xdr:rowOff>0</xdr:rowOff>
    </xdr:from>
    <xdr:to>
      <xdr:col>21</xdr:col>
      <xdr:colOff>234184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9446D062-3C51-4186-AF43-75B00AFD5E9E}"/>
            </a:ext>
          </a:extLst>
        </xdr:cNvPr>
        <xdr:cNvGrpSpPr/>
      </xdr:nvGrpSpPr>
      <xdr:grpSpPr>
        <a:xfrm>
          <a:off x="23476198" y="0"/>
          <a:ext cx="1546799" cy="1143000"/>
          <a:chOff x="2411437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CA167C8-FA64-4FAD-ACA4-BB8F52FFD638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26BA3ABC-A139-4C5B-98E5-A66CC4663AFE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47D693D-AC5A-415F-8809-B129A61C3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482028</xdr:colOff>
      <xdr:row>0</xdr:row>
      <xdr:rowOff>0</xdr:rowOff>
    </xdr:from>
    <xdr:to>
      <xdr:col>23</xdr:col>
      <xdr:colOff>2080197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C33A28E-C01F-4D70-8612-6EC549264251}"/>
            </a:ext>
          </a:extLst>
        </xdr:cNvPr>
        <xdr:cNvGrpSpPr/>
      </xdr:nvGrpSpPr>
      <xdr:grpSpPr>
        <a:xfrm>
          <a:off x="27032966" y="0"/>
          <a:ext cx="1598169" cy="1143000"/>
          <a:chOff x="2776162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FA714A8C-C2E0-44B4-A22E-91495D58884E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33760061-1DA5-419E-BA07-D379177DD8EE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C6BE81B-7EA0-451F-9AE8-524E59F168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3939</xdr:colOff>
      <xdr:row>0</xdr:row>
      <xdr:rowOff>0</xdr:rowOff>
    </xdr:from>
    <xdr:to>
      <xdr:col>27</xdr:col>
      <xdr:colOff>382908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EE61A568-F435-4EEA-BCE3-19D7981F4E13}"/>
            </a:ext>
          </a:extLst>
        </xdr:cNvPr>
        <xdr:cNvGrpSpPr/>
      </xdr:nvGrpSpPr>
      <xdr:grpSpPr>
        <a:xfrm>
          <a:off x="30555377" y="0"/>
          <a:ext cx="1569594" cy="114300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4BC321A8-B8F9-4797-B688-D518D3B5A4B4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160125E3-133F-4D66-8ED5-5713E3EC5F0F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965EE63-91E3-44E3-9B1B-4F43BD9EEF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045E266F-F069-4CB5-9B43-EA89C3CA3DAA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E6E80C7-10AF-4F5B-9AEC-AB8BFA6F74A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C55B643C-1FD7-4BDB-B5AE-438947402A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C6CBFD33-1F9E-4525-A3CD-F131A6AB741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78A1A697-304A-4299-8D62-1D51F6B056C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AF4EC471-92DD-4DAC-B06F-182C661C2DC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98469E3-C249-4B94-8D43-7F8C70B66C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779707B6-2B63-4127-81A7-11D603B6FB2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79B2F2F6-4156-4E74-808F-451C677041B9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82EE0946-9265-44ED-A407-ADE54D60D0A0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518191C1-0C00-4B80-A2A5-2112E52B1FC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18C7B3-3210-42B6-B780-391472A42E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10</xdr:col>
      <xdr:colOff>716398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BE5A9A0-496A-4CF8-B9A3-249753FC49DB}"/>
            </a:ext>
          </a:extLst>
        </xdr:cNvPr>
        <xdr:cNvGrpSpPr/>
      </xdr:nvGrpSpPr>
      <xdr:grpSpPr>
        <a:xfrm>
          <a:off x="12874642" y="0"/>
          <a:ext cx="1533944" cy="114300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DB56B28-6DBB-40AD-8AC0-53B0EAD73C0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52CDC07F-B24E-44CA-9648-7E979FA49E26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B66F12E-5FB8-42F4-A3F9-019604A10E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678491</xdr:colOff>
      <xdr:row>0</xdr:row>
      <xdr:rowOff>0</xdr:rowOff>
    </xdr:from>
    <xdr:to>
      <xdr:col>14</xdr:col>
      <xdr:colOff>156777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47578C19-9538-45BB-9001-7E4966674C9B}"/>
            </a:ext>
          </a:extLst>
        </xdr:cNvPr>
        <xdr:cNvGrpSpPr/>
      </xdr:nvGrpSpPr>
      <xdr:grpSpPr>
        <a:xfrm>
          <a:off x="16394741" y="0"/>
          <a:ext cx="1549974" cy="114300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D1288001-10AF-48C9-ADA7-7AEA36C04FC7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CB94A674-187A-4316-8BE7-1CC3240D6872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53BF31F-4E89-48B7-BE7D-C38AE7055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747520</xdr:colOff>
      <xdr:row>0</xdr:row>
      <xdr:rowOff>0</xdr:rowOff>
    </xdr:from>
    <xdr:to>
      <xdr:col>16</xdr:col>
      <xdr:colOff>625530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7C78E38C-767A-49FA-A2A8-A64C91D1B4C6}"/>
            </a:ext>
          </a:extLst>
        </xdr:cNvPr>
        <xdr:cNvGrpSpPr/>
      </xdr:nvGrpSpPr>
      <xdr:grpSpPr>
        <a:xfrm>
          <a:off x="19940395" y="0"/>
          <a:ext cx="1544885" cy="114300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ECE54343-AE6E-43C5-991C-DCF48E0ACCD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141A979D-7C0C-4B7F-ADFA-DA02EF123F7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5E18D02-3C26-4F61-BED5-9C666B2BE5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378073</xdr:colOff>
      <xdr:row>0</xdr:row>
      <xdr:rowOff>0</xdr:rowOff>
    </xdr:from>
    <xdr:to>
      <xdr:col>21</xdr:col>
      <xdr:colOff>748534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2D3A879A-CE09-46AE-B96F-8F76AA01A6E5}"/>
            </a:ext>
          </a:extLst>
        </xdr:cNvPr>
        <xdr:cNvGrpSpPr/>
      </xdr:nvGrpSpPr>
      <xdr:grpSpPr>
        <a:xfrm>
          <a:off x="23476198" y="0"/>
          <a:ext cx="1561086" cy="1143000"/>
          <a:chOff x="2411437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C0F5A12A-D5FC-4B0C-A48B-7EDE02C9E321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F50DA2EF-E798-41D9-8D36-5DE3081ABCC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36E0758-A722-4F88-B8E0-3B471448BD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996378</xdr:colOff>
      <xdr:row>0</xdr:row>
      <xdr:rowOff>0</xdr:rowOff>
    </xdr:from>
    <xdr:to>
      <xdr:col>23</xdr:col>
      <xdr:colOff>2594547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CACD8B88-2712-4958-B741-339905A3F2CA}"/>
            </a:ext>
          </a:extLst>
        </xdr:cNvPr>
        <xdr:cNvGrpSpPr/>
      </xdr:nvGrpSpPr>
      <xdr:grpSpPr>
        <a:xfrm>
          <a:off x="27047253" y="0"/>
          <a:ext cx="1598169" cy="1143000"/>
          <a:chOff x="2776162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67CF958F-0158-44A9-B3EA-5490C59A2E71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CD45D6F6-9379-4A03-9ABF-B57CCCD68D72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A34180D6-5261-4DF7-81FA-852DF02B3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518289</xdr:colOff>
      <xdr:row>0</xdr:row>
      <xdr:rowOff>0</xdr:rowOff>
    </xdr:from>
    <xdr:to>
      <xdr:col>28</xdr:col>
      <xdr:colOff>287658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C5BA5349-9422-40F4-9D50-7BAE51A22D38}"/>
            </a:ext>
          </a:extLst>
        </xdr:cNvPr>
        <xdr:cNvGrpSpPr/>
      </xdr:nvGrpSpPr>
      <xdr:grpSpPr>
        <a:xfrm>
          <a:off x="30569664" y="0"/>
          <a:ext cx="1555307" cy="114300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59B6C224-9460-469F-8EB8-E757AC1DE32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277AE80F-7037-40CD-B6A2-1B1873592AC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416F7C-AB3A-4B91-AF96-4DB00E98B6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A88AB40-BDE0-4093-ABF2-C779503011D0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59DE276E-0BF0-4C23-88D2-D89E84961E7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621FB47-4E97-4AD0-9AC9-CCB5FDE64D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A894466D-967B-45C1-9664-4D84550E4D3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B5C7E807-0A08-4F6C-9A4F-6DC134ACB34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37924BB-0FD7-49ED-8C41-8DE03174952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AB0D722-29E2-4877-88F3-F5E8763EF9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2E04E93A-3EE1-4E3B-AF0B-F1B21F314B3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CCB92687-1536-4800-8F34-83C5A669FF53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CA17897A-847B-49BF-A2C7-112094CE2FD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27F76912-B010-4B81-9436-B62B99650FE3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326BEAC-7059-45DC-82E0-EB4CBB983D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9</xdr:col>
      <xdr:colOff>1402198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E74302CB-823D-4585-9CA9-C0754C4E7902}"/>
            </a:ext>
          </a:extLst>
        </xdr:cNvPr>
        <xdr:cNvGrpSpPr/>
      </xdr:nvGrpSpPr>
      <xdr:grpSpPr>
        <a:xfrm>
          <a:off x="12874642" y="0"/>
          <a:ext cx="1552994" cy="114300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A0CC4E53-FABC-4AE6-BBEF-07A68D0607C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2A6D3A2E-622E-4FC2-8A16-B488009E60F1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E1B5F77-9890-49C4-9D2A-2BEE3F7A72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3440741</xdr:colOff>
      <xdr:row>0</xdr:row>
      <xdr:rowOff>0</xdr:rowOff>
    </xdr:from>
    <xdr:to>
      <xdr:col>9</xdr:col>
      <xdr:colOff>5052627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F61F64CC-EA05-4398-8B41-52C682FF92D1}"/>
            </a:ext>
          </a:extLst>
        </xdr:cNvPr>
        <xdr:cNvGrpSpPr/>
      </xdr:nvGrpSpPr>
      <xdr:grpSpPr>
        <a:xfrm>
          <a:off x="16466179" y="0"/>
          <a:ext cx="1611886" cy="114300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E4118650-DF18-4DAB-A7A0-A8CB5B5AD08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74AC1060-1942-4D7E-BA8F-23EBA311FE1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8AA3363-0707-46B9-A25A-874A2747CF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1490470</xdr:colOff>
      <xdr:row>0</xdr:row>
      <xdr:rowOff>0</xdr:rowOff>
    </xdr:from>
    <xdr:to>
      <xdr:col>12</xdr:col>
      <xdr:colOff>396930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91529F1B-C196-454A-AEDF-60F311981210}"/>
            </a:ext>
          </a:extLst>
        </xdr:cNvPr>
        <xdr:cNvGrpSpPr/>
      </xdr:nvGrpSpPr>
      <xdr:grpSpPr>
        <a:xfrm>
          <a:off x="19968970" y="0"/>
          <a:ext cx="1525835" cy="114300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E1B8731-0157-4C49-8D91-65036C79EA5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BBE4AA2B-949B-415A-AD4A-DF1C15087526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1FD92AFD-2A5B-4D11-BA93-416E7A063B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301873</xdr:colOff>
      <xdr:row>0</xdr:row>
      <xdr:rowOff>0</xdr:rowOff>
    </xdr:from>
    <xdr:to>
      <xdr:col>15</xdr:col>
      <xdr:colOff>443734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70454C5-A798-402F-AB42-1EEA491BD9EC}"/>
            </a:ext>
          </a:extLst>
        </xdr:cNvPr>
        <xdr:cNvGrpSpPr/>
      </xdr:nvGrpSpPr>
      <xdr:grpSpPr>
        <a:xfrm>
          <a:off x="23471436" y="0"/>
          <a:ext cx="1546798" cy="114300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478FD613-5CFC-4586-BD10-5397D17A6F7B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BC1C78EA-3675-4AFB-BF3B-8706559B7B3F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68E685DD-D870-4A32-8772-7F4E912047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767778</xdr:colOff>
      <xdr:row>0</xdr:row>
      <xdr:rowOff>0</xdr:rowOff>
    </xdr:from>
    <xdr:to>
      <xdr:col>19</xdr:col>
      <xdr:colOff>79947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ED1B7D4C-AC3D-4CB5-A029-B2207B07AF70}"/>
            </a:ext>
          </a:extLst>
        </xdr:cNvPr>
        <xdr:cNvGrpSpPr/>
      </xdr:nvGrpSpPr>
      <xdr:grpSpPr>
        <a:xfrm>
          <a:off x="27009153" y="0"/>
          <a:ext cx="1550544" cy="1143000"/>
          <a:chOff x="2776162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56797807-EAD5-4AFF-9837-805E6FC39AC3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496E9A8B-0B7E-41B9-99C9-EF4292C231CB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832446C-2E3D-4A3C-A713-4F93CE148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899289</xdr:colOff>
      <xdr:row>0</xdr:row>
      <xdr:rowOff>0</xdr:rowOff>
    </xdr:from>
    <xdr:to>
      <xdr:col>23</xdr:col>
      <xdr:colOff>706758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3E19F888-C34C-409D-8EDD-74DEF02C3839}"/>
            </a:ext>
          </a:extLst>
        </xdr:cNvPr>
        <xdr:cNvGrpSpPr/>
      </xdr:nvGrpSpPr>
      <xdr:grpSpPr>
        <a:xfrm>
          <a:off x="30569664" y="0"/>
          <a:ext cx="1569594" cy="114300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11988E44-6189-4E8B-A808-13CEA9152AD2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CB4F60BC-90FE-43C1-8AE0-675662E8BE5C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E745E43-9BEA-4F05-AE2D-8187196B2B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9F283922-B8F3-4A0D-99CE-CA656C69885F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81AB219C-39F2-4635-A7C8-4CE406737AC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51DB68EE-816F-40F1-BC7D-57269EA52A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D30CAE61-5CF3-4442-8925-DE3B951933CD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2881F593-9132-4CED-BDB3-FD8156B84E2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3592829C-8740-4DD7-86DB-12A0348126D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59F77B-5830-4DAD-910C-0AD2897E2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BEDB6FD0-9BB8-47FC-BB1D-AF1830C0B49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83AB545E-2326-40C4-B561-B41DB526676E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13C406C4-F1EA-4ECD-B0E1-780DD6C8A1C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9C7D9146-4BB7-42C4-B41D-1DCC9148D31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DFD2679-3F92-4374-8DCD-923BE76228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211154</xdr:colOff>
      <xdr:row>0</xdr:row>
      <xdr:rowOff>0</xdr:rowOff>
    </xdr:from>
    <xdr:to>
      <xdr:col>9</xdr:col>
      <xdr:colOff>240148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49212499-E4F2-4CF9-A6D6-211D84A7639F}"/>
            </a:ext>
          </a:extLst>
        </xdr:cNvPr>
        <xdr:cNvGrpSpPr/>
      </xdr:nvGrpSpPr>
      <xdr:grpSpPr>
        <a:xfrm>
          <a:off x="12831779" y="0"/>
          <a:ext cx="1552994" cy="114300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CC60C4AA-5C31-4C46-89C2-78E310CD8B02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3837F00B-5782-4F3A-8044-3B9AB2D5E5F9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EA43E7-B236-4865-B95B-94D49BC9C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2278691</xdr:colOff>
      <xdr:row>0</xdr:row>
      <xdr:rowOff>0</xdr:rowOff>
    </xdr:from>
    <xdr:to>
      <xdr:col>10</xdr:col>
      <xdr:colOff>499677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3BE2EF6C-7CA0-4EA5-8346-6E892621024F}"/>
            </a:ext>
          </a:extLst>
        </xdr:cNvPr>
        <xdr:cNvGrpSpPr/>
      </xdr:nvGrpSpPr>
      <xdr:grpSpPr>
        <a:xfrm>
          <a:off x="16423316" y="0"/>
          <a:ext cx="1530924" cy="114300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E1A5B6D7-A8F3-4977-9C4C-E29E7F5E742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654D0693-564F-4D41-9BA6-990C6D6A8AF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7D5C863-4319-4252-9623-5F53C3783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995170</xdr:colOff>
      <xdr:row>0</xdr:row>
      <xdr:rowOff>0</xdr:rowOff>
    </xdr:from>
    <xdr:to>
      <xdr:col>12</xdr:col>
      <xdr:colOff>73080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C9E525C4-4431-4E7D-A17D-988393A1D86F}"/>
            </a:ext>
          </a:extLst>
        </xdr:cNvPr>
        <xdr:cNvGrpSpPr/>
      </xdr:nvGrpSpPr>
      <xdr:grpSpPr>
        <a:xfrm>
          <a:off x="19949920" y="0"/>
          <a:ext cx="1506785" cy="114300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434D06A4-8553-449F-8A2C-D22C9A1C710A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E47981AA-5CA2-4746-8808-F6E49339F88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25F88233-2EE6-4125-AA9E-2EBA742506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663823</xdr:colOff>
      <xdr:row>0</xdr:row>
      <xdr:rowOff>0</xdr:rowOff>
    </xdr:from>
    <xdr:to>
      <xdr:col>14</xdr:col>
      <xdr:colOff>538984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EA4E0912-FF61-409A-BD38-C84CA40CFB4E}"/>
            </a:ext>
          </a:extLst>
        </xdr:cNvPr>
        <xdr:cNvGrpSpPr/>
      </xdr:nvGrpSpPr>
      <xdr:grpSpPr>
        <a:xfrm>
          <a:off x="23452386" y="0"/>
          <a:ext cx="1542036" cy="114300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CD073985-9646-4CE5-B350-2106E0138E2E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83F7C5F6-6C90-4C8A-A7E7-137B229AFD07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F054657-BBEF-4A6C-81E0-F77E70CFC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291528</xdr:colOff>
      <xdr:row>0</xdr:row>
      <xdr:rowOff>0</xdr:rowOff>
    </xdr:from>
    <xdr:to>
      <xdr:col>19</xdr:col>
      <xdr:colOff>670497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71690BEE-A18E-4735-A918-42F3565C3E16}"/>
            </a:ext>
          </a:extLst>
        </xdr:cNvPr>
        <xdr:cNvGrpSpPr/>
      </xdr:nvGrpSpPr>
      <xdr:grpSpPr>
        <a:xfrm>
          <a:off x="26985341" y="0"/>
          <a:ext cx="1569594" cy="1143000"/>
          <a:chOff x="2776162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3C1DD3CB-D6CE-4C1B-9D9C-472F6BAA0141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E85F37B4-CC1B-4E8F-A425-E6B0784832F8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9FB00E7-564E-492E-A6E0-949493E9A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918339</xdr:colOff>
      <xdr:row>0</xdr:row>
      <xdr:rowOff>0</xdr:rowOff>
    </xdr:from>
    <xdr:to>
      <xdr:col>21</xdr:col>
      <xdr:colOff>2516508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FD870E6-6A33-4D0D-9C32-F6510E4BDFB3}"/>
            </a:ext>
          </a:extLst>
        </xdr:cNvPr>
        <xdr:cNvGrpSpPr/>
      </xdr:nvGrpSpPr>
      <xdr:grpSpPr>
        <a:xfrm>
          <a:off x="30564902" y="0"/>
          <a:ext cx="1598169" cy="114300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3F840ACA-4F0B-41D9-905B-0E3FF8D273D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21D85FE-A4B3-45C8-BEA9-D03805F6111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263CA059-752E-406D-97C0-8FFAF882F8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BE3BCDA1-09BB-4581-8C90-BDFAF524BC19}"/>
            </a:ext>
          </a:extLst>
        </xdr:cNvPr>
        <xdr:cNvGrpSpPr/>
      </xdr:nvGrpSpPr>
      <xdr:grpSpPr>
        <a:xfrm>
          <a:off x="9323061" y="0"/>
          <a:ext cx="1538689" cy="114300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6D555EC3-141C-4080-87F1-4228D26ABEC3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B6393605-8421-4F26-84BD-D9C099A6D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F88DCC64-42BD-4F20-9CB7-586457710D5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133350</xdr:colOff>
      <xdr:row>15</xdr:row>
      <xdr:rowOff>19050</xdr:rowOff>
    </xdr:from>
    <xdr:to>
      <xdr:col>14</xdr:col>
      <xdr:colOff>304800</xdr:colOff>
      <xdr:row>53</xdr:row>
      <xdr:rowOff>217972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alphaModFix amt="23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5238750"/>
          <a:ext cx="15449550" cy="13953022"/>
        </a:xfrm>
        <a:prstGeom prst="rect">
          <a:avLst/>
        </a:prstGeom>
      </xdr:spPr>
    </xdr:pic>
    <xdr:clientData/>
  </xdr:twoCellAnchor>
  <xdr:twoCellAnchor>
    <xdr:from>
      <xdr:col>7</xdr:col>
      <xdr:colOff>328831</xdr:colOff>
      <xdr:row>8</xdr:row>
      <xdr:rowOff>0</xdr:rowOff>
    </xdr:from>
    <xdr:to>
      <xdr:col>12</xdr:col>
      <xdr:colOff>1433731</xdr:colOff>
      <xdr:row>15</xdr:row>
      <xdr:rowOff>76200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2B42A0EE-4319-4A0D-B2B7-52CD30D6816A}"/>
            </a:ext>
          </a:extLst>
        </xdr:cNvPr>
        <xdr:cNvSpPr txBox="1"/>
      </xdr:nvSpPr>
      <xdr:spPr>
        <a:xfrm>
          <a:off x="12368431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BANCO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DADOS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1581150</xdr:colOff>
      <xdr:row>25</xdr:row>
      <xdr:rowOff>36341</xdr:rowOff>
    </xdr:from>
    <xdr:to>
      <xdr:col>5</xdr:col>
      <xdr:colOff>67110</xdr:colOff>
      <xdr:row>34</xdr:row>
      <xdr:rowOff>318893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B0CF7CEE-B0F9-4DA5-B005-B07EB736E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9550" y="8875541"/>
          <a:ext cx="3438960" cy="3540102"/>
        </a:xfrm>
        <a:prstGeom prst="rect">
          <a:avLst/>
        </a:prstGeom>
        <a:noFill/>
      </xdr:spPr>
    </xdr:pic>
    <xdr:clientData/>
  </xdr:twoCellAnchor>
  <xdr:twoCellAnchor>
    <xdr:from>
      <xdr:col>19</xdr:col>
      <xdr:colOff>133350</xdr:colOff>
      <xdr:row>25</xdr:row>
      <xdr:rowOff>36341</xdr:rowOff>
    </xdr:from>
    <xdr:to>
      <xdr:col>21</xdr:col>
      <xdr:colOff>1781610</xdr:colOff>
      <xdr:row>34</xdr:row>
      <xdr:rowOff>318893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27E99DBF-429D-4AFD-BB7B-634B415C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5550" y="8875541"/>
          <a:ext cx="3438960" cy="3540102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62EDD0A-9F44-494D-8106-0F5B6E173EB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56B0D590-9DE0-4A9B-9D88-DD863B221F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1ACD32C-BB1E-4CA2-9B48-C68BB40E3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B2E59486-5856-4158-830D-F30CB2DC4C2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C7B4CC20-6DDC-49C7-8F69-183E3BC6E0C2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89FF289C-F901-4D10-9DF9-C86EB2B7B3E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AC14A06E-0CFC-4D09-8AB3-342D792022D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5E86215-75DB-463E-93B8-D8390A6E2A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1163654</xdr:colOff>
      <xdr:row>0</xdr:row>
      <xdr:rowOff>0</xdr:rowOff>
    </xdr:from>
    <xdr:to>
      <xdr:col>8</xdr:col>
      <xdr:colOff>544948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EC361DD7-1B60-4765-A354-DF62FD7BA3D9}"/>
            </a:ext>
          </a:extLst>
        </xdr:cNvPr>
        <xdr:cNvGrpSpPr/>
      </xdr:nvGrpSpPr>
      <xdr:grpSpPr>
        <a:xfrm>
          <a:off x="12855592" y="0"/>
          <a:ext cx="1524419" cy="114300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5E33577F-9D40-43A2-A5B2-6771029D0165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CD587907-7502-479F-B8F5-F3C15C618561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BAB3950-8C9E-408C-A177-0177405BD1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1021391</xdr:colOff>
      <xdr:row>0</xdr:row>
      <xdr:rowOff>0</xdr:rowOff>
    </xdr:from>
    <xdr:to>
      <xdr:col>10</xdr:col>
      <xdr:colOff>804477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4CF51D05-BC0D-4DFC-B429-D444EF948DA2}"/>
            </a:ext>
          </a:extLst>
        </xdr:cNvPr>
        <xdr:cNvGrpSpPr/>
      </xdr:nvGrpSpPr>
      <xdr:grpSpPr>
        <a:xfrm>
          <a:off x="16380454" y="0"/>
          <a:ext cx="1569023" cy="114300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6F721C9A-A595-4744-8B4C-90A9A8F113F3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7C947E79-B2A1-4F7F-ADA2-E896B9AFE70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BAE3B79-CC84-4588-8D75-8D678B748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633220</xdr:colOff>
      <xdr:row>0</xdr:row>
      <xdr:rowOff>0</xdr:rowOff>
    </xdr:from>
    <xdr:to>
      <xdr:col>11</xdr:col>
      <xdr:colOff>2225730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6CAFDAAC-420D-42EE-8CB4-31627FB49797}"/>
            </a:ext>
          </a:extLst>
        </xdr:cNvPr>
        <xdr:cNvGrpSpPr/>
      </xdr:nvGrpSpPr>
      <xdr:grpSpPr>
        <a:xfrm>
          <a:off x="19921345" y="0"/>
          <a:ext cx="1592510" cy="114300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93662BB7-6EA3-47F1-90DE-4B0A80DD3ECA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637EC3B0-2CEC-48C3-AA3E-ADFAEAC5A95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3B94020A-9D06-48FD-91B5-8EC915830A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301873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7BD5AD07-0A1C-4B07-AF93-B74C9793C07F}"/>
            </a:ext>
          </a:extLst>
        </xdr:cNvPr>
        <xdr:cNvGrpSpPr/>
      </xdr:nvGrpSpPr>
      <xdr:grpSpPr>
        <a:xfrm>
          <a:off x="23423811" y="0"/>
          <a:ext cx="1542036" cy="1143000"/>
          <a:chOff x="2411437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17978416-64D3-4611-B842-F2DA19967F19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7AE2872C-C59C-4ACA-99D5-ECC0442AF08D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14C2C3AD-8F62-4612-BA52-BB7F106E49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539178</xdr:colOff>
      <xdr:row>0</xdr:row>
      <xdr:rowOff>0</xdr:rowOff>
    </xdr:from>
    <xdr:to>
      <xdr:col>19</xdr:col>
      <xdr:colOff>308547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A5E5643F-D105-453D-B203-4679F9222369}"/>
            </a:ext>
          </a:extLst>
        </xdr:cNvPr>
        <xdr:cNvGrpSpPr/>
      </xdr:nvGrpSpPr>
      <xdr:grpSpPr>
        <a:xfrm>
          <a:off x="26971053" y="0"/>
          <a:ext cx="1555307" cy="1143000"/>
          <a:chOff x="2776162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A5DBE804-C1BA-4226-A206-CDFFB9426DD9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E8A543E4-8ED7-4C24-A2DB-EE92AF514D73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56C1985-1565-42E1-8D3F-47CFE8898F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556389</xdr:colOff>
      <xdr:row>0</xdr:row>
      <xdr:rowOff>0</xdr:rowOff>
    </xdr:from>
    <xdr:to>
      <xdr:col>21</xdr:col>
      <xdr:colOff>2154558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41D34D15-C778-4312-9C20-943F66D8F0ED}"/>
            </a:ext>
          </a:extLst>
        </xdr:cNvPr>
        <xdr:cNvGrpSpPr/>
      </xdr:nvGrpSpPr>
      <xdr:grpSpPr>
        <a:xfrm>
          <a:off x="30536327" y="0"/>
          <a:ext cx="1598169" cy="114300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7313BD86-5535-4C11-B436-E34C2F5357D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9262C665-0549-43B2-9052-3830C01FF1C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60AF718D-5C4D-4A71-9CC9-42E9620FE6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2184073</xdr:colOff>
      <xdr:row>0</xdr:row>
      <xdr:rowOff>0</xdr:rowOff>
    </xdr:from>
    <xdr:to>
      <xdr:col>6</xdr:col>
      <xdr:colOff>917650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89BBA59-B96F-4435-AD60-16ED1C7101BA}"/>
            </a:ext>
          </a:extLst>
        </xdr:cNvPr>
        <xdr:cNvGrpSpPr/>
      </xdr:nvGrpSpPr>
      <xdr:grpSpPr>
        <a:xfrm>
          <a:off x="9375448" y="0"/>
          <a:ext cx="1495827" cy="114300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35"/>
            <a:extLst>
              <a:ext uri="{FF2B5EF4-FFF2-40B4-BE49-F238E27FC236}">
                <a16:creationId xmlns:a16="http://schemas.microsoft.com/office/drawing/2014/main" id="{C2E20BC6-127E-4572-B01D-A0D89FFD8033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35"/>
            <a:extLst>
              <a:ext uri="{FF2B5EF4-FFF2-40B4-BE49-F238E27FC236}">
                <a16:creationId xmlns:a16="http://schemas.microsoft.com/office/drawing/2014/main" id="{4CC6C5B2-4B61-4076-9DB9-D71F0F1F04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BEBA8EAE-BF5A-486C-A8C5-ECC9F3942E4B}">
                <a14:imgProps xmlns:a14="http://schemas.microsoft.com/office/drawing/2010/main">
                  <a14:imgLayer r:embed="rId3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8007836D-6C77-4D34-B997-72F491E2F99A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D6BC02A0-E9B1-4743-AF23-64722DEC0D3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A7B9825F-0CD7-4C2A-87B6-00B670C4C61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1E54523-7A9A-4924-ADF4-0D44146A9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387FA7C5-E963-42A1-87D4-B9207BBD91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7500BE00-21C0-4566-8DCF-E2C3C294CFA6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F8241300-AA08-449F-AE57-046413DE817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DD1192D2-9093-4BE1-9C30-10D738F0D31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CEEDAD2-0727-46B0-BAD0-775319A2F9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1163654</xdr:colOff>
      <xdr:row>0</xdr:row>
      <xdr:rowOff>0</xdr:rowOff>
    </xdr:from>
    <xdr:to>
      <xdr:col>8</xdr:col>
      <xdr:colOff>544948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7DEE815E-4A3E-4AA9-B02B-5F22197C287A}"/>
            </a:ext>
          </a:extLst>
        </xdr:cNvPr>
        <xdr:cNvGrpSpPr/>
      </xdr:nvGrpSpPr>
      <xdr:grpSpPr>
        <a:xfrm>
          <a:off x="12855592" y="0"/>
          <a:ext cx="1524419" cy="114300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5171736C-6C92-4D76-A060-647BDBA790B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B2480CE8-CDE4-4F85-9898-FBC01F022D46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E5375EE-F087-43B5-A016-21712C8838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1021391</xdr:colOff>
      <xdr:row>0</xdr:row>
      <xdr:rowOff>0</xdr:rowOff>
    </xdr:from>
    <xdr:to>
      <xdr:col>10</xdr:col>
      <xdr:colOff>804477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FA771A61-2BF0-4C66-B289-E0239BDC17C2}"/>
            </a:ext>
          </a:extLst>
        </xdr:cNvPr>
        <xdr:cNvGrpSpPr/>
      </xdr:nvGrpSpPr>
      <xdr:grpSpPr>
        <a:xfrm>
          <a:off x="16380454" y="0"/>
          <a:ext cx="1569023" cy="114300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300C77C7-2D3B-49B6-84AD-5289EA7404A0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0D0712FA-1B28-4F56-AC69-63C8F0F1F0DC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142C8FB-6DAF-42B9-8D66-A4CF403FFA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633220</xdr:colOff>
      <xdr:row>0</xdr:row>
      <xdr:rowOff>0</xdr:rowOff>
    </xdr:from>
    <xdr:to>
      <xdr:col>11</xdr:col>
      <xdr:colOff>2225730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585042A1-E922-4A94-A7D4-72E31996F8E4}"/>
            </a:ext>
          </a:extLst>
        </xdr:cNvPr>
        <xdr:cNvGrpSpPr/>
      </xdr:nvGrpSpPr>
      <xdr:grpSpPr>
        <a:xfrm>
          <a:off x="19921345" y="0"/>
          <a:ext cx="1592510" cy="114300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D4947289-5EED-4CE3-904B-59BE2F728ABC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EB5D7E5C-7EB5-4B9F-B4E8-BA22AEE451C3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D2B7B097-DEC1-40B6-9EF0-925F885BB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301873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9B3B741C-4874-4392-99FE-827A7D6CB6E6}"/>
            </a:ext>
          </a:extLst>
        </xdr:cNvPr>
        <xdr:cNvGrpSpPr/>
      </xdr:nvGrpSpPr>
      <xdr:grpSpPr>
        <a:xfrm>
          <a:off x="23423811" y="0"/>
          <a:ext cx="1542036" cy="114300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595BDA3C-22AC-45AE-AE0E-32AAF11C082F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5566078C-E9CF-48E7-BAB1-7771A47ACA2D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7802D709-9E24-47EA-BEED-4916DA9470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539178</xdr:colOff>
      <xdr:row>0</xdr:row>
      <xdr:rowOff>0</xdr:rowOff>
    </xdr:from>
    <xdr:to>
      <xdr:col>19</xdr:col>
      <xdr:colOff>308547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76829C25-A229-48A3-81F6-1F4F700995FC}"/>
            </a:ext>
          </a:extLst>
        </xdr:cNvPr>
        <xdr:cNvGrpSpPr/>
      </xdr:nvGrpSpPr>
      <xdr:grpSpPr>
        <a:xfrm>
          <a:off x="26971053" y="0"/>
          <a:ext cx="1555307" cy="1143000"/>
          <a:chOff x="2776162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E78D0322-4DC0-40C0-BC45-1E0044D2B03D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B689268B-C522-46FC-9C05-41B35911039D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EDADBED-DC76-401B-B513-F02FB520D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556389</xdr:colOff>
      <xdr:row>0</xdr:row>
      <xdr:rowOff>0</xdr:rowOff>
    </xdr:from>
    <xdr:to>
      <xdr:col>21</xdr:col>
      <xdr:colOff>2154558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A641E2B-39E8-4B80-89AA-A389DFB4A587}"/>
            </a:ext>
          </a:extLst>
        </xdr:cNvPr>
        <xdr:cNvGrpSpPr/>
      </xdr:nvGrpSpPr>
      <xdr:grpSpPr>
        <a:xfrm>
          <a:off x="30536327" y="0"/>
          <a:ext cx="1598169" cy="114300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D9C5A570-8766-4DEA-83BA-038803A8F2BF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DC46C84A-1C4F-4715-8FAD-AC85F91BBB08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CF01ED8D-B1EB-4507-B350-5702FBEE921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2184073</xdr:colOff>
      <xdr:row>0</xdr:row>
      <xdr:rowOff>0</xdr:rowOff>
    </xdr:from>
    <xdr:to>
      <xdr:col>6</xdr:col>
      <xdr:colOff>917650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4CB275AA-87E8-407A-B8B8-D781FFE7075E}"/>
            </a:ext>
          </a:extLst>
        </xdr:cNvPr>
        <xdr:cNvGrpSpPr/>
      </xdr:nvGrpSpPr>
      <xdr:grpSpPr>
        <a:xfrm>
          <a:off x="9375448" y="0"/>
          <a:ext cx="1495827" cy="114300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7D01A75D-D7B9-4511-AFDE-8E677F33A3F0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9D699858-5AEE-45DC-8181-25760BB7C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9DD1053B-D810-43D7-94D7-B9F6152CF5C4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857250</xdr:colOff>
      <xdr:row>0</xdr:row>
      <xdr:rowOff>0</xdr:rowOff>
    </xdr:from>
    <xdr:to>
      <xdr:col>2</xdr:col>
      <xdr:colOff>2317230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5F5CB754-6E76-49D6-A29B-A0C160E6E0C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5063" y="0"/>
          <a:ext cx="1459980" cy="1143000"/>
          <a:chOff x="1993654" y="0"/>
          <a:chExt cx="1022595" cy="781538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BC7F3B9-F885-443B-A9F9-56BC363479B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4" name="Imagem 4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ECC7E9-9D0D-4B40-B576-4824A38249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A0D0D48D-0D77-42CA-B6FC-5B46D648320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3</xdr:col>
      <xdr:colOff>1879273</xdr:colOff>
      <xdr:row>0</xdr:row>
      <xdr:rowOff>0</xdr:rowOff>
    </xdr:from>
    <xdr:to>
      <xdr:col>4</xdr:col>
      <xdr:colOff>1393900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5505F7B-589E-4FC1-950D-8C81186C7446}"/>
            </a:ext>
          </a:extLst>
        </xdr:cNvPr>
        <xdr:cNvGrpSpPr/>
      </xdr:nvGrpSpPr>
      <xdr:grpSpPr>
        <a:xfrm>
          <a:off x="5832148" y="0"/>
          <a:ext cx="1538690" cy="1143000"/>
          <a:chOff x="5936923" y="0"/>
          <a:chExt cx="1591077" cy="1162050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4B257DD1-C7BF-498D-B559-734A770A970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B5AF8598-0062-4DDA-A3E5-6B476DD360E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9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A412AB2-9AFE-4583-9579-05C50855CE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6</xdr:col>
      <xdr:colOff>1582754</xdr:colOff>
      <xdr:row>0</xdr:row>
      <xdr:rowOff>0</xdr:rowOff>
    </xdr:from>
    <xdr:to>
      <xdr:col>7</xdr:col>
      <xdr:colOff>1383148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E26ADF24-C4E2-41F9-9470-06FCF0B7D5AE}"/>
            </a:ext>
          </a:extLst>
        </xdr:cNvPr>
        <xdr:cNvGrpSpPr/>
      </xdr:nvGrpSpPr>
      <xdr:grpSpPr>
        <a:xfrm>
          <a:off x="12893692" y="0"/>
          <a:ext cx="1538706" cy="1143000"/>
          <a:chOff x="13203254" y="0"/>
          <a:chExt cx="1591094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AD05BD32-44D0-4EB8-BDA2-CB8E478E9DCC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6A66A44-CB2C-43B6-ADF2-2BC4B4E5EF9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3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76794C1-61ED-411F-B137-64DB8FCF9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68891</xdr:colOff>
      <xdr:row>0</xdr:row>
      <xdr:rowOff>0</xdr:rowOff>
    </xdr:from>
    <xdr:to>
      <xdr:col>8</xdr:col>
      <xdr:colOff>1680777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90301798-B8F5-48F9-BCEB-B8D8206CB1CA}"/>
            </a:ext>
          </a:extLst>
        </xdr:cNvPr>
        <xdr:cNvGrpSpPr/>
      </xdr:nvGrpSpPr>
      <xdr:grpSpPr>
        <a:xfrm>
          <a:off x="16380454" y="0"/>
          <a:ext cx="1611886" cy="1143000"/>
          <a:chOff x="16832891" y="0"/>
          <a:chExt cx="1611886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86C004D-D2FA-432C-9517-C3C322E136E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71122876-EB52-4853-BF97-2604998EDCA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0C6B2C7-5C8B-4717-86E8-86ADFAB5E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499870</xdr:colOff>
      <xdr:row>0</xdr:row>
      <xdr:rowOff>0</xdr:rowOff>
    </xdr:from>
    <xdr:to>
      <xdr:col>10</xdr:col>
      <xdr:colOff>2092380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690908AB-8523-44C9-B33B-B92DAC52E06E}"/>
            </a:ext>
          </a:extLst>
        </xdr:cNvPr>
        <xdr:cNvGrpSpPr/>
      </xdr:nvGrpSpPr>
      <xdr:grpSpPr>
        <a:xfrm>
          <a:off x="19930870" y="0"/>
          <a:ext cx="1592510" cy="1143000"/>
          <a:chOff x="20483320" y="0"/>
          <a:chExt cx="1592510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1CDD99D4-32D2-4355-A054-D35AD739C4A7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3C272162-D74B-424A-80F2-163ACB974390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1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2B03368-23E0-4D63-ADFC-0C7E353805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587623</xdr:colOff>
      <xdr:row>0</xdr:row>
      <xdr:rowOff>0</xdr:rowOff>
    </xdr:from>
    <xdr:to>
      <xdr:col>11</xdr:col>
      <xdr:colOff>2177284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8BEF5630-C03E-4C88-961A-0386E6EFFBFC}"/>
            </a:ext>
          </a:extLst>
        </xdr:cNvPr>
        <xdr:cNvGrpSpPr/>
      </xdr:nvGrpSpPr>
      <xdr:grpSpPr>
        <a:xfrm>
          <a:off x="23471436" y="0"/>
          <a:ext cx="1589661" cy="1143000"/>
          <a:chOff x="24114373" y="0"/>
          <a:chExt cx="1589661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E0E4117-7FA1-4025-A006-BF7AAB0B54DE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1D7483BF-070B-43DA-BA6D-D0F91A42A129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A5F871E4-3D3C-41E8-9330-8F31EF8DE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1834578</xdr:colOff>
      <xdr:row>0</xdr:row>
      <xdr:rowOff>0</xdr:rowOff>
    </xdr:from>
    <xdr:to>
      <xdr:col>13</xdr:col>
      <xdr:colOff>41847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9F92FC6B-4101-4437-BA86-7E0517292409}"/>
            </a:ext>
          </a:extLst>
        </xdr:cNvPr>
        <xdr:cNvGrpSpPr/>
      </xdr:nvGrpSpPr>
      <xdr:grpSpPr>
        <a:xfrm>
          <a:off x="27028203" y="0"/>
          <a:ext cx="1493394" cy="1143000"/>
          <a:chOff x="27761628" y="0"/>
          <a:chExt cx="1598169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7E482EE5-2FBC-4454-B38B-E176327EE02B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706729C9-F7DD-4F8D-898C-EEFCF0B68959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9F7D725B-513E-4059-8824-7F91BA2A42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156339</xdr:colOff>
      <xdr:row>0</xdr:row>
      <xdr:rowOff>0</xdr:rowOff>
    </xdr:from>
    <xdr:to>
      <xdr:col>15</xdr:col>
      <xdr:colOff>592458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ED9EAE6B-2E57-4603-BBFB-4EFD591C35CF}"/>
            </a:ext>
          </a:extLst>
        </xdr:cNvPr>
        <xdr:cNvGrpSpPr/>
      </xdr:nvGrpSpPr>
      <xdr:grpSpPr>
        <a:xfrm>
          <a:off x="30517277" y="0"/>
          <a:ext cx="1579119" cy="1143000"/>
          <a:chOff x="31379289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622C72DA-D37E-42B9-8355-D5CA71C4FCC5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6310932-3BA2-4868-BE83-2A789719648C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3" name="Imagem 72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11C111BF-B8F8-458B-A15A-C7A6765AC5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164773</xdr:colOff>
      <xdr:row>0</xdr:row>
      <xdr:rowOff>0</xdr:rowOff>
    </xdr:from>
    <xdr:to>
      <xdr:col>5</xdr:col>
      <xdr:colOff>1755850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6F0163FF-2F8E-4EA5-9430-66D934E8663F}"/>
            </a:ext>
          </a:extLst>
        </xdr:cNvPr>
        <xdr:cNvGrpSpPr/>
      </xdr:nvGrpSpPr>
      <xdr:grpSpPr>
        <a:xfrm>
          <a:off x="9332586" y="0"/>
          <a:ext cx="1591077" cy="1143000"/>
          <a:chOff x="9575473" y="0"/>
          <a:chExt cx="1591077" cy="1162050"/>
        </a:xfrm>
      </xdr:grpSpPr>
      <xdr:sp macro="" textlink="">
        <xdr:nvSpPr>
          <xdr:cNvPr id="75" name="Retângulo 7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AEC106F8-A1A9-419D-8173-CF5F1688C77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6" name="Imagem 75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45B70E6B-BDC0-4091-881C-5B6DD31A43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204EC419-B48A-4B04-82D2-825631A858F4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876300</xdr:colOff>
      <xdr:row>0</xdr:row>
      <xdr:rowOff>0</xdr:rowOff>
    </xdr:from>
    <xdr:to>
      <xdr:col>2</xdr:col>
      <xdr:colOff>2336280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556B71-3EE0-499F-A58B-08F34EA1A3C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24113" y="0"/>
          <a:ext cx="1459980" cy="1143000"/>
          <a:chOff x="1993654" y="0"/>
          <a:chExt cx="1022595" cy="781538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1C13E0A-E8CA-4323-B1A8-4DEE5430408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4" name="Imagem 4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143930A-8247-44BE-A59F-52ACCC077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E5F3CF9-6A39-42EF-82E7-6F025A537BF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3</xdr:col>
      <xdr:colOff>1898323</xdr:colOff>
      <xdr:row>0</xdr:row>
      <xdr:rowOff>0</xdr:rowOff>
    </xdr:from>
    <xdr:to>
      <xdr:col>4</xdr:col>
      <xdr:colOff>1412950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4163B755-2187-4FE8-9211-CA34BB88DC3F}"/>
            </a:ext>
          </a:extLst>
        </xdr:cNvPr>
        <xdr:cNvGrpSpPr/>
      </xdr:nvGrpSpPr>
      <xdr:grpSpPr>
        <a:xfrm>
          <a:off x="5851198" y="0"/>
          <a:ext cx="1529165" cy="1143000"/>
          <a:chOff x="5936923" y="0"/>
          <a:chExt cx="1591077" cy="1162050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B6B4F23-5F30-4B5A-ADCD-EDEE19D4109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5E3C1C24-A826-4C75-BB5D-431055A6685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9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8B303A6-6327-4359-99C3-883B3344B8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192104</xdr:colOff>
      <xdr:row>0</xdr:row>
      <xdr:rowOff>0</xdr:rowOff>
    </xdr:from>
    <xdr:to>
      <xdr:col>7</xdr:col>
      <xdr:colOff>1783198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88484FCB-D82A-4625-8633-0CF9BA0F5DD6}"/>
            </a:ext>
          </a:extLst>
        </xdr:cNvPr>
        <xdr:cNvGrpSpPr/>
      </xdr:nvGrpSpPr>
      <xdr:grpSpPr>
        <a:xfrm>
          <a:off x="12860354" y="0"/>
          <a:ext cx="1591094" cy="1143000"/>
          <a:chOff x="13203254" y="0"/>
          <a:chExt cx="1591094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841DCDC2-DC1F-4875-A353-EDF0FC7E256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97A0F829-AD73-493E-A262-61CD26F8B8F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3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C8C029-0AEB-45D3-8412-734CC6BD7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354641</xdr:colOff>
      <xdr:row>0</xdr:row>
      <xdr:rowOff>0</xdr:rowOff>
    </xdr:from>
    <xdr:to>
      <xdr:col>8</xdr:col>
      <xdr:colOff>1966527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4F168A02-2EF6-4671-9E15-97DA25E7E720}"/>
            </a:ext>
          </a:extLst>
        </xdr:cNvPr>
        <xdr:cNvGrpSpPr/>
      </xdr:nvGrpSpPr>
      <xdr:grpSpPr>
        <a:xfrm>
          <a:off x="16380454" y="0"/>
          <a:ext cx="1611886" cy="1143000"/>
          <a:chOff x="16832891" y="0"/>
          <a:chExt cx="1611886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12E4108D-4D04-467D-8AF6-F6D2410DB8D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5D27B50D-5984-4081-923E-5398A642FA66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CE6D0C9-91FE-4C2D-B5D9-AFD2A59FFE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842770</xdr:colOff>
      <xdr:row>0</xdr:row>
      <xdr:rowOff>0</xdr:rowOff>
    </xdr:from>
    <xdr:to>
      <xdr:col>9</xdr:col>
      <xdr:colOff>2435280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FB437F03-73C5-45E4-B152-7955E8DBE635}"/>
            </a:ext>
          </a:extLst>
        </xdr:cNvPr>
        <xdr:cNvGrpSpPr/>
      </xdr:nvGrpSpPr>
      <xdr:grpSpPr>
        <a:xfrm>
          <a:off x="19964208" y="0"/>
          <a:ext cx="1535360" cy="1143000"/>
          <a:chOff x="20483320" y="0"/>
          <a:chExt cx="1592510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21C53A63-9AC6-4088-846B-81EBC36E9B52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FAFF11D2-8576-4444-BE7F-951A5952C35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1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DED4D52-67C9-4BD6-A7B8-3E8E28A3B4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2035423</xdr:colOff>
      <xdr:row>0</xdr:row>
      <xdr:rowOff>0</xdr:rowOff>
    </xdr:from>
    <xdr:to>
      <xdr:col>11</xdr:col>
      <xdr:colOff>1148584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192AA147-C75B-421D-9C8A-192AF5672426}"/>
            </a:ext>
          </a:extLst>
        </xdr:cNvPr>
        <xdr:cNvGrpSpPr/>
      </xdr:nvGrpSpPr>
      <xdr:grpSpPr>
        <a:xfrm>
          <a:off x="23538111" y="0"/>
          <a:ext cx="1542036" cy="1143000"/>
          <a:chOff x="24114373" y="0"/>
          <a:chExt cx="1589661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3511AB3-5DE5-4EE2-8FD2-0E699E32C102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CE3C0802-BB55-461A-AC20-4F129EC97131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E2285E2-0864-4DE6-B137-7E406A004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710628</xdr:colOff>
      <xdr:row>0</xdr:row>
      <xdr:rowOff>0</xdr:rowOff>
    </xdr:from>
    <xdr:to>
      <xdr:col>12</xdr:col>
      <xdr:colOff>2308797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951CD055-58DF-4AE2-9890-EFFF8525CDE0}"/>
            </a:ext>
          </a:extLst>
        </xdr:cNvPr>
        <xdr:cNvGrpSpPr/>
      </xdr:nvGrpSpPr>
      <xdr:grpSpPr>
        <a:xfrm>
          <a:off x="27047253" y="0"/>
          <a:ext cx="1598169" cy="1143000"/>
          <a:chOff x="27761628" y="0"/>
          <a:chExt cx="1598169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58026404-8061-4D27-A106-5C1DDEFDCB13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8145F5A4-6F07-473E-A9CE-8991F997D0CE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99F0F81-B0CD-443C-8E51-9CF4A2071C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956439</xdr:colOff>
      <xdr:row>0</xdr:row>
      <xdr:rowOff>0</xdr:rowOff>
    </xdr:from>
    <xdr:to>
      <xdr:col>14</xdr:col>
      <xdr:colOff>630558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24D9F7A5-5670-457A-8132-858983E4F770}"/>
            </a:ext>
          </a:extLst>
        </xdr:cNvPr>
        <xdr:cNvGrpSpPr/>
      </xdr:nvGrpSpPr>
      <xdr:grpSpPr>
        <a:xfrm>
          <a:off x="30579189" y="0"/>
          <a:ext cx="1555307" cy="1143000"/>
          <a:chOff x="31379289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9E0863AD-51CE-4E0F-93FB-593747B5CEA1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9D522E1F-CFAB-4373-9BA9-8631AB5A5C2D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3" name="Imagem 72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90BBC6D2-0AA8-4DEE-8CCA-95CAE390C6B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2012623</xdr:colOff>
      <xdr:row>0</xdr:row>
      <xdr:rowOff>0</xdr:rowOff>
    </xdr:from>
    <xdr:to>
      <xdr:col>6</xdr:col>
      <xdr:colOff>479500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F6C51491-7EDE-45C9-9856-11BA7B8A9245}"/>
            </a:ext>
          </a:extLst>
        </xdr:cNvPr>
        <xdr:cNvGrpSpPr/>
      </xdr:nvGrpSpPr>
      <xdr:grpSpPr>
        <a:xfrm>
          <a:off x="9394498" y="0"/>
          <a:ext cx="1491065" cy="1143000"/>
          <a:chOff x="9575473" y="0"/>
          <a:chExt cx="1591077" cy="1162050"/>
        </a:xfrm>
      </xdr:grpSpPr>
      <xdr:sp macro="" textlink="">
        <xdr:nvSpPr>
          <xdr:cNvPr id="75" name="Retângulo 7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49EDE100-2D15-4528-88C9-B43388A73EC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6" name="Imagem 75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7A21053B-0686-443B-AF3F-8285A4D27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670FDEB5-BAC9-410A-8F48-BDF78737BF1E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1209624</xdr:colOff>
      <xdr:row>2</xdr:row>
      <xdr:rowOff>400371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DC0CFCC-6BFB-4B9A-907A-AFDD5DC26400}"/>
            </a:ext>
          </a:extLst>
        </xdr:cNvPr>
        <xdr:cNvGrpSpPr/>
      </xdr:nvGrpSpPr>
      <xdr:grpSpPr>
        <a:xfrm>
          <a:off x="0" y="1"/>
          <a:ext cx="1804937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4A1AF65-239E-4BC3-ACB4-EE4BB601F1A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31D3A7A-CABC-4463-AB5A-365F153772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1</xdr:col>
      <xdr:colOff>1210141</xdr:colOff>
      <xdr:row>2</xdr:row>
      <xdr:rowOff>381000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A3C23A8C-8B96-40E7-B32A-548916CE61C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252" t="39637" r="14079" b="25703"/>
        <a:stretch/>
      </xdr:blipFill>
      <xdr:spPr>
        <a:xfrm>
          <a:off x="0" y="1"/>
          <a:ext cx="1819741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9</xdr:col>
      <xdr:colOff>1877291</xdr:colOff>
      <xdr:row>0</xdr:row>
      <xdr:rowOff>54429</xdr:rowOff>
    </xdr:from>
    <xdr:to>
      <xdr:col>9</xdr:col>
      <xdr:colOff>2291223</xdr:colOff>
      <xdr:row>2</xdr:row>
      <xdr:rowOff>105364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B4AE489E-3CA1-4EF2-B878-1158DD263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841" y="54429"/>
          <a:ext cx="413932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2</xdr:row>
      <xdr:rowOff>762002</xdr:rowOff>
    </xdr:from>
    <xdr:to>
      <xdr:col>1</xdr:col>
      <xdr:colOff>1902849</xdr:colOff>
      <xdr:row>3</xdr:row>
      <xdr:rowOff>409352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C6F226-3A04-4B5C-AB07-8943EAE4AC5F}"/>
            </a:ext>
          </a:extLst>
        </xdr:cNvPr>
        <xdr:cNvSpPr/>
      </xdr:nvSpPr>
      <xdr:spPr>
        <a:xfrm>
          <a:off x="609600" y="1143002"/>
          <a:ext cx="1902849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243292</xdr:colOff>
      <xdr:row>3</xdr:row>
      <xdr:rowOff>38102</xdr:rowOff>
    </xdr:from>
    <xdr:to>
      <xdr:col>2</xdr:col>
      <xdr:colOff>2036941</xdr:colOff>
      <xdr:row>3</xdr:row>
      <xdr:rowOff>466502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DB51C8C-4C97-4253-8271-D529C0F0666C}"/>
            </a:ext>
          </a:extLst>
        </xdr:cNvPr>
        <xdr:cNvSpPr/>
      </xdr:nvSpPr>
      <xdr:spPr>
        <a:xfrm>
          <a:off x="2986492" y="1200152"/>
          <a:ext cx="1793649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2392879</xdr:colOff>
      <xdr:row>0</xdr:row>
      <xdr:rowOff>87086</xdr:rowOff>
    </xdr:from>
    <xdr:to>
      <xdr:col>8</xdr:col>
      <xdr:colOff>2827593</xdr:colOff>
      <xdr:row>2</xdr:row>
      <xdr:rowOff>138021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AB2C852-50B9-473B-AC1E-4544444C8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66829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2670461</xdr:colOff>
      <xdr:row>3</xdr:row>
      <xdr:rowOff>69275</xdr:rowOff>
    </xdr:from>
    <xdr:to>
      <xdr:col>3</xdr:col>
      <xdr:colOff>543273</xdr:colOff>
      <xdr:row>3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EB75970D-DAF7-4C0D-ABD0-537EB1246B8F}"/>
            </a:ext>
          </a:extLst>
        </xdr:cNvPr>
        <xdr:cNvSpPr/>
      </xdr:nvSpPr>
      <xdr:spPr>
        <a:xfrm>
          <a:off x="5413661" y="1231325"/>
          <a:ext cx="198761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0</xdr:colOff>
      <xdr:row>29</xdr:row>
      <xdr:rowOff>152400</xdr:rowOff>
    </xdr:from>
    <xdr:to>
      <xdr:col>13</xdr:col>
      <xdr:colOff>1459980</xdr:colOff>
      <xdr:row>33</xdr:row>
      <xdr:rowOff>247650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B0DB3D3-EC63-442F-B8DD-3C1372F712F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32432625" y="8296275"/>
          <a:ext cx="1459980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D20D5D24-06D9-4242-B5ED-CEDD93576C0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92A94E-9721-4E5C-99DB-B2AD6BF5D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5CD50B7-2867-4BC7-9CBE-6F9D6D2D88D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14</xdr:col>
      <xdr:colOff>1441123</xdr:colOff>
      <xdr:row>29</xdr:row>
      <xdr:rowOff>152400</xdr:rowOff>
    </xdr:from>
    <xdr:to>
      <xdr:col>15</xdr:col>
      <xdr:colOff>898600</xdr:colOff>
      <xdr:row>33</xdr:row>
      <xdr:rowOff>247650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D0F94F7-0F50-4E3B-87BD-1775737191DD}"/>
            </a:ext>
          </a:extLst>
        </xdr:cNvPr>
        <xdr:cNvGrpSpPr/>
      </xdr:nvGrpSpPr>
      <xdr:grpSpPr>
        <a:xfrm>
          <a:off x="35873998" y="8296275"/>
          <a:ext cx="1529165" cy="1143000"/>
          <a:chOff x="5936923" y="0"/>
          <a:chExt cx="1591077" cy="1162050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9A747B65-7A99-4331-A74A-6A8D5AC89B7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F6E202C3-066F-44E7-830F-ECF166C83E2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2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2957949-66A2-4DB7-850E-86ADF3F24D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20</xdr:col>
      <xdr:colOff>363554</xdr:colOff>
      <xdr:row>29</xdr:row>
      <xdr:rowOff>152400</xdr:rowOff>
    </xdr:from>
    <xdr:to>
      <xdr:col>23</xdr:col>
      <xdr:colOff>125848</xdr:colOff>
      <xdr:row>33</xdr:row>
      <xdr:rowOff>247650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51198EC-ABCF-4BF5-8853-1053EEE46CD6}"/>
            </a:ext>
          </a:extLst>
        </xdr:cNvPr>
        <xdr:cNvGrpSpPr/>
      </xdr:nvGrpSpPr>
      <xdr:grpSpPr>
        <a:xfrm>
          <a:off x="42916492" y="8296275"/>
          <a:ext cx="1548231" cy="1143000"/>
          <a:chOff x="13203254" y="0"/>
          <a:chExt cx="1591094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775D3A0D-0198-47F2-A051-8962DCE947A9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B1B064C6-6CC4-47A4-9C1A-FE3EA56DC4A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6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69630AB-908D-4DC3-A905-4A059A1DC6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335591</xdr:colOff>
      <xdr:row>29</xdr:row>
      <xdr:rowOff>152400</xdr:rowOff>
    </xdr:from>
    <xdr:to>
      <xdr:col>29</xdr:col>
      <xdr:colOff>118677</xdr:colOff>
      <xdr:row>33</xdr:row>
      <xdr:rowOff>247650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94909A04-20FF-44AD-8EC9-88A9CC47B5E8}"/>
            </a:ext>
          </a:extLst>
        </xdr:cNvPr>
        <xdr:cNvGrpSpPr/>
      </xdr:nvGrpSpPr>
      <xdr:grpSpPr>
        <a:xfrm>
          <a:off x="46460404" y="8296275"/>
          <a:ext cx="1569023" cy="1143000"/>
          <a:chOff x="16832891" y="0"/>
          <a:chExt cx="1611886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46A7D228-EB70-4A35-AC78-E75E252D457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7E931CB5-8A54-4000-BC84-B9F287B780C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C57E380-324B-412E-8D9C-28DB073097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32</xdr:col>
      <xdr:colOff>328420</xdr:colOff>
      <xdr:row>29</xdr:row>
      <xdr:rowOff>152400</xdr:rowOff>
    </xdr:from>
    <xdr:to>
      <xdr:col>35</xdr:col>
      <xdr:colOff>92130</xdr:colOff>
      <xdr:row>33</xdr:row>
      <xdr:rowOff>247650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940F84F4-7653-499E-B4CC-93C8F05C20F6}"/>
            </a:ext>
          </a:extLst>
        </xdr:cNvPr>
        <xdr:cNvGrpSpPr/>
      </xdr:nvGrpSpPr>
      <xdr:grpSpPr>
        <a:xfrm>
          <a:off x="50025108" y="8296275"/>
          <a:ext cx="1549647" cy="1143000"/>
          <a:chOff x="20483320" y="0"/>
          <a:chExt cx="1592510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C6E91119-FD6B-4C4D-AE6B-80D7C24952C2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4047715D-1B44-44BF-8DD2-82DDE6EF90C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E262E9F-C52A-4966-A0FF-F10F03D99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38</xdr:col>
      <xdr:colOff>301873</xdr:colOff>
      <xdr:row>29</xdr:row>
      <xdr:rowOff>152400</xdr:rowOff>
    </xdr:from>
    <xdr:to>
      <xdr:col>41</xdr:col>
      <xdr:colOff>62734</xdr:colOff>
      <xdr:row>33</xdr:row>
      <xdr:rowOff>247650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DABB80C1-1A24-4844-AC75-BC638DA89C7F}"/>
            </a:ext>
          </a:extLst>
        </xdr:cNvPr>
        <xdr:cNvGrpSpPr/>
      </xdr:nvGrpSpPr>
      <xdr:grpSpPr>
        <a:xfrm>
          <a:off x="53570436" y="8296275"/>
          <a:ext cx="1546798" cy="1143000"/>
          <a:chOff x="24114373" y="0"/>
          <a:chExt cx="1589661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8A56A82B-3097-49A8-A1E5-4FAF388F84B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D2BF6C5C-9D57-4832-BFFA-31F50A493363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A9A1964-C94E-422D-999C-216CDC288F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44</xdr:col>
      <xdr:colOff>272478</xdr:colOff>
      <xdr:row>29</xdr:row>
      <xdr:rowOff>152400</xdr:rowOff>
    </xdr:from>
    <xdr:to>
      <xdr:col>47</xdr:col>
      <xdr:colOff>41847</xdr:colOff>
      <xdr:row>33</xdr:row>
      <xdr:rowOff>247650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57B121F2-411E-47E2-B399-ABF0CD9676FA}"/>
            </a:ext>
          </a:extLst>
        </xdr:cNvPr>
        <xdr:cNvGrpSpPr/>
      </xdr:nvGrpSpPr>
      <xdr:grpSpPr>
        <a:xfrm>
          <a:off x="57112916" y="8296275"/>
          <a:ext cx="1555306" cy="1143000"/>
          <a:chOff x="27761628" y="0"/>
          <a:chExt cx="1598169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9080349F-2CF5-4A53-A32F-B3072FA1C1D1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6E2B4298-24D3-4F6B-AF2B-56C185BE65AE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ECDF5B9A-1953-45C4-BBE7-2AA3245C63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50</xdr:col>
      <xdr:colOff>251589</xdr:colOff>
      <xdr:row>29</xdr:row>
      <xdr:rowOff>152400</xdr:rowOff>
    </xdr:from>
    <xdr:to>
      <xdr:col>53</xdr:col>
      <xdr:colOff>20958</xdr:colOff>
      <xdr:row>33</xdr:row>
      <xdr:rowOff>247650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B27FC3B0-F68C-4327-A6A4-07757B259533}"/>
            </a:ext>
          </a:extLst>
        </xdr:cNvPr>
        <xdr:cNvGrpSpPr/>
      </xdr:nvGrpSpPr>
      <xdr:grpSpPr>
        <a:xfrm>
          <a:off x="60663902" y="8296275"/>
          <a:ext cx="1555306" cy="1143000"/>
          <a:chOff x="31379289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64AF81C3-B54C-4AB9-B3D0-DB7007D36F68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BB071842-6C7A-4F0C-B3AE-42F56EEEF90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6" name="Imagem 75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6E11EFE8-5C55-4873-9409-A7164CD929B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17</xdr:col>
      <xdr:colOff>107623</xdr:colOff>
      <xdr:row>29</xdr:row>
      <xdr:rowOff>152400</xdr:rowOff>
    </xdr:from>
    <xdr:to>
      <xdr:col>17</xdr:col>
      <xdr:colOff>1698700</xdr:colOff>
      <xdr:row>33</xdr:row>
      <xdr:rowOff>247650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E182AF29-AD01-42F5-A959-1E41879AA5D7}"/>
            </a:ext>
          </a:extLst>
        </xdr:cNvPr>
        <xdr:cNvGrpSpPr/>
      </xdr:nvGrpSpPr>
      <xdr:grpSpPr>
        <a:xfrm>
          <a:off x="39374436" y="8296275"/>
          <a:ext cx="1591077" cy="1143000"/>
          <a:chOff x="9575473" y="0"/>
          <a:chExt cx="1591077" cy="1162050"/>
        </a:xfrm>
      </xdr:grpSpPr>
      <xdr:sp macro="" textlink="">
        <xdr:nvSpPr>
          <xdr:cNvPr id="78" name="Retângulo 7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59C50C1D-4545-4A72-B166-2B8E0819BE2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B8083597-0F31-494A-9FC4-5CD3BAF401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17C0BF01-CFA5-4F0B-8CFA-9B861C786D6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  <xdr:twoCellAnchor editAs="absolute">
    <xdr:from>
      <xdr:col>1</xdr:col>
      <xdr:colOff>1314450</xdr:colOff>
      <xdr:row>0</xdr:row>
      <xdr:rowOff>0</xdr:rowOff>
    </xdr:from>
    <xdr:to>
      <xdr:col>2</xdr:col>
      <xdr:colOff>640830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3579A809-3FE3-46CC-BAA1-C81DEB1AD84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09763" y="0"/>
          <a:ext cx="1398067" cy="1166813"/>
          <a:chOff x="1993654" y="0"/>
          <a:chExt cx="1022595" cy="781538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4074D053-48A5-40F5-8AE1-2F5A4BE430A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3" name="Imagem 8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6A3B08D-9ADF-41EF-B37D-936F16B7E9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A87830F1-871E-46CE-9200-FC39568398D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2</xdr:col>
      <xdr:colOff>2679373</xdr:colOff>
      <xdr:row>0</xdr:row>
      <xdr:rowOff>0</xdr:rowOff>
    </xdr:from>
    <xdr:to>
      <xdr:col>3</xdr:col>
      <xdr:colOff>155650</xdr:colOff>
      <xdr:row>3</xdr:row>
      <xdr:rowOff>0</xdr:rowOff>
    </xdr:to>
    <xdr:grpSp>
      <xdr:nvGrpSpPr>
        <xdr:cNvPr id="85" name="Agrupar 84">
          <a:extLst>
            <a:ext uri="{FF2B5EF4-FFF2-40B4-BE49-F238E27FC236}">
              <a16:creationId xmlns:a16="http://schemas.microsoft.com/office/drawing/2014/main" id="{D2FD5D5E-BF79-4CFF-AFAC-79D72E9FC712}"/>
            </a:ext>
          </a:extLst>
        </xdr:cNvPr>
        <xdr:cNvGrpSpPr/>
      </xdr:nvGrpSpPr>
      <xdr:grpSpPr>
        <a:xfrm>
          <a:off x="5346373" y="0"/>
          <a:ext cx="1476777" cy="1166813"/>
          <a:chOff x="5936923" y="0"/>
          <a:chExt cx="1591077" cy="1162050"/>
        </a:xfrm>
      </xdr:grpSpPr>
      <xdr:sp macro="" textlink="">
        <xdr:nvSpPr>
          <xdr:cNvPr id="86" name="Retângulo 85">
            <a:extLst>
              <a:ext uri="{FF2B5EF4-FFF2-40B4-BE49-F238E27FC236}">
                <a16:creationId xmlns:a16="http://schemas.microsoft.com/office/drawing/2014/main" id="{1F12F9A8-B31A-4912-B726-4D56D1B6624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28C65C42-A920-4A01-BF88-968D449531F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88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15DCA263-BC71-415A-9338-3D78DFB76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2592404</xdr:colOff>
      <xdr:row>0</xdr:row>
      <xdr:rowOff>0</xdr:rowOff>
    </xdr:from>
    <xdr:to>
      <xdr:col>5</xdr:col>
      <xdr:colOff>602098</xdr:colOff>
      <xdr:row>3</xdr:row>
      <xdr:rowOff>0</xdr:rowOff>
    </xdr:to>
    <xdr:grpSp>
      <xdr:nvGrpSpPr>
        <xdr:cNvPr id="89" name="Agrupar 88">
          <a:extLst>
            <a:ext uri="{FF2B5EF4-FFF2-40B4-BE49-F238E27FC236}">
              <a16:creationId xmlns:a16="http://schemas.microsoft.com/office/drawing/2014/main" id="{472C3F43-B498-42A7-A517-EBBC7D8BF3CC}"/>
            </a:ext>
          </a:extLst>
        </xdr:cNvPr>
        <xdr:cNvGrpSpPr/>
      </xdr:nvGrpSpPr>
      <xdr:grpSpPr>
        <a:xfrm>
          <a:off x="12403154" y="0"/>
          <a:ext cx="1486319" cy="1166813"/>
          <a:chOff x="13203254" y="0"/>
          <a:chExt cx="1591094" cy="1162050"/>
        </a:xfrm>
      </xdr:grpSpPr>
      <xdr:sp macro="" textlink="">
        <xdr:nvSpPr>
          <xdr:cNvPr id="90" name="Retângulo 89">
            <a:extLst>
              <a:ext uri="{FF2B5EF4-FFF2-40B4-BE49-F238E27FC236}">
                <a16:creationId xmlns:a16="http://schemas.microsoft.com/office/drawing/2014/main" id="{1C43EAB5-CF87-44C7-8F05-5E2F366C51C0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48937ABA-0152-4E45-8231-A15FBAEF943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92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899990C9-E953-4711-B90A-0510608DF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2640641</xdr:colOff>
      <xdr:row>0</xdr:row>
      <xdr:rowOff>0</xdr:rowOff>
    </xdr:from>
    <xdr:to>
      <xdr:col>6</xdr:col>
      <xdr:colOff>1395027</xdr:colOff>
      <xdr:row>3</xdr:row>
      <xdr:rowOff>0</xdr:rowOff>
    </xdr:to>
    <xdr:grpSp>
      <xdr:nvGrpSpPr>
        <xdr:cNvPr id="93" name="Agrupar 92">
          <a:extLst>
            <a:ext uri="{FF2B5EF4-FFF2-40B4-BE49-F238E27FC236}">
              <a16:creationId xmlns:a16="http://schemas.microsoft.com/office/drawing/2014/main" id="{0D0D1C5A-7A2C-434D-A153-B139675EA374}"/>
            </a:ext>
          </a:extLst>
        </xdr:cNvPr>
        <xdr:cNvGrpSpPr/>
      </xdr:nvGrpSpPr>
      <xdr:grpSpPr>
        <a:xfrm>
          <a:off x="15928016" y="0"/>
          <a:ext cx="1516636" cy="1166813"/>
          <a:chOff x="16832891" y="0"/>
          <a:chExt cx="1611886" cy="1162050"/>
        </a:xfrm>
      </xdr:grpSpPr>
      <xdr:sp macro="" textlink="">
        <xdr:nvSpPr>
          <xdr:cNvPr id="94" name="Retângulo 93">
            <a:extLst>
              <a:ext uri="{FF2B5EF4-FFF2-40B4-BE49-F238E27FC236}">
                <a16:creationId xmlns:a16="http://schemas.microsoft.com/office/drawing/2014/main" id="{F9E1FE5E-7CC7-42E7-82BE-E3572E739240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C6E159B1-9197-4FC3-B8A4-9EDC7509AD7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96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2BA5A4E8-D7A5-4575-8936-A0B5378CC1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1680970</xdr:colOff>
      <xdr:row>0</xdr:row>
      <xdr:rowOff>0</xdr:rowOff>
    </xdr:from>
    <xdr:to>
      <xdr:col>8</xdr:col>
      <xdr:colOff>1387530</xdr:colOff>
      <xdr:row>3</xdr:row>
      <xdr:rowOff>0</xdr:rowOff>
    </xdr:to>
    <xdr:grpSp>
      <xdr:nvGrpSpPr>
        <xdr:cNvPr id="97" name="Agrupar 96">
          <a:extLst>
            <a:ext uri="{FF2B5EF4-FFF2-40B4-BE49-F238E27FC236}">
              <a16:creationId xmlns:a16="http://schemas.microsoft.com/office/drawing/2014/main" id="{899EFB5B-345E-46E0-8643-398CB443B8E4}"/>
            </a:ext>
          </a:extLst>
        </xdr:cNvPr>
        <xdr:cNvGrpSpPr/>
      </xdr:nvGrpSpPr>
      <xdr:grpSpPr>
        <a:xfrm>
          <a:off x="19445095" y="0"/>
          <a:ext cx="1540123" cy="1166813"/>
          <a:chOff x="20483320" y="0"/>
          <a:chExt cx="1592510" cy="1162050"/>
        </a:xfrm>
      </xdr:grpSpPr>
      <xdr:sp macro="" textlink="">
        <xdr:nvSpPr>
          <xdr:cNvPr id="98" name="Retângulo 97">
            <a:extLst>
              <a:ext uri="{FF2B5EF4-FFF2-40B4-BE49-F238E27FC236}">
                <a16:creationId xmlns:a16="http://schemas.microsoft.com/office/drawing/2014/main" id="{5B9AF5DD-AD84-4BE6-A6B9-00A74E878F36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9" name="CaixaDeTexto 98">
            <a:extLst>
              <a:ext uri="{FF2B5EF4-FFF2-40B4-BE49-F238E27FC236}">
                <a16:creationId xmlns:a16="http://schemas.microsoft.com/office/drawing/2014/main" id="{D50C29E4-00DC-4FA6-9EA6-0BC19551AF38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00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FFB766F-6787-47D2-8382-DE12CF0924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149473</xdr:colOff>
      <xdr:row>0</xdr:row>
      <xdr:rowOff>0</xdr:rowOff>
    </xdr:from>
    <xdr:to>
      <xdr:col>9</xdr:col>
      <xdr:colOff>1739134</xdr:colOff>
      <xdr:row>3</xdr:row>
      <xdr:rowOff>0</xdr:rowOff>
    </xdr:to>
    <xdr:grpSp>
      <xdr:nvGrpSpPr>
        <xdr:cNvPr id="101" name="Agrupar 100">
          <a:extLst>
            <a:ext uri="{FF2B5EF4-FFF2-40B4-BE49-F238E27FC236}">
              <a16:creationId xmlns:a16="http://schemas.microsoft.com/office/drawing/2014/main" id="{930E4111-555C-4B93-97DC-EFADAA1CFEFA}"/>
            </a:ext>
          </a:extLst>
        </xdr:cNvPr>
        <xdr:cNvGrpSpPr/>
      </xdr:nvGrpSpPr>
      <xdr:grpSpPr>
        <a:xfrm>
          <a:off x="22938036" y="0"/>
          <a:ext cx="1589661" cy="1166813"/>
          <a:chOff x="24114373" y="0"/>
          <a:chExt cx="1589661" cy="1162050"/>
        </a:xfrm>
      </xdr:grpSpPr>
      <xdr:sp macro="" textlink="">
        <xdr:nvSpPr>
          <xdr:cNvPr id="102" name="Retângulo 101">
            <a:extLst>
              <a:ext uri="{FF2B5EF4-FFF2-40B4-BE49-F238E27FC236}">
                <a16:creationId xmlns:a16="http://schemas.microsoft.com/office/drawing/2014/main" id="{1E0F8005-9098-47FF-98BE-61F76A0B0E6B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97F2A02B-28BA-4FFF-9F52-195849793943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04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224E2A16-5C65-4809-9175-E74231B92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501078</xdr:colOff>
      <xdr:row>0</xdr:row>
      <xdr:rowOff>0</xdr:rowOff>
    </xdr:from>
    <xdr:to>
      <xdr:col>10</xdr:col>
      <xdr:colOff>2099247</xdr:colOff>
      <xdr:row>3</xdr:row>
      <xdr:rowOff>0</xdr:rowOff>
    </xdr:to>
    <xdr:grpSp>
      <xdr:nvGrpSpPr>
        <xdr:cNvPr id="105" name="Agrupar 104">
          <a:extLst>
            <a:ext uri="{FF2B5EF4-FFF2-40B4-BE49-F238E27FC236}">
              <a16:creationId xmlns:a16="http://schemas.microsoft.com/office/drawing/2014/main" id="{0223D3B2-C8AD-4E48-99DC-4EE6E9FDEBAB}"/>
            </a:ext>
          </a:extLst>
        </xdr:cNvPr>
        <xdr:cNvGrpSpPr/>
      </xdr:nvGrpSpPr>
      <xdr:grpSpPr>
        <a:xfrm>
          <a:off x="26480516" y="0"/>
          <a:ext cx="1598169" cy="1166813"/>
          <a:chOff x="27761628" y="0"/>
          <a:chExt cx="1598169" cy="1162050"/>
        </a:xfrm>
      </xdr:grpSpPr>
      <xdr:sp macro="" textlink="">
        <xdr:nvSpPr>
          <xdr:cNvPr id="106" name="Retângulo 105">
            <a:extLst>
              <a:ext uri="{FF2B5EF4-FFF2-40B4-BE49-F238E27FC236}">
                <a16:creationId xmlns:a16="http://schemas.microsoft.com/office/drawing/2014/main" id="{ED75B81C-3400-4F23-BC6C-A77B762CFCB3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83451076-ED4B-49E7-B742-A59A4603F1D3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08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F2BCBFF4-5572-4640-88F8-314D63CDB1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1870839</xdr:colOff>
      <xdr:row>0</xdr:row>
      <xdr:rowOff>0</xdr:rowOff>
    </xdr:from>
    <xdr:to>
      <xdr:col>12</xdr:col>
      <xdr:colOff>992508</xdr:colOff>
      <xdr:row>3</xdr:row>
      <xdr:rowOff>0</xdr:rowOff>
    </xdr:to>
    <xdr:grpSp>
      <xdr:nvGrpSpPr>
        <xdr:cNvPr id="109" name="Agrupar 108">
          <a:extLst>
            <a:ext uri="{FF2B5EF4-FFF2-40B4-BE49-F238E27FC236}">
              <a16:creationId xmlns:a16="http://schemas.microsoft.com/office/drawing/2014/main" id="{E7F55408-12FF-4D61-8C9E-20AC3A43CF72}"/>
            </a:ext>
          </a:extLst>
        </xdr:cNvPr>
        <xdr:cNvGrpSpPr/>
      </xdr:nvGrpSpPr>
      <xdr:grpSpPr>
        <a:xfrm>
          <a:off x="30041027" y="0"/>
          <a:ext cx="1526731" cy="1166813"/>
          <a:chOff x="31379289" y="0"/>
          <a:chExt cx="1598169" cy="1162050"/>
        </a:xfrm>
      </xdr:grpSpPr>
      <xdr:sp macro="" textlink="">
        <xdr:nvSpPr>
          <xdr:cNvPr id="110" name="Retângulo 109">
            <a:extLst>
              <a:ext uri="{FF2B5EF4-FFF2-40B4-BE49-F238E27FC236}">
                <a16:creationId xmlns:a16="http://schemas.microsoft.com/office/drawing/2014/main" id="{401752E8-191D-49EB-A710-D4F42209AB4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CaixaDeTexto 110">
            <a:extLst>
              <a:ext uri="{FF2B5EF4-FFF2-40B4-BE49-F238E27FC236}">
                <a16:creationId xmlns:a16="http://schemas.microsoft.com/office/drawing/2014/main" id="{49E8264C-2AA9-453C-A434-E5AFDF7C932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12" name="Imagem 111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51BC7D6B-F9D4-4EAD-8543-2611C6EAD3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</xdr:col>
      <xdr:colOff>2203123</xdr:colOff>
      <xdr:row>0</xdr:row>
      <xdr:rowOff>0</xdr:rowOff>
    </xdr:from>
    <xdr:to>
      <xdr:col>4</xdr:col>
      <xdr:colOff>555700</xdr:colOff>
      <xdr:row>3</xdr:row>
      <xdr:rowOff>0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13291233-D106-44DF-8CC3-CD78CF6366FF}"/>
            </a:ext>
          </a:extLst>
        </xdr:cNvPr>
        <xdr:cNvGrpSpPr/>
      </xdr:nvGrpSpPr>
      <xdr:grpSpPr>
        <a:xfrm>
          <a:off x="8870623" y="0"/>
          <a:ext cx="1495827" cy="1166813"/>
          <a:chOff x="9575473" y="0"/>
          <a:chExt cx="1591077" cy="1162050"/>
        </a:xfrm>
      </xdr:grpSpPr>
      <xdr:sp macro="" textlink="">
        <xdr:nvSpPr>
          <xdr:cNvPr id="114" name="Retângulo 113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198E988D-6C4A-4FC9-B67F-9BF909EAADC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5" name="Imagem 114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73538A17-EF32-4091-992C-E51D561DB7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7B0CEF5C-75C2-4C15-837D-A8A9B85A64C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 (2)"/>
      <sheetName val="TAM"/>
    </sheetNames>
    <definedNames>
      <definedName name="BotaoComLogi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  <sheetName val="13_11(VBA) MacrosCompras4.0"/>
    </sheetNames>
    <definedNames>
      <definedName name="MaiorPmenorPreço"/>
      <definedName name="MenoPMaiorPreç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2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drawing" Target="../drawings/drawing44.xm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printerSettings" Target="../printerSettings/printerSettings43.bin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oquimsilv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BN16"/>
  <sheetViews>
    <sheetView zoomScale="40" zoomScaleNormal="40" workbookViewId="0"/>
  </sheetViews>
  <sheetFormatPr defaultColWidth="9.140625" defaultRowHeight="15" x14ac:dyDescent="0.25"/>
  <cols>
    <col min="1" max="16384" width="9.140625" style="506"/>
  </cols>
  <sheetData>
    <row r="1" spans="1:1" s="505" customFormat="1" ht="61.5" customHeight="1" x14ac:dyDescent="0.25"/>
    <row r="2" spans="1:1" s="504" customFormat="1" ht="46.15" customHeight="1" x14ac:dyDescent="0.25">
      <c r="A2" s="504" t="s">
        <v>0</v>
      </c>
    </row>
    <row r="3" spans="1:1" s="506" customFormat="1" x14ac:dyDescent="0.25"/>
    <row r="4" spans="1:1" s="506" customFormat="1" x14ac:dyDescent="0.25"/>
    <row r="5" spans="1:1" s="506" customFormat="1" x14ac:dyDescent="0.25"/>
    <row r="6" spans="1:1" s="506" customFormat="1" x14ac:dyDescent="0.25"/>
    <row r="7" spans="1:1" s="506" customFormat="1" x14ac:dyDescent="0.25"/>
    <row r="8" spans="1:1" s="506" customFormat="1" x14ac:dyDescent="0.25"/>
    <row r="9" spans="1:1" s="506" customFormat="1" x14ac:dyDescent="0.25"/>
    <row r="10" spans="1:1" s="506" customFormat="1" x14ac:dyDescent="0.25"/>
    <row r="11" spans="1:1" s="506" customFormat="1" x14ac:dyDescent="0.25"/>
    <row r="12" spans="1:1" s="506" customFormat="1" x14ac:dyDescent="0.25"/>
    <row r="13" spans="1:1" s="506" customFormat="1" x14ac:dyDescent="0.25"/>
    <row r="14" spans="1:1" s="506" customFormat="1" x14ac:dyDescent="0.25"/>
    <row r="15" spans="1:1" s="506" customFormat="1" x14ac:dyDescent="0.25"/>
    <row r="16" spans="1:1" s="506" customFormat="1" x14ac:dyDescent="0.25"/>
  </sheetData>
  <mergeCells count="1">
    <mergeCell ref="A2:XFD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A1:D7"/>
  <sheetViews>
    <sheetView zoomScale="40" zoomScaleNormal="40" workbookViewId="0"/>
  </sheetViews>
  <sheetFormatPr defaultColWidth="9.140625" defaultRowHeight="29.1" customHeight="1" x14ac:dyDescent="0.25"/>
  <cols>
    <col min="1" max="16384" width="9.140625" style="22"/>
  </cols>
  <sheetData>
    <row r="1" spans="1:4" s="2" customFormat="1" ht="30" customHeight="1" x14ac:dyDescent="0.25"/>
    <row r="2" spans="1:4" s="2" customFormat="1" ht="30" customHeight="1" x14ac:dyDescent="0.25"/>
    <row r="3" spans="1:4" s="2" customFormat="1" ht="30" customHeight="1" x14ac:dyDescent="0.25"/>
    <row r="4" spans="1:4" s="410" customFormat="1" ht="24.95" customHeight="1" x14ac:dyDescent="0.25">
      <c r="A4" s="509"/>
      <c r="B4" s="509"/>
      <c r="C4" s="509"/>
      <c r="D4" s="509"/>
    </row>
    <row r="5" spans="1:4" s="410" customFormat="1" ht="24.95" customHeight="1" x14ac:dyDescent="0.25">
      <c r="A5" s="509"/>
      <c r="B5" s="509"/>
      <c r="C5" s="509"/>
      <c r="D5" s="509"/>
    </row>
    <row r="6" spans="1:4" s="410" customFormat="1" ht="24.95" customHeight="1" x14ac:dyDescent="0.25">
      <c r="A6" s="509"/>
      <c r="B6" s="509"/>
      <c r="C6" s="509"/>
      <c r="D6" s="509"/>
    </row>
    <row r="7" spans="1:4" s="410" customFormat="1" ht="24.95" customHeight="1" x14ac:dyDescent="0.25">
      <c r="A7" s="509"/>
      <c r="B7" s="509"/>
      <c r="C7" s="509"/>
      <c r="D7" s="50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V41"/>
  <sheetViews>
    <sheetView zoomScale="40" zoomScaleNormal="40" workbookViewId="0"/>
  </sheetViews>
  <sheetFormatPr defaultColWidth="9.140625" defaultRowHeight="29.1" customHeight="1" x14ac:dyDescent="0.25"/>
  <cols>
    <col min="1" max="16" width="9.140625" style="22"/>
    <col min="17" max="17" width="53" style="22" bestFit="1" customWidth="1"/>
    <col min="18" max="18" width="23" style="22" bestFit="1" customWidth="1"/>
    <col min="19" max="19" width="31.5703125" style="22" bestFit="1" customWidth="1"/>
    <col min="20" max="20" width="28.7109375" style="22" bestFit="1" customWidth="1"/>
    <col min="21" max="21" width="22" style="22" bestFit="1" customWidth="1"/>
    <col min="22" max="22" width="39.42578125" style="22" bestFit="1" customWidth="1"/>
    <col min="23" max="16384" width="9.140625" style="22"/>
  </cols>
  <sheetData>
    <row r="1" spans="1:22" s="2" customFormat="1" ht="30" customHeight="1" x14ac:dyDescent="0.25"/>
    <row r="2" spans="1:22" s="2" customFormat="1" ht="30" customHeight="1" x14ac:dyDescent="0.25"/>
    <row r="3" spans="1:22" s="2" customFormat="1" ht="30" customHeight="1" x14ac:dyDescent="0.25"/>
    <row r="4" spans="1:22" s="410" customFormat="1" ht="24.95" customHeight="1" x14ac:dyDescent="0.25">
      <c r="A4" s="509"/>
      <c r="B4" s="509"/>
      <c r="C4" s="509"/>
      <c r="D4" s="509"/>
    </row>
    <row r="5" spans="1:22" s="410" customFormat="1" ht="24.95" customHeight="1" x14ac:dyDescent="0.25">
      <c r="A5" s="509"/>
      <c r="B5" s="509"/>
      <c r="C5" s="509"/>
      <c r="D5" s="509"/>
    </row>
    <row r="6" spans="1:22" s="410" customFormat="1" ht="24.95" customHeight="1" x14ac:dyDescent="0.25">
      <c r="A6" s="509"/>
      <c r="B6" s="509"/>
      <c r="C6" s="509"/>
      <c r="D6" s="509"/>
    </row>
    <row r="7" spans="1:22" s="410" customFormat="1" ht="24.95" customHeight="1" x14ac:dyDescent="0.25">
      <c r="A7" s="509"/>
      <c r="B7" s="509"/>
      <c r="C7" s="509"/>
      <c r="D7" s="509"/>
    </row>
    <row r="10" spans="1:22" ht="29.1" customHeight="1" thickBot="1" x14ac:dyDescent="0.3"/>
    <row r="11" spans="1:22" ht="29.1" customHeight="1" x14ac:dyDescent="0.25">
      <c r="Q11" s="421" t="s">
        <v>1</v>
      </c>
      <c r="R11" s="422"/>
      <c r="S11" s="422"/>
      <c r="T11" s="422"/>
      <c r="U11" s="422"/>
      <c r="V11" s="423"/>
    </row>
    <row r="12" spans="1:22" ht="29.1" customHeight="1" x14ac:dyDescent="0.25">
      <c r="Q12" s="424"/>
      <c r="R12" s="425"/>
      <c r="S12" s="425"/>
      <c r="T12" s="425"/>
      <c r="U12" s="425"/>
      <c r="V12" s="426"/>
    </row>
    <row r="13" spans="1:22" ht="75" customHeight="1" x14ac:dyDescent="0.25">
      <c r="Q13" s="382" t="s">
        <v>2</v>
      </c>
      <c r="R13" s="385" t="s">
        <v>3</v>
      </c>
      <c r="S13" s="385" t="s">
        <v>4</v>
      </c>
      <c r="T13" s="385" t="s">
        <v>5</v>
      </c>
      <c r="U13" s="386" t="s">
        <v>6</v>
      </c>
      <c r="V13" s="387" t="s">
        <v>7</v>
      </c>
    </row>
    <row r="14" spans="1:22" ht="75" customHeight="1" x14ac:dyDescent="0.25">
      <c r="Q14" s="383" t="s">
        <v>8</v>
      </c>
      <c r="R14" s="388">
        <v>2</v>
      </c>
      <c r="S14" s="389">
        <v>1</v>
      </c>
      <c r="T14" s="389">
        <v>0</v>
      </c>
      <c r="U14" s="389">
        <v>1</v>
      </c>
      <c r="V14" s="390">
        <v>2</v>
      </c>
    </row>
    <row r="15" spans="1:22" ht="75" customHeight="1" x14ac:dyDescent="0.25">
      <c r="Q15" s="383" t="s">
        <v>9</v>
      </c>
      <c r="R15" s="391">
        <v>2</v>
      </c>
      <c r="S15" s="392">
        <v>1</v>
      </c>
      <c r="T15" s="392">
        <v>0</v>
      </c>
      <c r="U15" s="392">
        <v>2</v>
      </c>
      <c r="V15" s="393">
        <v>1</v>
      </c>
    </row>
    <row r="16" spans="1:22" ht="75" customHeight="1" x14ac:dyDescent="0.25">
      <c r="Q16" s="383" t="s">
        <v>10</v>
      </c>
      <c r="R16" s="391">
        <v>1</v>
      </c>
      <c r="S16" s="392">
        <v>1</v>
      </c>
      <c r="T16" s="392">
        <v>5</v>
      </c>
      <c r="U16" s="392">
        <v>3</v>
      </c>
      <c r="V16" s="393">
        <v>2</v>
      </c>
    </row>
    <row r="17" spans="17:22" ht="75" customHeight="1" thickBot="1" x14ac:dyDescent="0.3">
      <c r="Q17" s="384" t="s">
        <v>11</v>
      </c>
      <c r="R17" s="394">
        <v>4</v>
      </c>
      <c r="S17" s="395">
        <v>1</v>
      </c>
      <c r="T17" s="395">
        <v>0</v>
      </c>
      <c r="U17" s="395">
        <v>4</v>
      </c>
      <c r="V17" s="396">
        <v>1</v>
      </c>
    </row>
    <row r="21" spans="17:22" ht="29.1" customHeight="1" thickBot="1" x14ac:dyDescent="0.3"/>
    <row r="22" spans="17:22" ht="29.1" customHeight="1" x14ac:dyDescent="0.25">
      <c r="R22" s="427" t="s">
        <v>10</v>
      </c>
      <c r="S22" s="428"/>
      <c r="T22" s="428"/>
      <c r="U22" s="429"/>
    </row>
    <row r="23" spans="17:22" ht="29.1" customHeight="1" x14ac:dyDescent="0.25">
      <c r="R23" s="430"/>
      <c r="S23" s="431"/>
      <c r="T23" s="431"/>
      <c r="U23" s="432"/>
    </row>
    <row r="24" spans="17:22" ht="29.1" customHeight="1" x14ac:dyDescent="0.25">
      <c r="R24" s="413" t="s">
        <v>12</v>
      </c>
      <c r="S24" s="414"/>
      <c r="T24" s="417">
        <v>1</v>
      </c>
      <c r="U24" s="419"/>
    </row>
    <row r="25" spans="17:22" ht="29.1" customHeight="1" x14ac:dyDescent="0.25">
      <c r="R25" s="415"/>
      <c r="S25" s="416"/>
      <c r="T25" s="418"/>
      <c r="U25" s="420"/>
    </row>
    <row r="26" spans="17:22" ht="29.1" customHeight="1" x14ac:dyDescent="0.25">
      <c r="R26" s="3"/>
      <c r="S26" s="4"/>
      <c r="T26" s="5" t="s">
        <v>13</v>
      </c>
      <c r="U26" s="6" t="s">
        <v>13</v>
      </c>
    </row>
    <row r="27" spans="17:22" ht="29.1" customHeight="1" x14ac:dyDescent="0.25">
      <c r="R27" s="411" t="s">
        <v>3</v>
      </c>
      <c r="S27" s="412"/>
      <c r="T27" s="397">
        <f>VLOOKUP(R22,Q14:V17,2,FALSE)*T24</f>
        <v>1</v>
      </c>
      <c r="U27" s="7"/>
    </row>
    <row r="28" spans="17:22" ht="29.1" customHeight="1" x14ac:dyDescent="0.35">
      <c r="R28" s="77"/>
      <c r="S28" s="78" t="s">
        <v>13</v>
      </c>
      <c r="T28" s="10" t="s">
        <v>13</v>
      </c>
      <c r="U28" s="6" t="s">
        <v>13</v>
      </c>
    </row>
    <row r="29" spans="17:22" ht="29.1" customHeight="1" x14ac:dyDescent="0.25">
      <c r="R29" s="411" t="s">
        <v>4</v>
      </c>
      <c r="S29" s="412"/>
      <c r="T29" s="397">
        <f>VLOOKUP(R22,Q14:V17,3,FALSE)*T24</f>
        <v>1</v>
      </c>
      <c r="U29" s="7"/>
    </row>
    <row r="30" spans="17:22" ht="29.1" customHeight="1" x14ac:dyDescent="0.25">
      <c r="R30" s="79"/>
      <c r="S30" s="78" t="s">
        <v>13</v>
      </c>
      <c r="T30" s="10" t="s">
        <v>13</v>
      </c>
      <c r="U30" s="6" t="s">
        <v>13</v>
      </c>
    </row>
    <row r="31" spans="17:22" ht="29.1" customHeight="1" x14ac:dyDescent="0.25">
      <c r="R31" s="411" t="s">
        <v>5</v>
      </c>
      <c r="S31" s="412"/>
      <c r="T31" s="397">
        <f>VLOOKUP(R22,Q14:V17,4,FALSE)*T24</f>
        <v>5</v>
      </c>
      <c r="U31" s="7"/>
    </row>
    <row r="32" spans="17:22" ht="29.1" customHeight="1" x14ac:dyDescent="0.35">
      <c r="R32" s="77"/>
      <c r="S32" s="78" t="s">
        <v>13</v>
      </c>
      <c r="T32" s="10" t="s">
        <v>13</v>
      </c>
      <c r="U32" s="6" t="s">
        <v>13</v>
      </c>
    </row>
    <row r="33" spans="18:21" ht="29.1" customHeight="1" x14ac:dyDescent="0.25">
      <c r="R33" s="411" t="s">
        <v>6</v>
      </c>
      <c r="S33" s="412"/>
      <c r="T33" s="397">
        <f>VLOOKUP(R22,Q14:V17,5,FALSE)*T24</f>
        <v>3</v>
      </c>
      <c r="U33" s="7"/>
    </row>
    <row r="34" spans="18:21" ht="29.1" customHeight="1" x14ac:dyDescent="0.25">
      <c r="R34" s="79"/>
      <c r="S34" s="78"/>
      <c r="T34" s="80"/>
      <c r="U34" s="6"/>
    </row>
    <row r="35" spans="18:21" ht="29.1" customHeight="1" x14ac:dyDescent="0.25">
      <c r="R35" s="411" t="s">
        <v>7</v>
      </c>
      <c r="S35" s="412"/>
      <c r="T35" s="397">
        <f>VLOOKUP(R22,Q14:V17,6,FALSE)*T24</f>
        <v>2</v>
      </c>
      <c r="U35" s="7"/>
    </row>
    <row r="36" spans="18:21" ht="29.1" customHeight="1" x14ac:dyDescent="0.25">
      <c r="R36" s="3"/>
      <c r="S36" s="10"/>
      <c r="T36" s="9"/>
      <c r="U36" s="11"/>
    </row>
    <row r="37" spans="18:21" ht="29.1" customHeight="1" x14ac:dyDescent="0.25">
      <c r="R37" s="3"/>
      <c r="S37" s="10"/>
      <c r="T37" s="9"/>
      <c r="U37" s="11"/>
    </row>
    <row r="38" spans="18:21" ht="29.1" customHeight="1" x14ac:dyDescent="0.45">
      <c r="R38" s="3"/>
      <c r="S38" s="12"/>
      <c r="T38" s="12"/>
      <c r="U38" s="13"/>
    </row>
    <row r="39" spans="18:21" ht="29.1" customHeight="1" x14ac:dyDescent="0.45">
      <c r="R39" s="3"/>
      <c r="S39" s="12"/>
      <c r="T39" s="12"/>
      <c r="U39" s="13"/>
    </row>
    <row r="40" spans="18:21" ht="29.1" customHeight="1" x14ac:dyDescent="0.45">
      <c r="R40" s="3"/>
      <c r="S40" s="12"/>
      <c r="T40" s="12"/>
      <c r="U40" s="13"/>
    </row>
    <row r="41" spans="18:21" ht="29.1" customHeight="1" thickBot="1" x14ac:dyDescent="0.5">
      <c r="R41" s="14"/>
      <c r="S41" s="15"/>
      <c r="T41" s="15"/>
      <c r="U41" s="16"/>
    </row>
  </sheetData>
  <mergeCells count="10"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AF63"/>
  <sheetViews>
    <sheetView zoomScale="40" zoomScaleNormal="40" workbookViewId="0"/>
  </sheetViews>
  <sheetFormatPr defaultColWidth="9.140625" defaultRowHeight="15" x14ac:dyDescent="0.25"/>
  <cols>
    <col min="1" max="12" width="9.140625" style="22"/>
    <col min="13" max="13" width="3.42578125" style="22" bestFit="1" customWidth="1"/>
    <col min="14" max="14" width="29.85546875" style="22" bestFit="1" customWidth="1"/>
    <col min="15" max="16" width="3.42578125" style="22" bestFit="1" customWidth="1"/>
    <col min="17" max="17" width="3.42578125" style="22" customWidth="1"/>
    <col min="18" max="18" width="40.7109375" style="22" customWidth="1"/>
    <col min="19" max="19" width="3.42578125" style="22" bestFit="1" customWidth="1"/>
    <col min="20" max="20" width="9.140625" style="22"/>
    <col min="21" max="21" width="40.7109375" style="22" customWidth="1"/>
    <col min="22" max="23" width="9.140625" style="22"/>
    <col min="24" max="24" width="3.42578125" style="22" bestFit="1" customWidth="1"/>
    <col min="25" max="25" width="29.85546875" style="22" bestFit="1" customWidth="1"/>
    <col min="26" max="28" width="3.42578125" style="22" bestFit="1" customWidth="1"/>
    <col min="29" max="29" width="40.7109375" style="22" customWidth="1"/>
    <col min="30" max="30" width="3.42578125" style="22" bestFit="1" customWidth="1"/>
    <col min="31" max="16384" width="9.140625" style="22"/>
  </cols>
  <sheetData>
    <row r="1" spans="1:27" s="2" customFormat="1" ht="30" customHeight="1" x14ac:dyDescent="0.25"/>
    <row r="2" spans="1:27" s="2" customFormat="1" ht="30" customHeight="1" x14ac:dyDescent="0.25"/>
    <row r="3" spans="1:27" s="2" customFormat="1" ht="30" customHeight="1" x14ac:dyDescent="0.25"/>
    <row r="4" spans="1:27" s="410" customFormat="1" ht="24.95" customHeight="1" x14ac:dyDescent="0.25">
      <c r="A4" s="509"/>
      <c r="B4" s="509"/>
      <c r="C4" s="509"/>
      <c r="D4" s="509"/>
    </row>
    <row r="5" spans="1:27" s="410" customFormat="1" ht="24.95" customHeight="1" x14ac:dyDescent="0.25">
      <c r="A5" s="509"/>
      <c r="B5" s="509"/>
      <c r="C5" s="509"/>
      <c r="D5" s="509"/>
    </row>
    <row r="6" spans="1:27" s="410" customFormat="1" ht="24.95" customHeight="1" x14ac:dyDescent="0.25">
      <c r="A6" s="509"/>
      <c r="B6" s="509"/>
      <c r="C6" s="509"/>
      <c r="D6" s="509"/>
    </row>
    <row r="7" spans="1:27" s="410" customFormat="1" ht="24.95" customHeight="1" x14ac:dyDescent="0.25">
      <c r="A7" s="509"/>
      <c r="B7" s="509"/>
      <c r="C7" s="509"/>
      <c r="D7" s="509"/>
    </row>
    <row r="8" spans="1:27" ht="28.9" customHeight="1" x14ac:dyDescent="0.25"/>
    <row r="9" spans="1:27" ht="28.9" customHeight="1" x14ac:dyDescent="0.25"/>
    <row r="10" spans="1:27" ht="28.9" customHeight="1" x14ac:dyDescent="0.25"/>
    <row r="11" spans="1:27" ht="28.9" customHeight="1" thickBot="1" x14ac:dyDescent="0.3">
      <c r="T11" s="510"/>
      <c r="U11" s="510"/>
      <c r="V11" s="510"/>
      <c r="W11" s="510"/>
      <c r="X11" s="510"/>
      <c r="Y11" s="510"/>
      <c r="Z11" s="510"/>
      <c r="AA11" s="510"/>
    </row>
    <row r="12" spans="1:27" ht="28.9" customHeight="1" x14ac:dyDescent="0.25">
      <c r="R12" s="442" t="s">
        <v>14</v>
      </c>
      <c r="S12" s="443"/>
      <c r="T12" s="443"/>
      <c r="U12" s="443"/>
      <c r="V12" s="443"/>
      <c r="W12" s="443"/>
      <c r="X12" s="443"/>
      <c r="Y12" s="443"/>
      <c r="Z12" s="443"/>
      <c r="AA12" s="444"/>
    </row>
    <row r="13" spans="1:27" ht="28.9" customHeight="1" x14ac:dyDescent="0.25">
      <c r="R13" s="445"/>
      <c r="S13" s="446"/>
      <c r="T13" s="446"/>
      <c r="U13" s="446"/>
      <c r="V13" s="446"/>
      <c r="W13" s="446"/>
      <c r="X13" s="446"/>
      <c r="Y13" s="446"/>
      <c r="Z13" s="446"/>
      <c r="AA13" s="447"/>
    </row>
    <row r="14" spans="1:27" ht="28.9" customHeight="1" x14ac:dyDescent="0.25">
      <c r="R14" s="448" t="s">
        <v>15</v>
      </c>
      <c r="S14" s="449"/>
      <c r="T14" s="449"/>
      <c r="U14" s="449"/>
      <c r="V14" s="449"/>
      <c r="W14" s="449"/>
      <c r="X14" s="449"/>
      <c r="Y14" s="449"/>
      <c r="Z14" s="449"/>
      <c r="AA14" s="450"/>
    </row>
    <row r="15" spans="1:27" ht="28.9" customHeight="1" thickBot="1" x14ac:dyDescent="0.3">
      <c r="R15" s="451"/>
      <c r="S15" s="452"/>
      <c r="T15" s="452"/>
      <c r="U15" s="452"/>
      <c r="V15" s="452"/>
      <c r="W15" s="452"/>
      <c r="X15" s="452"/>
      <c r="Y15" s="452"/>
      <c r="Z15" s="452"/>
      <c r="AA15" s="453"/>
    </row>
    <row r="16" spans="1:27" ht="28.9" customHeight="1" x14ac:dyDescent="0.25"/>
    <row r="17" spans="13:32" ht="28.9" customHeight="1" thickBot="1" x14ac:dyDescent="0.3">
      <c r="AE17" s="512"/>
      <c r="AF17" s="512"/>
    </row>
    <row r="18" spans="13:32" ht="28.9" customHeight="1" x14ac:dyDescent="0.25">
      <c r="M18" s="433" t="s">
        <v>16</v>
      </c>
      <c r="N18" s="434"/>
      <c r="O18" s="434"/>
      <c r="P18" s="434"/>
      <c r="Q18" s="434"/>
      <c r="R18" s="434"/>
      <c r="S18" s="435"/>
      <c r="X18" s="433" t="s">
        <v>16</v>
      </c>
      <c r="Y18" s="434"/>
      <c r="Z18" s="434"/>
      <c r="AA18" s="434"/>
      <c r="AB18" s="434"/>
      <c r="AC18" s="434"/>
      <c r="AD18" s="435"/>
      <c r="AE18" s="512"/>
      <c r="AF18" s="512"/>
    </row>
    <row r="19" spans="13:32" ht="28.9" customHeight="1" x14ac:dyDescent="0.25">
      <c r="M19" s="436"/>
      <c r="N19" s="437"/>
      <c r="O19" s="437"/>
      <c r="P19" s="437"/>
      <c r="Q19" s="437"/>
      <c r="R19" s="437"/>
      <c r="S19" s="438"/>
      <c r="X19" s="436"/>
      <c r="Y19" s="437"/>
      <c r="Z19" s="437"/>
      <c r="AA19" s="437"/>
      <c r="AB19" s="437"/>
      <c r="AC19" s="437"/>
      <c r="AD19" s="438"/>
      <c r="AE19" s="512"/>
      <c r="AF19" s="512"/>
    </row>
    <row r="20" spans="13:32" ht="28.9" customHeight="1" thickBot="1" x14ac:dyDescent="0.5">
      <c r="M20" s="439"/>
      <c r="N20" s="440"/>
      <c r="O20" s="440"/>
      <c r="P20" s="440"/>
      <c r="Q20" s="440"/>
      <c r="R20" s="440"/>
      <c r="S20" s="441"/>
      <c r="X20" s="439"/>
      <c r="Y20" s="440"/>
      <c r="Z20" s="440"/>
      <c r="AA20" s="440"/>
      <c r="AB20" s="440"/>
      <c r="AC20" s="440"/>
      <c r="AD20" s="441"/>
      <c r="AE20" s="508"/>
      <c r="AF20" s="508"/>
    </row>
    <row r="21" spans="13:32" ht="28.9" customHeight="1" x14ac:dyDescent="0.45"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3" t="s">
        <v>13</v>
      </c>
      <c r="X21" s="30" t="s">
        <v>13</v>
      </c>
      <c r="Y21" s="29" t="s">
        <v>13</v>
      </c>
      <c r="Z21" s="29" t="s">
        <v>13</v>
      </c>
      <c r="AA21" s="29" t="s">
        <v>13</v>
      </c>
      <c r="AB21" s="29" t="s">
        <v>13</v>
      </c>
      <c r="AC21" s="12" t="s">
        <v>13</v>
      </c>
      <c r="AD21" s="13" t="s">
        <v>13</v>
      </c>
      <c r="AE21" s="517"/>
      <c r="AF21" s="508"/>
    </row>
    <row r="22" spans="13:32" ht="28.9" customHeight="1" x14ac:dyDescent="0.45">
      <c r="M22" s="17" t="s">
        <v>13</v>
      </c>
      <c r="N22" s="380" t="s">
        <v>17</v>
      </c>
      <c r="O22" s="18"/>
      <c r="P22" s="19" t="s">
        <v>13</v>
      </c>
      <c r="Q22" s="19" t="s">
        <v>13</v>
      </c>
      <c r="R22" s="379" t="s">
        <v>18</v>
      </c>
      <c r="S22" s="13" t="s">
        <v>13</v>
      </c>
      <c r="X22" s="30" t="s">
        <v>13</v>
      </c>
      <c r="Y22" s="381" t="s">
        <v>17</v>
      </c>
      <c r="Z22" s="60"/>
      <c r="AA22" s="29" t="s">
        <v>13</v>
      </c>
      <c r="AB22" s="29" t="s">
        <v>13</v>
      </c>
      <c r="AC22" s="379" t="s">
        <v>19</v>
      </c>
      <c r="AD22" s="13" t="s">
        <v>13</v>
      </c>
      <c r="AE22" s="508"/>
      <c r="AF22" s="508"/>
    </row>
    <row r="23" spans="13:32" ht="28.9" customHeight="1" x14ac:dyDescent="0.45"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517"/>
      <c r="AF23" s="508"/>
    </row>
    <row r="24" spans="13:32" ht="28.9" customHeight="1" x14ac:dyDescent="0.45">
      <c r="M24" s="17" t="s">
        <v>13</v>
      </c>
      <c r="N24" s="380" t="s">
        <v>20</v>
      </c>
      <c r="O24" s="18"/>
      <c r="P24" s="19" t="s">
        <v>13</v>
      </c>
      <c r="Q24" s="19" t="s">
        <v>13</v>
      </c>
      <c r="R24" s="379" t="s">
        <v>21</v>
      </c>
      <c r="S24" s="13" t="s">
        <v>13</v>
      </c>
      <c r="X24" s="30" t="s">
        <v>13</v>
      </c>
      <c r="Y24" s="381" t="s">
        <v>20</v>
      </c>
      <c r="Z24" s="18"/>
      <c r="AA24" s="19" t="s">
        <v>13</v>
      </c>
      <c r="AB24" s="19" t="s">
        <v>13</v>
      </c>
      <c r="AC24" s="379" t="s">
        <v>22</v>
      </c>
      <c r="AD24" s="13" t="s">
        <v>13</v>
      </c>
      <c r="AE24" s="508"/>
      <c r="AF24" s="508"/>
    </row>
    <row r="25" spans="13:32" ht="28.9" customHeight="1" x14ac:dyDescent="0.45"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2" t="s">
        <v>13</v>
      </c>
      <c r="S25" s="13" t="s">
        <v>13</v>
      </c>
      <c r="X25" s="30" t="s">
        <v>13</v>
      </c>
      <c r="Y25" s="29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508"/>
      <c r="AF25" s="508"/>
    </row>
    <row r="26" spans="13:32" ht="28.9" customHeight="1" thickBot="1" x14ac:dyDescent="0.5"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5" t="s">
        <v>13</v>
      </c>
      <c r="S26" s="16" t="s">
        <v>13</v>
      </c>
      <c r="X26" s="83" t="s">
        <v>13</v>
      </c>
      <c r="Y26" s="84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</row>
    <row r="27" spans="13:32" ht="28.9" customHeight="1" x14ac:dyDescent="0.25"/>
    <row r="28" spans="13:32" ht="28.9" customHeight="1" thickBot="1" x14ac:dyDescent="0.3">
      <c r="AE28" s="512"/>
      <c r="AF28" s="512"/>
    </row>
    <row r="29" spans="13:32" ht="28.9" customHeight="1" x14ac:dyDescent="0.25">
      <c r="M29" s="433" t="s">
        <v>16</v>
      </c>
      <c r="N29" s="434"/>
      <c r="O29" s="434"/>
      <c r="P29" s="434"/>
      <c r="Q29" s="434"/>
      <c r="R29" s="434"/>
      <c r="S29" s="435"/>
      <c r="X29" s="433" t="s">
        <v>16</v>
      </c>
      <c r="Y29" s="434"/>
      <c r="Z29" s="434"/>
      <c r="AA29" s="434"/>
      <c r="AB29" s="434"/>
      <c r="AC29" s="434"/>
      <c r="AD29" s="435"/>
      <c r="AE29" s="512"/>
      <c r="AF29" s="512"/>
    </row>
    <row r="30" spans="13:32" ht="28.9" customHeight="1" x14ac:dyDescent="0.25">
      <c r="M30" s="436"/>
      <c r="N30" s="437"/>
      <c r="O30" s="437"/>
      <c r="P30" s="437"/>
      <c r="Q30" s="437"/>
      <c r="R30" s="437"/>
      <c r="S30" s="438"/>
      <c r="X30" s="436"/>
      <c r="Y30" s="437"/>
      <c r="Z30" s="437"/>
      <c r="AA30" s="437"/>
      <c r="AB30" s="437"/>
      <c r="AC30" s="437"/>
      <c r="AD30" s="438"/>
      <c r="AE30" s="512"/>
      <c r="AF30" s="512"/>
    </row>
    <row r="31" spans="13:32" ht="28.9" customHeight="1" thickBot="1" x14ac:dyDescent="0.5">
      <c r="M31" s="439"/>
      <c r="N31" s="440"/>
      <c r="O31" s="440"/>
      <c r="P31" s="440"/>
      <c r="Q31" s="440"/>
      <c r="R31" s="440"/>
      <c r="S31" s="441"/>
      <c r="X31" s="439"/>
      <c r="Y31" s="440"/>
      <c r="Z31" s="440"/>
      <c r="AA31" s="440"/>
      <c r="AB31" s="440"/>
      <c r="AC31" s="440"/>
      <c r="AD31" s="441"/>
      <c r="AE31" s="508"/>
      <c r="AF31" s="508"/>
    </row>
    <row r="32" spans="13:32" ht="28.9" customHeight="1" x14ac:dyDescent="0.45">
      <c r="M32" s="17" t="s">
        <v>13</v>
      </c>
      <c r="N32" s="19" t="s">
        <v>13</v>
      </c>
      <c r="O32" s="19" t="s">
        <v>13</v>
      </c>
      <c r="P32" s="19" t="s">
        <v>13</v>
      </c>
      <c r="Q32" s="19" t="s">
        <v>13</v>
      </c>
      <c r="R32" s="12" t="s">
        <v>13</v>
      </c>
      <c r="S32" s="13" t="s">
        <v>13</v>
      </c>
      <c r="X32" s="30" t="s">
        <v>13</v>
      </c>
      <c r="Y32" s="29" t="s">
        <v>13</v>
      </c>
      <c r="Z32" s="29" t="s">
        <v>13</v>
      </c>
      <c r="AA32" s="29" t="s">
        <v>13</v>
      </c>
      <c r="AB32" s="29" t="s">
        <v>13</v>
      </c>
      <c r="AC32" s="12" t="s">
        <v>13</v>
      </c>
      <c r="AD32" s="13" t="s">
        <v>13</v>
      </c>
      <c r="AE32" s="517"/>
      <c r="AF32" s="508"/>
    </row>
    <row r="33" spans="13:32" ht="28.9" customHeight="1" x14ac:dyDescent="0.45">
      <c r="M33" s="17" t="s">
        <v>13</v>
      </c>
      <c r="N33" s="380" t="s">
        <v>17</v>
      </c>
      <c r="O33" s="18"/>
      <c r="P33" s="19" t="s">
        <v>13</v>
      </c>
      <c r="Q33" s="19" t="s">
        <v>13</v>
      </c>
      <c r="R33" s="379" t="s">
        <v>23</v>
      </c>
      <c r="S33" s="13" t="s">
        <v>13</v>
      </c>
      <c r="X33" s="30" t="s">
        <v>13</v>
      </c>
      <c r="Y33" s="381" t="s">
        <v>17</v>
      </c>
      <c r="Z33" s="60"/>
      <c r="AA33" s="29" t="s">
        <v>13</v>
      </c>
      <c r="AB33" s="29" t="s">
        <v>13</v>
      </c>
      <c r="AC33" s="379" t="s">
        <v>24</v>
      </c>
      <c r="AD33" s="13" t="s">
        <v>13</v>
      </c>
      <c r="AE33" s="508"/>
      <c r="AF33" s="508"/>
    </row>
    <row r="34" spans="13:32" ht="28.9" customHeight="1" x14ac:dyDescent="0.45">
      <c r="M34" s="17" t="s">
        <v>13</v>
      </c>
      <c r="N34" s="19" t="s">
        <v>13</v>
      </c>
      <c r="O34" s="19" t="s">
        <v>13</v>
      </c>
      <c r="P34" s="19" t="s">
        <v>13</v>
      </c>
      <c r="Q34" s="19" t="s">
        <v>13</v>
      </c>
      <c r="R34" s="12" t="s">
        <v>13</v>
      </c>
      <c r="S34" s="13" t="s">
        <v>13</v>
      </c>
      <c r="X34" s="17" t="s">
        <v>13</v>
      </c>
      <c r="Y34" s="19" t="s">
        <v>13</v>
      </c>
      <c r="Z34" s="19" t="s">
        <v>13</v>
      </c>
      <c r="AA34" s="19" t="s">
        <v>13</v>
      </c>
      <c r="AB34" s="19" t="s">
        <v>13</v>
      </c>
      <c r="AC34" s="12" t="s">
        <v>13</v>
      </c>
      <c r="AD34" s="13" t="s">
        <v>13</v>
      </c>
      <c r="AE34" s="517"/>
      <c r="AF34" s="508"/>
    </row>
    <row r="35" spans="13:32" ht="28.9" customHeight="1" x14ac:dyDescent="0.45">
      <c r="M35" s="17" t="s">
        <v>13</v>
      </c>
      <c r="N35" s="380" t="s">
        <v>20</v>
      </c>
      <c r="O35" s="18"/>
      <c r="P35" s="19" t="s">
        <v>13</v>
      </c>
      <c r="Q35" s="19" t="s">
        <v>13</v>
      </c>
      <c r="R35" s="379" t="s">
        <v>25</v>
      </c>
      <c r="S35" s="13" t="s">
        <v>13</v>
      </c>
      <c r="X35" s="17" t="s">
        <v>13</v>
      </c>
      <c r="Y35" s="380" t="s">
        <v>20</v>
      </c>
      <c r="Z35" s="18"/>
      <c r="AA35" s="19" t="s">
        <v>13</v>
      </c>
      <c r="AB35" s="19" t="s">
        <v>13</v>
      </c>
      <c r="AC35" s="379" t="s">
        <v>26</v>
      </c>
      <c r="AD35" s="13" t="s">
        <v>13</v>
      </c>
      <c r="AE35" s="508"/>
      <c r="AF35" s="508"/>
    </row>
    <row r="36" spans="13:32" ht="28.9" customHeight="1" x14ac:dyDescent="0.45">
      <c r="M36" s="17" t="s">
        <v>13</v>
      </c>
      <c r="N36" s="19" t="s">
        <v>13</v>
      </c>
      <c r="O36" s="19" t="s">
        <v>13</v>
      </c>
      <c r="P36" s="19" t="s">
        <v>13</v>
      </c>
      <c r="Q36" s="19" t="s">
        <v>13</v>
      </c>
      <c r="R36" s="12" t="s">
        <v>13</v>
      </c>
      <c r="S36" s="13" t="s">
        <v>13</v>
      </c>
      <c r="X36" s="17" t="s">
        <v>13</v>
      </c>
      <c r="Y36" s="19" t="s">
        <v>13</v>
      </c>
      <c r="Z36" s="19" t="s">
        <v>13</v>
      </c>
      <c r="AA36" s="19" t="s">
        <v>13</v>
      </c>
      <c r="AB36" s="19" t="s">
        <v>13</v>
      </c>
      <c r="AC36" s="12" t="s">
        <v>13</v>
      </c>
      <c r="AD36" s="13" t="s">
        <v>13</v>
      </c>
      <c r="AE36" s="508"/>
      <c r="AF36" s="508"/>
    </row>
    <row r="37" spans="13:32" ht="28.9" customHeight="1" thickBot="1" x14ac:dyDescent="0.5"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3:32" ht="28.9" customHeight="1" x14ac:dyDescent="0.25">
      <c r="T38" s="510"/>
      <c r="U38" s="510"/>
      <c r="V38" s="510"/>
      <c r="W38" s="510"/>
      <c r="X38" s="510"/>
      <c r="Y38" s="510"/>
      <c r="Z38" s="510"/>
      <c r="AA38" s="510"/>
    </row>
    <row r="39" spans="13:32" ht="28.9" customHeight="1" x14ac:dyDescent="0.25">
      <c r="T39" s="510"/>
      <c r="U39" s="510"/>
      <c r="V39" s="510"/>
      <c r="W39" s="510"/>
      <c r="X39" s="510"/>
      <c r="Y39" s="510"/>
      <c r="Z39" s="510"/>
      <c r="AA39" s="510"/>
    </row>
    <row r="40" spans="13:32" ht="28.9" customHeight="1" x14ac:dyDescent="0.25">
      <c r="T40" s="511"/>
      <c r="U40" s="511"/>
      <c r="V40" s="511"/>
      <c r="W40" s="511"/>
      <c r="X40" s="511"/>
      <c r="Y40" s="511"/>
      <c r="Z40" s="511"/>
      <c r="AA40" s="511"/>
    </row>
    <row r="41" spans="13:32" ht="28.9" customHeight="1" x14ac:dyDescent="0.25">
      <c r="T41" s="511"/>
      <c r="U41" s="511"/>
      <c r="V41" s="511"/>
      <c r="W41" s="511"/>
      <c r="X41" s="511"/>
      <c r="Y41" s="511"/>
      <c r="Z41" s="511"/>
      <c r="AA41" s="511"/>
    </row>
    <row r="42" spans="13:32" ht="28.9" customHeight="1" x14ac:dyDescent="0.25"/>
    <row r="43" spans="13:32" ht="28.9" customHeight="1" x14ac:dyDescent="0.25"/>
    <row r="44" spans="13:32" ht="26.25" x14ac:dyDescent="0.25">
      <c r="O44" s="512"/>
      <c r="P44" s="512"/>
      <c r="Q44" s="512"/>
      <c r="R44" s="512"/>
      <c r="S44" s="512"/>
      <c r="T44" s="512"/>
      <c r="U44" s="512"/>
      <c r="Z44" s="512"/>
      <c r="AA44" s="512"/>
      <c r="AB44" s="512"/>
      <c r="AC44" s="512"/>
      <c r="AD44" s="512"/>
      <c r="AE44" s="512"/>
      <c r="AF44" s="512"/>
    </row>
    <row r="45" spans="13:32" ht="26.25" x14ac:dyDescent="0.25">
      <c r="O45" s="512"/>
      <c r="P45" s="512"/>
      <c r="Q45" s="512"/>
      <c r="R45" s="512"/>
      <c r="S45" s="512"/>
      <c r="T45" s="512"/>
      <c r="U45" s="512"/>
      <c r="Z45" s="512"/>
      <c r="AA45" s="512"/>
      <c r="AB45" s="512"/>
      <c r="AC45" s="512"/>
      <c r="AD45" s="512"/>
      <c r="AE45" s="512"/>
      <c r="AF45" s="512"/>
    </row>
    <row r="46" spans="13:32" ht="26.25" x14ac:dyDescent="0.25">
      <c r="O46" s="512"/>
      <c r="P46" s="512"/>
      <c r="Q46" s="512"/>
      <c r="R46" s="512"/>
      <c r="S46" s="512"/>
      <c r="T46" s="512"/>
      <c r="U46" s="512"/>
      <c r="Z46" s="512"/>
      <c r="AA46" s="512"/>
      <c r="AB46" s="512"/>
      <c r="AC46" s="512"/>
      <c r="AD46" s="512"/>
      <c r="AE46" s="512"/>
      <c r="AF46" s="512"/>
    </row>
    <row r="47" spans="13:32" ht="28.5" x14ac:dyDescent="0.45">
      <c r="O47" s="513"/>
      <c r="P47" s="513"/>
      <c r="Q47" s="513"/>
      <c r="R47" s="513"/>
      <c r="S47" s="513"/>
      <c r="T47" s="508"/>
      <c r="U47" s="508"/>
      <c r="Z47" s="514"/>
      <c r="AA47" s="514"/>
      <c r="AB47" s="514"/>
      <c r="AC47" s="514"/>
      <c r="AD47" s="514"/>
      <c r="AE47" s="508"/>
      <c r="AF47" s="508"/>
    </row>
    <row r="48" spans="13:32" ht="28.5" x14ac:dyDescent="0.45">
      <c r="O48" s="513"/>
      <c r="P48" s="515"/>
      <c r="Q48" s="516"/>
      <c r="R48" s="513"/>
      <c r="S48" s="513"/>
      <c r="T48" s="517"/>
      <c r="U48" s="508"/>
      <c r="Z48" s="514"/>
      <c r="AA48" s="518"/>
      <c r="AB48" s="519"/>
      <c r="AC48" s="514"/>
      <c r="AD48" s="514"/>
      <c r="AE48" s="517"/>
      <c r="AF48" s="508"/>
    </row>
    <row r="49" spans="15:32" ht="28.5" x14ac:dyDescent="0.45">
      <c r="O49" s="513"/>
      <c r="P49" s="513"/>
      <c r="Q49" s="513"/>
      <c r="R49" s="513"/>
      <c r="S49" s="513"/>
      <c r="T49" s="508"/>
      <c r="U49" s="508"/>
      <c r="Z49" s="513"/>
      <c r="AA49" s="513"/>
      <c r="AB49" s="513"/>
      <c r="AC49" s="513"/>
      <c r="AD49" s="513"/>
      <c r="AE49" s="508"/>
      <c r="AF49" s="508"/>
    </row>
    <row r="50" spans="15:32" ht="28.5" x14ac:dyDescent="0.45">
      <c r="O50" s="513"/>
      <c r="P50" s="515"/>
      <c r="Q50" s="516"/>
      <c r="R50" s="513"/>
      <c r="S50" s="513"/>
      <c r="T50" s="520"/>
      <c r="U50" s="508"/>
      <c r="Z50" s="514"/>
      <c r="AA50" s="518"/>
      <c r="AB50" s="516"/>
      <c r="AC50" s="513"/>
      <c r="AD50" s="513"/>
      <c r="AE50" s="517"/>
      <c r="AF50" s="508"/>
    </row>
    <row r="51" spans="15:32" ht="28.5" x14ac:dyDescent="0.45">
      <c r="O51" s="513"/>
      <c r="P51" s="513"/>
      <c r="Q51" s="513"/>
      <c r="R51" s="513"/>
      <c r="S51" s="513"/>
      <c r="T51" s="508"/>
      <c r="U51" s="508"/>
      <c r="Z51" s="514"/>
      <c r="AA51" s="514"/>
      <c r="AB51" s="513"/>
      <c r="AC51" s="513"/>
      <c r="AD51" s="513"/>
      <c r="AE51" s="508"/>
      <c r="AF51" s="508"/>
    </row>
    <row r="52" spans="15:32" ht="28.5" x14ac:dyDescent="0.45">
      <c r="O52" s="513"/>
      <c r="P52" s="513"/>
      <c r="Q52" s="513"/>
      <c r="R52" s="513"/>
      <c r="S52" s="513"/>
      <c r="T52" s="508"/>
      <c r="U52" s="508"/>
      <c r="Z52" s="514"/>
      <c r="AA52" s="514"/>
      <c r="AB52" s="513"/>
      <c r="AC52" s="513"/>
      <c r="AD52" s="513"/>
      <c r="AE52" s="508"/>
      <c r="AF52" s="508"/>
    </row>
    <row r="55" spans="15:32" ht="26.25" x14ac:dyDescent="0.25">
      <c r="O55" s="512"/>
      <c r="P55" s="512"/>
      <c r="Q55" s="512"/>
      <c r="R55" s="512"/>
      <c r="S55" s="512"/>
      <c r="T55" s="512"/>
      <c r="U55" s="512"/>
      <c r="Z55" s="512"/>
      <c r="AA55" s="512"/>
      <c r="AB55" s="512"/>
      <c r="AC55" s="512"/>
      <c r="AD55" s="512"/>
      <c r="AE55" s="512"/>
      <c r="AF55" s="512"/>
    </row>
    <row r="56" spans="15:32" ht="26.25" x14ac:dyDescent="0.25">
      <c r="O56" s="512"/>
      <c r="P56" s="512"/>
      <c r="Q56" s="512"/>
      <c r="R56" s="512"/>
      <c r="S56" s="512"/>
      <c r="T56" s="512"/>
      <c r="U56" s="512"/>
      <c r="Z56" s="512"/>
      <c r="AA56" s="512"/>
      <c r="AB56" s="512"/>
      <c r="AC56" s="512"/>
      <c r="AD56" s="512"/>
      <c r="AE56" s="512"/>
      <c r="AF56" s="512"/>
    </row>
    <row r="57" spans="15:32" ht="26.25" x14ac:dyDescent="0.25">
      <c r="O57" s="512"/>
      <c r="P57" s="512"/>
      <c r="Q57" s="512"/>
      <c r="R57" s="512"/>
      <c r="S57" s="512"/>
      <c r="T57" s="512"/>
      <c r="U57" s="512"/>
      <c r="Z57" s="512"/>
      <c r="AA57" s="512"/>
      <c r="AB57" s="512"/>
      <c r="AC57" s="512"/>
      <c r="AD57" s="512"/>
      <c r="AE57" s="512"/>
      <c r="AF57" s="512"/>
    </row>
    <row r="58" spans="15:32" ht="28.5" x14ac:dyDescent="0.45">
      <c r="O58" s="513"/>
      <c r="P58" s="513"/>
      <c r="Q58" s="513"/>
      <c r="R58" s="513"/>
      <c r="S58" s="513"/>
      <c r="T58" s="508"/>
      <c r="U58" s="508"/>
      <c r="Z58" s="514"/>
      <c r="AA58" s="514"/>
      <c r="AB58" s="514"/>
      <c r="AC58" s="514"/>
      <c r="AD58" s="514"/>
      <c r="AE58" s="508"/>
      <c r="AF58" s="508"/>
    </row>
    <row r="59" spans="15:32" ht="28.5" x14ac:dyDescent="0.45">
      <c r="O59" s="513"/>
      <c r="P59" s="515"/>
      <c r="Q59" s="516"/>
      <c r="R59" s="513"/>
      <c r="S59" s="513"/>
      <c r="T59" s="517"/>
      <c r="U59" s="508"/>
      <c r="Z59" s="514"/>
      <c r="AA59" s="518"/>
      <c r="AB59" s="519"/>
      <c r="AC59" s="514"/>
      <c r="AD59" s="514"/>
      <c r="AE59" s="517"/>
      <c r="AF59" s="508"/>
    </row>
    <row r="60" spans="15:32" ht="28.5" x14ac:dyDescent="0.45">
      <c r="O60" s="513"/>
      <c r="P60" s="513"/>
      <c r="Q60" s="513"/>
      <c r="R60" s="513"/>
      <c r="S60" s="513"/>
      <c r="T60" s="508"/>
      <c r="U60" s="508"/>
      <c r="Z60" s="513"/>
      <c r="AA60" s="513"/>
      <c r="AB60" s="513"/>
      <c r="AC60" s="513"/>
      <c r="AD60" s="513"/>
      <c r="AE60" s="508"/>
      <c r="AF60" s="508"/>
    </row>
    <row r="61" spans="15:32" ht="28.5" x14ac:dyDescent="0.45">
      <c r="O61" s="513"/>
      <c r="P61" s="515"/>
      <c r="Q61" s="516"/>
      <c r="R61" s="513"/>
      <c r="S61" s="513"/>
      <c r="T61" s="517"/>
      <c r="U61" s="508"/>
      <c r="Z61" s="513"/>
      <c r="AA61" s="515"/>
      <c r="AB61" s="516"/>
      <c r="AC61" s="513"/>
      <c r="AD61" s="513"/>
      <c r="AE61" s="517"/>
      <c r="AF61" s="508"/>
    </row>
    <row r="62" spans="15:32" ht="28.5" x14ac:dyDescent="0.45">
      <c r="O62" s="513"/>
      <c r="P62" s="513"/>
      <c r="Q62" s="513"/>
      <c r="R62" s="513"/>
      <c r="S62" s="513"/>
      <c r="T62" s="508"/>
      <c r="U62" s="508"/>
      <c r="Z62" s="513"/>
      <c r="AA62" s="513"/>
      <c r="AB62" s="513"/>
      <c r="AC62" s="513"/>
      <c r="AD62" s="513"/>
      <c r="AE62" s="508"/>
      <c r="AF62" s="508"/>
    </row>
    <row r="63" spans="15:32" ht="28.5" x14ac:dyDescent="0.45">
      <c r="O63" s="513"/>
      <c r="P63" s="513"/>
      <c r="Q63" s="513"/>
      <c r="R63" s="513"/>
      <c r="S63" s="513"/>
      <c r="T63" s="508"/>
      <c r="U63" s="508"/>
      <c r="Z63" s="513"/>
      <c r="AA63" s="513"/>
      <c r="AB63" s="513"/>
      <c r="AC63" s="513"/>
      <c r="AD63" s="513"/>
      <c r="AE63" s="508"/>
      <c r="AF63" s="508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X57"/>
  <sheetViews>
    <sheetView zoomScale="40" zoomScaleNormal="40" workbookViewId="0"/>
  </sheetViews>
  <sheetFormatPr defaultRowHeight="15" x14ac:dyDescent="0.25"/>
  <cols>
    <col min="1" max="5" width="9.140625" style="22"/>
    <col min="6" max="6" width="9.140625" style="22" customWidth="1"/>
    <col min="7" max="9" width="9.140625" style="22"/>
    <col min="10" max="11" width="9.140625" style="22" customWidth="1"/>
    <col min="12" max="17" width="9.140625" style="22"/>
    <col min="18" max="18" width="3.42578125" style="22" bestFit="1" customWidth="1"/>
    <col min="19" max="19" width="60.85546875" style="22" bestFit="1" customWidth="1"/>
    <col min="20" max="22" width="3.42578125" style="22" bestFit="1" customWidth="1"/>
    <col min="23" max="23" width="38" style="22" bestFit="1" customWidth="1"/>
    <col min="24" max="24" width="3.42578125" style="22" bestFit="1" customWidth="1"/>
    <col min="25" max="16384" width="9.140625" style="22"/>
  </cols>
  <sheetData>
    <row r="1" spans="1:24" s="2" customFormat="1" ht="30" customHeight="1" x14ac:dyDescent="0.25"/>
    <row r="2" spans="1:24" s="2" customFormat="1" ht="30" customHeight="1" x14ac:dyDescent="0.25"/>
    <row r="3" spans="1:24" s="2" customFormat="1" ht="30" customHeight="1" x14ac:dyDescent="0.25"/>
    <row r="4" spans="1:24" s="410" customFormat="1" ht="24.95" customHeight="1" x14ac:dyDescent="0.25">
      <c r="A4" s="509"/>
      <c r="B4" s="509"/>
      <c r="C4" s="509"/>
      <c r="D4" s="509"/>
    </row>
    <row r="5" spans="1:24" s="410" customFormat="1" ht="24.95" customHeight="1" x14ac:dyDescent="0.25">
      <c r="A5" s="509"/>
      <c r="B5" s="509"/>
      <c r="C5" s="509"/>
      <c r="D5" s="509"/>
    </row>
    <row r="6" spans="1:24" s="410" customFormat="1" ht="24.95" customHeight="1" x14ac:dyDescent="0.25">
      <c r="A6" s="509"/>
      <c r="B6" s="509"/>
      <c r="C6" s="509"/>
      <c r="D6" s="509"/>
    </row>
    <row r="7" spans="1:24" s="410" customFormat="1" ht="24.95" customHeight="1" x14ac:dyDescent="0.25">
      <c r="A7" s="509"/>
      <c r="B7" s="509"/>
      <c r="C7" s="509"/>
      <c r="D7" s="509"/>
    </row>
    <row r="8" spans="1:24" ht="28.9" customHeight="1" x14ac:dyDescent="0.25"/>
    <row r="9" spans="1:24" ht="28.9" customHeight="1" x14ac:dyDescent="0.25">
      <c r="E9" s="521"/>
      <c r="F9" s="521"/>
      <c r="G9" s="521"/>
      <c r="H9" s="521"/>
      <c r="I9" s="521"/>
      <c r="J9" s="521"/>
      <c r="K9" s="521"/>
    </row>
    <row r="10" spans="1:24" ht="28.9" customHeight="1" x14ac:dyDescent="0.25">
      <c r="E10" s="521"/>
      <c r="F10" s="521"/>
      <c r="G10" s="521"/>
      <c r="H10" s="521"/>
      <c r="I10" s="521"/>
      <c r="J10" s="521"/>
      <c r="K10" s="521"/>
    </row>
    <row r="11" spans="1:24" ht="28.9" customHeight="1" x14ac:dyDescent="0.25">
      <c r="E11" s="521"/>
      <c r="F11" s="521"/>
      <c r="G11" s="521"/>
      <c r="H11" s="521"/>
      <c r="I11" s="521"/>
      <c r="J11" s="521"/>
      <c r="K11" s="521"/>
    </row>
    <row r="12" spans="1:24" ht="28.9" customHeight="1" x14ac:dyDescent="0.45">
      <c r="E12" s="513"/>
      <c r="F12" s="513"/>
      <c r="G12" s="513"/>
      <c r="H12" s="513"/>
      <c r="I12" s="513"/>
      <c r="J12" s="508"/>
      <c r="K12" s="508"/>
    </row>
    <row r="13" spans="1:24" ht="28.9" customHeight="1" x14ac:dyDescent="0.45">
      <c r="E13" s="513"/>
      <c r="F13" s="507"/>
      <c r="G13" s="516"/>
      <c r="H13" s="513"/>
      <c r="I13" s="513"/>
      <c r="J13" s="522"/>
      <c r="K13" s="508"/>
    </row>
    <row r="14" spans="1:24" ht="28.9" customHeight="1" x14ac:dyDescent="0.45">
      <c r="E14" s="513"/>
      <c r="F14" s="513"/>
      <c r="G14" s="513"/>
      <c r="H14" s="513"/>
      <c r="I14" s="513"/>
      <c r="J14" s="508"/>
      <c r="K14" s="508"/>
    </row>
    <row r="15" spans="1:24" ht="28.9" customHeight="1" thickBot="1" x14ac:dyDescent="0.5">
      <c r="E15" s="513"/>
      <c r="F15" s="507"/>
      <c r="G15" s="516"/>
      <c r="H15" s="513"/>
      <c r="I15" s="513"/>
      <c r="J15" s="522"/>
      <c r="K15" s="508"/>
    </row>
    <row r="16" spans="1:24" ht="28.9" customHeight="1" x14ac:dyDescent="0.45">
      <c r="E16" s="513"/>
      <c r="F16" s="513"/>
      <c r="G16" s="513"/>
      <c r="H16" s="513"/>
      <c r="I16" s="513"/>
      <c r="J16" s="508"/>
      <c r="K16" s="508"/>
      <c r="R16" s="433" t="s">
        <v>27</v>
      </c>
      <c r="S16" s="434"/>
      <c r="T16" s="434"/>
      <c r="U16" s="434"/>
      <c r="V16" s="434"/>
      <c r="W16" s="434"/>
      <c r="X16" s="435"/>
    </row>
    <row r="17" spans="5:24" ht="28.9" customHeight="1" x14ac:dyDescent="0.45">
      <c r="E17" s="513"/>
      <c r="F17" s="513"/>
      <c r="G17" s="513"/>
      <c r="H17" s="513"/>
      <c r="I17" s="513"/>
      <c r="J17" s="508"/>
      <c r="K17" s="508"/>
      <c r="R17" s="436"/>
      <c r="S17" s="437"/>
      <c r="T17" s="437"/>
      <c r="U17" s="437"/>
      <c r="V17" s="437"/>
      <c r="W17" s="437"/>
      <c r="X17" s="438"/>
    </row>
    <row r="18" spans="5:24" ht="28.9" customHeight="1" thickBot="1" x14ac:dyDescent="0.5">
      <c r="E18" s="508"/>
      <c r="F18" s="508"/>
      <c r="G18" s="508"/>
      <c r="H18" s="508"/>
      <c r="I18" s="508"/>
      <c r="J18" s="508"/>
      <c r="K18" s="508"/>
      <c r="R18" s="439"/>
      <c r="S18" s="440"/>
      <c r="T18" s="440"/>
      <c r="U18" s="440"/>
      <c r="V18" s="440"/>
      <c r="W18" s="440"/>
      <c r="X18" s="441"/>
    </row>
    <row r="19" spans="5:24" ht="28.9" customHeight="1" x14ac:dyDescent="0.45">
      <c r="E19" s="508"/>
      <c r="F19" s="508"/>
      <c r="G19" s="508"/>
      <c r="H19" s="508"/>
      <c r="I19" s="508"/>
      <c r="J19" s="508"/>
      <c r="K19" s="508"/>
      <c r="R19" s="17" t="s">
        <v>13</v>
      </c>
      <c r="S19" s="19" t="s">
        <v>13</v>
      </c>
      <c r="T19" s="19" t="s">
        <v>13</v>
      </c>
      <c r="U19" s="19" t="s">
        <v>13</v>
      </c>
      <c r="V19" s="19" t="s">
        <v>13</v>
      </c>
      <c r="W19" s="12" t="s">
        <v>13</v>
      </c>
      <c r="X19" s="13" t="s">
        <v>13</v>
      </c>
    </row>
    <row r="20" spans="5:24" ht="28.9" customHeight="1" x14ac:dyDescent="0.45">
      <c r="E20" s="508"/>
      <c r="F20" s="508"/>
      <c r="G20" s="508"/>
      <c r="H20" s="508"/>
      <c r="I20" s="508"/>
      <c r="J20" s="508"/>
      <c r="K20" s="508"/>
      <c r="R20" s="17" t="s">
        <v>13</v>
      </c>
      <c r="S20" s="380" t="s">
        <v>28</v>
      </c>
      <c r="T20" s="18"/>
      <c r="U20" s="19" t="s">
        <v>13</v>
      </c>
      <c r="V20" s="19" t="s">
        <v>13</v>
      </c>
      <c r="W20" s="399" t="s">
        <v>10</v>
      </c>
      <c r="X20" s="13" t="s">
        <v>13</v>
      </c>
    </row>
    <row r="21" spans="5:24" ht="28.9" customHeight="1" x14ac:dyDescent="0.45">
      <c r="E21" s="508"/>
      <c r="F21" s="508"/>
      <c r="G21" s="508"/>
      <c r="H21" s="508"/>
      <c r="I21" s="508"/>
      <c r="J21" s="508"/>
      <c r="K21" s="508"/>
      <c r="R21" s="17" t="s">
        <v>13</v>
      </c>
      <c r="S21" s="398" t="s">
        <v>13</v>
      </c>
      <c r="T21" s="19" t="s">
        <v>13</v>
      </c>
      <c r="U21" s="19" t="s">
        <v>13</v>
      </c>
      <c r="V21" s="19" t="s">
        <v>13</v>
      </c>
      <c r="W21" s="12" t="s">
        <v>13</v>
      </c>
      <c r="X21" s="13" t="s">
        <v>13</v>
      </c>
    </row>
    <row r="22" spans="5:24" ht="28.9" customHeight="1" x14ac:dyDescent="0.45">
      <c r="R22" s="17" t="s">
        <v>13</v>
      </c>
      <c r="S22" s="380" t="s">
        <v>29</v>
      </c>
      <c r="T22" s="18"/>
      <c r="U22" s="19" t="s">
        <v>13</v>
      </c>
      <c r="V22" s="19" t="s">
        <v>13</v>
      </c>
      <c r="W22" s="399">
        <v>200</v>
      </c>
      <c r="X22" s="13" t="s">
        <v>13</v>
      </c>
    </row>
    <row r="23" spans="5:24" ht="28.9" customHeight="1" x14ac:dyDescent="0.45">
      <c r="R23" s="17" t="s">
        <v>13</v>
      </c>
      <c r="S23" s="19" t="s">
        <v>13</v>
      </c>
      <c r="T23" s="19" t="s">
        <v>13</v>
      </c>
      <c r="U23" s="19" t="s">
        <v>13</v>
      </c>
      <c r="V23" s="19" t="s">
        <v>13</v>
      </c>
      <c r="W23" s="12" t="s">
        <v>13</v>
      </c>
      <c r="X23" s="13" t="s">
        <v>13</v>
      </c>
    </row>
    <row r="24" spans="5:24" ht="28.9" customHeight="1" x14ac:dyDescent="0.45">
      <c r="R24" s="17" t="s">
        <v>13</v>
      </c>
      <c r="S24" s="19" t="s">
        <v>13</v>
      </c>
      <c r="T24" s="19" t="s">
        <v>13</v>
      </c>
      <c r="U24" s="19" t="s">
        <v>13</v>
      </c>
      <c r="V24" s="19" t="s">
        <v>13</v>
      </c>
      <c r="W24" s="12" t="s">
        <v>13</v>
      </c>
      <c r="X24" s="13" t="s">
        <v>13</v>
      </c>
    </row>
    <row r="25" spans="5:24" ht="28.9" customHeight="1" x14ac:dyDescent="0.45">
      <c r="R25" s="17" t="s">
        <v>13</v>
      </c>
      <c r="S25" s="19" t="s">
        <v>13</v>
      </c>
      <c r="T25" s="19" t="s">
        <v>13</v>
      </c>
      <c r="U25" s="19" t="s">
        <v>13</v>
      </c>
      <c r="V25" s="19" t="s">
        <v>13</v>
      </c>
      <c r="W25" s="12" t="s">
        <v>13</v>
      </c>
      <c r="X25" s="13" t="s">
        <v>13</v>
      </c>
    </row>
    <row r="26" spans="5:24" ht="28.9" customHeight="1" x14ac:dyDescent="0.45">
      <c r="R26" s="17" t="s">
        <v>13</v>
      </c>
      <c r="S26" s="19" t="s">
        <v>13</v>
      </c>
      <c r="T26" s="19" t="s">
        <v>13</v>
      </c>
      <c r="U26" s="19" t="s">
        <v>13</v>
      </c>
      <c r="V26" s="19" t="s">
        <v>13</v>
      </c>
      <c r="W26" s="12" t="s">
        <v>13</v>
      </c>
      <c r="X26" s="13" t="s">
        <v>13</v>
      </c>
    </row>
    <row r="27" spans="5:24" ht="28.9" customHeight="1" thickBot="1" x14ac:dyDescent="0.5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5" t="s">
        <v>13</v>
      </c>
      <c r="X27" s="16" t="s">
        <v>13</v>
      </c>
    </row>
    <row r="28" spans="5:24" ht="28.9" customHeight="1" x14ac:dyDescent="0.25"/>
    <row r="29" spans="5:24" ht="28.9" customHeight="1" x14ac:dyDescent="0.25"/>
    <row r="30" spans="5:24" ht="28.9" customHeight="1" x14ac:dyDescent="0.25">
      <c r="E30" s="521"/>
      <c r="F30" s="521"/>
      <c r="G30" s="521"/>
      <c r="H30" s="521"/>
      <c r="I30" s="521"/>
      <c r="J30" s="521"/>
      <c r="K30" s="521"/>
    </row>
    <row r="31" spans="5:24" ht="28.9" customHeight="1" x14ac:dyDescent="0.25">
      <c r="E31" s="521"/>
      <c r="F31" s="521"/>
      <c r="G31" s="521"/>
      <c r="H31" s="521"/>
      <c r="I31" s="521"/>
      <c r="J31" s="521"/>
      <c r="K31" s="521"/>
    </row>
    <row r="32" spans="5:24" ht="28.9" customHeight="1" x14ac:dyDescent="0.25">
      <c r="E32" s="521"/>
      <c r="F32" s="521"/>
      <c r="G32" s="521"/>
      <c r="H32" s="521"/>
      <c r="I32" s="521"/>
      <c r="J32" s="521"/>
      <c r="K32" s="521"/>
    </row>
    <row r="33" spans="5:11" ht="28.9" customHeight="1" x14ac:dyDescent="0.45">
      <c r="E33" s="513"/>
      <c r="F33" s="513"/>
      <c r="G33" s="513"/>
      <c r="H33" s="513"/>
      <c r="I33" s="513"/>
      <c r="J33" s="508"/>
      <c r="K33" s="508"/>
    </row>
    <row r="34" spans="5:11" ht="28.9" customHeight="1" x14ac:dyDescent="0.45">
      <c r="E34" s="513"/>
      <c r="F34" s="507"/>
      <c r="G34" s="516"/>
      <c r="H34" s="513"/>
      <c r="I34" s="513"/>
      <c r="J34" s="522"/>
      <c r="K34" s="508"/>
    </row>
    <row r="35" spans="5:11" ht="28.9" customHeight="1" x14ac:dyDescent="0.45">
      <c r="E35" s="513"/>
      <c r="F35" s="513"/>
      <c r="G35" s="513"/>
      <c r="H35" s="513"/>
      <c r="I35" s="513"/>
      <c r="J35" s="508"/>
      <c r="K35" s="508"/>
    </row>
    <row r="36" spans="5:11" ht="28.9" customHeight="1" x14ac:dyDescent="0.45">
      <c r="E36" s="513"/>
      <c r="F36" s="507"/>
      <c r="G36" s="516"/>
      <c r="H36" s="513"/>
      <c r="I36" s="513"/>
      <c r="J36" s="522"/>
      <c r="K36" s="508"/>
    </row>
    <row r="37" spans="5:11" ht="28.9" customHeight="1" x14ac:dyDescent="0.45">
      <c r="E37" s="513"/>
      <c r="F37" s="513"/>
      <c r="G37" s="513"/>
      <c r="H37" s="513"/>
      <c r="I37" s="513"/>
      <c r="J37" s="508"/>
      <c r="K37" s="508"/>
    </row>
    <row r="38" spans="5:11" ht="28.9" customHeight="1" x14ac:dyDescent="0.45">
      <c r="E38" s="513"/>
      <c r="F38" s="507"/>
      <c r="G38" s="513"/>
      <c r="H38" s="513"/>
      <c r="I38" s="513"/>
      <c r="J38" s="508"/>
      <c r="K38" s="508"/>
    </row>
    <row r="39" spans="5:11" ht="28.9" customHeight="1" x14ac:dyDescent="0.45">
      <c r="E39" s="513"/>
      <c r="F39" s="513"/>
      <c r="G39" s="513"/>
      <c r="H39" s="513"/>
      <c r="I39" s="513"/>
      <c r="J39" s="508"/>
      <c r="K39" s="508"/>
    </row>
    <row r="40" spans="5:11" ht="28.9" customHeight="1" x14ac:dyDescent="0.45">
      <c r="E40" s="513"/>
      <c r="F40" s="507"/>
      <c r="G40" s="516"/>
      <c r="H40" s="513"/>
      <c r="I40" s="513"/>
      <c r="J40" s="522"/>
      <c r="K40" s="508"/>
    </row>
    <row r="41" spans="5:11" ht="28.9" customHeight="1" x14ac:dyDescent="0.25"/>
    <row r="42" spans="5:11" ht="28.9" customHeight="1" x14ac:dyDescent="0.25"/>
    <row r="43" spans="5:11" ht="28.9" customHeight="1" x14ac:dyDescent="0.25"/>
    <row r="44" spans="5:11" ht="28.9" customHeight="1" x14ac:dyDescent="0.25"/>
    <row r="45" spans="5:11" ht="28.9" customHeight="1" x14ac:dyDescent="0.25"/>
    <row r="46" spans="5:11" ht="28.9" customHeight="1" x14ac:dyDescent="0.25"/>
    <row r="47" spans="5:11" ht="28.9" customHeight="1" x14ac:dyDescent="0.25"/>
    <row r="48" spans="5:11" ht="28.9" customHeight="1" x14ac:dyDescent="0.25"/>
    <row r="49" s="22" customFormat="1" ht="28.9" customHeight="1" x14ac:dyDescent="0.25"/>
    <row r="50" s="22" customFormat="1" ht="28.9" customHeight="1" x14ac:dyDescent="0.25"/>
    <row r="51" s="22" customFormat="1" ht="28.9" customHeight="1" x14ac:dyDescent="0.25"/>
    <row r="52" s="22" customFormat="1" ht="28.9" customHeight="1" x14ac:dyDescent="0.25"/>
    <row r="53" s="22" customFormat="1" ht="28.9" customHeight="1" x14ac:dyDescent="0.25"/>
    <row r="54" s="22" customFormat="1" ht="28.9" customHeight="1" x14ac:dyDescent="0.25"/>
    <row r="55" s="22" customFormat="1" ht="28.9" customHeight="1" x14ac:dyDescent="0.25"/>
    <row r="56" s="22" customFormat="1" ht="28.9" customHeight="1" x14ac:dyDescent="0.25"/>
    <row r="57" s="22" customFormat="1" ht="28.9" customHeight="1" x14ac:dyDescent="0.25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89C0F9-4780-4E43-B31A-44BD694A9100}">
          <x14:formula1>
            <xm:f>BANCO1!$F$14:$F$17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Y69"/>
  <sheetViews>
    <sheetView zoomScale="40" zoomScaleNormal="40" workbookViewId="0"/>
  </sheetViews>
  <sheetFormatPr defaultColWidth="9.140625" defaultRowHeight="15" x14ac:dyDescent="0.25"/>
  <cols>
    <col min="1" max="18" width="9.140625" style="22"/>
    <col min="19" max="19" width="3.42578125" style="22" bestFit="1" customWidth="1"/>
    <col min="20" max="20" width="60.85546875" style="22" bestFit="1" customWidth="1"/>
    <col min="21" max="23" width="3.42578125" style="22" bestFit="1" customWidth="1"/>
    <col min="24" max="24" width="38" style="22" customWidth="1"/>
    <col min="25" max="25" width="3.42578125" style="22" bestFit="1" customWidth="1"/>
    <col min="26" max="16384" width="9.140625" style="22"/>
  </cols>
  <sheetData>
    <row r="1" spans="1:25" s="2" customFormat="1" ht="30" customHeight="1" x14ac:dyDescent="0.25"/>
    <row r="2" spans="1:25" s="2" customFormat="1" ht="30" customHeight="1" x14ac:dyDescent="0.25"/>
    <row r="3" spans="1:25" s="2" customFormat="1" ht="30" customHeight="1" x14ac:dyDescent="0.25"/>
    <row r="4" spans="1:25" s="410" customFormat="1" ht="24.95" customHeight="1" x14ac:dyDescent="0.25">
      <c r="A4" s="509"/>
      <c r="B4" s="509"/>
      <c r="C4" s="509"/>
      <c r="D4" s="509"/>
    </row>
    <row r="5" spans="1:25" s="410" customFormat="1" ht="24.95" customHeight="1" x14ac:dyDescent="0.25">
      <c r="A5" s="509"/>
      <c r="B5" s="509"/>
      <c r="C5" s="509"/>
      <c r="D5" s="509"/>
    </row>
    <row r="6" spans="1:25" s="410" customFormat="1" ht="24.95" customHeight="1" x14ac:dyDescent="0.25">
      <c r="A6" s="509"/>
      <c r="B6" s="509"/>
      <c r="C6" s="509"/>
      <c r="D6" s="509"/>
    </row>
    <row r="7" spans="1:25" s="410" customFormat="1" ht="24.95" customHeight="1" x14ac:dyDescent="0.25">
      <c r="A7" s="509"/>
      <c r="B7" s="509"/>
      <c r="C7" s="509"/>
      <c r="D7" s="509"/>
    </row>
    <row r="8" spans="1:25" ht="28.9" customHeight="1" x14ac:dyDescent="0.25"/>
    <row r="9" spans="1:25" ht="28.9" customHeight="1" x14ac:dyDescent="0.25">
      <c r="E9" s="523"/>
      <c r="F9" s="523"/>
      <c r="G9" s="523"/>
      <c r="H9" s="523"/>
      <c r="I9" s="523"/>
      <c r="J9" s="523"/>
      <c r="K9" s="523"/>
    </row>
    <row r="10" spans="1:25" ht="28.9" customHeight="1" thickBot="1" x14ac:dyDescent="0.3">
      <c r="E10" s="523"/>
      <c r="F10" s="523"/>
      <c r="G10" s="523"/>
      <c r="H10" s="523"/>
      <c r="I10" s="523"/>
      <c r="J10" s="523"/>
      <c r="K10" s="523"/>
    </row>
    <row r="11" spans="1:25" ht="28.9" customHeight="1" x14ac:dyDescent="0.25">
      <c r="E11" s="523"/>
      <c r="F11" s="523"/>
      <c r="G11" s="523"/>
      <c r="H11" s="523"/>
      <c r="I11" s="523"/>
      <c r="J11" s="523"/>
      <c r="K11" s="523"/>
      <c r="S11" s="433" t="s">
        <v>754</v>
      </c>
      <c r="T11" s="434"/>
      <c r="U11" s="434"/>
      <c r="V11" s="434"/>
      <c r="W11" s="434"/>
      <c r="X11" s="434"/>
      <c r="Y11" s="435"/>
    </row>
    <row r="12" spans="1:25" ht="28.9" customHeight="1" x14ac:dyDescent="0.45">
      <c r="E12" s="513"/>
      <c r="F12" s="513"/>
      <c r="G12" s="513"/>
      <c r="H12" s="513"/>
      <c r="I12" s="513"/>
      <c r="J12" s="508"/>
      <c r="K12" s="508"/>
      <c r="S12" s="436"/>
      <c r="T12" s="437"/>
      <c r="U12" s="437"/>
      <c r="V12" s="437"/>
      <c r="W12" s="437"/>
      <c r="X12" s="437"/>
      <c r="Y12" s="438"/>
    </row>
    <row r="13" spans="1:25" ht="28.9" customHeight="1" x14ac:dyDescent="0.45">
      <c r="E13" s="513"/>
      <c r="F13" s="507"/>
      <c r="G13" s="516"/>
      <c r="H13" s="513"/>
      <c r="I13" s="513"/>
      <c r="J13" s="522"/>
      <c r="K13" s="508"/>
      <c r="S13" s="436"/>
      <c r="T13" s="437"/>
      <c r="U13" s="437"/>
      <c r="V13" s="437"/>
      <c r="W13" s="437"/>
      <c r="X13" s="437"/>
      <c r="Y13" s="438"/>
    </row>
    <row r="14" spans="1:25" ht="28.9" customHeight="1" x14ac:dyDescent="0.45">
      <c r="E14" s="513"/>
      <c r="F14" s="513"/>
      <c r="G14" s="513"/>
      <c r="H14" s="513"/>
      <c r="I14" s="513"/>
      <c r="J14" s="508"/>
      <c r="K14" s="508"/>
      <c r="S14" s="17" t="s">
        <v>13</v>
      </c>
      <c r="T14" s="19" t="s">
        <v>13</v>
      </c>
      <c r="U14" s="19" t="s">
        <v>13</v>
      </c>
      <c r="V14" s="19" t="s">
        <v>13</v>
      </c>
      <c r="W14" s="19" t="s">
        <v>13</v>
      </c>
      <c r="X14" s="12" t="s">
        <v>13</v>
      </c>
      <c r="Y14" s="13" t="s">
        <v>13</v>
      </c>
    </row>
    <row r="15" spans="1:25" ht="28.9" customHeight="1" x14ac:dyDescent="0.45">
      <c r="E15" s="513"/>
      <c r="F15" s="507"/>
      <c r="G15" s="516"/>
      <c r="H15" s="513"/>
      <c r="I15" s="513"/>
      <c r="J15" s="522"/>
      <c r="K15" s="508"/>
      <c r="S15" s="17" t="s">
        <v>13</v>
      </c>
      <c r="T15" s="380" t="s">
        <v>28</v>
      </c>
      <c r="U15" s="18"/>
      <c r="V15" s="19" t="s">
        <v>13</v>
      </c>
      <c r="W15" s="19" t="s">
        <v>13</v>
      </c>
      <c r="X15" s="399" t="s">
        <v>10</v>
      </c>
      <c r="Y15" s="13" t="s">
        <v>13</v>
      </c>
    </row>
    <row r="16" spans="1:25" ht="28.9" customHeight="1" x14ac:dyDescent="0.45">
      <c r="E16" s="513"/>
      <c r="F16" s="513"/>
      <c r="G16" s="513"/>
      <c r="H16" s="513"/>
      <c r="I16" s="513"/>
      <c r="J16" s="508"/>
      <c r="K16" s="508"/>
      <c r="S16" s="17" t="s">
        <v>13</v>
      </c>
      <c r="T16" s="398" t="s">
        <v>13</v>
      </c>
      <c r="U16" s="19" t="s">
        <v>13</v>
      </c>
      <c r="V16" s="19" t="s">
        <v>13</v>
      </c>
      <c r="W16" s="19" t="s">
        <v>13</v>
      </c>
      <c r="X16" s="12" t="s">
        <v>13</v>
      </c>
      <c r="Y16" s="13" t="s">
        <v>13</v>
      </c>
    </row>
    <row r="17" spans="5:25" ht="28.9" customHeight="1" x14ac:dyDescent="0.45">
      <c r="E17" s="513"/>
      <c r="F17" s="507"/>
      <c r="G17" s="513"/>
      <c r="H17" s="513"/>
      <c r="I17" s="513"/>
      <c r="J17" s="508"/>
      <c r="K17" s="508"/>
      <c r="S17" s="17" t="s">
        <v>13</v>
      </c>
      <c r="T17" s="380" t="s">
        <v>29</v>
      </c>
      <c r="U17" s="18"/>
      <c r="V17" s="19" t="s">
        <v>13</v>
      </c>
      <c r="W17" s="19" t="s">
        <v>13</v>
      </c>
      <c r="X17" s="379">
        <f>VLOOKUP(X15,BANCO1!F14:H17,2,0)</f>
        <v>400</v>
      </c>
      <c r="Y17" s="13" t="s">
        <v>13</v>
      </c>
    </row>
    <row r="18" spans="5:25" ht="28.9" customHeight="1" x14ac:dyDescent="0.45">
      <c r="E18" s="513"/>
      <c r="F18" s="513"/>
      <c r="G18" s="513"/>
      <c r="H18" s="513"/>
      <c r="I18" s="513"/>
      <c r="J18" s="508"/>
      <c r="K18" s="508"/>
      <c r="S18" s="17" t="s">
        <v>13</v>
      </c>
      <c r="T18" s="398" t="s">
        <v>13</v>
      </c>
      <c r="U18" s="19" t="s">
        <v>13</v>
      </c>
      <c r="V18" s="19" t="s">
        <v>13</v>
      </c>
      <c r="W18" s="19" t="s">
        <v>13</v>
      </c>
      <c r="X18" s="12" t="s">
        <v>13</v>
      </c>
      <c r="Y18" s="13" t="s">
        <v>13</v>
      </c>
    </row>
    <row r="19" spans="5:25" ht="28.9" customHeight="1" x14ac:dyDescent="0.45">
      <c r="E19" s="513"/>
      <c r="F19" s="507"/>
      <c r="G19" s="516"/>
      <c r="H19" s="513"/>
      <c r="I19" s="513"/>
      <c r="J19" s="522"/>
      <c r="K19" s="508"/>
      <c r="S19" s="17" t="s">
        <v>13</v>
      </c>
      <c r="T19" s="400" t="s">
        <v>30</v>
      </c>
      <c r="U19" s="19" t="s">
        <v>13</v>
      </c>
      <c r="V19" s="19" t="s">
        <v>13</v>
      </c>
      <c r="W19" s="19" t="s">
        <v>13</v>
      </c>
      <c r="X19" s="379">
        <v>200</v>
      </c>
      <c r="Y19" s="13" t="s">
        <v>13</v>
      </c>
    </row>
    <row r="20" spans="5:25" ht="28.9" customHeight="1" x14ac:dyDescent="0.45">
      <c r="E20" s="508"/>
      <c r="F20" s="508"/>
      <c r="G20" s="508"/>
      <c r="H20" s="508"/>
      <c r="I20" s="508"/>
      <c r="J20" s="508"/>
      <c r="K20" s="508"/>
      <c r="S20" s="17" t="s">
        <v>13</v>
      </c>
      <c r="T20" s="19" t="s">
        <v>13</v>
      </c>
      <c r="U20" s="19" t="s">
        <v>13</v>
      </c>
      <c r="V20" s="19" t="s">
        <v>13</v>
      </c>
      <c r="W20" s="19" t="s">
        <v>13</v>
      </c>
      <c r="X20" s="12" t="s">
        <v>13</v>
      </c>
      <c r="Y20" s="13" t="s">
        <v>13</v>
      </c>
    </row>
    <row r="21" spans="5:25" ht="28.9" customHeight="1" thickBot="1" x14ac:dyDescent="0.5">
      <c r="E21" s="508"/>
      <c r="F21" s="508"/>
      <c r="G21" s="508"/>
      <c r="H21" s="508"/>
      <c r="I21" s="508"/>
      <c r="J21" s="508"/>
      <c r="K21" s="508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5" t="s">
        <v>13</v>
      </c>
      <c r="Y21" s="16" t="s">
        <v>13</v>
      </c>
    </row>
    <row r="22" spans="5:25" ht="28.9" customHeight="1" x14ac:dyDescent="0.45">
      <c r="S22" s="513" t="s">
        <v>13</v>
      </c>
      <c r="T22" s="513" t="s">
        <v>13</v>
      </c>
      <c r="U22" s="513" t="s">
        <v>13</v>
      </c>
      <c r="V22" s="513" t="s">
        <v>13</v>
      </c>
      <c r="W22" s="513" t="s">
        <v>13</v>
      </c>
      <c r="X22" s="508" t="s">
        <v>13</v>
      </c>
      <c r="Y22" s="508" t="s">
        <v>13</v>
      </c>
    </row>
    <row r="23" spans="5:25" ht="28.9" customHeight="1" x14ac:dyDescent="0.25"/>
    <row r="24" spans="5:25" ht="28.9" customHeight="1" x14ac:dyDescent="0.25"/>
    <row r="25" spans="5:25" ht="28.9" customHeight="1" x14ac:dyDescent="0.25"/>
    <row r="26" spans="5:25" ht="28.9" customHeight="1" x14ac:dyDescent="0.25"/>
    <row r="27" spans="5:25" ht="28.9" customHeight="1" x14ac:dyDescent="0.25"/>
    <row r="28" spans="5:25" ht="28.9" customHeight="1" x14ac:dyDescent="0.25"/>
    <row r="29" spans="5:25" ht="28.9" customHeight="1" x14ac:dyDescent="0.25"/>
    <row r="30" spans="5:25" ht="28.9" customHeight="1" x14ac:dyDescent="0.25"/>
    <row r="31" spans="5:25" ht="28.9" customHeight="1" x14ac:dyDescent="0.25"/>
    <row r="32" spans="5:25" ht="28.9" customHeight="1" x14ac:dyDescent="0.25"/>
    <row r="33" s="22" customFormat="1" ht="28.9" customHeight="1" x14ac:dyDescent="0.25"/>
    <row r="34" s="22" customFormat="1" ht="28.9" customHeight="1" x14ac:dyDescent="0.25"/>
    <row r="35" s="22" customFormat="1" ht="28.9" customHeight="1" x14ac:dyDescent="0.25"/>
    <row r="36" s="22" customFormat="1" ht="28.9" customHeight="1" x14ac:dyDescent="0.25"/>
    <row r="37" s="22" customFormat="1" ht="28.9" customHeight="1" x14ac:dyDescent="0.25"/>
    <row r="38" s="22" customFormat="1" ht="28.9" customHeight="1" x14ac:dyDescent="0.25"/>
    <row r="39" s="22" customFormat="1" ht="28.9" customHeight="1" x14ac:dyDescent="0.25"/>
    <row r="40" s="22" customFormat="1" ht="28.9" customHeight="1" x14ac:dyDescent="0.25"/>
    <row r="41" s="22" customFormat="1" ht="28.9" customHeight="1" x14ac:dyDescent="0.25"/>
    <row r="42" s="22" customFormat="1" ht="28.9" customHeight="1" x14ac:dyDescent="0.25"/>
    <row r="43" s="22" customFormat="1" ht="28.9" customHeight="1" x14ac:dyDescent="0.25"/>
    <row r="44" s="22" customFormat="1" ht="28.9" customHeight="1" x14ac:dyDescent="0.25"/>
    <row r="45" s="22" customFormat="1" ht="28.9" customHeight="1" x14ac:dyDescent="0.25"/>
    <row r="46" s="22" customFormat="1" ht="28.9" customHeight="1" x14ac:dyDescent="0.25"/>
    <row r="47" s="22" customFormat="1" ht="28.9" customHeight="1" x14ac:dyDescent="0.25"/>
    <row r="48" s="22" customFormat="1" ht="28.9" customHeight="1" x14ac:dyDescent="0.25"/>
    <row r="49" s="22" customFormat="1" ht="28.9" customHeight="1" x14ac:dyDescent="0.25"/>
    <row r="50" s="22" customFormat="1" ht="28.9" customHeight="1" x14ac:dyDescent="0.25"/>
    <row r="51" s="22" customFormat="1" ht="28.9" customHeight="1" x14ac:dyDescent="0.25"/>
    <row r="52" s="22" customFormat="1" ht="28.9" customHeight="1" x14ac:dyDescent="0.25"/>
    <row r="53" s="22" customFormat="1" ht="28.9" customHeight="1" x14ac:dyDescent="0.25"/>
    <row r="54" s="22" customFormat="1" ht="28.9" customHeight="1" x14ac:dyDescent="0.25"/>
    <row r="55" s="22" customFormat="1" ht="28.9" customHeight="1" x14ac:dyDescent="0.25"/>
    <row r="56" s="22" customFormat="1" ht="28.9" customHeight="1" x14ac:dyDescent="0.25"/>
    <row r="57" s="22" customFormat="1" ht="28.9" customHeight="1" x14ac:dyDescent="0.25"/>
    <row r="58" s="22" customFormat="1" ht="28.9" customHeight="1" x14ac:dyDescent="0.25"/>
    <row r="59" s="22" customFormat="1" ht="28.9" customHeight="1" x14ac:dyDescent="0.25"/>
    <row r="60" s="22" customFormat="1" ht="28.9" customHeight="1" x14ac:dyDescent="0.25"/>
    <row r="61" s="22" customFormat="1" ht="28.9" customHeight="1" x14ac:dyDescent="0.25"/>
    <row r="62" s="22" customFormat="1" ht="28.9" customHeight="1" x14ac:dyDescent="0.25"/>
    <row r="63" s="22" customFormat="1" ht="28.9" customHeight="1" x14ac:dyDescent="0.25"/>
    <row r="64" s="22" customFormat="1" ht="28.9" customHeight="1" x14ac:dyDescent="0.25"/>
    <row r="65" s="22" customFormat="1" ht="28.9" customHeight="1" x14ac:dyDescent="0.25"/>
    <row r="66" s="22" customFormat="1" ht="28.9" customHeight="1" x14ac:dyDescent="0.25"/>
    <row r="67" s="22" customFormat="1" ht="28.9" customHeight="1" x14ac:dyDescent="0.25"/>
    <row r="68" s="22" customFormat="1" ht="28.9" customHeight="1" x14ac:dyDescent="0.25"/>
    <row r="69" s="22" customFormat="1" ht="28.9" customHeight="1" x14ac:dyDescent="0.25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052E07-F8AD-4D1C-B144-98874A77162C}">
          <x14:formula1>
            <xm:f>BANCO1!$F$14:$F$17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D67"/>
  <sheetViews>
    <sheetView zoomScale="40" zoomScaleNormal="40" workbookViewId="0"/>
  </sheetViews>
  <sheetFormatPr defaultColWidth="9.140625" defaultRowHeight="15" x14ac:dyDescent="0.25"/>
  <cols>
    <col min="1" max="16384" width="9.140625" style="22"/>
  </cols>
  <sheetData>
    <row r="1" spans="1:4" s="2" customFormat="1" ht="30" customHeight="1" x14ac:dyDescent="0.25"/>
    <row r="2" spans="1:4" s="2" customFormat="1" ht="30" customHeight="1" x14ac:dyDescent="0.25"/>
    <row r="3" spans="1:4" s="2" customFormat="1" ht="30" customHeight="1" x14ac:dyDescent="0.25"/>
    <row r="4" spans="1:4" s="410" customFormat="1" ht="24.95" customHeight="1" x14ac:dyDescent="0.25">
      <c r="A4" s="509"/>
      <c r="B4" s="509"/>
      <c r="C4" s="509"/>
      <c r="D4" s="509"/>
    </row>
    <row r="5" spans="1:4" s="410" customFormat="1" ht="24.95" customHeight="1" x14ac:dyDescent="0.25">
      <c r="A5" s="509"/>
      <c r="B5" s="509"/>
      <c r="C5" s="509"/>
      <c r="D5" s="509"/>
    </row>
    <row r="6" spans="1:4" s="410" customFormat="1" ht="24.95" customHeight="1" x14ac:dyDescent="0.25">
      <c r="A6" s="509"/>
      <c r="B6" s="509"/>
      <c r="C6" s="509"/>
      <c r="D6" s="509"/>
    </row>
    <row r="7" spans="1:4" s="410" customFormat="1" ht="24.95" customHeight="1" x14ac:dyDescent="0.25">
      <c r="A7" s="509"/>
      <c r="B7" s="509"/>
      <c r="C7" s="509"/>
      <c r="D7" s="509"/>
    </row>
    <row r="8" spans="1:4" ht="28.9" customHeight="1" x14ac:dyDescent="0.25"/>
    <row r="9" spans="1:4" ht="28.9" customHeight="1" x14ac:dyDescent="0.25"/>
    <row r="10" spans="1:4" ht="28.9" customHeight="1" x14ac:dyDescent="0.25"/>
    <row r="11" spans="1:4" ht="28.9" customHeight="1" x14ac:dyDescent="0.25"/>
    <row r="12" spans="1:4" ht="28.9" customHeight="1" x14ac:dyDescent="0.25"/>
    <row r="13" spans="1:4" ht="28.9" customHeight="1" x14ac:dyDescent="0.25"/>
    <row r="14" spans="1:4" ht="28.9" customHeight="1" x14ac:dyDescent="0.25"/>
    <row r="15" spans="1:4" ht="28.9" customHeight="1" x14ac:dyDescent="0.25"/>
    <row r="16" spans="1:4" ht="28.9" customHeight="1" x14ac:dyDescent="0.25"/>
    <row r="17" ht="28.9" customHeight="1" x14ac:dyDescent="0.25"/>
    <row r="18" ht="28.9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28.9" customHeight="1" x14ac:dyDescent="0.25"/>
    <row r="26" ht="28.9" customHeight="1" x14ac:dyDescent="0.25"/>
    <row r="27" ht="28.9" customHeight="1" x14ac:dyDescent="0.25"/>
    <row r="28" ht="28.9" customHeight="1" x14ac:dyDescent="0.25"/>
    <row r="29" ht="28.9" customHeight="1" x14ac:dyDescent="0.25"/>
    <row r="30" ht="28.9" customHeight="1" x14ac:dyDescent="0.25"/>
    <row r="31" ht="28.9" customHeight="1" x14ac:dyDescent="0.25"/>
    <row r="32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s="22" customFormat="1" ht="28.9" customHeight="1" x14ac:dyDescent="0.25"/>
    <row r="66" s="22" customFormat="1" ht="28.9" customHeight="1" x14ac:dyDescent="0.25"/>
    <row r="67" s="22" customFormat="1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O67"/>
  <sheetViews>
    <sheetView zoomScale="40" zoomScaleNormal="40" workbookViewId="0"/>
  </sheetViews>
  <sheetFormatPr defaultRowHeight="29.1" customHeight="1" x14ac:dyDescent="0.25"/>
  <cols>
    <col min="1" max="4" width="9.140625" style="22"/>
    <col min="5" max="8" width="9.140625" style="22" customWidth="1"/>
    <col min="9" max="9" width="16.28515625" style="22" bestFit="1" customWidth="1"/>
    <col min="10" max="10" width="42.28515625" style="22" bestFit="1" customWidth="1"/>
    <col min="11" max="11" width="68.7109375" style="22" bestFit="1" customWidth="1"/>
    <col min="12" max="12" width="42" style="22" bestFit="1" customWidth="1"/>
    <col min="13" max="13" width="37" style="22" bestFit="1" customWidth="1"/>
    <col min="14" max="14" width="72.28515625" style="22" bestFit="1" customWidth="1"/>
    <col min="15" max="15" width="60.5703125" style="22" bestFit="1" customWidth="1"/>
    <col min="16" max="16" width="9.140625" style="22" customWidth="1"/>
    <col min="17" max="16384" width="9.140625" style="22"/>
  </cols>
  <sheetData>
    <row r="1" spans="1:15" s="2" customFormat="1" ht="30" customHeight="1" x14ac:dyDescent="0.25"/>
    <row r="2" spans="1:15" s="2" customFormat="1" ht="30" customHeight="1" x14ac:dyDescent="0.25"/>
    <row r="3" spans="1:15" s="2" customFormat="1" ht="30" customHeight="1" x14ac:dyDescent="0.25"/>
    <row r="4" spans="1:15" s="410" customFormat="1" ht="24.95" customHeight="1" x14ac:dyDescent="0.25">
      <c r="A4" s="509"/>
      <c r="B4" s="509"/>
      <c r="C4" s="509"/>
      <c r="D4" s="509"/>
    </row>
    <row r="5" spans="1:15" s="410" customFormat="1" ht="24.95" customHeight="1" x14ac:dyDescent="0.25">
      <c r="A5" s="509"/>
      <c r="B5" s="509"/>
      <c r="C5" s="509"/>
      <c r="D5" s="509"/>
    </row>
    <row r="6" spans="1:15" s="410" customFormat="1" ht="24.95" customHeight="1" x14ac:dyDescent="0.25">
      <c r="A6" s="509"/>
      <c r="B6" s="509"/>
      <c r="C6" s="509"/>
      <c r="D6" s="509"/>
    </row>
    <row r="7" spans="1:15" s="410" customFormat="1" ht="24.95" customHeight="1" x14ac:dyDescent="0.25">
      <c r="A7" s="509"/>
      <c r="B7" s="509"/>
      <c r="C7" s="509"/>
      <c r="D7" s="509"/>
    </row>
    <row r="12" spans="1:15" ht="29.1" customHeight="1" x14ac:dyDescent="0.25">
      <c r="I12" s="401" t="s">
        <v>400</v>
      </c>
      <c r="J12" s="401" t="s">
        <v>32</v>
      </c>
      <c r="K12" s="401" t="s">
        <v>33</v>
      </c>
      <c r="L12" s="401" t="s">
        <v>34</v>
      </c>
      <c r="M12" s="401" t="s">
        <v>35</v>
      </c>
      <c r="N12" s="401" t="s">
        <v>36</v>
      </c>
      <c r="O12" s="401" t="s">
        <v>37</v>
      </c>
    </row>
    <row r="13" spans="1:15" ht="29.1" customHeight="1" x14ac:dyDescent="0.25">
      <c r="I13" s="402">
        <v>1</v>
      </c>
      <c r="J13" s="402" t="s">
        <v>38</v>
      </c>
      <c r="K13" s="402" t="s">
        <v>39</v>
      </c>
      <c r="L13" s="402" t="s">
        <v>40</v>
      </c>
      <c r="M13" s="402" t="s">
        <v>41</v>
      </c>
      <c r="N13" s="402" t="s">
        <v>42</v>
      </c>
      <c r="O13" s="402" t="s">
        <v>43</v>
      </c>
    </row>
    <row r="14" spans="1:15" ht="29.1" customHeight="1" x14ac:dyDescent="0.25">
      <c r="I14" s="402">
        <f>I13+1</f>
        <v>2</v>
      </c>
      <c r="J14" s="402" t="s">
        <v>44</v>
      </c>
      <c r="K14" s="402" t="s">
        <v>45</v>
      </c>
      <c r="L14" s="402" t="s">
        <v>40</v>
      </c>
      <c r="M14" s="402" t="s">
        <v>46</v>
      </c>
      <c r="N14" s="402" t="s">
        <v>47</v>
      </c>
      <c r="O14" s="402" t="s">
        <v>48</v>
      </c>
    </row>
    <row r="15" spans="1:15" ht="29.1" customHeight="1" x14ac:dyDescent="0.25">
      <c r="I15" s="402">
        <f t="shared" ref="I15:I32" si="0">I14+1</f>
        <v>3</v>
      </c>
      <c r="J15" s="402" t="s">
        <v>49</v>
      </c>
      <c r="K15" s="402" t="s">
        <v>50</v>
      </c>
      <c r="L15" s="402" t="s">
        <v>51</v>
      </c>
      <c r="M15" s="402" t="s">
        <v>52</v>
      </c>
      <c r="N15" s="402" t="s">
        <v>53</v>
      </c>
      <c r="O15" s="402" t="s">
        <v>54</v>
      </c>
    </row>
    <row r="16" spans="1:15" ht="29.1" customHeight="1" x14ac:dyDescent="0.25">
      <c r="I16" s="402">
        <f t="shared" si="0"/>
        <v>4</v>
      </c>
      <c r="J16" s="402" t="s">
        <v>55</v>
      </c>
      <c r="K16" s="402" t="s">
        <v>56</v>
      </c>
      <c r="L16" s="402" t="s">
        <v>57</v>
      </c>
      <c r="M16" s="402" t="s">
        <v>58</v>
      </c>
      <c r="N16" s="402" t="s">
        <v>59</v>
      </c>
      <c r="O16" s="402" t="s">
        <v>60</v>
      </c>
    </row>
    <row r="17" spans="9:15" ht="29.1" customHeight="1" x14ac:dyDescent="0.25">
      <c r="I17" s="402">
        <f t="shared" si="0"/>
        <v>5</v>
      </c>
      <c r="J17" s="402" t="s">
        <v>61</v>
      </c>
      <c r="K17" s="402" t="s">
        <v>62</v>
      </c>
      <c r="L17" s="402" t="s">
        <v>63</v>
      </c>
      <c r="M17" s="402" t="s">
        <v>64</v>
      </c>
      <c r="N17" s="402" t="s">
        <v>65</v>
      </c>
      <c r="O17" s="402" t="s">
        <v>66</v>
      </c>
    </row>
    <row r="18" spans="9:15" ht="29.1" customHeight="1" x14ac:dyDescent="0.25">
      <c r="I18" s="402">
        <f t="shared" si="0"/>
        <v>6</v>
      </c>
      <c r="J18" s="402" t="s">
        <v>67</v>
      </c>
      <c r="K18" s="402" t="s">
        <v>68</v>
      </c>
      <c r="L18" s="402" t="s">
        <v>69</v>
      </c>
      <c r="M18" s="402" t="s">
        <v>70</v>
      </c>
      <c r="N18" s="402" t="s">
        <v>71</v>
      </c>
      <c r="O18" s="402" t="s">
        <v>72</v>
      </c>
    </row>
    <row r="19" spans="9:15" ht="29.1" customHeight="1" x14ac:dyDescent="0.25">
      <c r="I19" s="402">
        <f t="shared" si="0"/>
        <v>7</v>
      </c>
      <c r="J19" s="402" t="s">
        <v>73</v>
      </c>
      <c r="K19" s="402" t="s">
        <v>74</v>
      </c>
      <c r="L19" s="402" t="s">
        <v>75</v>
      </c>
      <c r="M19" s="402" t="s">
        <v>76</v>
      </c>
      <c r="N19" s="402" t="s">
        <v>77</v>
      </c>
      <c r="O19" s="402" t="s">
        <v>78</v>
      </c>
    </row>
    <row r="20" spans="9:15" ht="29.1" customHeight="1" x14ac:dyDescent="0.25">
      <c r="I20" s="402">
        <f t="shared" si="0"/>
        <v>8</v>
      </c>
      <c r="J20" s="402" t="s">
        <v>79</v>
      </c>
      <c r="K20" s="402" t="s">
        <v>80</v>
      </c>
      <c r="L20" s="402" t="s">
        <v>81</v>
      </c>
      <c r="M20" s="402" t="s">
        <v>82</v>
      </c>
      <c r="N20" s="402" t="s">
        <v>83</v>
      </c>
      <c r="O20" s="402" t="s">
        <v>84</v>
      </c>
    </row>
    <row r="21" spans="9:15" ht="29.1" customHeight="1" x14ac:dyDescent="0.25">
      <c r="I21" s="402">
        <f t="shared" si="0"/>
        <v>9</v>
      </c>
      <c r="J21" s="402" t="s">
        <v>85</v>
      </c>
      <c r="K21" s="402" t="s">
        <v>86</v>
      </c>
      <c r="L21" s="402" t="s">
        <v>87</v>
      </c>
      <c r="M21" s="402" t="s">
        <v>88</v>
      </c>
      <c r="N21" s="402" t="s">
        <v>89</v>
      </c>
      <c r="O21" s="402" t="s">
        <v>90</v>
      </c>
    </row>
    <row r="22" spans="9:15" ht="29.1" customHeight="1" x14ac:dyDescent="0.25">
      <c r="I22" s="402">
        <f t="shared" si="0"/>
        <v>10</v>
      </c>
      <c r="J22" s="402" t="s">
        <v>91</v>
      </c>
      <c r="K22" s="402" t="s">
        <v>92</v>
      </c>
      <c r="L22" s="402" t="s">
        <v>93</v>
      </c>
      <c r="M22" s="402" t="s">
        <v>94</v>
      </c>
      <c r="N22" s="402" t="s">
        <v>95</v>
      </c>
      <c r="O22" s="402" t="s">
        <v>96</v>
      </c>
    </row>
    <row r="23" spans="9:15" ht="29.1" customHeight="1" x14ac:dyDescent="0.25">
      <c r="I23" s="402">
        <f t="shared" si="0"/>
        <v>11</v>
      </c>
      <c r="J23" s="402" t="s">
        <v>97</v>
      </c>
      <c r="K23" s="402" t="s">
        <v>98</v>
      </c>
      <c r="L23" s="402" t="s">
        <v>99</v>
      </c>
      <c r="M23" s="402" t="s">
        <v>100</v>
      </c>
      <c r="N23" s="402" t="s">
        <v>101</v>
      </c>
      <c r="O23" s="402" t="s">
        <v>102</v>
      </c>
    </row>
    <row r="24" spans="9:15" ht="29.1" customHeight="1" x14ac:dyDescent="0.25">
      <c r="I24" s="402">
        <f t="shared" si="0"/>
        <v>12</v>
      </c>
      <c r="J24" s="402" t="s">
        <v>103</v>
      </c>
      <c r="K24" s="402" t="s">
        <v>104</v>
      </c>
      <c r="L24" s="402" t="s">
        <v>105</v>
      </c>
      <c r="M24" s="402" t="s">
        <v>106</v>
      </c>
      <c r="N24" s="402" t="s">
        <v>107</v>
      </c>
      <c r="O24" s="402" t="s">
        <v>108</v>
      </c>
    </row>
    <row r="25" spans="9:15" ht="29.1" customHeight="1" x14ac:dyDescent="0.25">
      <c r="I25" s="402">
        <f t="shared" si="0"/>
        <v>13</v>
      </c>
      <c r="J25" s="402" t="s">
        <v>109</v>
      </c>
      <c r="K25" s="402" t="s">
        <v>110</v>
      </c>
      <c r="L25" s="402" t="s">
        <v>111</v>
      </c>
      <c r="M25" s="402" t="s">
        <v>112</v>
      </c>
      <c r="N25" s="402" t="s">
        <v>113</v>
      </c>
      <c r="O25" s="402" t="s">
        <v>114</v>
      </c>
    </row>
    <row r="26" spans="9:15" ht="29.1" customHeight="1" x14ac:dyDescent="0.25">
      <c r="I26" s="402">
        <f t="shared" si="0"/>
        <v>14</v>
      </c>
      <c r="J26" s="402" t="s">
        <v>115</v>
      </c>
      <c r="K26" s="402" t="s">
        <v>116</v>
      </c>
      <c r="L26" s="402" t="s">
        <v>117</v>
      </c>
      <c r="M26" s="402" t="s">
        <v>118</v>
      </c>
      <c r="N26" s="402" t="s">
        <v>119</v>
      </c>
      <c r="O26" s="402" t="s">
        <v>120</v>
      </c>
    </row>
    <row r="27" spans="9:15" ht="29.1" customHeight="1" x14ac:dyDescent="0.25">
      <c r="I27" s="402">
        <f t="shared" si="0"/>
        <v>15</v>
      </c>
      <c r="J27" s="402" t="s">
        <v>121</v>
      </c>
      <c r="K27" s="402" t="s">
        <v>122</v>
      </c>
      <c r="L27" s="402" t="s">
        <v>123</v>
      </c>
      <c r="M27" s="402" t="s">
        <v>124</v>
      </c>
      <c r="N27" s="402" t="s">
        <v>125</v>
      </c>
      <c r="O27" s="402" t="s">
        <v>126</v>
      </c>
    </row>
    <row r="28" spans="9:15" ht="29.1" customHeight="1" x14ac:dyDescent="0.25">
      <c r="I28" s="402">
        <f t="shared" si="0"/>
        <v>16</v>
      </c>
      <c r="J28" s="402" t="s">
        <v>127</v>
      </c>
      <c r="K28" s="402" t="s">
        <v>128</v>
      </c>
      <c r="L28" s="402" t="s">
        <v>129</v>
      </c>
      <c r="M28" s="402" t="s">
        <v>130</v>
      </c>
      <c r="N28" s="402" t="s">
        <v>131</v>
      </c>
      <c r="O28" s="402" t="s">
        <v>102</v>
      </c>
    </row>
    <row r="29" spans="9:15" ht="29.1" customHeight="1" x14ac:dyDescent="0.25">
      <c r="I29" s="402">
        <f t="shared" si="0"/>
        <v>17</v>
      </c>
      <c r="J29" s="402" t="s">
        <v>132</v>
      </c>
      <c r="K29" s="402" t="s">
        <v>133</v>
      </c>
      <c r="L29" s="402" t="s">
        <v>134</v>
      </c>
      <c r="M29" s="402" t="s">
        <v>135</v>
      </c>
      <c r="N29" s="402" t="s">
        <v>136</v>
      </c>
      <c r="O29" s="402" t="s">
        <v>108</v>
      </c>
    </row>
    <row r="30" spans="9:15" ht="29.1" customHeight="1" x14ac:dyDescent="0.25">
      <c r="I30" s="402">
        <f t="shared" si="0"/>
        <v>18</v>
      </c>
      <c r="J30" s="402" t="s">
        <v>137</v>
      </c>
      <c r="K30" s="402" t="s">
        <v>138</v>
      </c>
      <c r="L30" s="402" t="s">
        <v>139</v>
      </c>
      <c r="M30" s="402" t="s">
        <v>140</v>
      </c>
      <c r="N30" s="402" t="s">
        <v>141</v>
      </c>
      <c r="O30" s="402" t="s">
        <v>142</v>
      </c>
    </row>
    <row r="31" spans="9:15" ht="29.1" customHeight="1" x14ac:dyDescent="0.25">
      <c r="I31" s="402">
        <f t="shared" si="0"/>
        <v>19</v>
      </c>
      <c r="J31" s="402" t="s">
        <v>143</v>
      </c>
      <c r="K31" s="402" t="s">
        <v>144</v>
      </c>
      <c r="L31" s="402" t="s">
        <v>145</v>
      </c>
      <c r="M31" s="402" t="s">
        <v>146</v>
      </c>
      <c r="N31" s="402" t="s">
        <v>147</v>
      </c>
      <c r="O31" s="402" t="s">
        <v>96</v>
      </c>
    </row>
    <row r="32" spans="9:15" ht="29.1" customHeight="1" x14ac:dyDescent="0.25">
      <c r="I32" s="402">
        <f t="shared" si="0"/>
        <v>20</v>
      </c>
      <c r="J32" s="402" t="s">
        <v>148</v>
      </c>
      <c r="K32" s="402" t="s">
        <v>149</v>
      </c>
      <c r="L32" s="402" t="s">
        <v>150</v>
      </c>
      <c r="M32" s="402" t="s">
        <v>151</v>
      </c>
      <c r="N32" s="402" t="s">
        <v>152</v>
      </c>
      <c r="O32" s="402" t="s">
        <v>78</v>
      </c>
    </row>
    <row r="33" s="22" customFormat="1" ht="29.1" customHeight="1" x14ac:dyDescent="0.25"/>
    <row r="34" s="22" customFormat="1" ht="29.1" customHeight="1" x14ac:dyDescent="0.25"/>
    <row r="35" s="22" customFormat="1" ht="29.1" customHeight="1" x14ac:dyDescent="0.25"/>
    <row r="36" s="22" customFormat="1" ht="29.1" customHeight="1" x14ac:dyDescent="0.25"/>
    <row r="37" s="22" customFormat="1" ht="29.1" customHeight="1" x14ac:dyDescent="0.25"/>
    <row r="38" s="22" customFormat="1" ht="29.1" customHeight="1" x14ac:dyDescent="0.25"/>
    <row r="39" s="22" customFormat="1" ht="29.1" customHeight="1" x14ac:dyDescent="0.25"/>
    <row r="40" s="22" customFormat="1" ht="29.1" customHeight="1" x14ac:dyDescent="0.25"/>
    <row r="41" s="22" customFormat="1" ht="29.1" customHeight="1" x14ac:dyDescent="0.25"/>
    <row r="42" s="22" customFormat="1" ht="29.1" customHeight="1" x14ac:dyDescent="0.25"/>
    <row r="43" s="22" customFormat="1" ht="29.1" customHeight="1" x14ac:dyDescent="0.25"/>
    <row r="44" s="22" customFormat="1" ht="29.1" customHeight="1" x14ac:dyDescent="0.25"/>
    <row r="45" s="22" customFormat="1" ht="29.1" customHeight="1" x14ac:dyDescent="0.25"/>
    <row r="46" s="22" customFormat="1" ht="29.1" customHeight="1" x14ac:dyDescent="0.25"/>
    <row r="47" s="22" customFormat="1" ht="29.1" customHeight="1" x14ac:dyDescent="0.25"/>
    <row r="48" s="22" customFormat="1" ht="29.1" customHeight="1" x14ac:dyDescent="0.25"/>
    <row r="49" s="22" customFormat="1" ht="29.1" customHeight="1" x14ac:dyDescent="0.25"/>
    <row r="50" s="22" customFormat="1" ht="29.1" customHeight="1" x14ac:dyDescent="0.25"/>
    <row r="51" s="22" customFormat="1" ht="29.1" customHeight="1" x14ac:dyDescent="0.25"/>
    <row r="52" s="22" customFormat="1" ht="29.1" customHeight="1" x14ac:dyDescent="0.25"/>
    <row r="53" s="22" customFormat="1" ht="29.1" customHeight="1" x14ac:dyDescent="0.25"/>
    <row r="54" s="22" customFormat="1" ht="29.1" customHeight="1" x14ac:dyDescent="0.25"/>
    <row r="55" s="22" customFormat="1" ht="29.1" customHeight="1" x14ac:dyDescent="0.25"/>
    <row r="56" s="22" customFormat="1" ht="29.1" customHeight="1" x14ac:dyDescent="0.25"/>
    <row r="57" s="22" customFormat="1" ht="29.1" customHeight="1" x14ac:dyDescent="0.25"/>
    <row r="58" s="22" customFormat="1" ht="29.1" customHeight="1" x14ac:dyDescent="0.25"/>
    <row r="59" s="22" customFormat="1" ht="29.1" customHeight="1" x14ac:dyDescent="0.25"/>
    <row r="60" s="22" customFormat="1" ht="29.1" customHeight="1" x14ac:dyDescent="0.25"/>
    <row r="61" s="22" customFormat="1" ht="29.1" customHeight="1" x14ac:dyDescent="0.25"/>
    <row r="62" s="22" customFormat="1" ht="29.1" customHeight="1" x14ac:dyDescent="0.25"/>
    <row r="63" s="22" customFormat="1" ht="29.1" customHeight="1" x14ac:dyDescent="0.25"/>
    <row r="64" s="22" customFormat="1" ht="29.1" customHeight="1" x14ac:dyDescent="0.25"/>
    <row r="65" s="22" customFormat="1" ht="29.1" customHeight="1" x14ac:dyDescent="0.25"/>
    <row r="66" s="22" customFormat="1" ht="29.1" customHeight="1" x14ac:dyDescent="0.25"/>
    <row r="67" s="22" customFormat="1" ht="29.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R66"/>
  <sheetViews>
    <sheetView zoomScale="40" zoomScaleNormal="40" workbookViewId="0"/>
  </sheetViews>
  <sheetFormatPr defaultColWidth="9.140625" defaultRowHeight="29.1" customHeight="1" x14ac:dyDescent="0.25"/>
  <cols>
    <col min="1" max="10" width="9.140625" style="22"/>
    <col min="11" max="11" width="8.42578125" style="22" bestFit="1" customWidth="1"/>
    <col min="12" max="12" width="46.28515625" style="22" bestFit="1" customWidth="1"/>
    <col min="13" max="13" width="40.140625" style="22" bestFit="1" customWidth="1"/>
    <col min="14" max="14" width="65.140625" style="22" bestFit="1" customWidth="1"/>
    <col min="15" max="15" width="43.42578125" style="22" bestFit="1" customWidth="1"/>
    <col min="16" max="16" width="47.28515625" style="22" bestFit="1" customWidth="1"/>
    <col min="17" max="17" width="54.85546875" style="22" bestFit="1" customWidth="1"/>
    <col min="18" max="18" width="44.42578125" style="22" bestFit="1" customWidth="1"/>
    <col min="19" max="16384" width="9.140625" style="22"/>
  </cols>
  <sheetData>
    <row r="1" spans="1:18" s="2" customFormat="1" ht="30" customHeight="1" x14ac:dyDescent="0.25"/>
    <row r="2" spans="1:18" s="2" customFormat="1" ht="30" customHeight="1" x14ac:dyDescent="0.25"/>
    <row r="3" spans="1:18" s="2" customFormat="1" ht="30" customHeight="1" x14ac:dyDescent="0.25"/>
    <row r="4" spans="1:18" s="410" customFormat="1" ht="24.95" customHeight="1" x14ac:dyDescent="0.25">
      <c r="A4" s="509"/>
      <c r="B4" s="509"/>
      <c r="C4" s="509"/>
      <c r="D4" s="509"/>
    </row>
    <row r="5" spans="1:18" s="410" customFormat="1" ht="24.95" customHeight="1" x14ac:dyDescent="0.25">
      <c r="A5" s="509"/>
      <c r="B5" s="509"/>
      <c r="C5" s="509"/>
      <c r="D5" s="509"/>
    </row>
    <row r="6" spans="1:18" s="410" customFormat="1" ht="24.95" customHeight="1" x14ac:dyDescent="0.25">
      <c r="A6" s="509"/>
      <c r="B6" s="509"/>
      <c r="C6" s="509"/>
      <c r="D6" s="509"/>
    </row>
    <row r="7" spans="1:18" s="410" customFormat="1" ht="24.95" customHeight="1" x14ac:dyDescent="0.25">
      <c r="A7" s="509"/>
      <c r="B7" s="509"/>
      <c r="C7" s="509"/>
      <c r="D7" s="509"/>
    </row>
    <row r="13" spans="1:18" ht="29.1" customHeight="1" x14ac:dyDescent="0.25">
      <c r="K13" s="401" t="s">
        <v>31</v>
      </c>
      <c r="L13" s="403" t="s">
        <v>153</v>
      </c>
      <c r="M13" s="403" t="s">
        <v>154</v>
      </c>
      <c r="N13" s="404" t="s">
        <v>155</v>
      </c>
      <c r="O13" s="403" t="s">
        <v>156</v>
      </c>
      <c r="P13" s="403" t="s">
        <v>157</v>
      </c>
      <c r="Q13" s="403" t="s">
        <v>158</v>
      </c>
      <c r="R13" s="403" t="s">
        <v>159</v>
      </c>
    </row>
    <row r="14" spans="1:18" ht="29.1" customHeight="1" x14ac:dyDescent="0.25">
      <c r="K14" s="402">
        <v>1</v>
      </c>
      <c r="L14" s="402" t="s">
        <v>160</v>
      </c>
      <c r="M14" s="402" t="s">
        <v>161</v>
      </c>
      <c r="N14" s="405">
        <v>10000</v>
      </c>
      <c r="O14" s="402" t="s">
        <v>162</v>
      </c>
      <c r="P14" s="402" t="s">
        <v>163</v>
      </c>
      <c r="Q14" s="402" t="s">
        <v>41</v>
      </c>
      <c r="R14" s="402" t="s">
        <v>164</v>
      </c>
    </row>
    <row r="15" spans="1:18" ht="29.1" customHeight="1" x14ac:dyDescent="0.25">
      <c r="K15" s="402">
        <f>K14+1</f>
        <v>2</v>
      </c>
      <c r="L15" s="402" t="s">
        <v>165</v>
      </c>
      <c r="M15" s="402" t="s">
        <v>166</v>
      </c>
      <c r="N15" s="405">
        <v>2000</v>
      </c>
      <c r="O15" s="402" t="s">
        <v>167</v>
      </c>
      <c r="P15" s="402" t="s">
        <v>168</v>
      </c>
      <c r="Q15" s="402" t="s">
        <v>169</v>
      </c>
      <c r="R15" s="402" t="s">
        <v>170</v>
      </c>
    </row>
    <row r="16" spans="1:18" ht="29.1" customHeight="1" x14ac:dyDescent="0.25">
      <c r="K16" s="402">
        <f t="shared" ref="K16:K33" si="0">K15+1</f>
        <v>3</v>
      </c>
      <c r="L16" s="402" t="s">
        <v>171</v>
      </c>
      <c r="M16" s="402" t="s">
        <v>161</v>
      </c>
      <c r="N16" s="405">
        <v>15000</v>
      </c>
      <c r="O16" s="402" t="s">
        <v>172</v>
      </c>
      <c r="P16" s="402" t="s">
        <v>173</v>
      </c>
      <c r="Q16" s="402" t="s">
        <v>174</v>
      </c>
      <c r="R16" s="402" t="s">
        <v>175</v>
      </c>
    </row>
    <row r="17" spans="11:18" ht="29.1" customHeight="1" x14ac:dyDescent="0.25">
      <c r="K17" s="402">
        <f t="shared" si="0"/>
        <v>4</v>
      </c>
      <c r="L17" s="402" t="s">
        <v>176</v>
      </c>
      <c r="M17" s="402" t="s">
        <v>177</v>
      </c>
      <c r="N17" s="405">
        <v>1200</v>
      </c>
      <c r="O17" s="402" t="s">
        <v>178</v>
      </c>
      <c r="P17" s="402" t="s">
        <v>179</v>
      </c>
      <c r="Q17" s="402" t="s">
        <v>58</v>
      </c>
      <c r="R17" s="402" t="s">
        <v>164</v>
      </c>
    </row>
    <row r="18" spans="11:18" ht="29.1" customHeight="1" x14ac:dyDescent="0.25">
      <c r="K18" s="402">
        <f t="shared" si="0"/>
        <v>5</v>
      </c>
      <c r="L18" s="402" t="s">
        <v>180</v>
      </c>
      <c r="M18" s="402" t="s">
        <v>161</v>
      </c>
      <c r="N18" s="405">
        <v>12500</v>
      </c>
      <c r="O18" s="402" t="s">
        <v>181</v>
      </c>
      <c r="P18" s="402" t="s">
        <v>61</v>
      </c>
      <c r="Q18" s="402" t="s">
        <v>182</v>
      </c>
      <c r="R18" s="402" t="s">
        <v>164</v>
      </c>
    </row>
    <row r="19" spans="11:18" ht="29.1" customHeight="1" x14ac:dyDescent="0.25">
      <c r="K19" s="402">
        <f t="shared" si="0"/>
        <v>6</v>
      </c>
      <c r="L19" s="402" t="s">
        <v>183</v>
      </c>
      <c r="M19" s="402" t="s">
        <v>161</v>
      </c>
      <c r="N19" s="405">
        <v>8000</v>
      </c>
      <c r="O19" s="402" t="s">
        <v>184</v>
      </c>
      <c r="P19" s="402" t="s">
        <v>185</v>
      </c>
      <c r="Q19" s="402" t="s">
        <v>186</v>
      </c>
      <c r="R19" s="402" t="s">
        <v>175</v>
      </c>
    </row>
    <row r="20" spans="11:18" ht="29.1" customHeight="1" x14ac:dyDescent="0.25">
      <c r="K20" s="402">
        <f t="shared" si="0"/>
        <v>7</v>
      </c>
      <c r="L20" s="402" t="s">
        <v>187</v>
      </c>
      <c r="M20" s="402" t="s">
        <v>166</v>
      </c>
      <c r="N20" s="405">
        <v>2500</v>
      </c>
      <c r="O20" s="402" t="s">
        <v>188</v>
      </c>
      <c r="P20" s="402" t="s">
        <v>189</v>
      </c>
      <c r="Q20" s="402" t="s">
        <v>190</v>
      </c>
      <c r="R20" s="402" t="s">
        <v>170</v>
      </c>
    </row>
    <row r="21" spans="11:18" ht="29.1" customHeight="1" x14ac:dyDescent="0.25">
      <c r="K21" s="402">
        <f t="shared" si="0"/>
        <v>8</v>
      </c>
      <c r="L21" s="402" t="s">
        <v>191</v>
      </c>
      <c r="M21" s="402" t="s">
        <v>177</v>
      </c>
      <c r="N21" s="405">
        <v>1800</v>
      </c>
      <c r="O21" s="402" t="s">
        <v>192</v>
      </c>
      <c r="P21" s="402" t="s">
        <v>193</v>
      </c>
      <c r="Q21" s="402" t="s">
        <v>82</v>
      </c>
      <c r="R21" s="402" t="s">
        <v>164</v>
      </c>
    </row>
    <row r="22" spans="11:18" ht="29.1" customHeight="1" x14ac:dyDescent="0.25">
      <c r="K22" s="402">
        <f t="shared" si="0"/>
        <v>9</v>
      </c>
      <c r="L22" s="402" t="s">
        <v>194</v>
      </c>
      <c r="M22" s="402" t="s">
        <v>161</v>
      </c>
      <c r="N22" s="405">
        <v>10500</v>
      </c>
      <c r="O22" s="402" t="s">
        <v>195</v>
      </c>
      <c r="P22" s="402" t="s">
        <v>85</v>
      </c>
      <c r="Q22" s="402" t="s">
        <v>88</v>
      </c>
      <c r="R22" s="402" t="s">
        <v>164</v>
      </c>
    </row>
    <row r="23" spans="11:18" ht="29.1" customHeight="1" x14ac:dyDescent="0.25">
      <c r="K23" s="402">
        <f t="shared" si="0"/>
        <v>10</v>
      </c>
      <c r="L23" s="402" t="s">
        <v>196</v>
      </c>
      <c r="M23" s="402" t="s">
        <v>166</v>
      </c>
      <c r="N23" s="405">
        <v>2200</v>
      </c>
      <c r="O23" s="402" t="s">
        <v>197</v>
      </c>
      <c r="P23" s="402" t="s">
        <v>198</v>
      </c>
      <c r="Q23" s="402" t="s">
        <v>94</v>
      </c>
      <c r="R23" s="402" t="s">
        <v>170</v>
      </c>
    </row>
    <row r="24" spans="11:18" ht="29.1" customHeight="1" x14ac:dyDescent="0.25">
      <c r="K24" s="402">
        <f t="shared" si="0"/>
        <v>11</v>
      </c>
      <c r="L24" s="402" t="s">
        <v>199</v>
      </c>
      <c r="M24" s="402" t="s">
        <v>161</v>
      </c>
      <c r="N24" s="405">
        <v>14000</v>
      </c>
      <c r="O24" s="402" t="s">
        <v>200</v>
      </c>
      <c r="P24" s="402" t="s">
        <v>97</v>
      </c>
      <c r="Q24" s="402" t="s">
        <v>100</v>
      </c>
      <c r="R24" s="402" t="s">
        <v>164</v>
      </c>
    </row>
    <row r="25" spans="11:18" ht="29.1" customHeight="1" x14ac:dyDescent="0.25">
      <c r="K25" s="402">
        <f t="shared" si="0"/>
        <v>12</v>
      </c>
      <c r="L25" s="402" t="s">
        <v>201</v>
      </c>
      <c r="M25" s="402" t="s">
        <v>177</v>
      </c>
      <c r="N25" s="405">
        <v>1000</v>
      </c>
      <c r="O25" s="402" t="s">
        <v>202</v>
      </c>
      <c r="P25" s="402" t="s">
        <v>203</v>
      </c>
      <c r="Q25" s="402" t="s">
        <v>106</v>
      </c>
      <c r="R25" s="402" t="s">
        <v>175</v>
      </c>
    </row>
    <row r="26" spans="11:18" ht="29.1" customHeight="1" x14ac:dyDescent="0.25">
      <c r="K26" s="402">
        <f t="shared" si="0"/>
        <v>13</v>
      </c>
      <c r="L26" s="402" t="s">
        <v>204</v>
      </c>
      <c r="M26" s="402" t="s">
        <v>161</v>
      </c>
      <c r="N26" s="405">
        <v>13000</v>
      </c>
      <c r="O26" s="402" t="s">
        <v>205</v>
      </c>
      <c r="P26" s="402" t="s">
        <v>109</v>
      </c>
      <c r="Q26" s="402" t="s">
        <v>112</v>
      </c>
      <c r="R26" s="402" t="s">
        <v>164</v>
      </c>
    </row>
    <row r="27" spans="11:18" ht="29.1" customHeight="1" x14ac:dyDescent="0.25">
      <c r="K27" s="402">
        <f t="shared" si="0"/>
        <v>14</v>
      </c>
      <c r="L27" s="402" t="s">
        <v>206</v>
      </c>
      <c r="M27" s="402" t="s">
        <v>166</v>
      </c>
      <c r="N27" s="405">
        <v>1900</v>
      </c>
      <c r="O27" s="402" t="s">
        <v>207</v>
      </c>
      <c r="P27" s="402" t="s">
        <v>115</v>
      </c>
      <c r="Q27" s="402" t="s">
        <v>118</v>
      </c>
      <c r="R27" s="402" t="s">
        <v>170</v>
      </c>
    </row>
    <row r="28" spans="11:18" ht="29.1" customHeight="1" x14ac:dyDescent="0.25">
      <c r="K28" s="402">
        <f t="shared" si="0"/>
        <v>15</v>
      </c>
      <c r="L28" s="402" t="s">
        <v>208</v>
      </c>
      <c r="M28" s="402" t="s">
        <v>161</v>
      </c>
      <c r="N28" s="405">
        <v>16000</v>
      </c>
      <c r="O28" s="402" t="s">
        <v>209</v>
      </c>
      <c r="P28" s="402" t="s">
        <v>121</v>
      </c>
      <c r="Q28" s="402" t="s">
        <v>124</v>
      </c>
      <c r="R28" s="402" t="s">
        <v>164</v>
      </c>
    </row>
    <row r="29" spans="11:18" ht="29.1" customHeight="1" x14ac:dyDescent="0.25">
      <c r="K29" s="402">
        <f t="shared" si="0"/>
        <v>16</v>
      </c>
      <c r="L29" s="402" t="s">
        <v>210</v>
      </c>
      <c r="M29" s="402" t="s">
        <v>177</v>
      </c>
      <c r="N29" s="405">
        <v>1500</v>
      </c>
      <c r="O29" s="402" t="s">
        <v>211</v>
      </c>
      <c r="P29" s="402" t="s">
        <v>127</v>
      </c>
      <c r="Q29" s="402" t="s">
        <v>130</v>
      </c>
      <c r="R29" s="402" t="s">
        <v>164</v>
      </c>
    </row>
    <row r="30" spans="11:18" ht="29.1" customHeight="1" x14ac:dyDescent="0.25">
      <c r="K30" s="402">
        <f t="shared" si="0"/>
        <v>17</v>
      </c>
      <c r="L30" s="402" t="s">
        <v>212</v>
      </c>
      <c r="M30" s="402" t="s">
        <v>166</v>
      </c>
      <c r="N30" s="405">
        <v>2300</v>
      </c>
      <c r="O30" s="402" t="s">
        <v>213</v>
      </c>
      <c r="P30" s="402" t="s">
        <v>132</v>
      </c>
      <c r="Q30" s="402" t="s">
        <v>135</v>
      </c>
      <c r="R30" s="402" t="s">
        <v>175</v>
      </c>
    </row>
    <row r="31" spans="11:18" ht="29.1" customHeight="1" x14ac:dyDescent="0.25">
      <c r="K31" s="402">
        <f t="shared" si="0"/>
        <v>18</v>
      </c>
      <c r="L31" s="402" t="s">
        <v>214</v>
      </c>
      <c r="M31" s="402" t="s">
        <v>161</v>
      </c>
      <c r="N31" s="405">
        <v>11000</v>
      </c>
      <c r="O31" s="402" t="s">
        <v>215</v>
      </c>
      <c r="P31" s="402" t="s">
        <v>137</v>
      </c>
      <c r="Q31" s="402" t="s">
        <v>140</v>
      </c>
      <c r="R31" s="402" t="s">
        <v>164</v>
      </c>
    </row>
    <row r="32" spans="11:18" ht="29.1" customHeight="1" x14ac:dyDescent="0.25">
      <c r="K32" s="402">
        <f t="shared" si="0"/>
        <v>19</v>
      </c>
      <c r="L32" s="402" t="s">
        <v>216</v>
      </c>
      <c r="M32" s="402" t="s">
        <v>166</v>
      </c>
      <c r="N32" s="405">
        <v>1700</v>
      </c>
      <c r="O32" s="402" t="s">
        <v>217</v>
      </c>
      <c r="P32" s="402" t="s">
        <v>143</v>
      </c>
      <c r="Q32" s="402" t="s">
        <v>146</v>
      </c>
      <c r="R32" s="402" t="s">
        <v>170</v>
      </c>
    </row>
    <row r="33" spans="11:18" ht="29.1" customHeight="1" x14ac:dyDescent="0.25">
      <c r="K33" s="402">
        <f t="shared" si="0"/>
        <v>20</v>
      </c>
      <c r="L33" s="402" t="s">
        <v>218</v>
      </c>
      <c r="M33" s="402" t="s">
        <v>177</v>
      </c>
      <c r="N33" s="405">
        <v>1300</v>
      </c>
      <c r="O33" s="402" t="s">
        <v>219</v>
      </c>
      <c r="P33" s="402" t="s">
        <v>148</v>
      </c>
      <c r="Q33" s="402" t="s">
        <v>151</v>
      </c>
      <c r="R33" s="402" t="s">
        <v>164</v>
      </c>
    </row>
    <row r="49" s="22" customFormat="1" ht="29.1" customHeight="1" x14ac:dyDescent="0.25"/>
    <row r="50" s="22" customFormat="1" ht="29.1" customHeight="1" x14ac:dyDescent="0.25"/>
    <row r="51" s="22" customFormat="1" ht="29.1" customHeight="1" x14ac:dyDescent="0.25"/>
    <row r="52" s="22" customFormat="1" ht="29.1" customHeight="1" x14ac:dyDescent="0.25"/>
    <row r="53" s="22" customFormat="1" ht="29.1" customHeight="1" x14ac:dyDescent="0.25"/>
    <row r="54" s="22" customFormat="1" ht="29.1" customHeight="1" x14ac:dyDescent="0.25"/>
    <row r="55" s="22" customFormat="1" ht="29.1" customHeight="1" x14ac:dyDescent="0.25"/>
    <row r="56" s="22" customFormat="1" ht="29.1" customHeight="1" x14ac:dyDescent="0.25"/>
    <row r="57" s="22" customFormat="1" ht="29.1" customHeight="1" x14ac:dyDescent="0.25"/>
    <row r="58" s="22" customFormat="1" ht="29.1" customHeight="1" x14ac:dyDescent="0.25"/>
    <row r="59" s="22" customFormat="1" ht="29.1" customHeight="1" x14ac:dyDescent="0.25"/>
    <row r="60" s="22" customFormat="1" ht="29.1" customHeight="1" x14ac:dyDescent="0.25"/>
    <row r="61" s="22" customFormat="1" ht="29.1" customHeight="1" x14ac:dyDescent="0.25"/>
    <row r="62" s="22" customFormat="1" ht="29.1" customHeight="1" x14ac:dyDescent="0.25"/>
    <row r="63" s="22" customFormat="1" ht="29.1" customHeight="1" x14ac:dyDescent="0.25"/>
    <row r="64" s="22" customFormat="1" ht="29.1" customHeight="1" x14ac:dyDescent="0.25"/>
    <row r="65" s="22" customFormat="1" ht="29.1" customHeight="1" x14ac:dyDescent="0.25"/>
    <row r="66" s="22" customFormat="1" ht="29.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S66"/>
  <sheetViews>
    <sheetView zoomScale="40" zoomScaleNormal="40" workbookViewId="0"/>
  </sheetViews>
  <sheetFormatPr defaultColWidth="9.140625" defaultRowHeight="15" x14ac:dyDescent="0.25"/>
  <cols>
    <col min="1" max="10" width="9.140625" style="22"/>
    <col min="11" max="11" width="7.28515625" style="22" bestFit="1" customWidth="1"/>
    <col min="12" max="12" width="40.85546875" style="22" bestFit="1" customWidth="1"/>
    <col min="13" max="13" width="36.5703125" style="22" bestFit="1" customWidth="1"/>
    <col min="14" max="14" width="42.28515625" style="22" bestFit="1" customWidth="1"/>
    <col min="15" max="15" width="72.28515625" style="22" bestFit="1" customWidth="1"/>
    <col min="16" max="16" width="38" style="22" bestFit="1" customWidth="1"/>
    <col min="17" max="17" width="30.140625" style="22" bestFit="1" customWidth="1"/>
    <col min="18" max="18" width="52.7109375" style="22" bestFit="1" customWidth="1"/>
    <col min="19" max="19" width="44.140625" style="22" bestFit="1" customWidth="1"/>
    <col min="20" max="16384" width="9.140625" style="22"/>
  </cols>
  <sheetData>
    <row r="1" spans="1:19" s="2" customFormat="1" ht="30" customHeight="1" x14ac:dyDescent="0.25"/>
    <row r="2" spans="1:19" s="2" customFormat="1" ht="30" customHeight="1" x14ac:dyDescent="0.25"/>
    <row r="3" spans="1:19" s="2" customFormat="1" ht="30" customHeight="1" x14ac:dyDescent="0.25"/>
    <row r="4" spans="1:19" s="410" customFormat="1" ht="24.95" customHeight="1" x14ac:dyDescent="0.25">
      <c r="A4" s="509"/>
      <c r="B4" s="509"/>
      <c r="C4" s="509"/>
      <c r="D4" s="509"/>
    </row>
    <row r="5" spans="1:19" s="410" customFormat="1" ht="24.95" customHeight="1" x14ac:dyDescent="0.25">
      <c r="A5" s="509"/>
      <c r="B5" s="509"/>
      <c r="C5" s="509"/>
      <c r="D5" s="509"/>
    </row>
    <row r="6" spans="1:19" s="410" customFormat="1" ht="24.95" customHeight="1" x14ac:dyDescent="0.25">
      <c r="A6" s="509"/>
      <c r="B6" s="509"/>
      <c r="C6" s="509"/>
      <c r="D6" s="509"/>
    </row>
    <row r="7" spans="1:19" s="410" customFormat="1" ht="24.95" customHeight="1" x14ac:dyDescent="0.25">
      <c r="A7" s="509"/>
      <c r="B7" s="509"/>
      <c r="C7" s="509"/>
      <c r="D7" s="509"/>
    </row>
    <row r="8" spans="1:19" ht="28.9" customHeight="1" x14ac:dyDescent="0.25"/>
    <row r="9" spans="1:19" ht="28.9" customHeight="1" x14ac:dyDescent="0.25"/>
    <row r="10" spans="1:19" ht="28.9" customHeight="1" x14ac:dyDescent="0.25"/>
    <row r="11" spans="1:19" ht="28.9" customHeight="1" x14ac:dyDescent="0.25"/>
    <row r="12" spans="1:19" ht="28.9" customHeight="1" x14ac:dyDescent="0.25"/>
    <row r="13" spans="1:19" ht="28.9" customHeight="1" x14ac:dyDescent="0.25">
      <c r="K13" s="401" t="s">
        <v>220</v>
      </c>
      <c r="L13" s="401" t="s">
        <v>221</v>
      </c>
      <c r="M13" s="404" t="s">
        <v>222</v>
      </c>
      <c r="N13" s="401" t="s">
        <v>32</v>
      </c>
      <c r="O13" s="401" t="s">
        <v>223</v>
      </c>
      <c r="P13" s="401" t="s">
        <v>224</v>
      </c>
      <c r="Q13" s="401" t="s">
        <v>225</v>
      </c>
      <c r="R13" s="401" t="s">
        <v>226</v>
      </c>
      <c r="S13" s="401" t="s">
        <v>227</v>
      </c>
    </row>
    <row r="14" spans="1:19" ht="28.9" customHeight="1" x14ac:dyDescent="0.25">
      <c r="K14" s="402">
        <v>1</v>
      </c>
      <c r="L14" s="406">
        <v>45604</v>
      </c>
      <c r="M14" s="407">
        <v>0.33333333333333331</v>
      </c>
      <c r="N14" s="402" t="s">
        <v>38</v>
      </c>
      <c r="O14" s="402" t="s">
        <v>228</v>
      </c>
      <c r="P14" s="402" t="s">
        <v>229</v>
      </c>
      <c r="Q14" s="402">
        <v>10</v>
      </c>
      <c r="R14" s="402" t="s">
        <v>161</v>
      </c>
      <c r="S14" s="402" t="s">
        <v>230</v>
      </c>
    </row>
    <row r="15" spans="1:19" ht="28.9" customHeight="1" x14ac:dyDescent="0.25">
      <c r="K15" s="402">
        <f>K14+1</f>
        <v>2</v>
      </c>
      <c r="L15" s="406">
        <v>45604</v>
      </c>
      <c r="M15" s="407">
        <v>0.39583333333333331</v>
      </c>
      <c r="N15" s="402" t="s">
        <v>44</v>
      </c>
      <c r="O15" s="402" t="s">
        <v>231</v>
      </c>
      <c r="P15" s="402" t="s">
        <v>232</v>
      </c>
      <c r="Q15" s="402">
        <v>2</v>
      </c>
      <c r="R15" s="402" t="s">
        <v>166</v>
      </c>
      <c r="S15" s="402" t="s">
        <v>233</v>
      </c>
    </row>
    <row r="16" spans="1:19" ht="28.9" customHeight="1" x14ac:dyDescent="0.25">
      <c r="K16" s="402">
        <f t="shared" ref="K16:K33" si="0">K15+1</f>
        <v>3</v>
      </c>
      <c r="L16" s="406">
        <v>45604</v>
      </c>
      <c r="M16" s="407">
        <v>0.32291666666666669</v>
      </c>
      <c r="N16" s="402" t="s">
        <v>49</v>
      </c>
      <c r="O16" s="402" t="s">
        <v>234</v>
      </c>
      <c r="P16" s="402" t="s">
        <v>235</v>
      </c>
      <c r="Q16" s="402">
        <v>50</v>
      </c>
      <c r="R16" s="402" t="s">
        <v>177</v>
      </c>
      <c r="S16" s="402" t="s">
        <v>230</v>
      </c>
    </row>
    <row r="17" spans="11:19" ht="28.9" customHeight="1" x14ac:dyDescent="0.25">
      <c r="K17" s="402">
        <f t="shared" si="0"/>
        <v>4</v>
      </c>
      <c r="L17" s="406">
        <v>45604</v>
      </c>
      <c r="M17" s="407">
        <v>0.41666666666666669</v>
      </c>
      <c r="N17" s="402" t="s">
        <v>55</v>
      </c>
      <c r="O17" s="402" t="s">
        <v>236</v>
      </c>
      <c r="P17" s="402" t="s">
        <v>237</v>
      </c>
      <c r="Q17" s="402">
        <v>15</v>
      </c>
      <c r="R17" s="402" t="s">
        <v>161</v>
      </c>
      <c r="S17" s="402" t="s">
        <v>230</v>
      </c>
    </row>
    <row r="18" spans="11:19" ht="28.9" customHeight="1" x14ac:dyDescent="0.25">
      <c r="K18" s="402">
        <f t="shared" si="0"/>
        <v>5</v>
      </c>
      <c r="L18" s="406">
        <v>45604</v>
      </c>
      <c r="M18" s="407">
        <v>0.34375</v>
      </c>
      <c r="N18" s="402" t="s">
        <v>61</v>
      </c>
      <c r="O18" s="402" t="s">
        <v>238</v>
      </c>
      <c r="P18" s="402" t="s">
        <v>229</v>
      </c>
      <c r="Q18" s="402">
        <v>100</v>
      </c>
      <c r="R18" s="402" t="s">
        <v>161</v>
      </c>
      <c r="S18" s="402" t="s">
        <v>239</v>
      </c>
    </row>
    <row r="19" spans="11:19" ht="28.9" customHeight="1" x14ac:dyDescent="0.25">
      <c r="K19" s="402">
        <f t="shared" si="0"/>
        <v>6</v>
      </c>
      <c r="L19" s="406">
        <v>45604</v>
      </c>
      <c r="M19" s="407">
        <v>0.375</v>
      </c>
      <c r="N19" s="402" t="s">
        <v>67</v>
      </c>
      <c r="O19" s="402" t="s">
        <v>240</v>
      </c>
      <c r="P19" s="402" t="s">
        <v>232</v>
      </c>
      <c r="Q19" s="402">
        <v>200</v>
      </c>
      <c r="R19" s="402" t="s">
        <v>166</v>
      </c>
      <c r="S19" s="402" t="s">
        <v>230</v>
      </c>
    </row>
    <row r="20" spans="11:19" ht="28.9" customHeight="1" x14ac:dyDescent="0.25">
      <c r="K20" s="402">
        <f t="shared" si="0"/>
        <v>7</v>
      </c>
      <c r="L20" s="406">
        <v>45604</v>
      </c>
      <c r="M20" s="407">
        <v>0.45833333333333331</v>
      </c>
      <c r="N20" s="402" t="s">
        <v>73</v>
      </c>
      <c r="O20" s="402" t="s">
        <v>241</v>
      </c>
      <c r="P20" s="402" t="s">
        <v>235</v>
      </c>
      <c r="Q20" s="402">
        <v>30</v>
      </c>
      <c r="R20" s="402" t="s">
        <v>177</v>
      </c>
      <c r="S20" s="402" t="s">
        <v>233</v>
      </c>
    </row>
    <row r="21" spans="11:19" ht="28.9" customHeight="1" x14ac:dyDescent="0.25">
      <c r="K21" s="402">
        <f t="shared" si="0"/>
        <v>8</v>
      </c>
      <c r="L21" s="406">
        <v>45604</v>
      </c>
      <c r="M21" s="407">
        <v>0.3125</v>
      </c>
      <c r="N21" s="402" t="s">
        <v>79</v>
      </c>
      <c r="O21" s="402" t="s">
        <v>242</v>
      </c>
      <c r="P21" s="402" t="s">
        <v>237</v>
      </c>
      <c r="Q21" s="402">
        <v>20</v>
      </c>
      <c r="R21" s="402" t="s">
        <v>161</v>
      </c>
      <c r="S21" s="402" t="s">
        <v>230</v>
      </c>
    </row>
    <row r="22" spans="11:19" ht="28.9" customHeight="1" x14ac:dyDescent="0.25">
      <c r="K22" s="402">
        <f t="shared" si="0"/>
        <v>9</v>
      </c>
      <c r="L22" s="406">
        <v>45604</v>
      </c>
      <c r="M22" s="407">
        <v>0.40625</v>
      </c>
      <c r="N22" s="402" t="s">
        <v>85</v>
      </c>
      <c r="O22" s="402" t="s">
        <v>243</v>
      </c>
      <c r="P22" s="402" t="s">
        <v>229</v>
      </c>
      <c r="Q22" s="402">
        <v>500</v>
      </c>
      <c r="R22" s="402" t="s">
        <v>161</v>
      </c>
      <c r="S22" s="402" t="s">
        <v>230</v>
      </c>
    </row>
    <row r="23" spans="11:19" ht="28.9" customHeight="1" x14ac:dyDescent="0.25">
      <c r="K23" s="402">
        <f t="shared" si="0"/>
        <v>10</v>
      </c>
      <c r="L23" s="406">
        <v>45604</v>
      </c>
      <c r="M23" s="407">
        <v>0.42708333333333331</v>
      </c>
      <c r="N23" s="402" t="s">
        <v>91</v>
      </c>
      <c r="O23" s="402" t="s">
        <v>244</v>
      </c>
      <c r="P23" s="402" t="s">
        <v>232</v>
      </c>
      <c r="Q23" s="402">
        <v>5</v>
      </c>
      <c r="R23" s="402" t="s">
        <v>166</v>
      </c>
      <c r="S23" s="402" t="s">
        <v>239</v>
      </c>
    </row>
    <row r="24" spans="11:19" ht="28.9" customHeight="1" x14ac:dyDescent="0.25">
      <c r="K24" s="402">
        <f t="shared" si="0"/>
        <v>11</v>
      </c>
      <c r="L24" s="406">
        <v>45604</v>
      </c>
      <c r="M24" s="407">
        <v>0.47916666666666669</v>
      </c>
      <c r="N24" s="402" t="s">
        <v>97</v>
      </c>
      <c r="O24" s="402" t="s">
        <v>245</v>
      </c>
      <c r="P24" s="402" t="s">
        <v>235</v>
      </c>
      <c r="Q24" s="402">
        <v>40</v>
      </c>
      <c r="R24" s="402" t="s">
        <v>161</v>
      </c>
      <c r="S24" s="402" t="s">
        <v>230</v>
      </c>
    </row>
    <row r="25" spans="11:19" ht="28.9" customHeight="1" x14ac:dyDescent="0.25">
      <c r="K25" s="402">
        <f t="shared" si="0"/>
        <v>12</v>
      </c>
      <c r="L25" s="406">
        <v>45604</v>
      </c>
      <c r="M25" s="407">
        <v>0.36458333333333331</v>
      </c>
      <c r="N25" s="402" t="s">
        <v>103</v>
      </c>
      <c r="O25" s="402" t="s">
        <v>246</v>
      </c>
      <c r="P25" s="402" t="s">
        <v>237</v>
      </c>
      <c r="Q25" s="402">
        <v>80</v>
      </c>
      <c r="R25" s="402" t="s">
        <v>177</v>
      </c>
      <c r="S25" s="402" t="s">
        <v>233</v>
      </c>
    </row>
    <row r="26" spans="11:19" ht="28.9" customHeight="1" x14ac:dyDescent="0.25">
      <c r="K26" s="402">
        <f t="shared" si="0"/>
        <v>13</v>
      </c>
      <c r="L26" s="406">
        <v>45604</v>
      </c>
      <c r="M26" s="407">
        <v>0.38541666666666669</v>
      </c>
      <c r="N26" s="402" t="s">
        <v>109</v>
      </c>
      <c r="O26" s="402" t="s">
        <v>247</v>
      </c>
      <c r="P26" s="402" t="s">
        <v>229</v>
      </c>
      <c r="Q26" s="402">
        <v>20</v>
      </c>
      <c r="R26" s="402" t="s">
        <v>161</v>
      </c>
      <c r="S26" s="402" t="s">
        <v>230</v>
      </c>
    </row>
    <row r="27" spans="11:19" ht="28.9" customHeight="1" x14ac:dyDescent="0.25">
      <c r="K27" s="402">
        <f t="shared" si="0"/>
        <v>14</v>
      </c>
      <c r="L27" s="406">
        <v>45604</v>
      </c>
      <c r="M27" s="407">
        <v>0.29166666666666669</v>
      </c>
      <c r="N27" s="402" t="s">
        <v>115</v>
      </c>
      <c r="O27" s="402" t="s">
        <v>248</v>
      </c>
      <c r="P27" s="402" t="s">
        <v>232</v>
      </c>
      <c r="Q27" s="402">
        <v>35</v>
      </c>
      <c r="R27" s="402" t="s">
        <v>166</v>
      </c>
      <c r="S27" s="402" t="s">
        <v>230</v>
      </c>
    </row>
    <row r="28" spans="11:19" ht="28.9" customHeight="1" x14ac:dyDescent="0.25">
      <c r="K28" s="402">
        <f t="shared" si="0"/>
        <v>15</v>
      </c>
      <c r="L28" s="406">
        <v>45604</v>
      </c>
      <c r="M28" s="407">
        <v>0.4375</v>
      </c>
      <c r="N28" s="402" t="s">
        <v>121</v>
      </c>
      <c r="O28" s="402" t="s">
        <v>249</v>
      </c>
      <c r="P28" s="402" t="s">
        <v>235</v>
      </c>
      <c r="Q28" s="402">
        <v>300</v>
      </c>
      <c r="R28" s="402" t="s">
        <v>161</v>
      </c>
      <c r="S28" s="402" t="s">
        <v>239</v>
      </c>
    </row>
    <row r="29" spans="11:19" ht="28.9" customHeight="1" x14ac:dyDescent="0.25">
      <c r="K29" s="402">
        <f t="shared" si="0"/>
        <v>16</v>
      </c>
      <c r="L29" s="406">
        <v>45604</v>
      </c>
      <c r="M29" s="407">
        <v>0.40972222222222221</v>
      </c>
      <c r="N29" s="402" t="s">
        <v>127</v>
      </c>
      <c r="O29" s="402" t="s">
        <v>250</v>
      </c>
      <c r="P29" s="402" t="s">
        <v>237</v>
      </c>
      <c r="Q29" s="402">
        <v>60</v>
      </c>
      <c r="R29" s="402" t="s">
        <v>177</v>
      </c>
      <c r="S29" s="402" t="s">
        <v>230</v>
      </c>
    </row>
    <row r="30" spans="11:19" ht="28.9" customHeight="1" x14ac:dyDescent="0.25">
      <c r="K30" s="402">
        <f t="shared" si="0"/>
        <v>17</v>
      </c>
      <c r="L30" s="406">
        <v>45604</v>
      </c>
      <c r="M30" s="407">
        <v>0.34722222222222221</v>
      </c>
      <c r="N30" s="402" t="s">
        <v>132</v>
      </c>
      <c r="O30" s="402" t="s">
        <v>251</v>
      </c>
      <c r="P30" s="402" t="s">
        <v>229</v>
      </c>
      <c r="Q30" s="402">
        <v>15</v>
      </c>
      <c r="R30" s="402" t="s">
        <v>166</v>
      </c>
      <c r="S30" s="402" t="s">
        <v>233</v>
      </c>
    </row>
    <row r="31" spans="11:19" ht="28.9" customHeight="1" x14ac:dyDescent="0.25">
      <c r="K31" s="402">
        <f t="shared" si="0"/>
        <v>18</v>
      </c>
      <c r="L31" s="406">
        <v>45604</v>
      </c>
      <c r="M31" s="407">
        <v>0.48958333333333331</v>
      </c>
      <c r="N31" s="402" t="s">
        <v>137</v>
      </c>
      <c r="O31" s="402" t="s">
        <v>252</v>
      </c>
      <c r="P31" s="402" t="s">
        <v>232</v>
      </c>
      <c r="Q31" s="402">
        <v>70</v>
      </c>
      <c r="R31" s="402" t="s">
        <v>161</v>
      </c>
      <c r="S31" s="402" t="s">
        <v>230</v>
      </c>
    </row>
    <row r="32" spans="11:19" ht="28.9" customHeight="1" x14ac:dyDescent="0.25">
      <c r="K32" s="402">
        <f t="shared" si="0"/>
        <v>19</v>
      </c>
      <c r="L32" s="406">
        <v>45604</v>
      </c>
      <c r="M32" s="407">
        <v>0.38194444444444442</v>
      </c>
      <c r="N32" s="402" t="s">
        <v>143</v>
      </c>
      <c r="O32" s="402" t="s">
        <v>253</v>
      </c>
      <c r="P32" s="402" t="s">
        <v>235</v>
      </c>
      <c r="Q32" s="402">
        <v>120</v>
      </c>
      <c r="R32" s="402" t="s">
        <v>166</v>
      </c>
      <c r="S32" s="402" t="s">
        <v>230</v>
      </c>
    </row>
    <row r="33" spans="11:19" ht="28.9" customHeight="1" x14ac:dyDescent="0.25">
      <c r="K33" s="402">
        <f t="shared" si="0"/>
        <v>20</v>
      </c>
      <c r="L33" s="406">
        <v>45604</v>
      </c>
      <c r="M33" s="407">
        <v>0.44444444444444442</v>
      </c>
      <c r="N33" s="402" t="s">
        <v>148</v>
      </c>
      <c r="O33" s="402" t="s">
        <v>254</v>
      </c>
      <c r="P33" s="402" t="s">
        <v>237</v>
      </c>
      <c r="Q33" s="402">
        <v>25</v>
      </c>
      <c r="R33" s="402" t="s">
        <v>177</v>
      </c>
      <c r="S33" s="402" t="s">
        <v>230</v>
      </c>
    </row>
    <row r="34" spans="11:19" ht="28.9" customHeight="1" x14ac:dyDescent="0.25"/>
    <row r="35" spans="11:19" ht="28.9" customHeight="1" x14ac:dyDescent="0.25"/>
    <row r="36" spans="11:19" ht="28.9" customHeight="1" x14ac:dyDescent="0.25"/>
    <row r="37" spans="11:19" ht="28.9" customHeight="1" x14ac:dyDescent="0.25"/>
    <row r="38" spans="11:19" ht="28.9" customHeight="1" x14ac:dyDescent="0.25"/>
    <row r="39" spans="11:19" ht="28.9" customHeight="1" x14ac:dyDescent="0.25"/>
    <row r="40" spans="11:19" ht="28.9" customHeight="1" x14ac:dyDescent="0.25"/>
    <row r="41" spans="11:19" ht="28.9" customHeight="1" x14ac:dyDescent="0.25"/>
    <row r="42" spans="11:19" ht="28.9" customHeight="1" x14ac:dyDescent="0.25"/>
    <row r="43" spans="11:19" ht="28.9" customHeight="1" x14ac:dyDescent="0.25"/>
    <row r="44" spans="11:19" ht="28.9" customHeight="1" x14ac:dyDescent="0.25"/>
    <row r="45" spans="11:19" ht="28.9" customHeight="1" x14ac:dyDescent="0.25"/>
    <row r="46" spans="11:19" ht="28.9" customHeight="1" x14ac:dyDescent="0.25"/>
    <row r="47" spans="11:19" ht="28.9" customHeight="1" x14ac:dyDescent="0.25"/>
    <row r="48" spans="11:19" ht="28.9" customHeight="1" x14ac:dyDescent="0.25"/>
    <row r="49" s="22" customFormat="1" ht="28.9" customHeight="1" x14ac:dyDescent="0.25"/>
    <row r="50" s="22" customFormat="1" ht="28.9" customHeight="1" x14ac:dyDescent="0.25"/>
    <row r="51" s="22" customFormat="1" ht="28.9" customHeight="1" x14ac:dyDescent="0.25"/>
    <row r="52" s="22" customFormat="1" ht="28.9" customHeight="1" x14ac:dyDescent="0.25"/>
    <row r="53" s="22" customFormat="1" ht="28.9" customHeight="1" x14ac:dyDescent="0.25"/>
    <row r="54" s="22" customFormat="1" ht="28.9" customHeight="1" x14ac:dyDescent="0.25"/>
    <row r="55" s="22" customFormat="1" ht="28.9" customHeight="1" x14ac:dyDescent="0.25"/>
    <row r="56" s="22" customFormat="1" ht="28.9" customHeight="1" x14ac:dyDescent="0.25"/>
    <row r="57" s="22" customFormat="1" ht="28.9" customHeight="1" x14ac:dyDescent="0.25"/>
    <row r="58" s="22" customFormat="1" ht="28.9" customHeight="1" x14ac:dyDescent="0.25"/>
    <row r="59" s="22" customFormat="1" ht="28.9" customHeight="1" x14ac:dyDescent="0.25"/>
    <row r="60" s="22" customFormat="1" ht="28.9" customHeight="1" x14ac:dyDescent="0.25"/>
    <row r="61" s="22" customFormat="1" ht="28.9" customHeight="1" x14ac:dyDescent="0.25"/>
    <row r="62" s="22" customFormat="1" ht="28.9" customHeight="1" x14ac:dyDescent="0.25"/>
    <row r="63" s="22" customFormat="1" ht="28.9" customHeight="1" x14ac:dyDescent="0.25"/>
    <row r="64" s="22" customFormat="1" ht="28.9" customHeight="1" x14ac:dyDescent="0.25"/>
    <row r="65" s="22" customFormat="1" ht="28.9" customHeight="1" x14ac:dyDescent="0.25"/>
    <row r="66" s="22" customFormat="1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P66"/>
  <sheetViews>
    <sheetView zoomScale="40" zoomScaleNormal="40" workbookViewId="0"/>
  </sheetViews>
  <sheetFormatPr defaultColWidth="9.140625" defaultRowHeight="29.1" customHeight="1" x14ac:dyDescent="0.25"/>
  <cols>
    <col min="1" max="10" width="9.140625" style="22"/>
    <col min="11" max="11" width="7.28515625" style="22" bestFit="1" customWidth="1"/>
    <col min="12" max="12" width="35.85546875" style="22" bestFit="1" customWidth="1"/>
    <col min="13" max="13" width="37.7109375" style="22" bestFit="1" customWidth="1"/>
    <col min="14" max="14" width="37" style="22" bestFit="1" customWidth="1"/>
    <col min="15" max="15" width="36.5703125" style="22" bestFit="1" customWidth="1"/>
    <col min="16" max="16" width="64.140625" style="22" bestFit="1" customWidth="1"/>
    <col min="17" max="16384" width="9.140625" style="22"/>
  </cols>
  <sheetData>
    <row r="1" spans="1:16" s="2" customFormat="1" ht="30" customHeight="1" x14ac:dyDescent="0.25"/>
    <row r="2" spans="1:16" s="2" customFormat="1" ht="30" customHeight="1" x14ac:dyDescent="0.25"/>
    <row r="3" spans="1:16" s="2" customFormat="1" ht="30" customHeight="1" x14ac:dyDescent="0.25"/>
    <row r="4" spans="1:16" s="410" customFormat="1" ht="24.95" customHeight="1" x14ac:dyDescent="0.25">
      <c r="A4" s="509"/>
      <c r="B4" s="509"/>
      <c r="C4" s="509"/>
      <c r="D4" s="509"/>
    </row>
    <row r="5" spans="1:16" s="410" customFormat="1" ht="24.95" customHeight="1" x14ac:dyDescent="0.25">
      <c r="A5" s="509"/>
      <c r="B5" s="509"/>
      <c r="C5" s="509"/>
      <c r="D5" s="509"/>
    </row>
    <row r="6" spans="1:16" s="410" customFormat="1" ht="24.95" customHeight="1" x14ac:dyDescent="0.25">
      <c r="A6" s="509"/>
      <c r="B6" s="509"/>
      <c r="C6" s="509"/>
      <c r="D6" s="509"/>
    </row>
    <row r="7" spans="1:16" s="410" customFormat="1" ht="24.95" customHeight="1" x14ac:dyDescent="0.25">
      <c r="A7" s="509"/>
      <c r="B7" s="509"/>
      <c r="C7" s="509"/>
      <c r="D7" s="509"/>
    </row>
    <row r="13" spans="1:16" ht="29.1" customHeight="1" x14ac:dyDescent="0.25">
      <c r="K13" s="403" t="s">
        <v>220</v>
      </c>
      <c r="L13" s="403" t="s">
        <v>255</v>
      </c>
      <c r="M13" s="403" t="s">
        <v>256</v>
      </c>
      <c r="N13" s="403" t="s">
        <v>257</v>
      </c>
      <c r="O13" s="403" t="s">
        <v>258</v>
      </c>
      <c r="P13" s="403" t="s">
        <v>259</v>
      </c>
    </row>
    <row r="14" spans="1:16" ht="29.1" customHeight="1" x14ac:dyDescent="0.25">
      <c r="K14" s="402">
        <v>1</v>
      </c>
      <c r="L14" s="408">
        <v>50</v>
      </c>
      <c r="M14" s="405">
        <v>1000</v>
      </c>
      <c r="N14" s="409">
        <f>L14*M14</f>
        <v>50000</v>
      </c>
      <c r="O14" s="409">
        <f>L14*M14+N14</f>
        <v>100000</v>
      </c>
      <c r="P14" s="402" t="s">
        <v>260</v>
      </c>
    </row>
    <row r="15" spans="1:16" ht="29.1" customHeight="1" x14ac:dyDescent="0.25">
      <c r="K15" s="402">
        <f>K14+1</f>
        <v>2</v>
      </c>
      <c r="L15" s="408">
        <v>120</v>
      </c>
      <c r="M15" s="402">
        <v>800</v>
      </c>
      <c r="N15" s="409">
        <v>400</v>
      </c>
      <c r="O15" s="409">
        <v>600</v>
      </c>
      <c r="P15" s="402" t="s">
        <v>261</v>
      </c>
    </row>
    <row r="16" spans="1:16" ht="29.1" customHeight="1" x14ac:dyDescent="0.25">
      <c r="K16" s="402">
        <f t="shared" ref="K16:K33" si="0">K15+1</f>
        <v>3</v>
      </c>
      <c r="L16" s="408">
        <v>30</v>
      </c>
      <c r="M16" s="402">
        <v>500</v>
      </c>
      <c r="N16" s="409">
        <v>250</v>
      </c>
      <c r="O16" s="409">
        <v>400</v>
      </c>
      <c r="P16" s="402" t="s">
        <v>262</v>
      </c>
    </row>
    <row r="17" spans="11:16" ht="29.1" customHeight="1" x14ac:dyDescent="0.25">
      <c r="K17" s="402">
        <f t="shared" si="0"/>
        <v>4</v>
      </c>
      <c r="L17" s="408">
        <v>200</v>
      </c>
      <c r="M17" s="405">
        <v>1200</v>
      </c>
      <c r="N17" s="409">
        <v>600</v>
      </c>
      <c r="O17" s="409">
        <v>900</v>
      </c>
      <c r="P17" s="402" t="s">
        <v>263</v>
      </c>
    </row>
    <row r="18" spans="11:16" ht="29.1" customHeight="1" x14ac:dyDescent="0.25">
      <c r="K18" s="402">
        <f t="shared" si="0"/>
        <v>5</v>
      </c>
      <c r="L18" s="408">
        <v>15</v>
      </c>
      <c r="M18" s="405">
        <v>2000</v>
      </c>
      <c r="N18" s="409">
        <v>700</v>
      </c>
      <c r="O18" s="409">
        <v>1000</v>
      </c>
      <c r="P18" s="402" t="s">
        <v>264</v>
      </c>
    </row>
    <row r="19" spans="11:16" ht="29.1" customHeight="1" x14ac:dyDescent="0.25">
      <c r="K19" s="402">
        <f t="shared" si="0"/>
        <v>6</v>
      </c>
      <c r="L19" s="408">
        <v>80</v>
      </c>
      <c r="M19" s="405">
        <v>1500</v>
      </c>
      <c r="N19" s="409">
        <v>500</v>
      </c>
      <c r="O19" s="409">
        <v>800</v>
      </c>
      <c r="P19" s="402" t="s">
        <v>265</v>
      </c>
    </row>
    <row r="20" spans="11:16" ht="29.1" customHeight="1" x14ac:dyDescent="0.25">
      <c r="K20" s="402">
        <f t="shared" si="0"/>
        <v>7</v>
      </c>
      <c r="L20" s="408">
        <v>60</v>
      </c>
      <c r="M20" s="402">
        <v>400</v>
      </c>
      <c r="N20" s="409">
        <v>200</v>
      </c>
      <c r="O20" s="409">
        <v>300</v>
      </c>
      <c r="P20" s="402" t="s">
        <v>266</v>
      </c>
    </row>
    <row r="21" spans="11:16" ht="29.1" customHeight="1" x14ac:dyDescent="0.25">
      <c r="K21" s="402">
        <f t="shared" si="0"/>
        <v>8</v>
      </c>
      <c r="L21" s="408">
        <v>180</v>
      </c>
      <c r="M21" s="405">
        <v>2500</v>
      </c>
      <c r="N21" s="409">
        <v>800</v>
      </c>
      <c r="O21" s="409">
        <v>1200</v>
      </c>
      <c r="P21" s="402" t="s">
        <v>267</v>
      </c>
    </row>
    <row r="22" spans="11:16" ht="29.1" customHeight="1" x14ac:dyDescent="0.25">
      <c r="K22" s="402">
        <f t="shared" si="0"/>
        <v>9</v>
      </c>
      <c r="L22" s="408">
        <v>90</v>
      </c>
      <c r="M22" s="405">
        <v>1800</v>
      </c>
      <c r="N22" s="409">
        <v>550</v>
      </c>
      <c r="O22" s="409">
        <v>850</v>
      </c>
      <c r="P22" s="402" t="s">
        <v>268</v>
      </c>
    </row>
    <row r="23" spans="11:16" ht="29.1" customHeight="1" x14ac:dyDescent="0.25">
      <c r="K23" s="402">
        <f t="shared" si="0"/>
        <v>10</v>
      </c>
      <c r="L23" s="408">
        <v>40</v>
      </c>
      <c r="M23" s="402">
        <v>600</v>
      </c>
      <c r="N23" s="409">
        <v>300</v>
      </c>
      <c r="O23" s="409">
        <v>500</v>
      </c>
      <c r="P23" s="402" t="s">
        <v>269</v>
      </c>
    </row>
    <row r="24" spans="11:16" ht="29.1" customHeight="1" x14ac:dyDescent="0.25">
      <c r="K24" s="402">
        <f t="shared" si="0"/>
        <v>11</v>
      </c>
      <c r="L24" s="408">
        <v>150</v>
      </c>
      <c r="M24" s="405">
        <v>1000</v>
      </c>
      <c r="N24" s="409">
        <v>600</v>
      </c>
      <c r="O24" s="409">
        <v>950</v>
      </c>
      <c r="P24" s="402" t="s">
        <v>270</v>
      </c>
    </row>
    <row r="25" spans="11:16" ht="29.1" customHeight="1" x14ac:dyDescent="0.25">
      <c r="K25" s="402">
        <f t="shared" si="0"/>
        <v>12</v>
      </c>
      <c r="L25" s="408">
        <v>20</v>
      </c>
      <c r="M25" s="402">
        <v>700</v>
      </c>
      <c r="N25" s="409">
        <v>250</v>
      </c>
      <c r="O25" s="409">
        <v>400</v>
      </c>
      <c r="P25" s="402" t="s">
        <v>271</v>
      </c>
    </row>
    <row r="26" spans="11:16" ht="29.1" customHeight="1" x14ac:dyDescent="0.25">
      <c r="K26" s="402">
        <f t="shared" si="0"/>
        <v>13</v>
      </c>
      <c r="L26" s="408">
        <v>170</v>
      </c>
      <c r="M26" s="405">
        <v>2000</v>
      </c>
      <c r="N26" s="409">
        <v>750</v>
      </c>
      <c r="O26" s="409">
        <v>1150</v>
      </c>
      <c r="P26" s="402" t="s">
        <v>272</v>
      </c>
    </row>
    <row r="27" spans="11:16" ht="29.1" customHeight="1" x14ac:dyDescent="0.25">
      <c r="K27" s="402">
        <f t="shared" si="0"/>
        <v>14</v>
      </c>
      <c r="L27" s="408">
        <v>35</v>
      </c>
      <c r="M27" s="402">
        <v>900</v>
      </c>
      <c r="N27" s="409">
        <v>350</v>
      </c>
      <c r="O27" s="409">
        <v>550</v>
      </c>
      <c r="P27" s="402" t="s">
        <v>273</v>
      </c>
    </row>
    <row r="28" spans="11:16" ht="29.1" customHeight="1" x14ac:dyDescent="0.25">
      <c r="K28" s="402">
        <f t="shared" si="0"/>
        <v>15</v>
      </c>
      <c r="L28" s="408">
        <v>220</v>
      </c>
      <c r="M28" s="405">
        <v>2500</v>
      </c>
      <c r="N28" s="409">
        <v>900</v>
      </c>
      <c r="O28" s="409">
        <v>1400</v>
      </c>
      <c r="P28" s="402" t="s">
        <v>274</v>
      </c>
    </row>
    <row r="29" spans="11:16" ht="29.1" customHeight="1" x14ac:dyDescent="0.25">
      <c r="K29" s="402">
        <f t="shared" si="0"/>
        <v>16</v>
      </c>
      <c r="L29" s="408">
        <v>110</v>
      </c>
      <c r="M29" s="405">
        <v>1100</v>
      </c>
      <c r="N29" s="409">
        <v>450</v>
      </c>
      <c r="O29" s="409">
        <v>700</v>
      </c>
      <c r="P29" s="402" t="s">
        <v>275</v>
      </c>
    </row>
    <row r="30" spans="11:16" ht="29.1" customHeight="1" x14ac:dyDescent="0.25">
      <c r="K30" s="402">
        <f t="shared" si="0"/>
        <v>17</v>
      </c>
      <c r="L30" s="408">
        <v>75</v>
      </c>
      <c r="M30" s="405">
        <v>1300</v>
      </c>
      <c r="N30" s="409">
        <v>500</v>
      </c>
      <c r="O30" s="409">
        <v>750</v>
      </c>
      <c r="P30" s="402" t="s">
        <v>276</v>
      </c>
    </row>
    <row r="31" spans="11:16" ht="29.1" customHeight="1" x14ac:dyDescent="0.25">
      <c r="K31" s="402">
        <f t="shared" si="0"/>
        <v>18</v>
      </c>
      <c r="L31" s="408">
        <v>25</v>
      </c>
      <c r="M31" s="402">
        <v>950</v>
      </c>
      <c r="N31" s="409">
        <v>300</v>
      </c>
      <c r="O31" s="409">
        <v>450</v>
      </c>
      <c r="P31" s="402" t="s">
        <v>277</v>
      </c>
    </row>
    <row r="32" spans="11:16" ht="29.1" customHeight="1" x14ac:dyDescent="0.25">
      <c r="K32" s="402">
        <f t="shared" si="0"/>
        <v>19</v>
      </c>
      <c r="L32" s="408">
        <v>140</v>
      </c>
      <c r="M32" s="405">
        <v>1600</v>
      </c>
      <c r="N32" s="409">
        <v>650</v>
      </c>
      <c r="O32" s="409">
        <v>1000</v>
      </c>
      <c r="P32" s="402" t="s">
        <v>278</v>
      </c>
    </row>
    <row r="33" spans="11:16" ht="29.1" customHeight="1" x14ac:dyDescent="0.25">
      <c r="K33" s="402">
        <f t="shared" si="0"/>
        <v>20</v>
      </c>
      <c r="L33" s="408">
        <v>50</v>
      </c>
      <c r="M33" s="402">
        <v>850</v>
      </c>
      <c r="N33" s="409">
        <v>350</v>
      </c>
      <c r="O33" s="409">
        <v>550</v>
      </c>
      <c r="P33" s="402" t="s">
        <v>279</v>
      </c>
    </row>
    <row r="49" s="22" customFormat="1" ht="29.1" customHeight="1" x14ac:dyDescent="0.25"/>
    <row r="50" s="22" customFormat="1" ht="29.1" customHeight="1" x14ac:dyDescent="0.25"/>
    <row r="51" s="22" customFormat="1" ht="29.1" customHeight="1" x14ac:dyDescent="0.25"/>
    <row r="52" s="22" customFormat="1" ht="29.1" customHeight="1" x14ac:dyDescent="0.25"/>
    <row r="53" s="22" customFormat="1" ht="29.1" customHeight="1" x14ac:dyDescent="0.25"/>
    <row r="54" s="22" customFormat="1" ht="29.1" customHeight="1" x14ac:dyDescent="0.25"/>
    <row r="55" s="22" customFormat="1" ht="29.1" customHeight="1" x14ac:dyDescent="0.25"/>
    <row r="56" s="22" customFormat="1" ht="29.1" customHeight="1" x14ac:dyDescent="0.25"/>
    <row r="57" s="22" customFormat="1" ht="29.1" customHeight="1" x14ac:dyDescent="0.25"/>
    <row r="58" s="22" customFormat="1" ht="29.1" customHeight="1" x14ac:dyDescent="0.25"/>
    <row r="59" s="22" customFormat="1" ht="29.1" customHeight="1" x14ac:dyDescent="0.25"/>
    <row r="60" s="22" customFormat="1" ht="29.1" customHeight="1" x14ac:dyDescent="0.25"/>
    <row r="61" s="22" customFormat="1" ht="29.1" customHeight="1" x14ac:dyDescent="0.25"/>
    <row r="62" s="22" customFormat="1" ht="29.1" customHeight="1" x14ac:dyDescent="0.25"/>
    <row r="63" s="22" customFormat="1" ht="29.1" customHeight="1" x14ac:dyDescent="0.25"/>
    <row r="64" s="22" customFormat="1" ht="29.1" customHeight="1" x14ac:dyDescent="0.25"/>
    <row r="65" s="22" customFormat="1" ht="29.1" customHeight="1" x14ac:dyDescent="0.25"/>
    <row r="66" s="22" customFormat="1" ht="29.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P66"/>
  <sheetViews>
    <sheetView zoomScale="40" zoomScaleNormal="40" workbookViewId="0"/>
  </sheetViews>
  <sheetFormatPr defaultColWidth="9.140625" defaultRowHeight="15" x14ac:dyDescent="0.25"/>
  <cols>
    <col min="1" max="9" width="9.140625" style="22"/>
    <col min="10" max="10" width="9.140625" style="22" customWidth="1"/>
    <col min="11" max="11" width="7.28515625" style="22" bestFit="1" customWidth="1"/>
    <col min="12" max="12" width="35.85546875" style="22" bestFit="1" customWidth="1"/>
    <col min="13" max="13" width="37.7109375" style="22" bestFit="1" customWidth="1"/>
    <col min="14" max="14" width="37" style="22" bestFit="1" customWidth="1"/>
    <col min="15" max="15" width="36.5703125" style="22" bestFit="1" customWidth="1"/>
    <col min="16" max="16" width="64.140625" style="22" bestFit="1" customWidth="1"/>
    <col min="17" max="16384" width="9.140625" style="22"/>
  </cols>
  <sheetData>
    <row r="1" spans="1:16" s="2" customFormat="1" ht="30" customHeight="1" x14ac:dyDescent="0.25"/>
    <row r="2" spans="1:16" s="2" customFormat="1" ht="30" customHeight="1" x14ac:dyDescent="0.25"/>
    <row r="3" spans="1:16" s="2" customFormat="1" ht="30" customHeight="1" x14ac:dyDescent="0.25"/>
    <row r="4" spans="1:16" s="410" customFormat="1" ht="24.95" customHeight="1" x14ac:dyDescent="0.25">
      <c r="A4" s="509"/>
      <c r="B4" s="509"/>
      <c r="C4" s="509"/>
      <c r="D4" s="509"/>
    </row>
    <row r="5" spans="1:16" s="410" customFormat="1" ht="24.95" customHeight="1" x14ac:dyDescent="0.25">
      <c r="A5" s="509"/>
      <c r="B5" s="509"/>
      <c r="C5" s="509"/>
      <c r="D5" s="509"/>
    </row>
    <row r="6" spans="1:16" s="410" customFormat="1" ht="24.95" customHeight="1" x14ac:dyDescent="0.25">
      <c r="A6" s="509"/>
      <c r="B6" s="509"/>
      <c r="C6" s="509"/>
      <c r="D6" s="509"/>
    </row>
    <row r="7" spans="1:16" s="410" customFormat="1" ht="24.95" customHeight="1" x14ac:dyDescent="0.25">
      <c r="A7" s="509"/>
      <c r="B7" s="509"/>
      <c r="C7" s="509"/>
      <c r="D7" s="509"/>
    </row>
    <row r="8" spans="1:16" ht="28.9" customHeight="1" x14ac:dyDescent="0.25"/>
    <row r="9" spans="1:16" ht="28.9" customHeight="1" x14ac:dyDescent="0.25"/>
    <row r="10" spans="1:16" ht="28.9" customHeight="1" x14ac:dyDescent="0.25"/>
    <row r="11" spans="1:16" ht="28.9" customHeight="1" x14ac:dyDescent="0.25"/>
    <row r="12" spans="1:16" ht="28.9" customHeight="1" x14ac:dyDescent="0.25"/>
    <row r="13" spans="1:16" ht="28.9" customHeight="1" x14ac:dyDescent="0.25">
      <c r="K13" s="403" t="s">
        <v>220</v>
      </c>
      <c r="L13" s="403" t="s">
        <v>255</v>
      </c>
      <c r="M13" s="403" t="s">
        <v>256</v>
      </c>
      <c r="N13" s="403" t="s">
        <v>257</v>
      </c>
      <c r="O13" s="403" t="s">
        <v>258</v>
      </c>
      <c r="P13" s="403" t="s">
        <v>259</v>
      </c>
    </row>
    <row r="14" spans="1:16" ht="28.9" customHeight="1" x14ac:dyDescent="0.25">
      <c r="K14" s="402">
        <v>1</v>
      </c>
      <c r="L14" s="408">
        <v>50</v>
      </c>
      <c r="M14" s="405">
        <v>1000</v>
      </c>
      <c r="N14" s="409">
        <f>L14*M14</f>
        <v>50000</v>
      </c>
      <c r="O14" s="409">
        <f>L14*M14+N14</f>
        <v>100000</v>
      </c>
      <c r="P14" s="402" t="s">
        <v>260</v>
      </c>
    </row>
    <row r="15" spans="1:16" ht="28.9" customHeight="1" x14ac:dyDescent="0.25">
      <c r="K15" s="402">
        <f>K14+1</f>
        <v>2</v>
      </c>
      <c r="L15" s="408">
        <v>120</v>
      </c>
      <c r="M15" s="402">
        <v>800</v>
      </c>
      <c r="N15" s="409">
        <v>400</v>
      </c>
      <c r="O15" s="409">
        <v>600</v>
      </c>
      <c r="P15" s="402" t="s">
        <v>261</v>
      </c>
    </row>
    <row r="16" spans="1:16" ht="28.9" customHeight="1" x14ac:dyDescent="0.25">
      <c r="K16" s="402">
        <f t="shared" ref="K16:K33" si="0">K15+1</f>
        <v>3</v>
      </c>
      <c r="L16" s="408">
        <v>30</v>
      </c>
      <c r="M16" s="402">
        <v>500</v>
      </c>
      <c r="N16" s="409">
        <v>250</v>
      </c>
      <c r="O16" s="409">
        <v>400</v>
      </c>
      <c r="P16" s="402" t="s">
        <v>262</v>
      </c>
    </row>
    <row r="17" spans="11:16" ht="28.9" customHeight="1" x14ac:dyDescent="0.25">
      <c r="K17" s="402">
        <f t="shared" si="0"/>
        <v>4</v>
      </c>
      <c r="L17" s="408">
        <v>200</v>
      </c>
      <c r="M17" s="405">
        <v>1200</v>
      </c>
      <c r="N17" s="409">
        <v>600</v>
      </c>
      <c r="O17" s="409">
        <v>900</v>
      </c>
      <c r="P17" s="402" t="s">
        <v>263</v>
      </c>
    </row>
    <row r="18" spans="11:16" ht="28.9" customHeight="1" x14ac:dyDescent="0.25">
      <c r="K18" s="402">
        <f t="shared" si="0"/>
        <v>5</v>
      </c>
      <c r="L18" s="408">
        <v>15</v>
      </c>
      <c r="M18" s="405">
        <v>2000</v>
      </c>
      <c r="N18" s="409">
        <v>700</v>
      </c>
      <c r="O18" s="409">
        <v>1000</v>
      </c>
      <c r="P18" s="402" t="s">
        <v>264</v>
      </c>
    </row>
    <row r="19" spans="11:16" ht="28.9" customHeight="1" x14ac:dyDescent="0.25">
      <c r="K19" s="402">
        <f t="shared" si="0"/>
        <v>6</v>
      </c>
      <c r="L19" s="408">
        <v>80</v>
      </c>
      <c r="M19" s="405">
        <v>1500</v>
      </c>
      <c r="N19" s="409">
        <v>500</v>
      </c>
      <c r="O19" s="409">
        <v>800</v>
      </c>
      <c r="P19" s="402" t="s">
        <v>265</v>
      </c>
    </row>
    <row r="20" spans="11:16" ht="28.9" customHeight="1" x14ac:dyDescent="0.25">
      <c r="K20" s="402">
        <f t="shared" si="0"/>
        <v>7</v>
      </c>
      <c r="L20" s="408">
        <v>60</v>
      </c>
      <c r="M20" s="402">
        <v>400</v>
      </c>
      <c r="N20" s="409">
        <v>200</v>
      </c>
      <c r="O20" s="409">
        <v>300</v>
      </c>
      <c r="P20" s="402" t="s">
        <v>266</v>
      </c>
    </row>
    <row r="21" spans="11:16" ht="28.9" customHeight="1" x14ac:dyDescent="0.25">
      <c r="K21" s="402">
        <f t="shared" si="0"/>
        <v>8</v>
      </c>
      <c r="L21" s="408">
        <v>180</v>
      </c>
      <c r="M21" s="405">
        <v>2500</v>
      </c>
      <c r="N21" s="409">
        <v>800</v>
      </c>
      <c r="O21" s="409">
        <v>1200</v>
      </c>
      <c r="P21" s="402" t="s">
        <v>267</v>
      </c>
    </row>
    <row r="22" spans="11:16" ht="28.9" customHeight="1" x14ac:dyDescent="0.25">
      <c r="K22" s="402">
        <f t="shared" si="0"/>
        <v>9</v>
      </c>
      <c r="L22" s="408">
        <v>90</v>
      </c>
      <c r="M22" s="405">
        <v>1800</v>
      </c>
      <c r="N22" s="409">
        <v>550</v>
      </c>
      <c r="O22" s="409">
        <v>850</v>
      </c>
      <c r="P22" s="402" t="s">
        <v>268</v>
      </c>
    </row>
    <row r="23" spans="11:16" ht="28.9" customHeight="1" x14ac:dyDescent="0.25">
      <c r="K23" s="402">
        <f t="shared" si="0"/>
        <v>10</v>
      </c>
      <c r="L23" s="408">
        <v>40</v>
      </c>
      <c r="M23" s="402">
        <v>600</v>
      </c>
      <c r="N23" s="409">
        <v>300</v>
      </c>
      <c r="O23" s="409">
        <v>500</v>
      </c>
      <c r="P23" s="402" t="s">
        <v>269</v>
      </c>
    </row>
    <row r="24" spans="11:16" ht="28.9" customHeight="1" x14ac:dyDescent="0.25">
      <c r="K24" s="402">
        <f t="shared" si="0"/>
        <v>11</v>
      </c>
      <c r="L24" s="408">
        <v>150</v>
      </c>
      <c r="M24" s="405">
        <v>1000</v>
      </c>
      <c r="N24" s="409">
        <v>600</v>
      </c>
      <c r="O24" s="409">
        <v>950</v>
      </c>
      <c r="P24" s="402" t="s">
        <v>270</v>
      </c>
    </row>
    <row r="25" spans="11:16" ht="28.9" customHeight="1" x14ac:dyDescent="0.25">
      <c r="K25" s="402">
        <f t="shared" si="0"/>
        <v>12</v>
      </c>
      <c r="L25" s="408">
        <v>20</v>
      </c>
      <c r="M25" s="402">
        <v>700</v>
      </c>
      <c r="N25" s="409">
        <v>250</v>
      </c>
      <c r="O25" s="409">
        <v>400</v>
      </c>
      <c r="P25" s="402" t="s">
        <v>271</v>
      </c>
    </row>
    <row r="26" spans="11:16" ht="28.9" customHeight="1" x14ac:dyDescent="0.25">
      <c r="K26" s="402">
        <f t="shared" si="0"/>
        <v>13</v>
      </c>
      <c r="L26" s="408">
        <v>170</v>
      </c>
      <c r="M26" s="405">
        <v>2000</v>
      </c>
      <c r="N26" s="409">
        <v>750</v>
      </c>
      <c r="O26" s="409">
        <v>1150</v>
      </c>
      <c r="P26" s="402" t="s">
        <v>272</v>
      </c>
    </row>
    <row r="27" spans="11:16" ht="28.9" customHeight="1" x14ac:dyDescent="0.25">
      <c r="K27" s="402">
        <f t="shared" si="0"/>
        <v>14</v>
      </c>
      <c r="L27" s="408">
        <v>35</v>
      </c>
      <c r="M27" s="402">
        <v>900</v>
      </c>
      <c r="N27" s="409">
        <v>350</v>
      </c>
      <c r="O27" s="409">
        <v>550</v>
      </c>
      <c r="P27" s="402" t="s">
        <v>273</v>
      </c>
    </row>
    <row r="28" spans="11:16" ht="28.9" customHeight="1" x14ac:dyDescent="0.25">
      <c r="K28" s="402">
        <f t="shared" si="0"/>
        <v>15</v>
      </c>
      <c r="L28" s="408">
        <v>220</v>
      </c>
      <c r="M28" s="405">
        <v>2500</v>
      </c>
      <c r="N28" s="409">
        <v>900</v>
      </c>
      <c r="O28" s="409">
        <v>1400</v>
      </c>
      <c r="P28" s="402" t="s">
        <v>274</v>
      </c>
    </row>
    <row r="29" spans="11:16" ht="28.9" customHeight="1" x14ac:dyDescent="0.25">
      <c r="K29" s="402">
        <f t="shared" si="0"/>
        <v>16</v>
      </c>
      <c r="L29" s="408">
        <v>110</v>
      </c>
      <c r="M29" s="405">
        <v>1100</v>
      </c>
      <c r="N29" s="409">
        <v>450</v>
      </c>
      <c r="O29" s="409">
        <v>700</v>
      </c>
      <c r="P29" s="402" t="s">
        <v>275</v>
      </c>
    </row>
    <row r="30" spans="11:16" ht="28.9" customHeight="1" x14ac:dyDescent="0.25">
      <c r="K30" s="402">
        <f t="shared" si="0"/>
        <v>17</v>
      </c>
      <c r="L30" s="408">
        <v>75</v>
      </c>
      <c r="M30" s="405">
        <v>1300</v>
      </c>
      <c r="N30" s="409">
        <v>500</v>
      </c>
      <c r="O30" s="409">
        <v>750</v>
      </c>
      <c r="P30" s="402" t="s">
        <v>276</v>
      </c>
    </row>
    <row r="31" spans="11:16" ht="28.9" customHeight="1" x14ac:dyDescent="0.25">
      <c r="K31" s="402">
        <f t="shared" si="0"/>
        <v>18</v>
      </c>
      <c r="L31" s="408">
        <v>25</v>
      </c>
      <c r="M31" s="402">
        <v>950</v>
      </c>
      <c r="N31" s="409">
        <v>300</v>
      </c>
      <c r="O31" s="409">
        <v>450</v>
      </c>
      <c r="P31" s="402" t="s">
        <v>277</v>
      </c>
    </row>
    <row r="32" spans="11:16" ht="28.9" customHeight="1" x14ac:dyDescent="0.25">
      <c r="K32" s="402">
        <f t="shared" si="0"/>
        <v>19</v>
      </c>
      <c r="L32" s="408">
        <v>140</v>
      </c>
      <c r="M32" s="405">
        <v>1600</v>
      </c>
      <c r="N32" s="409">
        <v>650</v>
      </c>
      <c r="O32" s="409">
        <v>1000</v>
      </c>
      <c r="P32" s="402" t="s">
        <v>278</v>
      </c>
    </row>
    <row r="33" spans="11:16" ht="28.9" customHeight="1" x14ac:dyDescent="0.25">
      <c r="K33" s="402">
        <f t="shared" si="0"/>
        <v>20</v>
      </c>
      <c r="L33" s="408">
        <v>50</v>
      </c>
      <c r="M33" s="402">
        <v>850</v>
      </c>
      <c r="N33" s="409">
        <v>350</v>
      </c>
      <c r="O33" s="409">
        <v>550</v>
      </c>
      <c r="P33" s="40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s="22" customFormat="1" ht="28.9" customHeight="1" x14ac:dyDescent="0.25"/>
    <row r="50" s="22" customFormat="1" ht="28.9" customHeight="1" x14ac:dyDescent="0.25"/>
    <row r="51" s="22" customFormat="1" ht="28.9" customHeight="1" x14ac:dyDescent="0.25"/>
    <row r="52" s="22" customFormat="1" ht="28.9" customHeight="1" x14ac:dyDescent="0.25"/>
    <row r="53" s="22" customFormat="1" ht="28.9" customHeight="1" x14ac:dyDescent="0.25"/>
    <row r="54" s="22" customFormat="1" ht="28.9" customHeight="1" x14ac:dyDescent="0.25"/>
    <row r="55" s="22" customFormat="1" ht="28.9" customHeight="1" x14ac:dyDescent="0.25"/>
    <row r="56" s="22" customFormat="1" ht="28.9" customHeight="1" x14ac:dyDescent="0.25"/>
    <row r="57" s="22" customFormat="1" ht="28.9" customHeight="1" x14ac:dyDescent="0.25"/>
    <row r="58" s="22" customFormat="1" ht="28.9" customHeight="1" x14ac:dyDescent="0.25"/>
    <row r="59" s="22" customFormat="1" ht="28.9" customHeight="1" x14ac:dyDescent="0.25"/>
    <row r="60" s="22" customFormat="1" ht="28.9" customHeight="1" x14ac:dyDescent="0.25"/>
    <row r="61" s="22" customFormat="1" ht="28.9" customHeight="1" x14ac:dyDescent="0.25"/>
    <row r="62" s="22" customFormat="1" ht="28.9" customHeight="1" x14ac:dyDescent="0.25"/>
    <row r="63" s="22" customFormat="1" ht="28.9" customHeight="1" x14ac:dyDescent="0.25"/>
    <row r="64" s="22" customFormat="1" ht="28.9" customHeight="1" x14ac:dyDescent="0.25"/>
    <row r="65" s="22" customFormat="1" ht="28.9" customHeight="1" x14ac:dyDescent="0.25"/>
    <row r="66" s="22" customFormat="1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P66"/>
  <sheetViews>
    <sheetView zoomScale="40" zoomScaleNormal="40" workbookViewId="0"/>
  </sheetViews>
  <sheetFormatPr defaultColWidth="9.140625" defaultRowHeight="29.1" customHeight="1" x14ac:dyDescent="0.25"/>
  <cols>
    <col min="1" max="10" width="9.140625" style="22"/>
    <col min="11" max="11" width="7.28515625" style="22" bestFit="1" customWidth="1"/>
    <col min="12" max="12" width="35.85546875" style="22" bestFit="1" customWidth="1"/>
    <col min="13" max="13" width="37.7109375" style="22" bestFit="1" customWidth="1"/>
    <col min="14" max="14" width="37" style="22" bestFit="1" customWidth="1"/>
    <col min="15" max="15" width="36.5703125" style="22" bestFit="1" customWidth="1"/>
    <col min="16" max="16" width="64.140625" style="22" bestFit="1" customWidth="1"/>
    <col min="17" max="16384" width="9.140625" style="22"/>
  </cols>
  <sheetData>
    <row r="1" spans="1:16" s="2" customFormat="1" ht="30" customHeight="1" x14ac:dyDescent="0.25"/>
    <row r="2" spans="1:16" s="2" customFormat="1" ht="30" customHeight="1" x14ac:dyDescent="0.25"/>
    <row r="3" spans="1:16" s="2" customFormat="1" ht="30" customHeight="1" x14ac:dyDescent="0.25"/>
    <row r="4" spans="1:16" s="410" customFormat="1" ht="24.95" customHeight="1" x14ac:dyDescent="0.25">
      <c r="A4" s="509"/>
      <c r="B4" s="509"/>
      <c r="C4" s="509"/>
      <c r="D4" s="509"/>
    </row>
    <row r="5" spans="1:16" s="410" customFormat="1" ht="24.95" customHeight="1" x14ac:dyDescent="0.25">
      <c r="A5" s="509"/>
      <c r="B5" s="509"/>
      <c r="C5" s="509"/>
      <c r="D5" s="509"/>
    </row>
    <row r="6" spans="1:16" s="410" customFormat="1" ht="24.95" customHeight="1" x14ac:dyDescent="0.25">
      <c r="A6" s="509"/>
      <c r="B6" s="509"/>
      <c r="C6" s="509"/>
      <c r="D6" s="509"/>
    </row>
    <row r="7" spans="1:16" s="410" customFormat="1" ht="24.95" customHeight="1" x14ac:dyDescent="0.25">
      <c r="A7" s="509"/>
      <c r="B7" s="509"/>
      <c r="C7" s="509"/>
      <c r="D7" s="509"/>
    </row>
    <row r="13" spans="1:16" ht="29.1" customHeight="1" x14ac:dyDescent="0.25">
      <c r="K13" s="403" t="s">
        <v>220</v>
      </c>
      <c r="L13" s="403" t="s">
        <v>255</v>
      </c>
      <c r="M13" s="403" t="s">
        <v>256</v>
      </c>
      <c r="N13" s="403" t="s">
        <v>257</v>
      </c>
      <c r="O13" s="403" t="s">
        <v>258</v>
      </c>
      <c r="P13" s="403" t="s">
        <v>259</v>
      </c>
    </row>
    <row r="14" spans="1:16" ht="29.1" customHeight="1" x14ac:dyDescent="0.25">
      <c r="K14" s="402">
        <v>1</v>
      </c>
      <c r="L14" s="408">
        <v>50</v>
      </c>
      <c r="M14" s="405">
        <v>1000</v>
      </c>
      <c r="N14" s="409">
        <f>L14*M14</f>
        <v>50000</v>
      </c>
      <c r="O14" s="409">
        <f>L14*M14+N14</f>
        <v>100000</v>
      </c>
      <c r="P14" s="402" t="s">
        <v>260</v>
      </c>
    </row>
    <row r="15" spans="1:16" ht="29.1" customHeight="1" x14ac:dyDescent="0.25">
      <c r="K15" s="402">
        <f>K14+1</f>
        <v>2</v>
      </c>
      <c r="L15" s="408">
        <v>120</v>
      </c>
      <c r="M15" s="402">
        <v>800</v>
      </c>
      <c r="N15" s="409">
        <v>400</v>
      </c>
      <c r="O15" s="409">
        <v>600</v>
      </c>
      <c r="P15" s="402" t="s">
        <v>261</v>
      </c>
    </row>
    <row r="16" spans="1:16" ht="29.1" customHeight="1" x14ac:dyDescent="0.25">
      <c r="K16" s="402">
        <f t="shared" ref="K16:K33" si="0">K15+1</f>
        <v>3</v>
      </c>
      <c r="L16" s="408">
        <v>30</v>
      </c>
      <c r="M16" s="402">
        <v>500</v>
      </c>
      <c r="N16" s="409">
        <v>250</v>
      </c>
      <c r="O16" s="409">
        <v>400</v>
      </c>
      <c r="P16" s="402" t="s">
        <v>262</v>
      </c>
    </row>
    <row r="17" spans="11:16" ht="29.1" customHeight="1" x14ac:dyDescent="0.25">
      <c r="K17" s="402">
        <f t="shared" si="0"/>
        <v>4</v>
      </c>
      <c r="L17" s="408">
        <v>200</v>
      </c>
      <c r="M17" s="405">
        <v>1200</v>
      </c>
      <c r="N17" s="409">
        <v>600</v>
      </c>
      <c r="O17" s="409">
        <v>900</v>
      </c>
      <c r="P17" s="402" t="s">
        <v>263</v>
      </c>
    </row>
    <row r="18" spans="11:16" ht="29.1" customHeight="1" x14ac:dyDescent="0.25">
      <c r="K18" s="402">
        <f t="shared" si="0"/>
        <v>5</v>
      </c>
      <c r="L18" s="408">
        <v>15</v>
      </c>
      <c r="M18" s="405">
        <v>2000</v>
      </c>
      <c r="N18" s="409">
        <v>700</v>
      </c>
      <c r="O18" s="409">
        <v>1000</v>
      </c>
      <c r="P18" s="402" t="s">
        <v>264</v>
      </c>
    </row>
    <row r="19" spans="11:16" ht="29.1" customHeight="1" x14ac:dyDescent="0.25">
      <c r="K19" s="402">
        <f t="shared" si="0"/>
        <v>6</v>
      </c>
      <c r="L19" s="408">
        <v>80</v>
      </c>
      <c r="M19" s="405">
        <v>1500</v>
      </c>
      <c r="N19" s="409">
        <v>500</v>
      </c>
      <c r="O19" s="409">
        <v>800</v>
      </c>
      <c r="P19" s="402" t="s">
        <v>265</v>
      </c>
    </row>
    <row r="20" spans="11:16" ht="29.1" customHeight="1" x14ac:dyDescent="0.25">
      <c r="K20" s="402">
        <f t="shared" si="0"/>
        <v>7</v>
      </c>
      <c r="L20" s="408">
        <v>60</v>
      </c>
      <c r="M20" s="402">
        <v>400</v>
      </c>
      <c r="N20" s="409">
        <v>200</v>
      </c>
      <c r="O20" s="409">
        <v>300</v>
      </c>
      <c r="P20" s="402" t="s">
        <v>266</v>
      </c>
    </row>
    <row r="21" spans="11:16" ht="29.1" customHeight="1" x14ac:dyDescent="0.25">
      <c r="K21" s="402">
        <f t="shared" si="0"/>
        <v>8</v>
      </c>
      <c r="L21" s="408">
        <v>180</v>
      </c>
      <c r="M21" s="405">
        <v>2500</v>
      </c>
      <c r="N21" s="409">
        <v>800</v>
      </c>
      <c r="O21" s="409">
        <v>1200</v>
      </c>
      <c r="P21" s="402" t="s">
        <v>267</v>
      </c>
    </row>
    <row r="22" spans="11:16" ht="29.1" customHeight="1" x14ac:dyDescent="0.25">
      <c r="K22" s="402">
        <f t="shared" si="0"/>
        <v>9</v>
      </c>
      <c r="L22" s="408">
        <v>90</v>
      </c>
      <c r="M22" s="405">
        <v>1800</v>
      </c>
      <c r="N22" s="409">
        <v>550</v>
      </c>
      <c r="O22" s="409">
        <v>850</v>
      </c>
      <c r="P22" s="402" t="s">
        <v>268</v>
      </c>
    </row>
    <row r="23" spans="11:16" ht="29.1" customHeight="1" x14ac:dyDescent="0.25">
      <c r="K23" s="402">
        <f t="shared" si="0"/>
        <v>10</v>
      </c>
      <c r="L23" s="408">
        <v>40</v>
      </c>
      <c r="M23" s="402">
        <v>600</v>
      </c>
      <c r="N23" s="409">
        <v>300</v>
      </c>
      <c r="O23" s="409">
        <v>500</v>
      </c>
      <c r="P23" s="402" t="s">
        <v>269</v>
      </c>
    </row>
    <row r="24" spans="11:16" ht="29.1" customHeight="1" x14ac:dyDescent="0.25">
      <c r="K24" s="402">
        <f t="shared" si="0"/>
        <v>11</v>
      </c>
      <c r="L24" s="408">
        <v>150</v>
      </c>
      <c r="M24" s="405">
        <v>1000</v>
      </c>
      <c r="N24" s="409">
        <v>600</v>
      </c>
      <c r="O24" s="409">
        <v>950</v>
      </c>
      <c r="P24" s="402" t="s">
        <v>270</v>
      </c>
    </row>
    <row r="25" spans="11:16" ht="29.1" customHeight="1" x14ac:dyDescent="0.25">
      <c r="K25" s="402">
        <f t="shared" si="0"/>
        <v>12</v>
      </c>
      <c r="L25" s="408">
        <v>20</v>
      </c>
      <c r="M25" s="402">
        <v>700</v>
      </c>
      <c r="N25" s="409">
        <v>250</v>
      </c>
      <c r="O25" s="409">
        <v>400</v>
      </c>
      <c r="P25" s="402" t="s">
        <v>271</v>
      </c>
    </row>
    <row r="26" spans="11:16" ht="29.1" customHeight="1" x14ac:dyDescent="0.25">
      <c r="K26" s="402">
        <f t="shared" si="0"/>
        <v>13</v>
      </c>
      <c r="L26" s="408">
        <v>170</v>
      </c>
      <c r="M26" s="405">
        <v>2000</v>
      </c>
      <c r="N26" s="409">
        <v>750</v>
      </c>
      <c r="O26" s="409">
        <v>1150</v>
      </c>
      <c r="P26" s="402" t="s">
        <v>272</v>
      </c>
    </row>
    <row r="27" spans="11:16" ht="29.1" customHeight="1" x14ac:dyDescent="0.25">
      <c r="K27" s="402">
        <f t="shared" si="0"/>
        <v>14</v>
      </c>
      <c r="L27" s="408">
        <v>35</v>
      </c>
      <c r="M27" s="402">
        <v>900</v>
      </c>
      <c r="N27" s="409">
        <v>350</v>
      </c>
      <c r="O27" s="409">
        <v>550</v>
      </c>
      <c r="P27" s="402" t="s">
        <v>273</v>
      </c>
    </row>
    <row r="28" spans="11:16" ht="29.1" customHeight="1" x14ac:dyDescent="0.25">
      <c r="K28" s="402">
        <f t="shared" si="0"/>
        <v>15</v>
      </c>
      <c r="L28" s="408">
        <v>220</v>
      </c>
      <c r="M28" s="405">
        <v>2500</v>
      </c>
      <c r="N28" s="409">
        <v>900</v>
      </c>
      <c r="O28" s="409">
        <v>1400</v>
      </c>
      <c r="P28" s="402" t="s">
        <v>274</v>
      </c>
    </row>
    <row r="29" spans="11:16" ht="29.1" customHeight="1" x14ac:dyDescent="0.25">
      <c r="K29" s="402">
        <f t="shared" si="0"/>
        <v>16</v>
      </c>
      <c r="L29" s="408">
        <v>110</v>
      </c>
      <c r="M29" s="405">
        <v>1100</v>
      </c>
      <c r="N29" s="409">
        <v>450</v>
      </c>
      <c r="O29" s="409">
        <v>700</v>
      </c>
      <c r="P29" s="402" t="s">
        <v>275</v>
      </c>
    </row>
    <row r="30" spans="11:16" ht="29.1" customHeight="1" x14ac:dyDescent="0.25">
      <c r="K30" s="402">
        <f t="shared" si="0"/>
        <v>17</v>
      </c>
      <c r="L30" s="408">
        <v>75</v>
      </c>
      <c r="M30" s="405">
        <v>1300</v>
      </c>
      <c r="N30" s="409">
        <v>500</v>
      </c>
      <c r="O30" s="409">
        <v>750</v>
      </c>
      <c r="P30" s="402" t="s">
        <v>276</v>
      </c>
    </row>
    <row r="31" spans="11:16" ht="29.1" customHeight="1" x14ac:dyDescent="0.25">
      <c r="K31" s="402">
        <f t="shared" si="0"/>
        <v>18</v>
      </c>
      <c r="L31" s="408">
        <v>25</v>
      </c>
      <c r="M31" s="402">
        <v>950</v>
      </c>
      <c r="N31" s="409">
        <v>300</v>
      </c>
      <c r="O31" s="409">
        <v>450</v>
      </c>
      <c r="P31" s="402" t="s">
        <v>277</v>
      </c>
    </row>
    <row r="32" spans="11:16" ht="29.1" customHeight="1" x14ac:dyDescent="0.25">
      <c r="K32" s="402">
        <f t="shared" si="0"/>
        <v>19</v>
      </c>
      <c r="L32" s="408">
        <v>140</v>
      </c>
      <c r="M32" s="405">
        <v>1600</v>
      </c>
      <c r="N32" s="409">
        <v>650</v>
      </c>
      <c r="O32" s="409">
        <v>1000</v>
      </c>
      <c r="P32" s="402" t="s">
        <v>278</v>
      </c>
    </row>
    <row r="33" spans="11:16" ht="29.1" customHeight="1" x14ac:dyDescent="0.25">
      <c r="K33" s="402">
        <f t="shared" si="0"/>
        <v>20</v>
      </c>
      <c r="L33" s="408">
        <v>50</v>
      </c>
      <c r="M33" s="402">
        <v>850</v>
      </c>
      <c r="N33" s="409">
        <v>350</v>
      </c>
      <c r="O33" s="409">
        <v>550</v>
      </c>
      <c r="P33" s="402" t="s">
        <v>279</v>
      </c>
    </row>
    <row r="49" s="22" customFormat="1" ht="29.1" customHeight="1" x14ac:dyDescent="0.25"/>
    <row r="50" s="22" customFormat="1" ht="29.1" customHeight="1" x14ac:dyDescent="0.25"/>
    <row r="51" s="22" customFormat="1" ht="29.1" customHeight="1" x14ac:dyDescent="0.25"/>
    <row r="52" s="22" customFormat="1" ht="29.1" customHeight="1" x14ac:dyDescent="0.25"/>
    <row r="53" s="22" customFormat="1" ht="29.1" customHeight="1" x14ac:dyDescent="0.25"/>
    <row r="54" s="22" customFormat="1" ht="29.1" customHeight="1" x14ac:dyDescent="0.25"/>
    <row r="55" s="22" customFormat="1" ht="29.1" customHeight="1" x14ac:dyDescent="0.25"/>
    <row r="56" s="22" customFormat="1" ht="29.1" customHeight="1" x14ac:dyDescent="0.25"/>
    <row r="57" s="22" customFormat="1" ht="29.1" customHeight="1" x14ac:dyDescent="0.25"/>
    <row r="58" s="22" customFormat="1" ht="29.1" customHeight="1" x14ac:dyDescent="0.25"/>
    <row r="59" s="22" customFormat="1" ht="29.1" customHeight="1" x14ac:dyDescent="0.25"/>
    <row r="60" s="22" customFormat="1" ht="29.1" customHeight="1" x14ac:dyDescent="0.25"/>
    <row r="61" s="22" customFormat="1" ht="29.1" customHeight="1" x14ac:dyDescent="0.25"/>
    <row r="62" s="22" customFormat="1" ht="29.1" customHeight="1" x14ac:dyDescent="0.25"/>
    <row r="63" s="22" customFormat="1" ht="29.1" customHeight="1" x14ac:dyDescent="0.25"/>
    <row r="64" s="22" customFormat="1" ht="29.1" customHeight="1" x14ac:dyDescent="0.25"/>
    <row r="65" s="22" customFormat="1" ht="29.1" customHeight="1" x14ac:dyDescent="0.25"/>
    <row r="66" s="22" customFormat="1" ht="29.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P66"/>
  <sheetViews>
    <sheetView zoomScale="40" zoomScaleNormal="40" workbookViewId="0"/>
  </sheetViews>
  <sheetFormatPr defaultColWidth="9.140625" defaultRowHeight="29.1" customHeight="1" x14ac:dyDescent="0.45"/>
  <cols>
    <col min="1" max="10" width="9.140625" style="526"/>
    <col min="11" max="11" width="7.28515625" style="526" customWidth="1"/>
    <col min="12" max="12" width="33" style="526" bestFit="1" customWidth="1"/>
    <col min="13" max="13" width="34.42578125" style="526" bestFit="1" customWidth="1"/>
    <col min="14" max="14" width="33" style="526" bestFit="1" customWidth="1"/>
    <col min="15" max="15" width="32.7109375" style="526" bestFit="1" customWidth="1"/>
    <col min="16" max="16" width="64.140625" style="526" bestFit="1" customWidth="1"/>
    <col min="17" max="16384" width="9.140625" style="526"/>
  </cols>
  <sheetData>
    <row r="1" spans="1:16" s="2" customFormat="1" ht="30" customHeight="1" x14ac:dyDescent="0.25"/>
    <row r="2" spans="1:16" s="2" customFormat="1" ht="30" customHeight="1" x14ac:dyDescent="0.25"/>
    <row r="3" spans="1:16" s="2" customFormat="1" ht="30" customHeight="1" x14ac:dyDescent="0.25"/>
    <row r="4" spans="1:16" s="410" customFormat="1" ht="24.95" customHeight="1" x14ac:dyDescent="0.25">
      <c r="A4" s="509"/>
      <c r="B4" s="509"/>
      <c r="C4" s="509"/>
      <c r="D4" s="509"/>
    </row>
    <row r="5" spans="1:16" s="410" customFormat="1" ht="24.95" customHeight="1" x14ac:dyDescent="0.25">
      <c r="A5" s="509"/>
      <c r="B5" s="509"/>
      <c r="C5" s="509"/>
      <c r="D5" s="509"/>
    </row>
    <row r="6" spans="1:16" s="410" customFormat="1" ht="24.95" customHeight="1" x14ac:dyDescent="0.25">
      <c r="A6" s="509"/>
      <c r="B6" s="509"/>
      <c r="C6" s="509"/>
      <c r="D6" s="509"/>
    </row>
    <row r="7" spans="1:16" s="410" customFormat="1" ht="24.95" customHeight="1" x14ac:dyDescent="0.25">
      <c r="A7" s="509"/>
      <c r="B7" s="509"/>
      <c r="C7" s="509"/>
      <c r="D7" s="509"/>
    </row>
    <row r="13" spans="1:16" ht="29.1" customHeight="1" x14ac:dyDescent="0.45">
      <c r="K13" s="525" t="s">
        <v>220</v>
      </c>
      <c r="L13" s="525" t="s">
        <v>255</v>
      </c>
      <c r="M13" s="525" t="s">
        <v>256</v>
      </c>
      <c r="N13" s="525" t="s">
        <v>257</v>
      </c>
      <c r="O13" s="525" t="s">
        <v>258</v>
      </c>
      <c r="P13" s="525" t="s">
        <v>259</v>
      </c>
    </row>
    <row r="14" spans="1:16" ht="29.1" customHeight="1" x14ac:dyDescent="0.45">
      <c r="K14" s="402">
        <v>1</v>
      </c>
      <c r="L14" s="408">
        <v>50</v>
      </c>
      <c r="M14" s="405">
        <v>1000</v>
      </c>
      <c r="N14" s="409">
        <f>L14*M14</f>
        <v>50000</v>
      </c>
      <c r="O14" s="409">
        <f>L14*M14+N14</f>
        <v>100000</v>
      </c>
      <c r="P14" s="402" t="s">
        <v>260</v>
      </c>
    </row>
    <row r="15" spans="1:16" ht="29.1" customHeight="1" x14ac:dyDescent="0.45">
      <c r="K15" s="402">
        <f>K14+1</f>
        <v>2</v>
      </c>
      <c r="L15" s="408">
        <v>120</v>
      </c>
      <c r="M15" s="402">
        <v>800</v>
      </c>
      <c r="N15" s="409">
        <v>400</v>
      </c>
      <c r="O15" s="409">
        <v>600</v>
      </c>
      <c r="P15" s="402" t="s">
        <v>261</v>
      </c>
    </row>
    <row r="16" spans="1:16" ht="29.1" customHeight="1" x14ac:dyDescent="0.45">
      <c r="K16" s="402">
        <f t="shared" ref="K16:K33" si="0">K15+1</f>
        <v>3</v>
      </c>
      <c r="L16" s="408">
        <v>30</v>
      </c>
      <c r="M16" s="402">
        <v>500</v>
      </c>
      <c r="N16" s="409">
        <v>250</v>
      </c>
      <c r="O16" s="409">
        <v>400</v>
      </c>
      <c r="P16" s="402" t="s">
        <v>262</v>
      </c>
    </row>
    <row r="17" spans="11:16" ht="29.1" customHeight="1" x14ac:dyDescent="0.45">
      <c r="K17" s="402">
        <f t="shared" si="0"/>
        <v>4</v>
      </c>
      <c r="L17" s="408">
        <v>200</v>
      </c>
      <c r="M17" s="405">
        <v>1200</v>
      </c>
      <c r="N17" s="409">
        <v>600</v>
      </c>
      <c r="O17" s="409">
        <v>900</v>
      </c>
      <c r="P17" s="402" t="s">
        <v>263</v>
      </c>
    </row>
    <row r="18" spans="11:16" ht="29.1" customHeight="1" x14ac:dyDescent="0.45">
      <c r="K18" s="402">
        <f t="shared" si="0"/>
        <v>5</v>
      </c>
      <c r="L18" s="408">
        <v>15</v>
      </c>
      <c r="M18" s="405">
        <v>2000</v>
      </c>
      <c r="N18" s="409">
        <v>700</v>
      </c>
      <c r="O18" s="409">
        <v>1000</v>
      </c>
      <c r="P18" s="402" t="s">
        <v>264</v>
      </c>
    </row>
    <row r="19" spans="11:16" ht="29.1" customHeight="1" x14ac:dyDescent="0.45">
      <c r="K19" s="402">
        <f t="shared" si="0"/>
        <v>6</v>
      </c>
      <c r="L19" s="408">
        <v>80</v>
      </c>
      <c r="M19" s="405">
        <v>1500</v>
      </c>
      <c r="N19" s="409">
        <v>500</v>
      </c>
      <c r="O19" s="409">
        <v>800</v>
      </c>
      <c r="P19" s="402" t="s">
        <v>265</v>
      </c>
    </row>
    <row r="20" spans="11:16" ht="29.1" customHeight="1" x14ac:dyDescent="0.45">
      <c r="K20" s="402">
        <f t="shared" si="0"/>
        <v>7</v>
      </c>
      <c r="L20" s="408">
        <v>60</v>
      </c>
      <c r="M20" s="402">
        <v>400</v>
      </c>
      <c r="N20" s="409">
        <v>200</v>
      </c>
      <c r="O20" s="409">
        <v>300</v>
      </c>
      <c r="P20" s="402" t="s">
        <v>266</v>
      </c>
    </row>
    <row r="21" spans="11:16" ht="29.1" customHeight="1" x14ac:dyDescent="0.45">
      <c r="K21" s="402">
        <f t="shared" si="0"/>
        <v>8</v>
      </c>
      <c r="L21" s="408">
        <v>180</v>
      </c>
      <c r="M21" s="405">
        <v>2500</v>
      </c>
      <c r="N21" s="409">
        <v>800</v>
      </c>
      <c r="O21" s="409">
        <v>1200</v>
      </c>
      <c r="P21" s="402" t="s">
        <v>267</v>
      </c>
    </row>
    <row r="22" spans="11:16" ht="29.1" customHeight="1" x14ac:dyDescent="0.45">
      <c r="K22" s="402">
        <f t="shared" si="0"/>
        <v>9</v>
      </c>
      <c r="L22" s="408">
        <v>90</v>
      </c>
      <c r="M22" s="405">
        <v>1800</v>
      </c>
      <c r="N22" s="409">
        <v>550</v>
      </c>
      <c r="O22" s="409">
        <v>850</v>
      </c>
      <c r="P22" s="402" t="s">
        <v>268</v>
      </c>
    </row>
    <row r="23" spans="11:16" ht="29.1" customHeight="1" x14ac:dyDescent="0.45">
      <c r="K23" s="402">
        <f t="shared" si="0"/>
        <v>10</v>
      </c>
      <c r="L23" s="408">
        <v>40</v>
      </c>
      <c r="M23" s="402">
        <v>600</v>
      </c>
      <c r="N23" s="409">
        <v>300</v>
      </c>
      <c r="O23" s="409">
        <v>500</v>
      </c>
      <c r="P23" s="402" t="s">
        <v>269</v>
      </c>
    </row>
    <row r="24" spans="11:16" ht="29.1" customHeight="1" x14ac:dyDescent="0.45">
      <c r="K24" s="402">
        <f t="shared" si="0"/>
        <v>11</v>
      </c>
      <c r="L24" s="408">
        <v>150</v>
      </c>
      <c r="M24" s="405">
        <v>1000</v>
      </c>
      <c r="N24" s="409">
        <v>600</v>
      </c>
      <c r="O24" s="409">
        <v>950</v>
      </c>
      <c r="P24" s="402" t="s">
        <v>270</v>
      </c>
    </row>
    <row r="25" spans="11:16" ht="29.1" customHeight="1" x14ac:dyDescent="0.45">
      <c r="K25" s="402">
        <f t="shared" si="0"/>
        <v>12</v>
      </c>
      <c r="L25" s="408">
        <v>20</v>
      </c>
      <c r="M25" s="402">
        <v>700</v>
      </c>
      <c r="N25" s="409">
        <v>250</v>
      </c>
      <c r="O25" s="409">
        <v>400</v>
      </c>
      <c r="P25" s="402" t="s">
        <v>271</v>
      </c>
    </row>
    <row r="26" spans="11:16" ht="29.1" customHeight="1" x14ac:dyDescent="0.45">
      <c r="K26" s="402">
        <f t="shared" si="0"/>
        <v>13</v>
      </c>
      <c r="L26" s="408">
        <v>170</v>
      </c>
      <c r="M26" s="405">
        <v>2000</v>
      </c>
      <c r="N26" s="409">
        <v>750</v>
      </c>
      <c r="O26" s="409">
        <v>1150</v>
      </c>
      <c r="P26" s="402" t="s">
        <v>272</v>
      </c>
    </row>
    <row r="27" spans="11:16" ht="29.1" customHeight="1" x14ac:dyDescent="0.45">
      <c r="K27" s="402">
        <f t="shared" si="0"/>
        <v>14</v>
      </c>
      <c r="L27" s="408">
        <v>35</v>
      </c>
      <c r="M27" s="402">
        <v>900</v>
      </c>
      <c r="N27" s="409">
        <v>350</v>
      </c>
      <c r="O27" s="409">
        <v>550</v>
      </c>
      <c r="P27" s="402" t="s">
        <v>273</v>
      </c>
    </row>
    <row r="28" spans="11:16" ht="29.1" customHeight="1" x14ac:dyDescent="0.45">
      <c r="K28" s="402">
        <f t="shared" si="0"/>
        <v>15</v>
      </c>
      <c r="L28" s="408">
        <v>220</v>
      </c>
      <c r="M28" s="405">
        <v>2500</v>
      </c>
      <c r="N28" s="409">
        <v>900</v>
      </c>
      <c r="O28" s="409">
        <v>1400</v>
      </c>
      <c r="P28" s="402" t="s">
        <v>274</v>
      </c>
    </row>
    <row r="29" spans="11:16" ht="29.1" customHeight="1" x14ac:dyDescent="0.45">
      <c r="K29" s="402">
        <f t="shared" si="0"/>
        <v>16</v>
      </c>
      <c r="L29" s="408">
        <v>110</v>
      </c>
      <c r="M29" s="405">
        <v>1100</v>
      </c>
      <c r="N29" s="409">
        <v>450</v>
      </c>
      <c r="O29" s="409">
        <v>700</v>
      </c>
      <c r="P29" s="402" t="s">
        <v>275</v>
      </c>
    </row>
    <row r="30" spans="11:16" ht="29.1" customHeight="1" x14ac:dyDescent="0.45">
      <c r="K30" s="402">
        <f t="shared" si="0"/>
        <v>17</v>
      </c>
      <c r="L30" s="408">
        <v>75</v>
      </c>
      <c r="M30" s="405">
        <v>1300</v>
      </c>
      <c r="N30" s="409">
        <v>500</v>
      </c>
      <c r="O30" s="409">
        <v>750</v>
      </c>
      <c r="P30" s="402" t="s">
        <v>276</v>
      </c>
    </row>
    <row r="31" spans="11:16" ht="29.1" customHeight="1" x14ac:dyDescent="0.45">
      <c r="K31" s="402">
        <f t="shared" si="0"/>
        <v>18</v>
      </c>
      <c r="L31" s="408">
        <v>25</v>
      </c>
      <c r="M31" s="402">
        <v>950</v>
      </c>
      <c r="N31" s="409">
        <v>300</v>
      </c>
      <c r="O31" s="409">
        <v>450</v>
      </c>
      <c r="P31" s="402" t="s">
        <v>277</v>
      </c>
    </row>
    <row r="32" spans="11:16" ht="29.1" customHeight="1" x14ac:dyDescent="0.45">
      <c r="K32" s="402">
        <f t="shared" si="0"/>
        <v>19</v>
      </c>
      <c r="L32" s="408">
        <v>140</v>
      </c>
      <c r="M32" s="405">
        <v>1600</v>
      </c>
      <c r="N32" s="409">
        <v>650</v>
      </c>
      <c r="O32" s="409">
        <v>1000</v>
      </c>
      <c r="P32" s="402" t="s">
        <v>278</v>
      </c>
    </row>
    <row r="33" spans="11:16" ht="29.1" customHeight="1" x14ac:dyDescent="0.45">
      <c r="K33" s="402">
        <f t="shared" si="0"/>
        <v>20</v>
      </c>
      <c r="L33" s="408">
        <v>50</v>
      </c>
      <c r="M33" s="402">
        <v>850</v>
      </c>
      <c r="N33" s="409">
        <v>350</v>
      </c>
      <c r="O33" s="409">
        <v>550</v>
      </c>
      <c r="P33" s="402" t="s">
        <v>279</v>
      </c>
    </row>
    <row r="49" s="526" customFormat="1" ht="29.1" customHeight="1" x14ac:dyDescent="0.45"/>
    <row r="50" s="526" customFormat="1" ht="29.1" customHeight="1" x14ac:dyDescent="0.45"/>
    <row r="51" s="526" customFormat="1" ht="29.1" customHeight="1" x14ac:dyDescent="0.45"/>
    <row r="52" s="526" customFormat="1" ht="29.1" customHeight="1" x14ac:dyDescent="0.45"/>
    <row r="53" s="526" customFormat="1" ht="29.1" customHeight="1" x14ac:dyDescent="0.45"/>
    <row r="54" s="526" customFormat="1" ht="29.1" customHeight="1" x14ac:dyDescent="0.45"/>
    <row r="55" s="526" customFormat="1" ht="29.1" customHeight="1" x14ac:dyDescent="0.45"/>
    <row r="56" s="526" customFormat="1" ht="29.1" customHeight="1" x14ac:dyDescent="0.45"/>
    <row r="57" s="526" customFormat="1" ht="29.1" customHeight="1" x14ac:dyDescent="0.45"/>
    <row r="58" s="526" customFormat="1" ht="29.1" customHeight="1" x14ac:dyDescent="0.45"/>
    <row r="59" s="526" customFormat="1" ht="29.1" customHeight="1" x14ac:dyDescent="0.45"/>
    <row r="60" s="526" customFormat="1" ht="29.1" customHeight="1" x14ac:dyDescent="0.45"/>
    <row r="61" s="526" customFormat="1" ht="29.1" customHeight="1" x14ac:dyDescent="0.45"/>
    <row r="62" s="526" customFormat="1" ht="29.1" customHeight="1" x14ac:dyDescent="0.45"/>
    <row r="63" s="526" customFormat="1" ht="29.1" customHeight="1" x14ac:dyDescent="0.45"/>
    <row r="64" s="526" customFormat="1" ht="29.1" customHeight="1" x14ac:dyDescent="0.45"/>
    <row r="65" s="526" customFormat="1" ht="29.1" customHeight="1" x14ac:dyDescent="0.45"/>
    <row r="66" s="526" customFormat="1" ht="29.1" customHeight="1" x14ac:dyDescent="0.4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J66"/>
  <sheetViews>
    <sheetView tabSelected="1" zoomScale="40" zoomScaleNormal="40" workbookViewId="0">
      <selection activeCell="J13" sqref="J13"/>
    </sheetView>
  </sheetViews>
  <sheetFormatPr defaultColWidth="9.140625" defaultRowHeight="29.1" customHeight="1" x14ac:dyDescent="0.45"/>
  <cols>
    <col min="1" max="16384" width="9.140625" style="526"/>
  </cols>
  <sheetData>
    <row r="1" spans="1:10" s="524" customFormat="1" ht="30" customHeight="1" x14ac:dyDescent="0.45"/>
    <row r="2" spans="1:10" s="524" customFormat="1" ht="30" customHeight="1" x14ac:dyDescent="0.45"/>
    <row r="3" spans="1:10" s="524" customFormat="1" ht="30" customHeight="1" x14ac:dyDescent="0.45"/>
    <row r="4" spans="1:10" s="559" customFormat="1" ht="24.95" customHeight="1" x14ac:dyDescent="0.45">
      <c r="A4" s="558"/>
      <c r="B4" s="558"/>
      <c r="C4" s="558"/>
      <c r="D4" s="558"/>
    </row>
    <row r="5" spans="1:10" s="559" customFormat="1" ht="24.95" customHeight="1" x14ac:dyDescent="0.45">
      <c r="A5" s="558"/>
      <c r="B5" s="558"/>
      <c r="C5" s="558"/>
      <c r="D5" s="558"/>
    </row>
    <row r="6" spans="1:10" s="559" customFormat="1" ht="24.95" customHeight="1" x14ac:dyDescent="0.45">
      <c r="A6" s="558"/>
      <c r="B6" s="558"/>
      <c r="C6" s="558"/>
      <c r="D6" s="558"/>
    </row>
    <row r="7" spans="1:10" s="559" customFormat="1" ht="24.95" customHeight="1" x14ac:dyDescent="0.45">
      <c r="A7" s="558"/>
      <c r="B7" s="558"/>
      <c r="C7" s="558"/>
      <c r="D7" s="558"/>
    </row>
    <row r="13" spans="1:10" ht="29.1" customHeight="1" x14ac:dyDescent="0.45">
      <c r="J13" s="560"/>
    </row>
    <row r="65" s="526" customFormat="1" ht="29.1" customHeight="1" x14ac:dyDescent="0.45"/>
    <row r="66" s="526" customFormat="1" ht="29.1" customHeight="1" x14ac:dyDescent="0.4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A66"/>
  <sheetViews>
    <sheetView zoomScale="40" zoomScaleNormal="40" workbookViewId="0"/>
  </sheetViews>
  <sheetFormatPr defaultColWidth="9.140625" defaultRowHeight="29.1" customHeight="1" x14ac:dyDescent="0.45"/>
  <cols>
    <col min="1" max="13" width="9.140625" style="526"/>
    <col min="14" max="14" width="3.42578125" style="526" bestFit="1" customWidth="1"/>
    <col min="15" max="15" width="35.140625" style="526" bestFit="1" customWidth="1"/>
    <col min="16" max="17" width="3.42578125" style="526" bestFit="1" customWidth="1"/>
    <col min="18" max="18" width="3.42578125" style="526" customWidth="1"/>
    <col min="19" max="19" width="50.7109375" style="526" customWidth="1"/>
    <col min="20" max="20" width="3.42578125" style="526" bestFit="1" customWidth="1"/>
    <col min="21" max="22" width="9.140625" style="526"/>
    <col min="23" max="23" width="2" style="526" bestFit="1" customWidth="1"/>
    <col min="24" max="24" width="30.140625" style="526" bestFit="1" customWidth="1"/>
    <col min="25" max="25" width="3.42578125" style="526" bestFit="1" customWidth="1"/>
    <col min="26" max="26" width="50.7109375" style="526" customWidth="1"/>
    <col min="27" max="27" width="3.42578125" style="526" bestFit="1" customWidth="1"/>
    <col min="28" max="16384" width="9.140625" style="526"/>
  </cols>
  <sheetData>
    <row r="1" spans="1:27" s="524" customFormat="1" ht="30" customHeight="1" x14ac:dyDescent="0.45"/>
    <row r="2" spans="1:27" s="524" customFormat="1" ht="30" customHeight="1" x14ac:dyDescent="0.45"/>
    <row r="3" spans="1:27" s="524" customFormat="1" ht="30" customHeight="1" x14ac:dyDescent="0.45"/>
    <row r="4" spans="1:27" s="559" customFormat="1" ht="24.95" customHeight="1" x14ac:dyDescent="0.45">
      <c r="A4" s="558"/>
      <c r="B4" s="558"/>
      <c r="C4" s="558"/>
      <c r="D4" s="558"/>
    </row>
    <row r="5" spans="1:27" s="559" customFormat="1" ht="24.95" customHeight="1" x14ac:dyDescent="0.45">
      <c r="A5" s="558"/>
      <c r="B5" s="558"/>
      <c r="C5" s="558"/>
      <c r="D5" s="558"/>
    </row>
    <row r="6" spans="1:27" s="559" customFormat="1" ht="24.95" customHeight="1" x14ac:dyDescent="0.45">
      <c r="A6" s="558"/>
      <c r="B6" s="558"/>
      <c r="C6" s="558"/>
      <c r="D6" s="558"/>
    </row>
    <row r="7" spans="1:27" s="559" customFormat="1" ht="24.95" customHeight="1" x14ac:dyDescent="0.45">
      <c r="A7" s="558"/>
      <c r="B7" s="558"/>
      <c r="C7" s="558"/>
      <c r="D7" s="558"/>
    </row>
    <row r="13" spans="1:27" ht="29.1" customHeight="1" thickBot="1" x14ac:dyDescent="0.5"/>
    <row r="14" spans="1:27" ht="29.1" customHeight="1" x14ac:dyDescent="0.45">
      <c r="N14" s="527" t="s">
        <v>280</v>
      </c>
      <c r="O14" s="528"/>
      <c r="P14" s="528"/>
      <c r="Q14" s="528"/>
      <c r="R14" s="528"/>
      <c r="S14" s="528"/>
      <c r="T14" s="529"/>
      <c r="W14" s="530" t="s">
        <v>281</v>
      </c>
      <c r="X14" s="531"/>
      <c r="Y14" s="531"/>
      <c r="Z14" s="531"/>
      <c r="AA14" s="532"/>
    </row>
    <row r="15" spans="1:27" ht="29.1" customHeight="1" x14ac:dyDescent="0.45">
      <c r="N15" s="533"/>
      <c r="O15" s="534"/>
      <c r="P15" s="534"/>
      <c r="Q15" s="534"/>
      <c r="R15" s="534"/>
      <c r="S15" s="534"/>
      <c r="T15" s="535"/>
      <c r="W15" s="536"/>
      <c r="X15" s="537"/>
      <c r="Y15" s="537"/>
      <c r="Z15" s="537"/>
      <c r="AA15" s="538"/>
    </row>
    <row r="16" spans="1:27" ht="29.1" customHeight="1" x14ac:dyDescent="0.45">
      <c r="N16" s="533"/>
      <c r="O16" s="534"/>
      <c r="P16" s="534"/>
      <c r="Q16" s="534"/>
      <c r="R16" s="534"/>
      <c r="S16" s="534"/>
      <c r="T16" s="535"/>
      <c r="W16" s="536"/>
      <c r="X16" s="537"/>
      <c r="Y16" s="537"/>
      <c r="Z16" s="537"/>
      <c r="AA16" s="538"/>
    </row>
    <row r="17" spans="14:27" ht="29.1" customHeight="1" x14ac:dyDescent="0.45">
      <c r="N17" s="17" t="s">
        <v>13</v>
      </c>
      <c r="O17" s="19" t="s">
        <v>13</v>
      </c>
      <c r="P17" s="19" t="s">
        <v>13</v>
      </c>
      <c r="Q17" s="19" t="s">
        <v>13</v>
      </c>
      <c r="R17" s="19" t="s">
        <v>13</v>
      </c>
      <c r="S17" s="12" t="s">
        <v>13</v>
      </c>
      <c r="T17" s="13" t="s">
        <v>13</v>
      </c>
      <c r="W17" s="539" t="s">
        <v>13</v>
      </c>
      <c r="X17" s="23" t="s">
        <v>13</v>
      </c>
      <c r="Y17" s="23" t="s">
        <v>13</v>
      </c>
      <c r="Z17" s="23" t="s">
        <v>13</v>
      </c>
      <c r="AA17" s="24" t="s">
        <v>13</v>
      </c>
    </row>
    <row r="18" spans="14:27" ht="29.1" customHeight="1" x14ac:dyDescent="0.45">
      <c r="N18" s="17" t="s">
        <v>13</v>
      </c>
      <c r="O18" s="540" t="s">
        <v>3</v>
      </c>
      <c r="P18" s="19"/>
      <c r="Q18" s="19" t="s">
        <v>13</v>
      </c>
      <c r="R18" s="19" t="s">
        <v>13</v>
      </c>
      <c r="S18" s="541">
        <v>1</v>
      </c>
      <c r="T18" s="13" t="s">
        <v>13</v>
      </c>
      <c r="W18" s="539" t="s">
        <v>13</v>
      </c>
      <c r="X18" s="542" t="s">
        <v>282</v>
      </c>
      <c r="Y18" s="543"/>
      <c r="Z18" s="544"/>
      <c r="AA18" s="545" t="s">
        <v>13</v>
      </c>
    </row>
    <row r="19" spans="14:27" ht="29.1" customHeight="1" x14ac:dyDescent="0.45">
      <c r="N19" s="17" t="s">
        <v>13</v>
      </c>
      <c r="O19" s="19" t="s">
        <v>13</v>
      </c>
      <c r="P19" s="19" t="s">
        <v>13</v>
      </c>
      <c r="Q19" s="19" t="s">
        <v>13</v>
      </c>
      <c r="R19" s="19" t="s">
        <v>13</v>
      </c>
      <c r="S19" s="5" t="s">
        <v>13</v>
      </c>
      <c r="T19" s="13" t="s">
        <v>13</v>
      </c>
      <c r="W19" s="539" t="s">
        <v>13</v>
      </c>
      <c r="X19" s="543"/>
      <c r="Y19" s="23"/>
      <c r="Z19" s="23"/>
      <c r="AA19" s="24" t="s">
        <v>13</v>
      </c>
    </row>
    <row r="20" spans="14:27" ht="29.1" customHeight="1" x14ac:dyDescent="0.45">
      <c r="N20" s="17" t="s">
        <v>13</v>
      </c>
      <c r="O20" s="546" t="s">
        <v>4</v>
      </c>
      <c r="P20" s="19"/>
      <c r="Q20" s="19" t="s">
        <v>13</v>
      </c>
      <c r="R20" s="19" t="s">
        <v>13</v>
      </c>
      <c r="S20" s="541">
        <v>1</v>
      </c>
      <c r="T20" s="13" t="s">
        <v>13</v>
      </c>
      <c r="W20" s="539" t="s">
        <v>13</v>
      </c>
      <c r="X20" s="542" t="s">
        <v>283</v>
      </c>
      <c r="Y20" s="543"/>
      <c r="Z20" s="544"/>
      <c r="AA20" s="545" t="s">
        <v>13</v>
      </c>
    </row>
    <row r="21" spans="14:27" ht="29.1" customHeight="1" x14ac:dyDescent="0.45">
      <c r="N21" s="17" t="s">
        <v>13</v>
      </c>
      <c r="O21" s="547"/>
      <c r="P21" s="19" t="s">
        <v>13</v>
      </c>
      <c r="Q21" s="19" t="s">
        <v>13</v>
      </c>
      <c r="R21" s="19" t="s">
        <v>13</v>
      </c>
      <c r="S21" s="5" t="s">
        <v>13</v>
      </c>
      <c r="T21" s="13" t="s">
        <v>13</v>
      </c>
      <c r="W21" s="539" t="s">
        <v>13</v>
      </c>
      <c r="X21" s="543"/>
      <c r="Y21" s="23"/>
      <c r="Z21" s="23"/>
      <c r="AA21" s="24" t="s">
        <v>13</v>
      </c>
    </row>
    <row r="22" spans="14:27" ht="29.1" customHeight="1" x14ac:dyDescent="0.45">
      <c r="N22" s="17" t="s">
        <v>13</v>
      </c>
      <c r="O22" s="546" t="s">
        <v>5</v>
      </c>
      <c r="P22" s="19" t="s">
        <v>13</v>
      </c>
      <c r="Q22" s="19" t="s">
        <v>13</v>
      </c>
      <c r="R22" s="19" t="s">
        <v>13</v>
      </c>
      <c r="S22" s="548">
        <v>5</v>
      </c>
      <c r="T22" s="13" t="s">
        <v>13</v>
      </c>
      <c r="W22" s="539" t="s">
        <v>13</v>
      </c>
      <c r="X22" s="543"/>
      <c r="Y22" s="543"/>
      <c r="Z22" s="543"/>
      <c r="AA22" s="545" t="s">
        <v>13</v>
      </c>
    </row>
    <row r="23" spans="14:27" ht="29.1" customHeight="1" x14ac:dyDescent="0.45">
      <c r="N23" s="17" t="s">
        <v>13</v>
      </c>
      <c r="O23" s="547"/>
      <c r="P23" s="19" t="s">
        <v>13</v>
      </c>
      <c r="Q23" s="19" t="s">
        <v>13</v>
      </c>
      <c r="R23" s="19" t="s">
        <v>13</v>
      </c>
      <c r="S23" s="5" t="s">
        <v>13</v>
      </c>
      <c r="T23" s="13" t="s">
        <v>13</v>
      </c>
      <c r="W23" s="539" t="s">
        <v>13</v>
      </c>
      <c r="X23" s="543"/>
      <c r="Y23" s="23"/>
      <c r="Z23" s="23"/>
      <c r="AA23" s="24" t="s">
        <v>13</v>
      </c>
    </row>
    <row r="24" spans="14:27" ht="29.1" customHeight="1" x14ac:dyDescent="0.45">
      <c r="N24" s="17" t="s">
        <v>13</v>
      </c>
      <c r="O24" s="546" t="s">
        <v>6</v>
      </c>
      <c r="P24" s="19" t="s">
        <v>13</v>
      </c>
      <c r="Q24" s="19" t="s">
        <v>13</v>
      </c>
      <c r="R24" s="19" t="s">
        <v>13</v>
      </c>
      <c r="S24" s="548">
        <v>3</v>
      </c>
      <c r="T24" s="13" t="s">
        <v>13</v>
      </c>
      <c r="W24" s="539" t="s">
        <v>13</v>
      </c>
      <c r="X24" s="543"/>
      <c r="Y24" s="543"/>
      <c r="Z24" s="543"/>
      <c r="AA24" s="24" t="s">
        <v>13</v>
      </c>
    </row>
    <row r="25" spans="14:27" ht="29.1" customHeight="1" x14ac:dyDescent="0.45">
      <c r="N25" s="17" t="s">
        <v>13</v>
      </c>
      <c r="O25" s="547"/>
      <c r="P25" s="19" t="s">
        <v>13</v>
      </c>
      <c r="Q25" s="19" t="s">
        <v>13</v>
      </c>
      <c r="R25" s="19" t="s">
        <v>13</v>
      </c>
      <c r="S25" s="5" t="s">
        <v>13</v>
      </c>
      <c r="T25" s="13" t="s">
        <v>13</v>
      </c>
      <c r="W25" s="539" t="s">
        <v>13</v>
      </c>
      <c r="X25" s="543"/>
      <c r="Y25" s="543"/>
      <c r="Z25" s="23"/>
      <c r="AA25" s="24" t="s">
        <v>13</v>
      </c>
    </row>
    <row r="26" spans="14:27" ht="29.1" customHeight="1" x14ac:dyDescent="0.45">
      <c r="N26" s="549"/>
      <c r="O26" s="546" t="s">
        <v>7</v>
      </c>
      <c r="P26" s="550"/>
      <c r="Q26" s="550"/>
      <c r="R26" s="550"/>
      <c r="S26" s="551">
        <v>2</v>
      </c>
      <c r="T26" s="552"/>
      <c r="W26" s="539" t="s">
        <v>13</v>
      </c>
      <c r="X26" s="543"/>
      <c r="Y26" s="543"/>
      <c r="Z26" s="543"/>
      <c r="AA26" s="24" t="s">
        <v>13</v>
      </c>
    </row>
    <row r="27" spans="14:27" ht="29.1" customHeight="1" thickBot="1" x14ac:dyDescent="0.5">
      <c r="N27" s="549"/>
      <c r="O27" s="550"/>
      <c r="P27" s="550"/>
      <c r="Q27" s="550"/>
      <c r="R27" s="550"/>
      <c r="S27" s="550"/>
      <c r="T27" s="552"/>
      <c r="W27" s="553" t="s">
        <v>13</v>
      </c>
      <c r="X27" s="25" t="s">
        <v>13</v>
      </c>
      <c r="Y27" s="554" t="s">
        <v>13</v>
      </c>
      <c r="Z27" s="25" t="s">
        <v>13</v>
      </c>
      <c r="AA27" s="26" t="s">
        <v>13</v>
      </c>
    </row>
    <row r="28" spans="14:27" ht="29.1" customHeight="1" x14ac:dyDescent="0.45">
      <c r="N28" s="549"/>
      <c r="O28" s="550"/>
      <c r="P28" s="550"/>
      <c r="Q28" s="550"/>
      <c r="R28" s="550"/>
      <c r="S28" s="550"/>
      <c r="T28" s="552"/>
    </row>
    <row r="29" spans="14:27" ht="29.1" customHeight="1" x14ac:dyDescent="0.45">
      <c r="N29" s="549"/>
      <c r="O29" s="550"/>
      <c r="P29" s="550"/>
      <c r="Q29" s="550"/>
      <c r="R29" s="550"/>
      <c r="S29" s="550"/>
      <c r="T29" s="552"/>
    </row>
    <row r="30" spans="14:27" ht="29.1" customHeight="1" x14ac:dyDescent="0.45">
      <c r="N30" s="549"/>
      <c r="O30" s="550"/>
      <c r="P30" s="550"/>
      <c r="Q30" s="550"/>
      <c r="R30" s="550"/>
      <c r="S30" s="550"/>
      <c r="T30" s="552"/>
    </row>
    <row r="31" spans="14:27" ht="29.1" customHeight="1" thickBot="1" x14ac:dyDescent="0.5">
      <c r="N31" s="555"/>
      <c r="O31" s="556"/>
      <c r="P31" s="556"/>
      <c r="Q31" s="556"/>
      <c r="R31" s="556"/>
      <c r="S31" s="556"/>
      <c r="T31" s="557"/>
    </row>
    <row r="33" s="526" customFormat="1" ht="29.1" customHeight="1" x14ac:dyDescent="0.45"/>
    <row r="34" s="526" customFormat="1" ht="29.1" customHeight="1" x14ac:dyDescent="0.45"/>
    <row r="35" s="526" customFormat="1" ht="29.1" customHeight="1" x14ac:dyDescent="0.45"/>
    <row r="36" s="526" customFormat="1" ht="29.1" customHeight="1" x14ac:dyDescent="0.45"/>
    <row r="37" s="526" customFormat="1" ht="29.1" customHeight="1" x14ac:dyDescent="0.45"/>
    <row r="38" s="526" customFormat="1" ht="29.1" customHeight="1" x14ac:dyDescent="0.45"/>
    <row r="39" s="526" customFormat="1" ht="29.1" customHeight="1" x14ac:dyDescent="0.45"/>
    <row r="40" s="526" customFormat="1" ht="29.1" customHeight="1" x14ac:dyDescent="0.45"/>
    <row r="41" s="526" customFormat="1" ht="29.1" customHeight="1" x14ac:dyDescent="0.45"/>
    <row r="42" s="526" customFormat="1" ht="29.1" customHeight="1" x14ac:dyDescent="0.45"/>
    <row r="43" s="526" customFormat="1" ht="29.1" customHeight="1" x14ac:dyDescent="0.45"/>
    <row r="44" s="526" customFormat="1" ht="29.1" customHeight="1" x14ac:dyDescent="0.45"/>
    <row r="45" s="526" customFormat="1" ht="29.1" customHeight="1" x14ac:dyDescent="0.45"/>
    <row r="46" s="526" customFormat="1" ht="29.1" customHeight="1" x14ac:dyDescent="0.45"/>
    <row r="47" s="526" customFormat="1" ht="29.1" customHeight="1" x14ac:dyDescent="0.45"/>
    <row r="48" s="526" customFormat="1" ht="29.1" customHeight="1" x14ac:dyDescent="0.45"/>
    <row r="49" s="526" customFormat="1" ht="29.1" customHeight="1" x14ac:dyDescent="0.45"/>
    <row r="50" s="526" customFormat="1" ht="29.1" customHeight="1" x14ac:dyDescent="0.45"/>
    <row r="51" s="526" customFormat="1" ht="29.1" customHeight="1" x14ac:dyDescent="0.45"/>
    <row r="52" s="526" customFormat="1" ht="29.1" customHeight="1" x14ac:dyDescent="0.45"/>
    <row r="53" s="526" customFormat="1" ht="29.1" customHeight="1" x14ac:dyDescent="0.45"/>
    <row r="54" s="526" customFormat="1" ht="29.1" customHeight="1" x14ac:dyDescent="0.45"/>
    <row r="55" s="526" customFormat="1" ht="29.1" customHeight="1" x14ac:dyDescent="0.45"/>
    <row r="56" s="526" customFormat="1" ht="29.1" customHeight="1" x14ac:dyDescent="0.45"/>
    <row r="57" s="526" customFormat="1" ht="29.1" customHeight="1" x14ac:dyDescent="0.45"/>
    <row r="58" s="526" customFormat="1" ht="29.1" customHeight="1" x14ac:dyDescent="0.45"/>
    <row r="59" s="526" customFormat="1" ht="29.1" customHeight="1" x14ac:dyDescent="0.45"/>
    <row r="60" s="526" customFormat="1" ht="29.1" customHeight="1" x14ac:dyDescent="0.45"/>
    <row r="61" s="526" customFormat="1" ht="29.1" customHeight="1" x14ac:dyDescent="0.45"/>
    <row r="62" s="526" customFormat="1" ht="29.1" customHeight="1" x14ac:dyDescent="0.45"/>
    <row r="63" s="526" customFormat="1" ht="29.1" customHeight="1" x14ac:dyDescent="0.45"/>
    <row r="64" s="526" customFormat="1" ht="29.1" customHeight="1" x14ac:dyDescent="0.45"/>
    <row r="65" s="526" customFormat="1" ht="29.1" customHeight="1" x14ac:dyDescent="0.45"/>
    <row r="66" s="526" customFormat="1" ht="29.1" customHeight="1" x14ac:dyDescent="0.45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T66"/>
  <sheetViews>
    <sheetView zoomScale="40" zoomScaleNormal="40" workbookViewId="0"/>
  </sheetViews>
  <sheetFormatPr defaultColWidth="8.7109375" defaultRowHeight="29.1" customHeight="1" x14ac:dyDescent="0.25"/>
  <cols>
    <col min="1" max="13" width="8.7109375" style="22"/>
    <col min="14" max="14" width="3.42578125" style="22" bestFit="1" customWidth="1"/>
    <col min="15" max="15" width="35.140625" style="22" bestFit="1" customWidth="1"/>
    <col min="16" max="17" width="3.42578125" style="22" bestFit="1" customWidth="1"/>
    <col min="18" max="18" width="3.42578125" style="22" customWidth="1"/>
    <col min="19" max="19" width="50.7109375" style="22" customWidth="1"/>
    <col min="20" max="20" width="3.42578125" style="22" customWidth="1"/>
    <col min="21" max="16384" width="8.7109375" style="22"/>
  </cols>
  <sheetData>
    <row r="1" spans="1:20" s="524" customFormat="1" ht="30" customHeight="1" x14ac:dyDescent="0.45"/>
    <row r="2" spans="1:20" s="524" customFormat="1" ht="30" customHeight="1" x14ac:dyDescent="0.45"/>
    <row r="3" spans="1:20" s="524" customFormat="1" ht="30" customHeight="1" x14ac:dyDescent="0.45"/>
    <row r="4" spans="1:20" s="559" customFormat="1" ht="24.95" customHeight="1" x14ac:dyDescent="0.45">
      <c r="A4" s="558"/>
      <c r="B4" s="558"/>
      <c r="C4" s="558"/>
      <c r="D4" s="558"/>
    </row>
    <row r="5" spans="1:20" s="559" customFormat="1" ht="24.95" customHeight="1" x14ac:dyDescent="0.45">
      <c r="A5" s="558"/>
      <c r="B5" s="558"/>
      <c r="C5" s="558"/>
      <c r="D5" s="558"/>
    </row>
    <row r="6" spans="1:20" s="559" customFormat="1" ht="24.95" customHeight="1" x14ac:dyDescent="0.45">
      <c r="A6" s="558"/>
      <c r="B6" s="558"/>
      <c r="C6" s="558"/>
      <c r="D6" s="558"/>
    </row>
    <row r="7" spans="1:20" s="559" customFormat="1" ht="24.95" customHeight="1" x14ac:dyDescent="0.45">
      <c r="A7" s="558"/>
      <c r="B7" s="558"/>
      <c r="C7" s="558"/>
      <c r="D7" s="558"/>
    </row>
    <row r="13" spans="1:20" ht="29.1" customHeight="1" thickBot="1" x14ac:dyDescent="0.3"/>
    <row r="14" spans="1:20" ht="29.1" customHeight="1" x14ac:dyDescent="0.25">
      <c r="N14" s="454" t="s">
        <v>280</v>
      </c>
      <c r="O14" s="455"/>
      <c r="P14" s="455"/>
      <c r="Q14" s="455"/>
      <c r="R14" s="455"/>
      <c r="S14" s="455"/>
      <c r="T14" s="456"/>
    </row>
    <row r="15" spans="1:20" ht="29.1" customHeight="1" x14ac:dyDescent="0.25">
      <c r="N15" s="457"/>
      <c r="O15" s="458"/>
      <c r="P15" s="458"/>
      <c r="Q15" s="458"/>
      <c r="R15" s="458"/>
      <c r="S15" s="458"/>
      <c r="T15" s="459"/>
    </row>
    <row r="16" spans="1:20" ht="29.1" customHeight="1" x14ac:dyDescent="0.25">
      <c r="N16" s="457"/>
      <c r="O16" s="458"/>
      <c r="P16" s="458"/>
      <c r="Q16" s="458"/>
      <c r="R16" s="458"/>
      <c r="S16" s="458"/>
      <c r="T16" s="459"/>
    </row>
    <row r="17" spans="14:20" ht="29.1" customHeight="1" x14ac:dyDescent="0.45">
      <c r="N17" s="17" t="s">
        <v>13</v>
      </c>
      <c r="O17" s="19" t="s">
        <v>13</v>
      </c>
      <c r="P17" s="19" t="s">
        <v>13</v>
      </c>
      <c r="Q17" s="19" t="s">
        <v>13</v>
      </c>
      <c r="R17" s="19" t="s">
        <v>13</v>
      </c>
      <c r="S17" s="12" t="s">
        <v>13</v>
      </c>
      <c r="T17" s="13" t="s">
        <v>13</v>
      </c>
    </row>
    <row r="18" spans="14:20" ht="29.1" customHeight="1" x14ac:dyDescent="0.45">
      <c r="N18" s="17" t="s">
        <v>13</v>
      </c>
      <c r="O18" s="82" t="s">
        <v>3</v>
      </c>
      <c r="P18" s="18"/>
      <c r="Q18" s="19" t="s">
        <v>13</v>
      </c>
      <c r="R18" s="19" t="s">
        <v>13</v>
      </c>
      <c r="S18" s="81"/>
      <c r="T18" s="13" t="s">
        <v>13</v>
      </c>
    </row>
    <row r="19" spans="14:20" ht="29.1" customHeight="1" x14ac:dyDescent="0.45">
      <c r="N19" s="17" t="s">
        <v>13</v>
      </c>
      <c r="O19" s="19" t="s">
        <v>13</v>
      </c>
      <c r="P19" s="19" t="s">
        <v>13</v>
      </c>
      <c r="Q19" s="19" t="s">
        <v>13</v>
      </c>
      <c r="R19" s="19" t="s">
        <v>13</v>
      </c>
      <c r="S19" s="12" t="s">
        <v>13</v>
      </c>
      <c r="T19" s="13" t="s">
        <v>13</v>
      </c>
    </row>
    <row r="20" spans="14:20" ht="29.1" customHeight="1" x14ac:dyDescent="0.45">
      <c r="N20" s="17" t="s">
        <v>13</v>
      </c>
      <c r="O20" s="87" t="s">
        <v>4</v>
      </c>
      <c r="P20" s="18"/>
      <c r="Q20" s="19" t="s">
        <v>13</v>
      </c>
      <c r="R20" s="19" t="s">
        <v>13</v>
      </c>
      <c r="S20" s="81"/>
      <c r="T20" s="13" t="s">
        <v>13</v>
      </c>
    </row>
    <row r="21" spans="14:20" ht="29.1" customHeight="1" x14ac:dyDescent="0.45">
      <c r="N21" s="17" t="s">
        <v>13</v>
      </c>
      <c r="O21" s="88"/>
      <c r="P21" s="19" t="s">
        <v>13</v>
      </c>
      <c r="Q21" s="19" t="s">
        <v>13</v>
      </c>
      <c r="R21" s="19" t="s">
        <v>13</v>
      </c>
      <c r="S21" s="12" t="s">
        <v>13</v>
      </c>
      <c r="T21" s="13" t="s">
        <v>13</v>
      </c>
    </row>
    <row r="22" spans="14:20" ht="29.1" customHeight="1" x14ac:dyDescent="0.45">
      <c r="N22" s="17" t="s">
        <v>13</v>
      </c>
      <c r="O22" s="87" t="s">
        <v>5</v>
      </c>
      <c r="P22" s="19" t="s">
        <v>13</v>
      </c>
      <c r="Q22" s="19" t="s">
        <v>13</v>
      </c>
      <c r="R22" s="19" t="s">
        <v>13</v>
      </c>
      <c r="S22" s="89" t="s">
        <v>13</v>
      </c>
      <c r="T22" s="13" t="s">
        <v>13</v>
      </c>
    </row>
    <row r="23" spans="14:20" ht="29.1" customHeight="1" x14ac:dyDescent="0.45">
      <c r="N23" s="17" t="s">
        <v>13</v>
      </c>
      <c r="O23" s="88"/>
      <c r="P23" s="19" t="s">
        <v>13</v>
      </c>
      <c r="Q23" s="19" t="s">
        <v>13</v>
      </c>
      <c r="R23" s="19" t="s">
        <v>13</v>
      </c>
      <c r="S23" s="12" t="s">
        <v>13</v>
      </c>
      <c r="T23" s="13" t="s">
        <v>13</v>
      </c>
    </row>
    <row r="24" spans="14:20" ht="29.1" customHeight="1" x14ac:dyDescent="0.45">
      <c r="N24" s="17" t="s">
        <v>13</v>
      </c>
      <c r="O24" s="87" t="s">
        <v>6</v>
      </c>
      <c r="P24" s="19" t="s">
        <v>13</v>
      </c>
      <c r="Q24" s="19" t="s">
        <v>13</v>
      </c>
      <c r="R24" s="19" t="s">
        <v>13</v>
      </c>
      <c r="S24" s="89" t="s">
        <v>13</v>
      </c>
      <c r="T24" s="13" t="s">
        <v>13</v>
      </c>
    </row>
    <row r="25" spans="14:20" ht="29.1" customHeight="1" x14ac:dyDescent="0.45">
      <c r="N25" s="17" t="s">
        <v>13</v>
      </c>
      <c r="O25" s="88"/>
      <c r="P25" s="19" t="s">
        <v>13</v>
      </c>
      <c r="Q25" s="19" t="s">
        <v>13</v>
      </c>
      <c r="R25" s="19" t="s">
        <v>13</v>
      </c>
      <c r="S25" s="12" t="s">
        <v>13</v>
      </c>
      <c r="T25" s="13" t="s">
        <v>13</v>
      </c>
    </row>
    <row r="26" spans="14:20" ht="29.1" customHeight="1" x14ac:dyDescent="0.25">
      <c r="N26" s="45"/>
      <c r="O26" s="87" t="s">
        <v>7</v>
      </c>
      <c r="P26" s="56"/>
      <c r="Q26" s="56"/>
      <c r="R26" s="56"/>
      <c r="S26" s="90"/>
      <c r="T26" s="7"/>
    </row>
    <row r="27" spans="14:20" ht="29.1" customHeight="1" x14ac:dyDescent="0.25">
      <c r="N27" s="45"/>
      <c r="O27" s="56"/>
      <c r="P27" s="56"/>
      <c r="Q27" s="56"/>
      <c r="R27" s="56"/>
      <c r="S27" s="56"/>
      <c r="T27" s="7"/>
    </row>
    <row r="28" spans="14:20" ht="29.1" customHeight="1" x14ac:dyDescent="0.25">
      <c r="N28" s="45"/>
      <c r="O28" s="56"/>
      <c r="P28" s="56"/>
      <c r="Q28" s="56"/>
      <c r="R28" s="56"/>
      <c r="S28" s="56"/>
      <c r="T28" s="7"/>
    </row>
    <row r="29" spans="14:20" ht="29.1" customHeight="1" x14ac:dyDescent="0.25">
      <c r="N29" s="45"/>
      <c r="O29" s="56"/>
      <c r="P29" s="56"/>
      <c r="Q29" s="56"/>
      <c r="R29" s="56"/>
      <c r="S29" s="56"/>
      <c r="T29" s="7"/>
    </row>
    <row r="30" spans="14:20" ht="29.1" customHeight="1" x14ac:dyDescent="0.25">
      <c r="N30" s="45"/>
      <c r="O30" s="56"/>
      <c r="P30" s="56"/>
      <c r="Q30" s="56"/>
      <c r="R30" s="56"/>
      <c r="S30" s="56"/>
      <c r="T30" s="7"/>
    </row>
    <row r="31" spans="14:20" ht="29.1" customHeight="1" thickBot="1" x14ac:dyDescent="0.3">
      <c r="N31" s="57"/>
      <c r="O31" s="58"/>
      <c r="P31" s="58"/>
      <c r="Q31" s="58"/>
      <c r="R31" s="58"/>
      <c r="S31" s="58"/>
      <c r="T31" s="59"/>
    </row>
    <row r="33" s="22" customFormat="1" ht="29.1" customHeight="1" x14ac:dyDescent="0.25"/>
    <row r="34" s="22" customFormat="1" ht="29.1" customHeight="1" x14ac:dyDescent="0.25"/>
    <row r="35" s="22" customFormat="1" ht="29.1" customHeight="1" x14ac:dyDescent="0.25"/>
    <row r="36" s="22" customFormat="1" ht="29.1" customHeight="1" x14ac:dyDescent="0.25"/>
    <row r="37" s="22" customFormat="1" ht="29.1" customHeight="1" x14ac:dyDescent="0.25"/>
    <row r="38" s="22" customFormat="1" ht="29.1" customHeight="1" x14ac:dyDescent="0.25"/>
    <row r="39" s="22" customFormat="1" ht="29.1" customHeight="1" x14ac:dyDescent="0.25"/>
    <row r="40" s="22" customFormat="1" ht="29.1" customHeight="1" x14ac:dyDescent="0.25"/>
    <row r="41" s="22" customFormat="1" ht="29.1" customHeight="1" x14ac:dyDescent="0.25"/>
    <row r="42" s="22" customFormat="1" ht="29.1" customHeight="1" x14ac:dyDescent="0.25"/>
    <row r="43" s="22" customFormat="1" ht="29.1" customHeight="1" x14ac:dyDescent="0.25"/>
    <row r="44" s="22" customFormat="1" ht="29.1" customHeight="1" x14ac:dyDescent="0.25"/>
    <row r="45" s="22" customFormat="1" ht="29.1" customHeight="1" x14ac:dyDescent="0.25"/>
    <row r="46" s="22" customFormat="1" ht="29.1" customHeight="1" x14ac:dyDescent="0.25"/>
    <row r="47" s="22" customFormat="1" ht="29.1" customHeight="1" x14ac:dyDescent="0.25"/>
    <row r="48" s="22" customFormat="1" ht="29.1" customHeight="1" x14ac:dyDescent="0.25"/>
    <row r="49" s="22" customFormat="1" ht="29.1" customHeight="1" x14ac:dyDescent="0.25"/>
    <row r="50" s="22" customFormat="1" ht="29.1" customHeight="1" x14ac:dyDescent="0.25"/>
    <row r="51" s="22" customFormat="1" ht="29.1" customHeight="1" x14ac:dyDescent="0.25"/>
    <row r="52" s="22" customFormat="1" ht="29.1" customHeight="1" x14ac:dyDescent="0.25"/>
    <row r="53" s="22" customFormat="1" ht="29.1" customHeight="1" x14ac:dyDescent="0.25"/>
    <row r="54" s="22" customFormat="1" ht="29.1" customHeight="1" x14ac:dyDescent="0.25"/>
    <row r="55" s="22" customFormat="1" ht="29.1" customHeight="1" x14ac:dyDescent="0.25"/>
    <row r="56" s="22" customFormat="1" ht="29.1" customHeight="1" x14ac:dyDescent="0.25"/>
    <row r="57" s="22" customFormat="1" ht="29.1" customHeight="1" x14ac:dyDescent="0.25"/>
    <row r="58" s="22" customFormat="1" ht="29.1" customHeight="1" x14ac:dyDescent="0.25"/>
    <row r="59" s="22" customFormat="1" ht="29.1" customHeight="1" x14ac:dyDescent="0.25"/>
    <row r="60" s="22" customFormat="1" ht="29.1" customHeight="1" x14ac:dyDescent="0.25"/>
    <row r="61" s="22" customFormat="1" ht="29.1" customHeight="1" x14ac:dyDescent="0.25"/>
    <row r="62" s="22" customFormat="1" ht="29.1" customHeight="1" x14ac:dyDescent="0.25"/>
    <row r="63" s="22" customFormat="1" ht="29.1" customHeight="1" x14ac:dyDescent="0.25"/>
    <row r="64" s="22" customFormat="1" ht="29.1" customHeight="1" x14ac:dyDescent="0.25"/>
    <row r="65" s="22" customFormat="1" ht="29.1" customHeight="1" x14ac:dyDescent="0.25"/>
    <row r="66" s="22" customFormat="1" ht="29.1" customHeight="1" x14ac:dyDescent="0.25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99.28515625" bestFit="1" customWidth="1"/>
    <col min="16" max="16" width="11.28515625" customWidth="1"/>
    <col min="17" max="17" width="56.1406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</row>
    <row r="9" spans="1:49" ht="28.9" customHeigh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:49" ht="28.9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</row>
    <row r="11" spans="1:49" ht="28.9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</row>
    <row r="12" spans="1:49" ht="28.9" customHeigh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</row>
    <row r="13" spans="1:49" ht="28.9" customHeight="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</row>
    <row r="14" spans="1:49" ht="28.9" customHeight="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</row>
    <row r="15" spans="1:49" ht="28.9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</row>
    <row r="16" spans="1:49" ht="28.9" customHeight="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</row>
    <row r="17" spans="1:37" ht="28.9" customHeight="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</row>
    <row r="18" spans="1:37" ht="28.9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</row>
    <row r="19" spans="1:37" ht="28.9" customHeight="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</row>
    <row r="20" spans="1:37" ht="28.9" customHeight="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</row>
    <row r="21" spans="1:37" ht="28.9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</row>
    <row r="22" spans="1:37" ht="28.9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</row>
    <row r="23" spans="1:37" ht="28.9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</row>
    <row r="24" spans="1:37" ht="28.9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</row>
    <row r="25" spans="1:37" ht="28.9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</row>
    <row r="26" spans="1:37" ht="28.9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</row>
    <row r="27" spans="1:37" ht="28.9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</row>
    <row r="28" spans="1:37" ht="28.9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</row>
    <row r="29" spans="1:37" ht="28.9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</row>
    <row r="30" spans="1:37" ht="28.9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</row>
    <row r="31" spans="1:37" ht="28.9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</row>
    <row r="32" spans="1:37" ht="28.9" customHeight="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</row>
    <row r="33" spans="1:37" ht="28.9" customHeight="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</row>
    <row r="34" spans="1:37" ht="28.9" customHeight="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</row>
    <row r="35" spans="1:37" ht="28.9" customHeight="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</row>
    <row r="36" spans="1:37" ht="28.9" customHeight="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</row>
    <row r="37" spans="1:37" ht="28.9" customHeight="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</row>
    <row r="38" spans="1:37" ht="28.9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</row>
    <row r="39" spans="1:37" ht="28.9" customHeight="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</row>
    <row r="40" spans="1:37" ht="28.9" customHeight="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</row>
    <row r="41" spans="1:37" ht="28.9" customHeight="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</row>
    <row r="42" spans="1:37" ht="28.9" customHeight="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</row>
    <row r="43" spans="1:37" ht="28.9" customHeight="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</row>
    <row r="44" spans="1:37" ht="28.9" customHeight="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</row>
    <row r="45" spans="1:37" ht="28.9" customHeight="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</row>
    <row r="46" spans="1:37" ht="28.9" customHeight="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</row>
    <row r="47" spans="1:37" ht="28.9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</row>
    <row r="48" spans="1:37" ht="28.9" customHeight="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</row>
    <row r="49" spans="1:37" ht="28.9" customHeight="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</row>
    <row r="50" spans="1:37" ht="28.9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</row>
    <row r="51" spans="1:37" ht="28.9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</row>
    <row r="52" spans="1:37" ht="28.9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</row>
    <row r="53" spans="1:37" ht="28.9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</row>
    <row r="54" spans="1:37" ht="28.9" customHeight="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</row>
    <row r="55" spans="1:37" ht="28.9" customHeight="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</row>
    <row r="56" spans="1:37" ht="28.9" customHeight="1" x14ac:dyDescent="0.25"/>
    <row r="57" spans="1:37" ht="28.9" customHeight="1" x14ac:dyDescent="0.25"/>
    <row r="58" spans="1:37" ht="28.9" customHeight="1" x14ac:dyDescent="0.25"/>
    <row r="59" spans="1:37" ht="28.9" customHeight="1" x14ac:dyDescent="0.25"/>
    <row r="60" spans="1:37" ht="28.9" customHeight="1" x14ac:dyDescent="0.25"/>
    <row r="61" spans="1:37" ht="28.9" customHeight="1" x14ac:dyDescent="0.25"/>
    <row r="62" spans="1:37" ht="28.9" customHeight="1" x14ac:dyDescent="0.25"/>
    <row r="63" spans="1:37" ht="28.9" customHeight="1" x14ac:dyDescent="0.25"/>
    <row r="64" spans="1:37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I17" sqref="I17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99.28515625" bestFit="1" customWidth="1"/>
    <col min="16" max="16" width="11.28515625" customWidth="1"/>
    <col min="17" max="17" width="56.1406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/>
    <row r="13" spans="1:49" ht="28.9" customHeight="1" thickBot="1" x14ac:dyDescent="0.3"/>
    <row r="14" spans="1:49" ht="28.9" customHeight="1" x14ac:dyDescent="0.25">
      <c r="N14" s="454" t="s">
        <v>654</v>
      </c>
      <c r="O14" s="455"/>
      <c r="P14" s="455"/>
      <c r="Q14" s="455"/>
      <c r="R14" s="456"/>
    </row>
    <row r="15" spans="1:49" ht="28.9" customHeight="1" x14ac:dyDescent="0.25">
      <c r="N15" s="457"/>
      <c r="O15" s="458"/>
      <c r="P15" s="458"/>
      <c r="Q15" s="458"/>
      <c r="R15" s="459"/>
    </row>
    <row r="16" spans="1:49" ht="28.9" customHeight="1" x14ac:dyDescent="0.25">
      <c r="N16" s="457"/>
      <c r="O16" s="458"/>
      <c r="P16" s="458"/>
      <c r="Q16" s="458"/>
      <c r="R16" s="459"/>
    </row>
    <row r="17" spans="14:18" ht="28.9" customHeight="1" x14ac:dyDescent="0.45">
      <c r="N17" s="17" t="s">
        <v>13</v>
      </c>
      <c r="O17" s="19" t="s">
        <v>13</v>
      </c>
      <c r="P17" s="19" t="s">
        <v>13</v>
      </c>
      <c r="Q17" s="12" t="s">
        <v>13</v>
      </c>
      <c r="R17" s="13" t="s">
        <v>13</v>
      </c>
    </row>
    <row r="18" spans="14:18" ht="28.9" customHeight="1" x14ac:dyDescent="0.45">
      <c r="N18" s="17" t="s">
        <v>13</v>
      </c>
      <c r="O18" s="82" t="s">
        <v>284</v>
      </c>
      <c r="P18" s="19" t="s">
        <v>13</v>
      </c>
      <c r="Q18" s="91"/>
      <c r="R18" s="13" t="s">
        <v>13</v>
      </c>
    </row>
    <row r="19" spans="14:18" ht="28.9" customHeight="1" x14ac:dyDescent="0.45">
      <c r="N19" s="17" t="s">
        <v>13</v>
      </c>
      <c r="O19" s="19" t="s">
        <v>13</v>
      </c>
      <c r="P19" s="19" t="s">
        <v>13</v>
      </c>
      <c r="Q19" s="12" t="s">
        <v>13</v>
      </c>
      <c r="R19" s="13" t="s">
        <v>13</v>
      </c>
    </row>
    <row r="20" spans="14:18" ht="28.9" customHeight="1" x14ac:dyDescent="0.45">
      <c r="N20" s="17" t="s">
        <v>13</v>
      </c>
      <c r="O20" s="87" t="s">
        <v>285</v>
      </c>
      <c r="P20" s="19" t="s">
        <v>13</v>
      </c>
      <c r="Q20" s="91"/>
      <c r="R20" s="13" t="s">
        <v>13</v>
      </c>
    </row>
    <row r="21" spans="14:18" ht="28.9" customHeight="1" x14ac:dyDescent="0.45">
      <c r="N21" s="17" t="s">
        <v>13</v>
      </c>
      <c r="O21" s="88"/>
      <c r="P21" s="19" t="s">
        <v>13</v>
      </c>
      <c r="Q21" s="12" t="s">
        <v>13</v>
      </c>
      <c r="R21" s="13" t="s">
        <v>13</v>
      </c>
    </row>
    <row r="22" spans="14:18" ht="28.9" customHeight="1" x14ac:dyDescent="0.45">
      <c r="N22" s="17" t="s">
        <v>13</v>
      </c>
      <c r="O22" s="56"/>
      <c r="P22" s="56"/>
      <c r="Q22" s="56"/>
      <c r="R22" s="13" t="s">
        <v>13</v>
      </c>
    </row>
    <row r="23" spans="14:18" ht="28.9" customHeight="1" x14ac:dyDescent="0.45">
      <c r="N23" s="17" t="s">
        <v>13</v>
      </c>
      <c r="O23" s="56"/>
      <c r="P23" s="56"/>
      <c r="Q23" s="56"/>
      <c r="R23" s="13" t="s">
        <v>13</v>
      </c>
    </row>
    <row r="24" spans="14:18" ht="28.9" customHeight="1" x14ac:dyDescent="0.45">
      <c r="N24" s="17" t="s">
        <v>13</v>
      </c>
      <c r="O24" s="56"/>
      <c r="P24" s="56"/>
      <c r="Q24" s="56"/>
      <c r="R24" s="13" t="s">
        <v>13</v>
      </c>
    </row>
    <row r="25" spans="14:18" ht="28.9" customHeight="1" x14ac:dyDescent="0.45">
      <c r="N25" s="17" t="s">
        <v>13</v>
      </c>
      <c r="O25" s="56"/>
      <c r="P25" s="56"/>
      <c r="Q25" s="56"/>
      <c r="R25" s="13" t="s">
        <v>13</v>
      </c>
    </row>
    <row r="26" spans="14:18" ht="28.9" customHeight="1" thickBot="1" x14ac:dyDescent="0.3">
      <c r="N26" s="57"/>
      <c r="O26" s="58"/>
      <c r="P26" s="58"/>
      <c r="Q26" s="58"/>
      <c r="R26" s="59"/>
    </row>
    <row r="27" spans="14:18" ht="28.9" customHeight="1" x14ac:dyDescent="0.25"/>
    <row r="28" spans="14:18" ht="28.9" customHeight="1" thickBot="1" x14ac:dyDescent="0.3"/>
    <row r="29" spans="14:18" ht="28.9" customHeight="1" x14ac:dyDescent="0.25">
      <c r="N29" s="454" t="s">
        <v>651</v>
      </c>
      <c r="O29" s="455"/>
      <c r="P29" s="455"/>
      <c r="Q29" s="455"/>
      <c r="R29" s="456"/>
    </row>
    <row r="30" spans="14:18" ht="28.9" customHeight="1" x14ac:dyDescent="0.25">
      <c r="N30" s="457"/>
      <c r="O30" s="458"/>
      <c r="P30" s="458"/>
      <c r="Q30" s="458"/>
      <c r="R30" s="459"/>
    </row>
    <row r="31" spans="14:18" ht="28.9" customHeight="1" x14ac:dyDescent="0.25">
      <c r="N31" s="457"/>
      <c r="O31" s="458"/>
      <c r="P31" s="458"/>
      <c r="Q31" s="458"/>
      <c r="R31" s="459"/>
    </row>
    <row r="32" spans="14:18" ht="28.9" customHeight="1" x14ac:dyDescent="0.45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9" customHeight="1" x14ac:dyDescent="0.45">
      <c r="N33" s="17" t="s">
        <v>13</v>
      </c>
      <c r="O33" s="82" t="s">
        <v>652</v>
      </c>
      <c r="P33" s="19" t="s">
        <v>13</v>
      </c>
      <c r="Q33" s="91"/>
      <c r="R33" s="13" t="s">
        <v>13</v>
      </c>
    </row>
    <row r="34" spans="14:18" ht="28.9" customHeight="1" x14ac:dyDescent="0.45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9" customHeight="1" x14ac:dyDescent="0.45">
      <c r="N35" s="17" t="s">
        <v>13</v>
      </c>
      <c r="O35" s="87" t="s">
        <v>653</v>
      </c>
      <c r="P35" s="19" t="s">
        <v>13</v>
      </c>
      <c r="Q35" s="91"/>
      <c r="R35" s="13" t="s">
        <v>13</v>
      </c>
    </row>
    <row r="36" spans="14:18" ht="28.9" customHeight="1" x14ac:dyDescent="0.45">
      <c r="N36" s="17" t="s">
        <v>13</v>
      </c>
      <c r="O36" s="88"/>
      <c r="P36" s="19" t="s">
        <v>13</v>
      </c>
      <c r="Q36" s="12" t="s">
        <v>13</v>
      </c>
      <c r="R36" s="13" t="s">
        <v>13</v>
      </c>
    </row>
    <row r="37" spans="14:18" ht="28.9" customHeight="1" x14ac:dyDescent="0.45">
      <c r="N37" s="17" t="s">
        <v>13</v>
      </c>
      <c r="O37" s="56"/>
      <c r="P37" s="56"/>
      <c r="Q37" s="56"/>
      <c r="R37" s="13" t="s">
        <v>13</v>
      </c>
    </row>
    <row r="38" spans="14:18" ht="28.9" customHeight="1" x14ac:dyDescent="0.45">
      <c r="N38" s="17" t="s">
        <v>13</v>
      </c>
      <c r="O38" s="56"/>
      <c r="P38" s="56"/>
      <c r="Q38" s="56"/>
      <c r="R38" s="13" t="s">
        <v>13</v>
      </c>
    </row>
    <row r="39" spans="14:18" ht="28.9" customHeight="1" x14ac:dyDescent="0.45">
      <c r="N39" s="17" t="s">
        <v>13</v>
      </c>
      <c r="O39" s="56"/>
      <c r="P39" s="56"/>
      <c r="Q39" s="56"/>
      <c r="R39" s="13" t="s">
        <v>13</v>
      </c>
    </row>
    <row r="40" spans="14:18" ht="28.9" customHeight="1" x14ac:dyDescent="0.45">
      <c r="N40" s="17" t="s">
        <v>13</v>
      </c>
      <c r="O40" s="56"/>
      <c r="P40" s="56"/>
      <c r="Q40" s="56"/>
      <c r="R40" s="13" t="s">
        <v>13</v>
      </c>
    </row>
    <row r="41" spans="14:18" ht="28.9" customHeight="1" thickBot="1" x14ac:dyDescent="0.3">
      <c r="N41" s="57"/>
      <c r="O41" s="58"/>
      <c r="P41" s="58"/>
      <c r="Q41" s="58"/>
      <c r="R41" s="59"/>
    </row>
    <row r="42" spans="14:18" ht="28.9" customHeight="1" x14ac:dyDescent="0.25"/>
    <row r="43" spans="14:18" ht="28.9" customHeight="1" x14ac:dyDescent="0.25"/>
    <row r="44" spans="14:18" ht="28.9" customHeight="1" x14ac:dyDescent="0.25"/>
    <row r="45" spans="14:18" ht="28.9" customHeight="1" x14ac:dyDescent="0.25"/>
    <row r="46" spans="14:18" ht="28.9" customHeight="1" x14ac:dyDescent="0.25"/>
    <row r="47" spans="14:18" ht="28.9" customHeight="1" x14ac:dyDescent="0.25"/>
    <row r="48" spans="14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>
      <selection activeCell="G15" sqref="G15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9" customWidth="1"/>
    <col min="14" max="14" width="30.71093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thickBot="1" x14ac:dyDescent="0.3"/>
    <row r="13" spans="1:49" ht="28.9" customHeight="1" x14ac:dyDescent="0.25">
      <c r="M13" s="460" t="s">
        <v>286</v>
      </c>
      <c r="N13" s="461"/>
      <c r="O13" s="461"/>
      <c r="P13" s="461"/>
      <c r="Q13" s="462"/>
    </row>
    <row r="14" spans="1:49" ht="28.9" customHeight="1" thickBot="1" x14ac:dyDescent="0.3">
      <c r="M14" s="463"/>
      <c r="N14" s="464"/>
      <c r="O14" s="464"/>
      <c r="P14" s="464"/>
      <c r="Q14" s="465"/>
    </row>
    <row r="15" spans="1:49" ht="28.9" customHeight="1" thickBot="1" x14ac:dyDescent="0.3">
      <c r="M15" s="8"/>
      <c r="N15" s="33"/>
      <c r="O15" s="33"/>
      <c r="P15" s="33"/>
      <c r="Q15" s="34"/>
    </row>
    <row r="16" spans="1:49" ht="28.9" customHeight="1" thickBot="1" x14ac:dyDescent="0.3">
      <c r="M16" s="8"/>
      <c r="N16" s="92" t="s">
        <v>287</v>
      </c>
      <c r="O16" s="33"/>
      <c r="P16" s="31"/>
      <c r="Q16" s="34"/>
    </row>
    <row r="17" spans="13:17" ht="28.9" customHeight="1" thickBot="1" x14ac:dyDescent="0.3">
      <c r="M17" s="8"/>
      <c r="N17" s="92"/>
      <c r="O17" s="33"/>
      <c r="P17" s="33"/>
      <c r="Q17" s="34"/>
    </row>
    <row r="18" spans="13:17" ht="28.9" customHeight="1" thickBot="1" x14ac:dyDescent="0.3">
      <c r="M18" s="8"/>
      <c r="N18" s="92" t="s">
        <v>288</v>
      </c>
      <c r="O18" s="33"/>
      <c r="P18" s="31"/>
      <c r="Q18" s="34"/>
    </row>
    <row r="19" spans="13:17" ht="28.9" customHeight="1" thickBot="1" x14ac:dyDescent="0.3">
      <c r="M19" s="8"/>
      <c r="N19" s="92"/>
      <c r="O19" s="33"/>
      <c r="P19" s="33"/>
      <c r="Q19" s="34"/>
    </row>
    <row r="20" spans="13:17" ht="28.9" customHeight="1" thickBot="1" x14ac:dyDescent="0.3">
      <c r="M20" s="8"/>
      <c r="N20" s="92" t="s">
        <v>289</v>
      </c>
      <c r="O20" s="33"/>
      <c r="P20" s="31"/>
      <c r="Q20" s="34"/>
    </row>
    <row r="21" spans="13:17" ht="28.9" customHeight="1" thickBot="1" x14ac:dyDescent="0.3">
      <c r="M21" s="8"/>
      <c r="N21" s="92"/>
      <c r="O21" s="33"/>
      <c r="P21" s="33"/>
      <c r="Q21" s="34"/>
    </row>
    <row r="22" spans="13:17" ht="28.9" customHeight="1" thickBot="1" x14ac:dyDescent="0.3">
      <c r="M22" s="8"/>
      <c r="N22" s="92" t="s">
        <v>290</v>
      </c>
      <c r="O22" s="33"/>
      <c r="P22" s="31"/>
      <c r="Q22" s="34"/>
    </row>
    <row r="23" spans="13:17" ht="28.9" customHeight="1" thickBot="1" x14ac:dyDescent="0.3">
      <c r="M23" s="8"/>
      <c r="N23" s="92"/>
      <c r="O23" s="33"/>
      <c r="P23" s="33"/>
      <c r="Q23" s="34"/>
    </row>
    <row r="24" spans="13:17" ht="28.9" customHeight="1" thickBot="1" x14ac:dyDescent="0.3">
      <c r="M24" s="8"/>
      <c r="N24" s="92" t="s">
        <v>291</v>
      </c>
      <c r="O24" s="33"/>
      <c r="P24" s="31"/>
      <c r="Q24" s="34"/>
    </row>
    <row r="25" spans="13:17" ht="28.9" customHeight="1" thickBot="1" x14ac:dyDescent="0.3">
      <c r="M25" s="8"/>
      <c r="N25" s="92"/>
      <c r="O25" s="33"/>
      <c r="P25" s="33"/>
      <c r="Q25" s="34"/>
    </row>
    <row r="26" spans="13:17" ht="28.9" customHeight="1" thickBot="1" x14ac:dyDescent="0.3">
      <c r="M26" s="8"/>
      <c r="N26" s="92" t="s">
        <v>292</v>
      </c>
      <c r="O26" s="33"/>
      <c r="P26" s="31"/>
      <c r="Q26" s="34"/>
    </row>
    <row r="27" spans="13:17" ht="28.9" customHeight="1" thickBot="1" x14ac:dyDescent="0.3">
      <c r="M27" s="8"/>
      <c r="N27" s="92"/>
      <c r="O27" s="33"/>
      <c r="P27" s="33"/>
      <c r="Q27" s="34"/>
    </row>
    <row r="28" spans="13:17" ht="28.9" customHeight="1" thickBot="1" x14ac:dyDescent="0.3">
      <c r="M28" s="8"/>
      <c r="N28" s="92" t="s">
        <v>293</v>
      </c>
      <c r="O28" s="33"/>
      <c r="P28" s="31"/>
      <c r="Q28" s="34"/>
    </row>
    <row r="29" spans="13:17" ht="28.9" customHeight="1" thickBot="1" x14ac:dyDescent="0.3">
      <c r="M29" s="8"/>
      <c r="N29" s="92"/>
      <c r="O29" s="33"/>
      <c r="P29" s="33"/>
      <c r="Q29" s="34"/>
    </row>
    <row r="30" spans="13:17" ht="28.9" customHeight="1" thickBot="1" x14ac:dyDescent="0.3">
      <c r="M30" s="8"/>
      <c r="N30" s="92" t="s">
        <v>294</v>
      </c>
      <c r="O30" s="33"/>
      <c r="P30" s="31"/>
      <c r="Q30" s="34"/>
    </row>
    <row r="31" spans="13:17" ht="28.9" customHeight="1" thickBot="1" x14ac:dyDescent="0.3">
      <c r="M31" s="8"/>
      <c r="N31" s="92"/>
      <c r="O31" s="33"/>
      <c r="P31" s="33"/>
      <c r="Q31" s="34"/>
    </row>
    <row r="32" spans="13:17" ht="28.9" customHeight="1" thickBot="1" x14ac:dyDescent="0.3">
      <c r="M32" s="8"/>
      <c r="N32" s="92" t="s">
        <v>295</v>
      </c>
      <c r="O32" s="33"/>
      <c r="P32" s="31"/>
      <c r="Q32" s="34"/>
    </row>
    <row r="33" spans="13:17" ht="28.9" customHeight="1" thickBot="1" x14ac:dyDescent="0.3">
      <c r="M33" s="8"/>
      <c r="N33" s="93"/>
      <c r="O33" s="33"/>
      <c r="P33" s="33"/>
      <c r="Q33" s="34"/>
    </row>
    <row r="34" spans="13:17" ht="28.9" customHeight="1" thickBot="1" x14ac:dyDescent="0.3">
      <c r="M34" s="8"/>
      <c r="N34" s="92" t="s">
        <v>296</v>
      </c>
      <c r="O34" s="33"/>
      <c r="P34" s="31"/>
      <c r="Q34" s="34"/>
    </row>
    <row r="35" spans="13:17" ht="28.9" customHeight="1" thickBot="1" x14ac:dyDescent="0.3">
      <c r="M35" s="8"/>
      <c r="N35" s="93"/>
      <c r="O35" s="33"/>
      <c r="P35" s="33"/>
      <c r="Q35" s="34"/>
    </row>
    <row r="36" spans="13:17" ht="28.9" customHeight="1" thickBot="1" x14ac:dyDescent="0.3">
      <c r="M36" s="8"/>
      <c r="N36" s="92" t="s">
        <v>297</v>
      </c>
      <c r="O36" s="33"/>
      <c r="P36" s="32"/>
      <c r="Q36" s="34"/>
    </row>
    <row r="37" spans="13:17" ht="28.9" customHeight="1" thickBot="1" x14ac:dyDescent="0.3">
      <c r="M37" s="8"/>
      <c r="N37" s="93"/>
      <c r="O37" s="33"/>
      <c r="P37" s="33"/>
      <c r="Q37" s="34"/>
    </row>
    <row r="38" spans="13:17" ht="28.9" customHeight="1" thickBot="1" x14ac:dyDescent="0.35">
      <c r="M38" s="8"/>
      <c r="N38" s="92" t="s">
        <v>298</v>
      </c>
      <c r="O38" s="33"/>
      <c r="P38" s="94" t="s">
        <v>300</v>
      </c>
      <c r="Q38" s="34"/>
    </row>
    <row r="39" spans="13:17" ht="28.9" customHeight="1" thickBot="1" x14ac:dyDescent="0.3">
      <c r="M39" s="8"/>
      <c r="N39" s="93"/>
      <c r="O39" s="33"/>
      <c r="P39" s="33"/>
      <c r="Q39" s="34"/>
    </row>
    <row r="40" spans="13:17" ht="28.9" customHeight="1" thickBot="1" x14ac:dyDescent="0.3">
      <c r="M40" s="8"/>
      <c r="N40" s="92" t="s">
        <v>299</v>
      </c>
      <c r="O40" s="33"/>
      <c r="P40" s="31"/>
      <c r="Q40" s="34"/>
    </row>
    <row r="41" spans="13:17" ht="28.9" customHeight="1" x14ac:dyDescent="0.25">
      <c r="M41" s="8"/>
      <c r="N41" s="33"/>
      <c r="O41" s="33"/>
      <c r="P41" s="33"/>
      <c r="Q41" s="34"/>
    </row>
    <row r="42" spans="13:17" ht="28.9" customHeight="1" x14ac:dyDescent="0.25">
      <c r="M42" s="8"/>
      <c r="N42" s="33"/>
      <c r="O42" s="33"/>
      <c r="P42" s="33"/>
      <c r="Q42" s="34"/>
    </row>
    <row r="43" spans="13:17" ht="28.9" customHeight="1" x14ac:dyDescent="0.25">
      <c r="M43" s="8"/>
      <c r="N43" s="33"/>
      <c r="O43" s="33"/>
      <c r="P43" s="33"/>
      <c r="Q43" s="34"/>
    </row>
    <row r="44" spans="13:17" ht="28.9" customHeight="1" x14ac:dyDescent="0.25">
      <c r="M44" s="8"/>
      <c r="N44" s="33"/>
      <c r="O44" s="33"/>
      <c r="P44" s="33"/>
      <c r="Q44" s="34"/>
    </row>
    <row r="45" spans="13:17" ht="28.9" customHeight="1" x14ac:dyDescent="0.25">
      <c r="M45" s="8"/>
      <c r="N45" s="33"/>
      <c r="O45" s="33"/>
      <c r="P45" s="33"/>
      <c r="Q45" s="34"/>
    </row>
    <row r="46" spans="13:17" ht="28.9" customHeight="1" thickBot="1" x14ac:dyDescent="0.3">
      <c r="M46" s="35"/>
      <c r="N46" s="36"/>
      <c r="O46" s="36"/>
      <c r="P46" s="36"/>
      <c r="Q46" s="37"/>
    </row>
    <row r="47" spans="13:17" ht="28.9" customHeight="1" x14ac:dyDescent="0.25"/>
    <row r="48" spans="13:17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>
      <selection activeCell="N35" sqref="N35"/>
    </sheetView>
  </sheetViews>
  <sheetFormatPr defaultColWidth="8.85546875" defaultRowHeight="15" x14ac:dyDescent="0.25"/>
  <cols>
    <col min="5" max="5" width="72.28515625" bestFit="1" customWidth="1"/>
    <col min="6" max="6" width="11.28515625" customWidth="1"/>
    <col min="7" max="7" width="26" bestFit="1" customWidth="1"/>
    <col min="8" max="8" width="19.42578125" bestFit="1" customWidth="1"/>
    <col min="9" max="9" width="104.28515625" bestFit="1" customWidth="1"/>
    <col min="10" max="10" width="12.7109375" customWidth="1"/>
    <col min="11" max="11" width="4.5703125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thickBot="1" x14ac:dyDescent="0.3"/>
    <row r="10" spans="1:49" ht="28.9" customHeight="1" x14ac:dyDescent="0.25">
      <c r="D10" s="460" t="s">
        <v>301</v>
      </c>
      <c r="E10" s="461"/>
      <c r="F10" s="462"/>
      <c r="H10" s="99"/>
      <c r="I10" s="100"/>
      <c r="J10" s="100"/>
      <c r="K10" s="100"/>
      <c r="L10" s="100"/>
      <c r="M10" s="100"/>
      <c r="N10" s="100"/>
      <c r="O10" s="100"/>
      <c r="P10" s="101"/>
    </row>
    <row r="11" spans="1:49" ht="28.9" customHeight="1" x14ac:dyDescent="0.25">
      <c r="D11" s="466"/>
      <c r="E11" s="467"/>
      <c r="F11" s="468"/>
      <c r="H11" s="102"/>
      <c r="I11" s="96" t="s">
        <v>401</v>
      </c>
      <c r="J11" s="103"/>
      <c r="K11" s="103"/>
      <c r="L11" s="103"/>
      <c r="M11" s="103"/>
      <c r="N11" s="104" t="s">
        <v>306</v>
      </c>
      <c r="O11" s="103"/>
      <c r="P11" s="105"/>
    </row>
    <row r="12" spans="1:49" ht="28.9" customHeight="1" x14ac:dyDescent="0.4">
      <c r="D12" s="466"/>
      <c r="E12" s="467"/>
      <c r="F12" s="468"/>
      <c r="H12" s="102"/>
      <c r="I12" s="106" t="s">
        <v>307</v>
      </c>
      <c r="J12" s="103"/>
      <c r="K12" s="103"/>
      <c r="L12" s="103"/>
      <c r="M12" s="103"/>
      <c r="N12" s="98" t="s">
        <v>308</v>
      </c>
      <c r="O12" s="103"/>
      <c r="P12" s="105"/>
    </row>
    <row r="13" spans="1:49" ht="28.9" customHeight="1" x14ac:dyDescent="0.3">
      <c r="D13" s="49"/>
      <c r="E13" s="50"/>
      <c r="F13" s="51"/>
      <c r="H13" s="102"/>
      <c r="I13" s="106" t="s">
        <v>309</v>
      </c>
      <c r="J13" s="103"/>
      <c r="K13" s="103"/>
      <c r="L13" s="103"/>
      <c r="M13" s="103"/>
      <c r="N13" s="107"/>
      <c r="O13" s="103"/>
      <c r="P13" s="105"/>
    </row>
    <row r="14" spans="1:49" ht="28.9" customHeight="1" x14ac:dyDescent="0.25">
      <c r="D14" s="52"/>
      <c r="E14" s="95" t="s">
        <v>302</v>
      </c>
      <c r="F14" s="53"/>
      <c r="H14" s="108"/>
      <c r="I14" s="109"/>
      <c r="J14" s="109"/>
      <c r="K14" s="109"/>
      <c r="L14" s="109"/>
      <c r="M14" s="109"/>
      <c r="N14" s="109"/>
      <c r="O14" s="109"/>
      <c r="P14" s="110"/>
    </row>
    <row r="15" spans="1:49" ht="28.9" customHeight="1" thickBot="1" x14ac:dyDescent="0.3">
      <c r="D15" s="54"/>
      <c r="E15" s="55"/>
      <c r="F15" s="53"/>
      <c r="H15" s="111"/>
      <c r="I15" s="112"/>
      <c r="J15" s="112"/>
      <c r="K15" s="112"/>
      <c r="L15" s="112"/>
      <c r="M15" s="112"/>
      <c r="N15" s="112"/>
      <c r="O15" s="112"/>
      <c r="P15" s="113"/>
    </row>
    <row r="16" spans="1:49" ht="28.9" customHeight="1" thickBot="1" x14ac:dyDescent="0.45">
      <c r="D16" s="48"/>
      <c r="E16" s="27"/>
      <c r="F16" s="7"/>
      <c r="H16" s="114"/>
      <c r="I16" s="137" t="s">
        <v>310</v>
      </c>
      <c r="J16" s="115"/>
      <c r="K16" s="115"/>
      <c r="L16" s="115"/>
      <c r="M16" s="115"/>
      <c r="N16" s="97" t="s">
        <v>311</v>
      </c>
      <c r="O16" s="115"/>
      <c r="P16" s="116"/>
    </row>
    <row r="17" spans="4:16" ht="28.9" customHeight="1" x14ac:dyDescent="0.25">
      <c r="D17" s="48"/>
      <c r="E17" s="47"/>
      <c r="F17" s="7"/>
      <c r="H17" s="114"/>
      <c r="I17" s="117"/>
      <c r="J17" s="115"/>
      <c r="K17" s="115"/>
      <c r="L17" s="115"/>
      <c r="M17" s="115"/>
      <c r="N17" s="117"/>
      <c r="O17" s="115"/>
      <c r="P17" s="116"/>
    </row>
    <row r="18" spans="4:16" ht="28.9" customHeight="1" x14ac:dyDescent="0.25">
      <c r="D18" s="45"/>
      <c r="E18" s="95" t="s">
        <v>303</v>
      </c>
      <c r="F18" s="7"/>
      <c r="H18" s="114"/>
      <c r="I18" s="118"/>
      <c r="J18" s="118"/>
      <c r="K18" s="118"/>
      <c r="L18" s="118"/>
      <c r="M18" s="118"/>
      <c r="N18" s="118"/>
      <c r="O18" s="118"/>
      <c r="P18" s="119"/>
    </row>
    <row r="19" spans="4:16" ht="28.9" customHeight="1" thickBot="1" x14ac:dyDescent="0.45">
      <c r="D19" s="45"/>
      <c r="E19" s="47"/>
      <c r="F19" s="7"/>
      <c r="H19" s="120"/>
      <c r="I19" s="138" t="s">
        <v>312</v>
      </c>
      <c r="J19" s="121"/>
      <c r="K19" s="121"/>
      <c r="L19" s="141" t="s">
        <v>313</v>
      </c>
      <c r="M19" s="141" t="s">
        <v>314</v>
      </c>
      <c r="N19" s="122"/>
      <c r="O19" s="138" t="s">
        <v>315</v>
      </c>
      <c r="P19" s="122"/>
    </row>
    <row r="20" spans="4:16" ht="28.9" customHeight="1" thickBot="1" x14ac:dyDescent="0.3">
      <c r="D20" s="45"/>
      <c r="E20" s="28"/>
      <c r="F20" s="7"/>
      <c r="H20" s="123"/>
      <c r="I20" s="139" t="s">
        <v>316</v>
      </c>
      <c r="J20" s="121"/>
      <c r="K20" s="121"/>
      <c r="L20" s="124"/>
      <c r="M20" s="124"/>
      <c r="N20" s="122"/>
      <c r="O20" s="121"/>
      <c r="P20" s="122"/>
    </row>
    <row r="21" spans="4:16" ht="28.9" customHeight="1" x14ac:dyDescent="0.25">
      <c r="D21" s="45"/>
      <c r="E21" s="47"/>
      <c r="F21" s="7"/>
      <c r="H21" s="123"/>
      <c r="I21" s="140" t="s">
        <v>317</v>
      </c>
      <c r="J21" s="125"/>
      <c r="K21" s="125"/>
      <c r="L21" s="123"/>
      <c r="M21" s="123"/>
      <c r="N21" s="126"/>
      <c r="O21" s="125"/>
      <c r="P21" s="126"/>
    </row>
    <row r="22" spans="4:16" ht="28.9" customHeight="1" x14ac:dyDescent="0.25">
      <c r="D22" s="45"/>
      <c r="E22" s="95" t="s">
        <v>304</v>
      </c>
      <c r="F22" s="41"/>
      <c r="H22" s="123"/>
      <c r="I22" s="139" t="s">
        <v>318</v>
      </c>
      <c r="J22" s="121"/>
      <c r="K22" s="121"/>
      <c r="L22" s="124"/>
      <c r="M22" s="124"/>
      <c r="N22" s="122"/>
      <c r="O22" s="121"/>
      <c r="P22" s="122"/>
    </row>
    <row r="23" spans="4:16" ht="28.9" customHeight="1" thickBot="1" x14ac:dyDescent="0.3">
      <c r="D23" s="45"/>
      <c r="E23" s="46"/>
      <c r="F23" s="41"/>
      <c r="H23" s="123"/>
      <c r="I23" s="140" t="s">
        <v>319</v>
      </c>
      <c r="J23" s="125"/>
      <c r="K23" s="125"/>
      <c r="L23" s="123"/>
      <c r="M23" s="123"/>
      <c r="N23" s="126"/>
      <c r="O23" s="125"/>
      <c r="P23" s="126"/>
    </row>
    <row r="24" spans="4:16" ht="28.9" customHeight="1" thickBot="1" x14ac:dyDescent="0.3">
      <c r="D24" s="45"/>
      <c r="E24" s="38"/>
      <c r="F24" s="41"/>
      <c r="H24" s="123"/>
      <c r="I24" s="139" t="s">
        <v>320</v>
      </c>
      <c r="J24" s="121"/>
      <c r="K24" s="121"/>
      <c r="L24" s="124"/>
      <c r="M24" s="124"/>
      <c r="N24" s="122"/>
      <c r="O24" s="121"/>
      <c r="P24" s="122"/>
    </row>
    <row r="25" spans="4:16" ht="28.9" customHeight="1" x14ac:dyDescent="0.25">
      <c r="D25" s="45"/>
      <c r="E25" s="46"/>
      <c r="F25" s="41"/>
      <c r="H25" s="127"/>
      <c r="I25" s="127"/>
      <c r="J25" s="128"/>
      <c r="K25" s="128"/>
      <c r="L25" s="127"/>
      <c r="M25" s="127"/>
      <c r="N25" s="129"/>
      <c r="O25" s="128"/>
      <c r="P25" s="129"/>
    </row>
    <row r="26" spans="4:16" ht="28.9" customHeight="1" x14ac:dyDescent="0.4">
      <c r="D26" s="45"/>
      <c r="E26" s="95" t="s">
        <v>305</v>
      </c>
      <c r="F26" s="41"/>
      <c r="H26" s="123"/>
      <c r="I26" s="142" t="s">
        <v>321</v>
      </c>
      <c r="J26" s="125"/>
      <c r="K26" s="125"/>
      <c r="L26" s="125"/>
      <c r="M26" s="142" t="s">
        <v>322</v>
      </c>
      <c r="N26" s="126"/>
      <c r="O26" s="145" t="s">
        <v>323</v>
      </c>
      <c r="P26" s="126"/>
    </row>
    <row r="27" spans="4:16" ht="28.9" customHeight="1" thickBot="1" x14ac:dyDescent="0.3">
      <c r="D27" s="45"/>
      <c r="E27" s="46"/>
      <c r="F27" s="41"/>
      <c r="H27" s="123"/>
      <c r="I27" s="123"/>
      <c r="J27" s="125"/>
      <c r="K27" s="125"/>
      <c r="L27" s="125"/>
      <c r="M27" s="123"/>
      <c r="N27" s="126"/>
      <c r="O27" s="125"/>
      <c r="P27" s="126"/>
    </row>
    <row r="28" spans="4:16" ht="28.9" customHeight="1" thickBot="1" x14ac:dyDescent="0.3">
      <c r="D28" s="45"/>
      <c r="E28" s="38"/>
      <c r="F28" s="41"/>
      <c r="H28" s="123"/>
      <c r="I28" s="123"/>
      <c r="J28" s="125"/>
      <c r="K28" s="125"/>
      <c r="L28" s="125"/>
      <c r="M28" s="123"/>
      <c r="N28" s="126"/>
      <c r="O28" s="125"/>
      <c r="P28" s="126"/>
    </row>
    <row r="29" spans="4:16" ht="28.9" customHeight="1" x14ac:dyDescent="0.25">
      <c r="D29" s="39"/>
      <c r="E29" s="40"/>
      <c r="F29" s="41"/>
      <c r="H29" s="123"/>
      <c r="I29" s="123"/>
      <c r="J29" s="125"/>
      <c r="K29" s="125"/>
      <c r="L29" s="125"/>
      <c r="M29" s="123"/>
      <c r="N29" s="126"/>
      <c r="O29" s="125"/>
      <c r="P29" s="126"/>
    </row>
    <row r="30" spans="4:16" ht="28.9" customHeight="1" x14ac:dyDescent="0.25">
      <c r="D30" s="39"/>
      <c r="E30" s="40"/>
      <c r="F30" s="41"/>
      <c r="H30" s="123"/>
      <c r="I30" s="127"/>
      <c r="J30" s="128"/>
      <c r="K30" s="128"/>
      <c r="L30" s="128"/>
      <c r="M30" s="123"/>
      <c r="N30" s="126"/>
      <c r="O30" s="125"/>
      <c r="P30" s="126"/>
    </row>
    <row r="31" spans="4:16" ht="28.9" customHeight="1" x14ac:dyDescent="0.25">
      <c r="D31" s="39"/>
      <c r="E31" s="40"/>
      <c r="F31" s="41"/>
      <c r="H31" s="111"/>
      <c r="I31" s="112"/>
      <c r="J31" s="112"/>
      <c r="K31" s="112"/>
      <c r="L31" s="112"/>
      <c r="M31" s="112"/>
      <c r="N31" s="112"/>
      <c r="O31" s="112"/>
      <c r="P31" s="113"/>
    </row>
    <row r="32" spans="4:16" ht="28.9" customHeight="1" x14ac:dyDescent="0.3">
      <c r="D32" s="39"/>
      <c r="E32" s="40"/>
      <c r="F32" s="41"/>
      <c r="H32" s="114"/>
      <c r="I32" s="146" t="s">
        <v>316</v>
      </c>
      <c r="J32" s="130"/>
      <c r="K32" s="131"/>
      <c r="L32" s="131"/>
      <c r="M32" s="131"/>
      <c r="N32" s="131"/>
      <c r="O32" s="132"/>
      <c r="P32" s="116"/>
    </row>
    <row r="33" spans="1:16" ht="28.9" customHeight="1" x14ac:dyDescent="0.3">
      <c r="D33" s="39"/>
      <c r="E33" s="40"/>
      <c r="F33" s="41"/>
      <c r="H33" s="114"/>
      <c r="I33" s="146" t="s">
        <v>324</v>
      </c>
      <c r="J33" s="130"/>
      <c r="K33" s="131"/>
      <c r="L33" s="131"/>
      <c r="M33" s="131"/>
      <c r="N33" s="131"/>
      <c r="O33" s="132"/>
      <c r="P33" s="116"/>
    </row>
    <row r="34" spans="1:16" ht="28.9" customHeight="1" thickBot="1" x14ac:dyDescent="0.35">
      <c r="D34" s="42"/>
      <c r="E34" s="43"/>
      <c r="F34" s="44"/>
      <c r="H34" s="114"/>
      <c r="I34" s="146" t="s">
        <v>325</v>
      </c>
      <c r="J34" s="130"/>
      <c r="K34" s="131"/>
      <c r="L34" s="131"/>
      <c r="M34" s="131"/>
      <c r="N34" s="131"/>
      <c r="O34" s="132"/>
      <c r="P34" s="116"/>
    </row>
    <row r="35" spans="1:16" ht="28.9" customHeight="1" x14ac:dyDescent="0.3">
      <c r="H35" s="114"/>
      <c r="I35" s="146" t="s">
        <v>326</v>
      </c>
      <c r="J35" s="130"/>
      <c r="K35" s="131"/>
      <c r="L35" s="131"/>
      <c r="M35" s="131"/>
      <c r="N35" s="131"/>
      <c r="O35" s="132"/>
      <c r="P35" s="116"/>
    </row>
    <row r="36" spans="1:16" ht="28.9" customHeight="1" x14ac:dyDescent="0.25">
      <c r="H36" s="133"/>
      <c r="I36" s="118"/>
      <c r="J36" s="118"/>
      <c r="K36" s="118"/>
      <c r="L36" s="118"/>
      <c r="M36" s="118"/>
      <c r="N36" s="118"/>
      <c r="O36" s="118"/>
      <c r="P36" s="119"/>
    </row>
    <row r="37" spans="1:16" ht="28.9" customHeight="1" x14ac:dyDescent="0.25">
      <c r="H37" s="134"/>
      <c r="I37" s="135"/>
      <c r="J37" s="135"/>
      <c r="K37" s="135"/>
      <c r="L37" s="135"/>
      <c r="M37" s="135"/>
      <c r="N37" s="135"/>
      <c r="O37" s="135"/>
      <c r="P37" s="136"/>
    </row>
    <row r="38" spans="1:16" ht="28.9" customHeight="1" x14ac:dyDescent="0.35">
      <c r="H38" s="123"/>
      <c r="I38" s="144" t="s">
        <v>327</v>
      </c>
      <c r="J38" s="125"/>
      <c r="K38" s="125"/>
      <c r="L38" s="125"/>
      <c r="M38" s="125"/>
      <c r="N38" s="125"/>
      <c r="O38" s="125"/>
      <c r="P38" s="126"/>
    </row>
    <row r="39" spans="1:16" ht="28.9" customHeight="1" x14ac:dyDescent="0.25">
      <c r="H39" s="123"/>
      <c r="I39" s="125"/>
      <c r="J39" s="125"/>
      <c r="K39" s="125"/>
      <c r="L39" s="125"/>
      <c r="M39" s="125"/>
      <c r="N39" s="125"/>
      <c r="O39" s="125"/>
      <c r="P39" s="126"/>
    </row>
    <row r="40" spans="1:16" ht="28.9" customHeight="1" x14ac:dyDescent="0.25">
      <c r="H40" s="123"/>
      <c r="I40" s="128"/>
      <c r="J40" s="128"/>
      <c r="K40" s="128"/>
      <c r="L40" s="125"/>
      <c r="M40" s="128"/>
      <c r="N40" s="128"/>
      <c r="O40" s="128"/>
      <c r="P40" s="126"/>
    </row>
    <row r="41" spans="1:16" ht="28.9" customHeight="1" x14ac:dyDescent="0.3">
      <c r="H41" s="123"/>
      <c r="I41" s="143" t="s">
        <v>328</v>
      </c>
      <c r="J41" s="125"/>
      <c r="K41" s="125"/>
      <c r="L41" s="125"/>
      <c r="M41" s="147" t="s">
        <v>329</v>
      </c>
      <c r="N41" s="125"/>
      <c r="O41" s="125"/>
      <c r="P41" s="126"/>
    </row>
    <row r="42" spans="1:16" ht="28.9" customHeight="1" x14ac:dyDescent="0.25">
      <c r="H42" s="127"/>
      <c r="I42" s="128"/>
      <c r="J42" s="128"/>
      <c r="K42" s="128"/>
      <c r="L42" s="128"/>
      <c r="M42" s="128"/>
      <c r="N42" s="128"/>
      <c r="O42" s="128"/>
      <c r="P42" s="129"/>
    </row>
    <row r="43" spans="1:16" ht="28.9" customHeight="1" x14ac:dyDescent="0.25"/>
    <row r="44" spans="1:16" ht="28.9" customHeight="1" x14ac:dyDescent="0.25"/>
    <row r="45" spans="1:16" ht="28.9" customHeight="1" x14ac:dyDescent="0.25"/>
    <row r="46" spans="1:16" ht="28.9" customHeight="1" x14ac:dyDescent="0.25"/>
    <row r="47" spans="1:16" ht="28.9" customHeight="1" x14ac:dyDescent="0.25"/>
    <row r="48" spans="1:16" ht="28.9" customHeight="1" x14ac:dyDescent="0.25">
      <c r="A48" t="s">
        <v>402</v>
      </c>
    </row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G16" sqref="G16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thickBot="1" x14ac:dyDescent="0.3"/>
    <row r="10" spans="1:49" ht="28.9" customHeight="1" x14ac:dyDescent="0.35">
      <c r="E10" s="150" t="s">
        <v>330</v>
      </c>
      <c r="F10" s="151" t="s">
        <v>297</v>
      </c>
      <c r="H10" s="469" t="s">
        <v>351</v>
      </c>
      <c r="I10" s="470"/>
      <c r="J10" s="470"/>
      <c r="K10" s="471"/>
    </row>
    <row r="11" spans="1:49" ht="28.9" customHeight="1" x14ac:dyDescent="0.25">
      <c r="E11" s="148" t="s">
        <v>331</v>
      </c>
      <c r="F11" s="152">
        <v>5000</v>
      </c>
      <c r="H11" s="472" t="s">
        <v>352</v>
      </c>
      <c r="I11" s="473"/>
      <c r="J11" s="154" t="s">
        <v>353</v>
      </c>
      <c r="K11" s="155" t="s">
        <v>354</v>
      </c>
    </row>
    <row r="12" spans="1:49" ht="28.9" customHeight="1" x14ac:dyDescent="0.3">
      <c r="E12" s="148" t="s">
        <v>332</v>
      </c>
      <c r="F12" s="152">
        <v>3000</v>
      </c>
      <c r="H12" s="157" t="s">
        <v>355</v>
      </c>
      <c r="I12" s="156">
        <v>2259.1999999999998</v>
      </c>
      <c r="J12" s="158">
        <v>0</v>
      </c>
      <c r="K12" s="159">
        <v>0</v>
      </c>
    </row>
    <row r="13" spans="1:49" ht="28.9" customHeight="1" x14ac:dyDescent="0.3">
      <c r="E13" s="148" t="s">
        <v>333</v>
      </c>
      <c r="F13" s="152">
        <v>2000</v>
      </c>
      <c r="H13" s="160">
        <f>I12</f>
        <v>2259.1999999999998</v>
      </c>
      <c r="I13" s="156">
        <v>2826.65</v>
      </c>
      <c r="J13" s="161">
        <v>7.4999999999999997E-2</v>
      </c>
      <c r="K13" s="159">
        <v>164.44</v>
      </c>
    </row>
    <row r="14" spans="1:49" ht="28.9" customHeight="1" x14ac:dyDescent="0.3">
      <c r="E14" s="148" t="s">
        <v>334</v>
      </c>
      <c r="F14" s="152">
        <v>5000</v>
      </c>
      <c r="H14" s="160">
        <f>I13</f>
        <v>2826.65</v>
      </c>
      <c r="I14" s="156">
        <v>3751.05</v>
      </c>
      <c r="J14" s="161">
        <v>0.15</v>
      </c>
      <c r="K14" s="159">
        <v>381.44</v>
      </c>
    </row>
    <row r="15" spans="1:49" ht="28.9" customHeight="1" x14ac:dyDescent="0.3">
      <c r="E15" s="148" t="s">
        <v>335</v>
      </c>
      <c r="F15" s="152">
        <v>3000</v>
      </c>
      <c r="H15" s="160">
        <f>I14</f>
        <v>3751.05</v>
      </c>
      <c r="I15" s="156">
        <v>4664.68</v>
      </c>
      <c r="J15" s="161">
        <v>0.22500000000000001</v>
      </c>
      <c r="K15" s="159">
        <v>662.77</v>
      </c>
    </row>
    <row r="16" spans="1:49" ht="28.9" customHeight="1" thickBot="1" x14ac:dyDescent="0.35">
      <c r="E16" s="148" t="s">
        <v>336</v>
      </c>
      <c r="F16" s="152">
        <v>2000</v>
      </c>
      <c r="H16" s="162" t="s">
        <v>356</v>
      </c>
      <c r="I16" s="163">
        <f>I15</f>
        <v>4664.68</v>
      </c>
      <c r="J16" s="164">
        <v>0.27500000000000002</v>
      </c>
      <c r="K16" s="165">
        <v>896</v>
      </c>
    </row>
    <row r="17" spans="5:11" ht="28.9" customHeight="1" thickBot="1" x14ac:dyDescent="0.3">
      <c r="E17" s="148" t="s">
        <v>337</v>
      </c>
      <c r="F17" s="152">
        <v>5000</v>
      </c>
    </row>
    <row r="18" spans="5:11" ht="28.9" customHeight="1" x14ac:dyDescent="0.25">
      <c r="E18" s="148" t="s">
        <v>338</v>
      </c>
      <c r="F18" s="152">
        <v>3000</v>
      </c>
      <c r="H18" s="469" t="s">
        <v>315</v>
      </c>
      <c r="I18" s="470"/>
      <c r="J18" s="470"/>
      <c r="K18" s="471"/>
    </row>
    <row r="19" spans="5:11" ht="28.9" customHeight="1" x14ac:dyDescent="0.25">
      <c r="E19" s="148" t="s">
        <v>14</v>
      </c>
      <c r="F19" s="152">
        <v>5000</v>
      </c>
      <c r="H19" s="148" t="s">
        <v>319</v>
      </c>
      <c r="I19" s="158">
        <v>0.11</v>
      </c>
      <c r="J19" s="166" t="s">
        <v>319</v>
      </c>
      <c r="K19" s="167">
        <v>0.11</v>
      </c>
    </row>
    <row r="20" spans="5:11" ht="28.9" customHeight="1" x14ac:dyDescent="0.25">
      <c r="E20" s="148" t="s">
        <v>339</v>
      </c>
      <c r="F20" s="152">
        <v>3000</v>
      </c>
      <c r="H20" s="148" t="s">
        <v>357</v>
      </c>
      <c r="I20" s="166" t="s">
        <v>358</v>
      </c>
      <c r="J20" s="166" t="s">
        <v>357</v>
      </c>
      <c r="K20" s="168" t="s">
        <v>358</v>
      </c>
    </row>
    <row r="21" spans="5:11" ht="28.9" customHeight="1" thickBot="1" x14ac:dyDescent="0.3">
      <c r="E21" s="148" t="s">
        <v>340</v>
      </c>
      <c r="F21" s="152">
        <v>2000</v>
      </c>
      <c r="H21" s="149" t="s">
        <v>359</v>
      </c>
      <c r="I21" s="164">
        <v>1.4999999999999999E-2</v>
      </c>
      <c r="J21" s="169" t="s">
        <v>359</v>
      </c>
      <c r="K21" s="170">
        <v>1.4999999999999999E-2</v>
      </c>
    </row>
    <row r="22" spans="5:11" ht="28.9" customHeight="1" thickBot="1" x14ac:dyDescent="0.3">
      <c r="E22" s="148" t="s">
        <v>341</v>
      </c>
      <c r="F22" s="152">
        <v>5000</v>
      </c>
    </row>
    <row r="23" spans="5:11" ht="28.9" customHeight="1" x14ac:dyDescent="0.35">
      <c r="E23" s="148" t="s">
        <v>342</v>
      </c>
      <c r="F23" s="152">
        <v>3000</v>
      </c>
      <c r="H23" s="171" t="s">
        <v>360</v>
      </c>
    </row>
    <row r="24" spans="5:11" ht="28.9" customHeight="1" thickBot="1" x14ac:dyDescent="0.35">
      <c r="E24" s="148" t="s">
        <v>343</v>
      </c>
      <c r="F24" s="152">
        <v>2000</v>
      </c>
      <c r="H24" s="172">
        <v>0.08</v>
      </c>
    </row>
    <row r="25" spans="5:11" ht="28.9" customHeight="1" x14ac:dyDescent="0.25">
      <c r="E25" s="148" t="s">
        <v>344</v>
      </c>
      <c r="F25" s="152">
        <v>5000</v>
      </c>
    </row>
    <row r="26" spans="5:11" ht="28.9" customHeight="1" x14ac:dyDescent="0.25">
      <c r="E26" s="148" t="s">
        <v>345</v>
      </c>
      <c r="F26" s="152">
        <v>4000</v>
      </c>
    </row>
    <row r="27" spans="5:11" ht="28.9" customHeight="1" x14ac:dyDescent="0.25">
      <c r="E27" s="148" t="s">
        <v>346</v>
      </c>
      <c r="F27" s="152">
        <v>3000</v>
      </c>
    </row>
    <row r="28" spans="5:11" ht="28.9" customHeight="1" x14ac:dyDescent="0.25">
      <c r="E28" s="148" t="s">
        <v>347</v>
      </c>
      <c r="F28" s="152">
        <v>2000</v>
      </c>
    </row>
    <row r="29" spans="5:11" ht="28.9" customHeight="1" x14ac:dyDescent="0.25">
      <c r="E29" s="148" t="s">
        <v>348</v>
      </c>
      <c r="F29" s="152">
        <v>5000</v>
      </c>
    </row>
    <row r="30" spans="5:11" ht="28.9" customHeight="1" x14ac:dyDescent="0.25">
      <c r="E30" s="148" t="s">
        <v>349</v>
      </c>
      <c r="F30" s="152">
        <v>3000</v>
      </c>
    </row>
    <row r="31" spans="5:11" ht="28.9" customHeight="1" thickBot="1" x14ac:dyDescent="0.3">
      <c r="E31" s="149" t="s">
        <v>350</v>
      </c>
      <c r="F31" s="153">
        <v>2000</v>
      </c>
    </row>
    <row r="32" spans="5:11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49" ht="28.9" customHeigh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49" ht="28.9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49" ht="28.9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49" ht="28.9" customHeigh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49" ht="28.9" customHeight="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49" ht="28.9" customHeight="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49" ht="28.9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49" ht="28.9" customHeight="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ht="28.9" customHeight="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ht="28.9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ht="28.9" customHeight="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ht="28.9" customHeight="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ht="28.9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ht="28.9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ht="28.9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ht="28.9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ht="28.9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6" spans="1:22" ht="28.9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</row>
    <row r="27" spans="1:22" ht="28.9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</row>
    <row r="28" spans="1:22" ht="28.9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</row>
    <row r="29" spans="1:22" ht="28.9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</row>
    <row r="30" spans="1:22" ht="28.9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</row>
    <row r="31" spans="1:22" ht="28.9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</row>
    <row r="32" spans="1:22" ht="28.9" customHeight="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</row>
    <row r="33" spans="1:22" ht="28.9" customHeight="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4" spans="1:22" ht="28.9" customHeight="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</row>
    <row r="35" spans="1:22" ht="28.9" customHeight="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6" spans="1:22" ht="28.9" customHeight="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</row>
    <row r="37" spans="1:22" ht="28.9" customHeight="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</row>
    <row r="38" spans="1:22" ht="28.9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</row>
    <row r="39" spans="1:22" ht="28.9" customHeight="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</row>
    <row r="40" spans="1:22" ht="28.9" customHeight="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</row>
    <row r="41" spans="1:22" ht="28.9" customHeight="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</row>
    <row r="42" spans="1:22" ht="28.9" customHeight="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</row>
    <row r="43" spans="1:22" ht="28.9" customHeight="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</row>
    <row r="44" spans="1:22" ht="28.9" customHeight="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</row>
    <row r="45" spans="1:22" ht="28.9" customHeight="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</row>
    <row r="46" spans="1:22" ht="28.9" customHeight="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</row>
    <row r="47" spans="1:22" ht="28.9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</row>
    <row r="48" spans="1:22" ht="28.9" customHeight="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</row>
    <row r="49" spans="1:22" ht="28.9" customHeight="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</row>
    <row r="50" spans="1:22" ht="28.9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</row>
    <row r="51" spans="1:22" ht="28.9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</row>
    <row r="52" spans="1:22" ht="28.9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</row>
    <row r="53" spans="1:22" ht="28.9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</row>
    <row r="54" spans="1:22" ht="28.9" customHeight="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</row>
    <row r="55" spans="1:22" ht="28.9" customHeight="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</row>
    <row r="56" spans="1:22" ht="28.9" customHeight="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</row>
    <row r="57" spans="1:22" ht="28.9" customHeigh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</row>
    <row r="58" spans="1:22" ht="28.9" customHeight="1" x14ac:dyDescent="0.25"/>
    <row r="59" spans="1:22" ht="28.9" customHeight="1" x14ac:dyDescent="0.25"/>
    <row r="60" spans="1:22" ht="28.9" customHeight="1" x14ac:dyDescent="0.25"/>
    <row r="61" spans="1:22" ht="28.9" customHeight="1" x14ac:dyDescent="0.25"/>
    <row r="62" spans="1:22" ht="28.9" customHeight="1" x14ac:dyDescent="0.25"/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D2C6-E902-402F-9110-FAAF3CE33041}">
  <sheetPr codeName="Planilha41">
    <tabColor rgb="FF7030A0"/>
  </sheetPr>
  <dimension ref="A1:AW66"/>
  <sheetViews>
    <sheetView zoomScale="40" zoomScaleNormal="40" workbookViewId="0">
      <selection activeCell="E2" sqref="E2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0" t="s">
        <v>404</v>
      </c>
      <c r="I12" s="461"/>
      <c r="J12" s="461"/>
      <c r="K12" s="461"/>
      <c r="L12" s="462"/>
    </row>
    <row r="13" spans="1:49" ht="28.9" customHeight="1" thickBot="1" x14ac:dyDescent="0.3">
      <c r="H13" s="463"/>
      <c r="I13" s="464"/>
      <c r="J13" s="464"/>
      <c r="K13" s="464"/>
      <c r="L13" s="465"/>
    </row>
    <row r="14" spans="1:49" ht="28.9" customHeight="1" thickBot="1" x14ac:dyDescent="0.3">
      <c r="H14" s="8"/>
      <c r="I14" s="33"/>
      <c r="J14" s="33"/>
      <c r="K14" s="33"/>
      <c r="L14" s="34"/>
    </row>
    <row r="15" spans="1:49" ht="28.9" customHeight="1" thickBot="1" x14ac:dyDescent="0.35">
      <c r="H15" s="8"/>
      <c r="I15" s="92" t="s">
        <v>362</v>
      </c>
      <c r="J15" s="322"/>
      <c r="K15" s="323"/>
      <c r="L15" s="34"/>
    </row>
    <row r="16" spans="1:49" ht="28.9" customHeight="1" thickBot="1" x14ac:dyDescent="0.3">
      <c r="H16" s="8"/>
      <c r="I16" s="92"/>
      <c r="J16" s="322"/>
      <c r="K16" s="322"/>
      <c r="L16" s="34"/>
    </row>
    <row r="17" spans="8:12" ht="28.9" customHeight="1" thickBot="1" x14ac:dyDescent="0.35">
      <c r="H17" s="8"/>
      <c r="I17" s="92" t="s">
        <v>287</v>
      </c>
      <c r="J17" s="322"/>
      <c r="K17" s="323"/>
      <c r="L17" s="34"/>
    </row>
    <row r="18" spans="8:12" ht="28.9" customHeight="1" thickBot="1" x14ac:dyDescent="0.3">
      <c r="H18" s="8"/>
      <c r="I18" s="92"/>
      <c r="J18" s="322"/>
      <c r="K18" s="322"/>
      <c r="L18" s="34"/>
    </row>
    <row r="19" spans="8:12" ht="28.9" customHeight="1" thickBot="1" x14ac:dyDescent="0.35">
      <c r="H19" s="8"/>
      <c r="I19" s="92" t="s">
        <v>293</v>
      </c>
      <c r="J19" s="322"/>
      <c r="K19" s="323"/>
      <c r="L19" s="34"/>
    </row>
    <row r="20" spans="8:12" ht="28.9" customHeight="1" thickBot="1" x14ac:dyDescent="0.3">
      <c r="H20" s="8"/>
      <c r="I20" s="92"/>
      <c r="J20" s="322"/>
      <c r="K20" s="322"/>
      <c r="L20" s="34"/>
    </row>
    <row r="21" spans="8:12" ht="28.9" customHeight="1" thickBot="1" x14ac:dyDescent="0.35">
      <c r="H21" s="8"/>
      <c r="I21" s="92" t="s">
        <v>403</v>
      </c>
      <c r="J21" s="322"/>
      <c r="K21" s="323"/>
      <c r="L21" s="34"/>
    </row>
    <row r="22" spans="8:12" ht="28.9" customHeight="1" thickBot="1" x14ac:dyDescent="0.3">
      <c r="H22" s="8"/>
      <c r="I22" s="92"/>
      <c r="J22" s="322"/>
      <c r="K22" s="322"/>
      <c r="L22" s="34"/>
    </row>
    <row r="23" spans="8:12" ht="28.9" customHeight="1" thickBot="1" x14ac:dyDescent="0.35">
      <c r="H23" s="8"/>
      <c r="I23" s="92" t="s">
        <v>408</v>
      </c>
      <c r="J23" s="322"/>
      <c r="K23" s="323"/>
      <c r="L23" s="34"/>
    </row>
    <row r="24" spans="8:12" ht="28.9" customHeight="1" thickBot="1" x14ac:dyDescent="0.3">
      <c r="H24" s="8"/>
      <c r="I24" s="92"/>
      <c r="J24" s="322"/>
      <c r="K24" s="322"/>
      <c r="L24" s="34"/>
    </row>
    <row r="25" spans="8:12" ht="28.9" customHeight="1" thickBot="1" x14ac:dyDescent="0.35">
      <c r="H25" s="8"/>
      <c r="I25" s="92" t="s">
        <v>407</v>
      </c>
      <c r="J25" s="322"/>
      <c r="K25" s="323"/>
      <c r="L25" s="34"/>
    </row>
    <row r="26" spans="8:12" ht="28.9" customHeight="1" thickBot="1" x14ac:dyDescent="0.3">
      <c r="H26" s="8"/>
      <c r="I26" s="92"/>
      <c r="J26" s="322"/>
      <c r="K26" s="322"/>
      <c r="L26" s="34"/>
    </row>
    <row r="27" spans="8:12" ht="28.9" customHeight="1" thickBot="1" x14ac:dyDescent="0.3">
      <c r="H27" s="8"/>
      <c r="I27" s="92" t="s">
        <v>294</v>
      </c>
      <c r="J27" s="322"/>
      <c r="K27" s="324"/>
      <c r="L27" s="34"/>
    </row>
    <row r="28" spans="8:12" ht="28.9" customHeight="1" x14ac:dyDescent="0.25">
      <c r="H28" s="45"/>
      <c r="I28" s="56"/>
      <c r="J28" s="56"/>
      <c r="K28" s="56"/>
      <c r="L28" s="7"/>
    </row>
    <row r="29" spans="8:12" ht="28.9" customHeight="1" x14ac:dyDescent="0.25">
      <c r="H29" s="45"/>
      <c r="I29" s="56"/>
      <c r="J29" s="56"/>
      <c r="K29" s="56"/>
      <c r="L29" s="7"/>
    </row>
    <row r="30" spans="8:12" ht="28.9" customHeight="1" x14ac:dyDescent="0.25">
      <c r="H30" s="45"/>
      <c r="I30" s="56"/>
      <c r="J30" s="56"/>
      <c r="K30" s="56"/>
      <c r="L30" s="7"/>
    </row>
    <row r="31" spans="8:12" ht="28.9" customHeight="1" x14ac:dyDescent="0.25">
      <c r="H31" s="45"/>
      <c r="I31" s="56"/>
      <c r="J31" s="56"/>
      <c r="K31" s="56"/>
      <c r="L31" s="7"/>
    </row>
    <row r="32" spans="8:12" ht="28.9" customHeight="1" x14ac:dyDescent="0.25">
      <c r="H32" s="45"/>
      <c r="I32" s="56"/>
      <c r="J32" s="56"/>
      <c r="K32" s="56"/>
      <c r="L32" s="7"/>
    </row>
    <row r="33" spans="8:12" ht="28.9" customHeight="1" x14ac:dyDescent="0.25">
      <c r="H33" s="45"/>
      <c r="I33" s="56"/>
      <c r="J33" s="56"/>
      <c r="K33" s="56"/>
      <c r="L33" s="7"/>
    </row>
    <row r="34" spans="8:12" ht="28.9" customHeight="1" thickBot="1" x14ac:dyDescent="0.3">
      <c r="H34" s="57"/>
      <c r="I34" s="58"/>
      <c r="J34" s="58"/>
      <c r="K34" s="58"/>
      <c r="L34" s="59"/>
    </row>
    <row r="35" spans="8:12" ht="28.9" customHeight="1" x14ac:dyDescent="0.25"/>
    <row r="36" spans="8:12" ht="28.9" customHeight="1" x14ac:dyDescent="0.25"/>
    <row r="37" spans="8:12" ht="28.9" customHeight="1" x14ac:dyDescent="0.25"/>
    <row r="38" spans="8:12" ht="28.9" customHeight="1" x14ac:dyDescent="0.25"/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37D3-57ED-43EA-9692-214AE70D6578}">
  <sheetPr codeName="Planilha42">
    <tabColor rgb="FF7030A0"/>
  </sheetPr>
  <dimension ref="A1:AW66"/>
  <sheetViews>
    <sheetView zoomScale="40" zoomScaleNormal="40" workbookViewId="0">
      <selection activeCell="E15" sqref="E15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54.7109375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0" t="s">
        <v>368</v>
      </c>
      <c r="I12" s="461"/>
      <c r="J12" s="461"/>
      <c r="K12" s="461"/>
      <c r="L12" s="462"/>
    </row>
    <row r="13" spans="1:49" ht="28.9" customHeight="1" thickBot="1" x14ac:dyDescent="0.3">
      <c r="H13" s="463"/>
      <c r="I13" s="464"/>
      <c r="J13" s="464"/>
      <c r="K13" s="464"/>
      <c r="L13" s="465"/>
    </row>
    <row r="14" spans="1:49" ht="28.9" customHeight="1" thickBot="1" x14ac:dyDescent="0.3">
      <c r="H14" s="8"/>
      <c r="I14" s="33"/>
      <c r="J14" s="33"/>
      <c r="K14" s="33"/>
      <c r="L14" s="34"/>
    </row>
    <row r="15" spans="1:49" ht="28.9" customHeight="1" thickBot="1" x14ac:dyDescent="0.35">
      <c r="H15" s="8"/>
      <c r="I15" s="325" t="s">
        <v>362</v>
      </c>
      <c r="J15" s="33"/>
      <c r="K15" s="323" t="s">
        <v>479</v>
      </c>
      <c r="L15" s="34"/>
    </row>
    <row r="16" spans="1:49" ht="28.9" customHeight="1" thickBot="1" x14ac:dyDescent="0.35">
      <c r="H16" s="8"/>
      <c r="I16" s="60" t="s">
        <v>13</v>
      </c>
      <c r="J16" s="33"/>
      <c r="K16" s="299"/>
      <c r="L16" s="34"/>
    </row>
    <row r="17" spans="8:12" ht="28.9" customHeight="1" thickBot="1" x14ac:dyDescent="0.35">
      <c r="H17" s="8"/>
      <c r="I17" s="325" t="s">
        <v>363</v>
      </c>
      <c r="J17" s="33"/>
      <c r="K17" s="377" t="s">
        <v>478</v>
      </c>
      <c r="L17" s="34"/>
    </row>
    <row r="18" spans="8:12" ht="28.9" customHeight="1" thickBot="1" x14ac:dyDescent="0.35">
      <c r="H18" s="8"/>
      <c r="I18" s="60" t="s">
        <v>13</v>
      </c>
      <c r="J18" s="33"/>
      <c r="K18" s="299"/>
      <c r="L18" s="34"/>
    </row>
    <row r="19" spans="8:12" ht="28.9" customHeight="1" thickBot="1" x14ac:dyDescent="0.35">
      <c r="H19" s="8"/>
      <c r="I19" s="325" t="s">
        <v>293</v>
      </c>
      <c r="J19" s="33"/>
      <c r="K19" s="377" t="s">
        <v>481</v>
      </c>
      <c r="L19" s="34"/>
    </row>
    <row r="20" spans="8:12" ht="28.9" customHeight="1" thickBot="1" x14ac:dyDescent="0.35">
      <c r="H20" s="8"/>
      <c r="I20" s="60" t="s">
        <v>13</v>
      </c>
      <c r="J20" s="33"/>
      <c r="K20" s="299"/>
      <c r="L20" s="34"/>
    </row>
    <row r="21" spans="8:12" ht="28.9" customHeight="1" thickBot="1" x14ac:dyDescent="0.35">
      <c r="H21" s="8"/>
      <c r="I21" s="325" t="s">
        <v>282</v>
      </c>
      <c r="J21" s="33"/>
      <c r="K21" s="323" t="s">
        <v>232</v>
      </c>
      <c r="L21" s="34"/>
    </row>
    <row r="22" spans="8:12" ht="28.9" customHeight="1" thickBot="1" x14ac:dyDescent="0.35">
      <c r="H22" s="8"/>
      <c r="I22" s="60" t="s">
        <v>13</v>
      </c>
      <c r="J22" s="33"/>
      <c r="K22" s="299"/>
      <c r="L22" s="34"/>
    </row>
    <row r="23" spans="8:12" ht="28.9" customHeight="1" thickBot="1" x14ac:dyDescent="0.35">
      <c r="H23" s="8"/>
      <c r="I23" s="325" t="s">
        <v>283</v>
      </c>
      <c r="J23" s="33"/>
      <c r="K23" s="323">
        <v>9</v>
      </c>
      <c r="L23" s="34"/>
    </row>
    <row r="24" spans="8:12" ht="28.9" customHeight="1" thickBot="1" x14ac:dyDescent="0.35">
      <c r="H24" s="8"/>
      <c r="I24" s="60" t="s">
        <v>13</v>
      </c>
      <c r="J24" s="33"/>
      <c r="K24" s="299"/>
      <c r="L24" s="34"/>
    </row>
    <row r="25" spans="8:12" ht="28.9" customHeight="1" thickBot="1" x14ac:dyDescent="0.35">
      <c r="H25" s="8"/>
      <c r="I25" s="325" t="s">
        <v>364</v>
      </c>
      <c r="J25" s="33"/>
      <c r="K25" s="326">
        <v>10</v>
      </c>
      <c r="L25" s="34"/>
    </row>
    <row r="26" spans="8:12" ht="28.9" customHeight="1" thickBot="1" x14ac:dyDescent="0.35">
      <c r="H26" s="8"/>
      <c r="I26" s="60" t="s">
        <v>13</v>
      </c>
      <c r="J26" s="33"/>
      <c r="K26" s="299"/>
      <c r="L26" s="34"/>
    </row>
    <row r="27" spans="8:12" ht="28.9" customHeight="1" thickBot="1" x14ac:dyDescent="0.35">
      <c r="H27" s="8"/>
      <c r="I27" s="325" t="s">
        <v>365</v>
      </c>
      <c r="J27" s="33"/>
      <c r="K27" s="378">
        <v>90</v>
      </c>
      <c r="L27" s="34"/>
    </row>
    <row r="28" spans="8:12" ht="28.9" customHeight="1" thickBot="1" x14ac:dyDescent="0.35">
      <c r="H28" s="45"/>
      <c r="I28" s="60"/>
      <c r="J28" s="56"/>
      <c r="K28" s="299"/>
      <c r="L28" s="7"/>
    </row>
    <row r="29" spans="8:12" ht="28.9" customHeight="1" thickBot="1" x14ac:dyDescent="0.35">
      <c r="H29" s="45"/>
      <c r="I29" s="325" t="s">
        <v>366</v>
      </c>
      <c r="J29" s="56"/>
      <c r="K29" s="327"/>
      <c r="L29" s="7"/>
    </row>
    <row r="30" spans="8:12" ht="28.9" customHeight="1" thickBot="1" x14ac:dyDescent="0.35">
      <c r="H30" s="45"/>
      <c r="I30" s="60"/>
      <c r="J30" s="56"/>
      <c r="K30" s="299"/>
      <c r="L30" s="7"/>
    </row>
    <row r="31" spans="8:12" ht="28.9" customHeight="1" thickBot="1" x14ac:dyDescent="0.35">
      <c r="H31" s="45"/>
      <c r="I31" s="325" t="s">
        <v>367</v>
      </c>
      <c r="J31" s="56"/>
      <c r="K31" s="323" t="s">
        <v>744</v>
      </c>
      <c r="L31" s="7"/>
    </row>
    <row r="32" spans="8:12" ht="28.9" customHeight="1" x14ac:dyDescent="0.25">
      <c r="H32" s="45"/>
      <c r="I32" s="40"/>
      <c r="J32" s="56"/>
      <c r="K32" s="56"/>
      <c r="L32" s="7"/>
    </row>
    <row r="33" spans="8:12" ht="28.9" customHeight="1" x14ac:dyDescent="0.25">
      <c r="H33" s="45"/>
      <c r="I33" s="56"/>
      <c r="J33" s="56"/>
      <c r="K33" s="56"/>
      <c r="L33" s="7"/>
    </row>
    <row r="34" spans="8:12" ht="28.9" customHeight="1" x14ac:dyDescent="0.25">
      <c r="H34" s="45"/>
      <c r="I34" s="56"/>
      <c r="J34" s="56"/>
      <c r="K34" s="56"/>
      <c r="L34" s="7"/>
    </row>
    <row r="35" spans="8:12" ht="28.9" customHeight="1" x14ac:dyDescent="0.25">
      <c r="H35" s="45"/>
      <c r="I35" s="56"/>
      <c r="J35" s="56"/>
      <c r="K35" s="56"/>
      <c r="L35" s="7"/>
    </row>
    <row r="36" spans="8:12" ht="28.9" customHeight="1" x14ac:dyDescent="0.25">
      <c r="H36" s="45"/>
      <c r="I36" s="56"/>
      <c r="J36" s="56"/>
      <c r="K36" s="56"/>
      <c r="L36" s="7"/>
    </row>
    <row r="37" spans="8:12" ht="28.9" customHeight="1" x14ac:dyDescent="0.25">
      <c r="H37" s="45"/>
      <c r="I37" s="56"/>
      <c r="J37" s="56"/>
      <c r="K37" s="56"/>
      <c r="L37" s="7"/>
    </row>
    <row r="38" spans="8:12" ht="28.9" customHeight="1" thickBot="1" x14ac:dyDescent="0.3">
      <c r="H38" s="57"/>
      <c r="I38" s="58"/>
      <c r="J38" s="58"/>
      <c r="K38" s="58"/>
      <c r="L38" s="59"/>
    </row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67BC99-1231-4D1E-B95A-BB751BF3AE71}">
          <x14:formula1>
            <xm:f>N_VMETAS!$N$22:$N$25</xm:f>
          </x14:formula1>
          <xm:sqref>K21</xm:sqref>
        </x14:dataValidation>
        <x14:dataValidation type="list" allowBlank="1" showInputMessage="1" showErrorMessage="1" xr:uid="{5F75004B-09C4-4126-9C99-67CB23115D0F}">
          <x14:formula1>
            <xm:f>BD_CADAS!$C$10:$C$32</xm:f>
          </x14:formula1>
          <xm:sqref>K15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C2E0-F22E-4168-B43D-80B606AFEC7D}">
  <sheetPr codeName="Planilha43">
    <tabColor rgb="FF7030A0"/>
  </sheetPr>
  <dimension ref="A1:AW64"/>
  <sheetViews>
    <sheetView topLeftCell="C1" zoomScale="40" zoomScaleNormal="40" workbookViewId="0">
      <selection activeCell="E19" sqref="E19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42.42578125" customWidth="1"/>
    <col min="12" max="12" width="25.42578125" bestFit="1" customWidth="1"/>
    <col min="13" max="13" width="29" bestFit="1" customWidth="1"/>
    <col min="14" max="14" width="51.140625" customWidth="1"/>
    <col min="15" max="15" width="42.57031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4">
      <c r="H12" s="460" t="s">
        <v>369</v>
      </c>
      <c r="I12" s="461"/>
      <c r="J12" s="461"/>
      <c r="K12" s="461"/>
      <c r="L12" s="462"/>
      <c r="N12" s="174" t="s">
        <v>370</v>
      </c>
      <c r="O12" s="174" t="s">
        <v>283</v>
      </c>
    </row>
    <row r="13" spans="1:49" ht="28.9" customHeight="1" thickBot="1" x14ac:dyDescent="0.35">
      <c r="H13" s="463"/>
      <c r="I13" s="464"/>
      <c r="J13" s="464"/>
      <c r="K13" s="464"/>
      <c r="L13" s="465"/>
      <c r="N13" s="175" t="s">
        <v>745</v>
      </c>
      <c r="O13" s="176">
        <v>1600</v>
      </c>
    </row>
    <row r="14" spans="1:49" ht="28.9" customHeight="1" thickBot="1" x14ac:dyDescent="0.35">
      <c r="H14" s="328"/>
      <c r="I14" s="329"/>
      <c r="J14" s="329"/>
      <c r="K14" s="330"/>
      <c r="L14" s="331"/>
      <c r="N14" s="299"/>
      <c r="O14" s="299"/>
    </row>
    <row r="15" spans="1:49" ht="28.9" customHeight="1" thickBot="1" x14ac:dyDescent="0.35">
      <c r="H15" s="8"/>
      <c r="I15" s="325" t="s">
        <v>746</v>
      </c>
      <c r="J15" s="33"/>
      <c r="K15" s="323">
        <f>SUM(N_VRELCOM!H10:H52)</f>
        <v>8000</v>
      </c>
      <c r="L15" s="34"/>
    </row>
    <row r="16" spans="1:49" ht="28.9" customHeight="1" thickBot="1" x14ac:dyDescent="0.35">
      <c r="H16" s="8"/>
      <c r="I16" s="325"/>
      <c r="J16" s="33"/>
      <c r="K16" s="299"/>
      <c r="L16" s="34"/>
    </row>
    <row r="17" spans="8:15" ht="28.9" customHeight="1" thickBot="1" x14ac:dyDescent="0.35">
      <c r="H17" s="8"/>
      <c r="I17" s="325" t="s">
        <v>747</v>
      </c>
      <c r="J17" s="33"/>
      <c r="K17" s="323">
        <f>O13</f>
        <v>1600</v>
      </c>
      <c r="L17" s="34"/>
    </row>
    <row r="18" spans="8:15" ht="28.9" customHeight="1" thickBot="1" x14ac:dyDescent="0.35">
      <c r="H18" s="8"/>
      <c r="I18" s="325"/>
      <c r="J18" s="33"/>
      <c r="K18" s="299"/>
      <c r="L18" s="34"/>
    </row>
    <row r="19" spans="8:15" ht="28.9" customHeight="1" thickBot="1" x14ac:dyDescent="0.35">
      <c r="H19" s="8"/>
      <c r="I19" s="325" t="s">
        <v>748</v>
      </c>
      <c r="J19" s="33"/>
      <c r="K19" s="323" t="str">
        <f>IF(K15&gt;K17,"META ATINGIDA","META NÃO ATINGIDA")</f>
        <v>META ATINGIDA</v>
      </c>
      <c r="L19" s="34"/>
    </row>
    <row r="20" spans="8:15" ht="28.9" customHeight="1" x14ac:dyDescent="0.3">
      <c r="H20" s="8"/>
      <c r="I20" s="325"/>
      <c r="J20" s="33"/>
      <c r="K20" s="314"/>
      <c r="L20" s="34"/>
    </row>
    <row r="21" spans="8:15" ht="28.9" customHeight="1" x14ac:dyDescent="0.4">
      <c r="H21" s="8"/>
      <c r="I21" s="56"/>
      <c r="J21" s="33"/>
      <c r="K21" s="33"/>
      <c r="L21" s="34"/>
      <c r="N21" s="174" t="s">
        <v>749</v>
      </c>
      <c r="O21" s="174" t="s">
        <v>405</v>
      </c>
    </row>
    <row r="22" spans="8:15" ht="28.9" customHeight="1" x14ac:dyDescent="0.3">
      <c r="H22" s="8"/>
      <c r="I22" s="56"/>
      <c r="J22" s="33"/>
      <c r="K22" s="33"/>
      <c r="L22" s="34"/>
      <c r="N22" s="332" t="s">
        <v>750</v>
      </c>
      <c r="O22" s="333">
        <v>20</v>
      </c>
    </row>
    <row r="23" spans="8:15" ht="28.9" customHeight="1" x14ac:dyDescent="0.3">
      <c r="H23" s="8"/>
      <c r="I23" s="56"/>
      <c r="J23" s="33"/>
      <c r="K23" s="33"/>
      <c r="L23" s="34"/>
      <c r="N23" s="332" t="s">
        <v>371</v>
      </c>
      <c r="O23" s="333">
        <v>20</v>
      </c>
    </row>
    <row r="24" spans="8:15" ht="28.9" customHeight="1" x14ac:dyDescent="0.3">
      <c r="H24" s="8"/>
      <c r="I24" s="56"/>
      <c r="J24" s="33"/>
      <c r="K24" s="33"/>
      <c r="L24" s="34"/>
      <c r="N24" s="332" t="s">
        <v>232</v>
      </c>
      <c r="O24" s="333">
        <v>20</v>
      </c>
    </row>
    <row r="25" spans="8:15" ht="28.9" customHeight="1" thickBot="1" x14ac:dyDescent="0.35">
      <c r="H25" s="35"/>
      <c r="I25" s="58"/>
      <c r="J25" s="36"/>
      <c r="K25" s="173"/>
      <c r="L25" s="37"/>
      <c r="N25" s="334" t="s">
        <v>372</v>
      </c>
      <c r="O25" s="333">
        <v>20</v>
      </c>
    </row>
    <row r="26" spans="8:15" ht="28.9" customHeight="1" x14ac:dyDescent="0.25"/>
    <row r="27" spans="8:15" ht="28.9" customHeight="1" x14ac:dyDescent="0.25"/>
    <row r="28" spans="8:15" ht="28.9" customHeight="1" x14ac:dyDescent="0.25"/>
    <row r="29" spans="8:15" ht="28.9" customHeight="1" x14ac:dyDescent="0.25"/>
    <row r="30" spans="8:15" ht="28.9" customHeight="1" x14ac:dyDescent="0.25"/>
    <row r="31" spans="8:15" ht="28.9" customHeight="1" x14ac:dyDescent="0.25"/>
    <row r="32" spans="8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48889-C73A-46ED-ABD3-5C0AE81875A0}">
  <sheetPr codeName="Planilha45">
    <tabColor rgb="FF7030A0"/>
  </sheetPr>
  <dimension ref="B1:AS66"/>
  <sheetViews>
    <sheetView zoomScale="40" zoomScaleNormal="40" workbookViewId="0">
      <selection activeCell="L19" sqref="L19"/>
    </sheetView>
  </sheetViews>
  <sheetFormatPr defaultColWidth="8.85546875" defaultRowHeight="15" x14ac:dyDescent="0.25"/>
  <cols>
    <col min="2" max="2" width="32.42578125" customWidth="1"/>
    <col min="3" max="3" width="37.85546875" customWidth="1"/>
    <col min="4" max="4" width="44.28515625" customWidth="1"/>
    <col min="5" max="5" width="49.5703125" customWidth="1"/>
    <col min="6" max="6" width="57.5703125" customWidth="1"/>
    <col min="7" max="7" width="39.85546875" customWidth="1"/>
    <col min="8" max="8" width="47.85546875" customWidth="1"/>
    <col min="9" max="9" width="43.28515625" customWidth="1"/>
    <col min="10" max="10" width="47.85546875" bestFit="1" customWidth="1"/>
    <col min="11" max="11" width="29.28515625" customWidth="1"/>
    <col min="12" max="12" width="73.42578125" customWidth="1"/>
    <col min="13" max="13" width="15.5703125" customWidth="1"/>
    <col min="18" max="18" width="23.42578125" bestFit="1" customWidth="1"/>
    <col min="19" max="19" width="2.7109375" bestFit="1" customWidth="1"/>
    <col min="20" max="20" width="51.140625" customWidth="1"/>
  </cols>
  <sheetData>
    <row r="1" spans="2:4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2:45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2:45" ht="61.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2:45" ht="46.15" customHeight="1" x14ac:dyDescent="0.25"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</row>
    <row r="5" spans="2:45" x14ac:dyDescent="0.25"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</row>
    <row r="6" spans="2:45" x14ac:dyDescent="0.25"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</row>
    <row r="7" spans="2:45" x14ac:dyDescent="0.25"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</row>
    <row r="8" spans="2:45" ht="28.9" customHeight="1" x14ac:dyDescent="0.25"/>
    <row r="9" spans="2:45" ht="28.9" customHeight="1" thickBot="1" x14ac:dyDescent="0.3">
      <c r="B9" s="335" t="s">
        <v>362</v>
      </c>
      <c r="C9" s="335" t="s">
        <v>363</v>
      </c>
      <c r="D9" s="335" t="s">
        <v>293</v>
      </c>
      <c r="E9" s="335" t="s">
        <v>282</v>
      </c>
      <c r="F9" s="335" t="s">
        <v>283</v>
      </c>
      <c r="G9" s="335" t="s">
        <v>364</v>
      </c>
      <c r="H9" s="335" t="s">
        <v>365</v>
      </c>
      <c r="I9" s="335" t="s">
        <v>366</v>
      </c>
      <c r="J9" s="335" t="s">
        <v>367</v>
      </c>
    </row>
    <row r="10" spans="2:45" ht="28.9" customHeight="1" thickBot="1" x14ac:dyDescent="0.35">
      <c r="B10" s="323" t="s">
        <v>496</v>
      </c>
      <c r="C10" s="336" t="s">
        <v>495</v>
      </c>
      <c r="D10" s="336" t="s">
        <v>498</v>
      </c>
      <c r="E10" s="323" t="s">
        <v>232</v>
      </c>
      <c r="F10" s="323">
        <v>400</v>
      </c>
      <c r="G10" s="336">
        <v>20</v>
      </c>
      <c r="H10" s="336">
        <v>8000</v>
      </c>
      <c r="I10" s="327"/>
      <c r="J10" s="323" t="s">
        <v>751</v>
      </c>
    </row>
    <row r="11" spans="2:45" ht="28.9" customHeight="1" thickBot="1" x14ac:dyDescent="0.35">
      <c r="B11" s="323"/>
      <c r="C11" s="336"/>
      <c r="D11" s="336"/>
      <c r="E11" s="323"/>
      <c r="F11" s="323"/>
      <c r="G11" s="336"/>
      <c r="H11" s="336"/>
      <c r="I11" s="327"/>
      <c r="J11" s="323"/>
    </row>
    <row r="12" spans="2:45" ht="28.9" customHeight="1" thickBot="1" x14ac:dyDescent="0.35">
      <c r="B12" s="323"/>
      <c r="C12" s="336"/>
      <c r="D12" s="336"/>
      <c r="E12" s="323"/>
      <c r="F12" s="323"/>
      <c r="G12" s="336"/>
      <c r="H12" s="336"/>
      <c r="I12" s="327"/>
      <c r="J12" s="323"/>
      <c r="K12" s="337"/>
    </row>
    <row r="13" spans="2:45" ht="28.9" customHeight="1" x14ac:dyDescent="0.3">
      <c r="B13" s="336"/>
      <c r="C13" s="336"/>
      <c r="D13" s="336"/>
      <c r="E13" s="336"/>
      <c r="F13" s="336"/>
      <c r="G13" s="336"/>
      <c r="H13" s="336"/>
      <c r="I13" s="336"/>
      <c r="J13" s="336"/>
    </row>
    <row r="14" spans="2:45" ht="28.9" customHeight="1" x14ac:dyDescent="0.3">
      <c r="B14" s="336"/>
      <c r="C14" s="336"/>
      <c r="D14" s="336"/>
      <c r="E14" s="336"/>
      <c r="F14" s="336"/>
      <c r="G14" s="336"/>
      <c r="H14" s="336"/>
      <c r="I14" s="336"/>
      <c r="J14" s="336"/>
    </row>
    <row r="15" spans="2:45" ht="28.9" customHeight="1" x14ac:dyDescent="0.3">
      <c r="B15" s="336"/>
      <c r="C15" s="336"/>
      <c r="D15" s="336"/>
      <c r="E15" s="336"/>
      <c r="F15" s="336"/>
      <c r="G15" s="336"/>
      <c r="H15" s="336"/>
      <c r="I15" s="336"/>
      <c r="J15" s="336"/>
    </row>
    <row r="16" spans="2:45" ht="28.9" customHeight="1" x14ac:dyDescent="0.3">
      <c r="B16" s="336"/>
      <c r="C16" s="336"/>
      <c r="D16" s="336"/>
      <c r="E16" s="336"/>
      <c r="F16" s="336"/>
      <c r="G16" s="336"/>
      <c r="H16" s="336"/>
      <c r="I16" s="336"/>
      <c r="J16" s="336"/>
    </row>
    <row r="17" spans="2:10" ht="28.9" customHeight="1" x14ac:dyDescent="0.3">
      <c r="B17" s="336"/>
      <c r="C17" s="336"/>
      <c r="D17" s="336"/>
      <c r="E17" s="336"/>
      <c r="F17" s="336"/>
      <c r="G17" s="336"/>
      <c r="H17" s="336"/>
      <c r="I17" s="336"/>
      <c r="J17" s="336"/>
    </row>
    <row r="18" spans="2:10" ht="28.9" customHeight="1" x14ac:dyDescent="0.3">
      <c r="B18" s="336"/>
      <c r="C18" s="336"/>
      <c r="D18" s="336"/>
      <c r="E18" s="336"/>
      <c r="F18" s="336"/>
      <c r="G18" s="336"/>
      <c r="H18" s="336"/>
      <c r="I18" s="336"/>
      <c r="J18" s="336"/>
    </row>
    <row r="19" spans="2:10" ht="28.9" customHeight="1" x14ac:dyDescent="0.3">
      <c r="B19" s="336"/>
      <c r="C19" s="336"/>
      <c r="D19" s="336"/>
      <c r="E19" s="336"/>
      <c r="F19" s="336"/>
      <c r="G19" s="336"/>
      <c r="H19" s="336"/>
      <c r="I19" s="336"/>
      <c r="J19" s="336"/>
    </row>
    <row r="20" spans="2:10" ht="28.9" customHeight="1" x14ac:dyDescent="0.3">
      <c r="B20" s="336"/>
      <c r="C20" s="336"/>
      <c r="D20" s="336"/>
      <c r="E20" s="336"/>
      <c r="F20" s="336"/>
      <c r="G20" s="336"/>
      <c r="H20" s="336"/>
      <c r="I20" s="336"/>
      <c r="J20" s="336"/>
    </row>
    <row r="21" spans="2:10" ht="28.9" customHeight="1" x14ac:dyDescent="0.3">
      <c r="B21" s="336"/>
      <c r="C21" s="336"/>
      <c r="D21" s="336"/>
      <c r="E21" s="336"/>
      <c r="F21" s="336"/>
      <c r="G21" s="336"/>
      <c r="H21" s="336"/>
      <c r="I21" s="336"/>
      <c r="J21" s="336"/>
    </row>
    <row r="22" spans="2:10" ht="28.9" customHeight="1" x14ac:dyDescent="0.3">
      <c r="B22" s="336"/>
      <c r="C22" s="336"/>
      <c r="D22" s="336"/>
      <c r="E22" s="336"/>
      <c r="F22" s="336"/>
      <c r="G22" s="336"/>
      <c r="H22" s="336"/>
      <c r="I22" s="336"/>
      <c r="J22" s="336"/>
    </row>
    <row r="23" spans="2:10" ht="28.9" customHeight="1" x14ac:dyDescent="0.3">
      <c r="B23" s="336"/>
      <c r="C23" s="336"/>
      <c r="D23" s="336"/>
      <c r="E23" s="336"/>
      <c r="F23" s="336"/>
      <c r="G23" s="336"/>
      <c r="H23" s="336"/>
      <c r="I23" s="336"/>
      <c r="J23" s="336"/>
    </row>
    <row r="24" spans="2:10" ht="28.9" customHeight="1" x14ac:dyDescent="0.3">
      <c r="B24" s="336"/>
      <c r="C24" s="336"/>
      <c r="D24" s="336"/>
      <c r="E24" s="336"/>
      <c r="F24" s="336"/>
      <c r="G24" s="336"/>
      <c r="H24" s="336"/>
      <c r="I24" s="336"/>
      <c r="J24" s="336"/>
    </row>
    <row r="25" spans="2:10" ht="28.9" customHeight="1" x14ac:dyDescent="0.3">
      <c r="B25" s="336"/>
      <c r="C25" s="336"/>
      <c r="D25" s="336"/>
      <c r="E25" s="336"/>
      <c r="F25" s="336"/>
      <c r="G25" s="336"/>
      <c r="H25" s="336"/>
      <c r="I25" s="336"/>
      <c r="J25" s="336"/>
    </row>
    <row r="26" spans="2:10" ht="28.9" customHeight="1" x14ac:dyDescent="0.3">
      <c r="B26" s="336"/>
      <c r="C26" s="336"/>
      <c r="D26" s="336"/>
      <c r="E26" s="336"/>
      <c r="F26" s="336"/>
      <c r="G26" s="336"/>
      <c r="H26" s="336"/>
      <c r="I26" s="336"/>
      <c r="J26" s="336"/>
    </row>
    <row r="27" spans="2:10" ht="28.9" customHeight="1" x14ac:dyDescent="0.3">
      <c r="B27" s="336"/>
      <c r="C27" s="336"/>
      <c r="D27" s="336"/>
      <c r="E27" s="336"/>
      <c r="F27" s="336"/>
      <c r="G27" s="336"/>
      <c r="H27" s="336"/>
      <c r="I27" s="336"/>
      <c r="J27" s="336"/>
    </row>
    <row r="28" spans="2:10" ht="28.9" customHeight="1" x14ac:dyDescent="0.3">
      <c r="B28" s="336"/>
      <c r="C28" s="336"/>
      <c r="D28" s="336"/>
      <c r="E28" s="336"/>
      <c r="F28" s="336"/>
      <c r="G28" s="336"/>
      <c r="H28" s="336"/>
      <c r="I28" s="336"/>
      <c r="J28" s="336"/>
    </row>
    <row r="29" spans="2:10" ht="28.9" customHeight="1" x14ac:dyDescent="0.3">
      <c r="B29" s="336"/>
      <c r="C29" s="336"/>
      <c r="D29" s="336"/>
      <c r="E29" s="336"/>
      <c r="F29" s="336"/>
      <c r="G29" s="336"/>
      <c r="H29" s="336"/>
      <c r="I29" s="336"/>
      <c r="J29" s="336"/>
    </row>
    <row r="30" spans="2:10" ht="28.9" customHeight="1" x14ac:dyDescent="0.3">
      <c r="B30" s="336"/>
      <c r="C30" s="336"/>
      <c r="D30" s="336"/>
      <c r="E30" s="336"/>
      <c r="F30" s="336"/>
      <c r="G30" s="336"/>
      <c r="H30" s="336"/>
      <c r="I30" s="336"/>
      <c r="J30" s="336"/>
    </row>
    <row r="31" spans="2:10" ht="28.9" customHeight="1" x14ac:dyDescent="0.3">
      <c r="B31" s="336"/>
      <c r="C31" s="336"/>
      <c r="D31" s="336"/>
      <c r="E31" s="336"/>
      <c r="F31" s="336"/>
      <c r="G31" s="336"/>
      <c r="H31" s="336"/>
      <c r="I31" s="336"/>
      <c r="J31" s="336"/>
    </row>
    <row r="32" spans="2:10" ht="28.9" customHeight="1" x14ac:dyDescent="0.3">
      <c r="B32" s="336"/>
      <c r="C32" s="336"/>
      <c r="D32" s="336"/>
      <c r="E32" s="336"/>
      <c r="F32" s="336"/>
      <c r="G32" s="336"/>
      <c r="H32" s="336"/>
      <c r="I32" s="336"/>
      <c r="J32" s="336"/>
    </row>
    <row r="33" spans="2:10" ht="28.9" customHeight="1" x14ac:dyDescent="0.3">
      <c r="B33" s="336"/>
      <c r="C33" s="336"/>
      <c r="D33" s="336"/>
      <c r="E33" s="336"/>
      <c r="F33" s="336"/>
      <c r="G33" s="336"/>
      <c r="H33" s="336"/>
      <c r="I33" s="336"/>
      <c r="J33" s="336"/>
    </row>
    <row r="34" spans="2:10" ht="28.9" customHeight="1" x14ac:dyDescent="0.3">
      <c r="B34" s="336"/>
      <c r="C34" s="336"/>
      <c r="D34" s="336"/>
      <c r="E34" s="336"/>
      <c r="F34" s="336"/>
      <c r="G34" s="336"/>
      <c r="H34" s="336"/>
      <c r="I34" s="336"/>
      <c r="J34" s="336"/>
    </row>
    <row r="35" spans="2:10" ht="28.9" customHeight="1" x14ac:dyDescent="0.3">
      <c r="B35" s="336"/>
      <c r="C35" s="336"/>
      <c r="D35" s="336"/>
      <c r="E35" s="336"/>
      <c r="F35" s="336"/>
      <c r="G35" s="336"/>
      <c r="H35" s="336"/>
      <c r="I35" s="336"/>
      <c r="J35" s="336"/>
    </row>
    <row r="36" spans="2:10" ht="28.9" customHeight="1" x14ac:dyDescent="0.3">
      <c r="B36" s="336"/>
      <c r="C36" s="336"/>
      <c r="D36" s="336"/>
      <c r="E36" s="336"/>
      <c r="F36" s="336"/>
      <c r="G36" s="336"/>
      <c r="H36" s="336"/>
      <c r="I36" s="336"/>
      <c r="J36" s="336"/>
    </row>
    <row r="37" spans="2:10" ht="28.9" customHeight="1" x14ac:dyDescent="0.3">
      <c r="B37" s="336"/>
      <c r="C37" s="336"/>
      <c r="D37" s="336"/>
      <c r="E37" s="336"/>
      <c r="F37" s="336"/>
      <c r="G37" s="336"/>
      <c r="H37" s="336"/>
      <c r="I37" s="336"/>
      <c r="J37" s="336"/>
    </row>
    <row r="38" spans="2:10" ht="28.9" customHeight="1" x14ac:dyDescent="0.3">
      <c r="B38" s="336"/>
      <c r="C38" s="336"/>
      <c r="D38" s="336"/>
      <c r="E38" s="336"/>
      <c r="F38" s="336"/>
      <c r="G38" s="336"/>
      <c r="H38" s="336"/>
      <c r="I38" s="336"/>
      <c r="J38" s="336"/>
    </row>
    <row r="39" spans="2:10" ht="28.9" customHeight="1" x14ac:dyDescent="0.3">
      <c r="B39" s="336"/>
      <c r="C39" s="336"/>
      <c r="D39" s="336"/>
      <c r="E39" s="336"/>
      <c r="F39" s="336"/>
      <c r="G39" s="336"/>
      <c r="H39" s="336"/>
      <c r="I39" s="336"/>
      <c r="J39" s="336"/>
    </row>
    <row r="40" spans="2:10" ht="28.9" customHeight="1" x14ac:dyDescent="0.3">
      <c r="B40" s="336"/>
      <c r="C40" s="336"/>
      <c r="D40" s="336"/>
      <c r="E40" s="336"/>
      <c r="F40" s="336"/>
      <c r="G40" s="336"/>
      <c r="H40" s="336"/>
      <c r="I40" s="336"/>
      <c r="J40" s="336"/>
    </row>
    <row r="41" spans="2:10" ht="28.9" customHeight="1" x14ac:dyDescent="0.3">
      <c r="B41" s="336"/>
      <c r="C41" s="336"/>
      <c r="D41" s="336"/>
      <c r="E41" s="336"/>
      <c r="F41" s="336"/>
      <c r="G41" s="336"/>
      <c r="H41" s="336"/>
      <c r="I41" s="336"/>
      <c r="J41" s="336"/>
    </row>
    <row r="42" spans="2:10" ht="28.9" customHeight="1" x14ac:dyDescent="0.3">
      <c r="B42" s="336"/>
      <c r="C42" s="336"/>
      <c r="D42" s="336"/>
      <c r="E42" s="336"/>
      <c r="F42" s="336"/>
      <c r="G42" s="336"/>
      <c r="H42" s="336"/>
      <c r="I42" s="336"/>
      <c r="J42" s="336"/>
    </row>
    <row r="43" spans="2:10" ht="28.9" customHeight="1" x14ac:dyDescent="0.3">
      <c r="B43" s="336"/>
      <c r="C43" s="336"/>
      <c r="D43" s="336"/>
      <c r="E43" s="336"/>
      <c r="F43" s="336"/>
      <c r="G43" s="336"/>
      <c r="H43" s="336"/>
      <c r="I43" s="336"/>
      <c r="J43" s="336"/>
    </row>
    <row r="44" spans="2:10" ht="28.9" customHeight="1" x14ac:dyDescent="0.3">
      <c r="B44" s="336"/>
      <c r="C44" s="336"/>
      <c r="D44" s="336"/>
      <c r="E44" s="336"/>
      <c r="F44" s="336"/>
      <c r="G44" s="336"/>
      <c r="H44" s="336"/>
      <c r="I44" s="336"/>
      <c r="J44" s="336"/>
    </row>
    <row r="45" spans="2:10" ht="28.9" customHeight="1" x14ac:dyDescent="0.3">
      <c r="B45" s="336"/>
      <c r="C45" s="336"/>
      <c r="D45" s="336"/>
      <c r="E45" s="336"/>
      <c r="F45" s="336"/>
      <c r="G45" s="336"/>
      <c r="H45" s="336"/>
      <c r="I45" s="336"/>
      <c r="J45" s="336"/>
    </row>
    <row r="46" spans="2:10" ht="28.9" customHeight="1" x14ac:dyDescent="0.3">
      <c r="B46" s="336"/>
      <c r="C46" s="336"/>
      <c r="D46" s="336"/>
      <c r="E46" s="336"/>
      <c r="F46" s="336"/>
      <c r="G46" s="336"/>
      <c r="H46" s="336"/>
      <c r="I46" s="336"/>
      <c r="J46" s="336"/>
    </row>
    <row r="47" spans="2:10" ht="28.9" customHeight="1" x14ac:dyDescent="0.3">
      <c r="B47" s="336"/>
      <c r="C47" s="336"/>
      <c r="D47" s="336"/>
      <c r="E47" s="336"/>
      <c r="F47" s="336"/>
      <c r="G47" s="336"/>
      <c r="H47" s="336"/>
      <c r="I47" s="336"/>
      <c r="J47" s="336"/>
    </row>
    <row r="48" spans="2:10" ht="28.9" customHeight="1" x14ac:dyDescent="0.3">
      <c r="B48" s="336"/>
      <c r="C48" s="336"/>
      <c r="D48" s="336"/>
      <c r="E48" s="336"/>
      <c r="F48" s="336"/>
      <c r="G48" s="336"/>
      <c r="H48" s="336"/>
      <c r="I48" s="336"/>
      <c r="J48" s="336"/>
    </row>
    <row r="49" spans="2:10" ht="28.9" customHeight="1" x14ac:dyDescent="0.3">
      <c r="B49" s="336"/>
      <c r="C49" s="336"/>
      <c r="D49" s="336"/>
      <c r="E49" s="336"/>
      <c r="F49" s="336"/>
      <c r="G49" s="336"/>
      <c r="H49" s="336"/>
      <c r="I49" s="336"/>
      <c r="J49" s="336"/>
    </row>
    <row r="50" spans="2:10" ht="28.9" customHeight="1" x14ac:dyDescent="0.3">
      <c r="B50" s="336"/>
      <c r="C50" s="336"/>
      <c r="D50" s="336"/>
      <c r="E50" s="336"/>
      <c r="F50" s="336"/>
      <c r="G50" s="336"/>
      <c r="H50" s="336"/>
      <c r="I50" s="336"/>
      <c r="J50" s="336"/>
    </row>
    <row r="51" spans="2:10" ht="28.9" customHeight="1" x14ac:dyDescent="0.3">
      <c r="B51" s="336"/>
      <c r="C51" s="181"/>
      <c r="D51" s="181"/>
      <c r="E51" s="336"/>
      <c r="F51" s="336"/>
      <c r="G51" s="336"/>
      <c r="H51" s="336"/>
      <c r="I51" s="336"/>
      <c r="J51" s="336"/>
    </row>
    <row r="52" spans="2:10" ht="28.9" customHeight="1" x14ac:dyDescent="0.3">
      <c r="B52" s="336"/>
      <c r="C52" s="181"/>
      <c r="D52" s="181"/>
      <c r="E52" s="336"/>
      <c r="F52" s="336"/>
      <c r="G52" s="336"/>
      <c r="H52" s="336"/>
      <c r="I52" s="336"/>
      <c r="J52" s="336"/>
    </row>
    <row r="53" spans="2:10" ht="28.9" customHeight="1" x14ac:dyDescent="0.3">
      <c r="B53" s="336"/>
      <c r="E53" s="336"/>
      <c r="F53" s="336"/>
      <c r="I53" s="181"/>
      <c r="J53" s="181"/>
    </row>
    <row r="54" spans="2:10" ht="28.9" customHeight="1" x14ac:dyDescent="0.3">
      <c r="B54" s="336"/>
      <c r="E54" s="181"/>
      <c r="F54" s="181"/>
      <c r="I54" s="181"/>
      <c r="J54" s="181"/>
    </row>
    <row r="55" spans="2:10" ht="28.9" customHeight="1" x14ac:dyDescent="0.25"/>
    <row r="56" spans="2:10" ht="28.9" customHeight="1" x14ac:dyDescent="0.25"/>
    <row r="57" spans="2:10" ht="28.9" customHeight="1" x14ac:dyDescent="0.25"/>
    <row r="58" spans="2:10" ht="28.9" customHeight="1" x14ac:dyDescent="0.25"/>
    <row r="59" spans="2:10" ht="28.9" customHeight="1" x14ac:dyDescent="0.25"/>
    <row r="60" spans="2:10" ht="28.9" customHeight="1" x14ac:dyDescent="0.25"/>
    <row r="61" spans="2:10" ht="28.9" customHeight="1" x14ac:dyDescent="0.25"/>
    <row r="62" spans="2:10" ht="28.9" customHeight="1" x14ac:dyDescent="0.25"/>
    <row r="63" spans="2:10" ht="28.9" customHeight="1" x14ac:dyDescent="0.25"/>
    <row r="64" spans="2:10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8F359B-1B65-416F-A43F-47313C2A72B4}">
          <x14:formula1>
            <xm:f>N_VMETAS!$N$22:$N$25</xm:f>
          </x14:formula1>
          <xm:sqref>E10:E12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926D-FC40-41E9-BF6A-2E546C49A236}">
  <sheetPr codeName="Planilha44">
    <tabColor rgb="FF7030A0"/>
  </sheetPr>
  <dimension ref="B1:AM66"/>
  <sheetViews>
    <sheetView zoomScale="40" zoomScaleNormal="40" workbookViewId="0">
      <selection activeCell="F16" sqref="F16"/>
    </sheetView>
  </sheetViews>
  <sheetFormatPr defaultColWidth="8.85546875" defaultRowHeight="15" x14ac:dyDescent="0.25"/>
  <cols>
    <col min="2" max="2" width="37.85546875" customWidth="1"/>
    <col min="3" max="3" width="40.42578125" customWidth="1"/>
    <col min="4" max="4" width="30.140625" customWidth="1"/>
    <col min="5" max="5" width="26" bestFit="1" customWidth="1"/>
    <col min="6" max="6" width="44.85546875" customWidth="1"/>
    <col min="7" max="7" width="15.5703125" customWidth="1"/>
    <col min="12" max="12" width="23.42578125" bestFit="1" customWidth="1"/>
    <col min="13" max="13" width="2.7109375" bestFit="1" customWidth="1"/>
    <col min="14" max="14" width="51.140625" customWidth="1"/>
  </cols>
  <sheetData>
    <row r="1" spans="2:39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ht="61.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ht="46.15" customHeight="1" x14ac:dyDescent="0.25"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</row>
    <row r="5" spans="2:39" x14ac:dyDescent="0.25"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</row>
    <row r="6" spans="2:39" x14ac:dyDescent="0.25"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</row>
    <row r="7" spans="2:39" x14ac:dyDescent="0.25"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</row>
    <row r="8" spans="2:39" ht="28.9" customHeight="1" x14ac:dyDescent="0.25"/>
    <row r="9" spans="2:39" ht="28.9" customHeight="1" x14ac:dyDescent="0.25">
      <c r="B9" s="338" t="s">
        <v>752</v>
      </c>
      <c r="C9" s="338" t="s">
        <v>747</v>
      </c>
      <c r="D9" s="338" t="s">
        <v>748</v>
      </c>
    </row>
    <row r="10" spans="2:39" ht="28.9" customHeight="1" x14ac:dyDescent="0.3">
      <c r="B10" s="336">
        <v>160</v>
      </c>
      <c r="C10" s="336">
        <v>1600</v>
      </c>
      <c r="D10" s="336" t="s">
        <v>753</v>
      </c>
    </row>
    <row r="11" spans="2:39" ht="28.9" customHeight="1" x14ac:dyDescent="0.3">
      <c r="B11" s="336"/>
      <c r="C11" s="336"/>
      <c r="D11" s="336"/>
    </row>
    <row r="12" spans="2:39" ht="28.9" customHeight="1" x14ac:dyDescent="0.3">
      <c r="B12" s="336"/>
      <c r="C12" s="336"/>
      <c r="D12" s="336"/>
    </row>
    <row r="13" spans="2:39" ht="28.9" customHeight="1" x14ac:dyDescent="0.3">
      <c r="B13" s="336"/>
      <c r="C13" s="336"/>
      <c r="D13" s="336"/>
    </row>
    <row r="14" spans="2:39" ht="28.9" customHeight="1" x14ac:dyDescent="0.3">
      <c r="B14" s="336"/>
      <c r="C14" s="336"/>
      <c r="D14" s="336"/>
    </row>
    <row r="15" spans="2:39" ht="28.9" customHeight="1" x14ac:dyDescent="0.3">
      <c r="B15" s="336"/>
      <c r="C15" s="336"/>
      <c r="D15" s="336"/>
    </row>
    <row r="16" spans="2:39" ht="28.9" customHeight="1" x14ac:dyDescent="0.3">
      <c r="B16" s="336"/>
      <c r="C16" s="336"/>
      <c r="D16" s="336"/>
    </row>
    <row r="17" spans="2:4" ht="28.9" customHeight="1" x14ac:dyDescent="0.3">
      <c r="B17" s="336"/>
      <c r="C17" s="336"/>
      <c r="D17" s="336"/>
    </row>
    <row r="18" spans="2:4" ht="28.9" customHeight="1" x14ac:dyDescent="0.3">
      <c r="B18" s="336"/>
      <c r="C18" s="336"/>
      <c r="D18" s="336"/>
    </row>
    <row r="19" spans="2:4" ht="28.9" customHeight="1" x14ac:dyDescent="0.3">
      <c r="B19" s="336"/>
      <c r="C19" s="336"/>
      <c r="D19" s="336"/>
    </row>
    <row r="20" spans="2:4" ht="28.9" customHeight="1" x14ac:dyDescent="0.3">
      <c r="B20" s="336"/>
      <c r="C20" s="336"/>
      <c r="D20" s="336"/>
    </row>
    <row r="21" spans="2:4" ht="28.9" customHeight="1" x14ac:dyDescent="0.3">
      <c r="B21" s="336"/>
      <c r="C21" s="336"/>
      <c r="D21" s="336"/>
    </row>
    <row r="22" spans="2:4" ht="28.9" customHeight="1" x14ac:dyDescent="0.3">
      <c r="B22" s="336"/>
      <c r="C22" s="336"/>
      <c r="D22" s="336"/>
    </row>
    <row r="23" spans="2:4" ht="28.9" customHeight="1" x14ac:dyDescent="0.3">
      <c r="B23" s="336"/>
      <c r="C23" s="336"/>
      <c r="D23" s="336"/>
    </row>
    <row r="24" spans="2:4" ht="28.9" customHeight="1" x14ac:dyDescent="0.3">
      <c r="B24" s="336"/>
      <c r="C24" s="336"/>
      <c r="D24" s="336"/>
    </row>
    <row r="25" spans="2:4" ht="28.9" customHeight="1" x14ac:dyDescent="0.3">
      <c r="B25" s="336"/>
      <c r="C25" s="336"/>
      <c r="D25" s="336"/>
    </row>
    <row r="26" spans="2:4" ht="28.9" customHeight="1" x14ac:dyDescent="0.3">
      <c r="B26" s="336"/>
      <c r="C26" s="336"/>
      <c r="D26" s="336"/>
    </row>
    <row r="27" spans="2:4" ht="28.9" customHeight="1" x14ac:dyDescent="0.3">
      <c r="B27" s="336"/>
      <c r="C27" s="336"/>
      <c r="D27" s="336"/>
    </row>
    <row r="28" spans="2:4" ht="28.9" customHeight="1" x14ac:dyDescent="0.3">
      <c r="B28" s="336"/>
      <c r="C28" s="336"/>
      <c r="D28" s="336"/>
    </row>
    <row r="29" spans="2:4" ht="28.9" customHeight="1" x14ac:dyDescent="0.3">
      <c r="B29" s="336"/>
      <c r="C29" s="336"/>
      <c r="D29" s="336"/>
    </row>
    <row r="30" spans="2:4" ht="28.9" customHeight="1" x14ac:dyDescent="0.3">
      <c r="B30" s="336"/>
      <c r="C30" s="336"/>
      <c r="D30" s="336"/>
    </row>
    <row r="31" spans="2:4" ht="28.9" customHeight="1" x14ac:dyDescent="0.3">
      <c r="B31" s="336"/>
      <c r="C31" s="336"/>
      <c r="D31" s="336"/>
    </row>
    <row r="32" spans="2: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49" ht="28.9" customHeigh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49" ht="28.9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49" ht="28.9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49" ht="28.9" customHeigh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49" ht="28.9" customHeight="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49" ht="28.9" customHeight="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49" ht="28.9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49" ht="28.9" customHeight="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ht="28.9" customHeight="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ht="28.9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ht="28.9" customHeight="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ht="28.9" customHeight="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ht="28.9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ht="28.9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ht="28.9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ht="28.9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ht="28.9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6" spans="1:22" ht="28.9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</row>
    <row r="27" spans="1:22" ht="28.9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</row>
    <row r="28" spans="1:22" ht="28.9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</row>
    <row r="29" spans="1:22" ht="28.9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</row>
    <row r="30" spans="1:22" ht="28.9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</row>
    <row r="31" spans="1:22" ht="28.9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</row>
    <row r="32" spans="1:22" ht="28.9" customHeight="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</row>
    <row r="33" spans="1:22" ht="28.9" customHeight="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4" spans="1:22" ht="28.9" customHeight="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</row>
    <row r="35" spans="1:22" ht="28.9" customHeight="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6" spans="1:22" ht="28.9" customHeight="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</row>
    <row r="37" spans="1:22" ht="28.9" customHeight="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</row>
    <row r="38" spans="1:22" ht="28.9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</row>
    <row r="39" spans="1:22" ht="28.9" customHeight="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</row>
    <row r="40" spans="1:22" ht="28.9" customHeight="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</row>
    <row r="41" spans="1:22" ht="28.9" customHeight="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</row>
    <row r="42" spans="1:22" ht="28.9" customHeight="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</row>
    <row r="43" spans="1:22" ht="28.9" customHeight="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</row>
    <row r="44" spans="1:22" ht="28.9" customHeight="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</row>
    <row r="45" spans="1:22" ht="28.9" customHeight="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</row>
    <row r="46" spans="1:22" ht="28.9" customHeight="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</row>
    <row r="47" spans="1:22" ht="28.9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</row>
    <row r="48" spans="1:22" ht="28.9" customHeight="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</row>
    <row r="49" spans="1:22" ht="28.9" customHeight="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</row>
    <row r="50" spans="1:22" ht="28.9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</row>
    <row r="51" spans="1:22" ht="28.9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</row>
    <row r="52" spans="1:22" ht="28.9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</row>
    <row r="53" spans="1:22" ht="28.9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</row>
    <row r="54" spans="1:22" ht="28.9" customHeight="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</row>
    <row r="55" spans="1:22" ht="28.9" customHeight="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</row>
    <row r="56" spans="1:22" ht="28.9" customHeight="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</row>
    <row r="57" spans="1:22" ht="28.9" customHeigh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</row>
    <row r="58" spans="1:22" ht="28.9" customHeight="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</row>
    <row r="59" spans="1:22" ht="28.9" customHeight="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</row>
    <row r="60" spans="1:22" ht="28.9" customHeight="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</row>
    <row r="61" spans="1:22" ht="28.9" customHeight="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</row>
    <row r="62" spans="1:22" ht="28.9" customHeight="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</row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zoomScale="40" zoomScaleNormal="40" workbookViewId="0">
      <selection activeCell="E15" sqref="E15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0" t="s">
        <v>579</v>
      </c>
      <c r="I12" s="461"/>
      <c r="J12" s="461"/>
      <c r="K12" s="461"/>
      <c r="L12" s="461"/>
      <c r="M12" s="462"/>
    </row>
    <row r="13" spans="1:49" ht="28.9" customHeight="1" x14ac:dyDescent="0.25">
      <c r="G13" t="s">
        <v>655</v>
      </c>
      <c r="H13" s="466"/>
      <c r="I13" s="467"/>
      <c r="J13" s="467"/>
      <c r="K13" s="467"/>
      <c r="L13" s="467"/>
      <c r="M13" s="468"/>
    </row>
    <row r="14" spans="1:49" ht="28.9" customHeight="1" x14ac:dyDescent="0.25">
      <c r="H14" s="66"/>
      <c r="I14" s="197"/>
      <c r="J14" s="197"/>
      <c r="K14" s="197"/>
      <c r="L14" s="197"/>
      <c r="M14" s="67"/>
    </row>
    <row r="15" spans="1:49" ht="28.9" customHeight="1" x14ac:dyDescent="0.35">
      <c r="H15" s="68"/>
      <c r="I15" s="294" t="s">
        <v>373</v>
      </c>
      <c r="J15" s="198"/>
      <c r="K15" s="198"/>
      <c r="L15" s="295"/>
      <c r="M15" s="69"/>
    </row>
    <row r="16" spans="1:49" ht="28.9" customHeight="1" x14ac:dyDescent="0.35">
      <c r="H16" s="68"/>
      <c r="I16" s="296"/>
      <c r="J16" s="198"/>
      <c r="K16" s="198"/>
      <c r="L16" s="199"/>
      <c r="M16" s="69"/>
    </row>
    <row r="17" spans="8:13" ht="28.9" customHeight="1" x14ac:dyDescent="0.35">
      <c r="H17" s="70"/>
      <c r="I17" s="297" t="s">
        <v>375</v>
      </c>
      <c r="J17" s="200"/>
      <c r="K17" s="201"/>
      <c r="L17" s="298"/>
      <c r="M17" s="71"/>
    </row>
    <row r="18" spans="8:13" ht="28.9" customHeight="1" x14ac:dyDescent="0.3">
      <c r="H18" s="70"/>
      <c r="I18" s="297"/>
      <c r="J18" s="200"/>
      <c r="K18" s="201"/>
      <c r="L18" s="201"/>
      <c r="M18" s="71"/>
    </row>
    <row r="19" spans="8:13" ht="28.9" customHeight="1" x14ac:dyDescent="0.35">
      <c r="H19" s="70"/>
      <c r="I19" s="297" t="s">
        <v>362</v>
      </c>
      <c r="J19" s="200"/>
      <c r="K19" s="201"/>
      <c r="L19" s="298"/>
      <c r="M19" s="71"/>
    </row>
    <row r="20" spans="8:13" ht="28.9" customHeight="1" x14ac:dyDescent="0.3">
      <c r="H20" s="70"/>
      <c r="I20" s="299"/>
      <c r="J20" s="201"/>
      <c r="K20" s="201"/>
      <c r="L20" s="201"/>
      <c r="M20" s="71"/>
    </row>
    <row r="21" spans="8:13" ht="28.9" customHeight="1" x14ac:dyDescent="0.35">
      <c r="H21" s="70"/>
      <c r="I21" s="297" t="s">
        <v>36</v>
      </c>
      <c r="J21" s="201"/>
      <c r="K21" s="201"/>
      <c r="L21" s="300"/>
      <c r="M21" s="71"/>
    </row>
    <row r="22" spans="8:13" ht="28.9" customHeight="1" x14ac:dyDescent="0.3">
      <c r="H22" s="70"/>
      <c r="I22" s="299"/>
      <c r="J22" s="201"/>
      <c r="K22" s="201"/>
      <c r="L22" s="201"/>
      <c r="M22" s="71"/>
    </row>
    <row r="23" spans="8:13" ht="28.9" customHeight="1" x14ac:dyDescent="0.35">
      <c r="H23" s="70"/>
      <c r="I23" s="297" t="s">
        <v>35</v>
      </c>
      <c r="J23" s="201"/>
      <c r="K23" s="201"/>
      <c r="L23" s="298"/>
      <c r="M23" s="71"/>
    </row>
    <row r="24" spans="8:13" ht="28.9" customHeight="1" x14ac:dyDescent="0.3">
      <c r="H24" s="70"/>
      <c r="I24" s="299"/>
      <c r="J24" s="201"/>
      <c r="K24" s="201"/>
      <c r="L24" s="201"/>
      <c r="M24" s="71"/>
    </row>
    <row r="25" spans="8:13" ht="28.9" customHeight="1" x14ac:dyDescent="0.35">
      <c r="H25" s="70"/>
      <c r="I25" s="297" t="s">
        <v>380</v>
      </c>
      <c r="J25" s="201"/>
      <c r="K25" s="201"/>
      <c r="L25" s="298"/>
      <c r="M25" s="71"/>
    </row>
    <row r="26" spans="8:13" ht="28.9" customHeight="1" x14ac:dyDescent="0.3">
      <c r="H26" s="70"/>
      <c r="I26" s="299"/>
      <c r="J26" s="201"/>
      <c r="K26" s="202"/>
      <c r="L26" s="202"/>
      <c r="M26" s="72"/>
    </row>
    <row r="27" spans="8:13" ht="28.9" customHeight="1" x14ac:dyDescent="0.35">
      <c r="H27" s="70"/>
      <c r="I27" s="297" t="s">
        <v>382</v>
      </c>
      <c r="J27" s="201"/>
      <c r="K27" s="202"/>
      <c r="L27" s="301"/>
      <c r="M27" s="72"/>
    </row>
    <row r="28" spans="8:13" ht="28.9" customHeight="1" x14ac:dyDescent="0.35">
      <c r="H28" s="68"/>
      <c r="I28" s="296"/>
      <c r="J28" s="198"/>
      <c r="K28" s="198"/>
      <c r="L28" s="199"/>
      <c r="M28" s="69"/>
    </row>
    <row r="29" spans="8:13" ht="28.9" customHeight="1" x14ac:dyDescent="0.35">
      <c r="H29" s="70"/>
      <c r="I29" s="297" t="s">
        <v>384</v>
      </c>
      <c r="J29" s="201"/>
      <c r="K29" s="202"/>
      <c r="L29" s="301"/>
      <c r="M29" s="72"/>
    </row>
    <row r="30" spans="8:13" ht="28.9" customHeight="1" x14ac:dyDescent="0.3">
      <c r="H30" s="70"/>
      <c r="I30" s="299"/>
      <c r="J30" s="201"/>
      <c r="K30" s="202"/>
      <c r="L30" s="202"/>
      <c r="M30" s="72"/>
    </row>
    <row r="31" spans="8:13" ht="28.9" customHeight="1" x14ac:dyDescent="0.35">
      <c r="H31" s="70"/>
      <c r="I31" s="297" t="s">
        <v>386</v>
      </c>
      <c r="J31" s="201"/>
      <c r="K31" s="202"/>
      <c r="L31" s="302"/>
      <c r="M31" s="72"/>
    </row>
    <row r="32" spans="8:13" ht="28.9" customHeight="1" x14ac:dyDescent="0.25">
      <c r="H32" s="70"/>
      <c r="I32" s="201"/>
      <c r="J32" s="201"/>
      <c r="K32" s="202"/>
      <c r="L32" s="202"/>
      <c r="M32" s="72"/>
    </row>
    <row r="33" spans="8:13" ht="28.9" customHeight="1" x14ac:dyDescent="0.25">
      <c r="H33" s="70"/>
      <c r="I33" s="201"/>
      <c r="J33" s="201"/>
      <c r="K33" s="202"/>
      <c r="L33" s="202"/>
      <c r="M33" s="72"/>
    </row>
    <row r="34" spans="8:13" ht="28.9" customHeight="1" x14ac:dyDescent="0.25">
      <c r="H34" s="70"/>
      <c r="I34" s="201"/>
      <c r="J34" s="201"/>
      <c r="K34" s="202"/>
      <c r="L34" s="202" t="s">
        <v>655</v>
      </c>
      <c r="M34" s="72"/>
    </row>
    <row r="35" spans="8:13" ht="28.9" customHeight="1" x14ac:dyDescent="0.25">
      <c r="H35" s="70"/>
      <c r="I35" s="201"/>
      <c r="J35" s="201"/>
      <c r="K35" s="202"/>
      <c r="L35" s="202"/>
      <c r="M35" s="72"/>
    </row>
    <row r="36" spans="8:13" ht="28.9" customHeight="1" thickBot="1" x14ac:dyDescent="0.3">
      <c r="H36" s="73"/>
      <c r="I36" s="74"/>
      <c r="J36" s="74"/>
      <c r="K36" s="75"/>
      <c r="L36" s="75"/>
      <c r="M36" s="76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E21" sqref="E21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50.5703125" bestFit="1" customWidth="1"/>
    <col min="9" max="9" width="38.7109375" bestFit="1" customWidth="1"/>
    <col min="10" max="10" width="70.5703125" bestFit="1" customWidth="1"/>
    <col min="11" max="11" width="28.7109375" bestFit="1" customWidth="1"/>
    <col min="12" max="12" width="63.42578125" bestFit="1" customWidth="1"/>
    <col min="13" max="13" width="34.28515625" customWidth="1"/>
    <col min="14" max="14" width="28.5703125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>
      <c r="G12" s="303" t="s">
        <v>220</v>
      </c>
      <c r="H12" s="303" t="s">
        <v>656</v>
      </c>
      <c r="I12" s="303" t="s">
        <v>362</v>
      </c>
      <c r="J12" s="303" t="s">
        <v>294</v>
      </c>
      <c r="K12" s="303" t="s">
        <v>407</v>
      </c>
      <c r="L12" s="303" t="s">
        <v>293</v>
      </c>
      <c r="M12" s="303" t="s">
        <v>657</v>
      </c>
      <c r="N12" s="303" t="s">
        <v>282</v>
      </c>
      <c r="O12" s="303" t="s">
        <v>658</v>
      </c>
    </row>
    <row r="13" spans="1:49" ht="28.9" customHeight="1" x14ac:dyDescent="0.25">
      <c r="G13" s="304" t="s">
        <v>659</v>
      </c>
      <c r="H13" s="304" t="s">
        <v>660</v>
      </c>
      <c r="I13" s="304" t="s">
        <v>661</v>
      </c>
      <c r="J13" s="304" t="s">
        <v>662</v>
      </c>
      <c r="K13" s="304" t="s">
        <v>663</v>
      </c>
      <c r="L13" s="304" t="s">
        <v>664</v>
      </c>
      <c r="M13" s="304" t="s">
        <v>665</v>
      </c>
      <c r="N13" s="304" t="s">
        <v>666</v>
      </c>
      <c r="O13" s="305">
        <v>2.5</v>
      </c>
    </row>
    <row r="14" spans="1:49" ht="28.9" customHeight="1" x14ac:dyDescent="0.25">
      <c r="G14" s="304" t="s">
        <v>667</v>
      </c>
      <c r="H14" s="306" t="s">
        <v>668</v>
      </c>
      <c r="I14" s="306" t="s">
        <v>669</v>
      </c>
      <c r="J14" s="306" t="s">
        <v>670</v>
      </c>
      <c r="K14" s="306" t="s">
        <v>671</v>
      </c>
      <c r="L14" s="306" t="s">
        <v>672</v>
      </c>
      <c r="M14" s="306" t="s">
        <v>665</v>
      </c>
      <c r="N14" s="306" t="s">
        <v>666</v>
      </c>
      <c r="O14" s="307">
        <v>2.5</v>
      </c>
    </row>
    <row r="15" spans="1:49" ht="28.9" customHeight="1" x14ac:dyDescent="0.25">
      <c r="G15" s="304" t="s">
        <v>673</v>
      </c>
      <c r="H15" s="306" t="s">
        <v>674</v>
      </c>
      <c r="I15" s="306" t="s">
        <v>675</v>
      </c>
      <c r="J15" s="306" t="s">
        <v>676</v>
      </c>
      <c r="K15" s="306" t="s">
        <v>677</v>
      </c>
      <c r="L15" s="306" t="s">
        <v>678</v>
      </c>
      <c r="M15" s="306" t="s">
        <v>383</v>
      </c>
      <c r="N15" s="306" t="s">
        <v>679</v>
      </c>
      <c r="O15" s="307">
        <v>3.85</v>
      </c>
    </row>
    <row r="16" spans="1:49" ht="28.9" customHeight="1" x14ac:dyDescent="0.25">
      <c r="G16" s="304" t="s">
        <v>680</v>
      </c>
      <c r="H16" s="306" t="s">
        <v>681</v>
      </c>
      <c r="I16" s="306" t="s">
        <v>682</v>
      </c>
      <c r="J16" s="306" t="s">
        <v>683</v>
      </c>
      <c r="K16" s="306" t="s">
        <v>684</v>
      </c>
      <c r="L16" s="306" t="s">
        <v>685</v>
      </c>
      <c r="M16" s="306" t="s">
        <v>383</v>
      </c>
      <c r="N16" s="306" t="s">
        <v>666</v>
      </c>
      <c r="O16" s="307">
        <v>2.5</v>
      </c>
    </row>
    <row r="17" spans="6:15" ht="28.9" customHeight="1" x14ac:dyDescent="0.25">
      <c r="G17" s="304" t="s">
        <v>686</v>
      </c>
      <c r="H17" s="304" t="s">
        <v>687</v>
      </c>
      <c r="I17" s="304" t="s">
        <v>688</v>
      </c>
      <c r="J17" s="304" t="s">
        <v>689</v>
      </c>
      <c r="K17" s="304" t="s">
        <v>690</v>
      </c>
      <c r="L17" s="304" t="s">
        <v>691</v>
      </c>
      <c r="M17" s="304" t="s">
        <v>665</v>
      </c>
      <c r="N17" s="304" t="s">
        <v>679</v>
      </c>
      <c r="O17" s="305">
        <v>3.25</v>
      </c>
    </row>
    <row r="18" spans="6:15" ht="28.9" customHeight="1" x14ac:dyDescent="0.25">
      <c r="G18" s="304" t="s">
        <v>692</v>
      </c>
      <c r="H18" s="306" t="s">
        <v>693</v>
      </c>
      <c r="I18" s="306" t="s">
        <v>694</v>
      </c>
      <c r="J18" s="306" t="s">
        <v>695</v>
      </c>
      <c r="K18" s="306" t="s">
        <v>696</v>
      </c>
      <c r="L18" s="306" t="s">
        <v>697</v>
      </c>
      <c r="M18" s="308" t="s">
        <v>665</v>
      </c>
      <c r="N18" s="308" t="s">
        <v>679</v>
      </c>
      <c r="O18" s="309">
        <v>2.75</v>
      </c>
    </row>
    <row r="19" spans="6:15" ht="28.9" customHeight="1" x14ac:dyDescent="0.25">
      <c r="G19" s="304" t="s">
        <v>374</v>
      </c>
      <c r="H19" s="304" t="s">
        <v>376</v>
      </c>
      <c r="I19" s="304" t="s">
        <v>377</v>
      </c>
      <c r="J19" s="304" t="s">
        <v>378</v>
      </c>
      <c r="K19" s="304" t="s">
        <v>379</v>
      </c>
      <c r="L19" s="304" t="s">
        <v>381</v>
      </c>
      <c r="M19" s="304" t="s">
        <v>383</v>
      </c>
      <c r="N19" s="304" t="s">
        <v>679</v>
      </c>
      <c r="O19" s="305">
        <v>2.5</v>
      </c>
    </row>
    <row r="20" spans="6:15" ht="28.9" customHeight="1" x14ac:dyDescent="0.25">
      <c r="G20" s="304" t="s">
        <v>698</v>
      </c>
      <c r="H20" s="306" t="s">
        <v>699</v>
      </c>
      <c r="I20" s="306" t="s">
        <v>700</v>
      </c>
      <c r="J20" s="306" t="s">
        <v>701</v>
      </c>
      <c r="K20" s="306" t="s">
        <v>702</v>
      </c>
      <c r="L20" s="306" t="s">
        <v>703</v>
      </c>
      <c r="M20" s="306" t="s">
        <v>383</v>
      </c>
      <c r="N20" s="306" t="s">
        <v>385</v>
      </c>
      <c r="O20" s="307">
        <v>4.3</v>
      </c>
    </row>
    <row r="21" spans="6:15" ht="28.9" customHeight="1" x14ac:dyDescent="0.25">
      <c r="G21" s="304" t="s">
        <v>374</v>
      </c>
      <c r="H21" s="304" t="s">
        <v>376</v>
      </c>
      <c r="I21" s="304" t="s">
        <v>377</v>
      </c>
      <c r="J21" s="304" t="s">
        <v>378</v>
      </c>
      <c r="K21" s="304" t="s">
        <v>379</v>
      </c>
      <c r="L21" s="304" t="s">
        <v>381</v>
      </c>
      <c r="M21" s="304" t="s">
        <v>383</v>
      </c>
      <c r="N21" s="304" t="s">
        <v>385</v>
      </c>
      <c r="O21" s="305">
        <v>4.5</v>
      </c>
    </row>
    <row r="22" spans="6:15" ht="28.9" customHeight="1" x14ac:dyDescent="0.25">
      <c r="G22" s="304" t="s">
        <v>704</v>
      </c>
      <c r="H22" s="306" t="s">
        <v>705</v>
      </c>
      <c r="I22" s="306" t="s">
        <v>706</v>
      </c>
      <c r="J22" s="306" t="s">
        <v>707</v>
      </c>
      <c r="K22" s="306" t="s">
        <v>708</v>
      </c>
      <c r="L22" s="306" t="s">
        <v>709</v>
      </c>
      <c r="M22" s="306" t="s">
        <v>665</v>
      </c>
      <c r="N22" s="306" t="s">
        <v>385</v>
      </c>
      <c r="O22" s="307">
        <v>5</v>
      </c>
    </row>
    <row r="23" spans="6:15" ht="28.9" customHeight="1" x14ac:dyDescent="0.25">
      <c r="G23" s="304" t="s">
        <v>710</v>
      </c>
      <c r="H23" s="306" t="s">
        <v>711</v>
      </c>
      <c r="I23" s="306" t="s">
        <v>712</v>
      </c>
      <c r="J23" s="306" t="s">
        <v>713</v>
      </c>
      <c r="K23" s="306" t="s">
        <v>714</v>
      </c>
      <c r="L23" s="306" t="s">
        <v>715</v>
      </c>
      <c r="M23" s="306" t="s">
        <v>383</v>
      </c>
      <c r="N23" s="306" t="s">
        <v>716</v>
      </c>
      <c r="O23" s="307">
        <v>11.5</v>
      </c>
    </row>
    <row r="24" spans="6:15" ht="28.9" customHeight="1" x14ac:dyDescent="0.25">
      <c r="G24" s="304" t="s">
        <v>717</v>
      </c>
      <c r="H24" s="306" t="s">
        <v>718</v>
      </c>
      <c r="I24" s="306" t="s">
        <v>719</v>
      </c>
      <c r="J24" s="306" t="s">
        <v>720</v>
      </c>
      <c r="K24" s="306" t="s">
        <v>721</v>
      </c>
      <c r="L24" s="306" t="s">
        <v>722</v>
      </c>
      <c r="M24" s="306" t="s">
        <v>665</v>
      </c>
      <c r="N24" s="306" t="s">
        <v>716</v>
      </c>
      <c r="O24" s="307">
        <v>11.75</v>
      </c>
    </row>
    <row r="25" spans="6:15" ht="28.9" customHeight="1" x14ac:dyDescent="0.25">
      <c r="F25" t="s">
        <v>743</v>
      </c>
      <c r="G25" s="304" t="s">
        <v>723</v>
      </c>
      <c r="H25" s="304" t="s">
        <v>724</v>
      </c>
      <c r="I25" s="304" t="s">
        <v>725</v>
      </c>
      <c r="J25" s="304" t="s">
        <v>726</v>
      </c>
      <c r="K25" s="304" t="s">
        <v>727</v>
      </c>
      <c r="L25" s="304" t="s">
        <v>728</v>
      </c>
      <c r="M25" s="304" t="s">
        <v>383</v>
      </c>
      <c r="N25" s="304" t="s">
        <v>716</v>
      </c>
      <c r="O25" s="305">
        <v>12</v>
      </c>
    </row>
    <row r="26" spans="6:15" ht="28.9" customHeight="1" x14ac:dyDescent="0.25">
      <c r="G26" s="304" t="s">
        <v>729</v>
      </c>
      <c r="H26" s="306" t="s">
        <v>730</v>
      </c>
      <c r="I26" s="306" t="s">
        <v>731</v>
      </c>
      <c r="J26" s="306" t="s">
        <v>732</v>
      </c>
      <c r="K26" s="306" t="s">
        <v>733</v>
      </c>
      <c r="L26" s="306" t="s">
        <v>734</v>
      </c>
      <c r="M26" s="306" t="s">
        <v>665</v>
      </c>
      <c r="N26" s="306" t="s">
        <v>735</v>
      </c>
      <c r="O26" s="307">
        <v>17</v>
      </c>
    </row>
    <row r="27" spans="6:15" ht="28.9" customHeight="1" x14ac:dyDescent="0.25">
      <c r="G27" s="304" t="s">
        <v>736</v>
      </c>
      <c r="H27" s="306" t="s">
        <v>737</v>
      </c>
      <c r="I27" s="306" t="s">
        <v>738</v>
      </c>
      <c r="J27" s="306" t="s">
        <v>739</v>
      </c>
      <c r="K27" s="306" t="s">
        <v>740</v>
      </c>
      <c r="L27" s="306" t="s">
        <v>741</v>
      </c>
      <c r="M27" s="306" t="s">
        <v>383</v>
      </c>
      <c r="N27" s="306" t="s">
        <v>735</v>
      </c>
      <c r="O27" s="307">
        <v>16.149999999999999</v>
      </c>
    </row>
    <row r="28" spans="6:15" ht="28.9" customHeight="1" x14ac:dyDescent="0.25">
      <c r="G28" s="304" t="s">
        <v>659</v>
      </c>
      <c r="H28" s="304" t="s">
        <v>660</v>
      </c>
      <c r="I28" s="304" t="s">
        <v>661</v>
      </c>
      <c r="J28" s="304" t="s">
        <v>662</v>
      </c>
      <c r="K28" s="304" t="s">
        <v>663</v>
      </c>
      <c r="L28" s="304" t="s">
        <v>664</v>
      </c>
      <c r="M28" s="304" t="s">
        <v>383</v>
      </c>
      <c r="N28" s="304" t="s">
        <v>735</v>
      </c>
      <c r="O28" s="305">
        <v>15.65</v>
      </c>
    </row>
    <row r="29" spans="6:15" ht="28.9" customHeight="1" x14ac:dyDescent="0.25"/>
    <row r="30" spans="6:15" ht="28.9" customHeight="1" x14ac:dyDescent="0.25"/>
    <row r="31" spans="6:15" ht="28.9" customHeight="1" x14ac:dyDescent="0.25"/>
    <row r="32" spans="6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>
      <selection activeCell="E17" sqref="E1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0" t="s">
        <v>394</v>
      </c>
      <c r="I12" s="461"/>
      <c r="J12" s="461"/>
      <c r="K12" s="461"/>
      <c r="L12" s="461"/>
      <c r="M12" s="462"/>
    </row>
    <row r="13" spans="1:49" ht="28.9" customHeight="1" x14ac:dyDescent="0.25">
      <c r="H13" s="466"/>
      <c r="I13" s="467"/>
      <c r="J13" s="467"/>
      <c r="K13" s="467"/>
      <c r="L13" s="467"/>
      <c r="M13" s="468"/>
    </row>
    <row r="14" spans="1:49" ht="28.9" customHeight="1" x14ac:dyDescent="0.25">
      <c r="H14" s="66"/>
      <c r="I14" s="197"/>
      <c r="J14" s="197"/>
      <c r="K14" s="197"/>
      <c r="L14" s="197"/>
      <c r="M14" s="67"/>
    </row>
    <row r="15" spans="1:49" ht="28.9" customHeight="1" x14ac:dyDescent="0.35">
      <c r="H15" s="68"/>
      <c r="I15" s="310" t="s">
        <v>392</v>
      </c>
      <c r="J15" s="296"/>
      <c r="K15" s="198"/>
      <c r="L15" s="295"/>
      <c r="M15" s="69"/>
    </row>
    <row r="16" spans="1:49" ht="28.9" customHeight="1" x14ac:dyDescent="0.35">
      <c r="H16" s="68"/>
      <c r="I16" s="311"/>
      <c r="J16" s="296"/>
      <c r="K16" s="198"/>
      <c r="L16" s="199"/>
      <c r="M16" s="69"/>
    </row>
    <row r="17" spans="8:13" ht="28.9" customHeight="1" x14ac:dyDescent="0.35">
      <c r="H17" s="70"/>
      <c r="I17" s="310" t="s">
        <v>393</v>
      </c>
      <c r="J17" s="297"/>
      <c r="K17" s="201"/>
      <c r="L17" s="298"/>
      <c r="M17" s="71"/>
    </row>
    <row r="18" spans="8:13" ht="28.9" customHeight="1" x14ac:dyDescent="0.3">
      <c r="H18" s="70"/>
      <c r="I18" s="312"/>
      <c r="J18" s="297"/>
      <c r="K18" s="201"/>
      <c r="L18" s="201"/>
      <c r="M18" s="71"/>
    </row>
    <row r="19" spans="8:13" ht="28.9" customHeight="1" x14ac:dyDescent="0.35">
      <c r="H19" s="70"/>
      <c r="I19" s="310" t="s">
        <v>384</v>
      </c>
      <c r="J19" s="297"/>
      <c r="K19" s="201"/>
      <c r="L19" s="298"/>
      <c r="M19" s="71"/>
    </row>
    <row r="20" spans="8:13" ht="28.9" customHeight="1" x14ac:dyDescent="0.3">
      <c r="H20" s="70"/>
      <c r="I20" s="312"/>
      <c r="J20" s="299"/>
      <c r="K20" s="201"/>
      <c r="L20" s="201"/>
      <c r="M20" s="71"/>
    </row>
    <row r="21" spans="8:13" ht="28.9" customHeight="1" x14ac:dyDescent="0.35">
      <c r="H21" s="70"/>
      <c r="I21" s="310" t="s">
        <v>225</v>
      </c>
      <c r="J21" s="299"/>
      <c r="K21" s="201"/>
      <c r="L21" s="313"/>
      <c r="M21" s="71"/>
    </row>
    <row r="22" spans="8:13" ht="28.9" customHeight="1" x14ac:dyDescent="0.3">
      <c r="H22" s="70"/>
      <c r="I22" s="314"/>
      <c r="J22" s="299"/>
      <c r="K22" s="201"/>
      <c r="L22" s="201"/>
      <c r="M22" s="71"/>
    </row>
    <row r="23" spans="8:13" ht="28.9" customHeight="1" x14ac:dyDescent="0.3">
      <c r="H23" s="70"/>
      <c r="I23" s="294"/>
      <c r="J23" s="299"/>
      <c r="K23" s="201"/>
      <c r="L23" s="201"/>
      <c r="M23" s="71"/>
    </row>
    <row r="24" spans="8:13" ht="28.9" customHeight="1" x14ac:dyDescent="0.3">
      <c r="H24" s="70"/>
      <c r="I24" s="299"/>
      <c r="J24" s="299"/>
      <c r="K24" s="201"/>
      <c r="L24" s="201"/>
      <c r="M24" s="71"/>
    </row>
    <row r="25" spans="8:13" ht="28.9" customHeight="1" x14ac:dyDescent="0.3">
      <c r="H25" s="70"/>
      <c r="I25" s="297"/>
      <c r="J25" s="299"/>
      <c r="K25" s="201"/>
      <c r="L25" s="201"/>
      <c r="M25" s="71"/>
    </row>
    <row r="26" spans="8:13" ht="28.9" customHeight="1" x14ac:dyDescent="0.3">
      <c r="H26" s="70"/>
      <c r="I26" s="299"/>
      <c r="J26" s="299"/>
      <c r="K26" s="202"/>
      <c r="L26" s="202"/>
      <c r="M26" s="72"/>
    </row>
    <row r="27" spans="8:13" ht="28.9" customHeight="1" thickBot="1" x14ac:dyDescent="0.35">
      <c r="H27" s="73"/>
      <c r="I27" s="208"/>
      <c r="J27" s="209"/>
      <c r="K27" s="75"/>
      <c r="L27" s="75"/>
      <c r="M27" s="76"/>
    </row>
    <row r="28" spans="8:13" ht="28.9" customHeight="1" x14ac:dyDescent="0.35">
      <c r="H28" s="315"/>
      <c r="I28" s="316"/>
      <c r="J28" s="315"/>
      <c r="K28" s="315"/>
      <c r="L28" s="317"/>
      <c r="M28" s="315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E14" sqref="E14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0" t="s">
        <v>580</v>
      </c>
      <c r="I12" s="461"/>
      <c r="J12" s="461"/>
      <c r="K12" s="461"/>
      <c r="L12" s="461"/>
      <c r="M12" s="462"/>
    </row>
    <row r="13" spans="1:49" ht="28.9" customHeight="1" x14ac:dyDescent="0.25">
      <c r="H13" s="466"/>
      <c r="I13" s="467"/>
      <c r="J13" s="467"/>
      <c r="K13" s="467"/>
      <c r="L13" s="467"/>
      <c r="M13" s="468"/>
    </row>
    <row r="14" spans="1:49" ht="28.9" customHeight="1" x14ac:dyDescent="0.25">
      <c r="H14" s="66"/>
      <c r="I14" s="197"/>
      <c r="J14" s="197"/>
      <c r="K14" s="197"/>
      <c r="L14" s="197"/>
      <c r="M14" s="67"/>
    </row>
    <row r="15" spans="1:49" ht="28.9" customHeight="1" x14ac:dyDescent="0.35">
      <c r="H15" s="68"/>
      <c r="I15" s="294" t="s">
        <v>387</v>
      </c>
      <c r="J15" s="296"/>
      <c r="K15" s="198"/>
      <c r="L15" s="62"/>
      <c r="M15" s="69"/>
    </row>
    <row r="16" spans="1:49" ht="28.9" customHeight="1" x14ac:dyDescent="0.35">
      <c r="H16" s="68"/>
      <c r="I16" s="294"/>
      <c r="J16" s="296"/>
      <c r="K16" s="198"/>
      <c r="L16" s="199"/>
      <c r="M16" s="69"/>
    </row>
    <row r="17" spans="8:13" ht="28.9" customHeight="1" x14ac:dyDescent="0.3">
      <c r="H17" s="70"/>
      <c r="I17" s="294" t="s">
        <v>388</v>
      </c>
      <c r="J17" s="297"/>
      <c r="K17" s="201"/>
      <c r="L17" s="63"/>
      <c r="M17" s="71"/>
    </row>
    <row r="18" spans="8:13" ht="28.9" customHeight="1" x14ac:dyDescent="0.3">
      <c r="H18" s="70"/>
      <c r="I18" s="294"/>
      <c r="J18" s="297"/>
      <c r="K18" s="201"/>
      <c r="L18" s="201"/>
      <c r="M18" s="71"/>
    </row>
    <row r="19" spans="8:13" ht="28.9" customHeight="1" x14ac:dyDescent="0.3">
      <c r="H19" s="70"/>
      <c r="I19" s="294" t="s">
        <v>389</v>
      </c>
      <c r="J19" s="297"/>
      <c r="K19" s="201"/>
      <c r="L19" s="63"/>
      <c r="M19" s="71"/>
    </row>
    <row r="20" spans="8:13" ht="28.9" customHeight="1" x14ac:dyDescent="0.3">
      <c r="H20" s="70"/>
      <c r="I20" s="294"/>
      <c r="J20" s="299"/>
      <c r="K20" s="201"/>
      <c r="L20" s="201"/>
      <c r="M20" s="71"/>
    </row>
    <row r="21" spans="8:13" ht="28.9" customHeight="1" x14ac:dyDescent="0.3">
      <c r="H21" s="70"/>
      <c r="I21" s="294" t="s">
        <v>390</v>
      </c>
      <c r="J21" s="299"/>
      <c r="K21" s="201"/>
      <c r="L21" s="64"/>
      <c r="M21" s="71"/>
    </row>
    <row r="22" spans="8:13" ht="28.9" customHeight="1" x14ac:dyDescent="0.3">
      <c r="H22" s="70"/>
      <c r="I22" s="314"/>
      <c r="J22" s="299"/>
      <c r="K22" s="201"/>
      <c r="L22" s="201"/>
      <c r="M22" s="71"/>
    </row>
    <row r="23" spans="8:13" ht="28.9" customHeight="1" x14ac:dyDescent="0.3">
      <c r="H23" s="70"/>
      <c r="I23" s="294" t="s">
        <v>391</v>
      </c>
      <c r="J23" s="299"/>
      <c r="K23" s="201"/>
      <c r="L23" s="63"/>
      <c r="M23" s="71"/>
    </row>
    <row r="24" spans="8:13" ht="28.9" customHeight="1" x14ac:dyDescent="0.3">
      <c r="H24" s="70"/>
      <c r="I24" s="299"/>
      <c r="J24" s="299"/>
      <c r="K24" s="201"/>
      <c r="L24" s="201"/>
      <c r="M24" s="71"/>
    </row>
    <row r="25" spans="8:13" ht="28.9" customHeight="1" x14ac:dyDescent="0.3">
      <c r="H25" s="70"/>
      <c r="I25" s="297"/>
      <c r="J25" s="299"/>
      <c r="K25" s="201"/>
      <c r="L25" s="201"/>
      <c r="M25" s="71"/>
    </row>
    <row r="26" spans="8:13" ht="28.9" customHeight="1" x14ac:dyDescent="0.3">
      <c r="H26" s="70"/>
      <c r="I26" s="299"/>
      <c r="J26" s="299"/>
      <c r="K26" s="202"/>
      <c r="L26" s="202"/>
      <c r="M26" s="72"/>
    </row>
    <row r="27" spans="8:13" ht="28.9" customHeight="1" x14ac:dyDescent="0.3">
      <c r="H27" s="70"/>
      <c r="I27" s="297"/>
      <c r="J27" s="299"/>
      <c r="K27" s="202"/>
      <c r="L27" s="202"/>
      <c r="M27" s="72"/>
    </row>
    <row r="28" spans="8:13" ht="28.9" customHeight="1" thickBot="1" x14ac:dyDescent="0.4">
      <c r="H28" s="203"/>
      <c r="I28" s="204"/>
      <c r="J28" s="205"/>
      <c r="K28" s="205"/>
      <c r="L28" s="206"/>
      <c r="M28" s="207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>
      <selection activeCell="E16" sqref="E16"/>
    </sheetView>
  </sheetViews>
  <sheetFormatPr defaultColWidth="8.85546875" defaultRowHeight="15" x14ac:dyDescent="0.25"/>
  <cols>
    <col min="5" max="5" width="43" bestFit="1" customWidth="1"/>
    <col min="6" max="6" width="13.7109375" bestFit="1" customWidth="1"/>
    <col min="7" max="7" width="19.140625" customWidth="1"/>
    <col min="8" max="8" width="28" customWidth="1"/>
    <col min="9" max="9" width="22.85546875" bestFit="1" customWidth="1"/>
    <col min="10" max="10" width="25" customWidth="1"/>
    <col min="11" max="11" width="43" bestFit="1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>
      <c r="K11" s="86" t="s">
        <v>392</v>
      </c>
      <c r="L11" s="86" t="s">
        <v>393</v>
      </c>
      <c r="M11" s="86" t="s">
        <v>384</v>
      </c>
      <c r="N11" s="86" t="s">
        <v>225</v>
      </c>
    </row>
    <row r="12" spans="1:49" ht="28.9" customHeight="1" x14ac:dyDescent="0.35">
      <c r="H12" s="315"/>
      <c r="I12" s="316"/>
      <c r="J12" s="315"/>
      <c r="K12" s="295" t="s">
        <v>742</v>
      </c>
      <c r="L12" s="298" t="s">
        <v>742</v>
      </c>
      <c r="M12" s="298" t="s">
        <v>742</v>
      </c>
      <c r="N12" s="313" t="s">
        <v>742</v>
      </c>
    </row>
    <row r="13" spans="1:49" ht="28.9" customHeight="1" x14ac:dyDescent="0.25">
      <c r="K13" s="62"/>
      <c r="L13" s="63"/>
      <c r="M13" s="63"/>
      <c r="N13" s="64"/>
    </row>
    <row r="14" spans="1:49" ht="28.9" customHeight="1" x14ac:dyDescent="0.25">
      <c r="K14" s="315"/>
      <c r="L14" s="317"/>
      <c r="M14" s="315"/>
    </row>
    <row r="15" spans="1:49" ht="28.9" customHeight="1" x14ac:dyDescent="0.25"/>
    <row r="16" spans="1:49" ht="28.9" customHeight="1" x14ac:dyDescent="0.25"/>
    <row r="17" ht="28.9" customHeight="1" x14ac:dyDescent="0.25"/>
    <row r="18" ht="28.9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28.9" customHeight="1" x14ac:dyDescent="0.25"/>
    <row r="26" ht="28.9" customHeight="1" x14ac:dyDescent="0.25"/>
    <row r="27" ht="28.9" customHeight="1" x14ac:dyDescent="0.25"/>
    <row r="28" ht="28.9" customHeight="1" x14ac:dyDescent="0.25"/>
    <row r="29" ht="28.9" customHeight="1" x14ac:dyDescent="0.25"/>
    <row r="30" ht="28.9" customHeight="1" x14ac:dyDescent="0.25"/>
    <row r="31" ht="28.9" customHeight="1" x14ac:dyDescent="0.25"/>
    <row r="32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zoomScale="40" zoomScaleNormal="40" workbookViewId="0">
      <selection activeCell="E13" sqref="E13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60" t="s">
        <v>399</v>
      </c>
      <c r="I12" s="461"/>
      <c r="J12" s="461"/>
      <c r="K12" s="461"/>
      <c r="L12" s="461"/>
      <c r="M12" s="462"/>
    </row>
    <row r="13" spans="1:49" ht="28.9" customHeight="1" x14ac:dyDescent="0.25">
      <c r="H13" s="466"/>
      <c r="I13" s="467"/>
      <c r="J13" s="467"/>
      <c r="K13" s="467"/>
      <c r="L13" s="467"/>
      <c r="M13" s="468"/>
    </row>
    <row r="14" spans="1:49" ht="28.9" customHeight="1" x14ac:dyDescent="0.25">
      <c r="H14" s="66"/>
      <c r="I14" s="197"/>
      <c r="J14" s="197"/>
      <c r="K14" s="197"/>
      <c r="L14" s="197"/>
      <c r="M14" s="67"/>
    </row>
    <row r="15" spans="1:49" ht="28.9" customHeight="1" x14ac:dyDescent="0.25">
      <c r="H15" s="68"/>
      <c r="I15" s="92" t="s">
        <v>395</v>
      </c>
      <c r="J15" s="198"/>
      <c r="K15" s="198"/>
      <c r="L15" s="62"/>
      <c r="M15" s="69"/>
    </row>
    <row r="16" spans="1:49" ht="28.9" customHeight="1" x14ac:dyDescent="0.25">
      <c r="H16" s="68"/>
      <c r="I16" s="92"/>
      <c r="J16" s="198"/>
      <c r="K16" s="198"/>
      <c r="L16" s="199"/>
      <c r="M16" s="69"/>
    </row>
    <row r="17" spans="8:13" ht="28.9" customHeight="1" x14ac:dyDescent="0.25">
      <c r="H17" s="70"/>
      <c r="I17" s="92" t="s">
        <v>373</v>
      </c>
      <c r="J17" s="200"/>
      <c r="K17" s="201"/>
      <c r="L17" s="63"/>
      <c r="M17" s="71"/>
    </row>
    <row r="18" spans="8:13" ht="28.9" customHeight="1" x14ac:dyDescent="0.25">
      <c r="H18" s="70"/>
      <c r="I18" s="92"/>
      <c r="J18" s="200"/>
      <c r="K18" s="201"/>
      <c r="L18" s="201"/>
      <c r="M18" s="71"/>
    </row>
    <row r="19" spans="8:13" ht="28.9" customHeight="1" x14ac:dyDescent="0.25">
      <c r="H19" s="70"/>
      <c r="I19" s="92" t="s">
        <v>396</v>
      </c>
      <c r="J19" s="200"/>
      <c r="K19" s="201"/>
      <c r="L19" s="63"/>
      <c r="M19" s="71"/>
    </row>
    <row r="20" spans="8:13" ht="28.9" customHeight="1" x14ac:dyDescent="0.25">
      <c r="H20" s="70"/>
      <c r="I20" s="92"/>
      <c r="J20" s="201"/>
      <c r="K20" s="201"/>
      <c r="L20" s="201"/>
      <c r="M20" s="71"/>
    </row>
    <row r="21" spans="8:13" ht="28.9" customHeight="1" x14ac:dyDescent="0.25">
      <c r="H21" s="70"/>
      <c r="I21" s="92" t="s">
        <v>35</v>
      </c>
      <c r="J21" s="201"/>
      <c r="K21" s="201"/>
      <c r="L21" s="64"/>
      <c r="M21" s="71"/>
    </row>
    <row r="22" spans="8:13" ht="28.9" customHeight="1" x14ac:dyDescent="0.25">
      <c r="H22" s="70"/>
      <c r="I22" s="92"/>
      <c r="J22" s="201"/>
      <c r="K22" s="201"/>
      <c r="L22" s="201"/>
      <c r="M22" s="71"/>
    </row>
    <row r="23" spans="8:13" ht="28.9" customHeight="1" x14ac:dyDescent="0.25">
      <c r="H23" s="70"/>
      <c r="I23" s="92" t="s">
        <v>384</v>
      </c>
      <c r="J23" s="201"/>
      <c r="K23" s="201"/>
      <c r="L23" s="63"/>
      <c r="M23" s="71"/>
    </row>
    <row r="24" spans="8:13" ht="28.9" customHeight="1" x14ac:dyDescent="0.25">
      <c r="H24" s="70"/>
      <c r="I24" s="318"/>
      <c r="J24" s="201"/>
      <c r="K24" s="201"/>
      <c r="L24" s="201"/>
      <c r="M24" s="71"/>
    </row>
    <row r="25" spans="8:13" ht="28.9" customHeight="1" x14ac:dyDescent="0.25">
      <c r="H25" s="70"/>
      <c r="I25" s="92" t="s">
        <v>397</v>
      </c>
      <c r="J25" s="201"/>
      <c r="K25" s="201"/>
      <c r="L25" s="63"/>
      <c r="M25" s="71"/>
    </row>
    <row r="26" spans="8:13" ht="28.9" customHeight="1" x14ac:dyDescent="0.25">
      <c r="H26" s="70"/>
      <c r="I26" s="92"/>
      <c r="J26" s="201"/>
      <c r="K26" s="202"/>
      <c r="L26" s="202"/>
      <c r="M26" s="72"/>
    </row>
    <row r="27" spans="8:13" ht="28.9" customHeight="1" x14ac:dyDescent="0.25">
      <c r="H27" s="70"/>
      <c r="I27" s="92" t="s">
        <v>225</v>
      </c>
      <c r="J27" s="201"/>
      <c r="K27" s="202"/>
      <c r="L27" s="65"/>
      <c r="M27" s="72"/>
    </row>
    <row r="28" spans="8:13" ht="28.9" customHeight="1" x14ac:dyDescent="0.25">
      <c r="H28" s="68"/>
      <c r="I28" s="92"/>
      <c r="J28" s="198"/>
      <c r="K28" s="198"/>
      <c r="L28" s="199"/>
      <c r="M28" s="69"/>
    </row>
    <row r="29" spans="8:13" ht="28.9" customHeight="1" x14ac:dyDescent="0.25">
      <c r="H29" s="70"/>
      <c r="I29" s="92" t="s">
        <v>398</v>
      </c>
      <c r="J29" s="201"/>
      <c r="K29" s="202"/>
      <c r="L29" s="65"/>
      <c r="M29" s="72"/>
    </row>
    <row r="30" spans="8:13" ht="28.9" customHeight="1" x14ac:dyDescent="0.3">
      <c r="H30" s="70"/>
      <c r="I30" s="299"/>
      <c r="J30" s="201"/>
      <c r="K30" s="202"/>
      <c r="L30" s="202"/>
      <c r="M30" s="72"/>
    </row>
    <row r="31" spans="8:13" ht="28.9" customHeight="1" x14ac:dyDescent="0.3">
      <c r="H31" s="70"/>
      <c r="I31" s="297"/>
      <c r="J31" s="201"/>
      <c r="K31" s="202"/>
      <c r="L31" s="319"/>
      <c r="M31" s="72"/>
    </row>
    <row r="32" spans="8:13" ht="28.9" customHeight="1" x14ac:dyDescent="0.25">
      <c r="H32" s="70"/>
      <c r="I32" s="201"/>
      <c r="J32" s="201"/>
      <c r="K32" s="202"/>
      <c r="L32" s="202"/>
      <c r="M32" s="72"/>
    </row>
    <row r="33" spans="8:13" ht="28.9" customHeight="1" x14ac:dyDescent="0.25">
      <c r="H33" s="70"/>
      <c r="I33" s="201"/>
      <c r="J33" s="201"/>
      <c r="K33" s="202"/>
      <c r="L33" s="202"/>
      <c r="M33" s="72"/>
    </row>
    <row r="34" spans="8:13" ht="28.9" customHeight="1" x14ac:dyDescent="0.25">
      <c r="H34" s="70"/>
      <c r="I34" s="201"/>
      <c r="J34" s="201"/>
      <c r="K34" s="202"/>
      <c r="L34" s="202"/>
      <c r="M34" s="72"/>
    </row>
    <row r="35" spans="8:13" ht="28.9" customHeight="1" thickBot="1" x14ac:dyDescent="0.3">
      <c r="H35" s="73"/>
      <c r="I35" s="74"/>
      <c r="J35" s="74"/>
      <c r="K35" s="75"/>
      <c r="L35" s="75"/>
      <c r="M35" s="76"/>
    </row>
    <row r="36" spans="8:13" ht="28.9" customHeight="1" x14ac:dyDescent="0.25">
      <c r="H36" s="320"/>
      <c r="I36" s="320"/>
      <c r="J36" s="320"/>
      <c r="K36" s="321"/>
      <c r="L36" s="321"/>
      <c r="M36" s="321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10.140625" bestFit="1" customWidth="1"/>
    <col min="11" max="11" width="22.42578125" customWidth="1"/>
    <col min="12" max="12" width="15.28515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</row>
    <row r="9" spans="1:49" ht="28.9" customHeigh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</row>
    <row r="10" spans="1:49" ht="28.9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</row>
    <row r="11" spans="1:49" ht="28.9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</row>
    <row r="12" spans="1:49" ht="28.9" customHeigh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</row>
    <row r="13" spans="1:49" ht="28.9" customHeight="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</row>
    <row r="14" spans="1:49" ht="28.9" customHeight="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</row>
    <row r="15" spans="1:49" ht="28.9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</row>
    <row r="16" spans="1:49" ht="28.9" customHeight="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</row>
    <row r="17" spans="1:34" ht="28.9" customHeight="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</row>
    <row r="18" spans="1:34" ht="28.9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</row>
    <row r="19" spans="1:34" ht="28.9" customHeight="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</row>
    <row r="20" spans="1:34" ht="28.9" customHeight="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</row>
    <row r="21" spans="1:34" ht="28.9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</row>
    <row r="22" spans="1:34" ht="28.9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28.9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</row>
    <row r="24" spans="1:34" ht="28.9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</row>
    <row r="25" spans="1:34" ht="28.9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</row>
    <row r="26" spans="1:34" ht="28.9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</row>
    <row r="27" spans="1:34" ht="28.9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</row>
    <row r="28" spans="1:34" ht="28.9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</row>
    <row r="29" spans="1:34" ht="28.9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</row>
    <row r="30" spans="1:34" ht="28.9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</row>
    <row r="31" spans="1:34" ht="28.9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</row>
    <row r="32" spans="1:34" ht="28.9" customHeight="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</row>
    <row r="33" spans="1:34" ht="28.9" customHeight="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</row>
    <row r="34" spans="1:34" ht="28.9" customHeight="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</row>
    <row r="35" spans="1:34" ht="28.9" customHeight="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</row>
    <row r="36" spans="1:34" ht="28.9" customHeight="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</row>
    <row r="37" spans="1:34" ht="28.9" customHeight="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</row>
    <row r="38" spans="1:34" ht="28.9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</row>
    <row r="39" spans="1:34" ht="28.9" customHeight="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</row>
    <row r="40" spans="1:34" ht="28.9" customHeight="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</row>
    <row r="41" spans="1:34" ht="28.9" customHeight="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</row>
    <row r="42" spans="1:34" ht="28.9" customHeight="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</row>
    <row r="43" spans="1:34" ht="28.9" customHeight="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</row>
    <row r="44" spans="1:34" ht="28.9" customHeight="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</row>
    <row r="45" spans="1:34" ht="28.9" customHeight="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</row>
    <row r="46" spans="1:34" ht="28.9" customHeight="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</row>
    <row r="47" spans="1:34" ht="28.9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</row>
    <row r="48" spans="1:34" ht="28.9" customHeight="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</row>
    <row r="49" spans="1:34" ht="28.9" customHeight="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</row>
    <row r="50" spans="1:34" ht="28.9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</row>
    <row r="51" spans="1:34" ht="28.9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</row>
    <row r="52" spans="1:34" ht="28.9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</row>
    <row r="53" spans="1:34" ht="28.9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</row>
    <row r="54" spans="1:34" ht="28.9" customHeight="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</row>
    <row r="55" spans="1:34" ht="28.9" customHeight="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</row>
    <row r="56" spans="1:34" ht="28.9" customHeight="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</row>
    <row r="57" spans="1:34" ht="28.9" customHeigh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</row>
    <row r="58" spans="1:34" ht="28.9" customHeight="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</row>
    <row r="59" spans="1:34" ht="28.9" customHeight="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</row>
    <row r="60" spans="1:34" ht="28.9" customHeight="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</row>
    <row r="61" spans="1:34" ht="28.9" customHeight="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</row>
    <row r="62" spans="1:34" ht="28.9" customHeight="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</row>
    <row r="63" spans="1:34" ht="28.9" customHeight="1" x14ac:dyDescent="0.25"/>
    <row r="64" spans="1:3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>
      <selection activeCell="Q27" sqref="Q2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10.140625" bestFit="1" customWidth="1"/>
    <col min="11" max="11" width="14.85546875" bestFit="1" customWidth="1"/>
    <col min="12" max="12" width="15.28515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>
      <c r="C10" s="476" t="s">
        <v>581</v>
      </c>
      <c r="D10" s="477"/>
      <c r="E10" s="477"/>
      <c r="F10" s="477"/>
      <c r="G10" s="478"/>
      <c r="I10" s="220" t="s">
        <v>596</v>
      </c>
      <c r="J10" s="86" t="s">
        <v>597</v>
      </c>
      <c r="K10" s="86" t="s">
        <v>598</v>
      </c>
      <c r="M10" s="221" t="s">
        <v>606</v>
      </c>
      <c r="N10" s="221" t="s">
        <v>597</v>
      </c>
      <c r="O10" s="86" t="s">
        <v>598</v>
      </c>
      <c r="Q10" s="481" t="s">
        <v>611</v>
      </c>
      <c r="R10" s="481"/>
      <c r="S10" s="481"/>
      <c r="T10" s="481"/>
      <c r="U10" s="481"/>
      <c r="V10" s="481"/>
      <c r="W10" s="481"/>
      <c r="X10" s="481"/>
    </row>
    <row r="11" spans="1:49" ht="28.9" customHeight="1" x14ac:dyDescent="0.35">
      <c r="C11" s="475" t="s">
        <v>582</v>
      </c>
      <c r="D11" s="475"/>
      <c r="E11" s="475"/>
      <c r="F11" s="475"/>
      <c r="G11" s="212" t="s">
        <v>583</v>
      </c>
      <c r="I11" s="216" t="s">
        <v>599</v>
      </c>
      <c r="J11" s="217">
        <v>1</v>
      </c>
      <c r="K11" s="218" t="e">
        <f>('[4]N_RHREF '!#REF!-'[4]N_RHREF '!#REF!-'[4]N_RHREF '!#REF!-'[4]N_RHREF '!#REF!-'[4]N_RHREF '!#REF!)</f>
        <v>#REF!</v>
      </c>
      <c r="M11" s="222" t="s">
        <v>599</v>
      </c>
      <c r="N11" s="222"/>
      <c r="O11" s="223" t="e">
        <f>'[4]N_RHREF '!#REF!</f>
        <v>#REF!</v>
      </c>
      <c r="Q11" s="479" t="s">
        <v>612</v>
      </c>
      <c r="R11" s="479"/>
      <c r="S11" s="479"/>
      <c r="T11" s="479"/>
      <c r="U11" s="479"/>
      <c r="V11" s="479"/>
      <c r="W11" s="482"/>
      <c r="X11" s="483"/>
    </row>
    <row r="12" spans="1:49" ht="28.9" customHeight="1" x14ac:dyDescent="0.3">
      <c r="C12" s="474" t="s">
        <v>584</v>
      </c>
      <c r="D12" s="474"/>
      <c r="E12" s="474"/>
      <c r="F12" s="474"/>
      <c r="G12" s="211">
        <v>450</v>
      </c>
      <c r="I12" s="216" t="s">
        <v>600</v>
      </c>
      <c r="J12" s="217">
        <v>4</v>
      </c>
      <c r="K12" s="218" t="e">
        <f>'[4]N_RHREF '!#REF!</f>
        <v>#REF!</v>
      </c>
      <c r="M12" s="222" t="s">
        <v>606</v>
      </c>
      <c r="N12" s="222"/>
      <c r="O12" s="223" t="e">
        <f>'[4]N_RHREF '!#REF!</f>
        <v>#REF!</v>
      </c>
      <c r="Q12" s="479" t="s">
        <v>613</v>
      </c>
      <c r="R12" s="479"/>
      <c r="S12" s="479"/>
      <c r="T12" s="479"/>
      <c r="U12" s="479"/>
      <c r="V12" s="479"/>
      <c r="W12" s="480">
        <f>(K29*L29)+(K30*L30)+(K31*L31)</f>
        <v>0</v>
      </c>
      <c r="X12" s="480"/>
    </row>
    <row r="13" spans="1:49" ht="28.9" customHeight="1" x14ac:dyDescent="0.3">
      <c r="C13" s="474" t="s">
        <v>585</v>
      </c>
      <c r="D13" s="474"/>
      <c r="E13" s="474"/>
      <c r="F13" s="474"/>
      <c r="G13" s="211">
        <v>4500</v>
      </c>
      <c r="I13" s="216" t="s">
        <v>601</v>
      </c>
      <c r="J13" s="217">
        <v>4</v>
      </c>
      <c r="K13" s="218" t="e">
        <f>'[4]N_RHREF '!#REF!</f>
        <v>#REF!</v>
      </c>
      <c r="Q13" s="479" t="s">
        <v>614</v>
      </c>
      <c r="R13" s="479"/>
      <c r="S13" s="479"/>
      <c r="T13" s="479"/>
      <c r="U13" s="479"/>
      <c r="V13" s="479"/>
      <c r="W13" s="480"/>
      <c r="X13" s="480"/>
    </row>
    <row r="14" spans="1:49" ht="28.9" customHeight="1" x14ac:dyDescent="0.3">
      <c r="C14" s="474" t="s">
        <v>586</v>
      </c>
      <c r="D14" s="474"/>
      <c r="E14" s="474"/>
      <c r="F14" s="474"/>
      <c r="G14" s="211">
        <v>37500</v>
      </c>
      <c r="J14" s="213"/>
      <c r="K14" s="214"/>
      <c r="M14" s="220" t="s">
        <v>607</v>
      </c>
      <c r="N14" s="86" t="s">
        <v>597</v>
      </c>
      <c r="O14" s="86" t="s">
        <v>598</v>
      </c>
      <c r="Q14" s="479" t="s">
        <v>615</v>
      </c>
      <c r="R14" s="479"/>
      <c r="S14" s="479"/>
      <c r="T14" s="479"/>
      <c r="U14" s="479"/>
      <c r="V14" s="479"/>
      <c r="W14" s="480"/>
      <c r="X14" s="480"/>
    </row>
    <row r="15" spans="1:49" ht="28.9" customHeight="1" x14ac:dyDescent="0.3">
      <c r="C15" s="474" t="s">
        <v>587</v>
      </c>
      <c r="D15" s="474"/>
      <c r="E15" s="474"/>
      <c r="F15" s="474"/>
      <c r="G15" s="211"/>
      <c r="I15" s="221" t="s">
        <v>602</v>
      </c>
      <c r="J15" s="221" t="s">
        <v>597</v>
      </c>
      <c r="K15" s="86" t="s">
        <v>598</v>
      </c>
      <c r="M15" s="216" t="s">
        <v>599</v>
      </c>
      <c r="N15" s="217"/>
      <c r="O15" s="218" t="e">
        <f>'[4]N_RHREF '!#REF!</f>
        <v>#REF!</v>
      </c>
    </row>
    <row r="16" spans="1:49" ht="28.9" customHeight="1" x14ac:dyDescent="0.3">
      <c r="C16" s="474" t="s">
        <v>588</v>
      </c>
      <c r="D16" s="474"/>
      <c r="E16" s="474"/>
      <c r="F16" s="474"/>
      <c r="G16" s="211"/>
      <c r="I16" s="222" t="s">
        <v>599</v>
      </c>
      <c r="J16" s="222"/>
      <c r="K16" s="223" t="e">
        <f>'[4]N_RHREF '!#REF!</f>
        <v>#REF!</v>
      </c>
      <c r="M16" s="216" t="s">
        <v>603</v>
      </c>
      <c r="N16" s="217"/>
      <c r="O16" s="218">
        <f>'[4]N_RHREF '!J1</f>
        <v>0</v>
      </c>
    </row>
    <row r="17" spans="3:15" ht="28.9" customHeight="1" x14ac:dyDescent="0.3">
      <c r="C17" s="474" t="s">
        <v>295</v>
      </c>
      <c r="D17" s="474"/>
      <c r="E17" s="474"/>
      <c r="F17" s="474"/>
      <c r="G17" s="211"/>
      <c r="I17" s="222" t="s">
        <v>603</v>
      </c>
      <c r="J17" s="222"/>
      <c r="K17" s="223" t="e">
        <f>'[4]N_RHREF '!#REF!</f>
        <v>#REF!</v>
      </c>
      <c r="M17" s="216" t="s">
        <v>601</v>
      </c>
      <c r="N17" s="217"/>
      <c r="O17" s="218">
        <f>'[4]N_RHREF '!J2</f>
        <v>0</v>
      </c>
    </row>
    <row r="18" spans="3:15" ht="28.9" customHeight="1" x14ac:dyDescent="0.3">
      <c r="C18" s="474" t="s">
        <v>589</v>
      </c>
      <c r="D18" s="474"/>
      <c r="E18" s="474"/>
      <c r="F18" s="474"/>
      <c r="G18" s="211">
        <v>130</v>
      </c>
      <c r="I18" s="222" t="s">
        <v>604</v>
      </c>
      <c r="J18" s="222"/>
      <c r="K18" s="223" t="e">
        <f>'[4]N_RHREF '!#REF!</f>
        <v>#REF!</v>
      </c>
    </row>
    <row r="19" spans="3:15" ht="28.9" customHeight="1" x14ac:dyDescent="0.3">
      <c r="C19" s="474" t="s">
        <v>590</v>
      </c>
      <c r="D19" s="474"/>
      <c r="E19" s="474"/>
      <c r="F19" s="474"/>
      <c r="G19" s="211">
        <v>45000</v>
      </c>
      <c r="J19" s="196"/>
      <c r="K19" s="215"/>
      <c r="M19" s="220" t="s">
        <v>608</v>
      </c>
      <c r="N19" s="86" t="s">
        <v>597</v>
      </c>
      <c r="O19" s="86" t="s">
        <v>598</v>
      </c>
    </row>
    <row r="20" spans="3:15" ht="28.9" customHeight="1" x14ac:dyDescent="0.3">
      <c r="C20" s="474" t="s">
        <v>591</v>
      </c>
      <c r="D20" s="474"/>
      <c r="E20" s="474"/>
      <c r="F20" s="474"/>
      <c r="G20" s="211"/>
      <c r="I20" s="221" t="s">
        <v>605</v>
      </c>
      <c r="J20" s="221" t="s">
        <v>597</v>
      </c>
      <c r="K20" s="86" t="s">
        <v>598</v>
      </c>
      <c r="M20" s="216" t="s">
        <v>599</v>
      </c>
      <c r="N20" s="217"/>
      <c r="O20" s="218">
        <f>'[4]N_RHREF '!J3</f>
        <v>0</v>
      </c>
    </row>
    <row r="21" spans="3:15" ht="28.9" customHeight="1" x14ac:dyDescent="0.3">
      <c r="C21" s="474" t="s">
        <v>592</v>
      </c>
      <c r="D21" s="474"/>
      <c r="E21" s="474"/>
      <c r="F21" s="474"/>
      <c r="G21" s="211"/>
      <c r="I21" s="222" t="s">
        <v>599</v>
      </c>
      <c r="J21" s="222"/>
      <c r="K21" s="223" t="e">
        <f>'[4]N_RHREF '!#REF!</f>
        <v>#REF!</v>
      </c>
      <c r="M21" s="216" t="s">
        <v>609</v>
      </c>
      <c r="N21" s="217"/>
      <c r="O21" s="218">
        <f>'[4]N_RHREF '!J4</f>
        <v>0</v>
      </c>
    </row>
    <row r="22" spans="3:15" ht="28.9" customHeight="1" x14ac:dyDescent="0.3">
      <c r="C22" s="474" t="s">
        <v>593</v>
      </c>
      <c r="D22" s="474"/>
      <c r="E22" s="474"/>
      <c r="F22" s="474"/>
      <c r="G22" s="211">
        <v>2500</v>
      </c>
      <c r="I22" s="222" t="s">
        <v>603</v>
      </c>
      <c r="J22" s="222"/>
      <c r="K22" s="223" t="e">
        <f>'[4]N_RHREF '!#REF!</f>
        <v>#REF!</v>
      </c>
      <c r="M22" s="216" t="s">
        <v>603</v>
      </c>
      <c r="N22" s="217"/>
      <c r="O22" s="218">
        <f>'[4]N_RHREF '!J5</f>
        <v>0</v>
      </c>
    </row>
    <row r="23" spans="3:15" ht="28.9" customHeight="1" x14ac:dyDescent="0.3">
      <c r="C23" s="474" t="s">
        <v>594</v>
      </c>
      <c r="D23" s="474"/>
      <c r="E23" s="474"/>
      <c r="F23" s="474"/>
      <c r="G23" s="211">
        <v>6000</v>
      </c>
      <c r="I23" s="222" t="s">
        <v>604</v>
      </c>
      <c r="J23" s="222"/>
      <c r="K23" s="223" t="e">
        <f>'[4]N_RHREF '!#REF!</f>
        <v>#REF!</v>
      </c>
      <c r="M23" s="222" t="s">
        <v>604</v>
      </c>
      <c r="N23" s="224"/>
      <c r="O23" s="225">
        <f>'[4]N_RHREF '!J6</f>
        <v>0</v>
      </c>
    </row>
    <row r="24" spans="3:15" ht="28.9" customHeight="1" x14ac:dyDescent="0.3">
      <c r="C24" s="474" t="s">
        <v>573</v>
      </c>
      <c r="D24" s="474"/>
      <c r="E24" s="474"/>
      <c r="F24" s="474"/>
      <c r="G24" s="211"/>
    </row>
    <row r="25" spans="3:15" ht="28.9" customHeight="1" x14ac:dyDescent="0.3">
      <c r="C25" s="474" t="s">
        <v>595</v>
      </c>
      <c r="D25" s="474"/>
      <c r="E25" s="474"/>
      <c r="F25" s="474"/>
      <c r="G25" s="211"/>
      <c r="M25" s="220" t="s">
        <v>610</v>
      </c>
      <c r="N25" s="86" t="s">
        <v>597</v>
      </c>
      <c r="O25" s="86" t="s">
        <v>598</v>
      </c>
    </row>
    <row r="26" spans="3:15" ht="28.9" customHeight="1" x14ac:dyDescent="0.3">
      <c r="M26" s="216" t="s">
        <v>599</v>
      </c>
      <c r="N26" s="217"/>
      <c r="O26" s="218">
        <f>'[4]N_RHREF '!J7</f>
        <v>0</v>
      </c>
    </row>
    <row r="27" spans="3:15" ht="28.9" customHeight="1" x14ac:dyDescent="0.3">
      <c r="M27" s="216" t="s">
        <v>609</v>
      </c>
      <c r="N27" s="217"/>
      <c r="O27" s="218">
        <f>'[4]N_RHREF '!J8</f>
        <v>0</v>
      </c>
    </row>
    <row r="28" spans="3:15" ht="28.9" customHeight="1" x14ac:dyDescent="0.3">
      <c r="M28" s="216" t="s">
        <v>601</v>
      </c>
      <c r="N28" s="217"/>
      <c r="O28" s="218">
        <f>'[4]N_RHREF '!J9</f>
        <v>2259.1999999999998</v>
      </c>
    </row>
    <row r="29" spans="3:15" ht="28.9" customHeight="1" x14ac:dyDescent="0.25"/>
    <row r="30" spans="3:15" ht="28.9" customHeight="1" x14ac:dyDescent="0.25"/>
    <row r="31" spans="3:15" ht="28.9" customHeight="1" x14ac:dyDescent="0.25"/>
    <row r="32" spans="3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5"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  <mergeCell ref="C21:F21"/>
    <mergeCell ref="C22:F22"/>
    <mergeCell ref="C23:F23"/>
    <mergeCell ref="C24:F24"/>
    <mergeCell ref="C25:F25"/>
    <mergeCell ref="C10:G10"/>
    <mergeCell ref="C15:F15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>
      <selection activeCell="E13" sqref="E13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81.7109375" bestFit="1" customWidth="1"/>
    <col min="11" max="11" width="22.42578125" customWidth="1"/>
    <col min="12" max="12" width="16.7109375" bestFit="1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</row>
    <row r="5" spans="1:49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</row>
    <row r="6" spans="1:49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</row>
    <row r="7" spans="1:49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</row>
    <row r="8" spans="1:49" ht="28.9" customHeight="1" x14ac:dyDescent="0.25"/>
    <row r="9" spans="1:49" ht="28.9" customHeight="1" x14ac:dyDescent="0.25"/>
    <row r="10" spans="1:49" ht="28.9" customHeight="1" x14ac:dyDescent="0.25">
      <c r="J10" s="220" t="s">
        <v>616</v>
      </c>
      <c r="K10" s="86" t="s">
        <v>617</v>
      </c>
      <c r="L10" s="86" t="s">
        <v>618</v>
      </c>
    </row>
    <row r="11" spans="1:49" ht="28.9" customHeight="1" x14ac:dyDescent="0.35">
      <c r="J11" s="222"/>
      <c r="K11" s="238"/>
      <c r="L11" s="239"/>
    </row>
    <row r="12" spans="1:49" ht="28.9" customHeight="1" x14ac:dyDescent="0.35">
      <c r="J12" s="240" t="s">
        <v>619</v>
      </c>
      <c r="K12" s="241"/>
      <c r="L12" s="242"/>
    </row>
    <row r="13" spans="1:49" ht="28.9" customHeight="1" x14ac:dyDescent="0.25">
      <c r="J13" s="227"/>
      <c r="K13" s="228"/>
      <c r="L13" s="229"/>
    </row>
    <row r="14" spans="1:49" ht="28.9" customHeight="1" x14ac:dyDescent="0.25">
      <c r="J14" s="230"/>
      <c r="K14" s="231"/>
      <c r="L14" s="232"/>
    </row>
    <row r="15" spans="1:49" ht="28.9" customHeight="1" x14ac:dyDescent="0.35">
      <c r="J15" s="243" t="s">
        <v>620</v>
      </c>
      <c r="K15" s="226"/>
      <c r="L15" s="210"/>
    </row>
    <row r="16" spans="1:49" ht="28.9" customHeight="1" x14ac:dyDescent="0.35">
      <c r="J16" s="243" t="s">
        <v>621</v>
      </c>
      <c r="K16" s="226"/>
      <c r="L16" s="210"/>
    </row>
    <row r="17" spans="10:12" ht="28.9" customHeight="1" x14ac:dyDescent="0.35">
      <c r="J17" s="244" t="s">
        <v>622</v>
      </c>
      <c r="K17" s="233"/>
      <c r="L17" s="234"/>
    </row>
    <row r="18" spans="10:12" ht="28.9" customHeight="1" x14ac:dyDescent="0.25">
      <c r="J18" s="235"/>
      <c r="K18" s="236"/>
      <c r="L18" s="237"/>
    </row>
    <row r="19" spans="10:12" ht="28.9" customHeight="1" x14ac:dyDescent="0.25">
      <c r="J19" s="484" t="s">
        <v>623</v>
      </c>
      <c r="K19" s="485"/>
      <c r="L19" s="486"/>
    </row>
    <row r="20" spans="10:12" ht="28.9" customHeight="1" x14ac:dyDescent="0.3">
      <c r="J20" s="222" t="s">
        <v>624</v>
      </c>
      <c r="K20" s="238">
        <f>[4]N_CUSTOFIXOEVARIAVEL!Q20</f>
        <v>0</v>
      </c>
      <c r="L20" s="238"/>
    </row>
    <row r="21" spans="10:12" ht="28.9" customHeight="1" x14ac:dyDescent="0.3">
      <c r="J21" s="222" t="s">
        <v>625</v>
      </c>
      <c r="K21" s="238">
        <f>[4]N_CUSTOFIXOEVARIAVEL!Q21</f>
        <v>0</v>
      </c>
      <c r="L21" s="238"/>
    </row>
    <row r="22" spans="10:12" ht="28.9" customHeight="1" x14ac:dyDescent="0.35">
      <c r="J22" s="222" t="s">
        <v>586</v>
      </c>
      <c r="K22" s="238">
        <f>[4]N_CUSTOFIXOEVARIAVEL!Q22</f>
        <v>0</v>
      </c>
      <c r="L22" s="239"/>
    </row>
    <row r="23" spans="10:12" ht="28.9" customHeight="1" x14ac:dyDescent="0.35">
      <c r="J23" s="222" t="s">
        <v>626</v>
      </c>
      <c r="K23" s="238"/>
      <c r="L23" s="239"/>
    </row>
    <row r="24" spans="10:12" ht="28.9" customHeight="1" x14ac:dyDescent="0.35">
      <c r="J24" s="222" t="s">
        <v>627</v>
      </c>
      <c r="K24" s="238"/>
      <c r="L24" s="239"/>
    </row>
    <row r="25" spans="10:12" ht="28.9" customHeight="1" x14ac:dyDescent="0.3">
      <c r="J25" s="222" t="s">
        <v>628</v>
      </c>
      <c r="K25" s="238"/>
      <c r="L25" s="238"/>
    </row>
    <row r="26" spans="10:12" ht="28.9" customHeight="1" x14ac:dyDescent="0.3">
      <c r="J26" s="222" t="s">
        <v>629</v>
      </c>
      <c r="K26" s="245">
        <f>[4]N_CUSTOFIXOEVARIAVEL!Q26</f>
        <v>0</v>
      </c>
      <c r="L26" s="238"/>
    </row>
    <row r="27" spans="10:12" ht="28.9" customHeight="1" x14ac:dyDescent="0.3">
      <c r="J27" s="222" t="s">
        <v>630</v>
      </c>
      <c r="K27" s="238">
        <f>[4]N_CUSTOFIXOEVARIAVEL!Q27</f>
        <v>0</v>
      </c>
      <c r="L27" s="238"/>
    </row>
    <row r="28" spans="10:12" ht="28.9" customHeight="1" x14ac:dyDescent="0.3">
      <c r="J28" s="222" t="s">
        <v>631</v>
      </c>
      <c r="K28" s="238"/>
      <c r="L28" s="238"/>
    </row>
    <row r="29" spans="10:12" ht="28.9" customHeight="1" x14ac:dyDescent="0.3">
      <c r="J29" s="222" t="s">
        <v>632</v>
      </c>
      <c r="K29" s="238"/>
      <c r="L29" s="238"/>
    </row>
    <row r="30" spans="10:12" ht="28.9" customHeight="1" x14ac:dyDescent="0.3">
      <c r="J30" s="222" t="s">
        <v>633</v>
      </c>
      <c r="K30" s="238">
        <f>[4]N_CUSTOFIXOEVARIAVEL!Q30</f>
        <v>0</v>
      </c>
      <c r="L30" s="238"/>
    </row>
    <row r="31" spans="10:12" ht="28.9" customHeight="1" x14ac:dyDescent="0.3">
      <c r="J31" s="222" t="s">
        <v>634</v>
      </c>
      <c r="K31" s="238">
        <f>[4]N_CUSTOFIXOEVARIAVEL!Q31</f>
        <v>0</v>
      </c>
      <c r="L31" s="238"/>
    </row>
    <row r="32" spans="10:12" ht="28.9" customHeight="1" x14ac:dyDescent="0.3">
      <c r="J32" s="222" t="s">
        <v>635</v>
      </c>
      <c r="K32" s="238"/>
      <c r="L32" s="238"/>
    </row>
    <row r="33" spans="10:12" ht="28.9" customHeight="1" x14ac:dyDescent="0.3">
      <c r="J33" s="222" t="s">
        <v>636</v>
      </c>
      <c r="K33" s="238"/>
      <c r="L33" s="238"/>
    </row>
    <row r="34" spans="10:12" ht="28.9" customHeight="1" x14ac:dyDescent="0.3">
      <c r="J34" s="222" t="s">
        <v>637</v>
      </c>
      <c r="K34" s="238"/>
      <c r="L34" s="238"/>
    </row>
    <row r="35" spans="10:12" ht="28.9" customHeight="1" x14ac:dyDescent="0.3">
      <c r="J35" s="222" t="s">
        <v>638</v>
      </c>
      <c r="K35" s="238"/>
      <c r="L35" s="238"/>
    </row>
    <row r="36" spans="10:12" ht="28.9" customHeight="1" x14ac:dyDescent="0.3">
      <c r="J36" s="222" t="s">
        <v>639</v>
      </c>
      <c r="K36" s="238"/>
      <c r="L36" s="238"/>
    </row>
    <row r="37" spans="10:12" ht="28.9" customHeight="1" x14ac:dyDescent="0.3">
      <c r="J37" s="222" t="s">
        <v>640</v>
      </c>
      <c r="K37" s="238"/>
      <c r="L37" s="238"/>
    </row>
    <row r="38" spans="10:12" ht="28.9" customHeight="1" x14ac:dyDescent="0.3">
      <c r="J38" s="222" t="s">
        <v>641</v>
      </c>
      <c r="K38" s="238"/>
      <c r="L38" s="238"/>
    </row>
    <row r="39" spans="10:12" ht="28.9" customHeight="1" x14ac:dyDescent="0.3">
      <c r="J39" s="222" t="s">
        <v>642</v>
      </c>
      <c r="K39" s="238"/>
      <c r="L39" s="238"/>
    </row>
    <row r="40" spans="10:12" ht="28.9" customHeight="1" x14ac:dyDescent="0.25"/>
    <row r="41" spans="10:12" ht="28.9" customHeight="1" x14ac:dyDescent="0.25"/>
    <row r="42" spans="10:12" ht="28.9" customHeight="1" x14ac:dyDescent="0.25"/>
    <row r="43" spans="10:12" ht="28.9" customHeight="1" x14ac:dyDescent="0.25"/>
    <row r="44" spans="10:12" ht="28.9" customHeight="1" x14ac:dyDescent="0.25"/>
    <row r="45" spans="10:12" ht="28.9" customHeight="1" x14ac:dyDescent="0.25"/>
    <row r="46" spans="10:12" ht="28.9" customHeight="1" x14ac:dyDescent="0.25"/>
    <row r="47" spans="10:12" ht="28.9" customHeight="1" x14ac:dyDescent="0.25"/>
    <row r="48" spans="10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>
      <selection activeCell="E13" sqref="E13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32.28515625" bestFit="1" customWidth="1"/>
    <col min="9" max="9" width="22.85546875" bestFit="1" customWidth="1"/>
    <col min="10" max="10" width="49.5703125" customWidth="1"/>
    <col min="11" max="11" width="22.42578125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</row>
    <row r="5" spans="1:47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</row>
    <row r="6" spans="1:47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</row>
    <row r="7" spans="1:47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H11" s="220" t="s">
        <v>9</v>
      </c>
      <c r="I11" s="86" t="s">
        <v>597</v>
      </c>
      <c r="J11" s="221" t="s">
        <v>643</v>
      </c>
      <c r="K11" s="247"/>
      <c r="L11" s="220" t="s">
        <v>11</v>
      </c>
      <c r="M11" s="86" t="s">
        <v>597</v>
      </c>
      <c r="N11" s="221" t="s">
        <v>643</v>
      </c>
    </row>
    <row r="12" spans="1:47" ht="28.9" customHeight="1" x14ac:dyDescent="0.35">
      <c r="H12" s="222" t="s">
        <v>3</v>
      </c>
      <c r="I12" s="248">
        <f>[4]N_PRODREQ!N31</f>
        <v>0</v>
      </c>
      <c r="J12" s="238"/>
      <c r="L12" s="222" t="s">
        <v>3</v>
      </c>
      <c r="M12" s="248"/>
      <c r="N12" s="238"/>
    </row>
    <row r="13" spans="1:47" ht="28.9" customHeight="1" x14ac:dyDescent="0.35">
      <c r="H13" s="222" t="s">
        <v>4</v>
      </c>
      <c r="I13" s="248">
        <f>[4]N_PRODREQ!N33</f>
        <v>0</v>
      </c>
      <c r="J13" s="238"/>
      <c r="L13" s="222" t="s">
        <v>4</v>
      </c>
      <c r="M13" s="248"/>
      <c r="N13" s="238"/>
    </row>
    <row r="14" spans="1:47" ht="28.9" customHeight="1" x14ac:dyDescent="0.35">
      <c r="H14" s="222" t="s">
        <v>644</v>
      </c>
      <c r="I14" s="248">
        <f>[4]N_PRODREQ!N35</f>
        <v>0</v>
      </c>
      <c r="J14" s="239"/>
      <c r="L14" s="222" t="s">
        <v>644</v>
      </c>
      <c r="M14" s="248"/>
      <c r="N14" s="239"/>
    </row>
    <row r="15" spans="1:47" ht="28.9" customHeight="1" x14ac:dyDescent="0.35">
      <c r="H15" s="222" t="s">
        <v>645</v>
      </c>
      <c r="I15" s="248">
        <f>[4]N_PRODREQ!N37</f>
        <v>0</v>
      </c>
      <c r="J15" s="239"/>
      <c r="L15" s="222" t="s">
        <v>645</v>
      </c>
      <c r="M15" s="248"/>
      <c r="N15" s="239"/>
    </row>
    <row r="16" spans="1:47" ht="28.9" customHeight="1" x14ac:dyDescent="0.35">
      <c r="H16" s="222" t="s">
        <v>646</v>
      </c>
      <c r="I16" s="248">
        <f>[4]N_PRODREQ!N39</f>
        <v>0</v>
      </c>
      <c r="J16" s="239"/>
      <c r="L16" s="222" t="s">
        <v>646</v>
      </c>
      <c r="M16" s="248"/>
      <c r="N16" s="239"/>
    </row>
    <row r="17" spans="8:14" ht="28.9" customHeight="1" x14ac:dyDescent="0.25"/>
    <row r="18" spans="8:14" ht="28.9" customHeight="1" x14ac:dyDescent="0.25"/>
    <row r="19" spans="8:14" ht="28.9" customHeight="1" x14ac:dyDescent="0.25">
      <c r="H19" s="220" t="s">
        <v>647</v>
      </c>
      <c r="I19" s="86" t="s">
        <v>597</v>
      </c>
      <c r="J19" s="221" t="s">
        <v>643</v>
      </c>
      <c r="K19" s="247"/>
      <c r="L19" s="220" t="s">
        <v>10</v>
      </c>
      <c r="M19" s="86" t="s">
        <v>597</v>
      </c>
      <c r="N19" s="221" t="s">
        <v>643</v>
      </c>
    </row>
    <row r="20" spans="8:14" ht="28.9" customHeight="1" x14ac:dyDescent="0.35">
      <c r="H20" s="222" t="s">
        <v>3</v>
      </c>
      <c r="I20" s="248"/>
      <c r="J20" s="238"/>
      <c r="L20" s="222" t="s">
        <v>3</v>
      </c>
      <c r="M20" s="248"/>
      <c r="N20" s="238"/>
    </row>
    <row r="21" spans="8:14" ht="28.9" customHeight="1" x14ac:dyDescent="0.35">
      <c r="H21" s="222" t="s">
        <v>4</v>
      </c>
      <c r="I21" s="248"/>
      <c r="J21" s="238"/>
      <c r="L21" s="222" t="s">
        <v>4</v>
      </c>
      <c r="M21" s="248"/>
      <c r="N21" s="238"/>
    </row>
    <row r="22" spans="8:14" ht="28.9" customHeight="1" x14ac:dyDescent="0.35">
      <c r="H22" s="222" t="s">
        <v>644</v>
      </c>
      <c r="I22" s="248"/>
      <c r="J22" s="239"/>
      <c r="L22" s="222" t="s">
        <v>644</v>
      </c>
      <c r="M22" s="248"/>
      <c r="N22" s="239"/>
    </row>
    <row r="23" spans="8:14" ht="28.9" customHeight="1" x14ac:dyDescent="0.35">
      <c r="H23" s="222" t="s">
        <v>645</v>
      </c>
      <c r="I23" s="248"/>
      <c r="J23" s="239"/>
      <c r="L23" s="222" t="s">
        <v>645</v>
      </c>
      <c r="M23" s="248"/>
      <c r="N23" s="239"/>
    </row>
    <row r="24" spans="8:14" ht="28.9" customHeight="1" x14ac:dyDescent="0.35">
      <c r="H24" s="222" t="s">
        <v>646</v>
      </c>
      <c r="I24" s="248"/>
      <c r="J24" s="239"/>
      <c r="L24" s="222" t="s">
        <v>646</v>
      </c>
      <c r="M24" s="248"/>
      <c r="N24" s="239"/>
    </row>
    <row r="25" spans="8:14" ht="28.9" customHeight="1" x14ac:dyDescent="0.25"/>
    <row r="26" spans="8:14" ht="28.9" customHeight="1" x14ac:dyDescent="0.25"/>
    <row r="27" spans="8:14" ht="28.9" customHeight="1" x14ac:dyDescent="0.25"/>
    <row r="28" spans="8:14" ht="28.9" customHeight="1" x14ac:dyDescent="0.25"/>
    <row r="29" spans="8:14" ht="28.9" customHeight="1" x14ac:dyDescent="0.25"/>
    <row r="30" spans="8:14" ht="28.9" customHeight="1" x14ac:dyDescent="0.25"/>
    <row r="31" spans="8:14" ht="28.9" customHeight="1" x14ac:dyDescent="0.25"/>
    <row r="32" spans="8:1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rgb="FF171717"/>
  </sheetPr>
  <dimension ref="A1:AU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41.5703125" bestFit="1" customWidth="1"/>
    <col min="7" max="7" width="26" customWidth="1"/>
    <col min="8" max="8" width="32.28515625" bestFit="1" customWidth="1"/>
    <col min="9" max="9" width="22.85546875" bestFit="1" customWidth="1"/>
    <col min="10" max="10" width="26.7109375" customWidth="1"/>
    <col min="11" max="11" width="32.140625" bestFit="1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</row>
    <row r="5" spans="1:47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</row>
    <row r="6" spans="1:47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</row>
    <row r="7" spans="1:47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</row>
    <row r="8" spans="1:47" ht="28.9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47" ht="28.9" customHeigh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spans="1:47" ht="28.9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47" ht="28.9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spans="1:47" ht="28.9" customHeigh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spans="1:47" ht="28.9" customHeight="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spans="1:47" ht="28.9" customHeight="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spans="1:47" ht="28.9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spans="1:47" ht="28.9" customHeight="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spans="1:26" ht="28.9" customHeight="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1:26" ht="28.9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spans="1:26" ht="28.9" customHeight="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spans="1:26" ht="28.9" customHeight="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1:26" ht="28.9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1:26" ht="28.9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1:26" ht="28.9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1:26" ht="28.9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spans="1:26" ht="28.9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spans="1:26" ht="28.9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1:26" ht="28.9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1:26" ht="28.9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spans="1:26" ht="28.9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1:26" ht="28.9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spans="1:26" ht="28.9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1:26" ht="28.9" customHeight="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spans="1:26" ht="28.9" customHeight="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spans="1:26" ht="28.9" customHeight="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spans="1:26" ht="28.9" customHeight="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spans="1:26" ht="28.9" customHeight="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spans="1:26" ht="28.9" customHeight="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spans="1:26" ht="28.9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spans="1:26" ht="28.9" customHeight="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spans="1:26" ht="28.9" customHeight="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spans="1:26" ht="28.9" customHeight="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spans="1:26" ht="28.9" customHeight="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spans="1:26" ht="28.9" customHeight="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spans="1:26" ht="28.9" customHeight="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spans="1:26" ht="28.9" customHeight="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spans="1:26" ht="28.9" customHeight="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spans="1:26" ht="28.9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spans="1:26" ht="28.9" customHeight="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spans="1:26" ht="28.9" customHeight="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spans="1:26" ht="28.9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spans="1:26" ht="28.9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spans="1:26" ht="28.9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spans="1:26" ht="28.9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spans="1:26" ht="28.9" customHeight="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spans="1:26" ht="28.9" customHeight="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spans="1:26" ht="28.9" customHeight="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spans="1:26" ht="28.9" customHeigh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spans="1:26" ht="28.9" customHeight="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spans="1:26" ht="28.9" customHeight="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spans="1:26" ht="28.9" customHeight="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26" ht="28.9" customHeight="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spans="1:26" ht="28.9" customHeight="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spans="1:26" ht="28.9" customHeight="1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spans="1:26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zoomScale="40" zoomScaleNormal="40" workbookViewId="0">
      <selection activeCell="E19" sqref="E19"/>
    </sheetView>
  </sheetViews>
  <sheetFormatPr defaultColWidth="8.85546875" defaultRowHeight="15" x14ac:dyDescent="0.25"/>
  <cols>
    <col min="5" max="5" width="72.28515625" bestFit="1" customWidth="1"/>
    <col min="6" max="6" width="41.5703125" bestFit="1" customWidth="1"/>
    <col min="7" max="7" width="26" customWidth="1"/>
    <col min="8" max="8" width="32.28515625" bestFit="1" customWidth="1"/>
    <col min="9" max="9" width="22.85546875" bestFit="1" customWidth="1"/>
    <col min="10" max="10" width="26.7109375" customWidth="1"/>
    <col min="11" max="11" width="32.140625" bestFit="1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</row>
    <row r="5" spans="1:47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</row>
    <row r="6" spans="1:47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</row>
    <row r="7" spans="1:47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/>
    <row r="12" spans="1:47" ht="28.9" customHeight="1" x14ac:dyDescent="0.25">
      <c r="F12" s="249"/>
      <c r="G12" s="487" t="s">
        <v>283</v>
      </c>
      <c r="H12" s="487"/>
      <c r="K12" s="249"/>
      <c r="L12" s="487" t="s">
        <v>283</v>
      </c>
      <c r="M12" s="487"/>
    </row>
    <row r="13" spans="1:47" ht="28.9" customHeight="1" x14ac:dyDescent="0.25">
      <c r="F13" s="252" t="s">
        <v>282</v>
      </c>
      <c r="G13" s="253" t="s">
        <v>648</v>
      </c>
      <c r="H13" s="253" t="s">
        <v>649</v>
      </c>
      <c r="K13" s="252" t="s">
        <v>650</v>
      </c>
      <c r="L13" s="253" t="s">
        <v>648</v>
      </c>
      <c r="M13" s="253" t="s">
        <v>649</v>
      </c>
    </row>
    <row r="14" spans="1:47" ht="28.9" customHeight="1" x14ac:dyDescent="0.25">
      <c r="F14" s="251" t="s">
        <v>647</v>
      </c>
      <c r="G14" s="254">
        <v>700</v>
      </c>
      <c r="H14" s="255"/>
      <c r="K14" s="251" t="s">
        <v>3</v>
      </c>
      <c r="L14" s="250"/>
      <c r="M14" s="250"/>
    </row>
    <row r="15" spans="1:47" ht="28.9" customHeight="1" x14ac:dyDescent="0.25">
      <c r="F15" s="251" t="s">
        <v>9</v>
      </c>
      <c r="G15" s="255">
        <v>200</v>
      </c>
      <c r="H15" s="255"/>
      <c r="K15" s="251" t="s">
        <v>4</v>
      </c>
      <c r="L15" s="250"/>
      <c r="M15" s="250"/>
    </row>
    <row r="16" spans="1:47" ht="28.9" customHeight="1" x14ac:dyDescent="0.25">
      <c r="F16" s="251" t="s">
        <v>10</v>
      </c>
      <c r="G16" s="255">
        <v>400</v>
      </c>
      <c r="H16" s="255"/>
      <c r="K16" s="251" t="s">
        <v>5</v>
      </c>
      <c r="L16" s="250"/>
      <c r="M16" s="250"/>
    </row>
    <row r="17" spans="6:13" ht="28.9" customHeight="1" x14ac:dyDescent="0.25">
      <c r="F17" s="251" t="s">
        <v>11</v>
      </c>
      <c r="G17" s="255"/>
      <c r="H17" s="255"/>
      <c r="K17" s="251" t="s">
        <v>6</v>
      </c>
      <c r="L17" s="250"/>
      <c r="M17" s="250"/>
    </row>
    <row r="18" spans="6:13" ht="28.9" customHeight="1" x14ac:dyDescent="0.25">
      <c r="K18" s="251" t="s">
        <v>7</v>
      </c>
      <c r="L18" s="181"/>
      <c r="M18" s="181"/>
    </row>
    <row r="19" spans="6:13" ht="28.9" customHeight="1" x14ac:dyDescent="0.25"/>
    <row r="20" spans="6:13" ht="28.9" customHeight="1" x14ac:dyDescent="0.25"/>
    <row r="21" spans="6:13" ht="28.9" customHeight="1" x14ac:dyDescent="0.25"/>
    <row r="22" spans="6:13" ht="28.9" customHeight="1" x14ac:dyDescent="0.25"/>
    <row r="23" spans="6:13" ht="28.9" customHeight="1" x14ac:dyDescent="0.25"/>
    <row r="24" spans="6:13" ht="28.9" customHeight="1" x14ac:dyDescent="0.25"/>
    <row r="25" spans="6:13" ht="28.9" customHeight="1" x14ac:dyDescent="0.25"/>
    <row r="26" spans="6:13" ht="28.9" customHeight="1" x14ac:dyDescent="0.25"/>
    <row r="27" spans="6:13" ht="28.9" customHeight="1" x14ac:dyDescent="0.25"/>
    <row r="28" spans="6:13" ht="28.9" customHeight="1" x14ac:dyDescent="0.25"/>
    <row r="29" spans="6:13" ht="28.9" customHeight="1" x14ac:dyDescent="0.25"/>
    <row r="30" spans="6:13" ht="28.9" customHeight="1" x14ac:dyDescent="0.25"/>
    <row r="31" spans="6:13" ht="28.9" customHeight="1" x14ac:dyDescent="0.25"/>
    <row r="32" spans="6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zoomScale="40" zoomScaleNormal="40" workbookViewId="0">
      <selection activeCell="M48" sqref="M48"/>
    </sheetView>
  </sheetViews>
  <sheetFormatPr defaultColWidth="8.85546875" defaultRowHeight="15" x14ac:dyDescent="0.25"/>
  <cols>
    <col min="2" max="2" width="14.28515625" bestFit="1" customWidth="1"/>
    <col min="3" max="3" width="36.140625" customWidth="1"/>
    <col min="4" max="4" width="30.28515625" customWidth="1"/>
    <col min="5" max="5" width="47.7109375" customWidth="1"/>
    <col min="6" max="6" width="32.140625" bestFit="1" customWidth="1"/>
    <col min="7" max="7" width="26" customWidth="1"/>
    <col min="8" max="8" width="49" customWidth="1"/>
    <col min="9" max="9" width="25.42578125" bestFit="1" customWidth="1"/>
    <col min="10" max="10" width="21.42578125" bestFit="1" customWidth="1"/>
    <col min="11" max="11" width="51.7109375" customWidth="1"/>
    <col min="12" max="12" width="34.7109375" bestFit="1" customWidth="1"/>
    <col min="13" max="13" width="49.42578125" customWidth="1"/>
    <col min="14" max="14" width="28.140625" bestFit="1" customWidth="1"/>
    <col min="15" max="15" width="17" bestFit="1" customWidth="1"/>
    <col min="16" max="16" width="33" bestFit="1" customWidth="1"/>
    <col min="17" max="17" width="12.5703125" bestFit="1" customWidth="1"/>
    <col min="18" max="18" width="13" bestFit="1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</row>
    <row r="5" spans="1:47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</row>
    <row r="6" spans="1:47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</row>
    <row r="7" spans="1:47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</row>
    <row r="8" spans="1:47" ht="28.9" customHeight="1" x14ac:dyDescent="0.25"/>
    <row r="9" spans="1:47" ht="28.9" customHeight="1" thickBot="1" x14ac:dyDescent="0.3"/>
    <row r="10" spans="1:47" ht="28.9" customHeight="1" thickBot="1" x14ac:dyDescent="0.4">
      <c r="E10" s="488" t="s">
        <v>361</v>
      </c>
      <c r="F10" s="489"/>
      <c r="G10" s="489"/>
      <c r="H10" s="489"/>
      <c r="I10" s="489"/>
      <c r="J10" s="489"/>
      <c r="K10" s="490"/>
      <c r="L10" s="257"/>
      <c r="M10" s="491" t="s">
        <v>406</v>
      </c>
      <c r="N10" s="492"/>
      <c r="O10" s="492"/>
      <c r="P10" s="493"/>
      <c r="Q10" s="179"/>
    </row>
    <row r="11" spans="1:47" ht="28.9" customHeight="1" x14ac:dyDescent="0.3">
      <c r="E11" s="258" t="s">
        <v>287</v>
      </c>
      <c r="F11" s="259" t="s">
        <v>362</v>
      </c>
      <c r="G11" s="259" t="s">
        <v>407</v>
      </c>
      <c r="H11" s="259" t="s">
        <v>293</v>
      </c>
      <c r="I11" s="259" t="s">
        <v>403</v>
      </c>
      <c r="J11" s="259" t="s">
        <v>408</v>
      </c>
      <c r="K11" s="260" t="s">
        <v>409</v>
      </c>
      <c r="L11" s="177"/>
      <c r="M11" s="273" t="s">
        <v>410</v>
      </c>
      <c r="N11" s="246" t="s">
        <v>362</v>
      </c>
      <c r="O11" s="246" t="s">
        <v>294</v>
      </c>
      <c r="P11" s="274" t="s">
        <v>407</v>
      </c>
      <c r="Q11" s="180"/>
    </row>
    <row r="12" spans="1:47" ht="28.9" customHeight="1" x14ac:dyDescent="0.35">
      <c r="E12" s="261" t="s">
        <v>411</v>
      </c>
      <c r="F12" s="262" t="s">
        <v>412</v>
      </c>
      <c r="G12" s="262" t="s">
        <v>413</v>
      </c>
      <c r="H12" s="263" t="s">
        <v>414</v>
      </c>
      <c r="I12" s="262" t="s">
        <v>415</v>
      </c>
      <c r="J12" s="262" t="s">
        <v>416</v>
      </c>
      <c r="K12" s="264" t="s">
        <v>417</v>
      </c>
      <c r="L12" s="177"/>
      <c r="M12" s="275"/>
      <c r="N12" s="276"/>
      <c r="O12" s="276"/>
      <c r="P12" s="277"/>
      <c r="Q12" s="180"/>
    </row>
    <row r="13" spans="1:47" ht="28.9" customHeight="1" x14ac:dyDescent="0.35">
      <c r="E13" s="261" t="s">
        <v>418</v>
      </c>
      <c r="F13" s="262" t="s">
        <v>419</v>
      </c>
      <c r="G13" s="262" t="s">
        <v>420</v>
      </c>
      <c r="H13" s="263" t="s">
        <v>421</v>
      </c>
      <c r="I13" s="262" t="s">
        <v>422</v>
      </c>
      <c r="J13" s="262" t="s">
        <v>416</v>
      </c>
      <c r="K13" s="265" t="s">
        <v>423</v>
      </c>
      <c r="L13" s="177"/>
      <c r="M13" s="275"/>
      <c r="N13" s="276"/>
      <c r="O13" s="276"/>
      <c r="P13" s="277"/>
      <c r="Q13" s="180"/>
    </row>
    <row r="14" spans="1:47" ht="28.9" customHeight="1" x14ac:dyDescent="0.35">
      <c r="E14" s="261" t="s">
        <v>424</v>
      </c>
      <c r="F14" s="262" t="s">
        <v>425</v>
      </c>
      <c r="G14" s="262" t="s">
        <v>426</v>
      </c>
      <c r="H14" s="263" t="s">
        <v>427</v>
      </c>
      <c r="I14" s="262" t="s">
        <v>428</v>
      </c>
      <c r="J14" s="262" t="s">
        <v>416</v>
      </c>
      <c r="K14" s="264" t="s">
        <v>429</v>
      </c>
      <c r="L14" s="177"/>
      <c r="M14" s="275"/>
      <c r="N14" s="276"/>
      <c r="O14" s="276"/>
      <c r="P14" s="277"/>
      <c r="Q14" s="180"/>
    </row>
    <row r="15" spans="1:47" ht="28.9" customHeight="1" x14ac:dyDescent="0.35">
      <c r="E15" s="261" t="s">
        <v>430</v>
      </c>
      <c r="F15" s="262" t="s">
        <v>431</v>
      </c>
      <c r="G15" s="262" t="s">
        <v>432</v>
      </c>
      <c r="H15" s="263" t="s">
        <v>433</v>
      </c>
      <c r="I15" s="262" t="s">
        <v>416</v>
      </c>
      <c r="J15" s="262" t="s">
        <v>416</v>
      </c>
      <c r="K15" s="266" t="s">
        <v>434</v>
      </c>
      <c r="L15" s="1"/>
      <c r="M15" s="275"/>
      <c r="N15" s="276"/>
      <c r="O15" s="276"/>
      <c r="P15" s="277"/>
      <c r="Q15" s="180"/>
    </row>
    <row r="16" spans="1:47" ht="28.9" customHeight="1" x14ac:dyDescent="0.35">
      <c r="E16" s="261" t="s">
        <v>435</v>
      </c>
      <c r="F16" s="262" t="s">
        <v>436</v>
      </c>
      <c r="G16" s="262" t="s">
        <v>437</v>
      </c>
      <c r="H16" s="263" t="s">
        <v>438</v>
      </c>
      <c r="I16" s="262" t="s">
        <v>439</v>
      </c>
      <c r="J16" s="262" t="s">
        <v>416</v>
      </c>
      <c r="K16" s="265" t="s">
        <v>440</v>
      </c>
      <c r="L16" s="1"/>
      <c r="M16" s="275"/>
      <c r="N16" s="276"/>
      <c r="O16" s="276"/>
      <c r="P16" s="277"/>
      <c r="Q16" s="180"/>
    </row>
    <row r="17" spans="5:17" ht="28.9" customHeight="1" x14ac:dyDescent="0.35">
      <c r="E17" s="261" t="s">
        <v>441</v>
      </c>
      <c r="F17" s="262" t="s">
        <v>442</v>
      </c>
      <c r="G17" s="262" t="s">
        <v>443</v>
      </c>
      <c r="H17" s="263" t="s">
        <v>444</v>
      </c>
      <c r="I17" s="262" t="s">
        <v>445</v>
      </c>
      <c r="J17" s="262" t="s">
        <v>416</v>
      </c>
      <c r="K17" s="264" t="s">
        <v>446</v>
      </c>
      <c r="L17" s="1"/>
      <c r="M17" s="275"/>
      <c r="N17" s="276"/>
      <c r="O17" s="276"/>
      <c r="P17" s="277"/>
      <c r="Q17" s="180"/>
    </row>
    <row r="18" spans="5:17" ht="28.9" customHeight="1" x14ac:dyDescent="0.35">
      <c r="E18" s="261" t="s">
        <v>447</v>
      </c>
      <c r="F18" s="262" t="s">
        <v>448</v>
      </c>
      <c r="G18" s="262" t="s">
        <v>449</v>
      </c>
      <c r="H18" s="263" t="s">
        <v>450</v>
      </c>
      <c r="I18" s="262" t="s">
        <v>451</v>
      </c>
      <c r="J18" s="262" t="s">
        <v>416</v>
      </c>
      <c r="K18" s="264" t="s">
        <v>452</v>
      </c>
      <c r="M18" s="275"/>
      <c r="N18" s="276"/>
      <c r="O18" s="276"/>
      <c r="P18" s="277"/>
      <c r="Q18" s="180"/>
    </row>
    <row r="19" spans="5:17" ht="28.9" customHeight="1" x14ac:dyDescent="0.35">
      <c r="E19" s="261" t="s">
        <v>453</v>
      </c>
      <c r="F19" s="262" t="s">
        <v>454</v>
      </c>
      <c r="G19" s="262" t="s">
        <v>455</v>
      </c>
      <c r="H19" s="263" t="s">
        <v>456</v>
      </c>
      <c r="I19" s="262" t="s">
        <v>457</v>
      </c>
      <c r="J19" s="262" t="s">
        <v>416</v>
      </c>
      <c r="K19" s="267" t="s">
        <v>458</v>
      </c>
      <c r="M19" s="275"/>
      <c r="N19" s="276"/>
      <c r="O19" s="276"/>
      <c r="P19" s="277"/>
      <c r="Q19" s="180"/>
    </row>
    <row r="20" spans="5:17" ht="28.9" customHeight="1" x14ac:dyDescent="0.35">
      <c r="E20" s="261" t="s">
        <v>459</v>
      </c>
      <c r="F20" s="262" t="s">
        <v>460</v>
      </c>
      <c r="G20" s="262" t="s">
        <v>461</v>
      </c>
      <c r="H20" s="263" t="s">
        <v>462</v>
      </c>
      <c r="I20" s="262" t="s">
        <v>463</v>
      </c>
      <c r="J20" s="262" t="s">
        <v>464</v>
      </c>
      <c r="K20" s="264" t="s">
        <v>465</v>
      </c>
      <c r="M20" s="275"/>
      <c r="N20" s="276"/>
      <c r="O20" s="276"/>
      <c r="P20" s="277"/>
      <c r="Q20" s="180"/>
    </row>
    <row r="21" spans="5:17" ht="28.9" customHeight="1" x14ac:dyDescent="0.35">
      <c r="E21" s="261" t="s">
        <v>466</v>
      </c>
      <c r="F21" s="262" t="s">
        <v>467</v>
      </c>
      <c r="G21" s="262" t="s">
        <v>468</v>
      </c>
      <c r="H21" s="263" t="s">
        <v>469</v>
      </c>
      <c r="I21" s="262" t="s">
        <v>470</v>
      </c>
      <c r="J21" s="262" t="s">
        <v>464</v>
      </c>
      <c r="K21" s="265" t="s">
        <v>471</v>
      </c>
      <c r="M21" s="275"/>
      <c r="N21" s="276"/>
      <c r="O21" s="276"/>
      <c r="P21" s="277"/>
      <c r="Q21" s="180"/>
    </row>
    <row r="22" spans="5:17" ht="28.9" customHeight="1" x14ac:dyDescent="0.35">
      <c r="E22" s="261" t="s">
        <v>472</v>
      </c>
      <c r="F22" s="262" t="s">
        <v>473</v>
      </c>
      <c r="G22" s="262" t="s">
        <v>474</v>
      </c>
      <c r="H22" s="263" t="s">
        <v>475</v>
      </c>
      <c r="I22" s="262" t="s">
        <v>476</v>
      </c>
      <c r="J22" s="262" t="s">
        <v>464</v>
      </c>
      <c r="K22" s="265" t="s">
        <v>477</v>
      </c>
      <c r="M22" s="275"/>
      <c r="N22" s="276"/>
      <c r="O22" s="276"/>
      <c r="P22" s="277"/>
      <c r="Q22" s="180"/>
    </row>
    <row r="23" spans="5:17" ht="28.9" customHeight="1" x14ac:dyDescent="0.35">
      <c r="E23" s="261" t="s">
        <v>478</v>
      </c>
      <c r="F23" s="262" t="s">
        <v>479</v>
      </c>
      <c r="G23" s="262" t="s">
        <v>480</v>
      </c>
      <c r="H23" s="263" t="s">
        <v>481</v>
      </c>
      <c r="I23" s="262" t="s">
        <v>482</v>
      </c>
      <c r="J23" s="262" t="s">
        <v>464</v>
      </c>
      <c r="K23" s="268" t="s">
        <v>483</v>
      </c>
      <c r="M23" s="275"/>
      <c r="N23" s="276"/>
      <c r="O23" s="276"/>
      <c r="P23" s="277"/>
      <c r="Q23" s="180"/>
    </row>
    <row r="24" spans="5:17" ht="28.9" customHeight="1" thickBot="1" x14ac:dyDescent="0.4">
      <c r="E24" s="261" t="s">
        <v>484</v>
      </c>
      <c r="F24" s="262" t="s">
        <v>485</v>
      </c>
      <c r="G24" s="262" t="s">
        <v>486</v>
      </c>
      <c r="H24" s="263" t="s">
        <v>487</v>
      </c>
      <c r="I24" s="262" t="s">
        <v>470</v>
      </c>
      <c r="J24" s="262" t="s">
        <v>464</v>
      </c>
      <c r="K24" s="264" t="s">
        <v>488</v>
      </c>
      <c r="L24" s="182"/>
      <c r="M24" s="278"/>
      <c r="N24" s="279"/>
      <c r="O24" s="279"/>
      <c r="P24" s="280"/>
    </row>
    <row r="25" spans="5:17" ht="28.9" customHeight="1" x14ac:dyDescent="0.3">
      <c r="E25" s="261" t="s">
        <v>489</v>
      </c>
      <c r="F25" s="262" t="s">
        <v>490</v>
      </c>
      <c r="G25" s="262" t="s">
        <v>491</v>
      </c>
      <c r="H25" s="263" t="s">
        <v>492</v>
      </c>
      <c r="I25" s="262" t="s">
        <v>493</v>
      </c>
      <c r="J25" s="262" t="s">
        <v>464</v>
      </c>
      <c r="K25" s="264" t="s">
        <v>494</v>
      </c>
    </row>
    <row r="26" spans="5:17" ht="28.9" customHeight="1" x14ac:dyDescent="0.3">
      <c r="E26" s="261" t="s">
        <v>495</v>
      </c>
      <c r="F26" s="262" t="s">
        <v>496</v>
      </c>
      <c r="G26" s="262" t="s">
        <v>497</v>
      </c>
      <c r="H26" s="263" t="s">
        <v>498</v>
      </c>
      <c r="I26" s="262" t="s">
        <v>499</v>
      </c>
      <c r="J26" s="262" t="s">
        <v>464</v>
      </c>
      <c r="K26" s="266" t="s">
        <v>500</v>
      </c>
    </row>
    <row r="27" spans="5:17" ht="28.9" customHeight="1" x14ac:dyDescent="0.3">
      <c r="E27" s="261" t="s">
        <v>501</v>
      </c>
      <c r="F27" s="262" t="s">
        <v>502</v>
      </c>
      <c r="G27" s="262" t="s">
        <v>503</v>
      </c>
      <c r="H27" s="263" t="s">
        <v>504</v>
      </c>
      <c r="I27" s="262" t="s">
        <v>505</v>
      </c>
      <c r="J27" s="262" t="s">
        <v>464</v>
      </c>
      <c r="K27" s="264" t="s">
        <v>506</v>
      </c>
    </row>
    <row r="28" spans="5:17" ht="28.9" customHeight="1" x14ac:dyDescent="0.3">
      <c r="E28" s="261" t="s">
        <v>507</v>
      </c>
      <c r="F28" s="262" t="s">
        <v>508</v>
      </c>
      <c r="G28" s="262" t="s">
        <v>509</v>
      </c>
      <c r="H28" s="263" t="s">
        <v>510</v>
      </c>
      <c r="I28" s="262" t="s">
        <v>511</v>
      </c>
      <c r="J28" s="262" t="s">
        <v>512</v>
      </c>
      <c r="K28" s="264" t="s">
        <v>513</v>
      </c>
    </row>
    <row r="29" spans="5:17" ht="28.9" customHeight="1" x14ac:dyDescent="0.3">
      <c r="E29" s="261" t="s">
        <v>514</v>
      </c>
      <c r="F29" s="262" t="s">
        <v>515</v>
      </c>
      <c r="G29" s="262" t="s">
        <v>516</v>
      </c>
      <c r="H29" s="263" t="s">
        <v>517</v>
      </c>
      <c r="I29" s="262" t="s">
        <v>518</v>
      </c>
      <c r="J29" s="262" t="s">
        <v>512</v>
      </c>
      <c r="K29" s="264" t="s">
        <v>519</v>
      </c>
    </row>
    <row r="30" spans="5:17" ht="28.9" customHeight="1" x14ac:dyDescent="0.3">
      <c r="E30" s="261" t="s">
        <v>520</v>
      </c>
      <c r="F30" s="262" t="s">
        <v>521</v>
      </c>
      <c r="G30" s="262" t="s">
        <v>522</v>
      </c>
      <c r="H30" s="263" t="s">
        <v>523</v>
      </c>
      <c r="I30" s="262" t="s">
        <v>524</v>
      </c>
      <c r="J30" s="262" t="s">
        <v>512</v>
      </c>
      <c r="K30" s="264" t="s">
        <v>525</v>
      </c>
    </row>
    <row r="31" spans="5:17" ht="28.9" customHeight="1" x14ac:dyDescent="0.3">
      <c r="E31" s="261" t="s">
        <v>526</v>
      </c>
      <c r="F31" s="262" t="s">
        <v>527</v>
      </c>
      <c r="G31" s="262" t="s">
        <v>528</v>
      </c>
      <c r="H31" s="263" t="s">
        <v>529</v>
      </c>
      <c r="I31" s="262" t="s">
        <v>530</v>
      </c>
      <c r="J31" s="262" t="s">
        <v>512</v>
      </c>
      <c r="K31" s="264" t="s">
        <v>531</v>
      </c>
    </row>
    <row r="32" spans="5:17" ht="28.9" customHeight="1" thickBot="1" x14ac:dyDescent="0.35">
      <c r="E32" s="269" t="s">
        <v>532</v>
      </c>
      <c r="F32" s="270" t="s">
        <v>533</v>
      </c>
      <c r="G32" s="270" t="s">
        <v>534</v>
      </c>
      <c r="H32" s="271" t="s">
        <v>535</v>
      </c>
      <c r="I32" s="270" t="s">
        <v>536</v>
      </c>
      <c r="J32" s="270" t="s">
        <v>512</v>
      </c>
      <c r="K32" s="272" t="s">
        <v>537</v>
      </c>
    </row>
    <row r="33" spans="2:18" ht="28.9" customHeight="1" x14ac:dyDescent="0.25"/>
    <row r="34" spans="2:18" ht="28.9" customHeight="1" thickBot="1" x14ac:dyDescent="0.3"/>
    <row r="35" spans="2:18" ht="28.9" customHeight="1" thickBot="1" x14ac:dyDescent="0.4">
      <c r="B35" s="494" t="s">
        <v>538</v>
      </c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495"/>
      <c r="O35" s="495"/>
      <c r="P35" s="495"/>
      <c r="Q35" s="495"/>
      <c r="R35" s="496"/>
    </row>
    <row r="36" spans="2:18" ht="28.9" customHeight="1" x14ac:dyDescent="0.3">
      <c r="B36" s="281" t="s">
        <v>287</v>
      </c>
      <c r="C36" s="282" t="s">
        <v>288</v>
      </c>
      <c r="D36" s="282" t="s">
        <v>289</v>
      </c>
      <c r="E36" s="282" t="s">
        <v>290</v>
      </c>
      <c r="F36" s="282" t="s">
        <v>291</v>
      </c>
      <c r="G36" s="282" t="s">
        <v>292</v>
      </c>
      <c r="H36" s="282" t="s">
        <v>293</v>
      </c>
      <c r="I36" s="282" t="s">
        <v>294</v>
      </c>
      <c r="J36" s="282" t="s">
        <v>295</v>
      </c>
      <c r="K36" s="282" t="s">
        <v>311</v>
      </c>
      <c r="L36" s="283" t="s">
        <v>539</v>
      </c>
      <c r="M36" s="283" t="s">
        <v>540</v>
      </c>
      <c r="N36" s="283" t="s">
        <v>541</v>
      </c>
      <c r="O36" s="283" t="s">
        <v>360</v>
      </c>
      <c r="P36" s="283" t="s">
        <v>542</v>
      </c>
      <c r="Q36" s="283" t="s">
        <v>543</v>
      </c>
      <c r="R36" s="284" t="s">
        <v>319</v>
      </c>
    </row>
    <row r="37" spans="2:18" ht="28.9" customHeight="1" x14ac:dyDescent="0.25">
      <c r="B37" s="186" t="s">
        <v>544</v>
      </c>
      <c r="C37" s="181" t="s">
        <v>545</v>
      </c>
      <c r="D37" s="181" t="s">
        <v>546</v>
      </c>
      <c r="E37" s="181" t="s">
        <v>547</v>
      </c>
      <c r="F37" s="181">
        <v>3336859865</v>
      </c>
      <c r="G37" s="181" t="s">
        <v>548</v>
      </c>
      <c r="H37" s="187" t="s">
        <v>444</v>
      </c>
      <c r="I37" s="188" t="s">
        <v>549</v>
      </c>
      <c r="J37" s="181" t="s">
        <v>550</v>
      </c>
      <c r="K37" s="181" t="s">
        <v>551</v>
      </c>
      <c r="L37" s="189">
        <v>3000</v>
      </c>
      <c r="M37" s="189"/>
      <c r="N37" s="189"/>
      <c r="O37" s="189"/>
      <c r="P37" s="189"/>
      <c r="Q37" s="189"/>
      <c r="R37" s="190"/>
    </row>
    <row r="38" spans="2:18" ht="28.9" customHeight="1" x14ac:dyDescent="0.25">
      <c r="B38" s="186" t="s">
        <v>552</v>
      </c>
      <c r="C38" s="181" t="s">
        <v>545</v>
      </c>
      <c r="D38" s="181" t="s">
        <v>553</v>
      </c>
      <c r="E38" s="181" t="s">
        <v>554</v>
      </c>
      <c r="F38" s="181">
        <v>3336859865</v>
      </c>
      <c r="G38" s="181" t="s">
        <v>555</v>
      </c>
      <c r="H38" s="187" t="s">
        <v>450</v>
      </c>
      <c r="I38" s="188" t="s">
        <v>556</v>
      </c>
      <c r="J38" s="181" t="s">
        <v>557</v>
      </c>
      <c r="K38" s="181" t="s">
        <v>551</v>
      </c>
      <c r="L38" s="189">
        <v>3000</v>
      </c>
      <c r="M38" s="189"/>
      <c r="N38" s="189"/>
      <c r="O38" s="189"/>
      <c r="P38" s="189"/>
      <c r="Q38" s="189"/>
      <c r="R38" s="190"/>
    </row>
    <row r="39" spans="2:18" ht="28.9" customHeight="1" x14ac:dyDescent="0.25">
      <c r="B39" s="186" t="s">
        <v>558</v>
      </c>
      <c r="C39" s="181" t="s">
        <v>545</v>
      </c>
      <c r="D39" s="181" t="s">
        <v>546</v>
      </c>
      <c r="E39" s="181" t="s">
        <v>547</v>
      </c>
      <c r="F39" s="181">
        <v>3336859865</v>
      </c>
      <c r="G39" s="181" t="s">
        <v>559</v>
      </c>
      <c r="H39" s="187" t="s">
        <v>456</v>
      </c>
      <c r="I39" s="188" t="s">
        <v>560</v>
      </c>
      <c r="J39" s="181" t="s">
        <v>561</v>
      </c>
      <c r="K39" s="181" t="s">
        <v>551</v>
      </c>
      <c r="L39" s="189">
        <v>3000</v>
      </c>
      <c r="M39" s="189"/>
      <c r="N39" s="189"/>
      <c r="O39" s="189"/>
      <c r="P39" s="189"/>
      <c r="Q39" s="189"/>
      <c r="R39" s="190"/>
    </row>
    <row r="40" spans="2:18" ht="28.9" customHeight="1" x14ac:dyDescent="0.25">
      <c r="B40" s="186" t="s">
        <v>562</v>
      </c>
      <c r="C40" s="181" t="s">
        <v>545</v>
      </c>
      <c r="D40" s="181" t="s">
        <v>563</v>
      </c>
      <c r="E40" s="181" t="s">
        <v>554</v>
      </c>
      <c r="F40" s="181">
        <v>3336859865</v>
      </c>
      <c r="G40" s="181" t="s">
        <v>564</v>
      </c>
      <c r="H40" s="187" t="s">
        <v>462</v>
      </c>
      <c r="I40" s="188" t="s">
        <v>565</v>
      </c>
      <c r="J40" s="181" t="s">
        <v>566</v>
      </c>
      <c r="K40" s="181" t="s">
        <v>551</v>
      </c>
      <c r="L40" s="189">
        <v>3000</v>
      </c>
      <c r="M40" s="189"/>
      <c r="N40" s="189"/>
      <c r="O40" s="189"/>
      <c r="P40" s="189"/>
      <c r="Q40" s="189"/>
      <c r="R40" s="190"/>
    </row>
    <row r="41" spans="2:18" ht="28.9" customHeight="1" thickBot="1" x14ac:dyDescent="0.3">
      <c r="B41" s="183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5"/>
    </row>
    <row r="42" spans="2:18" ht="28.9" customHeight="1" x14ac:dyDescent="0.25"/>
    <row r="43" spans="2:18" ht="28.9" customHeight="1" x14ac:dyDescent="0.25"/>
    <row r="44" spans="2:18" ht="28.9" customHeight="1" x14ac:dyDescent="0.25"/>
    <row r="45" spans="2:18" ht="28.9" customHeight="1" x14ac:dyDescent="0.25"/>
    <row r="46" spans="2:18" ht="28.9" customHeight="1" x14ac:dyDescent="0.25"/>
    <row r="47" spans="2:18" ht="28.9" customHeight="1" x14ac:dyDescent="0.25"/>
    <row r="48" spans="2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zoomScale="40" zoomScaleNormal="40" workbookViewId="0">
      <selection activeCell="J3" activeCellId="1" sqref="C19 J3"/>
    </sheetView>
  </sheetViews>
  <sheetFormatPr defaultColWidth="8.85546875" defaultRowHeight="15" x14ac:dyDescent="0.25"/>
  <cols>
    <col min="2" max="2" width="14.28515625" bestFit="1" customWidth="1"/>
    <col min="3" max="3" width="36.140625" customWidth="1"/>
    <col min="4" max="4" width="30.28515625" customWidth="1"/>
    <col min="5" max="5" width="21" bestFit="1" customWidth="1"/>
    <col min="6" max="6" width="45.42578125" bestFit="1" customWidth="1"/>
    <col min="7" max="7" width="34" bestFit="1" customWidth="1"/>
    <col min="8" max="8" width="50.42578125" bestFit="1" customWidth="1"/>
    <col min="9" max="9" width="46.28515625" bestFit="1" customWidth="1"/>
    <col min="10" max="10" width="35.7109375" bestFit="1" customWidth="1"/>
    <col min="11" max="11" width="36.28515625" bestFit="1" customWidth="1"/>
    <col min="12" max="12" width="36" bestFit="1" customWidth="1"/>
    <col min="13" max="13" width="49.42578125" customWidth="1"/>
    <col min="14" max="14" width="28.140625" bestFit="1" customWidth="1"/>
    <col min="15" max="15" width="17" bestFit="1" customWidth="1"/>
    <col min="16" max="16" width="33" bestFit="1" customWidth="1"/>
    <col min="17" max="17" width="12.5703125" bestFit="1" customWidth="1"/>
    <col min="18" max="18" width="13" bestFit="1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</row>
    <row r="5" spans="1:47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</row>
    <row r="6" spans="1:47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</row>
    <row r="7" spans="1:47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E11" s="497" t="s">
        <v>567</v>
      </c>
      <c r="F11" s="497"/>
      <c r="G11" s="497"/>
      <c r="H11" s="497"/>
      <c r="I11" s="497"/>
      <c r="J11" s="191"/>
      <c r="K11" s="191"/>
      <c r="L11" s="178"/>
    </row>
    <row r="12" spans="1:47" ht="28.9" customHeight="1" x14ac:dyDescent="0.3">
      <c r="E12" s="285" t="s">
        <v>282</v>
      </c>
      <c r="F12" s="285" t="s">
        <v>568</v>
      </c>
      <c r="G12" s="286" t="s">
        <v>364</v>
      </c>
      <c r="H12" s="285" t="s">
        <v>365</v>
      </c>
      <c r="I12" s="285" t="s">
        <v>569</v>
      </c>
      <c r="J12" s="192"/>
      <c r="K12" s="192"/>
      <c r="L12" s="177"/>
    </row>
    <row r="13" spans="1:47" ht="28.9" customHeight="1" x14ac:dyDescent="0.3">
      <c r="E13" s="287"/>
      <c r="F13" s="287"/>
      <c r="G13" s="288">
        <v>20</v>
      </c>
      <c r="H13" s="287"/>
      <c r="I13" s="287" t="s">
        <v>570</v>
      </c>
      <c r="J13" s="61"/>
      <c r="K13" s="193"/>
      <c r="L13" s="177"/>
    </row>
    <row r="14" spans="1:47" ht="28.9" customHeight="1" x14ac:dyDescent="0.3">
      <c r="E14" s="287"/>
      <c r="F14" s="289"/>
      <c r="G14" s="290">
        <v>30</v>
      </c>
      <c r="H14" s="287"/>
      <c r="I14" s="287" t="s">
        <v>570</v>
      </c>
      <c r="J14" s="61"/>
      <c r="K14" s="180"/>
      <c r="L14" s="177"/>
    </row>
    <row r="15" spans="1:47" ht="28.9" customHeight="1" x14ac:dyDescent="0.3">
      <c r="E15" s="287"/>
      <c r="F15" s="287"/>
      <c r="G15" s="290">
        <v>23</v>
      </c>
      <c r="H15" s="287"/>
      <c r="I15" s="287" t="s">
        <v>570</v>
      </c>
      <c r="J15" s="61"/>
      <c r="K15" s="193"/>
      <c r="L15" s="177"/>
    </row>
    <row r="16" spans="1:47" ht="28.9" customHeight="1" x14ac:dyDescent="0.3">
      <c r="E16" s="287"/>
      <c r="F16" s="287"/>
      <c r="G16" s="290">
        <v>50</v>
      </c>
      <c r="H16" s="287"/>
      <c r="I16" s="287" t="s">
        <v>570</v>
      </c>
      <c r="J16" s="61"/>
      <c r="K16" s="194"/>
      <c r="L16" s="1"/>
    </row>
    <row r="17" spans="5:12" ht="28.9" customHeight="1" x14ac:dyDescent="0.3">
      <c r="E17" s="287"/>
      <c r="F17" s="287"/>
      <c r="G17" s="290">
        <v>77</v>
      </c>
      <c r="H17" s="287"/>
      <c r="I17" s="287" t="s">
        <v>570</v>
      </c>
      <c r="J17" s="61"/>
      <c r="K17" s="180"/>
      <c r="L17" s="1"/>
    </row>
    <row r="18" spans="5:12" ht="28.9" customHeight="1" x14ac:dyDescent="0.3">
      <c r="E18" s="287"/>
      <c r="F18" s="287"/>
      <c r="G18" s="290">
        <v>55</v>
      </c>
      <c r="H18" s="287"/>
      <c r="I18" s="287" t="s">
        <v>570</v>
      </c>
      <c r="J18" s="61"/>
      <c r="K18" s="193"/>
      <c r="L18" s="1"/>
    </row>
    <row r="19" spans="5:12" ht="28.9" customHeight="1" x14ac:dyDescent="0.3">
      <c r="E19" s="287"/>
      <c r="F19" s="287"/>
      <c r="G19" s="290">
        <v>130</v>
      </c>
      <c r="H19" s="287"/>
      <c r="I19" s="287" t="s">
        <v>570</v>
      </c>
      <c r="J19" s="61"/>
      <c r="K19" s="193"/>
    </row>
    <row r="20" spans="5:12" ht="28.9" customHeight="1" x14ac:dyDescent="0.3">
      <c r="E20" s="287"/>
      <c r="F20" s="287"/>
      <c r="G20" s="290">
        <v>62</v>
      </c>
      <c r="H20" s="287"/>
      <c r="I20" s="287" t="s">
        <v>570</v>
      </c>
      <c r="J20" s="61"/>
      <c r="K20" s="195"/>
    </row>
    <row r="21" spans="5:12" ht="28.9" customHeight="1" x14ac:dyDescent="0.3">
      <c r="E21" s="287"/>
      <c r="F21" s="287"/>
      <c r="G21" s="290">
        <v>8</v>
      </c>
      <c r="H21" s="287"/>
      <c r="I21" s="287" t="s">
        <v>570</v>
      </c>
      <c r="J21" s="61"/>
      <c r="K21" s="193"/>
    </row>
    <row r="22" spans="5:12" ht="28.9" customHeight="1" x14ac:dyDescent="0.3">
      <c r="E22" s="287"/>
      <c r="F22" s="287"/>
      <c r="G22" s="290">
        <v>54</v>
      </c>
      <c r="H22" s="287"/>
      <c r="I22" s="287" t="s">
        <v>570</v>
      </c>
      <c r="J22" s="61"/>
      <c r="K22" s="180"/>
    </row>
    <row r="23" spans="5:12" ht="28.9" customHeight="1" x14ac:dyDescent="0.3">
      <c r="E23" s="287"/>
      <c r="F23" s="287"/>
      <c r="G23" s="290">
        <v>4</v>
      </c>
      <c r="H23" s="287"/>
      <c r="I23" s="287" t="s">
        <v>570</v>
      </c>
      <c r="J23" s="61"/>
      <c r="K23" s="180"/>
    </row>
    <row r="24" spans="5:12" ht="28.9" customHeight="1" x14ac:dyDescent="0.3">
      <c r="E24" s="287"/>
      <c r="F24" s="287"/>
      <c r="G24" s="290">
        <v>64</v>
      </c>
      <c r="H24" s="287"/>
      <c r="I24" s="287" t="s">
        <v>570</v>
      </c>
      <c r="J24" s="61"/>
      <c r="K24" s="196"/>
    </row>
    <row r="25" spans="5:12" ht="28.9" customHeight="1" x14ac:dyDescent="0.3">
      <c r="E25" s="287"/>
      <c r="F25" s="287"/>
      <c r="G25" s="290">
        <v>78</v>
      </c>
      <c r="H25" s="287"/>
      <c r="I25" s="287" t="s">
        <v>570</v>
      </c>
      <c r="J25" s="61"/>
      <c r="K25" s="193"/>
      <c r="L25" s="182"/>
    </row>
    <row r="26" spans="5:12" ht="28.9" customHeight="1" thickBot="1" x14ac:dyDescent="0.3">
      <c r="E26" s="61"/>
      <c r="F26" s="61"/>
      <c r="G26" s="61"/>
      <c r="H26" s="193"/>
      <c r="I26" s="61"/>
      <c r="J26" s="61"/>
      <c r="K26" s="193"/>
    </row>
    <row r="27" spans="5:12" ht="28.9" customHeight="1" x14ac:dyDescent="0.3">
      <c r="E27" s="498" t="s">
        <v>571</v>
      </c>
      <c r="F27" s="499"/>
      <c r="G27" s="499"/>
      <c r="H27" s="499"/>
      <c r="I27" s="499"/>
      <c r="J27" s="499"/>
      <c r="K27" s="499"/>
      <c r="L27" s="500"/>
    </row>
    <row r="28" spans="5:12" ht="28.9" customHeight="1" x14ac:dyDescent="0.25">
      <c r="E28" s="291" t="s">
        <v>220</v>
      </c>
      <c r="F28" s="219" t="s">
        <v>572</v>
      </c>
      <c r="G28" s="219" t="s">
        <v>573</v>
      </c>
      <c r="H28" s="219" t="s">
        <v>574</v>
      </c>
      <c r="I28" s="219" t="s">
        <v>575</v>
      </c>
      <c r="J28" s="219" t="s">
        <v>576</v>
      </c>
      <c r="K28" s="219" t="s">
        <v>577</v>
      </c>
      <c r="L28" s="292" t="s">
        <v>578</v>
      </c>
    </row>
    <row r="29" spans="5:12" ht="28.9" customHeight="1" x14ac:dyDescent="0.35">
      <c r="E29" s="293"/>
      <c r="F29" s="255"/>
      <c r="G29" s="255"/>
      <c r="H29" s="255"/>
      <c r="I29" s="255"/>
      <c r="J29" s="276"/>
      <c r="K29" s="276"/>
      <c r="L29" s="277"/>
    </row>
    <row r="30" spans="5:12" ht="28.9" customHeight="1" x14ac:dyDescent="0.35">
      <c r="E30" s="293"/>
      <c r="F30" s="255"/>
      <c r="G30" s="255"/>
      <c r="H30" s="255"/>
      <c r="I30" s="255"/>
      <c r="J30" s="276"/>
      <c r="K30" s="276"/>
      <c r="L30" s="277"/>
    </row>
    <row r="31" spans="5:12" ht="28.9" customHeight="1" x14ac:dyDescent="0.35">
      <c r="E31" s="275"/>
      <c r="F31" s="276"/>
      <c r="G31" s="276"/>
      <c r="H31" s="276"/>
      <c r="I31" s="276"/>
      <c r="J31" s="276"/>
      <c r="K31" s="276"/>
      <c r="L31" s="277"/>
    </row>
    <row r="32" spans="5:12" ht="28.9" customHeight="1" x14ac:dyDescent="0.35">
      <c r="E32" s="275"/>
      <c r="F32" s="276"/>
      <c r="G32" s="276"/>
      <c r="H32" s="276"/>
      <c r="I32" s="276"/>
      <c r="J32" s="276"/>
      <c r="K32" s="276"/>
      <c r="L32" s="277"/>
    </row>
    <row r="33" spans="5:12" ht="28.9" customHeight="1" x14ac:dyDescent="0.35">
      <c r="E33" s="275"/>
      <c r="F33" s="276"/>
      <c r="G33" s="276"/>
      <c r="H33" s="276"/>
      <c r="I33" s="276"/>
      <c r="J33" s="276"/>
      <c r="K33" s="276"/>
      <c r="L33" s="277"/>
    </row>
    <row r="34" spans="5:12" ht="28.9" customHeight="1" thickBot="1" x14ac:dyDescent="0.4">
      <c r="E34" s="278"/>
      <c r="F34" s="279"/>
      <c r="G34" s="279"/>
      <c r="H34" s="279"/>
      <c r="I34" s="279"/>
      <c r="J34" s="279"/>
      <c r="K34" s="279"/>
      <c r="L34" s="280"/>
    </row>
    <row r="35" spans="5:12" ht="28.9" customHeight="1" x14ac:dyDescent="0.25"/>
    <row r="36" spans="5:12" ht="28.9" customHeight="1" x14ac:dyDescent="0.25"/>
    <row r="37" spans="5:12" ht="28.9" customHeight="1" x14ac:dyDescent="0.25"/>
    <row r="38" spans="5:12" ht="28.9" customHeight="1" x14ac:dyDescent="0.25"/>
    <row r="39" spans="5:12" ht="28.9" customHeight="1" x14ac:dyDescent="0.25"/>
    <row r="40" spans="5:12" ht="28.9" customHeight="1" x14ac:dyDescent="0.25"/>
    <row r="41" spans="5:12" ht="28.9" customHeight="1" x14ac:dyDescent="0.25"/>
    <row r="42" spans="5:12" ht="28.9" customHeight="1" x14ac:dyDescent="0.25"/>
    <row r="43" spans="5:12" ht="28.9" customHeight="1" x14ac:dyDescent="0.25"/>
    <row r="44" spans="5:12" ht="28.9" customHeight="1" x14ac:dyDescent="0.25"/>
    <row r="45" spans="5:12" ht="28.9" customHeight="1" x14ac:dyDescent="0.25"/>
    <row r="46" spans="5:12" ht="28.9" customHeight="1" x14ac:dyDescent="0.25"/>
    <row r="47" spans="5:12" ht="28.9" customHeight="1" x14ac:dyDescent="0.25"/>
    <row r="48" spans="5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1C8EE-79FD-42C7-8BD3-FBDDB6496E2E}">
  <sheetPr codeName="Planilha69">
    <tabColor rgb="FFFF0000"/>
  </sheetPr>
  <dimension ref="A1:AF42"/>
  <sheetViews>
    <sheetView zoomScale="40" zoomScaleNormal="40" workbookViewId="0">
      <selection activeCell="B17" sqref="B17"/>
    </sheetView>
  </sheetViews>
  <sheetFormatPr defaultColWidth="8.85546875" defaultRowHeight="15" x14ac:dyDescent="0.25"/>
  <cols>
    <col min="2" max="2" width="31" customWidth="1"/>
    <col min="3" max="3" width="59.85546875" customWidth="1"/>
    <col min="4" max="4" width="47.28515625" customWidth="1"/>
    <col min="5" max="5" width="52.140625" customWidth="1"/>
    <col min="6" max="6" width="41.5703125" customWidth="1"/>
    <col min="7" max="7" width="25.5703125" customWidth="1"/>
    <col min="8" max="8" width="27.5703125" customWidth="1"/>
    <col min="9" max="10" width="47.85546875" customWidth="1"/>
    <col min="11" max="11" width="33" customWidth="1"/>
    <col min="12" max="12" width="36" customWidth="1"/>
    <col min="13" max="13" width="28" bestFit="1" customWidth="1"/>
    <col min="14" max="14" width="30" customWidth="1"/>
    <col min="15" max="15" width="31" bestFit="1" customWidth="1"/>
    <col min="16" max="16" width="26.85546875" customWidth="1"/>
    <col min="17" max="17" width="14.5703125" customWidth="1"/>
    <col min="18" max="18" width="27" customWidth="1"/>
    <col min="19" max="19" width="13.28515625" customWidth="1"/>
  </cols>
  <sheetData>
    <row r="1" spans="1:32" s="2" customFormat="1" x14ac:dyDescent="0.25"/>
    <row r="2" spans="1:32" s="2" customFormat="1" x14ac:dyDescent="0.25"/>
    <row r="3" spans="1:32" s="2" customFormat="1" ht="61.5" customHeight="1" x14ac:dyDescent="0.25"/>
    <row r="4" spans="1:32" ht="46.15" customHeight="1" x14ac:dyDescent="0.25">
      <c r="A4" s="501"/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1"/>
      <c r="AF4" s="501"/>
    </row>
    <row r="6" spans="1:32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32" ht="21" thickBot="1" x14ac:dyDescent="0.35">
      <c r="B7" s="343"/>
      <c r="C7" s="347"/>
      <c r="D7" s="502"/>
      <c r="E7" s="502"/>
      <c r="F7" s="343"/>
      <c r="G7" s="343"/>
      <c r="H7" s="347"/>
      <c r="I7" s="502"/>
      <c r="J7" s="502"/>
      <c r="K7" s="502"/>
      <c r="L7" s="343"/>
      <c r="M7" s="339"/>
      <c r="N7" s="339"/>
      <c r="O7" s="339"/>
      <c r="P7" s="339"/>
      <c r="Q7" s="339"/>
      <c r="R7" s="339"/>
      <c r="S7" s="339"/>
      <c r="T7" s="339"/>
    </row>
    <row r="8" spans="1:32" ht="20.25" x14ac:dyDescent="0.3">
      <c r="C8" s="503" t="s">
        <v>361</v>
      </c>
      <c r="D8" s="503"/>
      <c r="E8" s="503"/>
      <c r="F8" s="503"/>
      <c r="G8" s="503"/>
      <c r="H8" s="503"/>
      <c r="I8" s="503"/>
      <c r="J8" s="376"/>
      <c r="K8" s="256"/>
      <c r="L8" s="498" t="s">
        <v>406</v>
      </c>
      <c r="M8" s="499"/>
      <c r="N8" s="499"/>
      <c r="O8" s="500"/>
      <c r="P8" s="375"/>
      <c r="Q8" s="339"/>
      <c r="R8" s="339"/>
      <c r="S8" s="339"/>
      <c r="T8" s="339"/>
    </row>
    <row r="9" spans="1:32" ht="21" thickBot="1" x14ac:dyDescent="0.35">
      <c r="C9" s="374" t="s">
        <v>362</v>
      </c>
      <c r="D9" s="374" t="s">
        <v>287</v>
      </c>
      <c r="E9" s="374" t="s">
        <v>293</v>
      </c>
      <c r="F9" s="374" t="s">
        <v>403</v>
      </c>
      <c r="G9" s="374" t="s">
        <v>408</v>
      </c>
      <c r="H9" s="374" t="s">
        <v>407</v>
      </c>
      <c r="I9" s="374" t="s">
        <v>409</v>
      </c>
      <c r="J9" s="373"/>
      <c r="K9" s="347"/>
      <c r="L9" s="273" t="s">
        <v>410</v>
      </c>
      <c r="M9" s="246" t="s">
        <v>362</v>
      </c>
      <c r="N9" s="246" t="s">
        <v>294</v>
      </c>
      <c r="O9" s="274" t="s">
        <v>407</v>
      </c>
      <c r="P9" s="337"/>
      <c r="Q9" s="339"/>
      <c r="R9" s="339"/>
      <c r="S9" s="339"/>
      <c r="T9" s="339"/>
    </row>
    <row r="10" spans="1:32" ht="21" thickBot="1" x14ac:dyDescent="0.35">
      <c r="C10" s="323" t="s">
        <v>767</v>
      </c>
      <c r="D10" s="323" t="s">
        <v>744</v>
      </c>
      <c r="E10" s="323" t="s">
        <v>766</v>
      </c>
      <c r="F10" s="323" t="s">
        <v>765</v>
      </c>
      <c r="G10" s="323" t="s">
        <v>759</v>
      </c>
      <c r="H10" s="323" t="s">
        <v>764</v>
      </c>
      <c r="I10" s="324" t="s">
        <v>556</v>
      </c>
      <c r="J10" s="195"/>
      <c r="K10" s="347"/>
      <c r="L10" s="366"/>
      <c r="M10" s="336"/>
      <c r="N10" s="336"/>
      <c r="O10" s="365"/>
      <c r="P10" s="337"/>
      <c r="Q10" s="339"/>
      <c r="R10" s="339"/>
      <c r="S10" s="339"/>
      <c r="T10" s="339"/>
    </row>
    <row r="11" spans="1:32" ht="21" x14ac:dyDescent="0.35">
      <c r="C11" s="362" t="s">
        <v>763</v>
      </c>
      <c r="D11" s="287" t="s">
        <v>762</v>
      </c>
      <c r="E11" s="287" t="s">
        <v>761</v>
      </c>
      <c r="F11" s="287" t="s">
        <v>760</v>
      </c>
      <c r="G11" s="287" t="s">
        <v>759</v>
      </c>
      <c r="H11" s="287" t="s">
        <v>758</v>
      </c>
      <c r="I11" s="372" t="s">
        <v>757</v>
      </c>
      <c r="J11" s="180"/>
      <c r="K11" s="347"/>
      <c r="L11" s="366"/>
      <c r="M11" s="336"/>
      <c r="N11" s="336"/>
      <c r="O11" s="365"/>
      <c r="P11" s="337"/>
      <c r="Q11" s="339"/>
      <c r="R11" s="339"/>
      <c r="S11" s="339"/>
      <c r="T11" s="339"/>
    </row>
    <row r="12" spans="1:32" ht="20.25" x14ac:dyDescent="0.3">
      <c r="C12" s="371" t="s">
        <v>412</v>
      </c>
      <c r="D12" s="262" t="s">
        <v>411</v>
      </c>
      <c r="E12" s="370" t="s">
        <v>414</v>
      </c>
      <c r="F12" s="262" t="s">
        <v>415</v>
      </c>
      <c r="G12" s="262" t="s">
        <v>416</v>
      </c>
      <c r="H12" s="262" t="s">
        <v>413</v>
      </c>
      <c r="I12" s="369" t="s">
        <v>417</v>
      </c>
      <c r="J12" s="337"/>
      <c r="K12" s="343"/>
      <c r="L12" s="366"/>
      <c r="M12" s="336"/>
      <c r="N12" s="336"/>
      <c r="O12" s="365"/>
      <c r="P12" s="337"/>
      <c r="Q12" s="339"/>
      <c r="R12" s="339"/>
      <c r="S12" s="339"/>
      <c r="T12" s="339"/>
    </row>
    <row r="13" spans="1:32" ht="20.25" x14ac:dyDescent="0.3">
      <c r="C13" s="362" t="s">
        <v>419</v>
      </c>
      <c r="D13" s="262" t="s">
        <v>418</v>
      </c>
      <c r="E13" s="263" t="s">
        <v>421</v>
      </c>
      <c r="F13" s="262" t="s">
        <v>422</v>
      </c>
      <c r="G13" s="262" t="s">
        <v>416</v>
      </c>
      <c r="H13" s="262" t="s">
        <v>420</v>
      </c>
      <c r="I13" s="265" t="s">
        <v>423</v>
      </c>
      <c r="J13" s="347"/>
      <c r="K13" s="343"/>
      <c r="L13" s="366"/>
      <c r="M13" s="336"/>
      <c r="N13" s="336"/>
      <c r="O13" s="365"/>
      <c r="P13" s="337"/>
      <c r="Q13" s="339"/>
      <c r="R13" s="339"/>
      <c r="S13" s="339"/>
      <c r="T13" s="339"/>
    </row>
    <row r="14" spans="1:32" ht="20.25" x14ac:dyDescent="0.3">
      <c r="C14" s="362" t="s">
        <v>425</v>
      </c>
      <c r="D14" s="262" t="s">
        <v>424</v>
      </c>
      <c r="E14" s="263" t="s">
        <v>427</v>
      </c>
      <c r="F14" s="262" t="s">
        <v>428</v>
      </c>
      <c r="G14" s="262" t="s">
        <v>416</v>
      </c>
      <c r="H14" s="262" t="s">
        <v>426</v>
      </c>
      <c r="I14" s="264" t="s">
        <v>429</v>
      </c>
      <c r="J14" s="364"/>
      <c r="K14" s="343"/>
      <c r="L14" s="366"/>
      <c r="M14" s="336"/>
      <c r="N14" s="336"/>
      <c r="O14" s="365"/>
      <c r="P14" s="337"/>
      <c r="Q14" s="339"/>
      <c r="R14" s="339"/>
      <c r="S14" s="339"/>
      <c r="T14" s="339"/>
    </row>
    <row r="15" spans="1:32" ht="20.25" x14ac:dyDescent="0.3">
      <c r="C15" s="362" t="s">
        <v>431</v>
      </c>
      <c r="D15" s="262" t="s">
        <v>430</v>
      </c>
      <c r="E15" s="263" t="s">
        <v>433</v>
      </c>
      <c r="F15" s="262" t="s">
        <v>416</v>
      </c>
      <c r="G15" s="262" t="s">
        <v>416</v>
      </c>
      <c r="H15" s="262" t="s">
        <v>432</v>
      </c>
      <c r="I15" s="363" t="s">
        <v>434</v>
      </c>
      <c r="J15" s="337"/>
      <c r="K15" s="339"/>
      <c r="L15" s="366"/>
      <c r="M15" s="336"/>
      <c r="N15" s="336"/>
      <c r="O15" s="365"/>
      <c r="P15" s="337"/>
      <c r="Q15" s="339"/>
      <c r="R15" s="339"/>
      <c r="S15" s="339"/>
      <c r="T15" s="339"/>
    </row>
    <row r="16" spans="1:32" ht="20.25" x14ac:dyDescent="0.3">
      <c r="C16" s="362" t="s">
        <v>436</v>
      </c>
      <c r="D16" s="262" t="s">
        <v>435</v>
      </c>
      <c r="E16" s="263" t="s">
        <v>438</v>
      </c>
      <c r="F16" s="262" t="s">
        <v>439</v>
      </c>
      <c r="G16" s="262" t="s">
        <v>416</v>
      </c>
      <c r="H16" s="262" t="s">
        <v>437</v>
      </c>
      <c r="I16" s="265" t="s">
        <v>440</v>
      </c>
      <c r="J16" s="347"/>
      <c r="K16" s="339"/>
      <c r="L16" s="366"/>
      <c r="M16" s="336"/>
      <c r="N16" s="336"/>
      <c r="O16" s="365"/>
      <c r="P16" s="337"/>
      <c r="Q16" s="339"/>
      <c r="R16" s="339"/>
      <c r="S16" s="339"/>
      <c r="T16" s="339"/>
    </row>
    <row r="17" spans="2:20" ht="20.25" x14ac:dyDescent="0.3">
      <c r="C17" s="362" t="s">
        <v>442</v>
      </c>
      <c r="D17" s="262" t="s">
        <v>441</v>
      </c>
      <c r="E17" s="263" t="s">
        <v>444</v>
      </c>
      <c r="F17" s="262" t="s">
        <v>445</v>
      </c>
      <c r="G17" s="262" t="s">
        <v>416</v>
      </c>
      <c r="H17" s="262" t="s">
        <v>443</v>
      </c>
      <c r="I17" s="264" t="s">
        <v>446</v>
      </c>
      <c r="J17" s="347"/>
      <c r="K17" s="339"/>
      <c r="L17" s="366"/>
      <c r="M17" s="336"/>
      <c r="N17" s="336"/>
      <c r="O17" s="365"/>
      <c r="P17" s="337"/>
      <c r="Q17" s="339"/>
      <c r="R17" s="339"/>
      <c r="S17" s="339"/>
      <c r="T17" s="339"/>
    </row>
    <row r="18" spans="2:20" ht="20.25" x14ac:dyDescent="0.3">
      <c r="C18" s="362" t="s">
        <v>448</v>
      </c>
      <c r="D18" s="262" t="s">
        <v>447</v>
      </c>
      <c r="E18" s="263" t="s">
        <v>450</v>
      </c>
      <c r="F18" s="262" t="s">
        <v>451</v>
      </c>
      <c r="G18" s="262" t="s">
        <v>416</v>
      </c>
      <c r="H18" s="262" t="s">
        <v>449</v>
      </c>
      <c r="I18" s="264" t="s">
        <v>452</v>
      </c>
      <c r="J18" s="368"/>
      <c r="K18" s="339"/>
      <c r="L18" s="366"/>
      <c r="M18" s="336"/>
      <c r="N18" s="336"/>
      <c r="O18" s="365"/>
      <c r="P18" s="337"/>
      <c r="Q18" s="339"/>
      <c r="R18" s="339"/>
      <c r="S18" s="339"/>
      <c r="T18" s="339"/>
    </row>
    <row r="19" spans="2:20" ht="20.25" x14ac:dyDescent="0.3">
      <c r="C19" s="362" t="s">
        <v>454</v>
      </c>
      <c r="D19" s="262" t="s">
        <v>453</v>
      </c>
      <c r="E19" s="263" t="s">
        <v>456</v>
      </c>
      <c r="F19" s="262" t="s">
        <v>457</v>
      </c>
      <c r="G19" s="262" t="s">
        <v>416</v>
      </c>
      <c r="H19" s="262" t="s">
        <v>455</v>
      </c>
      <c r="I19" s="367" t="s">
        <v>458</v>
      </c>
      <c r="J19" s="347"/>
      <c r="K19" s="339"/>
      <c r="L19" s="366"/>
      <c r="M19" s="336"/>
      <c r="N19" s="336"/>
      <c r="O19" s="365"/>
      <c r="P19" s="337"/>
      <c r="Q19" s="339"/>
      <c r="R19" s="339"/>
      <c r="S19" s="339"/>
      <c r="T19" s="339"/>
    </row>
    <row r="20" spans="2:20" ht="20.25" x14ac:dyDescent="0.3">
      <c r="C20" s="362" t="s">
        <v>460</v>
      </c>
      <c r="D20" s="262" t="s">
        <v>459</v>
      </c>
      <c r="E20" s="263" t="s">
        <v>462</v>
      </c>
      <c r="F20" s="262" t="s">
        <v>463</v>
      </c>
      <c r="G20" s="262" t="s">
        <v>464</v>
      </c>
      <c r="H20" s="262" t="s">
        <v>461</v>
      </c>
      <c r="I20" s="264" t="s">
        <v>465</v>
      </c>
      <c r="J20" s="337"/>
      <c r="K20" s="339"/>
      <c r="L20" s="366"/>
      <c r="M20" s="336"/>
      <c r="N20" s="336"/>
      <c r="O20" s="365"/>
      <c r="P20" s="337"/>
      <c r="Q20" s="339"/>
      <c r="R20" s="339"/>
      <c r="S20" s="339"/>
      <c r="T20" s="339"/>
    </row>
    <row r="21" spans="2:20" ht="21" thickBot="1" x14ac:dyDescent="0.35">
      <c r="C21" s="362" t="s">
        <v>467</v>
      </c>
      <c r="D21" s="262" t="s">
        <v>466</v>
      </c>
      <c r="E21" s="263" t="s">
        <v>469</v>
      </c>
      <c r="F21" s="262" t="s">
        <v>470</v>
      </c>
      <c r="G21" s="262" t="s">
        <v>464</v>
      </c>
      <c r="H21" s="262" t="s">
        <v>468</v>
      </c>
      <c r="I21" s="265" t="s">
        <v>471</v>
      </c>
      <c r="J21" s="337"/>
      <c r="K21" s="256"/>
      <c r="L21" s="342"/>
      <c r="M21" s="341"/>
      <c r="N21" s="341"/>
      <c r="O21" s="348"/>
      <c r="P21" s="339"/>
      <c r="Q21" s="339"/>
      <c r="R21" s="339"/>
      <c r="S21" s="339"/>
      <c r="T21" s="339"/>
    </row>
    <row r="22" spans="2:20" ht="20.25" x14ac:dyDescent="0.3">
      <c r="C22" s="362" t="s">
        <v>473</v>
      </c>
      <c r="D22" s="262" t="s">
        <v>472</v>
      </c>
      <c r="E22" s="263" t="s">
        <v>475</v>
      </c>
      <c r="F22" s="262" t="s">
        <v>476</v>
      </c>
      <c r="G22" s="262" t="s">
        <v>464</v>
      </c>
      <c r="H22" s="262" t="s">
        <v>474</v>
      </c>
      <c r="I22" s="265" t="s">
        <v>477</v>
      </c>
      <c r="J22" s="343"/>
      <c r="K22" s="339"/>
      <c r="L22" s="339"/>
      <c r="M22" s="339"/>
      <c r="N22" s="339"/>
      <c r="O22" s="339"/>
      <c r="P22" s="339"/>
      <c r="Q22" s="339"/>
      <c r="R22" s="339"/>
      <c r="S22" s="339"/>
      <c r="T22" s="339"/>
    </row>
    <row r="23" spans="2:20" ht="20.25" x14ac:dyDescent="0.3">
      <c r="C23" s="362" t="s">
        <v>479</v>
      </c>
      <c r="D23" s="262" t="s">
        <v>478</v>
      </c>
      <c r="E23" s="263" t="s">
        <v>481</v>
      </c>
      <c r="F23" s="262" t="s">
        <v>482</v>
      </c>
      <c r="G23" s="262" t="s">
        <v>464</v>
      </c>
      <c r="H23" s="262" t="s">
        <v>480</v>
      </c>
      <c r="I23" s="268" t="s">
        <v>483</v>
      </c>
      <c r="J23" s="347"/>
      <c r="K23" s="339"/>
      <c r="L23" s="339"/>
      <c r="M23" s="339"/>
      <c r="N23" s="339"/>
      <c r="O23" s="339"/>
      <c r="P23" s="339"/>
      <c r="Q23" s="339"/>
      <c r="R23" s="339"/>
      <c r="S23" s="339"/>
      <c r="T23" s="339"/>
    </row>
    <row r="24" spans="2:20" ht="20.25" x14ac:dyDescent="0.3">
      <c r="C24" s="362" t="s">
        <v>485</v>
      </c>
      <c r="D24" s="262" t="s">
        <v>484</v>
      </c>
      <c r="E24" s="263" t="s">
        <v>487</v>
      </c>
      <c r="F24" s="262" t="s">
        <v>470</v>
      </c>
      <c r="G24" s="262" t="s">
        <v>464</v>
      </c>
      <c r="H24" s="262" t="s">
        <v>486</v>
      </c>
      <c r="I24" s="264" t="s">
        <v>488</v>
      </c>
      <c r="J24" s="347"/>
      <c r="K24" s="339"/>
      <c r="L24" s="339"/>
      <c r="M24" s="339"/>
      <c r="N24" s="339"/>
      <c r="O24" s="339"/>
      <c r="P24" s="339"/>
      <c r="Q24" s="339"/>
      <c r="R24" s="339"/>
      <c r="S24" s="339"/>
      <c r="T24" s="339"/>
    </row>
    <row r="25" spans="2:20" ht="20.25" x14ac:dyDescent="0.3">
      <c r="C25" s="362" t="s">
        <v>490</v>
      </c>
      <c r="D25" s="262" t="s">
        <v>489</v>
      </c>
      <c r="E25" s="263" t="s">
        <v>492</v>
      </c>
      <c r="F25" s="262" t="s">
        <v>493</v>
      </c>
      <c r="G25" s="262" t="s">
        <v>464</v>
      </c>
      <c r="H25" s="262" t="s">
        <v>491</v>
      </c>
      <c r="I25" s="264" t="s">
        <v>494</v>
      </c>
      <c r="J25" s="364"/>
      <c r="K25" s="339"/>
      <c r="L25" s="339"/>
      <c r="M25" s="339"/>
      <c r="N25" s="339"/>
      <c r="O25" s="339"/>
      <c r="P25" s="339"/>
      <c r="Q25" s="339"/>
      <c r="R25" s="339"/>
      <c r="S25" s="339"/>
      <c r="T25" s="339"/>
    </row>
    <row r="26" spans="2:20" ht="20.25" x14ac:dyDescent="0.3">
      <c r="C26" s="362" t="s">
        <v>496</v>
      </c>
      <c r="D26" s="262" t="s">
        <v>495</v>
      </c>
      <c r="E26" s="263" t="s">
        <v>498</v>
      </c>
      <c r="F26" s="262" t="s">
        <v>499</v>
      </c>
      <c r="G26" s="262" t="s">
        <v>464</v>
      </c>
      <c r="H26" s="262" t="s">
        <v>497</v>
      </c>
      <c r="I26" s="363" t="s">
        <v>500</v>
      </c>
      <c r="J26" s="347"/>
      <c r="K26" s="339"/>
      <c r="L26" s="339"/>
      <c r="M26" s="339"/>
      <c r="N26" s="339"/>
      <c r="O26" s="339"/>
      <c r="P26" s="339"/>
      <c r="Q26" s="339"/>
      <c r="R26" s="339"/>
      <c r="S26" s="339"/>
      <c r="T26" s="339"/>
    </row>
    <row r="27" spans="2:20" ht="20.25" x14ac:dyDescent="0.3">
      <c r="C27" s="362" t="s">
        <v>502</v>
      </c>
      <c r="D27" s="262" t="s">
        <v>501</v>
      </c>
      <c r="E27" s="263" t="s">
        <v>504</v>
      </c>
      <c r="F27" s="262" t="s">
        <v>505</v>
      </c>
      <c r="G27" s="262" t="s">
        <v>464</v>
      </c>
      <c r="H27" s="262" t="s">
        <v>503</v>
      </c>
      <c r="I27" s="264" t="s">
        <v>506</v>
      </c>
      <c r="J27" s="347"/>
      <c r="K27" s="339"/>
      <c r="L27" s="339"/>
      <c r="M27" s="339"/>
      <c r="N27" s="339"/>
      <c r="O27" s="339"/>
      <c r="P27" s="339"/>
      <c r="Q27" s="339"/>
      <c r="R27" s="339"/>
      <c r="S27" s="339"/>
      <c r="T27" s="339"/>
    </row>
    <row r="28" spans="2:20" ht="20.25" x14ac:dyDescent="0.3">
      <c r="C28" s="362" t="s">
        <v>508</v>
      </c>
      <c r="D28" s="262" t="s">
        <v>507</v>
      </c>
      <c r="E28" s="263" t="s">
        <v>510</v>
      </c>
      <c r="F28" s="262" t="s">
        <v>511</v>
      </c>
      <c r="G28" s="262" t="s">
        <v>512</v>
      </c>
      <c r="H28" s="262" t="s">
        <v>509</v>
      </c>
      <c r="I28" s="264" t="s">
        <v>513</v>
      </c>
      <c r="J28" s="347"/>
      <c r="K28" s="339"/>
      <c r="L28" s="339"/>
      <c r="M28" s="339"/>
      <c r="N28" s="339"/>
      <c r="O28" s="339"/>
      <c r="P28" s="339"/>
      <c r="Q28" s="339"/>
      <c r="R28" s="339"/>
      <c r="S28" s="339"/>
      <c r="T28" s="339"/>
    </row>
    <row r="29" spans="2:20" ht="20.25" x14ac:dyDescent="0.3">
      <c r="C29" s="362" t="s">
        <v>515</v>
      </c>
      <c r="D29" s="262" t="s">
        <v>514</v>
      </c>
      <c r="E29" s="263" t="s">
        <v>517</v>
      </c>
      <c r="F29" s="262" t="s">
        <v>518</v>
      </c>
      <c r="G29" s="262" t="s">
        <v>512</v>
      </c>
      <c r="H29" s="262" t="s">
        <v>516</v>
      </c>
      <c r="I29" s="264" t="s">
        <v>519</v>
      </c>
      <c r="J29" s="347"/>
      <c r="K29" s="339"/>
      <c r="L29" s="339"/>
      <c r="M29" s="339"/>
      <c r="N29" s="339"/>
      <c r="O29" s="339"/>
      <c r="P29" s="339"/>
      <c r="Q29" s="339"/>
      <c r="R29" s="339"/>
      <c r="S29" s="339"/>
      <c r="T29" s="339"/>
    </row>
    <row r="30" spans="2:20" ht="20.25" x14ac:dyDescent="0.3">
      <c r="B30" s="339"/>
      <c r="C30" s="362" t="s">
        <v>521</v>
      </c>
      <c r="D30" s="262" t="s">
        <v>520</v>
      </c>
      <c r="E30" s="263" t="s">
        <v>523</v>
      </c>
      <c r="F30" s="262" t="s">
        <v>524</v>
      </c>
      <c r="G30" s="262" t="s">
        <v>512</v>
      </c>
      <c r="H30" s="262" t="s">
        <v>522</v>
      </c>
      <c r="I30" s="264" t="s">
        <v>525</v>
      </c>
      <c r="J30" s="347"/>
      <c r="K30" s="339"/>
      <c r="L30" s="339"/>
      <c r="M30" s="339"/>
      <c r="N30" s="339"/>
      <c r="O30" s="339"/>
      <c r="P30" s="339"/>
      <c r="Q30" s="339"/>
      <c r="R30" s="339"/>
      <c r="S30" s="339"/>
      <c r="T30" s="339"/>
    </row>
    <row r="31" spans="2:20" ht="21" thickBot="1" x14ac:dyDescent="0.35">
      <c r="B31" s="339"/>
      <c r="C31" s="362" t="s">
        <v>527</v>
      </c>
      <c r="D31" s="262" t="s">
        <v>526</v>
      </c>
      <c r="E31" s="263" t="s">
        <v>529</v>
      </c>
      <c r="F31" s="262" t="s">
        <v>530</v>
      </c>
      <c r="G31" s="262" t="s">
        <v>512</v>
      </c>
      <c r="H31" s="262" t="s">
        <v>528</v>
      </c>
      <c r="I31" s="264" t="s">
        <v>531</v>
      </c>
      <c r="J31" s="347"/>
      <c r="K31" s="339"/>
      <c r="L31" s="339"/>
      <c r="M31" s="339"/>
      <c r="N31" s="339"/>
      <c r="O31" s="339"/>
      <c r="P31" s="339"/>
      <c r="Q31" s="339"/>
      <c r="R31" s="339"/>
      <c r="S31" s="339"/>
      <c r="T31" s="339"/>
    </row>
    <row r="32" spans="2:20" ht="21" thickBot="1" x14ac:dyDescent="0.35">
      <c r="B32" s="339"/>
      <c r="C32" s="362" t="s">
        <v>533</v>
      </c>
      <c r="D32" s="270" t="s">
        <v>532</v>
      </c>
      <c r="E32" s="271" t="s">
        <v>535</v>
      </c>
      <c r="F32" s="270" t="s">
        <v>536</v>
      </c>
      <c r="G32" s="270" t="s">
        <v>512</v>
      </c>
      <c r="H32" s="270" t="s">
        <v>534</v>
      </c>
      <c r="I32" s="272" t="s">
        <v>537</v>
      </c>
      <c r="J32" s="339"/>
      <c r="K32" s="356"/>
      <c r="L32" s="357"/>
      <c r="M32" s="357"/>
      <c r="N32" s="357"/>
      <c r="O32" s="357"/>
      <c r="P32" s="357"/>
      <c r="Q32" s="357"/>
      <c r="R32" s="357"/>
      <c r="S32" s="357"/>
      <c r="T32" s="361"/>
    </row>
    <row r="33" spans="2:20" ht="20.25" x14ac:dyDescent="0.3">
      <c r="B33" s="339"/>
      <c r="C33" s="339"/>
      <c r="D33" s="339"/>
      <c r="E33" s="339"/>
      <c r="F33" s="339"/>
      <c r="G33" s="339"/>
      <c r="H33" s="339"/>
      <c r="I33" s="339"/>
      <c r="J33" s="343"/>
      <c r="K33" s="246" t="s">
        <v>294</v>
      </c>
      <c r="L33" s="360" t="s">
        <v>295</v>
      </c>
      <c r="M33" s="282" t="s">
        <v>311</v>
      </c>
      <c r="N33" s="283" t="s">
        <v>539</v>
      </c>
      <c r="O33" s="283" t="s">
        <v>540</v>
      </c>
      <c r="P33" s="283" t="s">
        <v>541</v>
      </c>
      <c r="Q33" s="283" t="s">
        <v>360</v>
      </c>
      <c r="R33" s="283" t="s">
        <v>542</v>
      </c>
      <c r="S33" s="283" t="s">
        <v>543</v>
      </c>
      <c r="T33" s="284" t="s">
        <v>319</v>
      </c>
    </row>
    <row r="34" spans="2:20" ht="21" thickBot="1" x14ac:dyDescent="0.35">
      <c r="B34" s="339"/>
      <c r="C34" s="339"/>
      <c r="D34" s="339"/>
      <c r="E34" s="339"/>
      <c r="F34" s="339"/>
      <c r="G34" s="339"/>
      <c r="H34" s="339"/>
      <c r="I34" s="339"/>
      <c r="J34" s="359"/>
      <c r="K34" s="353" t="s">
        <v>549</v>
      </c>
      <c r="L34" s="352" t="s">
        <v>550</v>
      </c>
      <c r="M34" s="336" t="s">
        <v>551</v>
      </c>
      <c r="N34" s="351">
        <v>3000</v>
      </c>
      <c r="O34" s="351"/>
      <c r="P34" s="351"/>
      <c r="Q34" s="351"/>
      <c r="R34" s="351"/>
      <c r="S34" s="351"/>
      <c r="T34" s="350"/>
    </row>
    <row r="35" spans="2:20" ht="21" thickBot="1" x14ac:dyDescent="0.35">
      <c r="B35" s="339"/>
      <c r="C35" s="358" t="s">
        <v>538</v>
      </c>
      <c r="D35" s="357"/>
      <c r="E35" s="357"/>
      <c r="F35" s="357"/>
      <c r="G35" s="357"/>
      <c r="H35" s="357"/>
      <c r="I35" s="356"/>
      <c r="J35" s="355"/>
      <c r="K35" s="353" t="s">
        <v>556</v>
      </c>
      <c r="L35" s="352" t="s">
        <v>557</v>
      </c>
      <c r="M35" s="336" t="s">
        <v>551</v>
      </c>
      <c r="N35" s="351">
        <v>3000</v>
      </c>
      <c r="O35" s="351"/>
      <c r="P35" s="351"/>
      <c r="Q35" s="351"/>
      <c r="R35" s="351"/>
      <c r="S35" s="351"/>
      <c r="T35" s="350"/>
    </row>
    <row r="36" spans="2:20" ht="20.25" x14ac:dyDescent="0.3">
      <c r="B36" s="339"/>
      <c r="C36" s="281" t="s">
        <v>287</v>
      </c>
      <c r="D36" s="282" t="s">
        <v>288</v>
      </c>
      <c r="E36" s="282" t="s">
        <v>289</v>
      </c>
      <c r="F36" s="282" t="s">
        <v>290</v>
      </c>
      <c r="G36" s="282" t="s">
        <v>291</v>
      </c>
      <c r="H36" s="354" t="s">
        <v>292</v>
      </c>
      <c r="I36" s="246" t="s">
        <v>293</v>
      </c>
      <c r="J36" s="347"/>
      <c r="K36" s="353" t="s">
        <v>560</v>
      </c>
      <c r="L36" s="352" t="s">
        <v>561</v>
      </c>
      <c r="M36" s="336" t="s">
        <v>551</v>
      </c>
      <c r="N36" s="351">
        <v>3000</v>
      </c>
      <c r="O36" s="351"/>
      <c r="P36" s="351"/>
      <c r="Q36" s="351"/>
      <c r="R36" s="351"/>
      <c r="S36" s="351"/>
      <c r="T36" s="350"/>
    </row>
    <row r="37" spans="2:20" ht="20.25" x14ac:dyDescent="0.3">
      <c r="B37" s="339"/>
      <c r="C37" s="346" t="s">
        <v>756</v>
      </c>
      <c r="D37" s="336" t="s">
        <v>545</v>
      </c>
      <c r="E37" s="336" t="s">
        <v>546</v>
      </c>
      <c r="F37" s="336" t="s">
        <v>547</v>
      </c>
      <c r="G37" s="336">
        <v>3336859865</v>
      </c>
      <c r="H37" s="345" t="s">
        <v>548</v>
      </c>
      <c r="I37" s="344" t="s">
        <v>444</v>
      </c>
      <c r="J37" s="347"/>
      <c r="K37" s="353" t="s">
        <v>565</v>
      </c>
      <c r="L37" s="352" t="s">
        <v>566</v>
      </c>
      <c r="M37" s="336" t="s">
        <v>551</v>
      </c>
      <c r="N37" s="351">
        <v>3000</v>
      </c>
      <c r="O37" s="351"/>
      <c r="P37" s="351"/>
      <c r="Q37" s="351"/>
      <c r="R37" s="351"/>
      <c r="S37" s="351"/>
      <c r="T37" s="350"/>
    </row>
    <row r="38" spans="2:20" ht="21" thickBot="1" x14ac:dyDescent="0.35">
      <c r="B38" s="339"/>
      <c r="C38" s="346" t="s">
        <v>744</v>
      </c>
      <c r="D38" s="336" t="s">
        <v>545</v>
      </c>
      <c r="E38" s="336" t="s">
        <v>553</v>
      </c>
      <c r="F38" s="336" t="s">
        <v>554</v>
      </c>
      <c r="G38" s="336">
        <v>3336859865</v>
      </c>
      <c r="H38" s="345" t="s">
        <v>555</v>
      </c>
      <c r="I38" s="344" t="s">
        <v>450</v>
      </c>
      <c r="J38" s="347"/>
      <c r="K38" s="336"/>
      <c r="L38" s="349"/>
      <c r="M38" s="341"/>
      <c r="N38" s="341"/>
      <c r="O38" s="341"/>
      <c r="P38" s="341"/>
      <c r="Q38" s="341"/>
      <c r="R38" s="341"/>
      <c r="S38" s="341"/>
      <c r="T38" s="348"/>
    </row>
    <row r="39" spans="2:20" ht="20.25" x14ac:dyDescent="0.3">
      <c r="B39" s="339"/>
      <c r="C39" s="346" t="s">
        <v>751</v>
      </c>
      <c r="D39" s="336" t="s">
        <v>545</v>
      </c>
      <c r="E39" s="336" t="s">
        <v>546</v>
      </c>
      <c r="F39" s="336" t="s">
        <v>547</v>
      </c>
      <c r="G39" s="336">
        <v>3336859865</v>
      </c>
      <c r="H39" s="345" t="s">
        <v>559</v>
      </c>
      <c r="I39" s="344" t="s">
        <v>456</v>
      </c>
      <c r="J39" s="347"/>
      <c r="K39" s="339"/>
      <c r="L39" s="339"/>
      <c r="M39" s="339"/>
      <c r="N39" s="339"/>
      <c r="O39" s="339"/>
      <c r="P39" s="339"/>
      <c r="Q39" s="339"/>
      <c r="R39" s="339"/>
      <c r="S39" s="339"/>
      <c r="T39" s="339"/>
    </row>
    <row r="40" spans="2:20" ht="20.25" x14ac:dyDescent="0.3">
      <c r="C40" s="346" t="s">
        <v>755</v>
      </c>
      <c r="D40" s="336" t="s">
        <v>545</v>
      </c>
      <c r="E40" s="336" t="s">
        <v>563</v>
      </c>
      <c r="F40" s="336" t="s">
        <v>554</v>
      </c>
      <c r="G40" s="336">
        <v>3336859865</v>
      </c>
      <c r="H40" s="345" t="s">
        <v>564</v>
      </c>
      <c r="I40" s="344" t="s">
        <v>462</v>
      </c>
      <c r="J40" s="343"/>
    </row>
    <row r="41" spans="2:20" ht="21" thickBot="1" x14ac:dyDescent="0.35">
      <c r="C41" s="342"/>
      <c r="D41" s="341"/>
      <c r="E41" s="341"/>
      <c r="F41" s="341"/>
      <c r="G41" s="341"/>
      <c r="H41" s="340"/>
      <c r="I41" s="336"/>
      <c r="J41" s="339"/>
    </row>
    <row r="42" spans="2:20" ht="20.25" x14ac:dyDescent="0.3">
      <c r="C42" s="339"/>
      <c r="D42" s="339"/>
      <c r="E42" s="339"/>
      <c r="F42" s="339"/>
      <c r="G42" s="339"/>
      <c r="H42" s="339"/>
      <c r="I42" s="339"/>
    </row>
  </sheetData>
  <mergeCells count="5">
    <mergeCell ref="A4:AF4"/>
    <mergeCell ref="D7:E7"/>
    <mergeCell ref="I7:K7"/>
    <mergeCell ref="C8:I8"/>
    <mergeCell ref="L8:O8"/>
  </mergeCells>
  <hyperlinks>
    <hyperlink ref="L25" r:id="rId1" display="andréa.melo29@email.com" xr:uid="{3E6E6D88-8373-40B2-A094-E2E3FF79BE3A}"/>
    <hyperlink ref="I15" r:id="rId2" xr:uid="{C19F64B0-4457-493C-8DAD-B015A6C3BD2C}"/>
    <hyperlink ref="I26" r:id="rId3" xr:uid="{0337DD4B-9EA2-456A-B024-62332E5C6FE6}"/>
    <hyperlink ref="I19" r:id="rId4" xr:uid="{1635CB75-03AA-4200-AA7B-E8213F3595E7}"/>
    <hyperlink ref="K34" r:id="rId5" xr:uid="{2181951C-1177-4727-A213-7FD0A5960232}"/>
    <hyperlink ref="K35" r:id="rId6" xr:uid="{C2ED6515-46D8-4AAA-886D-92E4E8853B03}"/>
    <hyperlink ref="K36" r:id="rId7" xr:uid="{DE8B071B-1526-47C5-BE0E-EFD8A0C34761}"/>
    <hyperlink ref="K37" r:id="rId8" xr:uid="{921CCA23-1B63-4E91-8EDA-4B0F4574F838}"/>
    <hyperlink ref="I11" r:id="rId9" xr:uid="{C8883ABB-7DBC-4AF2-8BD6-F3B6F291C3CD}"/>
    <hyperlink ref="I10" r:id="rId10" xr:uid="{6C83747D-CBD0-443E-BBCD-2DCACB0AA4CC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44</vt:i4>
      </vt:variant>
    </vt:vector>
  </HeadingPairs>
  <TitlesOfParts>
    <vt:vector size="44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LOGISTICA_CLIENTES</vt:lpstr>
      <vt:lpstr>LOGISTICA_VEICULOS</vt:lpstr>
      <vt:lpstr>LOGISTICA_CRONOGRAMA</vt:lpstr>
      <vt:lpstr>LOGISTICA_FRETE</vt:lpstr>
      <vt:lpstr>LOGISTICA_ENTREGAS</vt:lpstr>
      <vt:lpstr>LOGISTICA_ESTQ</vt:lpstr>
      <vt:lpstr>LOGISTICA_CAD-VEICULOS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</vt:lpstr>
      <vt:lpstr>N_VCINTRL</vt:lpstr>
      <vt:lpstr>N_VMETAS</vt:lpstr>
      <vt:lpstr>N_VRELCOM</vt:lpstr>
      <vt:lpstr>N_VRELMET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BANCO1</vt:lpstr>
      <vt:lpstr>B2</vt:lpstr>
      <vt:lpstr>B3</vt:lpstr>
      <vt:lpstr>BD_CADAS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Duan Lee Dom</cp:lastModifiedBy>
  <cp:revision/>
  <dcterms:created xsi:type="dcterms:W3CDTF">2024-10-25T18:08:44Z</dcterms:created>
  <dcterms:modified xsi:type="dcterms:W3CDTF">2024-12-04T00:26:42Z</dcterms:modified>
  <cp:category/>
  <cp:contentStatus/>
</cp:coreProperties>
</file>