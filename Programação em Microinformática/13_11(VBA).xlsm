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orae\Desktop\"/>
    </mc:Choice>
  </mc:AlternateContent>
  <xr:revisionPtr revIDLastSave="0" documentId="13_ncr:1_{4C5C3551-AB63-458D-84A8-BF6A9C2DE584}" xr6:coauthVersionLast="47" xr6:coauthVersionMax="47" xr10:uidLastSave="{00000000-0000-0000-0000-000000000000}"/>
  <bookViews>
    <workbookView xWindow="-108" yWindow="-108" windowWidth="23256" windowHeight="12456" tabRatio="902" activeTab="2" xr2:uid="{D62A3A3B-6FA0-4DAA-89BC-434730893DC8}"/>
  </bookViews>
  <sheets>
    <sheet name="NOVO" sheetId="64" r:id="rId1"/>
    <sheet name="N_PRODHOME" sheetId="80" r:id="rId2"/>
    <sheet name="N_PRODREQ" sheetId="65" r:id="rId3"/>
    <sheet name="N_ EQUIPES" sheetId="74" r:id="rId4"/>
    <sheet name="N_PRODLANC" sheetId="73" r:id="rId5"/>
    <sheet name="N_PRODGRAF " sheetId="87" r:id="rId6"/>
    <sheet name="N_LOGCLIENTES" sheetId="66" r:id="rId7"/>
    <sheet name="N_LOGVEIC" sheetId="75" r:id="rId8"/>
    <sheet name="N_LOGCRON" sheetId="76" r:id="rId9"/>
    <sheet name="N_LOGFRETE" sheetId="77" r:id="rId10"/>
    <sheet name="N_LOGRELAT" sheetId="78" r:id="rId11"/>
    <sheet name="N_LOGRASTR" sheetId="79" r:id="rId12"/>
    <sheet name="N_ESTQSAÍDAS" sheetId="67" r:id="rId13"/>
    <sheet name="N_ESTQENTRAD" sheetId="81" r:id="rId14"/>
    <sheet name="N_RHCONTRATAÇÃO" sheetId="68" r:id="rId15"/>
    <sheet name="N_CADASTRAR" sheetId="82" r:id="rId16"/>
    <sheet name="N_RHFOLHA" sheetId="83" r:id="rId17"/>
    <sheet name="N_RHREF " sheetId="84" r:id="rId18"/>
    <sheet name="N_VCLIENTES" sheetId="71" r:id="rId19"/>
    <sheet name="N_VCONTROLE" sheetId="85" r:id="rId20"/>
    <sheet name="N_VMETAS" sheetId="86" r:id="rId21"/>
    <sheet name="N_CCADASTROF" sheetId="70" r:id="rId22"/>
    <sheet name="N_PROCFOR" sheetId="89" r:id="rId23"/>
    <sheet name="N_CMP" sheetId="88" r:id="rId24"/>
    <sheet name="N_CSOLICITAR" sheetId="90" r:id="rId25"/>
    <sheet name="N_CREALIZARP" sheetId="91" r:id="rId26"/>
    <sheet name="N_FINANÇAS" sheetId="69" r:id="rId27"/>
    <sheet name="BANCO DE DADOS" sheetId="92" r:id="rId28"/>
  </sheets>
  <externalReferences>
    <externalReference r:id="rId29"/>
  </externalReferences>
  <definedNames>
    <definedName name="QUEIJOS">#REF!</definedName>
    <definedName name="QUEIJOS_OFC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5" i="65" l="1"/>
  <c r="T33" i="65"/>
  <c r="T31" i="65"/>
  <c r="T29" i="65"/>
  <c r="T27" i="65"/>
  <c r="J13" i="84"/>
  <c r="I12" i="84"/>
  <c r="I11" i="84"/>
  <c r="I10" i="84"/>
  <c r="E9" i="79"/>
  <c r="E10" i="79" s="1"/>
  <c r="E11" i="79" s="1"/>
  <c r="E12" i="79" s="1"/>
  <c r="E13" i="79" s="1"/>
  <c r="E14" i="79" s="1"/>
  <c r="E15" i="79" s="1"/>
  <c r="E16" i="79" s="1"/>
  <c r="E17" i="79" s="1"/>
  <c r="E18" i="79" s="1"/>
  <c r="E19" i="79" s="1"/>
  <c r="E20" i="79" s="1"/>
  <c r="E21" i="79" s="1"/>
  <c r="E22" i="79" s="1"/>
  <c r="E23" i="79" s="1"/>
  <c r="E24" i="79" s="1"/>
  <c r="E25" i="79" s="1"/>
  <c r="E26" i="79" s="1"/>
  <c r="E27" i="79" s="1"/>
  <c r="H8" i="79"/>
  <c r="I8" i="79" s="1"/>
  <c r="E9" i="78"/>
  <c r="E10" i="78" s="1"/>
  <c r="E11" i="78" s="1"/>
  <c r="E12" i="78" s="1"/>
  <c r="E13" i="78" s="1"/>
  <c r="E14" i="78" s="1"/>
  <c r="E15" i="78" s="1"/>
  <c r="E16" i="78" s="1"/>
  <c r="E17" i="78" s="1"/>
  <c r="E18" i="78" s="1"/>
  <c r="E19" i="78" s="1"/>
  <c r="E20" i="78" s="1"/>
  <c r="E21" i="78" s="1"/>
  <c r="E22" i="78" s="1"/>
  <c r="E23" i="78" s="1"/>
  <c r="E24" i="78" s="1"/>
  <c r="E25" i="78" s="1"/>
  <c r="E26" i="78" s="1"/>
  <c r="E27" i="78" s="1"/>
  <c r="H8" i="78"/>
  <c r="I8" i="78" s="1"/>
  <c r="E9" i="77"/>
  <c r="E10" i="77" s="1"/>
  <c r="E11" i="77" s="1"/>
  <c r="E12" i="77" s="1"/>
  <c r="E13" i="77" s="1"/>
  <c r="E14" i="77" s="1"/>
  <c r="E15" i="77" s="1"/>
  <c r="E16" i="77" s="1"/>
  <c r="E17" i="77" s="1"/>
  <c r="E18" i="77" s="1"/>
  <c r="E19" i="77" s="1"/>
  <c r="E20" i="77" s="1"/>
  <c r="E21" i="77" s="1"/>
  <c r="E22" i="77" s="1"/>
  <c r="E23" i="77" s="1"/>
  <c r="E24" i="77" s="1"/>
  <c r="E25" i="77" s="1"/>
  <c r="E26" i="77" s="1"/>
  <c r="E27" i="77" s="1"/>
  <c r="H8" i="77"/>
  <c r="I8" i="77" s="1"/>
  <c r="E9" i="76"/>
  <c r="E10" i="76" s="1"/>
  <c r="E11" i="76" s="1"/>
  <c r="E12" i="76" s="1"/>
  <c r="E13" i="76" s="1"/>
  <c r="E14" i="76" s="1"/>
  <c r="E15" i="76" s="1"/>
  <c r="E16" i="76" s="1"/>
  <c r="E17" i="76" s="1"/>
  <c r="E18" i="76" s="1"/>
  <c r="E19" i="76" s="1"/>
  <c r="E20" i="76" s="1"/>
  <c r="E21" i="76" s="1"/>
  <c r="E22" i="76" s="1"/>
  <c r="E23" i="76" s="1"/>
  <c r="E24" i="76" s="1"/>
  <c r="E25" i="76" s="1"/>
  <c r="E26" i="76" s="1"/>
  <c r="E27" i="76" s="1"/>
  <c r="E9" i="75"/>
  <c r="E10" i="75" s="1"/>
  <c r="E11" i="75" s="1"/>
  <c r="E12" i="75" s="1"/>
  <c r="E13" i="75" s="1"/>
  <c r="E14" i="75" s="1"/>
  <c r="E15" i="75" s="1"/>
  <c r="E16" i="75" s="1"/>
  <c r="E17" i="75" s="1"/>
  <c r="E18" i="75" s="1"/>
  <c r="E19" i="75" s="1"/>
  <c r="E20" i="75" s="1"/>
  <c r="E21" i="75" s="1"/>
  <c r="E22" i="75" s="1"/>
  <c r="E23" i="75" s="1"/>
  <c r="E24" i="75" s="1"/>
  <c r="E25" i="75" s="1"/>
  <c r="E26" i="75" s="1"/>
  <c r="E27" i="75" s="1"/>
  <c r="E9" i="66"/>
  <c r="E10" i="66" s="1"/>
  <c r="E11" i="66" s="1"/>
  <c r="E12" i="66" s="1"/>
  <c r="E13" i="66" s="1"/>
  <c r="E14" i="66" s="1"/>
  <c r="E15" i="66" s="1"/>
  <c r="E16" i="66" s="1"/>
  <c r="E17" i="66" s="1"/>
  <c r="E18" i="66" s="1"/>
  <c r="E19" i="66" s="1"/>
  <c r="E20" i="66" s="1"/>
  <c r="E21" i="66" s="1"/>
  <c r="E22" i="66" s="1"/>
  <c r="E23" i="66" s="1"/>
  <c r="E24" i="66" s="1"/>
  <c r="E25" i="66" s="1"/>
  <c r="E26" i="66" s="1"/>
  <c r="E27" i="66" s="1"/>
</calcChain>
</file>

<file path=xl/sharedStrings.xml><?xml version="1.0" encoding="utf-8"?>
<sst xmlns="http://schemas.openxmlformats.org/spreadsheetml/2006/main" count="1500" uniqueCount="417">
  <si>
    <t>DESENVOLVIDO POR: 1º SEMESTRE DO CURSO DE ADS 2024</t>
  </si>
  <si>
    <t xml:space="preserve">LISTA DE INGREDIENTES POR UNIDADE </t>
  </si>
  <si>
    <t>TIPOS DE QUEIJO</t>
  </si>
  <si>
    <t>LEITE (L)</t>
  </si>
  <si>
    <t>VINAGRE (L)</t>
  </si>
  <si>
    <t>COALHO(L)</t>
  </si>
  <si>
    <t>SAL(KG)</t>
  </si>
  <si>
    <t>FERMENTO(KG)</t>
  </si>
  <si>
    <t xml:space="preserve">QUEIJO MEIA CURA </t>
  </si>
  <si>
    <t>QUEIJO MINAS</t>
  </si>
  <si>
    <t>QUEIJO COALHO</t>
  </si>
  <si>
    <t>QUEIJO MUSSARELA</t>
  </si>
  <si>
    <t>DEMANDA</t>
  </si>
  <si>
    <t> </t>
  </si>
  <si>
    <t>GERENTE DE PRODUÇÃO</t>
  </si>
  <si>
    <t>ZÉZINHO</t>
  </si>
  <si>
    <t xml:space="preserve">MÁQUINA  QUEIJO MEIA CURA </t>
  </si>
  <si>
    <t>OPERADOR</t>
  </si>
  <si>
    <t>ZE OLIVIERA</t>
  </si>
  <si>
    <t>ZÉ GOMES</t>
  </si>
  <si>
    <t>AUXILIAR</t>
  </si>
  <si>
    <t xml:space="preserve">ZÉ </t>
  </si>
  <si>
    <t>ZÉ RIBEIRO</t>
  </si>
  <si>
    <t>ZÉ DA SILVA</t>
  </si>
  <si>
    <t>JOSÉ</t>
  </si>
  <si>
    <t>ZÉ MENDES</t>
  </si>
  <si>
    <t>SEU ZÉ</t>
  </si>
  <si>
    <t>LANÇAR PRODUÇÃO</t>
  </si>
  <si>
    <t>MÁQUINA/SETOR</t>
  </si>
  <si>
    <t>LISTA</t>
  </si>
  <si>
    <t>UNIDADES PRODUZIDAS</t>
  </si>
  <si>
    <t>METAS</t>
  </si>
  <si>
    <t>ESTADO ATUAL</t>
  </si>
  <si>
    <t xml:space="preserve">ID </t>
  </si>
  <si>
    <t>Nome do Cliente</t>
  </si>
  <si>
    <t>Endereço Completo</t>
  </si>
  <si>
    <t>Cidade/Estado</t>
  </si>
  <si>
    <t>Telefone</t>
  </si>
  <si>
    <t>E-mail</t>
  </si>
  <si>
    <t>Preferências de Entrega</t>
  </si>
  <si>
    <t>Ana Silva</t>
  </si>
  <si>
    <t>Rua das Flores, 123, Apt 45</t>
  </si>
  <si>
    <t>São Paulo/SP</t>
  </si>
  <si>
    <t>(11) 91234-5678</t>
  </si>
  <si>
    <t>ana.silva@example.com</t>
  </si>
  <si>
    <t>Entregar pela manhã</t>
  </si>
  <si>
    <t>João Oliveira</t>
  </si>
  <si>
    <t>Av. Paulista, 456, Bloco B</t>
  </si>
  <si>
    <t>(11) 92345-6789</t>
  </si>
  <si>
    <t>joao.oliveira@example.com</t>
  </si>
  <si>
    <t>Deixar com o porteiro</t>
  </si>
  <si>
    <t>Maria Souza</t>
  </si>
  <si>
    <t>Rua do Sol, 789</t>
  </si>
  <si>
    <t>Rio de Janeiro/RJ</t>
  </si>
  <si>
    <t>(21) 93456-7890</t>
  </si>
  <si>
    <t>maria.souza@example.com</t>
  </si>
  <si>
    <t>Entregar após 18h</t>
  </si>
  <si>
    <t>Pedro Santos</t>
  </si>
  <si>
    <t>Av. das Américas, 101, Casa 3</t>
  </si>
  <si>
    <t>Curitiba/PR</t>
  </si>
  <si>
    <t>(41) 94567-8901</t>
  </si>
  <si>
    <t>pedro.santos@example.com</t>
  </si>
  <si>
    <t>Entregar em mãos</t>
  </si>
  <si>
    <t>Lucas Pereira</t>
  </si>
  <si>
    <t>Rua das Palmeiras, 500</t>
  </si>
  <si>
    <t>Belo Horizonte/MG</t>
  </si>
  <si>
    <t>(31) 95678-9012</t>
  </si>
  <si>
    <t>lucas.pereira@example.com</t>
  </si>
  <si>
    <t>Deixar na portaria</t>
  </si>
  <si>
    <t>Mariana Costa</t>
  </si>
  <si>
    <t>Rua da Praia, 23, Apt 101</t>
  </si>
  <si>
    <t>Salvador/BA</t>
  </si>
  <si>
    <t>(71) 96789-0123</t>
  </si>
  <si>
    <t>mariana.costa@example.com</t>
  </si>
  <si>
    <t>Entregar pela tarde</t>
  </si>
  <si>
    <t>Rafael Lima</t>
  </si>
  <si>
    <t>Av. Central, 77</t>
  </si>
  <si>
    <t>Porto Alegre/RS</t>
  </si>
  <si>
    <t>(51) 97890-1234</t>
  </si>
  <si>
    <t>rafael.lima@example.com</t>
  </si>
  <si>
    <t>Entrega urgente</t>
  </si>
  <si>
    <t>Julia Rocha</t>
  </si>
  <si>
    <t>Rua Verde, 222</t>
  </si>
  <si>
    <t>Recife/PE</t>
  </si>
  <si>
    <t>(81) 98901-2345</t>
  </si>
  <si>
    <t>julia.rocha@example.com</t>
  </si>
  <si>
    <t>Não tocar a campainha</t>
  </si>
  <si>
    <t>Gabriel Alves</t>
  </si>
  <si>
    <t>Rua Azul, 300, Casa A</t>
  </si>
  <si>
    <t>Belém/PA</t>
  </si>
  <si>
    <t>(91) 90012-3456</t>
  </si>
  <si>
    <t>gabriel.alves@example.com</t>
  </si>
  <si>
    <t>Entregar somente à tarde</t>
  </si>
  <si>
    <t>Camila Ribeiro</t>
  </si>
  <si>
    <t>Av. das Rosas, 121, Bloco C</t>
  </si>
  <si>
    <t>Fortaleza/CE</t>
  </si>
  <si>
    <t>(85) 91023-4567</t>
  </si>
  <si>
    <t>camila.ribeiro@example.com</t>
  </si>
  <si>
    <t>Horário comercial</t>
  </si>
  <si>
    <t>Thiago Martins</t>
  </si>
  <si>
    <t>Rua Amarela, 50, Apt 202</t>
  </si>
  <si>
    <t>Campinas/SP</t>
  </si>
  <si>
    <t>(19) 92134-5678</t>
  </si>
  <si>
    <t>thiago.martins@example.com</t>
  </si>
  <si>
    <t>Com aviso prévio</t>
  </si>
  <si>
    <t>Larissa Fernandes</t>
  </si>
  <si>
    <t>Av. Brasil, 1400, Casa B</t>
  </si>
  <si>
    <t>Manaus/AM</t>
  </si>
  <si>
    <t>(92) 93245-6789</t>
  </si>
  <si>
    <t>larissa.fernandes@example.com</t>
  </si>
  <si>
    <t>Sem preferência</t>
  </si>
  <si>
    <t>Felipe Mendes</t>
  </si>
  <si>
    <t>Rua do Campo, 765</t>
  </si>
  <si>
    <t>Vitória/ES</t>
  </si>
  <si>
    <t>(27) 94356-7890</t>
  </si>
  <si>
    <t>felipe.mendes@example.com</t>
  </si>
  <si>
    <t>Entregar após 17h</t>
  </si>
  <si>
    <t>Beatriz Nogueira</t>
  </si>
  <si>
    <t>Av. Independência, 2000, Apt 15</t>
  </si>
  <si>
    <t>Goiânia/GO</t>
  </si>
  <si>
    <t>(62) 95467-8901</t>
  </si>
  <si>
    <t>beatriz.nogueira@example.com</t>
  </si>
  <si>
    <t>Deixar com a vizinha</t>
  </si>
  <si>
    <t>Vinicius Matos</t>
  </si>
  <si>
    <t>Rua do Parque, 432, Casa C</t>
  </si>
  <si>
    <t>Natal/RN</t>
  </si>
  <si>
    <t>(84) 96578-9012</t>
  </si>
  <si>
    <t>vinicius.matos@example.com</t>
  </si>
  <si>
    <t>Somente pela manhã</t>
  </si>
  <si>
    <t>Renata Borges</t>
  </si>
  <si>
    <t>Rua da Igreja, 15, Bloco A</t>
  </si>
  <si>
    <t>Florianópolis/SC</t>
  </si>
  <si>
    <t>(48) 97689-0123</t>
  </si>
  <si>
    <t>renata.borges@example.com</t>
  </si>
  <si>
    <t>Igor Cardoso</t>
  </si>
  <si>
    <t>Av. Verde, 1010</t>
  </si>
  <si>
    <t>Campo Grande/MS</t>
  </si>
  <si>
    <t>(67) 98790-1234</t>
  </si>
  <si>
    <t>igor.cardoso@example.com</t>
  </si>
  <si>
    <t>Paula Azevedo</t>
  </si>
  <si>
    <t>Rua das Pedras, 89, Apt 309</t>
  </si>
  <si>
    <t>São Luís/MA</t>
  </si>
  <si>
    <t>(98) 99801-2345</t>
  </si>
  <si>
    <t>paula.azevedo@example.com</t>
  </si>
  <si>
    <t>Entregar após 19h</t>
  </si>
  <si>
    <t>Bruno Batista</t>
  </si>
  <si>
    <t>Av. Mar, 707</t>
  </si>
  <si>
    <t>João Pessoa/PB</t>
  </si>
  <si>
    <t>(83) 90912-3456</t>
  </si>
  <si>
    <t>bruno.batista@example.com</t>
  </si>
  <si>
    <t>Elisa Teixeira</t>
  </si>
  <si>
    <t>Rua Nova, 10, Casa 2</t>
  </si>
  <si>
    <t>Teresina/PI</t>
  </si>
  <si>
    <t>(86) 91923-4567</t>
  </si>
  <si>
    <t>elisa.teixeira@example.com</t>
  </si>
  <si>
    <t>Nome da Empresa</t>
  </si>
  <si>
    <t>Tipo de Veículo</t>
  </si>
  <si>
    <t>Capacidade de Carga (kg)</t>
  </si>
  <si>
    <t>Placa do Veículo</t>
  </si>
  <si>
    <t>Nome do Motorista</t>
  </si>
  <si>
    <t>Telefone do Motorista</t>
  </si>
  <si>
    <t>Status do Veículo</t>
  </si>
  <si>
    <t>TransLog</t>
  </si>
  <si>
    <t>Caminhão</t>
  </si>
  <si>
    <t>ABC1D23</t>
  </si>
  <si>
    <t>Carlos Souza</t>
  </si>
  <si>
    <t>Em operação</t>
  </si>
  <si>
    <t>Carga Rápida</t>
  </si>
  <si>
    <t>Van</t>
  </si>
  <si>
    <t>DEF4G56</t>
  </si>
  <si>
    <t>Marcos Lima</t>
  </si>
  <si>
    <t>(21) 92345-6789</t>
  </si>
  <si>
    <t>Disponível</t>
  </si>
  <si>
    <t>Transporte Silva</t>
  </si>
  <si>
    <t>GHI7J89</t>
  </si>
  <si>
    <t>Pedro Oliveira</t>
  </si>
  <si>
    <t>(31) 93456-7890</t>
  </si>
  <si>
    <t>Em manutenção</t>
  </si>
  <si>
    <t>FretEx</t>
  </si>
  <si>
    <t>Utilitário</t>
  </si>
  <si>
    <t>JKL1M23</t>
  </si>
  <si>
    <t>Ana Ferreira</t>
  </si>
  <si>
    <t>Entrega Expressa</t>
  </si>
  <si>
    <t>MNO4P56</t>
  </si>
  <si>
    <t>(51) 95678-9012</t>
  </si>
  <si>
    <t>Logística Norte</t>
  </si>
  <si>
    <t>PQR7S89</t>
  </si>
  <si>
    <t>João Santos</t>
  </si>
  <si>
    <t>(61) 96789-0123</t>
  </si>
  <si>
    <t>Via Cargo</t>
  </si>
  <si>
    <t>STU1V23</t>
  </si>
  <si>
    <t>Maria Costa</t>
  </si>
  <si>
    <t>(71) 97890-1234</t>
  </si>
  <si>
    <t>Rota Segura</t>
  </si>
  <si>
    <t>VWX4Y56</t>
  </si>
  <si>
    <t>Tiago Nunes</t>
  </si>
  <si>
    <t>Fast Transport</t>
  </si>
  <si>
    <t>YZA7B89</t>
  </si>
  <si>
    <t>Global Delivery</t>
  </si>
  <si>
    <t>CDE1F23</t>
  </si>
  <si>
    <t>Camila Rocha</t>
  </si>
  <si>
    <t>MegaTrans</t>
  </si>
  <si>
    <t>FGH4I56</t>
  </si>
  <si>
    <t>Nova Rota</t>
  </si>
  <si>
    <t>IJK7L89</t>
  </si>
  <si>
    <t>Larissa Melo</t>
  </si>
  <si>
    <t>Cargo Plus</t>
  </si>
  <si>
    <t>LMN1O23</t>
  </si>
  <si>
    <t>RapidFret</t>
  </si>
  <si>
    <t>OPQ4R56</t>
  </si>
  <si>
    <t>Logística Total</t>
  </si>
  <si>
    <t>RST7U89</t>
  </si>
  <si>
    <t>Entrega Sul</t>
  </si>
  <si>
    <t>UVW1X23</t>
  </si>
  <si>
    <t>TransCo</t>
  </si>
  <si>
    <t>XYZ4A56</t>
  </si>
  <si>
    <t>Entregas Ágeis</t>
  </si>
  <si>
    <t>ABC7D89</t>
  </si>
  <si>
    <t>Carga Forte</t>
  </si>
  <si>
    <t>DEF1G23</t>
  </si>
  <si>
    <t>Transporte VIP</t>
  </si>
  <si>
    <t>GHI4J56</t>
  </si>
  <si>
    <t>ID</t>
  </si>
  <si>
    <t>Data da Entrega</t>
  </si>
  <si>
    <t>Hora de Saída</t>
  </si>
  <si>
    <t>Endereço de Entrega</t>
  </si>
  <si>
    <t>Produto(s)</t>
  </si>
  <si>
    <t>Quantidade</t>
  </si>
  <si>
    <t>Veículo Responsável</t>
  </si>
  <si>
    <t>Status</t>
  </si>
  <si>
    <t>Rua das Flores, 123, São Paulo</t>
  </si>
  <si>
    <t>Queijo Meia Cura</t>
  </si>
  <si>
    <t>Em trânsito</t>
  </si>
  <si>
    <t>Av. Paulista, 456, São Paulo</t>
  </si>
  <si>
    <t>Queijo Coalho</t>
  </si>
  <si>
    <t>Preparando entrega</t>
  </si>
  <si>
    <t>Rua do Sol, 789, Rio de Janeiro</t>
  </si>
  <si>
    <t>Minas</t>
  </si>
  <si>
    <t>Av. das Américas, 101, Curitiba</t>
  </si>
  <si>
    <t>Mussarela</t>
  </si>
  <si>
    <t>Rua das Palmeiras, 500, BH</t>
  </si>
  <si>
    <t>Entregue</t>
  </si>
  <si>
    <t>Rua da Praia, 23, Salvador</t>
  </si>
  <si>
    <t>Av. Central, 77, Porto Alegre</t>
  </si>
  <si>
    <t>Rua Verde, 222, Recife</t>
  </si>
  <si>
    <t>Rua Azul, 300, Belém</t>
  </si>
  <si>
    <t>Av. das Rosas, 121, Fortaleza</t>
  </si>
  <si>
    <t>Rua Amarela, 50, Campinas</t>
  </si>
  <si>
    <t>Av. Brasil, 1400, Manaus</t>
  </si>
  <si>
    <t>Rua do Campo, 765, Vitória</t>
  </si>
  <si>
    <t>Av. Independência, 2000, Goiânia</t>
  </si>
  <si>
    <t>Rua do Parque, 432, Natal</t>
  </si>
  <si>
    <t>Rua da Igreja, 15, Florianópolis</t>
  </si>
  <si>
    <t>Av. Verde, 1010, Campo Grande</t>
  </si>
  <si>
    <t>Rua das Pedras, 89, São Luís</t>
  </si>
  <si>
    <t>Av. Mar, 707, João Pessoa</t>
  </si>
  <si>
    <t>Rua Nova, 10, Teresina</t>
  </si>
  <si>
    <t>Distância (km)</t>
  </si>
  <si>
    <t>Peso Total (kg)</t>
  </si>
  <si>
    <t>Custo do Frete</t>
  </si>
  <si>
    <t>Valor do Frete</t>
  </si>
  <si>
    <t>Observações</t>
  </si>
  <si>
    <t>Entrega rápida</t>
  </si>
  <si>
    <t>Cliente VIP</t>
  </si>
  <si>
    <t>Inclui seguro</t>
  </si>
  <si>
    <t>Rotas alternativas usadas</t>
  </si>
  <si>
    <t>Carga frágil</t>
  </si>
  <si>
    <t>Requer duas paradas</t>
  </si>
  <si>
    <t>Entrega noturna</t>
  </si>
  <si>
    <t>Inclui serviço de montagem</t>
  </si>
  <si>
    <t>Cliente novo</t>
  </si>
  <si>
    <t>Tempo de espera extra</t>
  </si>
  <si>
    <t>Solicitação urgente</t>
  </si>
  <si>
    <t>Entrega agendada</t>
  </si>
  <si>
    <t>Inclui monitoramento</t>
  </si>
  <si>
    <t>Entrega em área remota</t>
  </si>
  <si>
    <t>Veículo com escolta</t>
  </si>
  <si>
    <t>Retorno ao armazém previsto</t>
  </si>
  <si>
    <t>Serviço de manuseio extra</t>
  </si>
  <si>
    <t>Condições meteorológicas</t>
  </si>
  <si>
    <t>Necessário reforço na carga</t>
  </si>
  <si>
    <t>Pedido programado</t>
  </si>
  <si>
    <t>SAÍDA DE MATÉRIA PRIMA</t>
  </si>
  <si>
    <t>SAÍDA DE PRODUTOS</t>
  </si>
  <si>
    <t>VEM DE PROD</t>
  </si>
  <si>
    <t>PRODUTO</t>
  </si>
  <si>
    <t>QUANTIDADE</t>
  </si>
  <si>
    <t>REQUISIÇÃO DE MATÉRIA PRIMA</t>
  </si>
  <si>
    <t>SOLICITAÇÃO DE CONTRATAÇÃO</t>
  </si>
  <si>
    <t>PARA QUAL CARGO/SETOR PRECISA CONTRATAR?</t>
  </si>
  <si>
    <t>QUANTOS COLABORADORES PRECISA CONTRATAR?</t>
  </si>
  <si>
    <t>CADASTRO DE COLABORADOR</t>
  </si>
  <si>
    <t>NOME</t>
  </si>
  <si>
    <t>NACIONALIDADE</t>
  </si>
  <si>
    <t>ESTADO CIVIL</t>
  </si>
  <si>
    <t>PROFISSÃO</t>
  </si>
  <si>
    <t>RG</t>
  </si>
  <si>
    <t>CPF</t>
  </si>
  <si>
    <t>ENDEREÇO</t>
  </si>
  <si>
    <t>E-MAIL</t>
  </si>
  <si>
    <t>CELULAR</t>
  </si>
  <si>
    <t>CARGO</t>
  </si>
  <si>
    <t>SALÁRIO</t>
  </si>
  <si>
    <t>HORÁRIO DE TRABALHO</t>
  </si>
  <si>
    <t>DATA DE INÍCIO</t>
  </si>
  <si>
    <t>8h às 12h e das 13h às 17h</t>
  </si>
  <si>
    <t>GERADOR DE FOLHA DE PAGAMENTO</t>
  </si>
  <si>
    <t>CPF DO COLABORADOR</t>
  </si>
  <si>
    <t>MÊS E ANO</t>
  </si>
  <si>
    <t>QUANTIDADE DE HORAS EXTRAS</t>
  </si>
  <si>
    <t>NÚMERO DE FALTAS</t>
  </si>
  <si>
    <r>
      <t xml:space="preserve">Empregador </t>
    </r>
    <r>
      <rPr>
        <b/>
        <sz val="16"/>
        <color theme="1"/>
        <rFont val="Calibri"/>
        <family val="2"/>
        <scheme val="minor"/>
      </rPr>
      <t>QUEIJARIA ALPINA</t>
    </r>
  </si>
  <si>
    <t>Recibo de Pagamento de Salário</t>
  </si>
  <si>
    <t>Rua X, n° X, XX, Bragança Paulista-SP</t>
  </si>
  <si>
    <t>Mês/Ano</t>
  </si>
  <si>
    <t>CNPJ: XX.XXX.XXX/0001-XX</t>
  </si>
  <si>
    <t>NOME DO COLABORADOR</t>
  </si>
  <si>
    <t>SETOR/CARGO</t>
  </si>
  <si>
    <t>DESCRIÇÃO</t>
  </si>
  <si>
    <t>REFERÊNCIA</t>
  </si>
  <si>
    <t>PROVENTOS</t>
  </si>
  <si>
    <t>DESCONTOS</t>
  </si>
  <si>
    <t>SALÁRIO BASE</t>
  </si>
  <si>
    <t>HORAS EXTRAS</t>
  </si>
  <si>
    <t>FALTAS</t>
  </si>
  <si>
    <t>INSS</t>
  </si>
  <si>
    <t>IRPF</t>
  </si>
  <si>
    <t>OBSERVAÇÕES:</t>
  </si>
  <si>
    <t>TOTAL DE PROVENTOS</t>
  </si>
  <si>
    <t>TOTAL DE DESCONTOS</t>
  </si>
  <si>
    <t>BASE FGTS</t>
  </si>
  <si>
    <t>FGTS DO MÊS</t>
  </si>
  <si>
    <t>BASE INSS</t>
  </si>
  <si>
    <t>Declaro ter recebido a importância líquida discriminada neste recibo.</t>
  </si>
  <si>
    <t>Local e data.</t>
  </si>
  <si>
    <t>Assinatura.</t>
  </si>
  <si>
    <t>CARGO E SETOR</t>
  </si>
  <si>
    <t>GERENTE DE RH</t>
  </si>
  <si>
    <t>ANALISTA DE RH</t>
  </si>
  <si>
    <t>AUXILIAR DE RH</t>
  </si>
  <si>
    <t>GERENTE DE FINANCEIRO</t>
  </si>
  <si>
    <t>ANALISTA DE FINANCEIRO</t>
  </si>
  <si>
    <t>AUXILIAR DE FINANCEIRO</t>
  </si>
  <si>
    <t>GERENTE DE VENDAS</t>
  </si>
  <si>
    <t>VENDEDOR DE VENDAS</t>
  </si>
  <si>
    <t>OPERADOR DE PRODUÇÃO</t>
  </si>
  <si>
    <t>AUXILIAR DE PRODUÇÃO</t>
  </si>
  <si>
    <t>GERENTE DE COMPRAS</t>
  </si>
  <si>
    <t>ANALISTA DE COMPRAS</t>
  </si>
  <si>
    <t>AUXILIAR DE COMPRAS</t>
  </si>
  <si>
    <t>GERENTE DE LOGÍSTICA</t>
  </si>
  <si>
    <t>COORDENADOR DE LOGÍSTICA</t>
  </si>
  <si>
    <t>ANALISTA DE LOGÍSTICA</t>
  </si>
  <si>
    <t>AUXILIAR DE LOGÍSTICA</t>
  </si>
  <si>
    <t>GERENTE DE ESTOQUE</t>
  </si>
  <si>
    <t>COORDENADOR DE ESTOQUE</t>
  </si>
  <si>
    <t>AUXILIAR DE ESTOQUE</t>
  </si>
  <si>
    <t>TABELA IMPOSTO DE RENDA - Lei nº 14.848/24</t>
  </si>
  <si>
    <t>FAIXAS SALARIAIS</t>
  </si>
  <si>
    <t>%(ALIQUOTA)</t>
  </si>
  <si>
    <t>VALOR A DEDUZIR</t>
  </si>
  <si>
    <t>ATE</t>
  </si>
  <si>
    <t>ACIMA</t>
  </si>
  <si>
    <t>IR</t>
  </si>
  <si>
    <t>VER TABELA</t>
  </si>
  <si>
    <t>VAL REFEIÇÃO</t>
  </si>
  <si>
    <t>FGTS</t>
  </si>
  <si>
    <t>NOME:</t>
  </si>
  <si>
    <t>CNPJ:</t>
  </si>
  <si>
    <t>TELEFONE:</t>
  </si>
  <si>
    <t>ENDEREÇO:</t>
  </si>
  <si>
    <t>CIDADE:</t>
  </si>
  <si>
    <t>ESTADO:</t>
  </si>
  <si>
    <t>E-MAIL:</t>
  </si>
  <si>
    <t>CADASTRO DE CLIENTES</t>
  </si>
  <si>
    <t>CNPJ</t>
  </si>
  <si>
    <t>NOME DO CLIENTE</t>
  </si>
  <si>
    <t>PREÇO UNITÁRIO</t>
  </si>
  <si>
    <t>VALOR TOTAL DA VENDA</t>
  </si>
  <si>
    <t>DATA DE VENDA</t>
  </si>
  <si>
    <t xml:space="preserve">VENDEDOR </t>
  </si>
  <si>
    <t>CONTROLE DE VENDAS</t>
  </si>
  <si>
    <t>CONTROLE DE METAS</t>
  </si>
  <si>
    <t>MÊS</t>
  </si>
  <si>
    <t>META DE VENDA MENSAL</t>
  </si>
  <si>
    <t>VENDEDOR</t>
  </si>
  <si>
    <t>Queijo Minas</t>
  </si>
  <si>
    <t>Queijo Mussarela</t>
  </si>
  <si>
    <t>ID do fornecedor</t>
  </si>
  <si>
    <t>F001</t>
  </si>
  <si>
    <t xml:space="preserve">Nome </t>
  </si>
  <si>
    <t>Laticínios São João Ltda.</t>
  </si>
  <si>
    <t>12.345.678/0001-90</t>
  </si>
  <si>
    <t>vendas@saojoao.com.br</t>
  </si>
  <si>
    <t>(11) 1234-5678</t>
  </si>
  <si>
    <t>Endereço</t>
  </si>
  <si>
    <t>Rua das Leiteiras, 123, São Paulo</t>
  </si>
  <si>
    <t>Condições de pagamento</t>
  </si>
  <si>
    <t>A vista</t>
  </si>
  <si>
    <t>Produto</t>
  </si>
  <si>
    <t>Leite</t>
  </si>
  <si>
    <t>Valor unitario do produto</t>
  </si>
  <si>
    <t>PROCURAR FORNECEDOR</t>
  </si>
  <si>
    <t>CONTROLE DE MATÉRIA-PRIMA</t>
  </si>
  <si>
    <t>ID do Produto</t>
  </si>
  <si>
    <t>Quantidade minima</t>
  </si>
  <si>
    <t>Quantidade atual</t>
  </si>
  <si>
    <t>Quantidade miníma a comprar</t>
  </si>
  <si>
    <t>Necessidade de compra</t>
  </si>
  <si>
    <t>Data de solicitação</t>
  </si>
  <si>
    <t>Setor</t>
  </si>
  <si>
    <t>SOLICITAR COMPRA</t>
  </si>
  <si>
    <t>Data do pedido</t>
  </si>
  <si>
    <t>E- mail</t>
  </si>
  <si>
    <t>Valor do produto</t>
  </si>
  <si>
    <t>Valor do pedido</t>
  </si>
  <si>
    <t>REALIZAR PEDIDO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</si>
</sst>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[$R$-416]\ * #,##0.00_-;\-[$R$-416]\ * #,##0.00_-;_-[$R$-416]\ * &quot;-&quot;??_-;_-@_-"/>
  </numFmts>
  <fonts count="4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2"/>
      <color rgb="FF000000"/>
      <name val="Calibri"/>
      <family val="2"/>
    </font>
    <font>
      <sz val="16"/>
      <color rgb="FF000000"/>
      <name val="Calibri"/>
      <family val="2"/>
    </font>
    <font>
      <sz val="14"/>
      <color rgb="FF000000"/>
      <name val="Arial"/>
      <family val="2"/>
    </font>
    <font>
      <b/>
      <sz val="11"/>
      <color rgb="FF000000"/>
      <name val="Arial"/>
      <family val="2"/>
    </font>
    <font>
      <sz val="16"/>
      <color rgb="FF000000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22"/>
      <color rgb="FF000000"/>
      <name val="Arial"/>
      <family val="2"/>
    </font>
    <font>
      <b/>
      <sz val="12"/>
      <color rgb="FF000000"/>
      <name val="Arial"/>
      <family val="2"/>
    </font>
    <font>
      <b/>
      <sz val="22"/>
      <color theme="1"/>
      <name val="Arial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72"/>
      <color theme="0"/>
      <name val="Arial"/>
      <family val="2"/>
    </font>
    <font>
      <b/>
      <sz val="20"/>
      <color theme="0"/>
      <name val="Arial"/>
      <family val="2"/>
    </font>
    <font>
      <b/>
      <sz val="12"/>
      <color theme="1"/>
      <name val="Arial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sz val="12"/>
      <color rgb="FF000000"/>
      <name val="Arial"/>
      <family val="2"/>
    </font>
    <font>
      <sz val="12"/>
      <color rgb="FF000000"/>
      <name val="Calibri"/>
      <family val="2"/>
    </font>
    <font>
      <b/>
      <sz val="16"/>
      <color theme="0"/>
      <name val="Arial"/>
      <family val="2"/>
    </font>
    <font>
      <sz val="14"/>
      <color theme="1"/>
      <name val="Arial"/>
      <family val="2"/>
    </font>
    <font>
      <sz val="14"/>
      <color theme="0"/>
      <name val="Arial"/>
      <family val="2"/>
    </font>
    <font>
      <sz val="14"/>
      <name val="Arial"/>
      <family val="2"/>
    </font>
    <font>
      <u/>
      <sz val="14"/>
      <color theme="1"/>
      <name val="Arial"/>
      <family val="2"/>
    </font>
    <font>
      <sz val="12"/>
      <color theme="1"/>
      <name val="Calibri"/>
      <family val="2"/>
      <scheme val="minor"/>
    </font>
    <font>
      <u/>
      <sz val="12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18"/>
      <color rgb="FF000000"/>
      <name val="Arial"/>
      <family val="2"/>
    </font>
    <font>
      <b/>
      <sz val="18"/>
      <color theme="1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gradientFill type="path" left="0.5" right="0.5" top="0.5" bottom="0.5">
        <stop position="0">
          <color theme="2" tint="-0.89803765984069339"/>
        </stop>
        <stop position="1">
          <color theme="2" tint="-0.7490157780693991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2" tint="-0.74999237037263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39997558519241921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rgb="FF3D5B7A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D597A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theme="4" tint="0.79998168889431442"/>
        <bgColor rgb="FF000000"/>
      </patternFill>
    </fill>
    <fill>
      <patternFill patternType="solid">
        <fgColor rgb="FF3D5B7A"/>
        <bgColor indexed="64"/>
      </patternFill>
    </fill>
    <fill>
      <patternFill patternType="solid">
        <fgColor rgb="FF3D5B7A"/>
        <bgColor auto="1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indexed="64"/>
      </bottom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44" fontId="16" fillId="0" borderId="0" applyFont="0" applyFill="0" applyBorder="0" applyAlignment="0" applyProtection="0"/>
  </cellStyleXfs>
  <cellXfs count="502">
    <xf numFmtId="0" fontId="0" fillId="0" borderId="0" xfId="0"/>
    <xf numFmtId="0" fontId="0" fillId="2" borderId="0" xfId="0" applyFill="1"/>
    <xf numFmtId="0" fontId="0" fillId="7" borderId="0" xfId="0" applyFill="1"/>
    <xf numFmtId="0" fontId="2" fillId="10" borderId="7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2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0" fillId="10" borderId="8" xfId="0" applyFill="1" applyBorder="1"/>
    <xf numFmtId="0" fontId="9" fillId="10" borderId="7" xfId="0" applyFont="1" applyFill="1" applyBorder="1"/>
    <xf numFmtId="0" fontId="4" fillId="11" borderId="0" xfId="0" applyFont="1" applyFill="1" applyAlignment="1">
      <alignment horizontal="left" vertical="center"/>
    </xf>
    <xf numFmtId="0" fontId="3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left" vertical="center"/>
    </xf>
    <xf numFmtId="0" fontId="2" fillId="11" borderId="0" xfId="0" applyFont="1" applyFill="1"/>
    <xf numFmtId="0" fontId="2" fillId="11" borderId="8" xfId="0" applyFont="1" applyFill="1" applyBorder="1"/>
    <xf numFmtId="0" fontId="2" fillId="10" borderId="9" xfId="0" applyFont="1" applyFill="1" applyBorder="1" applyAlignment="1">
      <alignment vertical="center"/>
    </xf>
    <xf numFmtId="0" fontId="2" fillId="11" borderId="10" xfId="0" applyFont="1" applyFill="1" applyBorder="1"/>
    <xf numFmtId="0" fontId="2" fillId="11" borderId="11" xfId="0" applyFont="1" applyFill="1" applyBorder="1"/>
    <xf numFmtId="0" fontId="2" fillId="11" borderId="7" xfId="0" applyFont="1" applyFill="1" applyBorder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horizontal="left" vertical="center"/>
    </xf>
    <xf numFmtId="0" fontId="2" fillId="11" borderId="9" xfId="0" applyFont="1" applyFill="1" applyBorder="1" applyAlignment="1">
      <alignment horizontal="left" vertical="center"/>
    </xf>
    <xf numFmtId="0" fontId="2" fillId="11" borderId="10" xfId="0" applyFont="1" applyFill="1" applyBorder="1" applyAlignment="1">
      <alignment horizontal="left" vertical="center"/>
    </xf>
    <xf numFmtId="0" fontId="11" fillId="9" borderId="1" xfId="0" applyFont="1" applyFill="1" applyBorder="1" applyAlignment="1">
      <alignment horizontal="center" vertical="center"/>
    </xf>
    <xf numFmtId="0" fontId="0" fillId="13" borderId="0" xfId="0" applyFill="1"/>
    <xf numFmtId="0" fontId="0" fillId="14" borderId="0" xfId="0" applyFill="1"/>
    <xf numFmtId="0" fontId="0" fillId="15" borderId="0" xfId="0" applyFill="1"/>
    <xf numFmtId="0" fontId="4" fillId="11" borderId="10" xfId="0" applyFont="1" applyFill="1" applyBorder="1" applyAlignment="1">
      <alignment horizontal="left" vertical="center"/>
    </xf>
    <xf numFmtId="0" fontId="3" fillId="11" borderId="10" xfId="0" applyFont="1" applyFill="1" applyBorder="1" applyAlignment="1">
      <alignment horizontal="left" vertical="center"/>
    </xf>
    <xf numFmtId="0" fontId="11" fillId="17" borderId="10" xfId="0" applyFont="1" applyFill="1" applyBorder="1" applyAlignment="1">
      <alignment horizontal="center" vertical="center"/>
    </xf>
    <xf numFmtId="0" fontId="2" fillId="9" borderId="1" xfId="0" applyFont="1" applyFill="1" applyBorder="1"/>
    <xf numFmtId="0" fontId="2" fillId="11" borderId="9" xfId="0" applyFont="1" applyFill="1" applyBorder="1"/>
    <xf numFmtId="0" fontId="7" fillId="1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 wrapText="1"/>
    </xf>
    <xf numFmtId="0" fontId="7" fillId="2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 wrapText="1"/>
    </xf>
    <xf numFmtId="0" fontId="7" fillId="18" borderId="1" xfId="0" applyFont="1" applyFill="1" applyBorder="1" applyAlignment="1">
      <alignment horizontal="left" vertical="center"/>
    </xf>
    <xf numFmtId="0" fontId="7" fillId="18" borderId="1" xfId="0" applyFont="1" applyFill="1" applyBorder="1" applyAlignment="1">
      <alignment horizontal="right" vertical="center"/>
    </xf>
    <xf numFmtId="3" fontId="0" fillId="13" borderId="1" xfId="0" applyNumberFormat="1" applyFill="1" applyBorder="1" applyAlignment="1">
      <alignment horizontal="left" vertical="center" wrapText="1"/>
    </xf>
    <xf numFmtId="14" fontId="0" fillId="13" borderId="1" xfId="0" applyNumberFormat="1" applyFill="1" applyBorder="1" applyAlignment="1">
      <alignment horizontal="left" vertical="center" wrapText="1"/>
    </xf>
    <xf numFmtId="20" fontId="0" fillId="13" borderId="1" xfId="0" applyNumberFormat="1" applyFill="1" applyBorder="1" applyAlignment="1">
      <alignment horizontal="left" vertical="center" wrapText="1"/>
    </xf>
    <xf numFmtId="2" fontId="0" fillId="13" borderId="1" xfId="0" applyNumberFormat="1" applyFill="1" applyBorder="1" applyAlignment="1">
      <alignment horizontal="left" vertical="center" wrapText="1"/>
    </xf>
    <xf numFmtId="8" fontId="0" fillId="13" borderId="1" xfId="0" applyNumberFormat="1" applyFill="1" applyBorder="1" applyAlignment="1">
      <alignment horizontal="left" vertical="center" wrapText="1"/>
    </xf>
    <xf numFmtId="0" fontId="0" fillId="18" borderId="0" xfId="0" applyFill="1"/>
    <xf numFmtId="0" fontId="8" fillId="18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2" fillId="18" borderId="0" xfId="0" applyFont="1" applyFill="1" applyAlignment="1">
      <alignment vertical="center"/>
    </xf>
    <xf numFmtId="0" fontId="2" fillId="12" borderId="0" xfId="0" applyFont="1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9" fillId="18" borderId="0" xfId="0" applyFont="1" applyFill="1"/>
    <xf numFmtId="0" fontId="10" fillId="18" borderId="0" xfId="0" applyFont="1" applyFill="1" applyAlignment="1">
      <alignment horizontal="center" vertical="center"/>
    </xf>
    <xf numFmtId="0" fontId="10" fillId="18" borderId="0" xfId="0" applyFont="1" applyFill="1" applyAlignment="1">
      <alignment vertical="center"/>
    </xf>
    <xf numFmtId="0" fontId="6" fillId="18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left" vertical="center"/>
    </xf>
    <xf numFmtId="0" fontId="3" fillId="12" borderId="0" xfId="0" applyFont="1" applyFill="1" applyAlignment="1">
      <alignment horizontal="center" vertical="center"/>
    </xf>
    <xf numFmtId="0" fontId="2" fillId="12" borderId="0" xfId="0" applyFont="1" applyFill="1" applyAlignment="1">
      <alignment horizontal="left" vertical="center"/>
    </xf>
    <xf numFmtId="0" fontId="2" fillId="12" borderId="0" xfId="0" applyFont="1" applyFill="1"/>
    <xf numFmtId="0" fontId="14" fillId="13" borderId="0" xfId="0" applyFont="1" applyFill="1" applyBorder="1" applyAlignment="1"/>
    <xf numFmtId="0" fontId="2" fillId="13" borderId="0" xfId="0" applyFont="1" applyFill="1" applyBorder="1" applyAlignment="1"/>
    <xf numFmtId="0" fontId="4" fillId="13" borderId="0" xfId="0" applyFont="1" applyFill="1" applyBorder="1" applyAlignment="1"/>
    <xf numFmtId="0" fontId="3" fillId="13" borderId="0" xfId="0" applyFont="1" applyFill="1" applyBorder="1" applyAlignment="1"/>
    <xf numFmtId="0" fontId="13" fillId="13" borderId="48" xfId="0" applyFont="1" applyFill="1" applyBorder="1" applyAlignment="1"/>
    <xf numFmtId="0" fontId="2" fillId="13" borderId="49" xfId="0" applyFont="1" applyFill="1" applyBorder="1" applyAlignment="1"/>
    <xf numFmtId="0" fontId="4" fillId="13" borderId="49" xfId="0" applyFont="1" applyFill="1" applyBorder="1" applyAlignment="1"/>
    <xf numFmtId="0" fontId="13" fillId="13" borderId="49" xfId="0" applyFont="1" applyFill="1" applyBorder="1" applyAlignment="1"/>
    <xf numFmtId="0" fontId="13" fillId="13" borderId="52" xfId="0" applyFont="1" applyFill="1" applyBorder="1" applyAlignment="1"/>
    <xf numFmtId="0" fontId="2" fillId="13" borderId="53" xfId="0" applyFont="1" applyFill="1" applyBorder="1" applyAlignment="1"/>
    <xf numFmtId="0" fontId="13" fillId="13" borderId="54" xfId="0" applyFont="1" applyFill="1" applyBorder="1" applyAlignment="1"/>
    <xf numFmtId="0" fontId="15" fillId="8" borderId="12" xfId="0" applyFont="1" applyFill="1" applyBorder="1" applyAlignment="1"/>
    <xf numFmtId="0" fontId="3" fillId="2" borderId="0" xfId="0" applyFont="1" applyFill="1" applyBorder="1" applyAlignment="1"/>
    <xf numFmtId="0" fontId="4" fillId="2" borderId="0" xfId="0" applyFont="1" applyFill="1" applyBorder="1" applyAlignment="1"/>
    <xf numFmtId="0" fontId="2" fillId="2" borderId="0" xfId="0" applyFont="1" applyFill="1" applyBorder="1" applyAlignment="1"/>
    <xf numFmtId="0" fontId="13" fillId="2" borderId="0" xfId="0" applyFont="1" applyFill="1" applyBorder="1" applyAlignment="1"/>
    <xf numFmtId="0" fontId="14" fillId="13" borderId="53" xfId="0" applyFont="1" applyFill="1" applyBorder="1" applyAlignment="1"/>
    <xf numFmtId="0" fontId="4" fillId="13" borderId="53" xfId="0" applyFont="1" applyFill="1" applyBorder="1" applyAlignment="1"/>
    <xf numFmtId="0" fontId="2" fillId="13" borderId="54" xfId="0" applyFont="1" applyFill="1" applyBorder="1" applyAlignment="1"/>
    <xf numFmtId="0" fontId="14" fillId="2" borderId="0" xfId="0" applyFont="1" applyFill="1" applyBorder="1" applyAlignment="1"/>
    <xf numFmtId="0" fontId="15" fillId="2" borderId="0" xfId="0" applyFont="1" applyFill="1" applyBorder="1" applyAlignment="1"/>
    <xf numFmtId="0" fontId="7" fillId="2" borderId="0" xfId="0" applyFont="1" applyFill="1" applyBorder="1" applyAlignment="1">
      <alignment vertical="center"/>
    </xf>
    <xf numFmtId="0" fontId="0" fillId="2" borderId="58" xfId="0" applyFill="1" applyBorder="1"/>
    <xf numFmtId="0" fontId="0" fillId="2" borderId="58" xfId="0" applyFill="1" applyBorder="1" applyAlignment="1">
      <alignment horizontal="center"/>
    </xf>
    <xf numFmtId="0" fontId="2" fillId="11" borderId="0" xfId="0" applyFont="1" applyFill="1" applyBorder="1" applyAlignment="1">
      <alignment vertical="center"/>
    </xf>
    <xf numFmtId="0" fontId="2" fillId="11" borderId="7" xfId="0" applyFont="1" applyFill="1" applyBorder="1" applyAlignment="1">
      <alignment vertical="center"/>
    </xf>
    <xf numFmtId="0" fontId="2" fillId="11" borderId="8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0" fontId="2" fillId="3" borderId="0" xfId="0" applyFont="1" applyFill="1" applyBorder="1"/>
    <xf numFmtId="0" fontId="2" fillId="11" borderId="0" xfId="0" applyFont="1" applyFill="1" applyBorder="1" applyAlignment="1">
      <alignment horizontal="left" vertical="center"/>
    </xf>
    <xf numFmtId="0" fontId="4" fillId="11" borderId="0" xfId="0" applyFont="1" applyFill="1" applyBorder="1" applyAlignment="1">
      <alignment vertical="center"/>
    </xf>
    <xf numFmtId="0" fontId="11" fillId="11" borderId="8" xfId="0" applyFont="1" applyFill="1" applyBorder="1" applyAlignment="1">
      <alignment horizontal="center" vertical="center"/>
    </xf>
    <xf numFmtId="0" fontId="4" fillId="11" borderId="0" xfId="0" applyFont="1" applyFill="1" applyBorder="1" applyAlignment="1">
      <alignment horizontal="left" vertical="center"/>
    </xf>
    <xf numFmtId="0" fontId="3" fillId="11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vertical="center"/>
    </xf>
    <xf numFmtId="0" fontId="2" fillId="11" borderId="0" xfId="0" applyFont="1" applyFill="1" applyBorder="1"/>
    <xf numFmtId="0" fontId="2" fillId="11" borderId="7" xfId="0" applyFont="1" applyFill="1" applyBorder="1"/>
    <xf numFmtId="0" fontId="11" fillId="3" borderId="0" xfId="0" applyFont="1" applyFill="1" applyBorder="1" applyAlignment="1">
      <alignment horizontal="center" vertical="center"/>
    </xf>
    <xf numFmtId="0" fontId="9" fillId="2" borderId="58" xfId="0" applyFont="1" applyFill="1" applyBorder="1"/>
    <xf numFmtId="0" fontId="9" fillId="2" borderId="58" xfId="0" applyFont="1" applyFill="1" applyBorder="1" applyAlignment="1">
      <alignment horizontal="center"/>
    </xf>
    <xf numFmtId="0" fontId="9" fillId="10" borderId="0" xfId="0" applyFont="1" applyFill="1" applyBorder="1"/>
    <xf numFmtId="0" fontId="8" fillId="10" borderId="0" xfId="0" applyFont="1" applyFill="1" applyBorder="1" applyAlignment="1">
      <alignment horizontal="left" vertical="center"/>
    </xf>
    <xf numFmtId="0" fontId="9" fillId="10" borderId="0" xfId="0" applyFont="1" applyFill="1" applyBorder="1" applyAlignment="1">
      <alignment horizontal="left" vertical="center"/>
    </xf>
    <xf numFmtId="0" fontId="9" fillId="10" borderId="8" xfId="0" applyFont="1" applyFill="1" applyBorder="1"/>
    <xf numFmtId="0" fontId="9" fillId="10" borderId="9" xfId="0" applyFont="1" applyFill="1" applyBorder="1"/>
    <xf numFmtId="0" fontId="9" fillId="10" borderId="10" xfId="0" applyFont="1" applyFill="1" applyBorder="1"/>
    <xf numFmtId="0" fontId="9" fillId="10" borderId="11" xfId="0" applyFont="1" applyFill="1" applyBorder="1"/>
    <xf numFmtId="0" fontId="8" fillId="20" borderId="58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 vertical="center"/>
    </xf>
    <xf numFmtId="0" fontId="9" fillId="2" borderId="0" xfId="0" applyFont="1" applyFill="1" applyBorder="1"/>
    <xf numFmtId="0" fontId="8" fillId="2" borderId="0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22" fillId="2" borderId="58" xfId="0" applyFont="1" applyFill="1" applyBorder="1" applyAlignment="1">
      <alignment horizontal="center" vertical="center"/>
    </xf>
    <xf numFmtId="0" fontId="19" fillId="2" borderId="0" xfId="0" applyFont="1" applyFill="1" applyAlignment="1">
      <alignment vertical="center"/>
    </xf>
    <xf numFmtId="0" fontId="22" fillId="2" borderId="0" xfId="0" applyFont="1" applyFill="1" applyAlignment="1">
      <alignment vertical="center"/>
    </xf>
    <xf numFmtId="0" fontId="23" fillId="18" borderId="4" xfId="0" applyFont="1" applyFill="1" applyBorder="1" applyAlignment="1">
      <alignment horizontal="left" vertical="center"/>
    </xf>
    <xf numFmtId="0" fontId="23" fillId="18" borderId="5" xfId="0" applyFont="1" applyFill="1" applyBorder="1" applyAlignment="1">
      <alignment vertical="center"/>
    </xf>
    <xf numFmtId="0" fontId="23" fillId="18" borderId="6" xfId="0" applyFont="1" applyFill="1" applyBorder="1" applyAlignment="1">
      <alignment vertical="center"/>
    </xf>
    <xf numFmtId="0" fontId="23" fillId="18" borderId="7" xfId="0" applyFont="1" applyFill="1" applyBorder="1"/>
    <xf numFmtId="0" fontId="24" fillId="18" borderId="0" xfId="0" applyFont="1" applyFill="1" applyBorder="1" applyAlignment="1">
      <alignment horizontal="center" vertical="center"/>
    </xf>
    <xf numFmtId="0" fontId="23" fillId="18" borderId="8" xfId="0" applyFont="1" applyFill="1" applyBorder="1" applyAlignment="1">
      <alignment vertical="center"/>
    </xf>
    <xf numFmtId="0" fontId="22" fillId="10" borderId="7" xfId="0" applyFont="1" applyFill="1" applyBorder="1" applyAlignment="1">
      <alignment horizontal="left" vertical="center"/>
    </xf>
    <xf numFmtId="0" fontId="22" fillId="10" borderId="0" xfId="0" applyFont="1" applyFill="1" applyBorder="1" applyAlignment="1">
      <alignment vertical="center"/>
    </xf>
    <xf numFmtId="0" fontId="22" fillId="10" borderId="8" xfId="0" applyFont="1" applyFill="1" applyBorder="1" applyAlignment="1">
      <alignment vertical="center"/>
    </xf>
    <xf numFmtId="0" fontId="22" fillId="10" borderId="9" xfId="0" applyFont="1" applyFill="1" applyBorder="1" applyAlignment="1">
      <alignment horizontal="left" vertical="center"/>
    </xf>
    <xf numFmtId="0" fontId="22" fillId="10" borderId="10" xfId="0" applyFont="1" applyFill="1" applyBorder="1" applyAlignment="1">
      <alignment vertical="center"/>
    </xf>
    <xf numFmtId="0" fontId="22" fillId="10" borderId="11" xfId="0" applyFont="1" applyFill="1" applyBorder="1" applyAlignment="1">
      <alignment vertical="center"/>
    </xf>
    <xf numFmtId="0" fontId="0" fillId="10" borderId="7" xfId="0" applyFill="1" applyBorder="1"/>
    <xf numFmtId="0" fontId="22" fillId="10" borderId="0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23" fillId="10" borderId="7" xfId="0" applyFont="1" applyFill="1" applyBorder="1" applyAlignment="1">
      <alignment horizontal="center" vertical="center"/>
    </xf>
    <xf numFmtId="0" fontId="23" fillId="10" borderId="0" xfId="0" applyFont="1" applyFill="1" applyBorder="1" applyAlignment="1">
      <alignment vertical="center"/>
    </xf>
    <xf numFmtId="0" fontId="23" fillId="10" borderId="8" xfId="0" applyFont="1" applyFill="1" applyBorder="1" applyAlignment="1">
      <alignment vertical="center"/>
    </xf>
    <xf numFmtId="0" fontId="19" fillId="10" borderId="7" xfId="0" applyFont="1" applyFill="1" applyBorder="1" applyAlignment="1">
      <alignment vertical="center"/>
    </xf>
    <xf numFmtId="0" fontId="19" fillId="10" borderId="8" xfId="0" applyFont="1" applyFill="1" applyBorder="1" applyAlignment="1">
      <alignment vertical="center"/>
    </xf>
    <xf numFmtId="0" fontId="19" fillId="10" borderId="7" xfId="0" applyFont="1" applyFill="1" applyBorder="1" applyAlignment="1">
      <alignment horizontal="center" vertical="center"/>
    </xf>
    <xf numFmtId="0" fontId="19" fillId="10" borderId="0" xfId="0" applyFont="1" applyFill="1" applyBorder="1" applyAlignment="1">
      <alignment vertical="center"/>
    </xf>
    <xf numFmtId="0" fontId="25" fillId="10" borderId="0" xfId="0" applyFont="1" applyFill="1" applyBorder="1" applyAlignment="1">
      <alignment horizontal="center" vertical="center"/>
    </xf>
    <xf numFmtId="0" fontId="0" fillId="21" borderId="55" xfId="0" applyFill="1" applyBorder="1"/>
    <xf numFmtId="0" fontId="0" fillId="21" borderId="56" xfId="0" applyFill="1" applyBorder="1"/>
    <xf numFmtId="0" fontId="0" fillId="21" borderId="15" xfId="0" applyFill="1" applyBorder="1"/>
    <xf numFmtId="0" fontId="0" fillId="21" borderId="57" xfId="0" applyFill="1" applyBorder="1"/>
    <xf numFmtId="0" fontId="26" fillId="21" borderId="0" xfId="0" applyFont="1" applyFill="1" applyAlignment="1">
      <alignment vertical="center"/>
    </xf>
    <xf numFmtId="0" fontId="0" fillId="21" borderId="0" xfId="0" applyFill="1"/>
    <xf numFmtId="0" fontId="21" fillId="21" borderId="0" xfId="0" applyFont="1" applyFill="1" applyAlignment="1">
      <alignment horizontal="left" vertical="center"/>
    </xf>
    <xf numFmtId="0" fontId="0" fillId="21" borderId="20" xfId="0" applyFill="1" applyBorder="1"/>
    <xf numFmtId="0" fontId="17" fillId="21" borderId="0" xfId="0" applyFont="1" applyFill="1"/>
    <xf numFmtId="0" fontId="28" fillId="2" borderId="1" xfId="0" applyFont="1" applyFill="1" applyBorder="1"/>
    <xf numFmtId="0" fontId="0" fillId="21" borderId="59" xfId="0" applyFill="1" applyBorder="1"/>
    <xf numFmtId="0" fontId="0" fillId="21" borderId="14" xfId="0" applyFill="1" applyBorder="1"/>
    <xf numFmtId="0" fontId="0" fillId="21" borderId="3" xfId="0" applyFill="1" applyBorder="1"/>
    <xf numFmtId="0" fontId="0" fillId="22" borderId="55" xfId="0" applyFill="1" applyBorder="1"/>
    <xf numFmtId="0" fontId="0" fillId="22" borderId="56" xfId="0" applyFill="1" applyBorder="1"/>
    <xf numFmtId="0" fontId="0" fillId="22" borderId="15" xfId="0" applyFill="1" applyBorder="1"/>
    <xf numFmtId="0" fontId="0" fillId="22" borderId="57" xfId="0" applyFill="1" applyBorder="1"/>
    <xf numFmtId="0" fontId="17" fillId="22" borderId="0" xfId="0" applyFont="1" applyFill="1"/>
    <xf numFmtId="0" fontId="0" fillId="22" borderId="0" xfId="0" applyFill="1"/>
    <xf numFmtId="0" fontId="0" fillId="22" borderId="20" xfId="0" applyFill="1" applyBorder="1"/>
    <xf numFmtId="0" fontId="0" fillId="2" borderId="1" xfId="0" applyFill="1" applyBorder="1"/>
    <xf numFmtId="0" fontId="0" fillId="22" borderId="14" xfId="0" applyFill="1" applyBorder="1"/>
    <xf numFmtId="0" fontId="0" fillId="22" borderId="3" xfId="0" applyFill="1" applyBorder="1"/>
    <xf numFmtId="0" fontId="0" fillId="23" borderId="13" xfId="0" applyFill="1" applyBorder="1"/>
    <xf numFmtId="0" fontId="17" fillId="23" borderId="60" xfId="0" applyFont="1" applyFill="1" applyBorder="1"/>
    <xf numFmtId="0" fontId="0" fillId="23" borderId="60" xfId="0" applyFill="1" applyBorder="1"/>
    <xf numFmtId="0" fontId="17" fillId="23" borderId="61" xfId="0" applyFont="1" applyFill="1" applyBorder="1"/>
    <xf numFmtId="0" fontId="0" fillId="23" borderId="62" xfId="0" applyFill="1" applyBorder="1"/>
    <xf numFmtId="0" fontId="0" fillId="23" borderId="57" xfId="0" applyFill="1" applyBorder="1"/>
    <xf numFmtId="0" fontId="0" fillId="23" borderId="61" xfId="0" applyFill="1" applyBorder="1"/>
    <xf numFmtId="0" fontId="0" fillId="23" borderId="0" xfId="0" applyFill="1"/>
    <xf numFmtId="0" fontId="0" fillId="23" borderId="20" xfId="0" applyFill="1" applyBorder="1"/>
    <xf numFmtId="0" fontId="0" fillId="23" borderId="59" xfId="0" applyFill="1" applyBorder="1"/>
    <xf numFmtId="0" fontId="0" fillId="23" borderId="14" xfId="0" applyFill="1" applyBorder="1"/>
    <xf numFmtId="0" fontId="0" fillId="23" borderId="3" xfId="0" applyFill="1" applyBorder="1"/>
    <xf numFmtId="0" fontId="17" fillId="23" borderId="57" xfId="0" applyFont="1" applyFill="1" applyBorder="1"/>
    <xf numFmtId="0" fontId="17" fillId="23" borderId="0" xfId="0" applyFont="1" applyFill="1"/>
    <xf numFmtId="0" fontId="17" fillId="22" borderId="1" xfId="0" applyFont="1" applyFill="1" applyBorder="1"/>
    <xf numFmtId="0" fontId="0" fillId="22" borderId="61" xfId="0" applyFill="1" applyBorder="1"/>
    <xf numFmtId="0" fontId="0" fillId="22" borderId="60" xfId="0" applyFill="1" applyBorder="1"/>
    <xf numFmtId="0" fontId="0" fillId="22" borderId="62" xfId="0" applyFill="1" applyBorder="1"/>
    <xf numFmtId="0" fontId="0" fillId="22" borderId="59" xfId="0" applyFill="1" applyBorder="1"/>
    <xf numFmtId="0" fontId="0" fillId="23" borderId="55" xfId="0" applyFill="1" applyBorder="1"/>
    <xf numFmtId="0" fontId="0" fillId="23" borderId="56" xfId="0" applyFill="1" applyBorder="1"/>
    <xf numFmtId="0" fontId="0" fillId="23" borderId="15" xfId="0" applyFill="1" applyBorder="1"/>
    <xf numFmtId="0" fontId="21" fillId="23" borderId="0" xfId="0" applyFont="1" applyFill="1"/>
    <xf numFmtId="0" fontId="9" fillId="10" borderId="1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44" fontId="9" fillId="10" borderId="1" xfId="0" applyNumberFormat="1" applyFont="1" applyFill="1" applyBorder="1"/>
    <xf numFmtId="9" fontId="9" fillId="10" borderId="1" xfId="0" applyNumberFormat="1" applyFont="1" applyFill="1" applyBorder="1" applyAlignment="1">
      <alignment vertical="center"/>
    </xf>
    <xf numFmtId="10" fontId="9" fillId="10" borderId="1" xfId="0" applyNumberFormat="1" applyFont="1" applyFill="1" applyBorder="1" applyAlignment="1">
      <alignment vertical="center"/>
    </xf>
    <xf numFmtId="9" fontId="9" fillId="10" borderId="1" xfId="0" applyNumberFormat="1" applyFont="1" applyFill="1" applyBorder="1" applyAlignment="1">
      <alignment horizontal="left" vertical="center"/>
    </xf>
    <xf numFmtId="0" fontId="30" fillId="18" borderId="37" xfId="0" applyFont="1" applyFill="1" applyBorder="1" applyAlignment="1">
      <alignment horizontal="center"/>
    </xf>
    <xf numFmtId="0" fontId="30" fillId="18" borderId="39" xfId="0" applyFont="1" applyFill="1" applyBorder="1" applyAlignment="1">
      <alignment horizontal="center"/>
    </xf>
    <xf numFmtId="0" fontId="9" fillId="10" borderId="40" xfId="0" applyFont="1" applyFill="1" applyBorder="1" applyAlignment="1">
      <alignment horizontal="left" vertical="center"/>
    </xf>
    <xf numFmtId="44" fontId="9" fillId="10" borderId="41" xfId="0" applyNumberFormat="1" applyFont="1" applyFill="1" applyBorder="1" applyAlignment="1">
      <alignment horizontal="left" vertical="center"/>
    </xf>
    <xf numFmtId="0" fontId="9" fillId="10" borderId="42" xfId="0" applyFont="1" applyFill="1" applyBorder="1" applyAlignment="1">
      <alignment horizontal="left" vertical="center"/>
    </xf>
    <xf numFmtId="44" fontId="9" fillId="10" borderId="44" xfId="0" applyNumberFormat="1" applyFont="1" applyFill="1" applyBorder="1" applyAlignment="1">
      <alignment horizontal="left" vertical="center"/>
    </xf>
    <xf numFmtId="0" fontId="8" fillId="20" borderId="41" xfId="0" applyFont="1" applyFill="1" applyBorder="1" applyAlignment="1">
      <alignment vertical="center"/>
    </xf>
    <xf numFmtId="0" fontId="9" fillId="10" borderId="40" xfId="0" applyFont="1" applyFill="1" applyBorder="1"/>
    <xf numFmtId="164" fontId="9" fillId="10" borderId="41" xfId="0" applyNumberFormat="1" applyFont="1" applyFill="1" applyBorder="1" applyAlignment="1">
      <alignment vertical="center"/>
    </xf>
    <xf numFmtId="44" fontId="9" fillId="10" borderId="40" xfId="0" applyNumberFormat="1" applyFont="1" applyFill="1" applyBorder="1"/>
    <xf numFmtId="0" fontId="9" fillId="10" borderId="42" xfId="0" applyFont="1" applyFill="1" applyBorder="1"/>
    <xf numFmtId="44" fontId="9" fillId="10" borderId="43" xfId="0" applyNumberFormat="1" applyFont="1" applyFill="1" applyBorder="1"/>
    <xf numFmtId="10" fontId="9" fillId="10" borderId="43" xfId="0" applyNumberFormat="1" applyFont="1" applyFill="1" applyBorder="1" applyAlignment="1">
      <alignment vertical="center"/>
    </xf>
    <xf numFmtId="164" fontId="9" fillId="10" borderId="44" xfId="0" applyNumberFormat="1" applyFont="1" applyFill="1" applyBorder="1" applyAlignment="1">
      <alignment vertical="center"/>
    </xf>
    <xf numFmtId="9" fontId="9" fillId="10" borderId="41" xfId="0" applyNumberFormat="1" applyFont="1" applyFill="1" applyBorder="1" applyAlignment="1">
      <alignment horizontal="left" vertical="center"/>
    </xf>
    <xf numFmtId="0" fontId="9" fillId="10" borderId="41" xfId="0" applyFont="1" applyFill="1" applyBorder="1" applyAlignment="1">
      <alignment horizontal="left" vertical="center"/>
    </xf>
    <xf numFmtId="10" fontId="9" fillId="10" borderId="43" xfId="0" applyNumberFormat="1" applyFont="1" applyFill="1" applyBorder="1" applyAlignment="1">
      <alignment horizontal="left" vertical="center"/>
    </xf>
    <xf numFmtId="0" fontId="9" fillId="10" borderId="43" xfId="0" applyFont="1" applyFill="1" applyBorder="1" applyAlignment="1">
      <alignment horizontal="left" vertical="center"/>
    </xf>
    <xf numFmtId="10" fontId="9" fillId="10" borderId="44" xfId="0" applyNumberFormat="1" applyFont="1" applyFill="1" applyBorder="1" applyAlignment="1">
      <alignment horizontal="left" vertical="center"/>
    </xf>
    <xf numFmtId="0" fontId="32" fillId="18" borderId="66" xfId="0" applyFont="1" applyFill="1" applyBorder="1"/>
    <xf numFmtId="9" fontId="9" fillId="10" borderId="67" xfId="0" applyNumberFormat="1" applyFont="1" applyFill="1" applyBorder="1" applyAlignment="1">
      <alignment horizontal="left"/>
    </xf>
    <xf numFmtId="0" fontId="34" fillId="3" borderId="0" xfId="0" applyFont="1" applyFill="1" applyAlignment="1">
      <alignment horizontal="center" vertical="center"/>
    </xf>
    <xf numFmtId="0" fontId="2" fillId="3" borderId="0" xfId="0" applyFont="1" applyFill="1"/>
    <xf numFmtId="0" fontId="0" fillId="10" borderId="0" xfId="0" applyFill="1" applyBorder="1"/>
    <xf numFmtId="0" fontId="2" fillId="3" borderId="1" xfId="0" applyFont="1" applyFill="1" applyBorder="1"/>
    <xf numFmtId="0" fontId="33" fillId="3" borderId="0" xfId="0" applyFont="1" applyFill="1" applyAlignment="1">
      <alignment vertical="center"/>
    </xf>
    <xf numFmtId="0" fontId="15" fillId="11" borderId="0" xfId="0" applyFont="1" applyFill="1" applyBorder="1" applyAlignment="1">
      <alignment horizontal="left" vertical="center"/>
    </xf>
    <xf numFmtId="0" fontId="3" fillId="11" borderId="0" xfId="0" applyFont="1" applyFill="1" applyBorder="1"/>
    <xf numFmtId="0" fontId="13" fillId="11" borderId="0" xfId="0" applyFont="1" applyFill="1" applyBorder="1" applyAlignment="1">
      <alignment horizontal="left" vertical="center"/>
    </xf>
    <xf numFmtId="0" fontId="4" fillId="11" borderId="0" xfId="0" applyFont="1" applyFill="1" applyBorder="1"/>
    <xf numFmtId="0" fontId="0" fillId="10" borderId="9" xfId="0" applyFill="1" applyBorder="1"/>
    <xf numFmtId="0" fontId="0" fillId="10" borderId="10" xfId="0" applyFill="1" applyBorder="1"/>
    <xf numFmtId="0" fontId="0" fillId="10" borderId="11" xfId="0" applyFill="1" applyBorder="1"/>
    <xf numFmtId="0" fontId="33" fillId="3" borderId="0" xfId="0" applyFont="1" applyFill="1" applyBorder="1" applyAlignment="1"/>
    <xf numFmtId="0" fontId="19" fillId="2" borderId="0" xfId="0" applyFont="1" applyFill="1" applyBorder="1" applyAlignment="1">
      <alignment vertical="center"/>
    </xf>
    <xf numFmtId="0" fontId="0" fillId="2" borderId="0" xfId="0" applyFill="1" applyBorder="1"/>
    <xf numFmtId="0" fontId="34" fillId="3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vertical="center"/>
    </xf>
    <xf numFmtId="0" fontId="2" fillId="24" borderId="1" xfId="0" applyFont="1" applyFill="1" applyBorder="1" applyAlignment="1">
      <alignment vertical="center"/>
    </xf>
    <xf numFmtId="0" fontId="0" fillId="2" borderId="0" xfId="0" applyFill="1" applyBorder="1" applyAlignment="1">
      <alignment horizontal="center"/>
    </xf>
    <xf numFmtId="0" fontId="3" fillId="11" borderId="0" xfId="0" applyFont="1" applyFill="1" applyBorder="1" applyAlignment="1">
      <alignment vertical="center"/>
    </xf>
    <xf numFmtId="0" fontId="0" fillId="10" borderId="7" xfId="0" applyFill="1" applyBorder="1" applyAlignment="1">
      <alignment vertical="center"/>
    </xf>
    <xf numFmtId="0" fontId="0" fillId="10" borderId="9" xfId="0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5" fillId="3" borderId="0" xfId="0" applyFont="1" applyFill="1" applyAlignment="1">
      <alignment vertical="center"/>
    </xf>
    <xf numFmtId="0" fontId="15" fillId="3" borderId="0" xfId="0" applyFont="1" applyFill="1"/>
    <xf numFmtId="0" fontId="15" fillId="3" borderId="1" xfId="0" applyFont="1" applyFill="1" applyBorder="1"/>
    <xf numFmtId="0" fontId="15" fillId="11" borderId="7" xfId="0" applyFont="1" applyFill="1" applyBorder="1"/>
    <xf numFmtId="0" fontId="15" fillId="11" borderId="0" xfId="0" applyFont="1" applyFill="1" applyBorder="1"/>
    <xf numFmtId="0" fontId="15" fillId="11" borderId="8" xfId="0" applyFont="1" applyFill="1" applyBorder="1"/>
    <xf numFmtId="0" fontId="15" fillId="11" borderId="9" xfId="0" applyFont="1" applyFill="1" applyBorder="1"/>
    <xf numFmtId="0" fontId="15" fillId="11" borderId="10" xfId="0" applyFont="1" applyFill="1" applyBorder="1"/>
    <xf numFmtId="0" fontId="15" fillId="11" borderId="11" xfId="0" applyFont="1" applyFill="1" applyBorder="1"/>
    <xf numFmtId="0" fontId="15" fillId="11" borderId="0" xfId="0" applyFont="1" applyFill="1" applyBorder="1" applyAlignment="1">
      <alignment vertical="center"/>
    </xf>
    <xf numFmtId="0" fontId="13" fillId="11" borderId="0" xfId="0" applyFont="1" applyFill="1" applyBorder="1" applyAlignment="1">
      <alignment vertical="center"/>
    </xf>
    <xf numFmtId="0" fontId="31" fillId="18" borderId="1" xfId="0" applyFont="1" applyFill="1" applyBorder="1"/>
    <xf numFmtId="0" fontId="0" fillId="0" borderId="0" xfId="0"/>
    <xf numFmtId="0" fontId="9" fillId="10" borderId="68" xfId="0" applyFont="1" applyFill="1" applyBorder="1" applyAlignment="1">
      <alignment horizontal="left"/>
    </xf>
    <xf numFmtId="0" fontId="9" fillId="10" borderId="1" xfId="0" applyFont="1" applyFill="1" applyBorder="1" applyAlignment="1">
      <alignment horizontal="left"/>
    </xf>
    <xf numFmtId="0" fontId="35" fillId="13" borderId="0" xfId="0" applyFont="1" applyFill="1" applyBorder="1" applyAlignment="1">
      <alignment vertical="center"/>
    </xf>
    <xf numFmtId="0" fontId="35" fillId="13" borderId="0" xfId="0" applyFont="1" applyFill="1" applyBorder="1" applyAlignment="1"/>
    <xf numFmtId="0" fontId="35" fillId="8" borderId="12" xfId="0" applyFont="1" applyFill="1" applyBorder="1" applyAlignment="1"/>
    <xf numFmtId="0" fontId="36" fillId="13" borderId="0" xfId="0" applyFont="1" applyFill="1" applyBorder="1" applyAlignment="1"/>
    <xf numFmtId="0" fontId="13" fillId="13" borderId="0" xfId="0" applyFont="1" applyFill="1" applyBorder="1" applyAlignment="1"/>
    <xf numFmtId="0" fontId="0" fillId="0" borderId="0" xfId="0"/>
    <xf numFmtId="0" fontId="0" fillId="7" borderId="0" xfId="0" applyFill="1"/>
    <xf numFmtId="0" fontId="38" fillId="10" borderId="0" xfId="0" applyFont="1" applyFill="1" applyBorder="1"/>
    <xf numFmtId="0" fontId="20" fillId="10" borderId="0" xfId="0" applyFont="1" applyFill="1" applyBorder="1" applyAlignment="1">
      <alignment horizontal="left"/>
    </xf>
    <xf numFmtId="0" fontId="38" fillId="10" borderId="0" xfId="0" applyFont="1" applyFill="1" applyBorder="1" applyAlignment="1">
      <alignment horizontal="left"/>
    </xf>
    <xf numFmtId="0" fontId="20" fillId="10" borderId="0" xfId="0" applyFont="1" applyFill="1" applyBorder="1"/>
    <xf numFmtId="0" fontId="0" fillId="10" borderId="0" xfId="0" applyFont="1" applyFill="1" applyBorder="1"/>
    <xf numFmtId="0" fontId="38" fillId="11" borderId="0" xfId="0" applyFont="1" applyFill="1" applyBorder="1" applyAlignment="1">
      <alignment horizontal="left"/>
    </xf>
    <xf numFmtId="0" fontId="38" fillId="2" borderId="1" xfId="0" applyFont="1" applyFill="1" applyBorder="1" applyAlignment="1">
      <alignment horizontal="left"/>
    </xf>
    <xf numFmtId="0" fontId="38" fillId="2" borderId="1" xfId="0" applyNumberFormat="1" applyFont="1" applyFill="1" applyBorder="1" applyAlignment="1">
      <alignment horizontal="left"/>
    </xf>
    <xf numFmtId="0" fontId="41" fillId="2" borderId="1" xfId="2" applyFont="1" applyFill="1" applyBorder="1" applyAlignment="1">
      <alignment horizontal="left"/>
    </xf>
    <xf numFmtId="0" fontId="38" fillId="3" borderId="1" xfId="0" applyFont="1" applyFill="1" applyBorder="1" applyAlignment="1">
      <alignment horizontal="left"/>
    </xf>
    <xf numFmtId="165" fontId="38" fillId="3" borderId="1" xfId="0" applyNumberFormat="1" applyFont="1" applyFill="1" applyBorder="1" applyAlignment="1">
      <alignment horizontal="left"/>
    </xf>
    <xf numFmtId="0" fontId="25" fillId="10" borderId="0" xfId="0" applyFont="1" applyFill="1" applyBorder="1"/>
    <xf numFmtId="0" fontId="30" fillId="10" borderId="0" xfId="0" applyFont="1" applyFill="1" applyBorder="1" applyAlignment="1">
      <alignment vertical="center"/>
    </xf>
    <xf numFmtId="0" fontId="42" fillId="10" borderId="0" xfId="0" applyFont="1" applyFill="1" applyBorder="1"/>
    <xf numFmtId="0" fontId="29" fillId="2" borderId="1" xfId="0" applyFont="1" applyFill="1" applyBorder="1"/>
    <xf numFmtId="0" fontId="29" fillId="10" borderId="0" xfId="0" applyFont="1" applyFill="1" applyBorder="1"/>
    <xf numFmtId="0" fontId="25" fillId="10" borderId="0" xfId="0" applyFont="1" applyFill="1" applyBorder="1" applyAlignment="1">
      <alignment horizontal="left"/>
    </xf>
    <xf numFmtId="0" fontId="29" fillId="10" borderId="0" xfId="0" applyFont="1" applyFill="1" applyBorder="1" applyAlignment="1">
      <alignment horizontal="left"/>
    </xf>
    <xf numFmtId="0" fontId="29" fillId="2" borderId="1" xfId="0" applyFont="1" applyFill="1" applyBorder="1" applyAlignment="1">
      <alignment horizontal="left"/>
    </xf>
    <xf numFmtId="0" fontId="29" fillId="2" borderId="1" xfId="0" applyNumberFormat="1" applyFont="1" applyFill="1" applyBorder="1" applyAlignment="1">
      <alignment horizontal="left"/>
    </xf>
    <xf numFmtId="0" fontId="43" fillId="2" borderId="1" xfId="2" applyFont="1" applyFill="1" applyBorder="1" applyAlignment="1">
      <alignment horizontal="left"/>
    </xf>
    <xf numFmtId="0" fontId="29" fillId="11" borderId="0" xfId="0" applyFont="1" applyFill="1" applyBorder="1" applyAlignment="1">
      <alignment horizontal="left"/>
    </xf>
    <xf numFmtId="0" fontId="29" fillId="3" borderId="1" xfId="0" applyFont="1" applyFill="1" applyBorder="1" applyAlignment="1">
      <alignment horizontal="left"/>
    </xf>
    <xf numFmtId="0" fontId="30" fillId="10" borderId="7" xfId="0" applyFont="1" applyFill="1" applyBorder="1" applyAlignment="1">
      <alignment vertical="center"/>
    </xf>
    <xf numFmtId="0" fontId="30" fillId="10" borderId="8" xfId="0" applyFont="1" applyFill="1" applyBorder="1" applyAlignment="1">
      <alignment vertical="center"/>
    </xf>
    <xf numFmtId="0" fontId="42" fillId="10" borderId="7" xfId="0" applyFont="1" applyFill="1" applyBorder="1"/>
    <xf numFmtId="0" fontId="42" fillId="10" borderId="8" xfId="0" applyFont="1" applyFill="1" applyBorder="1"/>
    <xf numFmtId="0" fontId="29" fillId="10" borderId="7" xfId="0" applyFont="1" applyFill="1" applyBorder="1" applyAlignment="1">
      <alignment horizontal="left"/>
    </xf>
    <xf numFmtId="0" fontId="29" fillId="10" borderId="8" xfId="0" applyFont="1" applyFill="1" applyBorder="1" applyAlignment="1">
      <alignment horizontal="left"/>
    </xf>
    <xf numFmtId="0" fontId="29" fillId="11" borderId="8" xfId="0" applyFont="1" applyFill="1" applyBorder="1" applyAlignment="1">
      <alignment horizontal="left"/>
    </xf>
    <xf numFmtId="0" fontId="29" fillId="10" borderId="9" xfId="0" applyFont="1" applyFill="1" applyBorder="1" applyAlignment="1">
      <alignment horizontal="left"/>
    </xf>
    <xf numFmtId="0" fontId="29" fillId="10" borderId="10" xfId="0" applyFont="1" applyFill="1" applyBorder="1" applyAlignment="1">
      <alignment horizontal="left"/>
    </xf>
    <xf numFmtId="0" fontId="29" fillId="11" borderId="10" xfId="0" applyFont="1" applyFill="1" applyBorder="1" applyAlignment="1">
      <alignment horizontal="left"/>
    </xf>
    <xf numFmtId="0" fontId="29" fillId="11" borderId="11" xfId="0" applyFont="1" applyFill="1" applyBorder="1" applyAlignment="1">
      <alignment horizontal="left"/>
    </xf>
    <xf numFmtId="165" fontId="29" fillId="3" borderId="1" xfId="0" applyNumberFormat="1" applyFont="1" applyFill="1" applyBorder="1" applyAlignment="1">
      <alignment horizontal="left"/>
    </xf>
    <xf numFmtId="0" fontId="42" fillId="2" borderId="0" xfId="0" applyFont="1" applyFill="1" applyBorder="1"/>
    <xf numFmtId="0" fontId="29" fillId="2" borderId="0" xfId="0" applyFont="1" applyFill="1" applyBorder="1"/>
    <xf numFmtId="0" fontId="25" fillId="2" borderId="0" xfId="0" applyFont="1" applyFill="1" applyBorder="1" applyAlignment="1">
      <alignment horizontal="left"/>
    </xf>
    <xf numFmtId="0" fontId="29" fillId="2" borderId="0" xfId="0" applyFont="1" applyFill="1" applyBorder="1" applyAlignment="1">
      <alignment horizontal="left"/>
    </xf>
    <xf numFmtId="0" fontId="29" fillId="3" borderId="0" xfId="0" applyFont="1" applyFill="1" applyBorder="1" applyAlignment="1">
      <alignment horizontal="left"/>
    </xf>
    <xf numFmtId="165" fontId="29" fillId="3" borderId="0" xfId="0" applyNumberFormat="1" applyFont="1" applyFill="1" applyBorder="1" applyAlignment="1">
      <alignment horizontal="left"/>
    </xf>
    <xf numFmtId="0" fontId="0" fillId="0" borderId="0" xfId="0"/>
    <xf numFmtId="0" fontId="0" fillId="7" borderId="0" xfId="0" applyFill="1"/>
    <xf numFmtId="0" fontId="39" fillId="2" borderId="1" xfId="0" applyFont="1" applyFill="1" applyBorder="1"/>
    <xf numFmtId="0" fontId="38" fillId="2" borderId="1" xfId="0" applyFont="1" applyFill="1" applyBorder="1"/>
    <xf numFmtId="0" fontId="37" fillId="2" borderId="0" xfId="0" applyFont="1" applyFill="1" applyBorder="1" applyAlignment="1"/>
    <xf numFmtId="0" fontId="38" fillId="2" borderId="0" xfId="0" applyFont="1" applyFill="1" applyBorder="1"/>
    <xf numFmtId="0" fontId="38" fillId="10" borderId="7" xfId="0" applyFont="1" applyFill="1" applyBorder="1"/>
    <xf numFmtId="0" fontId="38" fillId="10" borderId="8" xfId="0" applyFont="1" applyFill="1" applyBorder="1"/>
    <xf numFmtId="0" fontId="38" fillId="10" borderId="9" xfId="0" applyFont="1" applyFill="1" applyBorder="1"/>
    <xf numFmtId="0" fontId="38" fillId="10" borderId="10" xfId="0" applyFont="1" applyFill="1" applyBorder="1"/>
    <xf numFmtId="0" fontId="38" fillId="10" borderId="11" xfId="0" applyFont="1" applyFill="1" applyBorder="1"/>
    <xf numFmtId="0" fontId="0" fillId="0" borderId="0" xfId="0"/>
    <xf numFmtId="0" fontId="0" fillId="7" borderId="0" xfId="0" applyFill="1"/>
    <xf numFmtId="0" fontId="38" fillId="2" borderId="1" xfId="0" applyFont="1" applyFill="1" applyBorder="1"/>
    <xf numFmtId="0" fontId="38" fillId="10" borderId="7" xfId="0" applyFont="1" applyFill="1" applyBorder="1" applyAlignment="1">
      <alignment horizontal="left"/>
    </xf>
    <xf numFmtId="0" fontId="38" fillId="10" borderId="8" xfId="0" applyFont="1" applyFill="1" applyBorder="1" applyAlignment="1">
      <alignment horizontal="left"/>
    </xf>
    <xf numFmtId="0" fontId="0" fillId="10" borderId="7" xfId="0" applyFont="1" applyFill="1" applyBorder="1"/>
    <xf numFmtId="0" fontId="0" fillId="10" borderId="8" xfId="0" applyFont="1" applyFill="1" applyBorder="1"/>
    <xf numFmtId="0" fontId="38" fillId="11" borderId="8" xfId="0" applyFont="1" applyFill="1" applyBorder="1" applyAlignment="1">
      <alignment horizontal="left"/>
    </xf>
    <xf numFmtId="0" fontId="38" fillId="10" borderId="9" xfId="0" applyFont="1" applyFill="1" applyBorder="1" applyAlignment="1">
      <alignment horizontal="left"/>
    </xf>
    <xf numFmtId="0" fontId="38" fillId="10" borderId="10" xfId="0" applyFont="1" applyFill="1" applyBorder="1" applyAlignment="1">
      <alignment horizontal="left"/>
    </xf>
    <xf numFmtId="0" fontId="38" fillId="11" borderId="10" xfId="0" applyFont="1" applyFill="1" applyBorder="1" applyAlignment="1">
      <alignment horizontal="left"/>
    </xf>
    <xf numFmtId="0" fontId="38" fillId="11" borderId="11" xfId="0" applyFont="1" applyFill="1" applyBorder="1" applyAlignment="1">
      <alignment horizontal="left"/>
    </xf>
    <xf numFmtId="0" fontId="38" fillId="2" borderId="0" xfId="0" applyFont="1" applyFill="1" applyBorder="1" applyAlignment="1">
      <alignment horizontal="left"/>
    </xf>
    <xf numFmtId="0" fontId="38" fillId="3" borderId="0" xfId="0" applyFont="1" applyFill="1" applyBorder="1" applyAlignment="1">
      <alignment horizontal="left"/>
    </xf>
    <xf numFmtId="165" fontId="38" fillId="3" borderId="0" xfId="0" applyNumberFormat="1" applyFont="1" applyFill="1" applyBorder="1" applyAlignment="1">
      <alignment horizontal="left"/>
    </xf>
    <xf numFmtId="0" fontId="20" fillId="2" borderId="0" xfId="0" applyFont="1" applyFill="1" applyBorder="1" applyAlignment="1">
      <alignment vertical="center"/>
    </xf>
    <xf numFmtId="0" fontId="20" fillId="2" borderId="0" xfId="0" applyFont="1" applyFill="1" applyBorder="1" applyAlignment="1">
      <alignment horizontal="left"/>
    </xf>
    <xf numFmtId="0" fontId="0" fillId="2" borderId="0" xfId="0" applyFont="1" applyFill="1" applyBorder="1"/>
    <xf numFmtId="0" fontId="0" fillId="0" borderId="0" xfId="0"/>
    <xf numFmtId="0" fontId="0" fillId="7" borderId="0" xfId="0" applyFill="1"/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horizontal="left" vertical="center"/>
    </xf>
    <xf numFmtId="0" fontId="40" fillId="2" borderId="0" xfId="0" applyFont="1" applyFill="1" applyBorder="1" applyAlignment="1">
      <alignment horizontal="left" vertical="center"/>
    </xf>
    <xf numFmtId="0" fontId="39" fillId="2" borderId="0" xfId="0" applyFont="1" applyFill="1" applyBorder="1" applyAlignment="1">
      <alignment horizontal="left" vertical="center"/>
    </xf>
    <xf numFmtId="0" fontId="7" fillId="3" borderId="0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0" fillId="0" borderId="0" xfId="0"/>
    <xf numFmtId="0" fontId="38" fillId="2" borderId="1" xfId="0" applyFont="1" applyFill="1" applyBorder="1" applyAlignment="1">
      <alignment horizontal="left" vertical="center"/>
    </xf>
    <xf numFmtId="14" fontId="38" fillId="2" borderId="1" xfId="0" applyNumberFormat="1" applyFont="1" applyFill="1" applyBorder="1" applyAlignment="1">
      <alignment horizontal="left" vertical="center"/>
    </xf>
    <xf numFmtId="1" fontId="38" fillId="2" borderId="1" xfId="0" applyNumberFormat="1" applyFont="1" applyFill="1" applyBorder="1" applyAlignment="1">
      <alignment horizontal="left" vertical="center"/>
    </xf>
    <xf numFmtId="0" fontId="0" fillId="7" borderId="0" xfId="0" applyFill="1"/>
    <xf numFmtId="0" fontId="7" fillId="2" borderId="0" xfId="0" applyFont="1" applyFill="1" applyBorder="1" applyAlignment="1">
      <alignment vertical="center"/>
    </xf>
    <xf numFmtId="165" fontId="38" fillId="3" borderId="1" xfId="0" applyNumberFormat="1" applyFont="1" applyFill="1" applyBorder="1" applyAlignment="1">
      <alignment horizontal="left" vertical="center"/>
    </xf>
    <xf numFmtId="164" fontId="0" fillId="2" borderId="1" xfId="0" applyNumberFormat="1" applyFont="1" applyFill="1" applyBorder="1" applyAlignment="1">
      <alignment horizontal="left" vertical="center"/>
    </xf>
    <xf numFmtId="0" fontId="18" fillId="2" borderId="0" xfId="0" applyFont="1" applyFill="1" applyBorder="1" applyAlignment="1">
      <alignment horizontal="left" vertical="center"/>
    </xf>
    <xf numFmtId="0" fontId="34" fillId="3" borderId="0" xfId="0" applyFont="1" applyFill="1" applyBorder="1" applyAlignment="1">
      <alignment horizontal="left" vertical="center"/>
    </xf>
    <xf numFmtId="0" fontId="7" fillId="10" borderId="0" xfId="0" applyFont="1" applyFill="1" applyBorder="1" applyAlignment="1">
      <alignment horizontal="left" vertical="center"/>
    </xf>
    <xf numFmtId="0" fontId="39" fillId="10" borderId="0" xfId="0" applyFont="1" applyFill="1" applyBorder="1" applyAlignment="1">
      <alignment horizontal="left" vertical="center"/>
    </xf>
    <xf numFmtId="0" fontId="20" fillId="10" borderId="0" xfId="0" applyFont="1" applyFill="1" applyBorder="1" applyAlignment="1">
      <alignment horizontal="left" vertical="center"/>
    </xf>
    <xf numFmtId="0" fontId="38" fillId="10" borderId="0" xfId="0" applyFont="1" applyFill="1" applyBorder="1" applyAlignment="1">
      <alignment horizontal="left" vertical="center"/>
    </xf>
    <xf numFmtId="0" fontId="20" fillId="10" borderId="56" xfId="0" applyFont="1" applyFill="1" applyBorder="1" applyAlignment="1">
      <alignment horizontal="left" vertical="center"/>
    </xf>
    <xf numFmtId="0" fontId="39" fillId="10" borderId="7" xfId="0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0" fontId="39" fillId="10" borderId="8" xfId="0" applyFont="1" applyFill="1" applyBorder="1" applyAlignment="1">
      <alignment horizontal="left" vertical="center"/>
    </xf>
    <xf numFmtId="0" fontId="7" fillId="11" borderId="8" xfId="0" applyFont="1" applyFill="1" applyBorder="1" applyAlignment="1">
      <alignment horizontal="left" vertical="center"/>
    </xf>
    <xf numFmtId="0" fontId="39" fillId="10" borderId="9" xfId="0" applyFont="1" applyFill="1" applyBorder="1" applyAlignment="1">
      <alignment horizontal="left" vertical="center"/>
    </xf>
    <xf numFmtId="0" fontId="39" fillId="10" borderId="10" xfId="0" applyFont="1" applyFill="1" applyBorder="1" applyAlignment="1">
      <alignment horizontal="left" vertical="center"/>
    </xf>
    <xf numFmtId="0" fontId="7" fillId="11" borderId="11" xfId="0" applyFont="1" applyFill="1" applyBorder="1" applyAlignment="1">
      <alignment horizontal="left" vertical="center"/>
    </xf>
    <xf numFmtId="0" fontId="38" fillId="10" borderId="31" xfId="0" applyFont="1" applyFill="1" applyBorder="1" applyAlignment="1">
      <alignment horizontal="left" vertical="center"/>
    </xf>
    <xf numFmtId="0" fontId="20" fillId="10" borderId="69" xfId="0" applyFont="1" applyFill="1" applyBorder="1" applyAlignment="1">
      <alignment horizontal="left" vertical="center"/>
    </xf>
    <xf numFmtId="0" fontId="38" fillId="10" borderId="7" xfId="0" applyFont="1" applyFill="1" applyBorder="1" applyAlignment="1">
      <alignment horizontal="left" vertical="center"/>
    </xf>
    <xf numFmtId="0" fontId="20" fillId="10" borderId="8" xfId="0" applyFont="1" applyFill="1" applyBorder="1" applyAlignment="1">
      <alignment horizontal="left" vertical="center"/>
    </xf>
    <xf numFmtId="0" fontId="38" fillId="10" borderId="8" xfId="0" applyFont="1" applyFill="1" applyBorder="1" applyAlignment="1">
      <alignment horizontal="left" vertical="center"/>
    </xf>
    <xf numFmtId="0" fontId="0" fillId="10" borderId="7" xfId="0" applyFont="1" applyFill="1" applyBorder="1" applyAlignment="1">
      <alignment horizontal="left" vertical="center"/>
    </xf>
    <xf numFmtId="0" fontId="17" fillId="10" borderId="0" xfId="0" applyFont="1" applyFill="1" applyBorder="1" applyAlignment="1">
      <alignment horizontal="left" vertical="center"/>
    </xf>
    <xf numFmtId="0" fontId="0" fillId="10" borderId="8" xfId="0" applyFont="1" applyFill="1" applyBorder="1" applyAlignment="1">
      <alignment horizontal="left" vertical="center"/>
    </xf>
    <xf numFmtId="0" fontId="20" fillId="11" borderId="8" xfId="0" applyFont="1" applyFill="1" applyBorder="1" applyAlignment="1">
      <alignment horizontal="left" vertical="center"/>
    </xf>
    <xf numFmtId="0" fontId="38" fillId="10" borderId="9" xfId="0" applyFont="1" applyFill="1" applyBorder="1" applyAlignment="1">
      <alignment vertical="center"/>
    </xf>
    <xf numFmtId="0" fontId="38" fillId="10" borderId="10" xfId="0" applyFont="1" applyFill="1" applyBorder="1" applyAlignment="1">
      <alignment vertical="center"/>
    </xf>
    <xf numFmtId="0" fontId="38" fillId="10" borderId="10" xfId="0" applyFont="1" applyFill="1" applyBorder="1" applyAlignment="1">
      <alignment horizontal="left" vertical="center"/>
    </xf>
    <xf numFmtId="0" fontId="20" fillId="11" borderId="11" xfId="0" applyFont="1" applyFill="1" applyBorder="1" applyAlignment="1">
      <alignment horizontal="left" vertical="center"/>
    </xf>
    <xf numFmtId="0" fontId="38" fillId="10" borderId="0" xfId="0" applyFont="1" applyFill="1" applyBorder="1" applyAlignment="1">
      <alignment vertical="center"/>
    </xf>
    <xf numFmtId="0" fontId="38" fillId="10" borderId="7" xfId="0" applyFont="1" applyFill="1" applyBorder="1" applyAlignment="1">
      <alignment vertical="center"/>
    </xf>
    <xf numFmtId="0" fontId="20" fillId="2" borderId="0" xfId="0" applyFont="1" applyFill="1" applyBorder="1" applyAlignment="1">
      <alignment horizontal="left" vertical="center"/>
    </xf>
    <xf numFmtId="0" fontId="3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left" vertical="center"/>
    </xf>
    <xf numFmtId="0" fontId="20" fillId="3" borderId="0" xfId="0" applyFont="1" applyFill="1" applyBorder="1" applyAlignment="1">
      <alignment horizontal="left" vertical="center"/>
    </xf>
    <xf numFmtId="0" fontId="35" fillId="2" borderId="12" xfId="0" applyFont="1" applyFill="1" applyBorder="1" applyAlignment="1"/>
    <xf numFmtId="0" fontId="12" fillId="2" borderId="0" xfId="0" applyFont="1" applyFill="1" applyAlignment="1">
      <alignment horizontal="center"/>
    </xf>
    <xf numFmtId="0" fontId="8" fillId="18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7" fillId="18" borderId="0" xfId="0" applyFont="1" applyFill="1" applyAlignment="1">
      <alignment horizontal="center" vertical="center"/>
    </xf>
    <xf numFmtId="0" fontId="7" fillId="19" borderId="0" xfId="0" applyFont="1" applyFill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8" borderId="0" xfId="0" applyFill="1" applyAlignment="1">
      <alignment horizontal="center"/>
    </xf>
    <xf numFmtId="0" fontId="0" fillId="8" borderId="32" xfId="0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7" fillId="6" borderId="4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21" xfId="0" applyFont="1" applyFill="1" applyBorder="1" applyAlignment="1">
      <alignment horizontal="center" vertical="center"/>
    </xf>
    <xf numFmtId="0" fontId="7" fillId="6" borderId="14" xfId="0" applyFont="1" applyFill="1" applyBorder="1" applyAlignment="1">
      <alignment horizontal="center" vertical="center"/>
    </xf>
    <xf numFmtId="0" fontId="7" fillId="6" borderId="22" xfId="0" applyFont="1" applyFill="1" applyBorder="1" applyAlignment="1">
      <alignment horizontal="center" vertical="center"/>
    </xf>
    <xf numFmtId="0" fontId="8" fillId="8" borderId="34" xfId="0" applyFont="1" applyFill="1" applyBorder="1" applyAlignment="1">
      <alignment horizontal="center" vertical="center"/>
    </xf>
    <xf numFmtId="0" fontId="8" fillId="8" borderId="35" xfId="0" applyFont="1" applyFill="1" applyBorder="1" applyAlignment="1">
      <alignment horizontal="center" vertical="center"/>
    </xf>
    <xf numFmtId="0" fontId="8" fillId="8" borderId="36" xfId="0" applyFont="1" applyFill="1" applyBorder="1" applyAlignment="1">
      <alignment horizontal="center" vertical="center"/>
    </xf>
    <xf numFmtId="0" fontId="7" fillId="12" borderId="37" xfId="0" applyFont="1" applyFill="1" applyBorder="1" applyAlignment="1">
      <alignment horizontal="center" vertical="center"/>
    </xf>
    <xf numFmtId="0" fontId="7" fillId="12" borderId="38" xfId="0" applyFont="1" applyFill="1" applyBorder="1" applyAlignment="1">
      <alignment horizontal="center" vertical="center"/>
    </xf>
    <xf numFmtId="0" fontId="7" fillId="12" borderId="39" xfId="0" applyFont="1" applyFill="1" applyBorder="1" applyAlignment="1">
      <alignment horizontal="center" vertical="center"/>
    </xf>
    <xf numFmtId="0" fontId="7" fillId="12" borderId="40" xfId="0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/>
    </xf>
    <xf numFmtId="0" fontId="7" fillId="12" borderId="41" xfId="0" applyFont="1" applyFill="1" applyBorder="1" applyAlignment="1">
      <alignment horizontal="center" vertical="center"/>
    </xf>
    <xf numFmtId="0" fontId="7" fillId="12" borderId="42" xfId="0" applyFont="1" applyFill="1" applyBorder="1" applyAlignment="1">
      <alignment horizontal="center" vertical="center"/>
    </xf>
    <xf numFmtId="0" fontId="7" fillId="12" borderId="43" xfId="0" applyFont="1" applyFill="1" applyBorder="1" applyAlignment="1">
      <alignment horizontal="center" vertical="center"/>
    </xf>
    <xf numFmtId="0" fontId="7" fillId="12" borderId="44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7" fillId="12" borderId="5" xfId="0" applyFont="1" applyFill="1" applyBorder="1" applyAlignment="1">
      <alignment horizontal="center" vertical="center"/>
    </xf>
    <xf numFmtId="0" fontId="7" fillId="12" borderId="6" xfId="0" applyFont="1" applyFill="1" applyBorder="1" applyAlignment="1">
      <alignment horizontal="center" vertical="center"/>
    </xf>
    <xf numFmtId="0" fontId="7" fillId="12" borderId="7" xfId="0" applyFont="1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7" fillId="12" borderId="8" xfId="0" applyFont="1" applyFill="1" applyBorder="1" applyAlignment="1">
      <alignment horizontal="center" vertical="center"/>
    </xf>
    <xf numFmtId="0" fontId="37" fillId="12" borderId="4" xfId="0" applyFont="1" applyFill="1" applyBorder="1" applyAlignment="1">
      <alignment horizontal="center" vertical="center"/>
    </xf>
    <xf numFmtId="0" fontId="37" fillId="12" borderId="5" xfId="0" applyFont="1" applyFill="1" applyBorder="1" applyAlignment="1">
      <alignment horizontal="center" vertical="center"/>
    </xf>
    <xf numFmtId="0" fontId="37" fillId="12" borderId="6" xfId="0" applyFont="1" applyFill="1" applyBorder="1" applyAlignment="1">
      <alignment horizontal="center" vertical="center"/>
    </xf>
    <xf numFmtId="0" fontId="37" fillId="12" borderId="7" xfId="0" applyFont="1" applyFill="1" applyBorder="1" applyAlignment="1">
      <alignment horizontal="center" vertical="center"/>
    </xf>
    <xf numFmtId="0" fontId="37" fillId="12" borderId="0" xfId="0" applyFont="1" applyFill="1" applyAlignment="1">
      <alignment horizontal="center" vertical="center"/>
    </xf>
    <xf numFmtId="0" fontId="37" fillId="12" borderId="8" xfId="0" applyFont="1" applyFill="1" applyBorder="1" applyAlignment="1">
      <alignment horizontal="center" vertical="center"/>
    </xf>
    <xf numFmtId="0" fontId="0" fillId="16" borderId="0" xfId="0" applyFill="1" applyAlignment="1">
      <alignment horizontal="center"/>
    </xf>
    <xf numFmtId="0" fontId="37" fillId="18" borderId="45" xfId="0" applyFont="1" applyFill="1" applyBorder="1" applyAlignment="1">
      <alignment horizontal="center" vertical="center"/>
    </xf>
    <xf numFmtId="0" fontId="37" fillId="18" borderId="46" xfId="0" applyFont="1" applyFill="1" applyBorder="1" applyAlignment="1">
      <alignment horizontal="center" vertical="center"/>
    </xf>
    <xf numFmtId="0" fontId="37" fillId="18" borderId="47" xfId="0" applyFont="1" applyFill="1" applyBorder="1" applyAlignment="1">
      <alignment horizontal="center" vertical="center"/>
    </xf>
    <xf numFmtId="0" fontId="37" fillId="18" borderId="48" xfId="0" applyFont="1" applyFill="1" applyBorder="1" applyAlignment="1">
      <alignment horizontal="center" vertical="center"/>
    </xf>
    <xf numFmtId="0" fontId="37" fillId="18" borderId="0" xfId="0" applyFont="1" applyFill="1" applyBorder="1" applyAlignment="1">
      <alignment horizontal="center" vertical="center"/>
    </xf>
    <xf numFmtId="0" fontId="37" fillId="18" borderId="49" xfId="0" applyFont="1" applyFill="1" applyBorder="1" applyAlignment="1">
      <alignment horizontal="center" vertical="center"/>
    </xf>
    <xf numFmtId="0" fontId="37" fillId="18" borderId="50" xfId="0" applyFont="1" applyFill="1" applyBorder="1" applyAlignment="1">
      <alignment horizontal="center" vertical="center"/>
    </xf>
    <xf numFmtId="0" fontId="37" fillId="18" borderId="14" xfId="0" applyFont="1" applyFill="1" applyBorder="1" applyAlignment="1">
      <alignment horizontal="center" vertical="center"/>
    </xf>
    <xf numFmtId="0" fontId="37" fillId="18" borderId="51" xfId="0" applyFont="1" applyFill="1" applyBorder="1" applyAlignment="1">
      <alignment horizontal="center" vertical="center"/>
    </xf>
    <xf numFmtId="0" fontId="7" fillId="12" borderId="0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8" borderId="4" xfId="0" applyFont="1" applyFill="1" applyBorder="1" applyAlignment="1">
      <alignment horizontal="center" vertical="center"/>
    </xf>
    <xf numFmtId="0" fontId="7" fillId="18" borderId="5" xfId="0" applyFont="1" applyFill="1" applyBorder="1" applyAlignment="1">
      <alignment horizontal="center" vertical="center"/>
    </xf>
    <xf numFmtId="0" fontId="7" fillId="18" borderId="6" xfId="0" applyFont="1" applyFill="1" applyBorder="1" applyAlignment="1">
      <alignment horizontal="center" vertical="center"/>
    </xf>
    <xf numFmtId="0" fontId="7" fillId="18" borderId="7" xfId="0" applyFont="1" applyFill="1" applyBorder="1" applyAlignment="1">
      <alignment horizontal="center" vertical="center"/>
    </xf>
    <xf numFmtId="0" fontId="7" fillId="18" borderId="0" xfId="0" applyFont="1" applyFill="1" applyBorder="1" applyAlignment="1">
      <alignment horizontal="center" vertical="center"/>
    </xf>
    <xf numFmtId="0" fontId="7" fillId="18" borderId="8" xfId="0" applyFont="1" applyFill="1" applyBorder="1" applyAlignment="1">
      <alignment horizontal="center" vertical="center"/>
    </xf>
    <xf numFmtId="0" fontId="8" fillId="20" borderId="40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31" fillId="18" borderId="63" xfId="0" applyFont="1" applyFill="1" applyBorder="1" applyAlignment="1">
      <alignment horizontal="center" vertical="center"/>
    </xf>
    <xf numFmtId="0" fontId="31" fillId="18" borderId="64" xfId="0" applyFont="1" applyFill="1" applyBorder="1" applyAlignment="1">
      <alignment horizontal="center" vertical="center"/>
    </xf>
    <xf numFmtId="0" fontId="31" fillId="18" borderId="65" xfId="0" applyFont="1" applyFill="1" applyBorder="1" applyAlignment="1">
      <alignment horizontal="center" vertical="center"/>
    </xf>
    <xf numFmtId="0" fontId="31" fillId="18" borderId="63" xfId="0" applyFont="1" applyFill="1" applyBorder="1" applyAlignment="1">
      <alignment horizontal="center"/>
    </xf>
    <xf numFmtId="0" fontId="31" fillId="18" borderId="64" xfId="0" applyFont="1" applyFill="1" applyBorder="1" applyAlignment="1">
      <alignment horizontal="center"/>
    </xf>
    <xf numFmtId="0" fontId="31" fillId="18" borderId="65" xfId="0" applyFont="1" applyFill="1" applyBorder="1" applyAlignment="1">
      <alignment horizontal="center"/>
    </xf>
    <xf numFmtId="0" fontId="37" fillId="12" borderId="0" xfId="0" applyFont="1" applyFill="1" applyBorder="1" applyAlignment="1">
      <alignment horizontal="center" vertical="center"/>
    </xf>
    <xf numFmtId="0" fontId="20" fillId="18" borderId="4" xfId="0" applyFont="1" applyFill="1" applyBorder="1" applyAlignment="1">
      <alignment horizontal="center" vertical="center"/>
    </xf>
    <xf numFmtId="0" fontId="20" fillId="18" borderId="5" xfId="0" applyFont="1" applyFill="1" applyBorder="1" applyAlignment="1">
      <alignment horizontal="center" vertical="center"/>
    </xf>
    <xf numFmtId="0" fontId="20" fillId="18" borderId="6" xfId="0" applyFont="1" applyFill="1" applyBorder="1" applyAlignment="1">
      <alignment horizontal="center" vertical="center"/>
    </xf>
    <xf numFmtId="0" fontId="20" fillId="18" borderId="7" xfId="0" applyFont="1" applyFill="1" applyBorder="1" applyAlignment="1">
      <alignment horizontal="center" vertical="center"/>
    </xf>
    <xf numFmtId="0" fontId="20" fillId="18" borderId="0" xfId="0" applyFont="1" applyFill="1" applyBorder="1" applyAlignment="1">
      <alignment horizontal="center" vertical="center"/>
    </xf>
    <xf numFmtId="0" fontId="20" fillId="18" borderId="8" xfId="0" applyFont="1" applyFill="1" applyBorder="1" applyAlignment="1">
      <alignment horizontal="center" vertical="center"/>
    </xf>
    <xf numFmtId="0" fontId="37" fillId="18" borderId="4" xfId="0" applyFont="1" applyFill="1" applyBorder="1" applyAlignment="1">
      <alignment horizontal="center" vertical="center"/>
    </xf>
    <xf numFmtId="0" fontId="37" fillId="18" borderId="5" xfId="0" applyFont="1" applyFill="1" applyBorder="1" applyAlignment="1">
      <alignment horizontal="center" vertical="center"/>
    </xf>
    <xf numFmtId="0" fontId="37" fillId="18" borderId="6" xfId="0" applyFont="1" applyFill="1" applyBorder="1" applyAlignment="1">
      <alignment horizontal="center" vertical="center"/>
    </xf>
    <xf numFmtId="0" fontId="37" fillId="18" borderId="7" xfId="0" applyFont="1" applyFill="1" applyBorder="1" applyAlignment="1">
      <alignment horizontal="center" vertical="center"/>
    </xf>
    <xf numFmtId="0" fontId="37" fillId="18" borderId="8" xfId="0" applyFont="1" applyFill="1" applyBorder="1" applyAlignment="1">
      <alignment horizontal="center" vertical="center"/>
    </xf>
    <xf numFmtId="0" fontId="7" fillId="18" borderId="21" xfId="0" applyFont="1" applyFill="1" applyBorder="1" applyAlignment="1">
      <alignment horizontal="center" vertical="center"/>
    </xf>
    <xf numFmtId="0" fontId="7" fillId="18" borderId="14" xfId="0" applyFont="1" applyFill="1" applyBorder="1" applyAlignment="1">
      <alignment horizontal="center" vertical="center"/>
    </xf>
    <xf numFmtId="0" fontId="7" fillId="18" borderId="22" xfId="0" applyFont="1" applyFill="1" applyBorder="1" applyAlignment="1">
      <alignment horizontal="center" vertical="center"/>
    </xf>
    <xf numFmtId="0" fontId="20" fillId="8" borderId="23" xfId="0" applyFont="1" applyFill="1" applyBorder="1" applyAlignment="1">
      <alignment horizontal="center" vertical="center"/>
    </xf>
    <xf numFmtId="0" fontId="20" fillId="8" borderId="19" xfId="0" applyFont="1" applyFill="1" applyBorder="1" applyAlignment="1">
      <alignment horizontal="center" vertical="center"/>
    </xf>
    <xf numFmtId="0" fontId="20" fillId="8" borderId="16" xfId="0" applyFont="1" applyFill="1" applyBorder="1" applyAlignment="1">
      <alignment horizontal="center" vertical="center"/>
    </xf>
    <xf numFmtId="0" fontId="20" fillId="8" borderId="24" xfId="0" applyFont="1" applyFill="1" applyBorder="1" applyAlignment="1">
      <alignment horizontal="center" vertical="center"/>
    </xf>
    <xf numFmtId="0" fontId="44" fillId="2" borderId="17" xfId="0" applyFont="1" applyFill="1" applyBorder="1" applyAlignment="1">
      <alignment horizontal="center" vertical="center"/>
    </xf>
    <xf numFmtId="0" fontId="44" fillId="2" borderId="19" xfId="0" applyFont="1" applyFill="1" applyBorder="1" applyAlignment="1">
      <alignment horizontal="center" vertical="center"/>
    </xf>
    <xf numFmtId="0" fontId="44" fillId="2" borderId="24" xfId="0" applyFont="1" applyFill="1" applyBorder="1" applyAlignment="1">
      <alignment horizontal="center" vertical="center"/>
    </xf>
    <xf numFmtId="0" fontId="44" fillId="2" borderId="18" xfId="0" applyFont="1" applyFill="1" applyBorder="1" applyAlignment="1">
      <alignment horizontal="center" vertical="center"/>
    </xf>
    <xf numFmtId="0" fontId="44" fillId="2" borderId="12" xfId="0" applyFont="1" applyFill="1" applyBorder="1" applyAlignment="1">
      <alignment horizontal="center" vertical="center"/>
    </xf>
    <xf numFmtId="0" fontId="44" fillId="2" borderId="26" xfId="0" applyFont="1" applyFill="1" applyBorder="1" applyAlignment="1">
      <alignment horizontal="center" vertical="center"/>
    </xf>
    <xf numFmtId="0" fontId="44" fillId="2" borderId="28" xfId="0" applyFont="1" applyFill="1" applyBorder="1" applyAlignment="1">
      <alignment horizontal="center" vertical="center"/>
    </xf>
    <xf numFmtId="0" fontId="44" fillId="2" borderId="29" xfId="0" applyFont="1" applyFill="1" applyBorder="1" applyAlignment="1">
      <alignment horizontal="center" vertical="center"/>
    </xf>
    <xf numFmtId="0" fontId="44" fillId="2" borderId="30" xfId="0" applyFont="1" applyFill="1" applyBorder="1" applyAlignment="1">
      <alignment horizontal="center" vertical="center"/>
    </xf>
    <xf numFmtId="0" fontId="37" fillId="5" borderId="4" xfId="0" applyFont="1" applyFill="1" applyBorder="1" applyAlignment="1">
      <alignment horizontal="center" vertical="center"/>
    </xf>
    <xf numFmtId="0" fontId="37" fillId="5" borderId="5" xfId="0" applyFont="1" applyFill="1" applyBorder="1" applyAlignment="1">
      <alignment horizontal="center" vertical="center"/>
    </xf>
    <xf numFmtId="0" fontId="37" fillId="5" borderId="6" xfId="0" applyFont="1" applyFill="1" applyBorder="1" applyAlignment="1">
      <alignment horizontal="center" vertical="center"/>
    </xf>
    <xf numFmtId="0" fontId="37" fillId="5" borderId="21" xfId="0" applyFont="1" applyFill="1" applyBorder="1" applyAlignment="1">
      <alignment horizontal="center" vertical="center"/>
    </xf>
    <xf numFmtId="0" fontId="37" fillId="5" borderId="14" xfId="0" applyFont="1" applyFill="1" applyBorder="1" applyAlignment="1">
      <alignment horizontal="center" vertical="center"/>
    </xf>
    <xf numFmtId="0" fontId="37" fillId="5" borderId="22" xfId="0" applyFont="1" applyFill="1" applyBorder="1" applyAlignment="1">
      <alignment horizontal="center" vertical="center"/>
    </xf>
    <xf numFmtId="0" fontId="46" fillId="3" borderId="13" xfId="0" applyFont="1" applyFill="1" applyBorder="1" applyAlignment="1">
      <alignment horizontal="center" vertical="center"/>
    </xf>
    <xf numFmtId="0" fontId="46" fillId="3" borderId="2" xfId="0" applyFont="1" applyFill="1" applyBorder="1" applyAlignment="1">
      <alignment horizontal="center" vertical="center"/>
    </xf>
    <xf numFmtId="0" fontId="37" fillId="4" borderId="4" xfId="0" applyFont="1" applyFill="1" applyBorder="1" applyAlignment="1">
      <alignment horizontal="center" vertical="center"/>
    </xf>
    <xf numFmtId="0" fontId="37" fillId="4" borderId="5" xfId="0" applyFont="1" applyFill="1" applyBorder="1" applyAlignment="1">
      <alignment horizontal="center" vertical="center"/>
    </xf>
    <xf numFmtId="0" fontId="37" fillId="4" borderId="6" xfId="0" applyFont="1" applyFill="1" applyBorder="1" applyAlignment="1">
      <alignment horizontal="center" vertical="center"/>
    </xf>
    <xf numFmtId="0" fontId="37" fillId="4" borderId="21" xfId="0" applyFont="1" applyFill="1" applyBorder="1" applyAlignment="1">
      <alignment horizontal="center" vertical="center"/>
    </xf>
    <xf numFmtId="0" fontId="37" fillId="4" borderId="14" xfId="0" applyFont="1" applyFill="1" applyBorder="1" applyAlignment="1">
      <alignment horizontal="center" vertical="center"/>
    </xf>
    <xf numFmtId="0" fontId="37" fillId="4" borderId="22" xfId="0" applyFont="1" applyFill="1" applyBorder="1" applyAlignment="1">
      <alignment horizontal="center" vertical="center"/>
    </xf>
    <xf numFmtId="0" fontId="33" fillId="9" borderId="31" xfId="0" applyFont="1" applyFill="1" applyBorder="1" applyAlignment="1">
      <alignment horizontal="center" vertical="center"/>
    </xf>
    <xf numFmtId="0" fontId="33" fillId="9" borderId="15" xfId="0" applyFont="1" applyFill="1" applyBorder="1" applyAlignment="1">
      <alignment horizontal="center" vertical="center"/>
    </xf>
    <xf numFmtId="0" fontId="33" fillId="9" borderId="21" xfId="0" applyFont="1" applyFill="1" applyBorder="1" applyAlignment="1">
      <alignment horizontal="center" vertical="center"/>
    </xf>
    <xf numFmtId="0" fontId="33" fillId="9" borderId="3" xfId="0" applyFont="1" applyFill="1" applyBorder="1" applyAlignment="1">
      <alignment horizontal="center" vertical="center"/>
    </xf>
    <xf numFmtId="0" fontId="20" fillId="8" borderId="25" xfId="0" applyFont="1" applyFill="1" applyBorder="1" applyAlignment="1">
      <alignment horizontal="center" vertical="center"/>
    </xf>
    <xf numFmtId="0" fontId="20" fillId="8" borderId="27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47" fillId="10" borderId="7" xfId="0" applyFont="1" applyFill="1" applyBorder="1" applyAlignment="1">
      <alignment horizontal="center" vertical="center"/>
    </xf>
    <xf numFmtId="0" fontId="47" fillId="10" borderId="20" xfId="0" applyFont="1" applyFill="1" applyBorder="1" applyAlignment="1">
      <alignment horizontal="center" vertical="center"/>
    </xf>
    <xf numFmtId="0" fontId="45" fillId="10" borderId="7" xfId="0" applyFont="1" applyFill="1" applyBorder="1"/>
    <xf numFmtId="0" fontId="46" fillId="10" borderId="0" xfId="0" applyFont="1" applyFill="1" applyAlignment="1">
      <alignment horizontal="center" vertical="center"/>
    </xf>
    <xf numFmtId="0" fontId="46" fillId="10" borderId="7" xfId="0" applyFont="1" applyFill="1" applyBorder="1" applyAlignment="1">
      <alignment vertical="center"/>
    </xf>
    <xf numFmtId="0" fontId="6" fillId="11" borderId="0" xfId="0" applyFont="1" applyFill="1" applyAlignment="1">
      <alignment horizontal="left" vertical="center"/>
    </xf>
  </cellXfs>
  <cellStyles count="4">
    <cellStyle name="Hiperlink" xfId="2" builtinId="8"/>
    <cellStyle name="Hyperlink" xfId="1" xr:uid="{00000000-000B-0000-0000-000008000000}"/>
    <cellStyle name="Moeda 2" xfId="3" xr:uid="{168EC4E4-4ACA-488B-BA7F-0FCC7F054CAC}"/>
    <cellStyle name="Normal" xfId="0" builtinId="0"/>
  </cellStyles>
  <dxfs count="0"/>
  <tableStyles count="0" defaultTableStyle="TableStyleMedium2" defaultPivotStyle="PivotStyleLight16"/>
  <colors>
    <mruColors>
      <color rgb="FF3D5B7A"/>
      <color rgb="FF3A5775"/>
      <color rgb="FF8EA9DB"/>
      <color rgb="FF212121"/>
      <color rgb="FF3D597A"/>
      <color rgb="FF202020"/>
      <color rgb="FF1C1C1C"/>
      <color rgb="FF171717"/>
      <color rgb="FFD0CECE"/>
      <color rgb="FFF13F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13" Type="http://schemas.openxmlformats.org/officeDocument/2006/relationships/image" Target="../media/image8.png"/><Relationship Id="rId18" Type="http://schemas.microsoft.com/office/2007/relationships/hdphoto" Target="../media/hdphoto8.wdp"/><Relationship Id="rId3" Type="http://schemas.microsoft.com/office/2007/relationships/hdphoto" Target="../media/hdphoto1.wdp"/><Relationship Id="rId21" Type="http://schemas.microsoft.com/office/2007/relationships/hdphoto" Target="../media/hdphoto9.wdp"/><Relationship Id="rId7" Type="http://schemas.openxmlformats.org/officeDocument/2006/relationships/image" Target="../media/image5.png"/><Relationship Id="rId12" Type="http://schemas.microsoft.com/office/2007/relationships/hdphoto" Target="../media/hdphoto5.wdp"/><Relationship Id="rId17" Type="http://schemas.openxmlformats.org/officeDocument/2006/relationships/image" Target="../media/image10.png"/><Relationship Id="rId2" Type="http://schemas.openxmlformats.org/officeDocument/2006/relationships/image" Target="../media/image3.png"/><Relationship Id="rId16" Type="http://schemas.microsoft.com/office/2007/relationships/hdphoto" Target="../media/hdphoto7.wdp"/><Relationship Id="rId20" Type="http://schemas.openxmlformats.org/officeDocument/2006/relationships/image" Target="../media/image12.png"/><Relationship Id="rId1" Type="http://schemas.openxmlformats.org/officeDocument/2006/relationships/hyperlink" Target="#Home!A1"/><Relationship Id="rId6" Type="http://schemas.microsoft.com/office/2007/relationships/hdphoto" Target="../media/hdphoto2.wdp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10" Type="http://schemas.microsoft.com/office/2007/relationships/hdphoto" Target="../media/hdphoto4.wdp"/><Relationship Id="rId19" Type="http://schemas.openxmlformats.org/officeDocument/2006/relationships/image" Target="../media/image11.png"/><Relationship Id="rId4" Type="http://schemas.openxmlformats.org/officeDocument/2006/relationships/hyperlink" Target="#Produ&#231;&#227;o!A1"/><Relationship Id="rId9" Type="http://schemas.openxmlformats.org/officeDocument/2006/relationships/image" Target="../media/image6.png"/><Relationship Id="rId14" Type="http://schemas.microsoft.com/office/2007/relationships/hdphoto" Target="../media/hdphoto6.wdp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0.png"/><Relationship Id="rId3" Type="http://schemas.openxmlformats.org/officeDocument/2006/relationships/image" Target="../media/image3.png"/><Relationship Id="rId21" Type="http://schemas.microsoft.com/office/2007/relationships/hdphoto" Target="../media/hdphoto10.wdp"/><Relationship Id="rId7" Type="http://schemas.microsoft.com/office/2007/relationships/hdphoto" Target="../media/hdphoto2.wdp"/><Relationship Id="rId12" Type="http://schemas.openxmlformats.org/officeDocument/2006/relationships/image" Target="../media/image7.png"/><Relationship Id="rId17" Type="http://schemas.microsoft.com/office/2007/relationships/hdphoto" Target="../media/hdphoto7.wdp"/><Relationship Id="rId2" Type="http://schemas.openxmlformats.org/officeDocument/2006/relationships/hyperlink" Target="#Home!A1"/><Relationship Id="rId16" Type="http://schemas.openxmlformats.org/officeDocument/2006/relationships/image" Target="../media/image9.png"/><Relationship Id="rId20" Type="http://schemas.openxmlformats.org/officeDocument/2006/relationships/image" Target="../media/image13.png"/><Relationship Id="rId1" Type="http://schemas.openxmlformats.org/officeDocument/2006/relationships/image" Target="../media/image11.png"/><Relationship Id="rId6" Type="http://schemas.openxmlformats.org/officeDocument/2006/relationships/image" Target="../media/image4.png"/><Relationship Id="rId11" Type="http://schemas.microsoft.com/office/2007/relationships/hdphoto" Target="../media/hdphoto4.wdp"/><Relationship Id="rId5" Type="http://schemas.openxmlformats.org/officeDocument/2006/relationships/hyperlink" Target="#Produ&#231;&#227;o!A1"/><Relationship Id="rId15" Type="http://schemas.microsoft.com/office/2007/relationships/hdphoto" Target="../media/hdphoto6.wdp"/><Relationship Id="rId10" Type="http://schemas.openxmlformats.org/officeDocument/2006/relationships/image" Target="../media/image6.png"/><Relationship Id="rId19" Type="http://schemas.microsoft.com/office/2007/relationships/hdphoto" Target="../media/hdphoto8.wdp"/><Relationship Id="rId4" Type="http://schemas.microsoft.com/office/2007/relationships/hdphoto" Target="../media/hdphoto1.wdp"/><Relationship Id="rId9" Type="http://schemas.microsoft.com/office/2007/relationships/hdphoto" Target="../media/hdphoto3.wdp"/><Relationship Id="rId1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5.png"/><Relationship Id="rId18" Type="http://schemas.microsoft.com/office/2007/relationships/hdphoto" Target="../media/hdphoto13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4.png"/><Relationship Id="rId12" Type="http://schemas.microsoft.com/office/2007/relationships/hdphoto" Target="../media/hdphoto4.wdp"/><Relationship Id="rId17" Type="http://schemas.openxmlformats.org/officeDocument/2006/relationships/image" Target="../media/image16.png"/><Relationship Id="rId2" Type="http://schemas.microsoft.com/office/2007/relationships/hdphoto" Target="../media/hdphoto11.wdp"/><Relationship Id="rId16" Type="http://schemas.microsoft.com/office/2007/relationships/hdphoto" Target="../media/hdphoto6.wdp"/><Relationship Id="rId20" Type="http://schemas.microsoft.com/office/2007/relationships/hdphoto" Target="../media/hdphoto14.wdp"/><Relationship Id="rId1" Type="http://schemas.openxmlformats.org/officeDocument/2006/relationships/image" Target="../media/image14.png"/><Relationship Id="rId6" Type="http://schemas.openxmlformats.org/officeDocument/2006/relationships/hyperlink" Target="#Produ&#231;&#227;o!A1"/><Relationship Id="rId11" Type="http://schemas.openxmlformats.org/officeDocument/2006/relationships/image" Target="../media/image6.png"/><Relationship Id="rId5" Type="http://schemas.microsoft.com/office/2007/relationships/hdphoto" Target="../media/hdphoto1.wdp"/><Relationship Id="rId15" Type="http://schemas.openxmlformats.org/officeDocument/2006/relationships/image" Target="../media/image8.png"/><Relationship Id="rId10" Type="http://schemas.microsoft.com/office/2007/relationships/hdphoto" Target="../media/hdphoto3.wdp"/><Relationship Id="rId19" Type="http://schemas.openxmlformats.org/officeDocument/2006/relationships/image" Target="../media/image17.png"/><Relationship Id="rId4" Type="http://schemas.openxmlformats.org/officeDocument/2006/relationships/image" Target="../media/image3.png"/><Relationship Id="rId9" Type="http://schemas.openxmlformats.org/officeDocument/2006/relationships/image" Target="../media/image5.png"/><Relationship Id="rId14" Type="http://schemas.microsoft.com/office/2007/relationships/hdphoto" Target="../media/hdphoto12.wdp"/></Relationships>
</file>

<file path=xl/drawings/_rels/drawing5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5.png"/><Relationship Id="rId18" Type="http://schemas.microsoft.com/office/2007/relationships/hdphoto" Target="../media/hdphoto13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4.png"/><Relationship Id="rId12" Type="http://schemas.microsoft.com/office/2007/relationships/hdphoto" Target="../media/hdphoto4.wdp"/><Relationship Id="rId17" Type="http://schemas.openxmlformats.org/officeDocument/2006/relationships/image" Target="../media/image16.png"/><Relationship Id="rId2" Type="http://schemas.microsoft.com/office/2007/relationships/hdphoto" Target="../media/hdphoto11.wdp"/><Relationship Id="rId16" Type="http://schemas.microsoft.com/office/2007/relationships/hdphoto" Target="../media/hdphoto15.wdp"/><Relationship Id="rId20" Type="http://schemas.microsoft.com/office/2007/relationships/hdphoto" Target="../media/hdphoto14.wdp"/><Relationship Id="rId1" Type="http://schemas.openxmlformats.org/officeDocument/2006/relationships/image" Target="../media/image14.png"/><Relationship Id="rId6" Type="http://schemas.openxmlformats.org/officeDocument/2006/relationships/hyperlink" Target="#Produ&#231;&#227;o!A1"/><Relationship Id="rId11" Type="http://schemas.openxmlformats.org/officeDocument/2006/relationships/image" Target="../media/image6.png"/><Relationship Id="rId5" Type="http://schemas.microsoft.com/office/2007/relationships/hdphoto" Target="../media/hdphoto1.wdp"/><Relationship Id="rId15" Type="http://schemas.openxmlformats.org/officeDocument/2006/relationships/image" Target="../media/image18.png"/><Relationship Id="rId10" Type="http://schemas.microsoft.com/office/2007/relationships/hdphoto" Target="../media/hdphoto3.wdp"/><Relationship Id="rId19" Type="http://schemas.openxmlformats.org/officeDocument/2006/relationships/image" Target="../media/image17.png"/><Relationship Id="rId4" Type="http://schemas.openxmlformats.org/officeDocument/2006/relationships/image" Target="../media/image3.png"/><Relationship Id="rId9" Type="http://schemas.openxmlformats.org/officeDocument/2006/relationships/image" Target="../media/image5.png"/><Relationship Id="rId14" Type="http://schemas.microsoft.com/office/2007/relationships/hdphoto" Target="../media/hdphoto12.wdp"/></Relationships>
</file>

<file path=xl/drawings/_rels/drawing6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5.png"/><Relationship Id="rId18" Type="http://schemas.microsoft.com/office/2007/relationships/hdphoto" Target="../media/hdphoto13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4.png"/><Relationship Id="rId12" Type="http://schemas.microsoft.com/office/2007/relationships/hdphoto" Target="../media/hdphoto4.wdp"/><Relationship Id="rId17" Type="http://schemas.openxmlformats.org/officeDocument/2006/relationships/image" Target="../media/image16.png"/><Relationship Id="rId2" Type="http://schemas.microsoft.com/office/2007/relationships/hdphoto" Target="../media/hdphoto11.wdp"/><Relationship Id="rId16" Type="http://schemas.microsoft.com/office/2007/relationships/hdphoto" Target="../media/hdphoto15.wdp"/><Relationship Id="rId20" Type="http://schemas.microsoft.com/office/2007/relationships/hdphoto" Target="../media/hdphoto14.wdp"/><Relationship Id="rId1" Type="http://schemas.openxmlformats.org/officeDocument/2006/relationships/image" Target="../media/image14.png"/><Relationship Id="rId6" Type="http://schemas.openxmlformats.org/officeDocument/2006/relationships/hyperlink" Target="#Produ&#231;&#227;o!A1"/><Relationship Id="rId11" Type="http://schemas.openxmlformats.org/officeDocument/2006/relationships/image" Target="../media/image6.png"/><Relationship Id="rId5" Type="http://schemas.microsoft.com/office/2007/relationships/hdphoto" Target="../media/hdphoto1.wdp"/><Relationship Id="rId15" Type="http://schemas.openxmlformats.org/officeDocument/2006/relationships/image" Target="../media/image18.png"/><Relationship Id="rId10" Type="http://schemas.microsoft.com/office/2007/relationships/hdphoto" Target="../media/hdphoto3.wdp"/><Relationship Id="rId19" Type="http://schemas.openxmlformats.org/officeDocument/2006/relationships/image" Target="../media/image17.png"/><Relationship Id="rId4" Type="http://schemas.openxmlformats.org/officeDocument/2006/relationships/image" Target="../media/image3.png"/><Relationship Id="rId9" Type="http://schemas.openxmlformats.org/officeDocument/2006/relationships/image" Target="../media/image5.png"/><Relationship Id="rId14" Type="http://schemas.microsoft.com/office/2007/relationships/hdphoto" Target="../media/hdphoto12.wdp"/></Relationships>
</file>

<file path=xl/drawings/_rels/drawing7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0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8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0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9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0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0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0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1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0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2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0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3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3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9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8.png"/><Relationship Id="rId14" Type="http://schemas.microsoft.com/office/2007/relationships/hdphoto" Target="../media/hdphoto19.wdp"/></Relationships>
</file>

<file path=xl/drawings/_rels/drawing14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3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9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8.png"/><Relationship Id="rId14" Type="http://schemas.microsoft.com/office/2007/relationships/hdphoto" Target="../media/hdphoto19.wdp"/></Relationships>
</file>

<file path=xl/drawings/_rels/drawing15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3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0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6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4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1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7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3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0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8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3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0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9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5.wdp"/><Relationship Id="rId17" Type="http://schemas.openxmlformats.org/officeDocument/2006/relationships/image" Target="../media/image34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0.xml.rels><?xml version="1.0" encoding="UTF-8" standalone="yes"?>
<Relationships xmlns="http://schemas.openxmlformats.org/package/2006/relationships"><Relationship Id="rId8" Type="http://schemas.microsoft.com/office/2007/relationships/hdphoto" Target="../media/hdphoto28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36.png"/><Relationship Id="rId12" Type="http://schemas.microsoft.com/office/2007/relationships/hdphoto" Target="../media/hdphoto25.wdp"/><Relationship Id="rId17" Type="http://schemas.openxmlformats.org/officeDocument/2006/relationships/image" Target="../media/image34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1.xml.rels><?xml version="1.0" encoding="UTF-8" standalone="yes"?>
<Relationships xmlns="http://schemas.openxmlformats.org/package/2006/relationships"><Relationship Id="rId8" Type="http://schemas.microsoft.com/office/2007/relationships/hdphoto" Target="../media/hdphoto28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36.png"/><Relationship Id="rId12" Type="http://schemas.microsoft.com/office/2007/relationships/hdphoto" Target="../media/hdphoto25.wdp"/><Relationship Id="rId17" Type="http://schemas.openxmlformats.org/officeDocument/2006/relationships/image" Target="../media/image34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2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37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3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37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4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37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5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37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6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5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2.png"/><Relationship Id="rId5" Type="http://schemas.microsoft.com/office/2007/relationships/hdphoto" Target="../media/hdphoto1.wdp"/><Relationship Id="rId15" Type="http://schemas.openxmlformats.org/officeDocument/2006/relationships/image" Target="../media/image37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7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8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28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23" Type="http://schemas.microsoft.com/office/2007/relationships/hdphoto" Target="../media/hdphoto10.wdp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Relationship Id="rId22" Type="http://schemas.openxmlformats.org/officeDocument/2006/relationships/image" Target="../media/image3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266700</xdr:colOff>
      <xdr:row>0</xdr:row>
      <xdr:rowOff>95250</xdr:rowOff>
    </xdr:from>
    <xdr:to>
      <xdr:col>31</xdr:col>
      <xdr:colOff>514350</xdr:colOff>
      <xdr:row>0</xdr:row>
      <xdr:rowOff>762000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AD69FCF3-1DA2-47EC-9F09-304C9D0E1885}"/>
            </a:ext>
            <a:ext uri="{147F2762-F138-4A5C-976F-8EAC2B608ADB}">
              <a16:predDERef xmlns:a16="http://schemas.microsoft.com/office/drawing/2014/main" pred="{1A271014-B2D8-45B4-B4B0-3B0A451723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1896" b="31628"/>
        <a:stretch/>
      </xdr:blipFill>
      <xdr:spPr>
        <a:xfrm>
          <a:off x="16725900" y="95250"/>
          <a:ext cx="2686050" cy="666750"/>
        </a:xfrm>
        <a:prstGeom prst="rect">
          <a:avLst/>
        </a:prstGeom>
      </xdr:spPr>
    </xdr:pic>
    <xdr:clientData/>
  </xdr:twoCellAnchor>
  <xdr:twoCellAnchor>
    <xdr:from>
      <xdr:col>14</xdr:col>
      <xdr:colOff>243840</xdr:colOff>
      <xdr:row>0</xdr:row>
      <xdr:rowOff>691749</xdr:rowOff>
    </xdr:from>
    <xdr:to>
      <xdr:col>45</xdr:col>
      <xdr:colOff>182297</xdr:colOff>
      <xdr:row>76</xdr:row>
      <xdr:rowOff>2543080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4DC50336-6207-48CC-B652-28021BA5AAA2}"/>
            </a:ext>
          </a:extLst>
        </xdr:cNvPr>
        <xdr:cNvGrpSpPr/>
      </xdr:nvGrpSpPr>
      <xdr:grpSpPr>
        <a:xfrm>
          <a:off x="8778240" y="691749"/>
          <a:ext cx="18836057" cy="17319931"/>
          <a:chOff x="8778240" y="691749"/>
          <a:chExt cx="18836057" cy="17319931"/>
        </a:xfrm>
      </xdr:grpSpPr>
      <xdr:pic>
        <xdr:nvPicPr>
          <xdr:cNvPr id="9" name="Imagem 8">
            <a:extLst>
              <a:ext uri="{FF2B5EF4-FFF2-40B4-BE49-F238E27FC236}">
                <a16:creationId xmlns:a16="http://schemas.microsoft.com/office/drawing/2014/main" id="{1A271014-B2D8-45B4-B4B0-3B0A45172369}"/>
              </a:ext>
              <a:ext uri="{147F2762-F138-4A5C-976F-8EAC2B608ADB}">
                <a16:predDERef xmlns:a16="http://schemas.microsoft.com/office/drawing/2014/main" pred="{45AAF0B4-637A-42E1-B7D2-A6E46851A7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330773" y="691749"/>
            <a:ext cx="11730990" cy="12432269"/>
          </a:xfrm>
          <a:prstGeom prst="rect">
            <a:avLst/>
          </a:prstGeom>
        </xdr:spPr>
      </xdr:pic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511367E3-8F60-4615-B9E2-D76D9B6A4A1B}"/>
              </a:ext>
            </a:extLst>
          </xdr:cNvPr>
          <xdr:cNvGrpSpPr/>
        </xdr:nvGrpSpPr>
        <xdr:grpSpPr>
          <a:xfrm>
            <a:off x="8778240" y="12809825"/>
            <a:ext cx="18836057" cy="5201855"/>
            <a:chOff x="9753600" y="12480070"/>
            <a:chExt cx="18836057" cy="5150610"/>
          </a:xfrm>
        </xdr:grpSpPr>
        <xdr:sp macro="" textlink="">
          <xdr:nvSpPr>
            <xdr:cNvPr id="2" name="Retângulo 1">
              <a:extLst>
                <a:ext uri="{FF2B5EF4-FFF2-40B4-BE49-F238E27FC236}">
                  <a16:creationId xmlns:a16="http://schemas.microsoft.com/office/drawing/2014/main" id="{A27A1621-AD33-48E5-89E5-B6102C9218FB}"/>
                </a:ext>
                <a:ext uri="{147F2762-F138-4A5C-976F-8EAC2B608ADB}">
                  <a16:predDERef xmlns:a16="http://schemas.microsoft.com/office/drawing/2014/main" pred="{AD69FCF3-1DA2-47EC-9F09-304C9D0E1885}"/>
                </a:ext>
              </a:extLst>
            </xdr:cNvPr>
            <xdr:cNvSpPr/>
          </xdr:nvSpPr>
          <xdr:spPr>
            <a:xfrm>
              <a:off x="9753600" y="12480070"/>
              <a:ext cx="4815257" cy="12067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sp macro="" textlink="">
          <xdr:nvSpPr>
            <xdr:cNvPr id="6" name="Retângulo 5">
              <a:extLst>
                <a:ext uri="{FF2B5EF4-FFF2-40B4-BE49-F238E27FC236}">
                  <a16:creationId xmlns:a16="http://schemas.microsoft.com/office/drawing/2014/main" id="{3363B077-DCDF-4B4E-A3A8-52F50972E801}"/>
                </a:ext>
              </a:extLst>
            </xdr:cNvPr>
            <xdr:cNvSpPr/>
          </xdr:nvSpPr>
          <xdr:spPr>
            <a:xfrm>
              <a:off x="16764000" y="12483880"/>
              <a:ext cx="4815257" cy="119909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LOGISTICA</a:t>
              </a:r>
            </a:p>
          </xdr:txBody>
        </xdr:sp>
        <xdr:sp macro="" textlink="">
          <xdr:nvSpPr>
            <xdr:cNvPr id="7" name="Retângulo 6">
              <a:extLst>
                <a:ext uri="{FF2B5EF4-FFF2-40B4-BE49-F238E27FC236}">
                  <a16:creationId xmlns:a16="http://schemas.microsoft.com/office/drawing/2014/main" id="{F85E8954-78EF-4B2D-BBED-94A436E7D4D0}"/>
                </a:ext>
              </a:extLst>
            </xdr:cNvPr>
            <xdr:cNvSpPr/>
          </xdr:nvSpPr>
          <xdr:spPr>
            <a:xfrm>
              <a:off x="9753600" y="14384018"/>
              <a:ext cx="4815257" cy="122809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sp macro="" textlink="">
          <xdr:nvSpPr>
            <xdr:cNvPr id="8" name="Retângulo 7">
              <a:extLst>
                <a:ext uri="{FF2B5EF4-FFF2-40B4-BE49-F238E27FC236}">
                  <a16:creationId xmlns:a16="http://schemas.microsoft.com/office/drawing/2014/main" id="{F6759180-4857-4EE9-8789-D8F31EA8B3E6}"/>
                </a:ext>
              </a:extLst>
            </xdr:cNvPr>
            <xdr:cNvSpPr/>
          </xdr:nvSpPr>
          <xdr:spPr>
            <a:xfrm>
              <a:off x="167640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sp macro="" textlink="">
          <xdr:nvSpPr>
            <xdr:cNvPr id="10" name="Retângulo 9">
              <a:extLst>
                <a:ext uri="{FF2B5EF4-FFF2-40B4-BE49-F238E27FC236}">
                  <a16:creationId xmlns:a16="http://schemas.microsoft.com/office/drawing/2014/main" id="{9CADF97B-1A34-49F5-99DD-83EA451C57DC}"/>
                </a:ext>
              </a:extLst>
            </xdr:cNvPr>
            <xdr:cNvSpPr/>
          </xdr:nvSpPr>
          <xdr:spPr>
            <a:xfrm>
              <a:off x="23774400" y="12488468"/>
              <a:ext cx="4815257" cy="1189923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sp macro="" textlink="">
          <xdr:nvSpPr>
            <xdr:cNvPr id="12" name="Retângulo 11">
              <a:extLst>
                <a:ext uri="{FF2B5EF4-FFF2-40B4-BE49-F238E27FC236}">
                  <a16:creationId xmlns:a16="http://schemas.microsoft.com/office/drawing/2014/main" id="{39E58D9A-D3C6-44CA-863A-BE15222A48E2}"/>
                </a:ext>
              </a:extLst>
            </xdr:cNvPr>
            <xdr:cNvSpPr/>
          </xdr:nvSpPr>
          <xdr:spPr>
            <a:xfrm>
              <a:off x="237744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sp macro="" textlink="">
          <xdr:nvSpPr>
            <xdr:cNvPr id="13" name="Retângulo 12">
              <a:extLst>
                <a:ext uri="{FF2B5EF4-FFF2-40B4-BE49-F238E27FC236}">
                  <a16:creationId xmlns:a16="http://schemas.microsoft.com/office/drawing/2014/main" id="{975C4812-9CB2-4690-BF00-90C779BCD6B5}"/>
                </a:ext>
              </a:extLst>
            </xdr:cNvPr>
            <xdr:cNvSpPr/>
          </xdr:nvSpPr>
          <xdr:spPr>
            <a:xfrm>
              <a:off x="16764000" y="16411762"/>
              <a:ext cx="4815257" cy="12189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</xdr:grpSp>
    </xdr:grpSp>
    <xdr:clientData/>
  </xdr:twoCellAnchor>
  <xdr:twoCellAnchor>
    <xdr:from>
      <xdr:col>0</xdr:col>
      <xdr:colOff>55420</xdr:colOff>
      <xdr:row>1</xdr:row>
      <xdr:rowOff>55420</xdr:rowOff>
    </xdr:from>
    <xdr:to>
      <xdr:col>0</xdr:col>
      <xdr:colOff>512620</xdr:colOff>
      <xdr:row>1</xdr:row>
      <xdr:rowOff>512620</xdr:rowOff>
    </xdr:to>
    <xdr:sp macro="[0]!BotaoComLogin" textlink="">
      <xdr:nvSpPr>
        <xdr:cNvPr id="15" name="Círculo: Vazio 14">
          <a:extLst>
            <a:ext uri="{FF2B5EF4-FFF2-40B4-BE49-F238E27FC236}">
              <a16:creationId xmlns:a16="http://schemas.microsoft.com/office/drawing/2014/main" id="{712F380D-EDC3-4A67-AE6E-466806333055}"/>
            </a:ext>
          </a:extLst>
        </xdr:cNvPr>
        <xdr:cNvSpPr/>
      </xdr:nvSpPr>
      <xdr:spPr>
        <a:xfrm>
          <a:off x="55420" y="831275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0B25C55-E74E-48A4-82A6-4D0589666D12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1990723" y="0"/>
          <a:ext cx="1021618" cy="781050"/>
          <a:chOff x="1993654" y="0"/>
          <a:chExt cx="1022595" cy="781538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9E8C459F-EE69-4FF8-B46C-B1A0D0B395DC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9A9AAB4-713C-4DC9-B950-AC7C81E671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B1AE6ED-000B-4416-92CD-EFB3AEC6381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688043</xdr:colOff>
      <xdr:row>0</xdr:row>
      <xdr:rowOff>0</xdr:rowOff>
    </xdr:from>
    <xdr:to>
      <xdr:col>4</xdr:col>
      <xdr:colOff>1801396</xdr:colOff>
      <xdr:row>1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57696C48-F3E1-4819-8DDF-0360B76B2610}"/>
            </a:ext>
          </a:extLst>
        </xdr:cNvPr>
        <xdr:cNvGrpSpPr/>
      </xdr:nvGrpSpPr>
      <xdr:grpSpPr>
        <a:xfrm>
          <a:off x="3126443" y="0"/>
          <a:ext cx="1113353" cy="781050"/>
          <a:chOff x="3131328" y="0"/>
          <a:chExt cx="1118289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B0C1432B-9E4F-4268-97FD-B0C8B98E57D1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D56A50C6-E141-428C-8AC3-A62572C2A4B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9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17FC7D0-0E5A-4807-9645-87EB83D742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5</xdr:col>
      <xdr:colOff>19775</xdr:colOff>
      <xdr:row>0</xdr:row>
      <xdr:rowOff>0</xdr:rowOff>
    </xdr:from>
    <xdr:to>
      <xdr:col>6</xdr:col>
      <xdr:colOff>289004</xdr:colOff>
      <xdr:row>1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3C2C7D12-A54B-48EC-8505-9BF8BB2276B0}"/>
            </a:ext>
          </a:extLst>
        </xdr:cNvPr>
        <xdr:cNvGrpSpPr/>
      </xdr:nvGrpSpPr>
      <xdr:grpSpPr>
        <a:xfrm>
          <a:off x="4439375" y="0"/>
          <a:ext cx="1107429" cy="781050"/>
          <a:chOff x="4450172" y="0"/>
          <a:chExt cx="1118289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3D04992B-4837-4B9B-A40E-B18340600125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54D02613-BEE2-489D-ABD2-0915D3917C44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3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EBB1EE4-DF7D-40DE-81BF-A3627801F0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497814</xdr:colOff>
      <xdr:row>0</xdr:row>
      <xdr:rowOff>0</xdr:rowOff>
    </xdr:from>
    <xdr:to>
      <xdr:col>7</xdr:col>
      <xdr:colOff>533494</xdr:colOff>
      <xdr:row>1</xdr:row>
      <xdr:rowOff>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42FAB1E2-40D5-422C-BF3D-254710094740}"/>
            </a:ext>
          </a:extLst>
        </xdr:cNvPr>
        <xdr:cNvGrpSpPr/>
      </xdr:nvGrpSpPr>
      <xdr:grpSpPr>
        <a:xfrm>
          <a:off x="5755614" y="0"/>
          <a:ext cx="1102480" cy="781050"/>
          <a:chOff x="5781229" y="0"/>
          <a:chExt cx="1118289" cy="781538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37989574-7B25-40E2-A7B9-87FCFDD51907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08EFB523-F328-49FA-9804-053D87900CB4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7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48F8317-CF0A-450E-B952-29E461A402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738649</xdr:colOff>
      <xdr:row>0</xdr:row>
      <xdr:rowOff>0</xdr:rowOff>
    </xdr:from>
    <xdr:to>
      <xdr:col>9</xdr:col>
      <xdr:colOff>15991</xdr:colOff>
      <xdr:row>1</xdr:row>
      <xdr:rowOff>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D5B9E2E4-007D-488D-842A-D9233B83D527}"/>
            </a:ext>
          </a:extLst>
        </xdr:cNvPr>
        <xdr:cNvGrpSpPr/>
      </xdr:nvGrpSpPr>
      <xdr:grpSpPr>
        <a:xfrm>
          <a:off x="7063249" y="0"/>
          <a:ext cx="1125192" cy="781050"/>
          <a:chOff x="7112293" y="0"/>
          <a:chExt cx="1118289" cy="781538"/>
        </a:xfrm>
      </xdr:grpSpPr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AE44363D-7A13-4271-9017-B1BFEE8C01F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E651B490-158D-409B-BCF6-243F2DA605B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1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E4359007-6860-4C65-9563-985E6D65E6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228764</xdr:colOff>
      <xdr:row>0</xdr:row>
      <xdr:rowOff>0</xdr:rowOff>
    </xdr:from>
    <xdr:to>
      <xdr:col>10</xdr:col>
      <xdr:colOff>4177</xdr:colOff>
      <xdr:row>1</xdr:row>
      <xdr:rowOff>0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9D137850-2684-4325-B684-086AD5562A7C}"/>
            </a:ext>
          </a:extLst>
        </xdr:cNvPr>
        <xdr:cNvGrpSpPr/>
      </xdr:nvGrpSpPr>
      <xdr:grpSpPr>
        <a:xfrm>
          <a:off x="8401214" y="0"/>
          <a:ext cx="1108913" cy="781050"/>
          <a:chOff x="8443355" y="0"/>
          <a:chExt cx="1118289" cy="781538"/>
        </a:xfrm>
      </xdr:grpSpPr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9EA586B5-BD38-4068-9E4D-DC3B16DBA516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D9C02994-4538-445A-84DB-8B92522C6BF7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5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E9D505FE-6937-43F3-86D7-9E1D2B967F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212017</xdr:colOff>
      <xdr:row>0</xdr:row>
      <xdr:rowOff>0</xdr:rowOff>
    </xdr:from>
    <xdr:to>
      <xdr:col>11</xdr:col>
      <xdr:colOff>399095</xdr:colOff>
      <xdr:row>1</xdr:row>
      <xdr:rowOff>0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590E252F-26EF-4EE1-B726-AF4FBD886D72}"/>
            </a:ext>
          </a:extLst>
        </xdr:cNvPr>
        <xdr:cNvGrpSpPr/>
      </xdr:nvGrpSpPr>
      <xdr:grpSpPr>
        <a:xfrm>
          <a:off x="9717967" y="0"/>
          <a:ext cx="1101478" cy="781050"/>
          <a:chOff x="9774419" y="0"/>
          <a:chExt cx="1118289" cy="781538"/>
        </a:xfrm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1E1A96CA-5AE8-48CD-8806-05D97FBBC24E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FD744C1A-E4F9-4D75-B341-D989E65086FB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9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511815E-53F8-4CCD-AEAC-375C863E69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610883</xdr:colOff>
      <xdr:row>0</xdr:row>
      <xdr:rowOff>0</xdr:rowOff>
    </xdr:from>
    <xdr:to>
      <xdr:col>13</xdr:col>
      <xdr:colOff>226970</xdr:colOff>
      <xdr:row>1</xdr:row>
      <xdr:rowOff>0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CA432A8F-D678-45A0-B019-17112C08B256}"/>
            </a:ext>
          </a:extLst>
        </xdr:cNvPr>
        <xdr:cNvGrpSpPr/>
      </xdr:nvGrpSpPr>
      <xdr:grpSpPr>
        <a:xfrm>
          <a:off x="11031233" y="0"/>
          <a:ext cx="1101987" cy="781050"/>
          <a:chOff x="11105473" y="0"/>
          <a:chExt cx="1118289" cy="781538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3BB8FEDE-FDF5-48F6-B770-790D8C85F8A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671B47B2-D085-4696-A3CF-0206ACCB9F88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3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F30EA46-A335-42BD-BAB2-4ECA385D1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68384</xdr:colOff>
      <xdr:row>1</xdr:row>
      <xdr:rowOff>498229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307FE523-6BE3-45DF-9530-154B9A28BABB}"/>
            </a:ext>
          </a:extLst>
        </xdr:cNvPr>
        <xdr:cNvSpPr/>
      </xdr:nvSpPr>
      <xdr:spPr>
        <a:xfrm>
          <a:off x="609600" y="845623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7</xdr:col>
      <xdr:colOff>350322</xdr:colOff>
      <xdr:row>1</xdr:row>
      <xdr:rowOff>68383</xdr:rowOff>
    </xdr:from>
    <xdr:to>
      <xdr:col>9</xdr:col>
      <xdr:colOff>400893</xdr:colOff>
      <xdr:row>1</xdr:row>
      <xdr:rowOff>498229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680D0889-A939-4570-A855-D11118A4B60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6690162" y="845623"/>
          <a:ext cx="190223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4</xdr:col>
      <xdr:colOff>1219200</xdr:colOff>
      <xdr:row>1</xdr:row>
      <xdr:rowOff>68383</xdr:rowOff>
    </xdr:from>
    <xdr:to>
      <xdr:col>6</xdr:col>
      <xdr:colOff>284119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CC48E4A9-9798-477D-B0E1-C63F365034B4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3657600" y="845623"/>
          <a:ext cx="1891939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0</xdr:colOff>
      <xdr:row>0</xdr:row>
      <xdr:rowOff>773302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C05CA310-D6A8-490B-9653-6B5CC81DD78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l="9252" t="39637" r="14079" b="25703"/>
        <a:stretch/>
      </xdr:blipFill>
      <xdr:spPr>
        <a:xfrm>
          <a:off x="0" y="11303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3</xdr:col>
      <xdr:colOff>171450</xdr:colOff>
      <xdr:row>4</xdr:row>
      <xdr:rowOff>114301</xdr:rowOff>
    </xdr:from>
    <xdr:to>
      <xdr:col>12</xdr:col>
      <xdr:colOff>128174</xdr:colOff>
      <xdr:row>37</xdr:row>
      <xdr:rowOff>38100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412D5A57-627C-4741-9A27-9311E16397D8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>
          <a:alphaModFix amt="23000"/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2000250" y="1866901"/>
          <a:ext cx="9386474" cy="84772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4</xdr:col>
      <xdr:colOff>1245042</xdr:colOff>
      <xdr:row>5</xdr:row>
      <xdr:rowOff>171449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DD2119BC-029B-45F6-ACBF-276B04306587}"/>
            </a:ext>
          </a:extLst>
        </xdr:cNvPr>
        <xdr:cNvSpPr/>
      </xdr:nvSpPr>
      <xdr:spPr>
        <a:xfrm>
          <a:off x="285750" y="134473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640200</xdr:colOff>
      <xdr:row>3</xdr:row>
      <xdr:rowOff>201150</xdr:rowOff>
    </xdr:from>
    <xdr:to>
      <xdr:col>16</xdr:col>
      <xdr:colOff>190500</xdr:colOff>
      <xdr:row>6</xdr:row>
      <xdr:rowOff>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3EB06236-FA36-42B1-8B0C-F2FD642A175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590550</xdr:colOff>
      <xdr:row>3</xdr:row>
      <xdr:rowOff>201150</xdr:rowOff>
    </xdr:from>
    <xdr:to>
      <xdr:col>9</xdr:col>
      <xdr:colOff>1074300</xdr:colOff>
      <xdr:row>6</xdr:row>
      <xdr:rowOff>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873DC564-DAE4-4475-B1D9-F21F5DC9DCDD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476983</xdr:colOff>
      <xdr:row>35</xdr:row>
      <xdr:rowOff>293668</xdr:rowOff>
    </xdr:from>
    <xdr:to>
      <xdr:col>19</xdr:col>
      <xdr:colOff>723900</xdr:colOff>
      <xdr:row>38</xdr:row>
      <xdr:rowOff>171450</xdr:rowOff>
    </xdr:to>
    <xdr:sp macro="[1]!REQ_MP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id="{4CAC7DE0-2950-4685-853F-0E7DD42F235F}"/>
            </a:ext>
          </a:extLst>
        </xdr:cNvPr>
        <xdr:cNvSpPr/>
      </xdr:nvSpPr>
      <xdr:spPr>
        <a:xfrm>
          <a:off x="18136333" y="13266718"/>
          <a:ext cx="1694717" cy="9636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REQUISIÇÃO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438150</xdr:colOff>
      <xdr:row>3</xdr:row>
      <xdr:rowOff>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838FC62B-9EB5-0901-C91F-4E877B57F87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11303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28572</xdr:colOff>
      <xdr:row>0</xdr:row>
      <xdr:rowOff>0</xdr:rowOff>
    </xdr:from>
    <xdr:to>
      <xdr:col>4</xdr:col>
      <xdr:colOff>1488916</xdr:colOff>
      <xdr:row>3</xdr:row>
      <xdr:rowOff>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00000000-0008-0000-0400-00002500000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66972" y="0"/>
          <a:ext cx="1460344" cy="1162050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708568</xdr:colOff>
      <xdr:row>0</xdr:row>
      <xdr:rowOff>0</xdr:rowOff>
    </xdr:from>
    <xdr:to>
      <xdr:col>8</xdr:col>
      <xdr:colOff>90242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pSpPr/>
      </xdr:nvGrpSpPr>
      <xdr:grpSpPr>
        <a:xfrm>
          <a:off x="5966368" y="0"/>
          <a:ext cx="1591474" cy="1162050"/>
          <a:chOff x="3131328" y="0"/>
          <a:chExt cx="1118289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2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10</xdr:col>
      <xdr:colOff>90944</xdr:colOff>
      <xdr:row>0</xdr:row>
      <xdr:rowOff>0</xdr:rowOff>
    </xdr:from>
    <xdr:to>
      <xdr:col>11</xdr:col>
      <xdr:colOff>775110</xdr:colOff>
      <xdr:row>3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pSpPr/>
      </xdr:nvGrpSpPr>
      <xdr:grpSpPr>
        <a:xfrm>
          <a:off x="9596894" y="0"/>
          <a:ext cx="1598566" cy="1162050"/>
          <a:chOff x="4450172" y="0"/>
          <a:chExt cx="1118289" cy="781538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6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185262</xdr:colOff>
      <xdr:row>0</xdr:row>
      <xdr:rowOff>0</xdr:rowOff>
    </xdr:from>
    <xdr:to>
      <xdr:col>16</xdr:col>
      <xdr:colOff>557553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pSpPr/>
      </xdr:nvGrpSpPr>
      <xdr:grpSpPr>
        <a:xfrm>
          <a:off x="13234512" y="0"/>
          <a:ext cx="1591491" cy="1162050"/>
          <a:chOff x="5781229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0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272505</xdr:colOff>
      <xdr:row>0</xdr:row>
      <xdr:rowOff>0</xdr:rowOff>
    </xdr:from>
    <xdr:to>
      <xdr:col>18</xdr:col>
      <xdr:colOff>817993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pSpPr/>
      </xdr:nvGrpSpPr>
      <xdr:grpSpPr>
        <a:xfrm>
          <a:off x="16865055" y="0"/>
          <a:ext cx="1612288" cy="1162050"/>
          <a:chOff x="7112293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4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20</xdr:col>
      <xdr:colOff>75745</xdr:colOff>
      <xdr:row>0</xdr:row>
      <xdr:rowOff>0</xdr:rowOff>
    </xdr:from>
    <xdr:to>
      <xdr:col>21</xdr:col>
      <xdr:colOff>678052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pSpPr/>
      </xdr:nvGrpSpPr>
      <xdr:grpSpPr>
        <a:xfrm>
          <a:off x="20516395" y="0"/>
          <a:ext cx="1592907" cy="1162050"/>
          <a:chOff x="8443355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278704</xdr:colOff>
      <xdr:row>0</xdr:row>
      <xdr:rowOff>0</xdr:rowOff>
    </xdr:from>
    <xdr:to>
      <xdr:col>26</xdr:col>
      <xdr:colOff>39962</xdr:colOff>
      <xdr:row>3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pSpPr/>
      </xdr:nvGrpSpPr>
      <xdr:grpSpPr>
        <a:xfrm>
          <a:off x="24148354" y="0"/>
          <a:ext cx="1590058" cy="1162050"/>
          <a:chOff x="9774419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29</xdr:col>
      <xdr:colOff>250214</xdr:colOff>
      <xdr:row>0</xdr:row>
      <xdr:rowOff>0</xdr:rowOff>
    </xdr:from>
    <xdr:to>
      <xdr:col>32</xdr:col>
      <xdr:colOff>19982</xdr:colOff>
      <xdr:row>3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pSpPr/>
      </xdr:nvGrpSpPr>
      <xdr:grpSpPr>
        <a:xfrm>
          <a:off x="27777464" y="0"/>
          <a:ext cx="1598568" cy="1162050"/>
          <a:chOff x="1110547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6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35</xdr:col>
      <xdr:colOff>230232</xdr:colOff>
      <xdr:row>0</xdr:row>
      <xdr:rowOff>0</xdr:rowOff>
    </xdr:from>
    <xdr:to>
      <xdr:col>38</xdr:col>
      <xdr:colOff>0</xdr:colOff>
      <xdr:row>3</xdr:row>
      <xdr:rowOff>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84BF345-5BA1-42CE-B6A1-FF46A8AFDACD}"/>
            </a:ext>
          </a:extLst>
        </xdr:cNvPr>
        <xdr:cNvGrpSpPr/>
      </xdr:nvGrpSpPr>
      <xdr:grpSpPr>
        <a:xfrm>
          <a:off x="31415082" y="0"/>
          <a:ext cx="1598568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5B2F2C7A-3A41-4FD6-8E57-2F20D4C93475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5BE5CBCE-1F2B-4C43-B8BF-50E810590013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9" name="Imagem 48" descr="Ícone do banco de dados (símbolo png) preto">
            <a:extLst>
              <a:ext uri="{FF2B5EF4-FFF2-40B4-BE49-F238E27FC236}">
                <a16:creationId xmlns:a16="http://schemas.microsoft.com/office/drawing/2014/main" id="{F2B3580B-7D1F-46B1-832E-F7B561C22E1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16</xdr:col>
      <xdr:colOff>647700</xdr:colOff>
      <xdr:row>3</xdr:row>
      <xdr:rowOff>381000</xdr:rowOff>
    </xdr:from>
    <xdr:to>
      <xdr:col>16</xdr:col>
      <xdr:colOff>1104900</xdr:colOff>
      <xdr:row>5</xdr:row>
      <xdr:rowOff>57150</xdr:rowOff>
    </xdr:to>
    <xdr:sp macro="[0]!BotaoComLogin" textlink="">
      <xdr:nvSpPr>
        <xdr:cNvPr id="45" name="Círculo: Vazio 44">
          <a:extLst>
            <a:ext uri="{FF2B5EF4-FFF2-40B4-BE49-F238E27FC236}">
              <a16:creationId xmlns:a16="http://schemas.microsoft.com/office/drawing/2014/main" id="{6E142909-A74A-4D01-B03D-5B89DDB07F93}"/>
            </a:ext>
          </a:extLst>
        </xdr:cNvPr>
        <xdr:cNvSpPr/>
      </xdr:nvSpPr>
      <xdr:spPr>
        <a:xfrm>
          <a:off x="14916150" y="1543050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0</xdr:row>
      <xdr:rowOff>773207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F3A2B6FD-E27E-4B87-B88D-A22A6FDD4253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65762EB-1764-4E03-AD44-2FAB2F19A430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76BDA167-899A-4CF1-8440-2C5DB58F20E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F0326521-4F6E-4BA1-85CB-674B5A597F0F}"/>
            </a:ext>
          </a:extLst>
        </xdr:cNvPr>
        <xdr:cNvGrpSpPr/>
      </xdr:nvGrpSpPr>
      <xdr:grpSpPr>
        <a:xfrm>
          <a:off x="1990723" y="0"/>
          <a:ext cx="1021618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A7BE3C52-3F58-48DD-A473-0D5F9C2FDBB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440F4A4-5BE8-4C41-9804-0BDD138167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F4184B27-8E48-4191-940F-12FF40F512CB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6</xdr:col>
      <xdr:colOff>586155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5789DC3-25D5-4D62-B56F-6D08AE4AA5E8}"/>
            </a:ext>
          </a:extLst>
        </xdr:cNvPr>
        <xdr:cNvGrpSpPr/>
      </xdr:nvGrpSpPr>
      <xdr:grpSpPr>
        <a:xfrm>
          <a:off x="3126443" y="0"/>
          <a:ext cx="1117312" cy="775855"/>
          <a:chOff x="3131328" y="0"/>
          <a:chExt cx="1118289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6BBFD00E-9DE1-486C-A465-3E21E4E2FC45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E387992B-8461-4302-97F7-BDACC0F51F2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95ACD62-AEA7-4201-AC48-A6A41E463F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7</xdr:col>
      <xdr:colOff>176134</xdr:colOff>
      <xdr:row>0</xdr:row>
      <xdr:rowOff>0</xdr:rowOff>
    </xdr:from>
    <xdr:to>
      <xdr:col>9</xdr:col>
      <xdr:colOff>73269</xdr:colOff>
      <xdr:row>1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1CB0E4C3-6683-4DCD-AD2A-830CD49B0113}"/>
            </a:ext>
          </a:extLst>
        </xdr:cNvPr>
        <xdr:cNvGrpSpPr/>
      </xdr:nvGrpSpPr>
      <xdr:grpSpPr>
        <a:xfrm>
          <a:off x="4443334" y="0"/>
          <a:ext cx="1116335" cy="775855"/>
          <a:chOff x="4450172" y="0"/>
          <a:chExt cx="1118289" cy="781538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5E4879B2-6F3B-43FE-8F3A-4917502E5DD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FE648E8-74E6-4DBC-B200-AAA71177B401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7F13C80-DC88-4466-954C-47452B5B64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286037</xdr:colOff>
      <xdr:row>0</xdr:row>
      <xdr:rowOff>0</xdr:rowOff>
    </xdr:from>
    <xdr:to>
      <xdr:col>9</xdr:col>
      <xdr:colOff>1402372</xdr:colOff>
      <xdr:row>1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EB7FABC9-2961-446C-8752-3B28EA32E019}"/>
            </a:ext>
          </a:extLst>
        </xdr:cNvPr>
        <xdr:cNvGrpSpPr/>
      </xdr:nvGrpSpPr>
      <xdr:grpSpPr>
        <a:xfrm>
          <a:off x="5772437" y="0"/>
          <a:ext cx="1116335" cy="775855"/>
          <a:chOff x="5781229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74259DED-D315-428D-A3AC-0519E955F824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1A527E65-546D-4EF5-A854-C929C12E4C5E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77128C7-E1F3-475F-A3F9-933774A2DC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1615147</xdr:colOff>
      <xdr:row>0</xdr:row>
      <xdr:rowOff>0</xdr:rowOff>
    </xdr:from>
    <xdr:to>
      <xdr:col>10</xdr:col>
      <xdr:colOff>279227</xdr:colOff>
      <xdr:row>1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649402B4-4E6E-49D6-BDEB-99D70839A501}"/>
            </a:ext>
          </a:extLst>
        </xdr:cNvPr>
        <xdr:cNvGrpSpPr/>
      </xdr:nvGrpSpPr>
      <xdr:grpSpPr>
        <a:xfrm>
          <a:off x="7101547" y="0"/>
          <a:ext cx="1116335" cy="775855"/>
          <a:chOff x="7112293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1CBF454B-A9DE-4CD2-B27C-D9C9FE2CCCF0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D128C5C3-7E7D-4989-99F2-3BF811309EF7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5E75D66-D966-43E6-8567-470FE9131B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492000</xdr:colOff>
      <xdr:row>0</xdr:row>
      <xdr:rowOff>0</xdr:rowOff>
    </xdr:from>
    <xdr:to>
      <xdr:col>12</xdr:col>
      <xdr:colOff>389135</xdr:colOff>
      <xdr:row>1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A456E9B8-27D1-4092-8D73-8D16432CCDE6}"/>
            </a:ext>
          </a:extLst>
        </xdr:cNvPr>
        <xdr:cNvGrpSpPr/>
      </xdr:nvGrpSpPr>
      <xdr:grpSpPr>
        <a:xfrm>
          <a:off x="8430655" y="0"/>
          <a:ext cx="1116335" cy="775855"/>
          <a:chOff x="8443355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EAC24B4B-0CF2-42B5-91F2-A305D7D6759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051E9EC5-2193-4E94-9076-E5408DDAD7C9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FC771F3-7A6D-41EE-B8CB-46699446E0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600933</xdr:colOff>
      <xdr:row>0</xdr:row>
      <xdr:rowOff>0</xdr:rowOff>
    </xdr:from>
    <xdr:to>
      <xdr:col>14</xdr:col>
      <xdr:colOff>499045</xdr:colOff>
      <xdr:row>1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54D2A7B8-C27E-4987-AC61-1C5627FBC56D}"/>
            </a:ext>
          </a:extLst>
        </xdr:cNvPr>
        <xdr:cNvGrpSpPr/>
      </xdr:nvGrpSpPr>
      <xdr:grpSpPr>
        <a:xfrm>
          <a:off x="9758788" y="0"/>
          <a:ext cx="1117312" cy="775855"/>
          <a:chOff x="9774419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531F6B77-5315-4BD2-A769-71066166F47B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67DDD865-8040-4F68-8340-212DA5A344E4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3625B4E-3359-4EF5-8E06-8BB19FFC11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101233</xdr:colOff>
      <xdr:row>0</xdr:row>
      <xdr:rowOff>0</xdr:rowOff>
    </xdr:from>
    <xdr:to>
      <xdr:col>16</xdr:col>
      <xdr:colOff>607969</xdr:colOff>
      <xdr:row>1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E5DA5921-CDB9-4DD3-A5A0-C78EC70110C9}"/>
            </a:ext>
          </a:extLst>
        </xdr:cNvPr>
        <xdr:cNvGrpSpPr/>
      </xdr:nvGrpSpPr>
      <xdr:grpSpPr>
        <a:xfrm>
          <a:off x="11087888" y="0"/>
          <a:ext cx="1116336" cy="775855"/>
          <a:chOff x="1110547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5943F80F-60E9-416B-BD50-64276706CD08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95A431F8-AA94-4742-B24A-790E0ADB4FB5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457EBFC-28F0-4133-877B-09B39144A7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68384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1CDEE1CC-BA6E-419E-8432-E07A0E538A67}"/>
            </a:ext>
          </a:extLst>
        </xdr:cNvPr>
        <xdr:cNvSpPr/>
      </xdr:nvSpPr>
      <xdr:spPr>
        <a:xfrm>
          <a:off x="609600" y="845623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9</xdr:col>
      <xdr:colOff>1219200</xdr:colOff>
      <xdr:row>1</xdr:row>
      <xdr:rowOff>68383</xdr:rowOff>
    </xdr:from>
    <xdr:to>
      <xdr:col>11</xdr:col>
      <xdr:colOff>54529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4F027568-DD04-40A9-A793-B2A59CA89A06}"/>
            </a:ext>
          </a:extLst>
        </xdr:cNvPr>
        <xdr:cNvSpPr/>
      </xdr:nvSpPr>
      <xdr:spPr>
        <a:xfrm>
          <a:off x="6705600" y="845623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LANÇAMENTOS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0</xdr:colOff>
      <xdr:row>1</xdr:row>
      <xdr:rowOff>68383</xdr:rowOff>
    </xdr:from>
    <xdr:to>
      <xdr:col>9</xdr:col>
      <xdr:colOff>68384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4D0C3D40-AA12-4B42-B50D-361914FACEFC}"/>
            </a:ext>
          </a:extLst>
        </xdr:cNvPr>
        <xdr:cNvSpPr/>
      </xdr:nvSpPr>
      <xdr:spPr>
        <a:xfrm>
          <a:off x="3657600" y="845623"/>
          <a:ext cx="1897184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BB1482EF-16BC-4D08-B64C-CF90F373DF2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A0A6CB3A-9FD6-4C9E-B3C8-EB71FAAF8F8C}"/>
            </a:ext>
          </a:extLst>
        </xdr:cNvPr>
        <xdr:cNvGrpSpPr/>
      </xdr:nvGrpSpPr>
      <xdr:grpSpPr>
        <a:xfrm>
          <a:off x="0" y="1"/>
          <a:ext cx="1840006" cy="776175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53784711-5171-4277-9370-F27C82C373F0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EAE184CE-C5B1-4BF5-B075-F9A05ADC1D05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FE5A3403-6DFB-4537-B484-36B2D29C0DEA}"/>
            </a:ext>
          </a:extLst>
        </xdr:cNvPr>
        <xdr:cNvGrpSpPr/>
      </xdr:nvGrpSpPr>
      <xdr:grpSpPr>
        <a:xfrm>
          <a:off x="1990723" y="0"/>
          <a:ext cx="1021618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84F5683E-2375-4643-A8DA-9E2DD29C360D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92FB913-6160-4BF2-B850-B6181025BB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2218F04-9AE9-4DFE-BA9A-6B2C6FA3D808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149EE08F-971F-4C8E-97BA-A28F2E471A1A}"/>
            </a:ext>
          </a:extLst>
        </xdr:cNvPr>
        <xdr:cNvGrpSpPr/>
      </xdr:nvGrpSpPr>
      <xdr:grpSpPr>
        <a:xfrm>
          <a:off x="3126443" y="0"/>
          <a:ext cx="1117312" cy="775855"/>
          <a:chOff x="3131328" y="0"/>
          <a:chExt cx="1118289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673DF7CB-4750-44EA-9044-BD37AFAFC13A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A6EEA69E-67E6-48DA-9811-9B4BF385682A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70B39D6-8F27-4C76-B536-563C950744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7</xdr:col>
      <xdr:colOff>281087</xdr:colOff>
      <xdr:row>1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23C4BD4E-BED4-4068-AC16-E9C93CB6B743}"/>
            </a:ext>
          </a:extLst>
        </xdr:cNvPr>
        <xdr:cNvGrpSpPr/>
      </xdr:nvGrpSpPr>
      <xdr:grpSpPr>
        <a:xfrm>
          <a:off x="4443334" y="0"/>
          <a:ext cx="1116335" cy="775855"/>
          <a:chOff x="4450172" y="0"/>
          <a:chExt cx="1118289" cy="781538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6BA611B5-5AD2-4985-84A2-0B518EB3A78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D48D2CFD-A846-4EDE-A8D6-1754699873F8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77CBB0D-5BCF-41D3-A18D-8E15EAFCE3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493855</xdr:colOff>
      <xdr:row>0</xdr:row>
      <xdr:rowOff>0</xdr:rowOff>
    </xdr:from>
    <xdr:to>
      <xdr:col>9</xdr:col>
      <xdr:colOff>390990</xdr:colOff>
      <xdr:row>1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3D3EF64-AEA3-4AEF-A782-EF1B50C50B11}"/>
            </a:ext>
          </a:extLst>
        </xdr:cNvPr>
        <xdr:cNvGrpSpPr/>
      </xdr:nvGrpSpPr>
      <xdr:grpSpPr>
        <a:xfrm>
          <a:off x="5772437" y="0"/>
          <a:ext cx="1116335" cy="775855"/>
          <a:chOff x="5781229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1200A277-C144-496D-BE4D-347A117BA8F7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C131EA8B-356B-4736-9CA1-B8409D2CDDC9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DB7E255-E3ED-469B-9A2F-C07952B66F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603765</xdr:colOff>
      <xdr:row>0</xdr:row>
      <xdr:rowOff>0</xdr:rowOff>
    </xdr:from>
    <xdr:to>
      <xdr:col>9</xdr:col>
      <xdr:colOff>1720100</xdr:colOff>
      <xdr:row>1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9570BAC-8104-4AC7-8E27-457CB17B61B0}"/>
            </a:ext>
          </a:extLst>
        </xdr:cNvPr>
        <xdr:cNvGrpSpPr/>
      </xdr:nvGrpSpPr>
      <xdr:grpSpPr>
        <a:xfrm>
          <a:off x="7101547" y="0"/>
          <a:ext cx="1116335" cy="775855"/>
          <a:chOff x="7112293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156F1C5C-08F9-4F49-9534-7AFF1A098C8B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C57269C3-2D17-4C47-9BF0-35D5713F4EE7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C840389-A8C8-43E6-BD88-796F6C3DF6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1932873</xdr:colOff>
      <xdr:row>0</xdr:row>
      <xdr:rowOff>0</xdr:rowOff>
    </xdr:from>
    <xdr:to>
      <xdr:col>11</xdr:col>
      <xdr:colOff>56626</xdr:colOff>
      <xdr:row>1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4B01A032-10DB-4AB0-AFB6-5902050E9B53}"/>
            </a:ext>
          </a:extLst>
        </xdr:cNvPr>
        <xdr:cNvGrpSpPr/>
      </xdr:nvGrpSpPr>
      <xdr:grpSpPr>
        <a:xfrm>
          <a:off x="8430655" y="0"/>
          <a:ext cx="1116335" cy="775855"/>
          <a:chOff x="8443355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17C7682D-A1C0-4407-A292-F2C8D6F42BB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D8357BAF-7655-4D64-9138-F17C7A39F4AB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F79C115-696F-4B45-A7B3-030C417E3C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268424</xdr:colOff>
      <xdr:row>0</xdr:row>
      <xdr:rowOff>0</xdr:rowOff>
    </xdr:from>
    <xdr:to>
      <xdr:col>13</xdr:col>
      <xdr:colOff>166536</xdr:colOff>
      <xdr:row>1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FA390065-5CA6-4EC8-A220-328D9D935F10}"/>
            </a:ext>
          </a:extLst>
        </xdr:cNvPr>
        <xdr:cNvGrpSpPr/>
      </xdr:nvGrpSpPr>
      <xdr:grpSpPr>
        <a:xfrm>
          <a:off x="9758788" y="0"/>
          <a:ext cx="1117312" cy="775855"/>
          <a:chOff x="9774419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947D7FB1-4A31-4FCC-B917-C997999F6A1E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93EFF550-F65C-40F0-A7A6-08247CC80122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509C5EC-6D7D-4AE8-A42F-DAE7A40626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378324</xdr:colOff>
      <xdr:row>0</xdr:row>
      <xdr:rowOff>0</xdr:rowOff>
    </xdr:from>
    <xdr:to>
      <xdr:col>15</xdr:col>
      <xdr:colOff>275460</xdr:colOff>
      <xdr:row>1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B7F5B8E1-FE20-4DC4-83DE-19DF2B53AFEF}"/>
            </a:ext>
          </a:extLst>
        </xdr:cNvPr>
        <xdr:cNvGrpSpPr/>
      </xdr:nvGrpSpPr>
      <xdr:grpSpPr>
        <a:xfrm>
          <a:off x="11087888" y="0"/>
          <a:ext cx="1116336" cy="775855"/>
          <a:chOff x="1110547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5D11FF48-F77B-4A6A-9903-55225AD9EFB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4E2C18F5-42FC-4C65-AEA5-C501B4864D06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0D794BB-2F51-4560-8610-EDCCA2ACD7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68384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A459B399-3DD9-4F55-B159-7F3157A34DAC}"/>
            </a:ext>
          </a:extLst>
        </xdr:cNvPr>
        <xdr:cNvSpPr/>
      </xdr:nvSpPr>
      <xdr:spPr>
        <a:xfrm>
          <a:off x="605692" y="849921"/>
          <a:ext cx="188546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9</xdr:col>
      <xdr:colOff>207818</xdr:colOff>
      <xdr:row>1</xdr:row>
      <xdr:rowOff>68383</xdr:rowOff>
    </xdr:from>
    <xdr:to>
      <xdr:col>9</xdr:col>
      <xdr:colOff>2105002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1738CB0B-4F23-4301-B797-D9F3C20737B4}"/>
            </a:ext>
          </a:extLst>
        </xdr:cNvPr>
        <xdr:cNvSpPr/>
      </xdr:nvSpPr>
      <xdr:spPr>
        <a:xfrm>
          <a:off x="6662615" y="849921"/>
          <a:ext cx="1885461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5</xdr:col>
      <xdr:colOff>609600</xdr:colOff>
      <xdr:row>1</xdr:row>
      <xdr:rowOff>68383</xdr:rowOff>
    </xdr:from>
    <xdr:to>
      <xdr:col>7</xdr:col>
      <xdr:colOff>276202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15EC6C1B-0C19-41B3-86A6-DEC2535447F5}"/>
            </a:ext>
          </a:extLst>
        </xdr:cNvPr>
        <xdr:cNvSpPr/>
      </xdr:nvSpPr>
      <xdr:spPr>
        <a:xfrm>
          <a:off x="3634154" y="849921"/>
          <a:ext cx="188546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54BC87F5-FA86-4205-97B2-0996704921A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6</xdr:col>
      <xdr:colOff>498764</xdr:colOff>
      <xdr:row>14</xdr:row>
      <xdr:rowOff>180110</xdr:rowOff>
    </xdr:from>
    <xdr:to>
      <xdr:col>8</xdr:col>
      <xdr:colOff>443346</xdr:colOff>
      <xdr:row>18</xdr:row>
      <xdr:rowOff>83127</xdr:rowOff>
    </xdr:to>
    <xdr:sp macro="[1]!REQ_MP" textlink="">
      <xdr:nvSpPr>
        <xdr:cNvPr id="41" name="Retângulo: Cantos Arredondados 40">
          <a:extLst>
            <a:ext uri="{FF2B5EF4-FFF2-40B4-BE49-F238E27FC236}">
              <a16:creationId xmlns:a16="http://schemas.microsoft.com/office/drawing/2014/main" id="{7646AD71-784F-438A-BC2E-998609A68919}"/>
            </a:ext>
          </a:extLst>
        </xdr:cNvPr>
        <xdr:cNvSpPr/>
      </xdr:nvSpPr>
      <xdr:spPr>
        <a:xfrm>
          <a:off x="5167746" y="3823855"/>
          <a:ext cx="1163782" cy="67887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LANÇAR PRODUÇÃO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47CF1EE7-439B-46F1-84D5-69AEC7134BD8}"/>
            </a:ext>
          </a:extLst>
        </xdr:cNvPr>
        <xdr:cNvGrpSpPr/>
      </xdr:nvGrpSpPr>
      <xdr:grpSpPr>
        <a:xfrm>
          <a:off x="0" y="1"/>
          <a:ext cx="1840006" cy="776175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288E0423-35A6-4D6A-AF7C-7F1194AF28EB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159A781E-067D-4127-8D4D-8328A3D2FA9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BF28E86-EEE9-4636-B094-B02312815B9E}"/>
            </a:ext>
          </a:extLst>
        </xdr:cNvPr>
        <xdr:cNvGrpSpPr/>
      </xdr:nvGrpSpPr>
      <xdr:grpSpPr>
        <a:xfrm>
          <a:off x="1990723" y="0"/>
          <a:ext cx="1021618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E4057B3B-A7D6-4ECB-BAA4-20DBB2B84D13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1C7B3F76-EA24-4D74-BA25-88011398EA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1168BEB2-3753-4257-A1D0-F6AC6B71F30E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DDA4010D-6817-46EE-9905-EFCA7F58FA57}"/>
            </a:ext>
          </a:extLst>
        </xdr:cNvPr>
        <xdr:cNvGrpSpPr/>
      </xdr:nvGrpSpPr>
      <xdr:grpSpPr>
        <a:xfrm>
          <a:off x="3126443" y="0"/>
          <a:ext cx="1117312" cy="775855"/>
          <a:chOff x="3131328" y="0"/>
          <a:chExt cx="1118289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B1E7EA80-A1F2-48C9-9E92-2D61613E81E9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EC1F57-C8A5-4957-9B1D-41D7F79088B8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166E6CA-3769-4E64-9A0D-3AF1EE021E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7</xdr:col>
      <xdr:colOff>281087</xdr:colOff>
      <xdr:row>1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E8FAA36-C5D1-45B6-A804-C70A5F48B04A}"/>
            </a:ext>
          </a:extLst>
        </xdr:cNvPr>
        <xdr:cNvGrpSpPr/>
      </xdr:nvGrpSpPr>
      <xdr:grpSpPr>
        <a:xfrm>
          <a:off x="4443334" y="0"/>
          <a:ext cx="1116335" cy="775855"/>
          <a:chOff x="4450172" y="0"/>
          <a:chExt cx="1118289" cy="781538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D94B5B0-4E95-43DB-A53A-F69631CBBB66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CFFF71B9-4B1B-4456-B03A-898FF279A067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5AB592E-EC26-4EC2-923B-F35483CE50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493855</xdr:colOff>
      <xdr:row>0</xdr:row>
      <xdr:rowOff>0</xdr:rowOff>
    </xdr:from>
    <xdr:to>
      <xdr:col>9</xdr:col>
      <xdr:colOff>390990</xdr:colOff>
      <xdr:row>1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4531C5E6-2DBE-4B52-A896-C5DF667E3257}"/>
            </a:ext>
          </a:extLst>
        </xdr:cNvPr>
        <xdr:cNvGrpSpPr/>
      </xdr:nvGrpSpPr>
      <xdr:grpSpPr>
        <a:xfrm>
          <a:off x="5772437" y="0"/>
          <a:ext cx="1116335" cy="775855"/>
          <a:chOff x="5781229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12AFBAFA-F453-487B-B487-5D581D8B07E5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D48FE4AC-7299-4D01-A284-3D5C44FE010F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BEFC5A0-2ACB-4985-85D5-261561ADDA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603765</xdr:colOff>
      <xdr:row>0</xdr:row>
      <xdr:rowOff>0</xdr:rowOff>
    </xdr:from>
    <xdr:to>
      <xdr:col>9</xdr:col>
      <xdr:colOff>1720100</xdr:colOff>
      <xdr:row>1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0EAE24C-68F6-4F10-941A-4CDD8F7EAC80}"/>
            </a:ext>
          </a:extLst>
        </xdr:cNvPr>
        <xdr:cNvGrpSpPr/>
      </xdr:nvGrpSpPr>
      <xdr:grpSpPr>
        <a:xfrm>
          <a:off x="7101547" y="0"/>
          <a:ext cx="1116335" cy="775855"/>
          <a:chOff x="7112293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68A43166-95A9-49F8-8B6A-F19180418A2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D928FBBC-E754-4603-8776-D29782426B70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D3E52E-6262-4E10-8F83-6474164CFF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1932873</xdr:colOff>
      <xdr:row>0</xdr:row>
      <xdr:rowOff>0</xdr:rowOff>
    </xdr:from>
    <xdr:to>
      <xdr:col>11</xdr:col>
      <xdr:colOff>56626</xdr:colOff>
      <xdr:row>1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29E0D8A2-6DB4-4470-95B7-C0647D3F4DA7}"/>
            </a:ext>
          </a:extLst>
        </xdr:cNvPr>
        <xdr:cNvGrpSpPr/>
      </xdr:nvGrpSpPr>
      <xdr:grpSpPr>
        <a:xfrm>
          <a:off x="8430655" y="0"/>
          <a:ext cx="1116335" cy="775855"/>
          <a:chOff x="8443355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5A35C911-D18B-4B3E-BA51-E10B05223050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84165EBC-B71E-4667-93D2-330BA971C978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36655DD-CB0B-4717-9FF5-589D593056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268424</xdr:colOff>
      <xdr:row>0</xdr:row>
      <xdr:rowOff>0</xdr:rowOff>
    </xdr:from>
    <xdr:to>
      <xdr:col>13</xdr:col>
      <xdr:colOff>166536</xdr:colOff>
      <xdr:row>1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751E3EF7-1D8E-461C-B620-F740D5B7783C}"/>
            </a:ext>
          </a:extLst>
        </xdr:cNvPr>
        <xdr:cNvGrpSpPr/>
      </xdr:nvGrpSpPr>
      <xdr:grpSpPr>
        <a:xfrm>
          <a:off x="9758788" y="0"/>
          <a:ext cx="1117312" cy="775855"/>
          <a:chOff x="9774419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047186B6-B775-4032-9C8F-5E235CAB461E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6E0A9CFC-A25D-4623-BFA1-6C30155533A3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811A5C2-890B-41F0-9960-2568C8897E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378324</xdr:colOff>
      <xdr:row>0</xdr:row>
      <xdr:rowOff>0</xdr:rowOff>
    </xdr:from>
    <xdr:to>
      <xdr:col>15</xdr:col>
      <xdr:colOff>275460</xdr:colOff>
      <xdr:row>1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81FB19E6-C991-46A9-9498-5D80442AF7F2}"/>
            </a:ext>
          </a:extLst>
        </xdr:cNvPr>
        <xdr:cNvGrpSpPr/>
      </xdr:nvGrpSpPr>
      <xdr:grpSpPr>
        <a:xfrm>
          <a:off x="11087888" y="0"/>
          <a:ext cx="1116336" cy="775855"/>
          <a:chOff x="1110547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DAF9482A-194C-423A-AE26-369F743E3C62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A0CFF4C8-A23C-42F1-AB29-FDB5AC1282F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58D7B1D-E4E8-4C08-A7BD-C94CD46BE0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68384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F3C040E7-CEA5-4A5D-A9DB-F3BE056D6EB7}"/>
            </a:ext>
          </a:extLst>
        </xdr:cNvPr>
        <xdr:cNvSpPr/>
      </xdr:nvSpPr>
      <xdr:spPr>
        <a:xfrm>
          <a:off x="609600" y="845623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9</xdr:col>
      <xdr:colOff>207818</xdr:colOff>
      <xdr:row>1</xdr:row>
      <xdr:rowOff>68383</xdr:rowOff>
    </xdr:from>
    <xdr:to>
      <xdr:col>9</xdr:col>
      <xdr:colOff>2105002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830CF6F9-91CE-4F68-AFEE-B26A7D8297CE}"/>
            </a:ext>
          </a:extLst>
        </xdr:cNvPr>
        <xdr:cNvSpPr/>
      </xdr:nvSpPr>
      <xdr:spPr>
        <a:xfrm>
          <a:off x="6700058" y="845623"/>
          <a:ext cx="1897184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5</xdr:col>
      <xdr:colOff>609600</xdr:colOff>
      <xdr:row>1</xdr:row>
      <xdr:rowOff>68383</xdr:rowOff>
    </xdr:from>
    <xdr:to>
      <xdr:col>7</xdr:col>
      <xdr:colOff>276202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BF16D02B-C0AD-48E7-AD02-674F1180FDB8}"/>
            </a:ext>
          </a:extLst>
        </xdr:cNvPr>
        <xdr:cNvSpPr/>
      </xdr:nvSpPr>
      <xdr:spPr>
        <a:xfrm>
          <a:off x="3657600" y="845623"/>
          <a:ext cx="1891642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E23E5925-89F4-4161-8A2B-B7C589ED3DB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5</xdr:col>
      <xdr:colOff>258255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221654</xdr:colOff>
      <xdr:row>0</xdr:row>
      <xdr:rowOff>0</xdr:rowOff>
    </xdr:from>
    <xdr:to>
      <xdr:col>6</xdr:col>
      <xdr:colOff>1242295</xdr:colOff>
      <xdr:row>1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4484806" y="0"/>
          <a:ext cx="1022595" cy="78153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187020</xdr:colOff>
      <xdr:row>0</xdr:row>
      <xdr:rowOff>514894</xdr:rowOff>
    </xdr:from>
    <xdr:to>
      <xdr:col>6</xdr:col>
      <xdr:colOff>1303355</xdr:colOff>
      <xdr:row>0</xdr:row>
      <xdr:rowOff>769325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 rot="10800000" flipH="1" flipV="1">
          <a:off x="4450172" y="514894"/>
          <a:ext cx="1118289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0</xdr:row>
      <xdr:rowOff>494501</xdr:rowOff>
    </xdr:to>
    <xdr:pic>
      <xdr:nvPicPr>
        <xdr:cNvPr id="16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6997" y="91651"/>
          <a:ext cx="418213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1516123</xdr:colOff>
      <xdr:row>0</xdr:row>
      <xdr:rowOff>0</xdr:rowOff>
    </xdr:from>
    <xdr:to>
      <xdr:col>7</xdr:col>
      <xdr:colOff>847201</xdr:colOff>
      <xdr:row>1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pSpPr/>
      </xdr:nvGrpSpPr>
      <xdr:grpSpPr>
        <a:xfrm>
          <a:off x="5772437" y="0"/>
          <a:ext cx="1116335" cy="772886"/>
          <a:chOff x="5781229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1059976</xdr:colOff>
      <xdr:row>0</xdr:row>
      <xdr:rowOff>0</xdr:rowOff>
    </xdr:from>
    <xdr:to>
      <xdr:col>9</xdr:col>
      <xdr:colOff>10053</xdr:colOff>
      <xdr:row>1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pSpPr/>
      </xdr:nvGrpSpPr>
      <xdr:grpSpPr>
        <a:xfrm>
          <a:off x="7101547" y="0"/>
          <a:ext cx="1116335" cy="772886"/>
          <a:chOff x="7112293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222826</xdr:colOff>
      <xdr:row>0</xdr:row>
      <xdr:rowOff>0</xdr:rowOff>
    </xdr:from>
    <xdr:to>
      <xdr:col>10</xdr:col>
      <xdr:colOff>468304</xdr:colOff>
      <xdr:row>1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8430655" y="0"/>
          <a:ext cx="1116335" cy="772886"/>
          <a:chOff x="8443355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680102</xdr:colOff>
      <xdr:row>0</xdr:row>
      <xdr:rowOff>0</xdr:rowOff>
    </xdr:from>
    <xdr:to>
      <xdr:col>10</xdr:col>
      <xdr:colOff>1797414</xdr:colOff>
      <xdr:row>1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00000000-0008-0000-0500-00001E00000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00000000-0008-0000-0500-00001F00000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2009202</xdr:colOff>
      <xdr:row>0</xdr:row>
      <xdr:rowOff>0</xdr:rowOff>
    </xdr:from>
    <xdr:to>
      <xdr:col>12</xdr:col>
      <xdr:colOff>360567</xdr:colOff>
      <xdr:row>1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00000000-0008-0000-0500-00002300000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372357</xdr:colOff>
      <xdr:row>0</xdr:row>
      <xdr:rowOff>0</xdr:rowOff>
    </xdr:from>
    <xdr:to>
      <xdr:col>6</xdr:col>
      <xdr:colOff>3769</xdr:colOff>
      <xdr:row>1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pSpPr/>
      </xdr:nvGrpSpPr>
      <xdr:grpSpPr>
        <a:xfrm>
          <a:off x="3126443" y="0"/>
          <a:ext cx="1133640" cy="772886"/>
          <a:chOff x="3131328" y="0"/>
          <a:chExt cx="1118289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B83241A6-C60E-41A3-B2C6-BC3DBC9E07E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4</xdr:col>
      <xdr:colOff>68384</xdr:colOff>
      <xdr:row>1</xdr:row>
      <xdr:rowOff>506048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40AF9AC3-AE9B-4BF4-A4AD-F3E97E5BD7B5}"/>
            </a:ext>
          </a:extLst>
        </xdr:cNvPr>
        <xdr:cNvSpPr/>
      </xdr:nvSpPr>
      <xdr:spPr>
        <a:xfrm>
          <a:off x="609600" y="849088"/>
          <a:ext cx="1897184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5</xdr:col>
      <xdr:colOff>293914</xdr:colOff>
      <xdr:row>1</xdr:row>
      <xdr:rowOff>76202</xdr:rowOff>
    </xdr:from>
    <xdr:to>
      <xdr:col>6</xdr:col>
      <xdr:colOff>688870</xdr:colOff>
      <xdr:row>1</xdr:row>
      <xdr:rowOff>506048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C848A7C6-D013-4CEC-BF4A-0C55D6414E9F}"/>
            </a:ext>
          </a:extLst>
        </xdr:cNvPr>
        <xdr:cNvSpPr/>
      </xdr:nvSpPr>
      <xdr:spPr>
        <a:xfrm>
          <a:off x="3048000" y="849088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6</xdr:col>
      <xdr:colOff>1230086</xdr:colOff>
      <xdr:row>1</xdr:row>
      <xdr:rowOff>76202</xdr:rowOff>
    </xdr:from>
    <xdr:to>
      <xdr:col>8</xdr:col>
      <xdr:colOff>3070</xdr:colOff>
      <xdr:row>1</xdr:row>
      <xdr:rowOff>506048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614F270-C3E8-4DA4-B197-D0A65514F2CC}"/>
            </a:ext>
          </a:extLst>
        </xdr:cNvPr>
        <xdr:cNvSpPr/>
      </xdr:nvSpPr>
      <xdr:spPr>
        <a:xfrm>
          <a:off x="5486400" y="849088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8</xdr:col>
      <xdr:colOff>544286</xdr:colOff>
      <xdr:row>1</xdr:row>
      <xdr:rowOff>76202</xdr:rowOff>
    </xdr:from>
    <xdr:to>
      <xdr:col>10</xdr:col>
      <xdr:colOff>743298</xdr:colOff>
      <xdr:row>1</xdr:row>
      <xdr:rowOff>506048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9FD508A8-0C9B-43AF-B0B7-5639D954104C}"/>
            </a:ext>
          </a:extLst>
        </xdr:cNvPr>
        <xdr:cNvSpPr/>
      </xdr:nvSpPr>
      <xdr:spPr>
        <a:xfrm>
          <a:off x="7924800" y="849088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10</xdr:col>
      <xdr:colOff>1284514</xdr:colOff>
      <xdr:row>1</xdr:row>
      <xdr:rowOff>76202</xdr:rowOff>
    </xdr:from>
    <xdr:to>
      <xdr:col>12</xdr:col>
      <xdr:colOff>416727</xdr:colOff>
      <xdr:row>1</xdr:row>
      <xdr:rowOff>506048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DC3EA4EA-D623-49F1-8D39-41821F3EF0FA}"/>
            </a:ext>
          </a:extLst>
        </xdr:cNvPr>
        <xdr:cNvSpPr/>
      </xdr:nvSpPr>
      <xdr:spPr>
        <a:xfrm>
          <a:off x="10363200" y="849088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348343</xdr:colOff>
      <xdr:row>1</xdr:row>
      <xdr:rowOff>76202</xdr:rowOff>
    </xdr:from>
    <xdr:to>
      <xdr:col>16</xdr:col>
      <xdr:colOff>416727</xdr:colOff>
      <xdr:row>1</xdr:row>
      <xdr:rowOff>506048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E4631C0A-D19F-4D54-BBD1-1CA97DB843D4}"/>
            </a:ext>
          </a:extLst>
        </xdr:cNvPr>
        <xdr:cNvSpPr/>
      </xdr:nvSpPr>
      <xdr:spPr>
        <a:xfrm>
          <a:off x="12801600" y="849088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EA72DB56-E511-441B-9C1C-7DAD32B44DDA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833B9CD6-7A1F-49E7-9927-F4B7E14BF958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81C842F6-1983-4293-9310-0B294A2191B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5</xdr:col>
      <xdr:colOff>258255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53D2912E-C9B0-4E92-A2C7-601A8F409592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796628B-938F-4151-9274-6CB8ECDF1B9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168DAC2-E0A3-4712-ACBB-4733DB5B8F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91C2A54-8EB0-444F-A833-497116C4597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69254</xdr:colOff>
      <xdr:row>0</xdr:row>
      <xdr:rowOff>0</xdr:rowOff>
    </xdr:from>
    <xdr:to>
      <xdr:col>6</xdr:col>
      <xdr:colOff>1089895</xdr:colOff>
      <xdr:row>1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920E267-116A-4874-89B8-DC52727A5456}"/>
            </a:ext>
          </a:extLst>
        </xdr:cNvPr>
        <xdr:cNvSpPr/>
      </xdr:nvSpPr>
      <xdr:spPr>
        <a:xfrm>
          <a:off x="4473614" y="0"/>
          <a:ext cx="1020641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34620</xdr:colOff>
      <xdr:row>0</xdr:row>
      <xdr:rowOff>514894</xdr:rowOff>
    </xdr:from>
    <xdr:to>
      <xdr:col>6</xdr:col>
      <xdr:colOff>1150955</xdr:colOff>
      <xdr:row>0</xdr:row>
      <xdr:rowOff>769325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5FAA9A2A-B407-432E-B339-12A190B64C14}"/>
            </a:ext>
          </a:extLst>
        </xdr:cNvPr>
        <xdr:cNvSpPr txBox="1"/>
      </xdr:nvSpPr>
      <xdr:spPr>
        <a:xfrm rot="10800000" flipH="1" flipV="1">
          <a:off x="4438980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371445</xdr:colOff>
      <xdr:row>0</xdr:row>
      <xdr:rowOff>91651</xdr:rowOff>
    </xdr:from>
    <xdr:to>
      <xdr:col>6</xdr:col>
      <xdr:colOff>788681</xdr:colOff>
      <xdr:row>0</xdr:row>
      <xdr:rowOff>494501</xdr:rowOff>
    </xdr:to>
    <xdr:pic>
      <xdr:nvPicPr>
        <xdr:cNvPr id="11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F126B2C-F9D9-4B72-A3FB-BF542B8B4C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1363723</xdr:colOff>
      <xdr:row>0</xdr:row>
      <xdr:rowOff>0</xdr:rowOff>
    </xdr:from>
    <xdr:to>
      <xdr:col>7</xdr:col>
      <xdr:colOff>1064915</xdr:colOff>
      <xdr:row>1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E8C71CFF-85DD-4DFB-A183-6A15357270B2}"/>
            </a:ext>
          </a:extLst>
        </xdr:cNvPr>
        <xdr:cNvGrpSpPr/>
      </xdr:nvGrpSpPr>
      <xdr:grpSpPr>
        <a:xfrm>
          <a:off x="5772437" y="0"/>
          <a:ext cx="1116335" cy="772886"/>
          <a:chOff x="5781229" y="0"/>
          <a:chExt cx="1118289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2B095781-174F-4B47-97E4-5E33FF81C89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D914568A-DB2A-4A69-8B4F-3C748031C4DD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AC10075-F608-4766-A67F-E5E188C81C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1277690</xdr:colOff>
      <xdr:row>0</xdr:row>
      <xdr:rowOff>0</xdr:rowOff>
    </xdr:from>
    <xdr:to>
      <xdr:col>8</xdr:col>
      <xdr:colOff>97139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F6358B3-D9F1-43FF-8936-E17ABDBF3806}"/>
            </a:ext>
          </a:extLst>
        </xdr:cNvPr>
        <xdr:cNvGrpSpPr/>
      </xdr:nvGrpSpPr>
      <xdr:grpSpPr>
        <a:xfrm>
          <a:off x="7101547" y="0"/>
          <a:ext cx="1116335" cy="772886"/>
          <a:chOff x="7112293" y="0"/>
          <a:chExt cx="1118289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3D4CC24B-EECF-4145-B6FD-9103DC8FFE15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A9083D49-3738-47C7-B249-0C716D5C63EF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7463982-595B-4B0A-999F-033F58A185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309912</xdr:colOff>
      <xdr:row>0</xdr:row>
      <xdr:rowOff>0</xdr:rowOff>
    </xdr:from>
    <xdr:to>
      <xdr:col>8</xdr:col>
      <xdr:colOff>1426247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CE5380CE-1B77-47A0-AAFE-010AAF11DD7B}"/>
            </a:ext>
          </a:extLst>
        </xdr:cNvPr>
        <xdr:cNvGrpSpPr/>
      </xdr:nvGrpSpPr>
      <xdr:grpSpPr>
        <a:xfrm>
          <a:off x="8430655" y="0"/>
          <a:ext cx="1116335" cy="772886"/>
          <a:chOff x="8443355" y="0"/>
          <a:chExt cx="1118289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22A94B08-B1FA-49FC-BF9A-F5FD49EF271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4BF86B5B-5F32-4DA1-9625-BC21EDDD5DE7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B0FB874-E8BF-445B-8230-44DF31BD23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124931</xdr:colOff>
      <xdr:row>0</xdr:row>
      <xdr:rowOff>0</xdr:rowOff>
    </xdr:from>
    <xdr:to>
      <xdr:col>10</xdr:col>
      <xdr:colOff>371386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D51D8A74-5B47-46FE-982E-72937EAAD3BB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E994F85C-0585-4675-8757-45B998745977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1AB8E145-1140-4DB1-A7E3-390EFE9164AC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058FA7E-BC22-4F20-AB7F-A5864F7C06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583174</xdr:colOff>
      <xdr:row>0</xdr:row>
      <xdr:rowOff>0</xdr:rowOff>
    </xdr:from>
    <xdr:to>
      <xdr:col>10</xdr:col>
      <xdr:colOff>1699510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EDD9BA1F-4AA4-4116-96F5-182E9114F1BE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733F381D-085E-4760-AE61-19AE763C545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C4A7B662-52FB-432E-ADF1-9343000A79A3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26DD269-FAC1-43A9-BDA2-A0CDF8457E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372357</xdr:colOff>
      <xdr:row>0</xdr:row>
      <xdr:rowOff>0</xdr:rowOff>
    </xdr:from>
    <xdr:to>
      <xdr:col>5</xdr:col>
      <xdr:colOff>1489669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EC20B2D5-6A24-4AC1-9380-C73E9B8108B4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B6334DDE-345E-4F68-A967-3324C6163AB8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B10FE285-BB84-4799-A092-9841EFEF746C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463AECF-3E0F-4F9F-857A-C8DC9CA18C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AB0F0E25-F00F-4659-97D6-24C37D40348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4</xdr:col>
      <xdr:colOff>68384</xdr:colOff>
      <xdr:row>1</xdr:row>
      <xdr:rowOff>506048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85A7009-5D80-4646-A427-5DE862DF0E97}"/>
            </a:ext>
          </a:extLst>
        </xdr:cNvPr>
        <xdr:cNvSpPr/>
      </xdr:nvSpPr>
      <xdr:spPr>
        <a:xfrm>
          <a:off x="609600" y="853442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5</xdr:col>
      <xdr:colOff>293914</xdr:colOff>
      <xdr:row>1</xdr:row>
      <xdr:rowOff>76202</xdr:rowOff>
    </xdr:from>
    <xdr:to>
      <xdr:col>6</xdr:col>
      <xdr:colOff>536470</xdr:colOff>
      <xdr:row>1</xdr:row>
      <xdr:rowOff>506048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737B6D95-0121-4695-973F-F50780D3B9D7}"/>
            </a:ext>
          </a:extLst>
        </xdr:cNvPr>
        <xdr:cNvSpPr/>
      </xdr:nvSpPr>
      <xdr:spPr>
        <a:xfrm>
          <a:off x="3044734" y="853442"/>
          <a:ext cx="1896096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6</xdr:col>
      <xdr:colOff>1077686</xdr:colOff>
      <xdr:row>1</xdr:row>
      <xdr:rowOff>76202</xdr:rowOff>
    </xdr:from>
    <xdr:to>
      <xdr:col>7</xdr:col>
      <xdr:colOff>1559727</xdr:colOff>
      <xdr:row>1</xdr:row>
      <xdr:rowOff>506048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D9829D8F-06AE-4AE8-BC1C-12377F2B4ACD}"/>
            </a:ext>
          </a:extLst>
        </xdr:cNvPr>
        <xdr:cNvSpPr/>
      </xdr:nvSpPr>
      <xdr:spPr>
        <a:xfrm>
          <a:off x="5482046" y="853442"/>
          <a:ext cx="188956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7</xdr:col>
      <xdr:colOff>2100943</xdr:colOff>
      <xdr:row>1</xdr:row>
      <xdr:rowOff>76202</xdr:rowOff>
    </xdr:from>
    <xdr:to>
      <xdr:col>9</xdr:col>
      <xdr:colOff>188127</xdr:colOff>
      <xdr:row>1</xdr:row>
      <xdr:rowOff>506048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93949BFC-5DFC-4B47-9EA3-E88E71DF2B14}"/>
            </a:ext>
          </a:extLst>
        </xdr:cNvPr>
        <xdr:cNvSpPr/>
      </xdr:nvSpPr>
      <xdr:spPr>
        <a:xfrm>
          <a:off x="7912826" y="853442"/>
          <a:ext cx="1898272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9</xdr:col>
      <xdr:colOff>729343</xdr:colOff>
      <xdr:row>1</xdr:row>
      <xdr:rowOff>76202</xdr:rowOff>
    </xdr:from>
    <xdr:to>
      <xdr:col>10</xdr:col>
      <xdr:colOff>1755670</xdr:colOff>
      <xdr:row>1</xdr:row>
      <xdr:rowOff>506048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58A41306-52F2-4515-B55A-E740E380CA50}"/>
            </a:ext>
          </a:extLst>
        </xdr:cNvPr>
        <xdr:cNvSpPr/>
      </xdr:nvSpPr>
      <xdr:spPr>
        <a:xfrm>
          <a:off x="10352314" y="853442"/>
          <a:ext cx="1898273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RELATÓRIO DE ENTREGAS</a:t>
          </a:r>
        </a:p>
      </xdr:txBody>
    </xdr:sp>
    <xdr:clientData/>
  </xdr:twoCellAnchor>
  <xdr:twoCellAnchor editAs="absolute">
    <xdr:from>
      <xdr:col>11</xdr:col>
      <xdr:colOff>141514</xdr:colOff>
      <xdr:row>1</xdr:row>
      <xdr:rowOff>76202</xdr:rowOff>
    </xdr:from>
    <xdr:to>
      <xdr:col>12</xdr:col>
      <xdr:colOff>449384</xdr:colOff>
      <xdr:row>1</xdr:row>
      <xdr:rowOff>506048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8E6536FE-01F0-46AE-8C18-7784ED8D020C}"/>
            </a:ext>
          </a:extLst>
        </xdr:cNvPr>
        <xdr:cNvSpPr/>
      </xdr:nvSpPr>
      <xdr:spPr>
        <a:xfrm>
          <a:off x="12791803" y="853442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B5C5D18-BD58-42E0-A5D8-9493FF5CCB68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2964455D-AA25-4772-8034-286441CE8B5E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883CA67B-881E-40F5-B492-5C611172323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5</xdr:col>
      <xdr:colOff>258255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CC9FFE4-B049-445D-99C5-520EA60E6BAD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8E98B288-8390-475F-B8B9-CB75AB6C2A8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B49E451-C4E9-461B-863F-D0D2CD594D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74671786-57C5-444A-BABC-C58A307EB85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69254</xdr:colOff>
      <xdr:row>0</xdr:row>
      <xdr:rowOff>0</xdr:rowOff>
    </xdr:from>
    <xdr:to>
      <xdr:col>6</xdr:col>
      <xdr:colOff>1089895</xdr:colOff>
      <xdr:row>1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8A44D77F-A8EC-4113-ABBE-5E066410B51F}"/>
            </a:ext>
          </a:extLst>
        </xdr:cNvPr>
        <xdr:cNvSpPr/>
      </xdr:nvSpPr>
      <xdr:spPr>
        <a:xfrm>
          <a:off x="4473614" y="0"/>
          <a:ext cx="1020641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34620</xdr:colOff>
      <xdr:row>0</xdr:row>
      <xdr:rowOff>514894</xdr:rowOff>
    </xdr:from>
    <xdr:to>
      <xdr:col>6</xdr:col>
      <xdr:colOff>1150955</xdr:colOff>
      <xdr:row>0</xdr:row>
      <xdr:rowOff>769325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A3159094-782C-438C-A0A8-8C3444612FFB}"/>
            </a:ext>
          </a:extLst>
        </xdr:cNvPr>
        <xdr:cNvSpPr txBox="1"/>
      </xdr:nvSpPr>
      <xdr:spPr>
        <a:xfrm rot="10800000" flipH="1" flipV="1">
          <a:off x="4438980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371445</xdr:colOff>
      <xdr:row>0</xdr:row>
      <xdr:rowOff>91651</xdr:rowOff>
    </xdr:from>
    <xdr:to>
      <xdr:col>6</xdr:col>
      <xdr:colOff>788681</xdr:colOff>
      <xdr:row>0</xdr:row>
      <xdr:rowOff>494501</xdr:rowOff>
    </xdr:to>
    <xdr:pic>
      <xdr:nvPicPr>
        <xdr:cNvPr id="11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4F6D6C4-485C-4763-BBA7-60EF3F235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1363723</xdr:colOff>
      <xdr:row>0</xdr:row>
      <xdr:rowOff>0</xdr:rowOff>
    </xdr:from>
    <xdr:to>
      <xdr:col>7</xdr:col>
      <xdr:colOff>1064915</xdr:colOff>
      <xdr:row>1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F21EBE38-D87D-437E-99BD-48918A9E4FE2}"/>
            </a:ext>
          </a:extLst>
        </xdr:cNvPr>
        <xdr:cNvGrpSpPr/>
      </xdr:nvGrpSpPr>
      <xdr:grpSpPr>
        <a:xfrm>
          <a:off x="5772437" y="0"/>
          <a:ext cx="1116335" cy="772886"/>
          <a:chOff x="5781229" y="0"/>
          <a:chExt cx="1118289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A613191B-FB4A-45B4-BB3D-134D78A4EED8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9CAE984D-9873-476E-B63F-67AC7259C754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0F1C5C8-8005-44E2-9404-A311950036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1277690</xdr:colOff>
      <xdr:row>0</xdr:row>
      <xdr:rowOff>0</xdr:rowOff>
    </xdr:from>
    <xdr:to>
      <xdr:col>8</xdr:col>
      <xdr:colOff>97139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E5CA7E50-CB37-47B5-BEAE-13AF253DBA94}"/>
            </a:ext>
          </a:extLst>
        </xdr:cNvPr>
        <xdr:cNvGrpSpPr/>
      </xdr:nvGrpSpPr>
      <xdr:grpSpPr>
        <a:xfrm>
          <a:off x="7101547" y="0"/>
          <a:ext cx="1116335" cy="772886"/>
          <a:chOff x="7112293" y="0"/>
          <a:chExt cx="1118289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BE03BCB0-301D-44D6-A0F7-9FEDBE16A867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5E4D46DB-874A-4FAD-BE4A-E4D7D1067385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7565ACC-28F0-4283-BDE7-6603ED89AF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309912</xdr:colOff>
      <xdr:row>0</xdr:row>
      <xdr:rowOff>0</xdr:rowOff>
    </xdr:from>
    <xdr:to>
      <xdr:col>8</xdr:col>
      <xdr:colOff>1426247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D0F78521-FBDF-451E-AC44-8410414100C5}"/>
            </a:ext>
          </a:extLst>
        </xdr:cNvPr>
        <xdr:cNvGrpSpPr/>
      </xdr:nvGrpSpPr>
      <xdr:grpSpPr>
        <a:xfrm>
          <a:off x="8430655" y="0"/>
          <a:ext cx="1116335" cy="772886"/>
          <a:chOff x="8443355" y="0"/>
          <a:chExt cx="1118289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0587C5A1-928A-4FC1-8E68-86BA9D7B5D02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C34C1DFB-0D77-417E-AE04-336875F5FB74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30726E3-FC13-4FC4-8262-DB84688999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1638045</xdr:colOff>
      <xdr:row>0</xdr:row>
      <xdr:rowOff>0</xdr:rowOff>
    </xdr:from>
    <xdr:to>
      <xdr:col>9</xdr:col>
      <xdr:colOff>632643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EEA08F07-46C0-46B5-9F3E-030D8FEB4C96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AB7866E8-9BA8-42D4-A727-357C6EEFC7B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EF3EB322-9F87-41E4-8672-54B7814FD2E5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87D324B-81DF-4552-897C-82642E1218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844431</xdr:colOff>
      <xdr:row>0</xdr:row>
      <xdr:rowOff>0</xdr:rowOff>
    </xdr:from>
    <xdr:to>
      <xdr:col>10</xdr:col>
      <xdr:colOff>1089910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ED22782A-E8F5-4FE9-8F52-58AE9DDCD086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11E26AE6-BAA6-4E62-AD5F-685A1E5AB101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3A43F63F-F96A-417D-8BE4-B865019C7215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A089760-818A-42DF-BB1C-B8AA8B080B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372357</xdr:colOff>
      <xdr:row>0</xdr:row>
      <xdr:rowOff>0</xdr:rowOff>
    </xdr:from>
    <xdr:to>
      <xdr:col>5</xdr:col>
      <xdr:colOff>1489669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49928FB4-4E76-4A3A-B0AC-550743F16581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DBB662EA-60E8-4772-9073-7089CDE5BA35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6423EDE7-9F08-40C1-83EA-B97C1F39A3A8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D5554E3-F985-4093-A677-2908590450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B4C75F58-1799-42B5-9966-F47F10F75710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4</xdr:col>
      <xdr:colOff>68384</xdr:colOff>
      <xdr:row>1</xdr:row>
      <xdr:rowOff>506048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3C1ED435-5A3D-4889-8162-E945FA8990B5}"/>
            </a:ext>
          </a:extLst>
        </xdr:cNvPr>
        <xdr:cNvSpPr/>
      </xdr:nvSpPr>
      <xdr:spPr>
        <a:xfrm>
          <a:off x="609600" y="853442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5</xdr:col>
      <xdr:colOff>293914</xdr:colOff>
      <xdr:row>1</xdr:row>
      <xdr:rowOff>76202</xdr:rowOff>
    </xdr:from>
    <xdr:to>
      <xdr:col>6</xdr:col>
      <xdr:colOff>536470</xdr:colOff>
      <xdr:row>1</xdr:row>
      <xdr:rowOff>506048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32F7BEA4-10FA-470D-9E7A-57CCB0447F17}"/>
            </a:ext>
          </a:extLst>
        </xdr:cNvPr>
        <xdr:cNvSpPr/>
      </xdr:nvSpPr>
      <xdr:spPr>
        <a:xfrm>
          <a:off x="3044734" y="853442"/>
          <a:ext cx="1896096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6</xdr:col>
      <xdr:colOff>1077686</xdr:colOff>
      <xdr:row>1</xdr:row>
      <xdr:rowOff>76202</xdr:rowOff>
    </xdr:from>
    <xdr:to>
      <xdr:col>7</xdr:col>
      <xdr:colOff>1559727</xdr:colOff>
      <xdr:row>1</xdr:row>
      <xdr:rowOff>506048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8BE779A9-DC15-4EF3-BBD3-E3AEDB45DE50}"/>
            </a:ext>
          </a:extLst>
        </xdr:cNvPr>
        <xdr:cNvSpPr/>
      </xdr:nvSpPr>
      <xdr:spPr>
        <a:xfrm>
          <a:off x="5482046" y="853442"/>
          <a:ext cx="1891741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CRONOGRAMA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2100943</xdr:colOff>
      <xdr:row>1</xdr:row>
      <xdr:rowOff>76202</xdr:rowOff>
    </xdr:from>
    <xdr:to>
      <xdr:col>8</xdr:col>
      <xdr:colOff>1701241</xdr:colOff>
      <xdr:row>1</xdr:row>
      <xdr:rowOff>506048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1D2630D9-B8CF-4247-8354-FF14009632DF}"/>
            </a:ext>
          </a:extLst>
        </xdr:cNvPr>
        <xdr:cNvSpPr/>
      </xdr:nvSpPr>
      <xdr:spPr>
        <a:xfrm>
          <a:off x="7915003" y="853442"/>
          <a:ext cx="188956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9</xdr:col>
      <xdr:colOff>119743</xdr:colOff>
      <xdr:row>1</xdr:row>
      <xdr:rowOff>76202</xdr:rowOff>
    </xdr:from>
    <xdr:to>
      <xdr:col>10</xdr:col>
      <xdr:colOff>1146070</xdr:colOff>
      <xdr:row>1</xdr:row>
      <xdr:rowOff>506048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CD1739B3-6867-4293-BD88-2A7D3747268A}"/>
            </a:ext>
          </a:extLst>
        </xdr:cNvPr>
        <xdr:cNvSpPr/>
      </xdr:nvSpPr>
      <xdr:spPr>
        <a:xfrm>
          <a:off x="10345783" y="853442"/>
          <a:ext cx="18950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RELATÓRIO DE ENTREGAS</a:t>
          </a:r>
        </a:p>
      </xdr:txBody>
    </xdr:sp>
    <xdr:clientData/>
  </xdr:twoCellAnchor>
  <xdr:twoCellAnchor editAs="absolute">
    <xdr:from>
      <xdr:col>10</xdr:col>
      <xdr:colOff>1687286</xdr:colOff>
      <xdr:row>1</xdr:row>
      <xdr:rowOff>76202</xdr:rowOff>
    </xdr:from>
    <xdr:to>
      <xdr:col>11</xdr:col>
      <xdr:colOff>1439984</xdr:colOff>
      <xdr:row>1</xdr:row>
      <xdr:rowOff>506048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15199901-A184-4905-8BB7-4691DA946095}"/>
            </a:ext>
          </a:extLst>
        </xdr:cNvPr>
        <xdr:cNvSpPr/>
      </xdr:nvSpPr>
      <xdr:spPr>
        <a:xfrm>
          <a:off x="12783094" y="853442"/>
          <a:ext cx="1900450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73CF0251-D81E-46C3-A018-92C78D4F5C99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1DB62038-107B-41B2-B2E1-5FC57F79AE72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CC66AB5C-4973-4178-9DB6-5A5CE13767B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5</xdr:col>
      <xdr:colOff>258255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6B6759CA-CB0E-4028-938E-C8A693E264D9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C379E165-95D7-4C06-B43D-B0513A140F27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305BCF3-C132-4DA4-87CB-996DC5A4C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89DCCC4-85E6-4A46-888C-78C7AF755D7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69254</xdr:colOff>
      <xdr:row>0</xdr:row>
      <xdr:rowOff>0</xdr:rowOff>
    </xdr:from>
    <xdr:to>
      <xdr:col>6</xdr:col>
      <xdr:colOff>1089895</xdr:colOff>
      <xdr:row>1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6C2A8193-C569-49AB-8F8F-06DFC9ECA4C9}"/>
            </a:ext>
          </a:extLst>
        </xdr:cNvPr>
        <xdr:cNvSpPr/>
      </xdr:nvSpPr>
      <xdr:spPr>
        <a:xfrm>
          <a:off x="4473614" y="0"/>
          <a:ext cx="1020641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34620</xdr:colOff>
      <xdr:row>0</xdr:row>
      <xdr:rowOff>514894</xdr:rowOff>
    </xdr:from>
    <xdr:to>
      <xdr:col>6</xdr:col>
      <xdr:colOff>1150955</xdr:colOff>
      <xdr:row>0</xdr:row>
      <xdr:rowOff>769325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9E2CC007-4705-4767-95D9-B29BC8A39232}"/>
            </a:ext>
          </a:extLst>
        </xdr:cNvPr>
        <xdr:cNvSpPr txBox="1"/>
      </xdr:nvSpPr>
      <xdr:spPr>
        <a:xfrm rot="10800000" flipH="1" flipV="1">
          <a:off x="4438980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371445</xdr:colOff>
      <xdr:row>0</xdr:row>
      <xdr:rowOff>91651</xdr:rowOff>
    </xdr:from>
    <xdr:to>
      <xdr:col>6</xdr:col>
      <xdr:colOff>788681</xdr:colOff>
      <xdr:row>0</xdr:row>
      <xdr:rowOff>494501</xdr:rowOff>
    </xdr:to>
    <xdr:pic>
      <xdr:nvPicPr>
        <xdr:cNvPr id="11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9286CFF-60D1-4C4B-ACA5-593C64E9A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1363723</xdr:colOff>
      <xdr:row>0</xdr:row>
      <xdr:rowOff>0</xdr:rowOff>
    </xdr:from>
    <xdr:to>
      <xdr:col>7</xdr:col>
      <xdr:colOff>1064915</xdr:colOff>
      <xdr:row>1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5139A2B7-A2EF-4F3D-89DC-FF20F90CCA25}"/>
            </a:ext>
          </a:extLst>
        </xdr:cNvPr>
        <xdr:cNvGrpSpPr/>
      </xdr:nvGrpSpPr>
      <xdr:grpSpPr>
        <a:xfrm>
          <a:off x="5772437" y="0"/>
          <a:ext cx="1116335" cy="772886"/>
          <a:chOff x="5781229" y="0"/>
          <a:chExt cx="1118289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B0870BC1-274C-4FF0-BECF-AC1651685D09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C54255BA-3B49-4AF8-85A2-8EB287B9333F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30114BA-E638-4EA7-85FB-47EF74DF60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1277690</xdr:colOff>
      <xdr:row>0</xdr:row>
      <xdr:rowOff>0</xdr:rowOff>
    </xdr:from>
    <xdr:to>
      <xdr:col>8</xdr:col>
      <xdr:colOff>97139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4F15E7F-A997-4C59-ADED-86DF61B2672E}"/>
            </a:ext>
          </a:extLst>
        </xdr:cNvPr>
        <xdr:cNvGrpSpPr/>
      </xdr:nvGrpSpPr>
      <xdr:grpSpPr>
        <a:xfrm>
          <a:off x="7101547" y="0"/>
          <a:ext cx="1116335" cy="772886"/>
          <a:chOff x="7112293" y="0"/>
          <a:chExt cx="1118289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6568B727-0FC1-4E74-9F34-36BF6844A5D5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92CE42E6-11B3-4AD7-9BCF-F828612FBBC3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3C42B6D-5579-49CD-AFB0-ADCA60AFCE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309912</xdr:colOff>
      <xdr:row>0</xdr:row>
      <xdr:rowOff>0</xdr:rowOff>
    </xdr:from>
    <xdr:to>
      <xdr:col>8</xdr:col>
      <xdr:colOff>1426247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94EF4257-57CF-41A9-BFEC-D4400CAA7D94}"/>
            </a:ext>
          </a:extLst>
        </xdr:cNvPr>
        <xdr:cNvGrpSpPr/>
      </xdr:nvGrpSpPr>
      <xdr:grpSpPr>
        <a:xfrm>
          <a:off x="8430655" y="0"/>
          <a:ext cx="1116335" cy="772886"/>
          <a:chOff x="8443355" y="0"/>
          <a:chExt cx="1118289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F3167B5A-744D-4EEE-A857-2669F36F6926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8FEE2CC4-C9F5-425C-BDF8-C5DE75BEA831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9A7C8F3-91BC-4CD9-AA34-F04882FDC2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124931</xdr:colOff>
      <xdr:row>0</xdr:row>
      <xdr:rowOff>0</xdr:rowOff>
    </xdr:from>
    <xdr:to>
      <xdr:col>9</xdr:col>
      <xdr:colOff>1242243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4C570BE7-2CFB-447A-AEED-6EAB41F78653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61F7D3B1-E270-4689-AD81-270A7E38D32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079E13C9-CAFD-4163-9FC5-6CC80B453477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BC7AF1-4A50-42FB-9B18-7D39FBE858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1454031</xdr:colOff>
      <xdr:row>0</xdr:row>
      <xdr:rowOff>0</xdr:rowOff>
    </xdr:from>
    <xdr:to>
      <xdr:col>10</xdr:col>
      <xdr:colOff>708910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C81401AC-C4B8-4D4C-A123-268F6D74628A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0154FFD1-8261-49B1-968F-BFC4F8EBCBD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3B742D2C-E623-40FA-B4F6-56D63CF7BF25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734E37C-937D-45C4-AF02-4B73833095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372357</xdr:colOff>
      <xdr:row>0</xdr:row>
      <xdr:rowOff>0</xdr:rowOff>
    </xdr:from>
    <xdr:to>
      <xdr:col>5</xdr:col>
      <xdr:colOff>1489669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CBC7BB66-846A-410C-B196-6EF59F9B1765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368A6300-EEEA-43B6-A75D-F21810AD492C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1C06814D-C2F2-4103-A47E-25F198778943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54B4940-CE44-4D9D-88C3-BF55CB1E84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68AAB0F4-D96C-47B8-90EB-B3082BAE017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4</xdr:col>
      <xdr:colOff>68384</xdr:colOff>
      <xdr:row>1</xdr:row>
      <xdr:rowOff>506048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44393C56-B853-448A-ABF1-8668AF690AB1}"/>
            </a:ext>
          </a:extLst>
        </xdr:cNvPr>
        <xdr:cNvSpPr/>
      </xdr:nvSpPr>
      <xdr:spPr>
        <a:xfrm>
          <a:off x="609600" y="853442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5</xdr:col>
      <xdr:colOff>293914</xdr:colOff>
      <xdr:row>1</xdr:row>
      <xdr:rowOff>76202</xdr:rowOff>
    </xdr:from>
    <xdr:to>
      <xdr:col>6</xdr:col>
      <xdr:colOff>536470</xdr:colOff>
      <xdr:row>1</xdr:row>
      <xdr:rowOff>506048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EC9E61CB-4865-4314-842B-8AD9C3C270B0}"/>
            </a:ext>
          </a:extLst>
        </xdr:cNvPr>
        <xdr:cNvSpPr/>
      </xdr:nvSpPr>
      <xdr:spPr>
        <a:xfrm>
          <a:off x="3044734" y="853442"/>
          <a:ext cx="1896096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6</xdr:col>
      <xdr:colOff>1077686</xdr:colOff>
      <xdr:row>1</xdr:row>
      <xdr:rowOff>76202</xdr:rowOff>
    </xdr:from>
    <xdr:to>
      <xdr:col>7</xdr:col>
      <xdr:colOff>1559727</xdr:colOff>
      <xdr:row>1</xdr:row>
      <xdr:rowOff>506048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15471FFC-B464-4F91-8257-5C52AC47EB1E}"/>
            </a:ext>
          </a:extLst>
        </xdr:cNvPr>
        <xdr:cNvSpPr/>
      </xdr:nvSpPr>
      <xdr:spPr>
        <a:xfrm>
          <a:off x="5482046" y="853442"/>
          <a:ext cx="189174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CRONOGRAMA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2100943</xdr:colOff>
      <xdr:row>1</xdr:row>
      <xdr:rowOff>76202</xdr:rowOff>
    </xdr:from>
    <xdr:to>
      <xdr:col>9</xdr:col>
      <xdr:colOff>188127</xdr:colOff>
      <xdr:row>1</xdr:row>
      <xdr:rowOff>506048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675AAB13-C920-42CB-8445-D36001CCB112}"/>
            </a:ext>
          </a:extLst>
        </xdr:cNvPr>
        <xdr:cNvSpPr/>
      </xdr:nvSpPr>
      <xdr:spPr>
        <a:xfrm>
          <a:off x="7915003" y="853442"/>
          <a:ext cx="1889564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CALCULO DE FRETE</a:t>
          </a:r>
        </a:p>
      </xdr:txBody>
    </xdr:sp>
    <xdr:clientData/>
  </xdr:twoCellAnchor>
  <xdr:twoCellAnchor editAs="absolute">
    <xdr:from>
      <xdr:col>9</xdr:col>
      <xdr:colOff>729343</xdr:colOff>
      <xdr:row>1</xdr:row>
      <xdr:rowOff>76202</xdr:rowOff>
    </xdr:from>
    <xdr:to>
      <xdr:col>10</xdr:col>
      <xdr:colOff>765070</xdr:colOff>
      <xdr:row>1</xdr:row>
      <xdr:rowOff>506048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E84F1F3B-B798-4FDC-8377-4CD5A1B7675B}"/>
            </a:ext>
          </a:extLst>
        </xdr:cNvPr>
        <xdr:cNvSpPr/>
      </xdr:nvSpPr>
      <xdr:spPr>
        <a:xfrm>
          <a:off x="10345783" y="853442"/>
          <a:ext cx="18950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RELATÓRIO DE ENTREGAS</a:t>
          </a:r>
        </a:p>
      </xdr:txBody>
    </xdr:sp>
    <xdr:clientData/>
  </xdr:twoCellAnchor>
  <xdr:twoCellAnchor editAs="absolute">
    <xdr:from>
      <xdr:col>10</xdr:col>
      <xdr:colOff>1306286</xdr:colOff>
      <xdr:row>1</xdr:row>
      <xdr:rowOff>76202</xdr:rowOff>
    </xdr:from>
    <xdr:to>
      <xdr:col>11</xdr:col>
      <xdr:colOff>1048098</xdr:colOff>
      <xdr:row>1</xdr:row>
      <xdr:rowOff>506048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8793E03-7A28-45AD-A4DD-3259CD8A3D93}"/>
            </a:ext>
          </a:extLst>
        </xdr:cNvPr>
        <xdr:cNvSpPr/>
      </xdr:nvSpPr>
      <xdr:spPr>
        <a:xfrm>
          <a:off x="12783094" y="853442"/>
          <a:ext cx="1900450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8F2ED4A-7384-4B2D-A58C-4ECBBE155C74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B71E0CC8-F667-43F8-80DF-4EE446952BFD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3FBF00D4-3DD7-4815-A532-4852D266B67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5</xdr:col>
      <xdr:colOff>258255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71820D34-55DF-4A51-9D15-E247C10057E1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7324C30B-8671-4D60-952B-2F6849677F5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55FC359-76B3-4121-A185-7F9D89132E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823DC4F8-3C2D-4AA8-82F9-C21479168C3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69254</xdr:colOff>
      <xdr:row>0</xdr:row>
      <xdr:rowOff>0</xdr:rowOff>
    </xdr:from>
    <xdr:to>
      <xdr:col>6</xdr:col>
      <xdr:colOff>1089895</xdr:colOff>
      <xdr:row>1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E642076A-3A01-40E8-B992-DD7EFC59C0A2}"/>
            </a:ext>
          </a:extLst>
        </xdr:cNvPr>
        <xdr:cNvSpPr/>
      </xdr:nvSpPr>
      <xdr:spPr>
        <a:xfrm>
          <a:off x="4473614" y="0"/>
          <a:ext cx="1020641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34620</xdr:colOff>
      <xdr:row>0</xdr:row>
      <xdr:rowOff>514894</xdr:rowOff>
    </xdr:from>
    <xdr:to>
      <xdr:col>6</xdr:col>
      <xdr:colOff>1150955</xdr:colOff>
      <xdr:row>0</xdr:row>
      <xdr:rowOff>769325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F5782DF1-2716-4CDB-BBB1-63B06470D92F}"/>
            </a:ext>
          </a:extLst>
        </xdr:cNvPr>
        <xdr:cNvSpPr txBox="1"/>
      </xdr:nvSpPr>
      <xdr:spPr>
        <a:xfrm rot="10800000" flipH="1" flipV="1">
          <a:off x="4438980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371445</xdr:colOff>
      <xdr:row>0</xdr:row>
      <xdr:rowOff>91651</xdr:rowOff>
    </xdr:from>
    <xdr:to>
      <xdr:col>6</xdr:col>
      <xdr:colOff>788681</xdr:colOff>
      <xdr:row>0</xdr:row>
      <xdr:rowOff>494501</xdr:rowOff>
    </xdr:to>
    <xdr:pic>
      <xdr:nvPicPr>
        <xdr:cNvPr id="11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70DAD25-C96D-47FD-8C7C-87A275E94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1363723</xdr:colOff>
      <xdr:row>0</xdr:row>
      <xdr:rowOff>0</xdr:rowOff>
    </xdr:from>
    <xdr:to>
      <xdr:col>7</xdr:col>
      <xdr:colOff>1064915</xdr:colOff>
      <xdr:row>1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96AED5FC-5DD4-4693-8A48-FE74DEB395EC}"/>
            </a:ext>
          </a:extLst>
        </xdr:cNvPr>
        <xdr:cNvGrpSpPr/>
      </xdr:nvGrpSpPr>
      <xdr:grpSpPr>
        <a:xfrm>
          <a:off x="5772437" y="0"/>
          <a:ext cx="1116335" cy="772886"/>
          <a:chOff x="5781229" y="0"/>
          <a:chExt cx="1118289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112A150-0E41-4056-AA17-50F68E7C9138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373A446C-7E11-4932-BE1F-6C1C5762453B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2EC8B98-F24C-4B76-8AFF-D8E150E02D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1277690</xdr:colOff>
      <xdr:row>0</xdr:row>
      <xdr:rowOff>0</xdr:rowOff>
    </xdr:from>
    <xdr:to>
      <xdr:col>8</xdr:col>
      <xdr:colOff>97139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996BCF38-E8F0-48FC-BF1E-4347ED003232}"/>
            </a:ext>
          </a:extLst>
        </xdr:cNvPr>
        <xdr:cNvGrpSpPr/>
      </xdr:nvGrpSpPr>
      <xdr:grpSpPr>
        <a:xfrm>
          <a:off x="7101547" y="0"/>
          <a:ext cx="1116335" cy="772886"/>
          <a:chOff x="7112293" y="0"/>
          <a:chExt cx="1118289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A315594-2521-4CD8-9C93-BC265189AB5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6D2AFFC6-51EE-4A18-868E-565E1F1F34F2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7528C72-960E-485E-9C69-40CF58CB2D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309912</xdr:colOff>
      <xdr:row>0</xdr:row>
      <xdr:rowOff>0</xdr:rowOff>
    </xdr:from>
    <xdr:to>
      <xdr:col>8</xdr:col>
      <xdr:colOff>1426247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9DC453E3-5B08-454F-94EB-E8AE53D9AE37}"/>
            </a:ext>
          </a:extLst>
        </xdr:cNvPr>
        <xdr:cNvGrpSpPr/>
      </xdr:nvGrpSpPr>
      <xdr:grpSpPr>
        <a:xfrm>
          <a:off x="8430655" y="0"/>
          <a:ext cx="1116335" cy="772886"/>
          <a:chOff x="8443355" y="0"/>
          <a:chExt cx="1118289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03D953ED-756F-412C-A20B-62CDF56E276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371D1D82-C46F-4997-9FA8-8628A38B9C25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9D65C01-C6C5-4D29-968F-CFC44B3147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124931</xdr:colOff>
      <xdr:row>0</xdr:row>
      <xdr:rowOff>0</xdr:rowOff>
    </xdr:from>
    <xdr:to>
      <xdr:col>9</xdr:col>
      <xdr:colOff>1242243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F83F4037-82CA-45DB-B173-083B8F3E71A1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99CE85F7-B7A3-4EA1-9477-7B3C853CC18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1F8EEE86-2AEB-40E0-892D-710860B6F018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EBE2C13-F06C-4CC4-A9B4-410ACA96F7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1454031</xdr:colOff>
      <xdr:row>0</xdr:row>
      <xdr:rowOff>0</xdr:rowOff>
    </xdr:from>
    <xdr:to>
      <xdr:col>10</xdr:col>
      <xdr:colOff>708910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71E926F6-898E-436C-B61C-46D918F5BC30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56081FD6-D0D4-431D-9CFA-FD0AE537291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CB8DAFDD-F15E-4FD9-8095-91315713BF7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1E417D3-2747-4727-993F-8BCC87AE3B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372357</xdr:colOff>
      <xdr:row>0</xdr:row>
      <xdr:rowOff>0</xdr:rowOff>
    </xdr:from>
    <xdr:to>
      <xdr:col>5</xdr:col>
      <xdr:colOff>1489669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20F9A91C-EEC2-4E05-8EDA-7F25D3FE7A10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D805FE05-20E8-4263-8A84-A5F4FAB2AE40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CEFA6F04-90E9-4830-B5E4-55E78499EE03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38B499D-1B57-4F80-9AD9-D01FA5766D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47F4956E-2630-48F3-9C65-91A3E2DC835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4</xdr:col>
      <xdr:colOff>68384</xdr:colOff>
      <xdr:row>1</xdr:row>
      <xdr:rowOff>506048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596AF550-3656-423F-B57C-363C9E25BDBC}"/>
            </a:ext>
          </a:extLst>
        </xdr:cNvPr>
        <xdr:cNvSpPr/>
      </xdr:nvSpPr>
      <xdr:spPr>
        <a:xfrm>
          <a:off x="609600" y="853442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5</xdr:col>
      <xdr:colOff>293914</xdr:colOff>
      <xdr:row>1</xdr:row>
      <xdr:rowOff>76202</xdr:rowOff>
    </xdr:from>
    <xdr:to>
      <xdr:col>6</xdr:col>
      <xdr:colOff>536470</xdr:colOff>
      <xdr:row>1</xdr:row>
      <xdr:rowOff>506048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E8D48CE5-2802-4B3A-8681-2224F4A1BEE6}"/>
            </a:ext>
          </a:extLst>
        </xdr:cNvPr>
        <xdr:cNvSpPr/>
      </xdr:nvSpPr>
      <xdr:spPr>
        <a:xfrm>
          <a:off x="3044734" y="853442"/>
          <a:ext cx="1896096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6</xdr:col>
      <xdr:colOff>1077686</xdr:colOff>
      <xdr:row>1</xdr:row>
      <xdr:rowOff>76202</xdr:rowOff>
    </xdr:from>
    <xdr:to>
      <xdr:col>7</xdr:col>
      <xdr:colOff>1559727</xdr:colOff>
      <xdr:row>1</xdr:row>
      <xdr:rowOff>506048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2DBF3C03-C8B6-4EE1-9FFC-091A7B577A6B}"/>
            </a:ext>
          </a:extLst>
        </xdr:cNvPr>
        <xdr:cNvSpPr/>
      </xdr:nvSpPr>
      <xdr:spPr>
        <a:xfrm>
          <a:off x="5482046" y="853442"/>
          <a:ext cx="189174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CRONOGRAMA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2100943</xdr:colOff>
      <xdr:row>1</xdr:row>
      <xdr:rowOff>76202</xdr:rowOff>
    </xdr:from>
    <xdr:to>
      <xdr:col>9</xdr:col>
      <xdr:colOff>188127</xdr:colOff>
      <xdr:row>1</xdr:row>
      <xdr:rowOff>506048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8F8D0CDA-6807-4D7F-98A3-35C3EEBE8FE1}"/>
            </a:ext>
          </a:extLst>
        </xdr:cNvPr>
        <xdr:cNvSpPr/>
      </xdr:nvSpPr>
      <xdr:spPr>
        <a:xfrm>
          <a:off x="7915003" y="853442"/>
          <a:ext cx="188956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CALCULO DE FRETE</a:t>
          </a:r>
        </a:p>
      </xdr:txBody>
    </xdr:sp>
    <xdr:clientData/>
  </xdr:twoCellAnchor>
  <xdr:twoCellAnchor editAs="absolute">
    <xdr:from>
      <xdr:col>9</xdr:col>
      <xdr:colOff>729343</xdr:colOff>
      <xdr:row>1</xdr:row>
      <xdr:rowOff>76202</xdr:rowOff>
    </xdr:from>
    <xdr:to>
      <xdr:col>10</xdr:col>
      <xdr:colOff>765070</xdr:colOff>
      <xdr:row>1</xdr:row>
      <xdr:rowOff>506048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A647986C-B8AB-4A5A-A346-EA0A80521331}"/>
            </a:ext>
          </a:extLst>
        </xdr:cNvPr>
        <xdr:cNvSpPr/>
      </xdr:nvSpPr>
      <xdr:spPr>
        <a:xfrm>
          <a:off x="10345783" y="853442"/>
          <a:ext cx="1895007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RELATÓRIO DE ENTREGAS</a:t>
          </a:r>
        </a:p>
      </xdr:txBody>
    </xdr:sp>
    <xdr:clientData/>
  </xdr:twoCellAnchor>
  <xdr:twoCellAnchor editAs="absolute">
    <xdr:from>
      <xdr:col>10</xdr:col>
      <xdr:colOff>1306286</xdr:colOff>
      <xdr:row>1</xdr:row>
      <xdr:rowOff>76202</xdr:rowOff>
    </xdr:from>
    <xdr:to>
      <xdr:col>11</xdr:col>
      <xdr:colOff>1048098</xdr:colOff>
      <xdr:row>1</xdr:row>
      <xdr:rowOff>506048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887EFFB3-A12B-451A-94E0-3D53A610A499}"/>
            </a:ext>
          </a:extLst>
        </xdr:cNvPr>
        <xdr:cNvSpPr/>
      </xdr:nvSpPr>
      <xdr:spPr>
        <a:xfrm>
          <a:off x="12782006" y="853442"/>
          <a:ext cx="1898272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6D5F4C5-30E5-4F07-82F0-0B4D45BD886A}"/>
            </a:ext>
          </a:extLst>
        </xdr:cNvPr>
        <xdr:cNvGrpSpPr/>
      </xdr:nvGrpSpPr>
      <xdr:grpSpPr>
        <a:xfrm>
          <a:off x="0" y="1"/>
          <a:ext cx="1840006" cy="776175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73F575A-9561-4B03-A6F5-5179E05426EF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FA49F81-1C6E-45D5-BBE7-510F4EBCABE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5</xdr:col>
      <xdr:colOff>258255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E7D9365D-3511-4C7B-B5E7-068F62EF04CD}"/>
            </a:ext>
          </a:extLst>
        </xdr:cNvPr>
        <xdr:cNvGrpSpPr/>
      </xdr:nvGrpSpPr>
      <xdr:grpSpPr>
        <a:xfrm>
          <a:off x="1990723" y="0"/>
          <a:ext cx="1024587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1AB6DB8B-793D-4186-9EDA-03C69D02C23C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0538F55-9338-413A-BEA3-486D92F5F5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13F83120-FAA5-48F2-B72C-D255F9F0670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69254</xdr:colOff>
      <xdr:row>0</xdr:row>
      <xdr:rowOff>0</xdr:rowOff>
    </xdr:from>
    <xdr:to>
      <xdr:col>6</xdr:col>
      <xdr:colOff>1089895</xdr:colOff>
      <xdr:row>1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E2A5292C-4E95-468F-8A89-DF2571E62418}"/>
            </a:ext>
          </a:extLst>
        </xdr:cNvPr>
        <xdr:cNvSpPr/>
      </xdr:nvSpPr>
      <xdr:spPr>
        <a:xfrm>
          <a:off x="4473614" y="0"/>
          <a:ext cx="1020641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34620</xdr:colOff>
      <xdr:row>0</xdr:row>
      <xdr:rowOff>514894</xdr:rowOff>
    </xdr:from>
    <xdr:to>
      <xdr:col>6</xdr:col>
      <xdr:colOff>1150955</xdr:colOff>
      <xdr:row>0</xdr:row>
      <xdr:rowOff>769325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2BE33B23-736B-4FC5-A582-71B0BDAF8F26}"/>
            </a:ext>
          </a:extLst>
        </xdr:cNvPr>
        <xdr:cNvSpPr txBox="1"/>
      </xdr:nvSpPr>
      <xdr:spPr>
        <a:xfrm rot="10800000" flipH="1" flipV="1">
          <a:off x="4438980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371445</xdr:colOff>
      <xdr:row>0</xdr:row>
      <xdr:rowOff>91651</xdr:rowOff>
    </xdr:from>
    <xdr:to>
      <xdr:col>6</xdr:col>
      <xdr:colOff>788681</xdr:colOff>
      <xdr:row>0</xdr:row>
      <xdr:rowOff>494501</xdr:rowOff>
    </xdr:to>
    <xdr:pic>
      <xdr:nvPicPr>
        <xdr:cNvPr id="11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231E127-80A0-4D7D-A4E5-D6C1702D8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1363723</xdr:colOff>
      <xdr:row>0</xdr:row>
      <xdr:rowOff>0</xdr:rowOff>
    </xdr:from>
    <xdr:to>
      <xdr:col>7</xdr:col>
      <xdr:colOff>1064915</xdr:colOff>
      <xdr:row>1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EC3DEAE9-20EB-4BDD-A3A3-1DEA9DBD63B4}"/>
            </a:ext>
          </a:extLst>
        </xdr:cNvPr>
        <xdr:cNvGrpSpPr/>
      </xdr:nvGrpSpPr>
      <xdr:grpSpPr>
        <a:xfrm>
          <a:off x="5769468" y="0"/>
          <a:ext cx="1114356" cy="775855"/>
          <a:chOff x="5781229" y="0"/>
          <a:chExt cx="1118289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921E5-CCC8-4D8B-B971-B0937E88D634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DFB49CAE-A640-44F9-AB60-3BA22D78EB9D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C738C99-B9B7-43C0-B932-D8E43BD960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1277690</xdr:colOff>
      <xdr:row>0</xdr:row>
      <xdr:rowOff>0</xdr:rowOff>
    </xdr:from>
    <xdr:to>
      <xdr:col>8</xdr:col>
      <xdr:colOff>97139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A7364881-6E20-4DB5-8023-5DAD90D8DB3E}"/>
            </a:ext>
          </a:extLst>
        </xdr:cNvPr>
        <xdr:cNvGrpSpPr/>
      </xdr:nvGrpSpPr>
      <xdr:grpSpPr>
        <a:xfrm>
          <a:off x="7096599" y="0"/>
          <a:ext cx="1119304" cy="775855"/>
          <a:chOff x="7112293" y="0"/>
          <a:chExt cx="1118289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115EDEF2-E1C0-45DD-B683-741B9C3AC91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1EFFE23B-4B5D-4820-AE8B-A613F20BDBB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C8FCF16-45A5-43B9-89B5-4D609FC003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309912</xdr:colOff>
      <xdr:row>0</xdr:row>
      <xdr:rowOff>0</xdr:rowOff>
    </xdr:from>
    <xdr:to>
      <xdr:col>8</xdr:col>
      <xdr:colOff>1426247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883F2E4D-1634-4965-A2F9-FC2DC576D2AB}"/>
            </a:ext>
          </a:extLst>
        </xdr:cNvPr>
        <xdr:cNvGrpSpPr/>
      </xdr:nvGrpSpPr>
      <xdr:grpSpPr>
        <a:xfrm>
          <a:off x="8428676" y="0"/>
          <a:ext cx="1116335" cy="775855"/>
          <a:chOff x="8443355" y="0"/>
          <a:chExt cx="1118289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890E1DAD-0425-4383-BA5D-1B898ECB1CB5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29DEFFCD-D256-4E61-9938-4CC626A240E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AFBD080-AF67-4EB9-B396-467DD4FBAA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124931</xdr:colOff>
      <xdr:row>0</xdr:row>
      <xdr:rowOff>0</xdr:rowOff>
    </xdr:from>
    <xdr:to>
      <xdr:col>9</xdr:col>
      <xdr:colOff>1242243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3EE8ABB8-E07F-43BA-92AB-7524FB8E2159}"/>
            </a:ext>
          </a:extLst>
        </xdr:cNvPr>
        <xdr:cNvGrpSpPr/>
      </xdr:nvGrpSpPr>
      <xdr:grpSpPr>
        <a:xfrm>
          <a:off x="9753840" y="0"/>
          <a:ext cx="1117312" cy="775855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9FB1FE70-83A3-4AA8-9E21-9723CA9BEE7F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3DDB2EEB-8DBB-4F90-A7E3-1705D7EC76C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C8FCFAE-46F4-4C69-9058-EBB6B091EC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1454031</xdr:colOff>
      <xdr:row>0</xdr:row>
      <xdr:rowOff>0</xdr:rowOff>
    </xdr:from>
    <xdr:to>
      <xdr:col>10</xdr:col>
      <xdr:colOff>708910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86F3B911-7F5E-4D18-8BA7-4A11035CC2CA}"/>
            </a:ext>
          </a:extLst>
        </xdr:cNvPr>
        <xdr:cNvGrpSpPr/>
      </xdr:nvGrpSpPr>
      <xdr:grpSpPr>
        <a:xfrm>
          <a:off x="11082940" y="0"/>
          <a:ext cx="1111388" cy="775855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6486C4BB-8DBD-42C5-8610-77AED9C4689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EA7E91B7-2997-45A8-BACF-174AE9204C75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D8F0AFD-2F96-439A-B9E3-023F143444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372357</xdr:colOff>
      <xdr:row>0</xdr:row>
      <xdr:rowOff>0</xdr:rowOff>
    </xdr:from>
    <xdr:to>
      <xdr:col>5</xdr:col>
      <xdr:colOff>1489669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913052D1-7D32-49BB-95B2-620A97A8DC93}"/>
            </a:ext>
          </a:extLst>
        </xdr:cNvPr>
        <xdr:cNvGrpSpPr/>
      </xdr:nvGrpSpPr>
      <xdr:grpSpPr>
        <a:xfrm>
          <a:off x="3129412" y="0"/>
          <a:ext cx="1117312" cy="775855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8A4BF58F-EBB7-4256-84DF-2599B67E42E4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434C60B4-7C80-45EE-89FD-BC293264BD09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84556C5-1D1A-4314-9F05-418D85AA67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65645359-6711-43E6-90BA-A5F54F4FF06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4</xdr:col>
      <xdr:colOff>68384</xdr:colOff>
      <xdr:row>1</xdr:row>
      <xdr:rowOff>506048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B39A10A0-9862-4B5D-B732-41CAC73D45E1}"/>
            </a:ext>
          </a:extLst>
        </xdr:cNvPr>
        <xdr:cNvSpPr/>
      </xdr:nvSpPr>
      <xdr:spPr>
        <a:xfrm>
          <a:off x="609600" y="853442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5</xdr:col>
      <xdr:colOff>293914</xdr:colOff>
      <xdr:row>1</xdr:row>
      <xdr:rowOff>76202</xdr:rowOff>
    </xdr:from>
    <xdr:to>
      <xdr:col>6</xdr:col>
      <xdr:colOff>536470</xdr:colOff>
      <xdr:row>1</xdr:row>
      <xdr:rowOff>506048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C5C22AD2-B550-40CB-9F73-78A08A4F30C0}"/>
            </a:ext>
          </a:extLst>
        </xdr:cNvPr>
        <xdr:cNvSpPr/>
      </xdr:nvSpPr>
      <xdr:spPr>
        <a:xfrm>
          <a:off x="3044734" y="853442"/>
          <a:ext cx="1896096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6</xdr:col>
      <xdr:colOff>1077686</xdr:colOff>
      <xdr:row>1</xdr:row>
      <xdr:rowOff>76202</xdr:rowOff>
    </xdr:from>
    <xdr:to>
      <xdr:col>7</xdr:col>
      <xdr:colOff>1559727</xdr:colOff>
      <xdr:row>1</xdr:row>
      <xdr:rowOff>506048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C250C30E-528F-45FF-8C4E-0CB2F0E246E5}"/>
            </a:ext>
          </a:extLst>
        </xdr:cNvPr>
        <xdr:cNvSpPr/>
      </xdr:nvSpPr>
      <xdr:spPr>
        <a:xfrm>
          <a:off x="5482046" y="853442"/>
          <a:ext cx="189174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CRONOGRAMA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2100943</xdr:colOff>
      <xdr:row>1</xdr:row>
      <xdr:rowOff>76202</xdr:rowOff>
    </xdr:from>
    <xdr:to>
      <xdr:col>9</xdr:col>
      <xdr:colOff>188127</xdr:colOff>
      <xdr:row>1</xdr:row>
      <xdr:rowOff>506048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A1C33A1E-3B91-4CB7-A073-D00A328B9542}"/>
            </a:ext>
          </a:extLst>
        </xdr:cNvPr>
        <xdr:cNvSpPr/>
      </xdr:nvSpPr>
      <xdr:spPr>
        <a:xfrm>
          <a:off x="7915003" y="853442"/>
          <a:ext cx="188956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CALCULO DE FRETE</a:t>
          </a:r>
        </a:p>
      </xdr:txBody>
    </xdr:sp>
    <xdr:clientData/>
  </xdr:twoCellAnchor>
  <xdr:twoCellAnchor editAs="absolute">
    <xdr:from>
      <xdr:col>9</xdr:col>
      <xdr:colOff>729343</xdr:colOff>
      <xdr:row>1</xdr:row>
      <xdr:rowOff>76202</xdr:rowOff>
    </xdr:from>
    <xdr:to>
      <xdr:col>10</xdr:col>
      <xdr:colOff>765070</xdr:colOff>
      <xdr:row>1</xdr:row>
      <xdr:rowOff>506048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1764E91C-5553-4247-8A24-7F6C81907A61}"/>
            </a:ext>
          </a:extLst>
        </xdr:cNvPr>
        <xdr:cNvSpPr/>
      </xdr:nvSpPr>
      <xdr:spPr>
        <a:xfrm>
          <a:off x="10345783" y="853442"/>
          <a:ext cx="18950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RELATÓRIO DE ENTREGAS</a:t>
          </a:r>
        </a:p>
      </xdr:txBody>
    </xdr:sp>
    <xdr:clientData/>
  </xdr:twoCellAnchor>
  <xdr:twoCellAnchor editAs="absolute">
    <xdr:from>
      <xdr:col>10</xdr:col>
      <xdr:colOff>1306286</xdr:colOff>
      <xdr:row>1</xdr:row>
      <xdr:rowOff>76202</xdr:rowOff>
    </xdr:from>
    <xdr:to>
      <xdr:col>11</xdr:col>
      <xdr:colOff>1048098</xdr:colOff>
      <xdr:row>1</xdr:row>
      <xdr:rowOff>506048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FDF3870D-464B-4A1C-A0AB-3F079A188B4A}"/>
            </a:ext>
          </a:extLst>
        </xdr:cNvPr>
        <xdr:cNvSpPr/>
      </xdr:nvSpPr>
      <xdr:spPr>
        <a:xfrm>
          <a:off x="12782006" y="853442"/>
          <a:ext cx="1898272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RASTREAMENTO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ESTOQUE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0</xdr:row>
      <xdr:rowOff>773207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556222E-8B11-46D4-9173-BAE9FEF4F200}"/>
            </a:ext>
          </a:extLst>
        </xdr:cNvPr>
        <xdr:cNvGrpSpPr/>
      </xdr:nvGrpSpPr>
      <xdr:grpSpPr>
        <a:xfrm>
          <a:off x="0" y="1"/>
          <a:ext cx="1828283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6813737D-9855-463A-A421-0EEA773D51AD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1774ACA4-619B-489A-B921-FAEFF87043B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52B59ECB-E43A-4429-9ED3-67FDBD993451}"/>
            </a:ext>
          </a:extLst>
        </xdr:cNvPr>
        <xdr:cNvGrpSpPr/>
      </xdr:nvGrpSpPr>
      <xdr:grpSpPr>
        <a:xfrm>
          <a:off x="1979000" y="0"/>
          <a:ext cx="1017710" cy="781538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335FB711-345B-45F7-A696-96C13EFE51A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24156A-93F2-41AE-A1DF-302611A5E0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303E125B-2409-48B7-A085-2FFAE73F5FA7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7</xdr:col>
      <xdr:colOff>397119</xdr:colOff>
      <xdr:row>1</xdr:row>
      <xdr:rowOff>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A0F1ED64-A145-4C44-8170-7FBEC9E18A42}"/>
            </a:ext>
          </a:extLst>
        </xdr:cNvPr>
        <xdr:cNvGrpSpPr/>
      </xdr:nvGrpSpPr>
      <xdr:grpSpPr>
        <a:xfrm>
          <a:off x="4423796" y="0"/>
          <a:ext cx="1151015" cy="781538"/>
          <a:chOff x="4415980" y="0"/>
          <a:chExt cx="1108520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207C3E6B-1385-4670-89AA-C5EBDD0DC29D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50E019D1-7A8A-46DD-88CA-57ABC1E0010A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6D8FC-85DD-4108-B4A6-872E48F1BE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609887</xdr:colOff>
      <xdr:row>0</xdr:row>
      <xdr:rowOff>0</xdr:rowOff>
    </xdr:from>
    <xdr:to>
      <xdr:col>8</xdr:col>
      <xdr:colOff>564172</xdr:colOff>
      <xdr:row>1</xdr:row>
      <xdr:rowOff>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40E0E215-EBEA-411B-A406-EE1202E1C3CA}"/>
            </a:ext>
          </a:extLst>
        </xdr:cNvPr>
        <xdr:cNvGrpSpPr/>
      </xdr:nvGrpSpPr>
      <xdr:grpSpPr>
        <a:xfrm>
          <a:off x="5787579" y="0"/>
          <a:ext cx="1146131" cy="781538"/>
          <a:chOff x="5737268" y="0"/>
          <a:chExt cx="1108519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B8E6576D-CA96-43C1-B040-163E41B9E00A}"/>
              </a:ext>
            </a:extLst>
          </xdr:cNvPr>
          <xdr:cNvSpPr/>
        </xdr:nvSpPr>
        <xdr:spPr>
          <a:xfrm>
            <a:off x="5771599" y="0"/>
            <a:ext cx="1013661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2BBA1179-3F95-480F-A266-BEF3FC857049}"/>
              </a:ext>
            </a:extLst>
          </xdr:cNvPr>
          <xdr:cNvSpPr txBox="1"/>
        </xdr:nvSpPr>
        <xdr:spPr>
          <a:xfrm rot="10800000" flipH="1" flipV="1">
            <a:off x="5737268" y="514894"/>
            <a:ext cx="110851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E8AF4C7-FBDD-4DAD-9B38-2CBEC2614B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072867" y="91651"/>
            <a:ext cx="411125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167347</xdr:colOff>
      <xdr:row>0</xdr:row>
      <xdr:rowOff>0</xdr:rowOff>
    </xdr:from>
    <xdr:to>
      <xdr:col>11</xdr:col>
      <xdr:colOff>64482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7ADE1B8-9540-45FC-A265-7483C08D7BFE}"/>
            </a:ext>
          </a:extLst>
        </xdr:cNvPr>
        <xdr:cNvGrpSpPr/>
      </xdr:nvGrpSpPr>
      <xdr:grpSpPr>
        <a:xfrm>
          <a:off x="7142578" y="0"/>
          <a:ext cx="1108519" cy="781538"/>
          <a:chOff x="7112293" y="0"/>
          <a:chExt cx="1118289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B9271A29-83B2-445F-B7D2-32D93B53D237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A070FA2C-2EA8-4DFB-9AEE-6171923C432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012F50F-303D-4099-A2A7-931BE24A0E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277255</xdr:colOff>
      <xdr:row>0</xdr:row>
      <xdr:rowOff>0</xdr:rowOff>
    </xdr:from>
    <xdr:to>
      <xdr:col>12</xdr:col>
      <xdr:colOff>783990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8E7D69CA-E93C-437B-8B6C-721685CBA8C7}"/>
            </a:ext>
          </a:extLst>
        </xdr:cNvPr>
        <xdr:cNvGrpSpPr/>
      </xdr:nvGrpSpPr>
      <xdr:grpSpPr>
        <a:xfrm>
          <a:off x="8463870" y="0"/>
          <a:ext cx="1112428" cy="781538"/>
          <a:chOff x="8443355" y="0"/>
          <a:chExt cx="1118289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5F06FDF4-AD49-489F-8752-7274FE9FF50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CDAA2EDC-1D61-4528-ACDB-C8D83583E432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60F27F1-12F0-4198-ACA6-F0B41CA33E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995788</xdr:colOff>
      <xdr:row>0</xdr:row>
      <xdr:rowOff>0</xdr:rowOff>
    </xdr:from>
    <xdr:to>
      <xdr:col>13</xdr:col>
      <xdr:colOff>608150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D8685C6B-91E4-4AAD-A029-589D7AF06ECB}"/>
            </a:ext>
          </a:extLst>
        </xdr:cNvPr>
        <xdr:cNvGrpSpPr/>
      </xdr:nvGrpSpPr>
      <xdr:grpSpPr>
        <a:xfrm>
          <a:off x="9788096" y="0"/>
          <a:ext cx="1155900" cy="781538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5609FCDB-F68A-4766-8B7F-2097CE416D29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F01DDDD6-8F32-4EB4-91D4-C299497F7854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8B79634-1D3B-4580-AC38-0D9622F59F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210338</xdr:colOff>
      <xdr:row>0</xdr:row>
      <xdr:rowOff>0</xdr:rowOff>
    </xdr:from>
    <xdr:to>
      <xdr:col>15</xdr:col>
      <xdr:colOff>240824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E0EC0AAF-2E8C-49C8-ABD5-8B5E273DF927}"/>
            </a:ext>
          </a:extLst>
        </xdr:cNvPr>
        <xdr:cNvGrpSpPr/>
      </xdr:nvGrpSpPr>
      <xdr:grpSpPr>
        <a:xfrm>
          <a:off x="11171415" y="0"/>
          <a:ext cx="1153947" cy="781538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5263FEC1-DE9C-4385-8545-71D79B22E168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87229D8C-790C-4C7A-8276-B7E5210C7C7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C5AFA05-7980-498F-975D-0DF5059A08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AFF58BB4-39C9-4960-AF10-2DA3A4050BEF}"/>
            </a:ext>
          </a:extLst>
        </xdr:cNvPr>
        <xdr:cNvGrpSpPr/>
      </xdr:nvGrpSpPr>
      <xdr:grpSpPr>
        <a:xfrm>
          <a:off x="3106905" y="0"/>
          <a:ext cx="1117312" cy="781538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FB648AF9-952F-4ABF-ABD2-02E313DE284B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D6247218-0B25-44DA-95AE-2900D6B09888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CD1C8B4-6091-4610-AF0E-F5C9C83531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CAAEC107-CA43-4F28-B823-3CCB6AC6942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80107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FD0BB3D4-BD80-4464-91D6-016818FF1739}"/>
            </a:ext>
            <a:ext uri="{147F2762-F138-4A5C-976F-8EAC2B608ADB}">
              <a16:predDERef xmlns:a16="http://schemas.microsoft.com/office/drawing/2014/main" pred="{CAAEC107-CA43-4F28-B823-3CCB6AC6942A}"/>
            </a:ext>
          </a:extLst>
        </xdr:cNvPr>
        <xdr:cNvSpPr/>
      </xdr:nvSpPr>
      <xdr:spPr>
        <a:xfrm>
          <a:off x="605692" y="849921"/>
          <a:ext cx="1897184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PEDIDO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PRODUÇÃO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15630</xdr:colOff>
      <xdr:row>1</xdr:row>
      <xdr:rowOff>68383</xdr:rowOff>
    </xdr:from>
    <xdr:to>
      <xdr:col>6</xdr:col>
      <xdr:colOff>419588</xdr:colOff>
      <xdr:row>1</xdr:row>
      <xdr:rowOff>498229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A867A9B3-F445-416A-9B3C-E12512BE9ED3}"/>
            </a:ext>
          </a:extLst>
        </xdr:cNvPr>
        <xdr:cNvSpPr/>
      </xdr:nvSpPr>
      <xdr:spPr>
        <a:xfrm>
          <a:off x="3044092" y="849921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SAÍDA DE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MATERIAIS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981075</xdr:colOff>
      <xdr:row>20</xdr:row>
      <xdr:rowOff>104775</xdr:rowOff>
    </xdr:from>
    <xdr:to>
      <xdr:col>7</xdr:col>
      <xdr:colOff>162157</xdr:colOff>
      <xdr:row>23</xdr:row>
      <xdr:rowOff>297530</xdr:rowOff>
    </xdr:to>
    <xdr:sp macro="" textlink="">
      <xdr:nvSpPr>
        <xdr:cNvPr id="12" name="Retângulo Arredondado 11">
          <a:extLst>
            <a:ext uri="{FF2B5EF4-FFF2-40B4-BE49-F238E27FC236}">
              <a16:creationId xmlns:a16="http://schemas.microsoft.com/office/drawing/2014/main" id="{FEE27294-4771-4BDE-8047-454433BFA703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029075" y="4724400"/>
          <a:ext cx="1295632" cy="735680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LANÇAR SAÍDA</a:t>
          </a:r>
        </a:p>
      </xdr:txBody>
    </xdr:sp>
    <xdr:clientData/>
  </xdr:twoCellAnchor>
  <xdr:twoCellAnchor>
    <xdr:from>
      <xdr:col>12</xdr:col>
      <xdr:colOff>904875</xdr:colOff>
      <xdr:row>14</xdr:row>
      <xdr:rowOff>123825</xdr:rowOff>
    </xdr:from>
    <xdr:to>
      <xdr:col>14</xdr:col>
      <xdr:colOff>85957</xdr:colOff>
      <xdr:row>18</xdr:row>
      <xdr:rowOff>135605</xdr:rowOff>
    </xdr:to>
    <xdr:sp macro="" textlink="">
      <xdr:nvSpPr>
        <xdr:cNvPr id="41" name="Retângulo Arredondado 11">
          <a:extLst>
            <a:ext uri="{FF2B5EF4-FFF2-40B4-BE49-F238E27FC236}">
              <a16:creationId xmlns:a16="http://schemas.microsoft.com/office/drawing/2014/main" id="{7734CD6C-BC0E-43C8-BEEE-AA281C856964}"/>
            </a:ext>
            <a:ext uri="{147F2762-F138-4A5C-976F-8EAC2B608ADB}">
              <a16:predDERef xmlns:a16="http://schemas.microsoft.com/office/drawing/2014/main" pred="{FEE27294-4771-4BDE-8047-454433BFA703}"/>
            </a:ext>
          </a:extLst>
        </xdr:cNvPr>
        <xdr:cNvSpPr/>
      </xdr:nvSpPr>
      <xdr:spPr>
        <a:xfrm>
          <a:off x="9667875" y="3657600"/>
          <a:ext cx="1295632" cy="735680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LANÇAR PRODUTOS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0</xdr:row>
      <xdr:rowOff>773207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C7AB170-5817-448C-9EE3-93532C6FC3A2}"/>
            </a:ext>
          </a:extLst>
        </xdr:cNvPr>
        <xdr:cNvGrpSpPr/>
      </xdr:nvGrpSpPr>
      <xdr:grpSpPr>
        <a:xfrm>
          <a:off x="0" y="1"/>
          <a:ext cx="1828283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FCD4F254-482A-72A6-EA79-F2ACE64FE7A7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7540CFCE-87FC-D827-4E57-F9610B5313B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E16C86F-B5FE-43F3-AECD-DE0C16D5C52D}"/>
            </a:ext>
          </a:extLst>
        </xdr:cNvPr>
        <xdr:cNvGrpSpPr/>
      </xdr:nvGrpSpPr>
      <xdr:grpSpPr>
        <a:xfrm>
          <a:off x="1979000" y="0"/>
          <a:ext cx="1017710" cy="781538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33F35019-793F-B371-6DD7-018713523B8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2F321FE-A820-7195-6AAE-D8FE9B6350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C87E825C-C52F-15A1-2904-D66AFC888E4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7</xdr:col>
      <xdr:colOff>397119</xdr:colOff>
      <xdr:row>1</xdr:row>
      <xdr:rowOff>0</xdr:rowOff>
    </xdr:to>
    <xdr:grpSp>
      <xdr:nvGrpSpPr>
        <xdr:cNvPr id="9" name="Agrupar 35">
          <a:extLst>
            <a:ext uri="{FF2B5EF4-FFF2-40B4-BE49-F238E27FC236}">
              <a16:creationId xmlns:a16="http://schemas.microsoft.com/office/drawing/2014/main" id="{92CFD80D-9AE5-44B4-9385-0BA36EE0E97E}"/>
            </a:ext>
          </a:extLst>
        </xdr:cNvPr>
        <xdr:cNvGrpSpPr/>
      </xdr:nvGrpSpPr>
      <xdr:grpSpPr>
        <a:xfrm>
          <a:off x="4423796" y="0"/>
          <a:ext cx="1151015" cy="781538"/>
          <a:chOff x="4415980" y="0"/>
          <a:chExt cx="1108520" cy="781538"/>
        </a:xfrm>
      </xdr:grpSpPr>
      <xdr:sp macro="" textlink="">
        <xdr:nvSpPr>
          <xdr:cNvPr id="10" name="Retângulo 8">
            <a:extLst>
              <a:ext uri="{FF2B5EF4-FFF2-40B4-BE49-F238E27FC236}">
                <a16:creationId xmlns:a16="http://schemas.microsoft.com/office/drawing/2014/main" id="{3AE8D21B-2877-849F-33B1-B967FC7D67DF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9">
            <a:extLst>
              <a:ext uri="{FF2B5EF4-FFF2-40B4-BE49-F238E27FC236}">
                <a16:creationId xmlns:a16="http://schemas.microsoft.com/office/drawing/2014/main" id="{65EF310B-D552-9E9A-D625-1B53E052D224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3212BE6-F8F1-B5B1-F1C4-65CF872F60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609887</xdr:colOff>
      <xdr:row>0</xdr:row>
      <xdr:rowOff>0</xdr:rowOff>
    </xdr:from>
    <xdr:to>
      <xdr:col>8</xdr:col>
      <xdr:colOff>564172</xdr:colOff>
      <xdr:row>1</xdr:row>
      <xdr:rowOff>0</xdr:rowOff>
    </xdr:to>
    <xdr:grpSp>
      <xdr:nvGrpSpPr>
        <xdr:cNvPr id="13" name="Agrupar 36">
          <a:extLst>
            <a:ext uri="{FF2B5EF4-FFF2-40B4-BE49-F238E27FC236}">
              <a16:creationId xmlns:a16="http://schemas.microsoft.com/office/drawing/2014/main" id="{1D581AFC-57B7-406A-BAE6-61BF093BCE44}"/>
            </a:ext>
          </a:extLst>
        </xdr:cNvPr>
        <xdr:cNvGrpSpPr/>
      </xdr:nvGrpSpPr>
      <xdr:grpSpPr>
        <a:xfrm>
          <a:off x="5787579" y="0"/>
          <a:ext cx="1146131" cy="781538"/>
          <a:chOff x="5737268" y="0"/>
          <a:chExt cx="1108519" cy="781538"/>
        </a:xfrm>
      </xdr:grpSpPr>
      <xdr:sp macro="" textlink="">
        <xdr:nvSpPr>
          <xdr:cNvPr id="14" name="Retângulo 12">
            <a:extLst>
              <a:ext uri="{FF2B5EF4-FFF2-40B4-BE49-F238E27FC236}">
                <a16:creationId xmlns:a16="http://schemas.microsoft.com/office/drawing/2014/main" id="{B6F6AE9B-F426-D06C-E05D-AAE61E0E2C62}"/>
              </a:ext>
            </a:extLst>
          </xdr:cNvPr>
          <xdr:cNvSpPr/>
        </xdr:nvSpPr>
        <xdr:spPr>
          <a:xfrm>
            <a:off x="5771599" y="0"/>
            <a:ext cx="1013661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3">
            <a:extLst>
              <a:ext uri="{FF2B5EF4-FFF2-40B4-BE49-F238E27FC236}">
                <a16:creationId xmlns:a16="http://schemas.microsoft.com/office/drawing/2014/main" id="{D15E3D1D-1DD9-EFDD-8835-1F8CF63A7CC7}"/>
              </a:ext>
            </a:extLst>
          </xdr:cNvPr>
          <xdr:cNvSpPr txBox="1"/>
        </xdr:nvSpPr>
        <xdr:spPr>
          <a:xfrm rot="10800000" flipH="1" flipV="1">
            <a:off x="5737268" y="514894"/>
            <a:ext cx="110851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DF033AB-8C32-5230-A2AA-04D7688249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072867" y="91651"/>
            <a:ext cx="411125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167347</xdr:colOff>
      <xdr:row>0</xdr:row>
      <xdr:rowOff>0</xdr:rowOff>
    </xdr:from>
    <xdr:to>
      <xdr:col>11</xdr:col>
      <xdr:colOff>64482</xdr:colOff>
      <xdr:row>1</xdr:row>
      <xdr:rowOff>0</xdr:rowOff>
    </xdr:to>
    <xdr:grpSp>
      <xdr:nvGrpSpPr>
        <xdr:cNvPr id="17" name="Agrupar 15">
          <a:extLst>
            <a:ext uri="{FF2B5EF4-FFF2-40B4-BE49-F238E27FC236}">
              <a16:creationId xmlns:a16="http://schemas.microsoft.com/office/drawing/2014/main" id="{BF4F0AB3-DE75-4230-8BA1-23994FEDEE53}"/>
            </a:ext>
          </a:extLst>
        </xdr:cNvPr>
        <xdr:cNvGrpSpPr/>
      </xdr:nvGrpSpPr>
      <xdr:grpSpPr>
        <a:xfrm>
          <a:off x="7142578" y="0"/>
          <a:ext cx="1108519" cy="781538"/>
          <a:chOff x="7112293" y="0"/>
          <a:chExt cx="1118289" cy="781538"/>
        </a:xfrm>
      </xdr:grpSpPr>
      <xdr:sp macro="" textlink="">
        <xdr:nvSpPr>
          <xdr:cNvPr id="18" name="Retângulo 16">
            <a:extLst>
              <a:ext uri="{FF2B5EF4-FFF2-40B4-BE49-F238E27FC236}">
                <a16:creationId xmlns:a16="http://schemas.microsoft.com/office/drawing/2014/main" id="{A4FDCEDA-8BF6-165E-A8AC-9BB6D04C328F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7">
            <a:extLst>
              <a:ext uri="{FF2B5EF4-FFF2-40B4-BE49-F238E27FC236}">
                <a16:creationId xmlns:a16="http://schemas.microsoft.com/office/drawing/2014/main" id="{EAA8F7A7-A8FD-F177-DE99-67791EC04923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49E1808-2B66-7ACF-5BF5-C38C85F5F7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277255</xdr:colOff>
      <xdr:row>0</xdr:row>
      <xdr:rowOff>0</xdr:rowOff>
    </xdr:from>
    <xdr:to>
      <xdr:col>12</xdr:col>
      <xdr:colOff>783990</xdr:colOff>
      <xdr:row>1</xdr:row>
      <xdr:rowOff>0</xdr:rowOff>
    </xdr:to>
    <xdr:grpSp>
      <xdr:nvGrpSpPr>
        <xdr:cNvPr id="21" name="Agrupar 19">
          <a:extLst>
            <a:ext uri="{FF2B5EF4-FFF2-40B4-BE49-F238E27FC236}">
              <a16:creationId xmlns:a16="http://schemas.microsoft.com/office/drawing/2014/main" id="{643D5C28-AB00-4786-9D71-2FC20C4B2F10}"/>
            </a:ext>
          </a:extLst>
        </xdr:cNvPr>
        <xdr:cNvGrpSpPr/>
      </xdr:nvGrpSpPr>
      <xdr:grpSpPr>
        <a:xfrm>
          <a:off x="8463870" y="0"/>
          <a:ext cx="1112428" cy="781538"/>
          <a:chOff x="8443355" y="0"/>
          <a:chExt cx="1118289" cy="781538"/>
        </a:xfrm>
      </xdr:grpSpPr>
      <xdr:sp macro="" textlink="">
        <xdr:nvSpPr>
          <xdr:cNvPr id="22" name="Retângulo 20">
            <a:extLst>
              <a:ext uri="{FF2B5EF4-FFF2-40B4-BE49-F238E27FC236}">
                <a16:creationId xmlns:a16="http://schemas.microsoft.com/office/drawing/2014/main" id="{EECE9682-7C9B-D392-6688-15CE868070DA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1">
            <a:extLst>
              <a:ext uri="{FF2B5EF4-FFF2-40B4-BE49-F238E27FC236}">
                <a16:creationId xmlns:a16="http://schemas.microsoft.com/office/drawing/2014/main" id="{29AFCC88-F5F1-0183-7714-8EF091F9C123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68CD906-4411-73D0-2687-A0A2A844A2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995788</xdr:colOff>
      <xdr:row>0</xdr:row>
      <xdr:rowOff>0</xdr:rowOff>
    </xdr:from>
    <xdr:to>
      <xdr:col>13</xdr:col>
      <xdr:colOff>608150</xdr:colOff>
      <xdr:row>1</xdr:row>
      <xdr:rowOff>0</xdr:rowOff>
    </xdr:to>
    <xdr:grpSp>
      <xdr:nvGrpSpPr>
        <xdr:cNvPr id="25" name="Agrupar 23">
          <a:extLst>
            <a:ext uri="{FF2B5EF4-FFF2-40B4-BE49-F238E27FC236}">
              <a16:creationId xmlns:a16="http://schemas.microsoft.com/office/drawing/2014/main" id="{05CD1838-7897-4129-B81A-FFFF19492538}"/>
            </a:ext>
          </a:extLst>
        </xdr:cNvPr>
        <xdr:cNvGrpSpPr/>
      </xdr:nvGrpSpPr>
      <xdr:grpSpPr>
        <a:xfrm>
          <a:off x="9788096" y="0"/>
          <a:ext cx="1155900" cy="781538"/>
          <a:chOff x="9774419" y="0"/>
          <a:chExt cx="1118289" cy="781538"/>
        </a:xfrm>
      </xdr:grpSpPr>
      <xdr:sp macro="" textlink="">
        <xdr:nvSpPr>
          <xdr:cNvPr id="26" name="Retângulo 24">
            <a:extLst>
              <a:ext uri="{FF2B5EF4-FFF2-40B4-BE49-F238E27FC236}">
                <a16:creationId xmlns:a16="http://schemas.microsoft.com/office/drawing/2014/main" id="{B8A64481-F149-7C83-9A6D-8F47BFA3A0F8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5">
            <a:extLst>
              <a:ext uri="{FF2B5EF4-FFF2-40B4-BE49-F238E27FC236}">
                <a16:creationId xmlns:a16="http://schemas.microsoft.com/office/drawing/2014/main" id="{85583173-D821-CB61-7A3A-EAE40B63F02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0BC2092-FFC9-642A-2A7E-AED09E218D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210338</xdr:colOff>
      <xdr:row>0</xdr:row>
      <xdr:rowOff>0</xdr:rowOff>
    </xdr:from>
    <xdr:to>
      <xdr:col>15</xdr:col>
      <xdr:colOff>240824</xdr:colOff>
      <xdr:row>1</xdr:row>
      <xdr:rowOff>0</xdr:rowOff>
    </xdr:to>
    <xdr:grpSp>
      <xdr:nvGrpSpPr>
        <xdr:cNvPr id="29" name="Agrupar 27">
          <a:extLst>
            <a:ext uri="{FF2B5EF4-FFF2-40B4-BE49-F238E27FC236}">
              <a16:creationId xmlns:a16="http://schemas.microsoft.com/office/drawing/2014/main" id="{0BF3BBB9-0153-4EEB-8B16-C3A9705EEC50}"/>
            </a:ext>
          </a:extLst>
        </xdr:cNvPr>
        <xdr:cNvGrpSpPr/>
      </xdr:nvGrpSpPr>
      <xdr:grpSpPr>
        <a:xfrm>
          <a:off x="11171415" y="0"/>
          <a:ext cx="1153947" cy="781538"/>
          <a:chOff x="11105473" y="0"/>
          <a:chExt cx="1118289" cy="781538"/>
        </a:xfrm>
      </xdr:grpSpPr>
      <xdr:sp macro="" textlink="">
        <xdr:nvSpPr>
          <xdr:cNvPr id="30" name="Retângulo 28">
            <a:extLst>
              <a:ext uri="{FF2B5EF4-FFF2-40B4-BE49-F238E27FC236}">
                <a16:creationId xmlns:a16="http://schemas.microsoft.com/office/drawing/2014/main" id="{3793C91B-3E77-17F8-3E28-5C59E7DAD20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29">
            <a:extLst>
              <a:ext uri="{FF2B5EF4-FFF2-40B4-BE49-F238E27FC236}">
                <a16:creationId xmlns:a16="http://schemas.microsoft.com/office/drawing/2014/main" id="{9CAB2FE2-079A-4FE9-A90F-71F4D909075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2A58E25-C622-059C-E4FA-3DB7CC7CDD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33" name="Agrupar 31">
          <a:extLst>
            <a:ext uri="{FF2B5EF4-FFF2-40B4-BE49-F238E27FC236}">
              <a16:creationId xmlns:a16="http://schemas.microsoft.com/office/drawing/2014/main" id="{81D527A6-E9CE-486E-B277-81B3D626440A}"/>
            </a:ext>
          </a:extLst>
        </xdr:cNvPr>
        <xdr:cNvGrpSpPr/>
      </xdr:nvGrpSpPr>
      <xdr:grpSpPr>
        <a:xfrm>
          <a:off x="3106905" y="0"/>
          <a:ext cx="1117312" cy="781538"/>
          <a:chOff x="3131328" y="0"/>
          <a:chExt cx="1118289" cy="781538"/>
        </a:xfrm>
      </xdr:grpSpPr>
      <xdr:sp macro="" textlink="">
        <xdr:nvSpPr>
          <xdr:cNvPr id="34" name="Retângulo 32">
            <a:extLst>
              <a:ext uri="{FF2B5EF4-FFF2-40B4-BE49-F238E27FC236}">
                <a16:creationId xmlns:a16="http://schemas.microsoft.com/office/drawing/2014/main" id="{3B8AA700-F4D6-4D3B-AE73-A527E47C1BC2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3">
            <a:extLst>
              <a:ext uri="{FF2B5EF4-FFF2-40B4-BE49-F238E27FC236}">
                <a16:creationId xmlns:a16="http://schemas.microsoft.com/office/drawing/2014/main" id="{362FC30D-5B83-5F8E-D188-F1D4A1E88B4A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E31607B-8175-0523-F23B-43D9D7B0AF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7" name="Imagem 37">
          <a:extLst>
            <a:ext uri="{FF2B5EF4-FFF2-40B4-BE49-F238E27FC236}">
              <a16:creationId xmlns:a16="http://schemas.microsoft.com/office/drawing/2014/main" id="{A5441EBB-FD56-485B-BA30-EAD2206BDC4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80107</xdr:colOff>
      <xdr:row>1</xdr:row>
      <xdr:rowOff>498229</xdr:rowOff>
    </xdr:to>
    <xdr:sp macro="" textlink="">
      <xdr:nvSpPr>
        <xdr:cNvPr id="38" name="Retângulo 38">
          <a:extLst>
            <a:ext uri="{FF2B5EF4-FFF2-40B4-BE49-F238E27FC236}">
              <a16:creationId xmlns:a16="http://schemas.microsoft.com/office/drawing/2014/main" id="{E041DFD8-1927-448A-840B-B1D31338DD2A}"/>
            </a:ext>
            <a:ext uri="{147F2762-F138-4A5C-976F-8EAC2B608ADB}">
              <a16:predDERef xmlns:a16="http://schemas.microsoft.com/office/drawing/2014/main" pred="{A5441EBB-FD56-485B-BA30-EAD2206BDC44}"/>
            </a:ext>
          </a:extLst>
        </xdr:cNvPr>
        <xdr:cNvSpPr/>
      </xdr:nvSpPr>
      <xdr:spPr>
        <a:xfrm>
          <a:off x="609600" y="849433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PEDIDO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PRODUÇÃO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15630</xdr:colOff>
      <xdr:row>1</xdr:row>
      <xdr:rowOff>68383</xdr:rowOff>
    </xdr:from>
    <xdr:to>
      <xdr:col>6</xdr:col>
      <xdr:colOff>419588</xdr:colOff>
      <xdr:row>1</xdr:row>
      <xdr:rowOff>498229</xdr:rowOff>
    </xdr:to>
    <xdr:sp macro="" textlink="">
      <xdr:nvSpPr>
        <xdr:cNvPr id="39" name="Retângulo 39">
          <a:extLst>
            <a:ext uri="{FF2B5EF4-FFF2-40B4-BE49-F238E27FC236}">
              <a16:creationId xmlns:a16="http://schemas.microsoft.com/office/drawing/2014/main" id="{449A860F-F2EA-42A8-8480-96DE154B1C19}"/>
            </a:ext>
            <a:ext uri="{147F2762-F138-4A5C-976F-8EAC2B608ADB}">
              <a16:predDERef xmlns:a16="http://schemas.microsoft.com/office/drawing/2014/main" pred="{E041DFD8-1927-448A-840B-B1D31338DD2A}"/>
            </a:ext>
          </a:extLst>
        </xdr:cNvPr>
        <xdr:cNvSpPr/>
      </xdr:nvSpPr>
      <xdr:spPr>
        <a:xfrm>
          <a:off x="3063630" y="849433"/>
          <a:ext cx="1908908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SAÍDA DE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MATERIAIS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981075</xdr:colOff>
      <xdr:row>20</xdr:row>
      <xdr:rowOff>104775</xdr:rowOff>
    </xdr:from>
    <xdr:to>
      <xdr:col>7</xdr:col>
      <xdr:colOff>162157</xdr:colOff>
      <xdr:row>23</xdr:row>
      <xdr:rowOff>297530</xdr:rowOff>
    </xdr:to>
    <xdr:sp macro="" textlink="">
      <xdr:nvSpPr>
        <xdr:cNvPr id="40" name="Retângulo Arredondado 11">
          <a:extLst>
            <a:ext uri="{FF2B5EF4-FFF2-40B4-BE49-F238E27FC236}">
              <a16:creationId xmlns:a16="http://schemas.microsoft.com/office/drawing/2014/main" id="{6F583A74-CD90-4F57-B5FF-CDC6653D496D}"/>
            </a:ext>
            <a:ext uri="{147F2762-F138-4A5C-976F-8EAC2B608ADB}">
              <a16:predDERef xmlns:a16="http://schemas.microsoft.com/office/drawing/2014/main" pred="{449A860F-F2EA-42A8-8480-96DE154B1C19}"/>
            </a:ext>
          </a:extLst>
        </xdr:cNvPr>
        <xdr:cNvSpPr/>
      </xdr:nvSpPr>
      <xdr:spPr>
        <a:xfrm>
          <a:off x="4029075" y="4724400"/>
          <a:ext cx="1295632" cy="735680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REQUISIÇÃO DE COMPRA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B706CF7-E07D-4D6B-AE23-7F3F1A562365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DEC0E480-110C-47C5-8706-7948B8E8555C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32ED9B4B-DEC9-44EE-ACAB-DD45BC2BB8E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6BE2407-84E5-4F03-A913-212D100B135E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5C5C92AB-2CAE-4B8E-B5C1-058083EB4ED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BA330BB-6C7D-4F2C-B180-812B6E3B69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BBA0D190-4F95-457E-93A0-92216390ED6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5</xdr:col>
      <xdr:colOff>2511669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A701E9E4-354A-4052-9DF6-3B5C6A5FE415}"/>
            </a:ext>
          </a:extLst>
        </xdr:cNvPr>
        <xdr:cNvGrpSpPr/>
      </xdr:nvGrpSpPr>
      <xdr:grpSpPr>
        <a:xfrm>
          <a:off x="4443334" y="0"/>
          <a:ext cx="1116335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79E7A5D1-9DC6-4028-8234-E28792259A9A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BB9D8F49-9EF7-401A-BE0A-D718F00C5155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58A3F4F-E7D1-4A80-80DC-82B3E25F97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2758768</xdr:colOff>
      <xdr:row>0</xdr:row>
      <xdr:rowOff>0</xdr:rowOff>
    </xdr:from>
    <xdr:to>
      <xdr:col>5</xdr:col>
      <xdr:colOff>3780245</xdr:colOff>
      <xdr:row>1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AE8001F-BB75-4EC0-8BF6-EE230DCD25C6}"/>
            </a:ext>
          </a:extLst>
        </xdr:cNvPr>
        <xdr:cNvSpPr/>
      </xdr:nvSpPr>
      <xdr:spPr>
        <a:xfrm>
          <a:off x="5771599" y="0"/>
          <a:ext cx="1013661" cy="78153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2724437</xdr:colOff>
      <xdr:row>0</xdr:row>
      <xdr:rowOff>514894</xdr:rowOff>
    </xdr:from>
    <xdr:to>
      <xdr:col>5</xdr:col>
      <xdr:colOff>3840772</xdr:colOff>
      <xdr:row>0</xdr:row>
      <xdr:rowOff>769325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4F36A243-C219-4060-A72A-E97CDFFECF3B}"/>
            </a:ext>
          </a:extLst>
        </xdr:cNvPr>
        <xdr:cNvSpPr txBox="1"/>
      </xdr:nvSpPr>
      <xdr:spPr>
        <a:xfrm rot="10800000" flipH="1" flipV="1">
          <a:off x="5737268" y="514894"/>
          <a:ext cx="1108519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5</xdr:col>
      <xdr:colOff>3063944</xdr:colOff>
      <xdr:row>0</xdr:row>
      <xdr:rowOff>91651</xdr:rowOff>
    </xdr:from>
    <xdr:to>
      <xdr:col>5</xdr:col>
      <xdr:colOff>3475069</xdr:colOff>
      <xdr:row>0</xdr:row>
      <xdr:rowOff>494501</xdr:rowOff>
    </xdr:to>
    <xdr:pic>
      <xdr:nvPicPr>
        <xdr:cNvPr id="16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B6037A-9945-4F9D-9C17-388102E90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72867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5</xdr:col>
      <xdr:colOff>4087878</xdr:colOff>
      <xdr:row>0</xdr:row>
      <xdr:rowOff>0</xdr:rowOff>
    </xdr:from>
    <xdr:to>
      <xdr:col>7</xdr:col>
      <xdr:colOff>341412</xdr:colOff>
      <xdr:row>1</xdr:row>
      <xdr:rowOff>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1894E27F-A467-422F-867D-32FD872015F4}"/>
            </a:ext>
          </a:extLst>
        </xdr:cNvPr>
        <xdr:cNvSpPr/>
      </xdr:nvSpPr>
      <xdr:spPr>
        <a:xfrm>
          <a:off x="7092893" y="0"/>
          <a:ext cx="1013662" cy="78153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4053547</xdr:colOff>
      <xdr:row>0</xdr:row>
      <xdr:rowOff>514894</xdr:rowOff>
    </xdr:from>
    <xdr:to>
      <xdr:col>7</xdr:col>
      <xdr:colOff>401939</xdr:colOff>
      <xdr:row>0</xdr:row>
      <xdr:rowOff>769325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FE6AE8CE-A5A4-4B00-86E1-EC3201B6E116}"/>
            </a:ext>
          </a:extLst>
        </xdr:cNvPr>
        <xdr:cNvSpPr txBox="1"/>
      </xdr:nvSpPr>
      <xdr:spPr>
        <a:xfrm rot="10800000" flipH="1" flipV="1">
          <a:off x="7058562" y="514894"/>
          <a:ext cx="1108520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5</xdr:col>
      <xdr:colOff>4393874</xdr:colOff>
      <xdr:row>0</xdr:row>
      <xdr:rowOff>91651</xdr:rowOff>
    </xdr:from>
    <xdr:to>
      <xdr:col>7</xdr:col>
      <xdr:colOff>35413</xdr:colOff>
      <xdr:row>0</xdr:row>
      <xdr:rowOff>494501</xdr:rowOff>
    </xdr:to>
    <xdr:pic>
      <xdr:nvPicPr>
        <xdr:cNvPr id="20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8DBB613-E803-4591-B00E-F40BDDCC0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97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394982" y="91651"/>
          <a:ext cx="409482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614712</xdr:colOff>
      <xdr:row>0</xdr:row>
      <xdr:rowOff>0</xdr:rowOff>
    </xdr:from>
    <xdr:to>
      <xdr:col>7</xdr:col>
      <xdr:colOff>1731047</xdr:colOff>
      <xdr:row>1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E9F5E048-C346-4136-B384-6EC260CA4300}"/>
            </a:ext>
          </a:extLst>
        </xdr:cNvPr>
        <xdr:cNvGrpSpPr/>
      </xdr:nvGrpSpPr>
      <xdr:grpSpPr>
        <a:xfrm>
          <a:off x="8430655" y="0"/>
          <a:ext cx="1116335" cy="772886"/>
          <a:chOff x="8443355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B54043AD-F460-4FE2-A5EB-4C0A18E81986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581CBB4E-FEC1-468A-8278-8718C84D238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9DECF74-0FC1-46BF-B1F9-6AB1340248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201131</xdr:colOff>
      <xdr:row>0</xdr:row>
      <xdr:rowOff>0</xdr:rowOff>
    </xdr:from>
    <xdr:to>
      <xdr:col>10</xdr:col>
      <xdr:colOff>99243</xdr:colOff>
      <xdr:row>1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CDA6CDA8-C479-4264-AC2F-47AFD71192AC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EFCD47DE-E0AD-4B64-9C87-4798D6A07EA4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D40ED265-DE71-41CC-8483-A0E4D47D3FF5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F292ED4-A147-4617-9AA4-08D5069E93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311031</xdr:colOff>
      <xdr:row>0</xdr:row>
      <xdr:rowOff>0</xdr:rowOff>
    </xdr:from>
    <xdr:to>
      <xdr:col>12</xdr:col>
      <xdr:colOff>208167</xdr:colOff>
      <xdr:row>1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82542D54-CB8C-4F1B-9D0C-D276B646203D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78C7D574-BBE1-4A1F-80C6-18BA3C5CFEA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EF31430F-096A-4E2E-AEC3-41669296B5D4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9E92F91-FC98-46B9-8133-AB69663979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5AB84C63-82BE-4296-A4ED-4884AF18EEB4}"/>
            </a:ext>
            <a:ext uri="{147F2762-F138-4A5C-976F-8EAC2B608ADB}">
              <a16:predDERef xmlns:a16="http://schemas.microsoft.com/office/drawing/2014/main" pred="{82542D54-CB8C-4F1B-9D0C-D276B646203D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E6999755-2989-40E7-9473-CF0302BCF137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A383BFC0-036E-4D56-89BE-CAB57DB2511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6B79520-8676-4B78-83B5-CD25C0FB5F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5209F1C1-78CE-4958-A3C6-EEF7F7E222A0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80107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C51DCC9D-A8A5-4381-A3B4-A590346AB210}"/>
            </a:ext>
          </a:extLst>
        </xdr:cNvPr>
        <xdr:cNvSpPr/>
      </xdr:nvSpPr>
      <xdr:spPr>
        <a:xfrm>
          <a:off x="605692" y="849921"/>
          <a:ext cx="1897184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</a:p>
      </xdr:txBody>
    </xdr:sp>
    <xdr:clientData/>
  </xdr:twoCellAnchor>
  <xdr:twoCellAnchor editAs="absolute">
    <xdr:from>
      <xdr:col>5</xdr:col>
      <xdr:colOff>15630</xdr:colOff>
      <xdr:row>1</xdr:row>
      <xdr:rowOff>68383</xdr:rowOff>
    </xdr:from>
    <xdr:to>
      <xdr:col>5</xdr:col>
      <xdr:colOff>1924538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165D332F-7304-439C-82F7-7A0DC74AB1BB}"/>
            </a:ext>
          </a:extLst>
        </xdr:cNvPr>
        <xdr:cNvSpPr/>
      </xdr:nvSpPr>
      <xdr:spPr>
        <a:xfrm>
          <a:off x="3044092" y="849921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5</xdr:col>
      <xdr:colOff>2469661</xdr:colOff>
      <xdr:row>1</xdr:row>
      <xdr:rowOff>68383</xdr:rowOff>
    </xdr:from>
    <xdr:to>
      <xdr:col>5</xdr:col>
      <xdr:colOff>4378568</xdr:colOff>
      <xdr:row>1</xdr:row>
      <xdr:rowOff>498229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F9565171-AC41-433D-90D0-777CF0157561}"/>
            </a:ext>
          </a:extLst>
        </xdr:cNvPr>
        <xdr:cNvSpPr/>
      </xdr:nvSpPr>
      <xdr:spPr>
        <a:xfrm>
          <a:off x="5482492" y="849921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7</xdr:col>
      <xdr:colOff>155749</xdr:colOff>
      <xdr:row>1</xdr:row>
      <xdr:rowOff>68383</xdr:rowOff>
    </xdr:from>
    <xdr:to>
      <xdr:col>8</xdr:col>
      <xdr:colOff>322942</xdr:colOff>
      <xdr:row>1</xdr:row>
      <xdr:rowOff>498229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BE325A04-26D1-4921-BE10-906461F97068}"/>
            </a:ext>
          </a:extLst>
        </xdr:cNvPr>
        <xdr:cNvSpPr/>
      </xdr:nvSpPr>
      <xdr:spPr>
        <a:xfrm>
          <a:off x="7920892" y="849921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5</xdr:col>
      <xdr:colOff>2743200</xdr:colOff>
      <xdr:row>14</xdr:row>
      <xdr:rowOff>87086</xdr:rowOff>
    </xdr:from>
    <xdr:to>
      <xdr:col>5</xdr:col>
      <xdr:colOff>4073512</xdr:colOff>
      <xdr:row>16</xdr:row>
      <xdr:rowOff>241322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5F55F7B4-16B0-4078-8DB1-7CD9B0AF6A5A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5791200" y="3766457"/>
          <a:ext cx="1330312" cy="72029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08DCA98-7385-4B4C-8050-484A24EEC867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E1658B7F-5BDC-4609-8CBF-4B41B8D8F065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C539CACE-2185-4BC4-AE9A-6367D3DEAC2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18B567FE-9988-41A9-B931-406B409473AE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837F4A76-C92C-455D-B8FC-D7E6B4274039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F7FBF6F-13BE-4563-B22C-A389A92098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B44F7879-15BA-4C77-873C-0A4B9FB97BBE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6</xdr:col>
      <xdr:colOff>419633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AF022EA5-28BE-461A-96CB-3D268686A2C9}"/>
            </a:ext>
          </a:extLst>
        </xdr:cNvPr>
        <xdr:cNvGrpSpPr/>
      </xdr:nvGrpSpPr>
      <xdr:grpSpPr>
        <a:xfrm>
          <a:off x="4443334" y="0"/>
          <a:ext cx="1125242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F5618277-89A2-499C-A389-865D865910C5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942BF067-B2C2-426E-ABAD-BF301ED6204C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07B522-5CDE-4EBE-B395-E285BB651E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57132</xdr:colOff>
      <xdr:row>0</xdr:row>
      <xdr:rowOff>0</xdr:rowOff>
    </xdr:from>
    <xdr:to>
      <xdr:col>7</xdr:col>
      <xdr:colOff>1078609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376C6F46-57BC-4EF1-B314-4E3DBD0D5DE7}"/>
            </a:ext>
          </a:extLst>
        </xdr:cNvPr>
        <xdr:cNvSpPr/>
      </xdr:nvSpPr>
      <xdr:spPr>
        <a:xfrm>
          <a:off x="5806768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22801</xdr:colOff>
      <xdr:row>0</xdr:row>
      <xdr:rowOff>514894</xdr:rowOff>
    </xdr:from>
    <xdr:to>
      <xdr:col>7</xdr:col>
      <xdr:colOff>1139136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504B5C6E-0A84-4BE1-9630-C33CCD528052}"/>
            </a:ext>
          </a:extLst>
        </xdr:cNvPr>
        <xdr:cNvSpPr txBox="1"/>
      </xdr:nvSpPr>
      <xdr:spPr>
        <a:xfrm rot="10800000" flipH="1" flipV="1">
          <a:off x="5772437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362308</xdr:colOff>
      <xdr:row>0</xdr:row>
      <xdr:rowOff>91651</xdr:rowOff>
    </xdr:from>
    <xdr:to>
      <xdr:col>7</xdr:col>
      <xdr:colOff>773433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DD928D-8960-4C57-B5B5-3CC6B04E0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194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1386242</xdr:colOff>
      <xdr:row>0</xdr:row>
      <xdr:rowOff>0</xdr:rowOff>
    </xdr:from>
    <xdr:to>
      <xdr:col>8</xdr:col>
      <xdr:colOff>499749</xdr:colOff>
      <xdr:row>1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6740C59-D95B-4AC5-BE6A-E27035132F64}"/>
            </a:ext>
          </a:extLst>
        </xdr:cNvPr>
        <xdr:cNvSpPr/>
      </xdr:nvSpPr>
      <xdr:spPr>
        <a:xfrm>
          <a:off x="7135878" y="0"/>
          <a:ext cx="1016034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1351911</xdr:colOff>
      <xdr:row>0</xdr:row>
      <xdr:rowOff>514894</xdr:rowOff>
    </xdr:from>
    <xdr:to>
      <xdr:col>8</xdr:col>
      <xdr:colOff>560276</xdr:colOff>
      <xdr:row>0</xdr:row>
      <xdr:rowOff>769325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5D4371DB-CF76-41EA-9F5C-C34B36A62599}"/>
            </a:ext>
          </a:extLst>
        </xdr:cNvPr>
        <xdr:cNvSpPr txBox="1"/>
      </xdr:nvSpPr>
      <xdr:spPr>
        <a:xfrm rot="10800000" flipH="1" flipV="1">
          <a:off x="7101547" y="514894"/>
          <a:ext cx="1110892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7</xdr:col>
      <xdr:colOff>1692238</xdr:colOff>
      <xdr:row>0</xdr:row>
      <xdr:rowOff>91651</xdr:rowOff>
    </xdr:from>
    <xdr:to>
      <xdr:col>8</xdr:col>
      <xdr:colOff>193750</xdr:colOff>
      <xdr:row>0</xdr:row>
      <xdr:rowOff>494501</xdr:rowOff>
    </xdr:to>
    <xdr:pic>
      <xdr:nvPicPr>
        <xdr:cNvPr id="18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C0F669F-995D-46D6-B13E-20B3BED03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97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441874" y="91651"/>
          <a:ext cx="404039" cy="402850"/>
        </a:xfrm>
        <a:prstGeom prst="rect">
          <a:avLst/>
        </a:prstGeom>
      </xdr:spPr>
    </xdr:pic>
    <xdr:clientData/>
  </xdr:twoCellAnchor>
  <xdr:twoCellAnchor editAs="absolute">
    <xdr:from>
      <xdr:col>9</xdr:col>
      <xdr:colOff>163449</xdr:colOff>
      <xdr:row>0</xdr:row>
      <xdr:rowOff>0</xdr:rowOff>
    </xdr:from>
    <xdr:to>
      <xdr:col>11</xdr:col>
      <xdr:colOff>60584</xdr:colOff>
      <xdr:row>1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D44FB14A-0450-4E76-ACC4-9DF74EF603A4}"/>
            </a:ext>
          </a:extLst>
        </xdr:cNvPr>
        <xdr:cNvGrpSpPr/>
      </xdr:nvGrpSpPr>
      <xdr:grpSpPr>
        <a:xfrm>
          <a:off x="8436592" y="0"/>
          <a:ext cx="1116335" cy="772886"/>
          <a:chOff x="8443355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B3FB8DEE-22AA-48A2-9B3B-523A78D4ADB8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CAB172BD-32F0-4CAB-B87E-70FC8FA23BC9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8A978EB-6B21-4D64-BAB7-F8D873F59A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276340</xdr:colOff>
      <xdr:row>0</xdr:row>
      <xdr:rowOff>0</xdr:rowOff>
    </xdr:from>
    <xdr:to>
      <xdr:col>13</xdr:col>
      <xdr:colOff>174452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70ABA7DB-47CE-4C2B-9002-66A4B4FD04CE}"/>
            </a:ext>
          </a:extLst>
        </xdr:cNvPr>
        <xdr:cNvGrpSpPr/>
      </xdr:nvGrpSpPr>
      <xdr:grpSpPr>
        <a:xfrm>
          <a:off x="9768683" y="0"/>
          <a:ext cx="1117312" cy="772886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35CA449C-67EE-475C-B75B-9BD49052AB9F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512C58F1-AA21-43F8-BFF7-26082E91EDA9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50EDBF3-F126-455F-9DCD-B75E968269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386240</xdr:colOff>
      <xdr:row>0</xdr:row>
      <xdr:rowOff>0</xdr:rowOff>
    </xdr:from>
    <xdr:to>
      <xdr:col>15</xdr:col>
      <xdr:colOff>283376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A3ED8FCC-A503-4C75-90D4-5B1D0103A269}"/>
            </a:ext>
          </a:extLst>
        </xdr:cNvPr>
        <xdr:cNvGrpSpPr/>
      </xdr:nvGrpSpPr>
      <xdr:grpSpPr>
        <a:xfrm>
          <a:off x="11097783" y="0"/>
          <a:ext cx="1116336" cy="772886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87561745-75D6-4E72-BC44-B1BB18D131F2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5E2D8C39-815E-4891-85FC-DA637EAB252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A5F58ED-3310-4E6A-88FC-FB218C179F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601F861-9907-4AD7-AE4B-5EED85E6C7B2}"/>
            </a:ext>
            <a:ext uri="{147F2762-F138-4A5C-976F-8EAC2B608ADB}">
              <a16:predDERef xmlns:a16="http://schemas.microsoft.com/office/drawing/2014/main" pred="{82542D54-CB8C-4F1B-9D0C-D276B646203D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0C21E4AD-E504-45C8-BAC8-8CB0C5A1763E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C23FB4CB-DB85-46C8-B6CF-8B893C78CE96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739A0F4-F520-4FE9-A377-59E8B54294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BC5592CB-A025-4303-BBEB-568858D6E3B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80107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7D4FA8AD-207B-4F2E-ACEB-F41DAF4010C4}"/>
            </a:ext>
          </a:extLst>
        </xdr:cNvPr>
        <xdr:cNvSpPr/>
      </xdr:nvSpPr>
      <xdr:spPr>
        <a:xfrm>
          <a:off x="609600" y="845623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</a:p>
      </xdr:txBody>
    </xdr:sp>
    <xdr:clientData/>
  </xdr:twoCellAnchor>
  <xdr:twoCellAnchor editAs="absolute">
    <xdr:from>
      <xdr:col>5</xdr:col>
      <xdr:colOff>15630</xdr:colOff>
      <xdr:row>1</xdr:row>
      <xdr:rowOff>68383</xdr:rowOff>
    </xdr:from>
    <xdr:to>
      <xdr:col>5</xdr:col>
      <xdr:colOff>1924538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27ED3191-05F7-4939-B2D2-6CA2572774DB}"/>
            </a:ext>
          </a:extLst>
        </xdr:cNvPr>
        <xdr:cNvSpPr/>
      </xdr:nvSpPr>
      <xdr:spPr>
        <a:xfrm>
          <a:off x="3063630" y="845623"/>
          <a:ext cx="1908908" cy="42984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6</xdr:col>
      <xdr:colOff>377625</xdr:colOff>
      <xdr:row>1</xdr:row>
      <xdr:rowOff>68383</xdr:rowOff>
    </xdr:from>
    <xdr:to>
      <xdr:col>7</xdr:col>
      <xdr:colOff>1676932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59804117-A983-45A5-9950-E42963D6E6BC}"/>
            </a:ext>
          </a:extLst>
        </xdr:cNvPr>
        <xdr:cNvSpPr/>
      </xdr:nvSpPr>
      <xdr:spPr>
        <a:xfrm>
          <a:off x="5517661" y="845623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8</xdr:col>
      <xdr:colOff>314086</xdr:colOff>
      <xdr:row>1</xdr:row>
      <xdr:rowOff>68383</xdr:rowOff>
    </xdr:from>
    <xdr:to>
      <xdr:col>11</xdr:col>
      <xdr:colOff>398151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D5238014-6E08-451D-B747-A06F31AEE8B3}"/>
            </a:ext>
          </a:extLst>
        </xdr:cNvPr>
        <xdr:cNvSpPr/>
      </xdr:nvSpPr>
      <xdr:spPr>
        <a:xfrm>
          <a:off x="7966249" y="845623"/>
          <a:ext cx="1912173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5</xdr:col>
      <xdr:colOff>1436914</xdr:colOff>
      <xdr:row>35</xdr:row>
      <xdr:rowOff>108858</xdr:rowOff>
    </xdr:from>
    <xdr:to>
      <xdr:col>7</xdr:col>
      <xdr:colOff>402770</xdr:colOff>
      <xdr:row>39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3075373C-F5D9-44E7-BF96-E8F14B48BC3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484914" y="7903029"/>
          <a:ext cx="1676399" cy="72029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B165F973-E403-453E-894E-4FAA861E4C80}"/>
            </a:ext>
          </a:extLst>
        </xdr:cNvPr>
        <xdr:cNvGrpSpPr/>
      </xdr:nvGrpSpPr>
      <xdr:grpSpPr>
        <a:xfrm>
          <a:off x="0" y="1"/>
          <a:ext cx="1840006" cy="781370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E67C49F2-B7C1-4962-8457-3FD37DAB4A2E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933563F-AD1B-43DE-92E6-CFEEC1879B9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5BC4FF1A-D3AE-4568-ACB5-507645028505}"/>
            </a:ext>
          </a:extLst>
        </xdr:cNvPr>
        <xdr:cNvGrpSpPr/>
      </xdr:nvGrpSpPr>
      <xdr:grpSpPr>
        <a:xfrm>
          <a:off x="1990723" y="0"/>
          <a:ext cx="1021618" cy="781050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77ADB4FD-AE68-4864-A26B-E42CE420EABB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A9EF556-A518-4900-8B24-2807120069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E0CF0C87-B433-4A40-987B-B105CDA4731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5</xdr:col>
      <xdr:colOff>2511669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CD59B10B-D317-43D1-82E1-222240B39440}"/>
            </a:ext>
          </a:extLst>
        </xdr:cNvPr>
        <xdr:cNvGrpSpPr/>
      </xdr:nvGrpSpPr>
      <xdr:grpSpPr>
        <a:xfrm>
          <a:off x="4443334" y="0"/>
          <a:ext cx="1116335" cy="781050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5595B1DB-0CFA-4356-99BF-622E041E7720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728C45E0-584C-4833-B4FC-D67DFEBC72B3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8458DF6-50CB-4CD1-B19F-671BAC52FD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2758768</xdr:colOff>
      <xdr:row>0</xdr:row>
      <xdr:rowOff>0</xdr:rowOff>
    </xdr:from>
    <xdr:to>
      <xdr:col>5</xdr:col>
      <xdr:colOff>3780245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3A3EFBB5-1579-4E73-B3B3-5ECAE02C4E68}"/>
            </a:ext>
          </a:extLst>
        </xdr:cNvPr>
        <xdr:cNvSpPr/>
      </xdr:nvSpPr>
      <xdr:spPr>
        <a:xfrm>
          <a:off x="5810232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2724437</xdr:colOff>
      <xdr:row>0</xdr:row>
      <xdr:rowOff>514894</xdr:rowOff>
    </xdr:from>
    <xdr:to>
      <xdr:col>5</xdr:col>
      <xdr:colOff>3840772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CF93D039-01E7-4E55-B7DC-16FB6BDA7E9C}"/>
            </a:ext>
          </a:extLst>
        </xdr:cNvPr>
        <xdr:cNvSpPr txBox="1"/>
      </xdr:nvSpPr>
      <xdr:spPr>
        <a:xfrm rot="10800000" flipH="1" flipV="1">
          <a:off x="5775901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5</xdr:col>
      <xdr:colOff>3063944</xdr:colOff>
      <xdr:row>0</xdr:row>
      <xdr:rowOff>91651</xdr:rowOff>
    </xdr:from>
    <xdr:to>
      <xdr:col>5</xdr:col>
      <xdr:colOff>3475069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9AF6370-4A50-45AF-81F9-6C52C441F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5408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5</xdr:col>
      <xdr:colOff>4087878</xdr:colOff>
      <xdr:row>0</xdr:row>
      <xdr:rowOff>0</xdr:rowOff>
    </xdr:from>
    <xdr:to>
      <xdr:col>5</xdr:col>
      <xdr:colOff>5113313</xdr:colOff>
      <xdr:row>1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26FED993-682C-4645-8CE0-841EE630EAE4}"/>
            </a:ext>
          </a:extLst>
        </xdr:cNvPr>
        <xdr:cNvSpPr/>
      </xdr:nvSpPr>
      <xdr:spPr>
        <a:xfrm>
          <a:off x="7139342" y="0"/>
          <a:ext cx="1018507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4053547</xdr:colOff>
      <xdr:row>0</xdr:row>
      <xdr:rowOff>514894</xdr:rowOff>
    </xdr:from>
    <xdr:to>
      <xdr:col>5</xdr:col>
      <xdr:colOff>5173840</xdr:colOff>
      <xdr:row>0</xdr:row>
      <xdr:rowOff>769325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604A40D6-AE12-4B1E-A403-8098EE4DF520}"/>
            </a:ext>
          </a:extLst>
        </xdr:cNvPr>
        <xdr:cNvSpPr txBox="1"/>
      </xdr:nvSpPr>
      <xdr:spPr>
        <a:xfrm rot="10800000" flipH="1" flipV="1">
          <a:off x="7105011" y="514894"/>
          <a:ext cx="111336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5</xdr:col>
      <xdr:colOff>4393874</xdr:colOff>
      <xdr:row>0</xdr:row>
      <xdr:rowOff>91651</xdr:rowOff>
    </xdr:from>
    <xdr:to>
      <xdr:col>5</xdr:col>
      <xdr:colOff>4807314</xdr:colOff>
      <xdr:row>0</xdr:row>
      <xdr:rowOff>494501</xdr:rowOff>
    </xdr:to>
    <xdr:pic>
      <xdr:nvPicPr>
        <xdr:cNvPr id="18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67C5756-09F3-4BCB-A93F-15E61A1887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97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445338" y="91651"/>
          <a:ext cx="406512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38758</xdr:colOff>
      <xdr:row>0</xdr:row>
      <xdr:rowOff>0</xdr:rowOff>
    </xdr:from>
    <xdr:to>
      <xdr:col>7</xdr:col>
      <xdr:colOff>531639</xdr:colOff>
      <xdr:row>1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145D5178-6280-4368-9ED3-0682B0264681}"/>
            </a:ext>
          </a:extLst>
        </xdr:cNvPr>
        <xdr:cNvGrpSpPr/>
      </xdr:nvGrpSpPr>
      <xdr:grpSpPr>
        <a:xfrm>
          <a:off x="8420758" y="0"/>
          <a:ext cx="1121531" cy="781050"/>
          <a:chOff x="8443355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56A7DB6-F06C-41CD-BB9B-6AC661B2874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FF748EB5-515B-4791-9941-537546E85719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27EC736-0F2A-4A91-99E6-ADB3D9E2D1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123940</xdr:colOff>
      <xdr:row>0</xdr:row>
      <xdr:rowOff>0</xdr:rowOff>
    </xdr:from>
    <xdr:to>
      <xdr:col>9</xdr:col>
      <xdr:colOff>617798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1C31F38-C3EB-4D3B-84FD-23E487E7CFF0}"/>
            </a:ext>
          </a:extLst>
        </xdr:cNvPr>
        <xdr:cNvGrpSpPr/>
      </xdr:nvGrpSpPr>
      <xdr:grpSpPr>
        <a:xfrm>
          <a:off x="9763240" y="0"/>
          <a:ext cx="1122508" cy="781050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41257A0E-4FCF-4360-8367-315A03DD6339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2415A684-927B-4EF5-8EA1-8C1869F348E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1A2A68D-4D19-4E8E-99E1-72470B3A74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834781</xdr:colOff>
      <xdr:row>0</xdr:row>
      <xdr:rowOff>0</xdr:rowOff>
    </xdr:from>
    <xdr:to>
      <xdr:col>10</xdr:col>
      <xdr:colOff>65167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39CB32C9-2865-465F-A4BB-BAE3724CA786}"/>
            </a:ext>
          </a:extLst>
        </xdr:cNvPr>
        <xdr:cNvGrpSpPr/>
      </xdr:nvGrpSpPr>
      <xdr:grpSpPr>
        <a:xfrm>
          <a:off x="11102731" y="0"/>
          <a:ext cx="1116336" cy="781050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044C24D3-B452-4950-BD13-74400C9B8C5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386C44CA-A7B4-47F7-AFD0-458A3EC26B88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CA1C252-FBEC-4D06-BB1A-102DB4A2AC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E18E4A88-816B-4DD3-AB92-B8524FD4CAD1}"/>
            </a:ext>
            <a:ext uri="{147F2762-F138-4A5C-976F-8EAC2B608ADB}">
              <a16:predDERef xmlns:a16="http://schemas.microsoft.com/office/drawing/2014/main" pred="{82542D54-CB8C-4F1B-9D0C-D276B646203D}"/>
            </a:ext>
          </a:extLst>
        </xdr:cNvPr>
        <xdr:cNvGrpSpPr/>
      </xdr:nvGrpSpPr>
      <xdr:grpSpPr>
        <a:xfrm>
          <a:off x="3126443" y="0"/>
          <a:ext cx="1117312" cy="781050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247C3241-83EF-4DCD-A348-FB3583CA439D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BFDBDB58-4BA7-4F0A-B9CD-60027F8FCB25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C9C1367-F8D3-4FEB-920D-7A16A1A2E3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4C53B2F5-42F6-45C2-B4B3-5B4254714FA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80107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6637EC6C-B297-4719-949C-4C0B202FA830}"/>
            </a:ext>
          </a:extLst>
        </xdr:cNvPr>
        <xdr:cNvSpPr/>
      </xdr:nvSpPr>
      <xdr:spPr>
        <a:xfrm>
          <a:off x="609600" y="845623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</a:p>
      </xdr:txBody>
    </xdr:sp>
    <xdr:clientData/>
  </xdr:twoCellAnchor>
  <xdr:twoCellAnchor editAs="absolute">
    <xdr:from>
      <xdr:col>5</xdr:col>
      <xdr:colOff>15630</xdr:colOff>
      <xdr:row>1</xdr:row>
      <xdr:rowOff>68383</xdr:rowOff>
    </xdr:from>
    <xdr:to>
      <xdr:col>5</xdr:col>
      <xdr:colOff>1924538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46290DD2-D6F1-478C-BBDA-64E069816D3E}"/>
            </a:ext>
          </a:extLst>
        </xdr:cNvPr>
        <xdr:cNvSpPr/>
      </xdr:nvSpPr>
      <xdr:spPr>
        <a:xfrm>
          <a:off x="3063630" y="845623"/>
          <a:ext cx="1908908" cy="429846"/>
        </a:xfrm>
        <a:prstGeom prst="rect">
          <a:avLst/>
        </a:prstGeom>
        <a:solidFill>
          <a:srgbClr val="3A5775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5</xdr:col>
      <xdr:colOff>2469661</xdr:colOff>
      <xdr:row>1</xdr:row>
      <xdr:rowOff>68383</xdr:rowOff>
    </xdr:from>
    <xdr:to>
      <xdr:col>5</xdr:col>
      <xdr:colOff>4378568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1FD56C8F-86E5-4C9A-BAF0-43658449994E}"/>
            </a:ext>
          </a:extLst>
        </xdr:cNvPr>
        <xdr:cNvSpPr/>
      </xdr:nvSpPr>
      <xdr:spPr>
        <a:xfrm>
          <a:off x="5521125" y="845623"/>
          <a:ext cx="1908907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5</xdr:col>
      <xdr:colOff>4927650</xdr:colOff>
      <xdr:row>1</xdr:row>
      <xdr:rowOff>68383</xdr:rowOff>
    </xdr:from>
    <xdr:to>
      <xdr:col>8</xdr:col>
      <xdr:colOff>245751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6DA3F1CC-B682-491E-B1F2-25B7C8DB2197}"/>
            </a:ext>
          </a:extLst>
        </xdr:cNvPr>
        <xdr:cNvSpPr/>
      </xdr:nvSpPr>
      <xdr:spPr>
        <a:xfrm>
          <a:off x="7972186" y="845623"/>
          <a:ext cx="1912865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5</xdr:col>
      <xdr:colOff>1861458</xdr:colOff>
      <xdr:row>27</xdr:row>
      <xdr:rowOff>43543</xdr:rowOff>
    </xdr:from>
    <xdr:to>
      <xdr:col>5</xdr:col>
      <xdr:colOff>3537857</xdr:colOff>
      <xdr:row>31</xdr:row>
      <xdr:rowOff>23609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9C333263-0FEE-49A3-85DC-73B40BEC308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909458" y="6259286"/>
          <a:ext cx="1676399" cy="763837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11</xdr:col>
      <xdr:colOff>4071258</xdr:colOff>
      <xdr:row>42</xdr:row>
      <xdr:rowOff>144236</xdr:rowOff>
    </xdr:from>
    <xdr:to>
      <xdr:col>13</xdr:col>
      <xdr:colOff>552450</xdr:colOff>
      <xdr:row>48</xdr:row>
      <xdr:rowOff>114300</xdr:rowOff>
    </xdr:to>
    <xdr:sp macro="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E6004F23-FAD2-4F5A-A25E-E7E86C289A9A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6853808" y="9135836"/>
          <a:ext cx="2710542" cy="111306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AGENDAR PAGAMENTO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8C79224-6D7A-4726-BC12-EC366F0F17C6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5B0207A-92CC-4F9B-9F7F-8F847253D897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662DE287-AB14-48D7-97B4-8F91C4413AB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F958146F-4F60-4098-9EDC-C3E747DD8968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2769F562-66AA-451F-8077-1D074327222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8F62114-E5B8-4AC5-BA64-48F07C65AB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C2228B1B-9A46-45FA-AE86-49CDFDD0ABC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2008893</xdr:colOff>
      <xdr:row>0</xdr:row>
      <xdr:rowOff>0</xdr:rowOff>
    </xdr:from>
    <xdr:to>
      <xdr:col>5</xdr:col>
      <xdr:colOff>880791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48F8E466-D1C4-4D5B-AAE6-8654E64C6520}"/>
            </a:ext>
          </a:extLst>
        </xdr:cNvPr>
        <xdr:cNvGrpSpPr/>
      </xdr:nvGrpSpPr>
      <xdr:grpSpPr>
        <a:xfrm>
          <a:off x="4447293" y="0"/>
          <a:ext cx="1114355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D59178C9-B026-4A70-A711-7A32EF6FC52C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69095B55-6CA7-4259-994E-5A882CA23492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3D0EDD5-D63C-4ECF-A5F5-4B93735D82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104633</xdr:colOff>
      <xdr:row>0</xdr:row>
      <xdr:rowOff>0</xdr:rowOff>
    </xdr:from>
    <xdr:to>
      <xdr:col>7</xdr:col>
      <xdr:colOff>516510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4621039C-9987-4B6E-855E-A24B1CEE28F5}"/>
            </a:ext>
          </a:extLst>
        </xdr:cNvPr>
        <xdr:cNvSpPr/>
      </xdr:nvSpPr>
      <xdr:spPr>
        <a:xfrm>
          <a:off x="5810232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70302</xdr:colOff>
      <xdr:row>0</xdr:row>
      <xdr:rowOff>514894</xdr:rowOff>
    </xdr:from>
    <xdr:to>
      <xdr:col>7</xdr:col>
      <xdr:colOff>577037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E1456A13-B091-481D-A46F-5F65928E2397}"/>
            </a:ext>
          </a:extLst>
        </xdr:cNvPr>
        <xdr:cNvSpPr txBox="1"/>
      </xdr:nvSpPr>
      <xdr:spPr>
        <a:xfrm rot="10800000" flipH="1" flipV="1">
          <a:off x="5775901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409809</xdr:colOff>
      <xdr:row>0</xdr:row>
      <xdr:rowOff>91651</xdr:rowOff>
    </xdr:from>
    <xdr:to>
      <xdr:col>7</xdr:col>
      <xdr:colOff>211334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57EB063-96C5-4FA0-964F-3BB39F4E66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5408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8</xdr:col>
      <xdr:colOff>214543</xdr:colOff>
      <xdr:row>0</xdr:row>
      <xdr:rowOff>0</xdr:rowOff>
    </xdr:from>
    <xdr:to>
      <xdr:col>9</xdr:col>
      <xdr:colOff>115547</xdr:colOff>
      <xdr:row>1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87AF57C7-1A5D-4BF6-B87A-E5F4D8D7693B}"/>
            </a:ext>
          </a:extLst>
        </xdr:cNvPr>
        <xdr:cNvSpPr/>
      </xdr:nvSpPr>
      <xdr:spPr>
        <a:xfrm>
          <a:off x="7139342" y="0"/>
          <a:ext cx="1018507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180212</xdr:colOff>
      <xdr:row>0</xdr:row>
      <xdr:rowOff>514894</xdr:rowOff>
    </xdr:from>
    <xdr:to>
      <xdr:col>9</xdr:col>
      <xdr:colOff>176074</xdr:colOff>
      <xdr:row>0</xdr:row>
      <xdr:rowOff>769325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9555FCB3-0770-4E05-823A-122F8A7F4B27}"/>
            </a:ext>
          </a:extLst>
        </xdr:cNvPr>
        <xdr:cNvSpPr txBox="1"/>
      </xdr:nvSpPr>
      <xdr:spPr>
        <a:xfrm rot="10800000" flipH="1" flipV="1">
          <a:off x="7105011" y="514894"/>
          <a:ext cx="111336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8</xdr:col>
      <xdr:colOff>520539</xdr:colOff>
      <xdr:row>0</xdr:row>
      <xdr:rowOff>91651</xdr:rowOff>
    </xdr:from>
    <xdr:to>
      <xdr:col>8</xdr:col>
      <xdr:colOff>933979</xdr:colOff>
      <xdr:row>0</xdr:row>
      <xdr:rowOff>494501</xdr:rowOff>
    </xdr:to>
    <xdr:pic>
      <xdr:nvPicPr>
        <xdr:cNvPr id="18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F095EAB-3F22-4541-A7C0-AFC2B084F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97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445338" y="91651"/>
          <a:ext cx="406512" cy="402850"/>
        </a:xfrm>
        <a:prstGeom prst="rect">
          <a:avLst/>
        </a:prstGeom>
      </xdr:spPr>
    </xdr:pic>
    <xdr:clientData/>
  </xdr:twoCellAnchor>
  <xdr:twoCellAnchor editAs="absolute">
    <xdr:from>
      <xdr:col>9</xdr:col>
      <xdr:colOff>388847</xdr:colOff>
      <xdr:row>0</xdr:row>
      <xdr:rowOff>0</xdr:rowOff>
    </xdr:from>
    <xdr:to>
      <xdr:col>10</xdr:col>
      <xdr:colOff>522907</xdr:colOff>
      <xdr:row>1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8A2245E9-52A3-486E-A113-5E0905FEA95B}"/>
            </a:ext>
          </a:extLst>
        </xdr:cNvPr>
        <xdr:cNvGrpSpPr/>
      </xdr:nvGrpSpPr>
      <xdr:grpSpPr>
        <a:xfrm>
          <a:off x="8444276" y="0"/>
          <a:ext cx="1113774" cy="772886"/>
          <a:chOff x="8443355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3802EEC3-D213-4FF5-8F47-BF17CB0B63F3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0EE4EBBD-D7D1-4968-A5B1-711753DA3E0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34F5242-BC46-4D2D-A66D-5F81414C13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745706</xdr:colOff>
      <xdr:row>0</xdr:row>
      <xdr:rowOff>0</xdr:rowOff>
    </xdr:from>
    <xdr:to>
      <xdr:col>11</xdr:col>
      <xdr:colOff>734106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B17D793F-25A7-4FB4-8EAD-A7FC7EAEFF20}"/>
            </a:ext>
          </a:extLst>
        </xdr:cNvPr>
        <xdr:cNvGrpSpPr/>
      </xdr:nvGrpSpPr>
      <xdr:grpSpPr>
        <a:xfrm>
          <a:off x="9780849" y="0"/>
          <a:ext cx="1120514" cy="772886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E95F03FF-BFEC-4886-87B7-E42AA7B4981F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876B4EF-34EB-4E9F-859A-46E12EC268DE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0AA60E6-028E-4E74-9BAB-A79BB3DB20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945894</xdr:colOff>
      <xdr:row>0</xdr:row>
      <xdr:rowOff>0</xdr:rowOff>
    </xdr:from>
    <xdr:to>
      <xdr:col>13</xdr:col>
      <xdr:colOff>36207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456E5FE9-A69A-4480-A0F1-CAED14322384}"/>
            </a:ext>
          </a:extLst>
        </xdr:cNvPr>
        <xdr:cNvGrpSpPr/>
      </xdr:nvGrpSpPr>
      <xdr:grpSpPr>
        <a:xfrm>
          <a:off x="11113151" y="0"/>
          <a:ext cx="1115056" cy="772886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175BD541-72F9-4E8D-9CE9-A714A4619857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89FEF3C-A450-444A-A239-BB36A1F14AC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F98019F-6038-4DC2-9463-81C56D17D6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688043</xdr:colOff>
      <xdr:row>0</xdr:row>
      <xdr:rowOff>0</xdr:rowOff>
    </xdr:from>
    <xdr:to>
      <xdr:col>4</xdr:col>
      <xdr:colOff>1805355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7CE2DF5F-39B3-42DF-9C8F-3B7414ABC787}"/>
            </a:ext>
            <a:ext uri="{147F2762-F138-4A5C-976F-8EAC2B608ADB}">
              <a16:predDERef xmlns:a16="http://schemas.microsoft.com/office/drawing/2014/main" pred="{82542D54-CB8C-4F1B-9D0C-D276B646203D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0852CB84-970B-4CC0-84FF-766523860F30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A56EE543-DCDF-4264-9788-7738D152FFD5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A88767A-443E-4885-84C0-9D60C5C87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22C868DC-093A-4F2F-A045-C56C11A3072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80107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B9154DB-81F3-4196-944C-B9A6520319C9}"/>
            </a:ext>
          </a:extLst>
        </xdr:cNvPr>
        <xdr:cNvSpPr/>
      </xdr:nvSpPr>
      <xdr:spPr>
        <a:xfrm>
          <a:off x="609600" y="845623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</a:p>
      </xdr:txBody>
    </xdr:sp>
    <xdr:clientData/>
  </xdr:twoCellAnchor>
  <xdr:twoCellAnchor editAs="absolute">
    <xdr:from>
      <xdr:col>4</xdr:col>
      <xdr:colOff>625230</xdr:colOff>
      <xdr:row>1</xdr:row>
      <xdr:rowOff>68383</xdr:rowOff>
    </xdr:from>
    <xdr:to>
      <xdr:col>5</xdr:col>
      <xdr:colOff>295640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686FF97A-DBD7-4A97-9713-02BD515C0EF5}"/>
            </a:ext>
          </a:extLst>
        </xdr:cNvPr>
        <xdr:cNvSpPr/>
      </xdr:nvSpPr>
      <xdr:spPr>
        <a:xfrm>
          <a:off x="3063630" y="845623"/>
          <a:ext cx="1908908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5</xdr:col>
      <xdr:colOff>838783</xdr:colOff>
      <xdr:row>1</xdr:row>
      <xdr:rowOff>68383</xdr:rowOff>
    </xdr:from>
    <xdr:to>
      <xdr:col>8</xdr:col>
      <xdr:colOff>505233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57514119-24D8-4A29-A278-D0E2FD3752CC}"/>
            </a:ext>
          </a:extLst>
        </xdr:cNvPr>
        <xdr:cNvSpPr/>
      </xdr:nvSpPr>
      <xdr:spPr>
        <a:xfrm>
          <a:off x="5521125" y="845623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8</xdr:col>
      <xdr:colOff>1059437</xdr:colOff>
      <xdr:row>1</xdr:row>
      <xdr:rowOff>68383</xdr:rowOff>
    </xdr:from>
    <xdr:to>
      <xdr:col>10</xdr:col>
      <xdr:colOff>867517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BCDCC7D1-EFAD-4383-9ADC-30FF49FBB05A}"/>
            </a:ext>
          </a:extLst>
        </xdr:cNvPr>
        <xdr:cNvSpPr/>
      </xdr:nvSpPr>
      <xdr:spPr>
        <a:xfrm>
          <a:off x="7972186" y="845623"/>
          <a:ext cx="1912865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5CB5A2C6-5A04-4065-9723-09C6A46DAB8C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F3FFF42-E6D5-4FD3-82E0-0AADB06F46C7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7D22D8A7-94D4-4F04-B7A5-C6A3A45AE20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14187F8F-60BA-43C9-B95A-72702ECCBD65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999D296B-B56B-48A5-A7C1-B8732DBD81A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8FA0E99-FA33-44FD-BB0D-476F841BD6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6873D8D1-AD00-4FE1-9AE8-B106B2E15C1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473118</xdr:colOff>
      <xdr:row>0</xdr:row>
      <xdr:rowOff>0</xdr:rowOff>
    </xdr:from>
    <xdr:to>
      <xdr:col>8</xdr:col>
      <xdr:colOff>340667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EF4FA3BD-E52C-4F32-B54B-B961900C07AD}"/>
            </a:ext>
          </a:extLst>
        </xdr:cNvPr>
        <xdr:cNvGrpSpPr/>
      </xdr:nvGrpSpPr>
      <xdr:grpSpPr>
        <a:xfrm>
          <a:off x="4435518" y="0"/>
          <a:ext cx="1108520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93FDBBB-C6C7-4242-B533-C6AAF2C3D1DD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22F126E6-1402-4463-9B05-DA42AB97361E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3284D80-0239-4F2C-9B9D-5BFE153840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587766</xdr:colOff>
      <xdr:row>0</xdr:row>
      <xdr:rowOff>0</xdr:rowOff>
    </xdr:from>
    <xdr:to>
      <xdr:col>8</xdr:col>
      <xdr:colOff>1593891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39101FB8-B5BE-4CA8-999F-A7BDEF1E6203}"/>
            </a:ext>
          </a:extLst>
        </xdr:cNvPr>
        <xdr:cNvSpPr/>
      </xdr:nvSpPr>
      <xdr:spPr>
        <a:xfrm>
          <a:off x="5806768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553435</xdr:colOff>
      <xdr:row>0</xdr:row>
      <xdr:rowOff>514894</xdr:rowOff>
    </xdr:from>
    <xdr:to>
      <xdr:col>8</xdr:col>
      <xdr:colOff>1654418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3DF9C12E-92F7-48A3-A23F-FA2DB52F71B9}"/>
            </a:ext>
          </a:extLst>
        </xdr:cNvPr>
        <xdr:cNvSpPr txBox="1"/>
      </xdr:nvSpPr>
      <xdr:spPr>
        <a:xfrm rot="10800000" flipH="1" flipV="1">
          <a:off x="5772437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886244</xdr:colOff>
      <xdr:row>0</xdr:row>
      <xdr:rowOff>91651</xdr:rowOff>
    </xdr:from>
    <xdr:to>
      <xdr:col>8</xdr:col>
      <xdr:colOff>1297369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D07FFC0-8D1E-436C-927D-44AAB6278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194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8</xdr:col>
      <xdr:colOff>1867193</xdr:colOff>
      <xdr:row>0</xdr:row>
      <xdr:rowOff>0</xdr:rowOff>
    </xdr:from>
    <xdr:to>
      <xdr:col>9</xdr:col>
      <xdr:colOff>233908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E58C3687-0A2F-4891-A68F-0EEDDF40BD14}"/>
            </a:ext>
          </a:extLst>
        </xdr:cNvPr>
        <xdr:cNvGrpSpPr/>
      </xdr:nvGrpSpPr>
      <xdr:grpSpPr>
        <a:xfrm>
          <a:off x="7070564" y="0"/>
          <a:ext cx="1099030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CF14E878-5964-4A25-8C3E-8B4AF1E4FE1F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8A82B934-DC70-4FE5-895B-6AD8A0491927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C8F991-0D5A-402A-BF13-485D84B1FB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446681</xdr:colOff>
      <xdr:row>0</xdr:row>
      <xdr:rowOff>0</xdr:rowOff>
    </xdr:from>
    <xdr:to>
      <xdr:col>11</xdr:col>
      <xdr:colOff>336001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9BF8E5FB-FA9E-4EA0-802D-932C3C60CDA8}"/>
            </a:ext>
          </a:extLst>
        </xdr:cNvPr>
        <xdr:cNvGrpSpPr/>
      </xdr:nvGrpSpPr>
      <xdr:grpSpPr>
        <a:xfrm>
          <a:off x="8382367" y="0"/>
          <a:ext cx="1108520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DF6C9A9C-F0A4-4488-AE1B-75D952D3569C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AB691AD9-6427-415F-825B-3F07B2FFD7B2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BC684F4-347B-405B-AFE0-C0DCB9CB9F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543891</xdr:colOff>
      <xdr:row>0</xdr:row>
      <xdr:rowOff>0</xdr:rowOff>
    </xdr:from>
    <xdr:to>
      <xdr:col>13</xdr:col>
      <xdr:colOff>444515</xdr:colOff>
      <xdr:row>1</xdr:row>
      <xdr:rowOff>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4C1E28CE-6E8D-4100-B65E-4FDAB90A1A9B}"/>
            </a:ext>
          </a:extLst>
        </xdr:cNvPr>
        <xdr:cNvGrpSpPr/>
      </xdr:nvGrpSpPr>
      <xdr:grpSpPr>
        <a:xfrm>
          <a:off x="9698777" y="0"/>
          <a:ext cx="1119824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70AAE3DC-A4FF-4717-97B9-64DD211E2F3C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2A944EDA-5401-4E9E-804F-5EFA7789A00F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CDFA013-9A51-4BA4-8010-0EAC7D8945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77127</xdr:colOff>
      <xdr:row>0</xdr:row>
      <xdr:rowOff>0</xdr:rowOff>
    </xdr:from>
    <xdr:to>
      <xdr:col>15</xdr:col>
      <xdr:colOff>489005</xdr:colOff>
      <xdr:row>1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7E24A84B-5037-46A8-827B-03D963CDEA82}"/>
            </a:ext>
          </a:extLst>
        </xdr:cNvPr>
        <xdr:cNvSpPr/>
      </xdr:nvSpPr>
      <xdr:spPr>
        <a:xfrm>
          <a:off x="11051881" y="0"/>
          <a:ext cx="1013662" cy="78153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42796</xdr:colOff>
      <xdr:row>0</xdr:row>
      <xdr:rowOff>514894</xdr:rowOff>
    </xdr:from>
    <xdr:to>
      <xdr:col>15</xdr:col>
      <xdr:colOff>549532</xdr:colOff>
      <xdr:row>0</xdr:row>
      <xdr:rowOff>769325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5E30FD73-58FE-46B5-8349-F2342A2C8A1F}"/>
            </a:ext>
          </a:extLst>
        </xdr:cNvPr>
        <xdr:cNvSpPr txBox="1"/>
      </xdr:nvSpPr>
      <xdr:spPr>
        <a:xfrm rot="10800000" flipH="1" flipV="1">
          <a:off x="11017550" y="514894"/>
          <a:ext cx="1108520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14</xdr:col>
      <xdr:colOff>388201</xdr:colOff>
      <xdr:row>0</xdr:row>
      <xdr:rowOff>91651</xdr:rowOff>
    </xdr:from>
    <xdr:to>
      <xdr:col>15</xdr:col>
      <xdr:colOff>177931</xdr:colOff>
      <xdr:row>0</xdr:row>
      <xdr:rowOff>494500</xdr:rowOff>
    </xdr:to>
    <xdr:pic>
      <xdr:nvPicPr>
        <xdr:cNvPr id="31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960D0D0-8C9D-4A8B-9892-C72357FAC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BEBA8EAE-BF5A-486C-A8C5-ECC9F3942E4B}">
              <a14:imgProps xmlns:a14="http://schemas.microsoft.com/office/drawing/2010/main">
                <a14:imgLayer r:embed="rId18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359047" y="91651"/>
          <a:ext cx="399330" cy="402849"/>
        </a:xfrm>
        <a:prstGeom prst="rect">
          <a:avLst/>
        </a:prstGeom>
      </xdr:spPr>
    </xdr:pic>
    <xdr:clientData/>
  </xdr:twoCellAnchor>
  <xdr:twoCellAnchor editAs="absolute">
    <xdr:from>
      <xdr:col>5</xdr:col>
      <xdr:colOff>78443</xdr:colOff>
      <xdr:row>0</xdr:row>
      <xdr:rowOff>0</xdr:rowOff>
    </xdr:from>
    <xdr:to>
      <xdr:col>6</xdr:col>
      <xdr:colOff>277447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9D622D3-780D-4902-AEC9-D35D6F70D5FD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77A5E4B8-9308-43F1-9CD0-CD222A184F0C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4DE4F8D3-1805-4CDB-AE98-2AE1B92F5842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C465393-11E0-403E-9B80-67251BBC27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C1221F0-195E-46F7-B9DA-5B171C7C4AC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91830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E7A2C728-4D84-44C7-B840-8CAA69C1B4DA}"/>
            </a:ext>
          </a:extLst>
        </xdr:cNvPr>
        <xdr:cNvSpPr/>
      </xdr:nvSpPr>
      <xdr:spPr>
        <a:xfrm>
          <a:off x="605692" y="849921"/>
          <a:ext cx="1908907" cy="42984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5</xdr:col>
      <xdr:colOff>31260</xdr:colOff>
      <xdr:row>1</xdr:row>
      <xdr:rowOff>68383</xdr:rowOff>
    </xdr:from>
    <xdr:to>
      <xdr:col>7</xdr:col>
      <xdr:colOff>409241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9E669AE9-6786-4904-8051-42317BFA65C7}"/>
            </a:ext>
          </a:extLst>
        </xdr:cNvPr>
        <xdr:cNvSpPr/>
      </xdr:nvSpPr>
      <xdr:spPr>
        <a:xfrm>
          <a:off x="3059722" y="849921"/>
          <a:ext cx="191286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8</xdr:col>
      <xdr:colOff>331899</xdr:colOff>
      <xdr:row>1</xdr:row>
      <xdr:rowOff>68383</xdr:rowOff>
    </xdr:from>
    <xdr:to>
      <xdr:col>8</xdr:col>
      <xdr:colOff>2228525</xdr:colOff>
      <xdr:row>1</xdr:row>
      <xdr:rowOff>498229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EE7FD749-C525-4676-86FF-DB92AECA6E44}"/>
            </a:ext>
          </a:extLst>
        </xdr:cNvPr>
        <xdr:cNvSpPr/>
      </xdr:nvSpPr>
      <xdr:spPr>
        <a:xfrm>
          <a:off x="5515732" y="849921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>
    <xdr:from>
      <xdr:col>7</xdr:col>
      <xdr:colOff>119743</xdr:colOff>
      <xdr:row>23</xdr:row>
      <xdr:rowOff>65315</xdr:rowOff>
    </xdr:from>
    <xdr:to>
      <xdr:col>8</xdr:col>
      <xdr:colOff>947056</xdr:colOff>
      <xdr:row>26</xdr:row>
      <xdr:rowOff>78037</xdr:rowOff>
    </xdr:to>
    <xdr:sp macro="" textlink="">
      <xdr:nvSpPr>
        <xdr:cNvPr id="41" name="Retângulo Arredondado 11">
          <a:extLst>
            <a:ext uri="{FF2B5EF4-FFF2-40B4-BE49-F238E27FC236}">
              <a16:creationId xmlns:a16="http://schemas.microsoft.com/office/drawing/2014/main" id="{6647F068-E680-475C-9210-022856CE77D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702629" y="5312229"/>
          <a:ext cx="1447798" cy="56789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2</xdr:col>
      <xdr:colOff>599035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8A1CDE10-6E8D-4549-A8BF-CAF6B125A58D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2353668F-F741-4E22-8DA2-C9541C3983CE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82A8FDCA-4152-4820-8112-538D843A8E4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129266</xdr:colOff>
      <xdr:row>0</xdr:row>
      <xdr:rowOff>0</xdr:rowOff>
    </xdr:from>
    <xdr:to>
      <xdr:col>4</xdr:col>
      <xdr:colOff>530398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4E1F70E-AD01-4F1F-9986-19089FEC86B1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82936992-F455-4044-BF45-A0EF6D0C310D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B75777E-B1F7-4341-BA46-4F68DD11BC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91BF72F9-7F24-4033-A9E0-79F89F87452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1333089</xdr:colOff>
      <xdr:row>0</xdr:row>
      <xdr:rowOff>0</xdr:rowOff>
    </xdr:from>
    <xdr:to>
      <xdr:col>5</xdr:col>
      <xdr:colOff>2419838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6E2B9322-0D04-4AC5-8E38-646B2C4058B7}"/>
            </a:ext>
          </a:extLst>
        </xdr:cNvPr>
        <xdr:cNvGrpSpPr/>
      </xdr:nvGrpSpPr>
      <xdr:grpSpPr>
        <a:xfrm>
          <a:off x="4435518" y="0"/>
          <a:ext cx="1086749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70C60073-D836-4AF4-9865-BCA042221CB4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6E311FB6-2C90-43EC-B02A-5DA9574F3DC5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8036EF5-BFB6-4788-9CF3-4794E978EE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2666937</xdr:colOff>
      <xdr:row>0</xdr:row>
      <xdr:rowOff>0</xdr:rowOff>
    </xdr:from>
    <xdr:to>
      <xdr:col>7</xdr:col>
      <xdr:colOff>222291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8EB65E9D-826C-4D78-B5EB-7C3F85883B81}"/>
            </a:ext>
          </a:extLst>
        </xdr:cNvPr>
        <xdr:cNvSpPr/>
      </xdr:nvSpPr>
      <xdr:spPr>
        <a:xfrm>
          <a:off x="5799846" y="0"/>
          <a:ext cx="1006125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2632606</xdr:colOff>
      <xdr:row>0</xdr:row>
      <xdr:rowOff>514894</xdr:rowOff>
    </xdr:from>
    <xdr:to>
      <xdr:col>7</xdr:col>
      <xdr:colOff>282818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8952AA96-4C2C-4A7C-A221-5CC162101538}"/>
            </a:ext>
          </a:extLst>
        </xdr:cNvPr>
        <xdr:cNvSpPr txBox="1"/>
      </xdr:nvSpPr>
      <xdr:spPr>
        <a:xfrm rot="10800000" flipH="1" flipV="1">
          <a:off x="5765515" y="514894"/>
          <a:ext cx="1100983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135130</xdr:colOff>
      <xdr:row>0</xdr:row>
      <xdr:rowOff>91651</xdr:rowOff>
    </xdr:from>
    <xdr:to>
      <xdr:col>6</xdr:col>
      <xdr:colOff>546255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F3F16D7-985A-418E-BBDE-10243B70F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832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495593</xdr:colOff>
      <xdr:row>0</xdr:row>
      <xdr:rowOff>0</xdr:rowOff>
    </xdr:from>
    <xdr:to>
      <xdr:col>7</xdr:col>
      <xdr:colOff>1594622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26659A24-4902-41B9-9CF0-70020A2247C0}"/>
            </a:ext>
          </a:extLst>
        </xdr:cNvPr>
        <xdr:cNvGrpSpPr/>
      </xdr:nvGrpSpPr>
      <xdr:grpSpPr>
        <a:xfrm>
          <a:off x="7048793" y="0"/>
          <a:ext cx="1099029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73AC0407-F196-4518-8742-FF12902E92EC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F43A4F97-F6B7-46B6-BD00-F8C7B15B856D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21A29A5-4E48-48C7-9A91-F674FEEA0D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1807395</xdr:colOff>
      <xdr:row>0</xdr:row>
      <xdr:rowOff>0</xdr:rowOff>
    </xdr:from>
    <xdr:to>
      <xdr:col>9</xdr:col>
      <xdr:colOff>216258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110DACA9-E12F-4648-B023-08A3204602D2}"/>
            </a:ext>
          </a:extLst>
        </xdr:cNvPr>
        <xdr:cNvGrpSpPr/>
      </xdr:nvGrpSpPr>
      <xdr:grpSpPr>
        <a:xfrm>
          <a:off x="8360595" y="0"/>
          <a:ext cx="1108520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BE4E672B-899F-4B9A-8DEE-4DAD3C6ACFF2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62F6EA1D-0E8A-47EA-BCD2-0DDFF00E37D5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BEA4408-EEE1-49F4-B91A-A3854B6882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424148</xdr:colOff>
      <xdr:row>0</xdr:row>
      <xdr:rowOff>0</xdr:rowOff>
    </xdr:from>
    <xdr:to>
      <xdr:col>9</xdr:col>
      <xdr:colOff>1543972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871EB7F7-EF34-4F0C-82C8-BAEDA1E4BAA5}"/>
            </a:ext>
          </a:extLst>
        </xdr:cNvPr>
        <xdr:cNvGrpSpPr/>
      </xdr:nvGrpSpPr>
      <xdr:grpSpPr>
        <a:xfrm>
          <a:off x="9677005" y="0"/>
          <a:ext cx="1119824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4E3A8E5A-4730-421A-AB15-C4A71768749B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084E61E8-4F02-486D-97C8-7880DFB711C0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5CC5C2B-625F-4709-8B2D-E8D5A25276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1786184</xdr:colOff>
      <xdr:row>0</xdr:row>
      <xdr:rowOff>0</xdr:rowOff>
    </xdr:from>
    <xdr:to>
      <xdr:col>10</xdr:col>
      <xdr:colOff>401919</xdr:colOff>
      <xdr:row>1</xdr:row>
      <xdr:rowOff>0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1BA9F397-8380-4B32-B364-38A5D19914FC}"/>
            </a:ext>
          </a:extLst>
        </xdr:cNvPr>
        <xdr:cNvSpPr/>
      </xdr:nvSpPr>
      <xdr:spPr>
        <a:xfrm>
          <a:off x="11065167" y="0"/>
          <a:ext cx="1021478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1744233</xdr:colOff>
      <xdr:row>0</xdr:row>
      <xdr:rowOff>514894</xdr:rowOff>
    </xdr:from>
    <xdr:to>
      <xdr:col>10</xdr:col>
      <xdr:colOff>462446</xdr:colOff>
      <xdr:row>0</xdr:row>
      <xdr:rowOff>769325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98446B6-DA13-43E8-82E2-8F9105133BDD}"/>
            </a:ext>
          </a:extLst>
        </xdr:cNvPr>
        <xdr:cNvSpPr txBox="1"/>
      </xdr:nvSpPr>
      <xdr:spPr>
        <a:xfrm rot="10800000" flipH="1" flipV="1">
          <a:off x="11030836" y="514894"/>
          <a:ext cx="1116336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9</xdr:col>
      <xdr:colOff>2097258</xdr:colOff>
      <xdr:row>0</xdr:row>
      <xdr:rowOff>91651</xdr:rowOff>
    </xdr:from>
    <xdr:to>
      <xdr:col>10</xdr:col>
      <xdr:colOff>90845</xdr:colOff>
      <xdr:row>0</xdr:row>
      <xdr:rowOff>494500</xdr:rowOff>
    </xdr:to>
    <xdr:pic>
      <xdr:nvPicPr>
        <xdr:cNvPr id="30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BD2D955-95AB-42ED-9CEC-559E99397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BEBA8EAE-BF5A-486C-A8C5-ECC9F3942E4B}">
              <a14:imgProps xmlns:a14="http://schemas.microsoft.com/office/drawing/2010/main">
                <a14:imgLayer r:embed="rId18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376241" y="91651"/>
          <a:ext cx="399330" cy="402849"/>
        </a:xfrm>
        <a:prstGeom prst="rect">
          <a:avLst/>
        </a:prstGeom>
      </xdr:spPr>
    </xdr:pic>
    <xdr:clientData/>
  </xdr:twoCellAnchor>
  <xdr:twoCellAnchor editAs="absolute">
    <xdr:from>
      <xdr:col>5</xdr:col>
      <xdr:colOff>24014</xdr:colOff>
      <xdr:row>0</xdr:row>
      <xdr:rowOff>0</xdr:rowOff>
    </xdr:from>
    <xdr:to>
      <xdr:col>5</xdr:col>
      <xdr:colOff>1137418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C10F8070-E5E4-4360-907E-97CAA9D8AD21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B55797CC-FC06-492F-A4DF-8DF983E6BB79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EA4F6C2E-5FB3-4693-AAF6-B015BB7DB2CA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2B01614-CDCD-4A16-A336-5AD25C08DB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599552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63FC92C-1B4D-4DB4-BEA1-C4272686CCF9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609600</xdr:colOff>
      <xdr:row>1</xdr:row>
      <xdr:rowOff>68383</xdr:rowOff>
    </xdr:from>
    <xdr:to>
      <xdr:col>4</xdr:col>
      <xdr:colOff>48287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BFA8BD88-6BAC-4857-97E5-15893392D754}"/>
            </a:ext>
          </a:extLst>
        </xdr:cNvPr>
        <xdr:cNvSpPr/>
      </xdr:nvSpPr>
      <xdr:spPr>
        <a:xfrm>
          <a:off x="609600" y="845623"/>
          <a:ext cx="1920630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4</xdr:col>
      <xdr:colOff>597317</xdr:colOff>
      <xdr:row>1</xdr:row>
      <xdr:rowOff>68383</xdr:rowOff>
    </xdr:from>
    <xdr:to>
      <xdr:col>5</xdr:col>
      <xdr:colOff>1878812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17794CDC-56BF-4A41-B4C3-EFF8793E72A5}"/>
            </a:ext>
          </a:extLst>
        </xdr:cNvPr>
        <xdr:cNvSpPr/>
      </xdr:nvSpPr>
      <xdr:spPr>
        <a:xfrm>
          <a:off x="3079260" y="845623"/>
          <a:ext cx="1917221" cy="42984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5</xdr:col>
      <xdr:colOff>2411070</xdr:colOff>
      <xdr:row>1</xdr:row>
      <xdr:rowOff>68383</xdr:rowOff>
    </xdr:from>
    <xdr:to>
      <xdr:col>7</xdr:col>
      <xdr:colOff>856925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94F82A91-0DFD-4FBA-B7FA-A8D18DA86FA7}"/>
            </a:ext>
          </a:extLst>
        </xdr:cNvPr>
        <xdr:cNvSpPr/>
      </xdr:nvSpPr>
      <xdr:spPr>
        <a:xfrm>
          <a:off x="5543979" y="845623"/>
          <a:ext cx="1896626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>
    <xdr:from>
      <xdr:col>5</xdr:col>
      <xdr:colOff>1872342</xdr:colOff>
      <xdr:row>26</xdr:row>
      <xdr:rowOff>54428</xdr:rowOff>
    </xdr:from>
    <xdr:to>
      <xdr:col>6</xdr:col>
      <xdr:colOff>489854</xdr:colOff>
      <xdr:row>29</xdr:row>
      <xdr:rowOff>67151</xdr:rowOff>
    </xdr:to>
    <xdr:sp macro="" textlink="">
      <xdr:nvSpPr>
        <xdr:cNvPr id="41" name="Retângulo Arredondado 11">
          <a:extLst>
            <a:ext uri="{FF2B5EF4-FFF2-40B4-BE49-F238E27FC236}">
              <a16:creationId xmlns:a16="http://schemas.microsoft.com/office/drawing/2014/main" id="{2860D56D-0926-4221-BF01-E7FD7A1F91BA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920342" y="5856514"/>
          <a:ext cx="1447798" cy="56789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2</xdr:col>
      <xdr:colOff>599035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8E83B6B-A012-48A6-A7F3-5F9CFE6C4018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6D237DA9-7497-41B5-94C6-2C457A0B27F7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279E2399-4B5D-4865-BB68-DF91109E7A4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129266</xdr:colOff>
      <xdr:row>0</xdr:row>
      <xdr:rowOff>0</xdr:rowOff>
    </xdr:from>
    <xdr:to>
      <xdr:col>4</xdr:col>
      <xdr:colOff>530398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5D3958CB-1538-4420-BD9F-7B44C11DB04C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320DFB44-C2C2-491C-B4DB-C4C83C53E2A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2139B7-8813-4577-8A81-3D9B7829E0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2649181C-1F06-430B-A43A-8D545CF187CE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1333089</xdr:colOff>
      <xdr:row>0</xdr:row>
      <xdr:rowOff>0</xdr:rowOff>
    </xdr:from>
    <xdr:to>
      <xdr:col>6</xdr:col>
      <xdr:colOff>460410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55AE2AB7-5BBD-4FF9-8D11-1DCFC0BF5E03}"/>
            </a:ext>
          </a:extLst>
        </xdr:cNvPr>
        <xdr:cNvGrpSpPr/>
      </xdr:nvGrpSpPr>
      <xdr:grpSpPr>
        <a:xfrm>
          <a:off x="4435518" y="0"/>
          <a:ext cx="1086749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75787156-B252-4039-A94E-E07908CFB43D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76CE4E49-9C44-448C-A2AB-595813237D45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F20B062-1315-4252-83B2-07C430490A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87023</xdr:colOff>
      <xdr:row>0</xdr:row>
      <xdr:rowOff>0</xdr:rowOff>
    </xdr:from>
    <xdr:to>
      <xdr:col>7</xdr:col>
      <xdr:colOff>1093148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236B20FE-70E6-4307-8626-E3E870BAB2A9}"/>
            </a:ext>
          </a:extLst>
        </xdr:cNvPr>
        <xdr:cNvSpPr/>
      </xdr:nvSpPr>
      <xdr:spPr>
        <a:xfrm>
          <a:off x="5791137" y="0"/>
          <a:ext cx="1014834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52692</xdr:colOff>
      <xdr:row>0</xdr:row>
      <xdr:rowOff>514894</xdr:rowOff>
    </xdr:from>
    <xdr:to>
      <xdr:col>7</xdr:col>
      <xdr:colOff>1153675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F0786B41-6214-4E81-85DF-D92BF30073E1}"/>
            </a:ext>
          </a:extLst>
        </xdr:cNvPr>
        <xdr:cNvSpPr txBox="1"/>
      </xdr:nvSpPr>
      <xdr:spPr>
        <a:xfrm rot="10800000" flipH="1" flipV="1">
          <a:off x="5756806" y="514894"/>
          <a:ext cx="1109692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385501</xdr:colOff>
      <xdr:row>0</xdr:row>
      <xdr:rowOff>91651</xdr:rowOff>
    </xdr:from>
    <xdr:to>
      <xdr:col>7</xdr:col>
      <xdr:colOff>796626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ED4B09-1B8B-4991-8B61-8E1B307DB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3970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1366450</xdr:colOff>
      <xdr:row>0</xdr:row>
      <xdr:rowOff>0</xdr:rowOff>
    </xdr:from>
    <xdr:to>
      <xdr:col>9</xdr:col>
      <xdr:colOff>179479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79FE160-6BD4-46C3-B68B-63AD2E50527E}"/>
            </a:ext>
          </a:extLst>
        </xdr:cNvPr>
        <xdr:cNvGrpSpPr/>
      </xdr:nvGrpSpPr>
      <xdr:grpSpPr>
        <a:xfrm>
          <a:off x="7048793" y="0"/>
          <a:ext cx="1099029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2B40D4D0-DA76-4E9A-AB9F-F2A67F8D04B4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EDE1D242-5903-457A-8C5E-22BBEBA97580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1FF119F-E78F-4081-ACF2-DEB0E660E1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392252</xdr:colOff>
      <xdr:row>0</xdr:row>
      <xdr:rowOff>0</xdr:rowOff>
    </xdr:from>
    <xdr:to>
      <xdr:col>10</xdr:col>
      <xdr:colOff>880286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2FDB2360-F75D-4539-ABA3-B0BCD428CCB1}"/>
            </a:ext>
          </a:extLst>
        </xdr:cNvPr>
        <xdr:cNvGrpSpPr/>
      </xdr:nvGrpSpPr>
      <xdr:grpSpPr>
        <a:xfrm>
          <a:off x="8360595" y="0"/>
          <a:ext cx="1108520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337CD2DB-223A-45F7-BB99-6BF7766E9C42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37AF965D-EEBE-4E96-9068-CF42E5851DF2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2D35EDF-36AE-4D4B-9071-9E032DC01B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1088176</xdr:colOff>
      <xdr:row>0</xdr:row>
      <xdr:rowOff>0</xdr:rowOff>
    </xdr:from>
    <xdr:to>
      <xdr:col>11</xdr:col>
      <xdr:colOff>324772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7E39C5C6-76A6-4986-81E3-638D4B031A72}"/>
            </a:ext>
          </a:extLst>
        </xdr:cNvPr>
        <xdr:cNvGrpSpPr/>
      </xdr:nvGrpSpPr>
      <xdr:grpSpPr>
        <a:xfrm>
          <a:off x="9677005" y="0"/>
          <a:ext cx="1119824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3B993847-9AC7-4289-8AE1-3D2B166BD1AE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34B202E6-F8D4-4F03-8958-A178873FDFF7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ECD37A2-8556-43DC-80AD-3241CE2F57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566984</xdr:colOff>
      <xdr:row>0</xdr:row>
      <xdr:rowOff>0</xdr:rowOff>
    </xdr:from>
    <xdr:to>
      <xdr:col>12</xdr:col>
      <xdr:colOff>586976</xdr:colOff>
      <xdr:row>1</xdr:row>
      <xdr:rowOff>0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6E7A7198-0BDA-4E79-BAC1-955AFA36C3A8}"/>
            </a:ext>
          </a:extLst>
        </xdr:cNvPr>
        <xdr:cNvSpPr/>
      </xdr:nvSpPr>
      <xdr:spPr>
        <a:xfrm>
          <a:off x="11067344" y="0"/>
          <a:ext cx="1016035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525033</xdr:colOff>
      <xdr:row>0</xdr:row>
      <xdr:rowOff>514894</xdr:rowOff>
    </xdr:from>
    <xdr:to>
      <xdr:col>13</xdr:col>
      <xdr:colOff>27017</xdr:colOff>
      <xdr:row>0</xdr:row>
      <xdr:rowOff>769325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E9ECB47E-8395-4006-AF69-8858E0552DDD}"/>
            </a:ext>
          </a:extLst>
        </xdr:cNvPr>
        <xdr:cNvSpPr txBox="1"/>
      </xdr:nvSpPr>
      <xdr:spPr>
        <a:xfrm rot="10800000" flipH="1" flipV="1">
          <a:off x="11025393" y="514894"/>
          <a:ext cx="1118513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11</xdr:col>
      <xdr:colOff>878058</xdr:colOff>
      <xdr:row>0</xdr:row>
      <xdr:rowOff>91651</xdr:rowOff>
    </xdr:from>
    <xdr:to>
      <xdr:col>12</xdr:col>
      <xdr:colOff>275902</xdr:colOff>
      <xdr:row>0</xdr:row>
      <xdr:rowOff>494500</xdr:rowOff>
    </xdr:to>
    <xdr:pic>
      <xdr:nvPicPr>
        <xdr:cNvPr id="30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BE42ECC-F96C-4387-AAFF-158A7F9FD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BEBA8EAE-BF5A-486C-A8C5-ECC9F3942E4B}">
              <a14:imgProps xmlns:a14="http://schemas.microsoft.com/office/drawing/2010/main">
                <a14:imgLayer r:embed="rId18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378418" y="91651"/>
          <a:ext cx="393887" cy="402849"/>
        </a:xfrm>
        <a:prstGeom prst="rect">
          <a:avLst/>
        </a:prstGeom>
      </xdr:spPr>
    </xdr:pic>
    <xdr:clientData/>
  </xdr:twoCellAnchor>
  <xdr:twoCellAnchor editAs="absolute">
    <xdr:from>
      <xdr:col>5</xdr:col>
      <xdr:colOff>24014</xdr:colOff>
      <xdr:row>0</xdr:row>
      <xdr:rowOff>0</xdr:rowOff>
    </xdr:from>
    <xdr:to>
      <xdr:col>5</xdr:col>
      <xdr:colOff>1137418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C10CB6C1-140B-47AB-95BB-E76E809313B0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1E84A780-CEF5-40DB-BBFA-DCD359F5D5B4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E8090841-F439-489A-BE66-9C28E98C22E4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F430542-D3E5-4002-A7C6-56172DAE49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599552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BE5E7F5E-915A-4888-A08D-31E81FA5AA2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9232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609600</xdr:colOff>
      <xdr:row>1</xdr:row>
      <xdr:rowOff>68383</xdr:rowOff>
    </xdr:from>
    <xdr:to>
      <xdr:col>4</xdr:col>
      <xdr:colOff>48287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50C2C38-F712-4326-9EC6-8E63AE5E43C3}"/>
            </a:ext>
          </a:extLst>
        </xdr:cNvPr>
        <xdr:cNvSpPr/>
      </xdr:nvSpPr>
      <xdr:spPr>
        <a:xfrm>
          <a:off x="609600" y="845623"/>
          <a:ext cx="193804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4</xdr:col>
      <xdr:colOff>597317</xdr:colOff>
      <xdr:row>1</xdr:row>
      <xdr:rowOff>68383</xdr:rowOff>
    </xdr:from>
    <xdr:to>
      <xdr:col>5</xdr:col>
      <xdr:colOff>1878812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C601C1DA-DEF1-41F1-BB37-555C2E3C990C}"/>
            </a:ext>
          </a:extLst>
        </xdr:cNvPr>
        <xdr:cNvSpPr/>
      </xdr:nvSpPr>
      <xdr:spPr>
        <a:xfrm>
          <a:off x="3096677" y="845623"/>
          <a:ext cx="1906335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6</xdr:col>
      <xdr:colOff>451642</xdr:colOff>
      <xdr:row>1</xdr:row>
      <xdr:rowOff>68383</xdr:rowOff>
    </xdr:from>
    <xdr:to>
      <xdr:col>8</xdr:col>
      <xdr:colOff>62268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35AF40DD-7A26-4B52-9520-349B71CFEB66}"/>
            </a:ext>
          </a:extLst>
        </xdr:cNvPr>
        <xdr:cNvSpPr/>
      </xdr:nvSpPr>
      <xdr:spPr>
        <a:xfrm>
          <a:off x="5535270" y="845623"/>
          <a:ext cx="1905335" cy="42984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>
    <xdr:from>
      <xdr:col>5</xdr:col>
      <xdr:colOff>1426028</xdr:colOff>
      <xdr:row>17</xdr:row>
      <xdr:rowOff>174172</xdr:rowOff>
    </xdr:from>
    <xdr:to>
      <xdr:col>7</xdr:col>
      <xdr:colOff>293911</xdr:colOff>
      <xdr:row>21</xdr:row>
      <xdr:rowOff>1837</xdr:rowOff>
    </xdr:to>
    <xdr:sp macro="" textlink="">
      <xdr:nvSpPr>
        <xdr:cNvPr id="40" name="Retângulo Arredondado 11">
          <a:extLst>
            <a:ext uri="{FF2B5EF4-FFF2-40B4-BE49-F238E27FC236}">
              <a16:creationId xmlns:a16="http://schemas.microsoft.com/office/drawing/2014/main" id="{45E2BE8C-1AFD-4F1C-9A28-6FA0EAD0947D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528457" y="4310743"/>
          <a:ext cx="1447797" cy="56789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1B58CD7-25B9-4E96-B5C4-3586D4D0E7B3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4388833-DF22-4066-96BD-26159EB38924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5EBB02CD-F04C-4263-ADCC-024710CEE3D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AE950EE4-BBE9-4338-9533-1C8EE5A75E29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B1EF9506-72C3-4999-95B3-E2D217BEABF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EF2B6A1-8558-48AF-B419-E947ACCB52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83D361B7-2AA5-4FE6-BDF2-5E84305725F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505B76A-8B19-4E18-B766-83D49C353E2D}"/>
            </a:ext>
          </a:extLst>
        </xdr:cNvPr>
        <xdr:cNvGrpSpPr/>
      </xdr:nvGrpSpPr>
      <xdr:grpSpPr>
        <a:xfrm>
          <a:off x="4435518" y="0"/>
          <a:ext cx="1111870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1CE88040-87E8-4DAF-90A0-1DF546A5CDE2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2EC502B7-BB7C-489F-9600-43E462EC40B7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4C032B3-1A13-490B-A1FC-44590E0A83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8</xdr:col>
      <xdr:colOff>230106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E077138C-8F22-4A2B-B9FB-D3FD6E729A69}"/>
            </a:ext>
          </a:extLst>
        </xdr:cNvPr>
        <xdr:cNvSpPr/>
      </xdr:nvSpPr>
      <xdr:spPr>
        <a:xfrm>
          <a:off x="5806768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8</xdr:col>
      <xdr:colOff>290633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3B98E175-6F43-41F2-BC71-5FECC7CE01A8}"/>
            </a:ext>
          </a:extLst>
        </xdr:cNvPr>
        <xdr:cNvSpPr txBox="1"/>
      </xdr:nvSpPr>
      <xdr:spPr>
        <a:xfrm rot="10800000" flipH="1" flipV="1">
          <a:off x="5772437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123405</xdr:colOff>
      <xdr:row>0</xdr:row>
      <xdr:rowOff>91651</xdr:rowOff>
    </xdr:from>
    <xdr:to>
      <xdr:col>7</xdr:col>
      <xdr:colOff>534530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B0632FE-88F5-44A9-82DB-DE87E481B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194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8</xdr:col>
      <xdr:colOff>503408</xdr:colOff>
      <xdr:row>0</xdr:row>
      <xdr:rowOff>0</xdr:rowOff>
    </xdr:from>
    <xdr:to>
      <xdr:col>8</xdr:col>
      <xdr:colOff>1611928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5BE56DF-7483-40F7-987C-81E7C1EA5837}"/>
            </a:ext>
          </a:extLst>
        </xdr:cNvPr>
        <xdr:cNvGrpSpPr/>
      </xdr:nvGrpSpPr>
      <xdr:grpSpPr>
        <a:xfrm>
          <a:off x="7089265" y="0"/>
          <a:ext cx="1108520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279268-CAA1-46FF-8F21-60BDD09DA713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ABAAF908-749C-45DD-B974-E611C09B10C5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86B8279-1398-4FC0-B75E-BC0ACB2A12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1824701</xdr:colOff>
      <xdr:row>0</xdr:row>
      <xdr:rowOff>0</xdr:rowOff>
    </xdr:from>
    <xdr:to>
      <xdr:col>9</xdr:col>
      <xdr:colOff>109913</xdr:colOff>
      <xdr:row>1</xdr:row>
      <xdr:rowOff>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5600A15D-01DD-4E40-A20D-D63FA63B2FA4}"/>
            </a:ext>
          </a:extLst>
        </xdr:cNvPr>
        <xdr:cNvGrpSpPr/>
      </xdr:nvGrpSpPr>
      <xdr:grpSpPr>
        <a:xfrm>
          <a:off x="8410558" y="0"/>
          <a:ext cx="1104612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A63CEAE1-C831-409F-AEE9-72727A655D67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545D8B18-B83F-4E3F-B859-6BB27E778374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933C26C-9539-4BBA-A39D-DC3436EFFB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317803</xdr:colOff>
      <xdr:row>0</xdr:row>
      <xdr:rowOff>0</xdr:rowOff>
    </xdr:from>
    <xdr:to>
      <xdr:col>11</xdr:col>
      <xdr:colOff>219823</xdr:colOff>
      <xdr:row>1</xdr:row>
      <xdr:rowOff>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AF90E033-79B5-401F-AE09-B65085F00906}"/>
            </a:ext>
          </a:extLst>
        </xdr:cNvPr>
        <xdr:cNvGrpSpPr/>
      </xdr:nvGrpSpPr>
      <xdr:grpSpPr>
        <a:xfrm>
          <a:off x="9723060" y="0"/>
          <a:ext cx="1121220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177B353D-A55D-4AB9-B520-12255F61CEC5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9B67C2E2-0D53-4B37-8C8F-D783EC626DAD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DB13319-B0F1-47C1-941E-91EB8AABCB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427704</xdr:colOff>
      <xdr:row>0</xdr:row>
      <xdr:rowOff>0</xdr:rowOff>
    </xdr:from>
    <xdr:to>
      <xdr:col>13</xdr:col>
      <xdr:colOff>324839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4A28C241-7359-4FEF-B209-B65C70DC161E}"/>
            </a:ext>
          </a:extLst>
        </xdr:cNvPr>
        <xdr:cNvGrpSpPr/>
      </xdr:nvGrpSpPr>
      <xdr:grpSpPr>
        <a:xfrm>
          <a:off x="11052161" y="0"/>
          <a:ext cx="1116335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1D9839BE-3330-40E4-B487-09D49C203EAE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C1B9643A-E1F6-4424-9C43-EF3A4E480126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3C5D7F6-44DD-4137-8CBF-E01D49864D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E31EC7D4-0907-4A01-8798-58D7A7D179EF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AA7F2729-937E-43D1-B6C6-D4CA017A9F65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BD4FEA53-ED83-468E-8751-D73B22A179CB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A517FAD-DE62-4BD7-B0EC-8455F1E9CC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C67888B7-12B5-41AD-8589-F5062E67E00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180C80C4-26FB-4111-805B-79C38B534E41}"/>
            </a:ext>
          </a:extLst>
        </xdr:cNvPr>
        <xdr:cNvSpPr/>
      </xdr:nvSpPr>
      <xdr:spPr>
        <a:xfrm>
          <a:off x="605691" y="841269"/>
          <a:ext cx="1923631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C928AEE1-EF7C-4D2E-8C81-ACBC7C358506}"/>
            </a:ext>
          </a:extLst>
        </xdr:cNvPr>
        <xdr:cNvSpPr/>
      </xdr:nvSpPr>
      <xdr:spPr>
        <a:xfrm>
          <a:off x="3044929" y="841269"/>
          <a:ext cx="1911907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8</xdr:col>
      <xdr:colOff>1306285</xdr:colOff>
      <xdr:row>1</xdr:row>
      <xdr:rowOff>68383</xdr:rowOff>
    </xdr:from>
    <xdr:to>
      <xdr:col>9</xdr:col>
      <xdr:colOff>402700</xdr:colOff>
      <xdr:row>1</xdr:row>
      <xdr:rowOff>496783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BF0B4974-1AFF-4F35-A945-212EFBF8E5F6}"/>
            </a:ext>
          </a:extLst>
        </xdr:cNvPr>
        <xdr:cNvSpPr/>
      </xdr:nvSpPr>
      <xdr:spPr>
        <a:xfrm>
          <a:off x="7892142" y="841269"/>
          <a:ext cx="1915815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10</xdr:col>
      <xdr:colOff>308705</xdr:colOff>
      <xdr:row>1</xdr:row>
      <xdr:rowOff>68383</xdr:rowOff>
    </xdr:from>
    <xdr:to>
      <xdr:col>13</xdr:col>
      <xdr:colOff>399628</xdr:colOff>
      <xdr:row>1</xdr:row>
      <xdr:rowOff>496783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DF9552A9-D006-4B9B-9319-EB49D04D788B}"/>
            </a:ext>
          </a:extLst>
        </xdr:cNvPr>
        <xdr:cNvSpPr/>
      </xdr:nvSpPr>
      <xdr:spPr>
        <a:xfrm>
          <a:off x="10323562" y="841269"/>
          <a:ext cx="191972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2198076</xdr:colOff>
      <xdr:row>27</xdr:row>
      <xdr:rowOff>9769</xdr:rowOff>
    </xdr:from>
    <xdr:to>
      <xdr:col>8</xdr:col>
      <xdr:colOff>119181</xdr:colOff>
      <xdr:row>30</xdr:row>
      <xdr:rowOff>20817</xdr:rowOff>
    </xdr:to>
    <xdr:sp macro="" textlink="">
      <xdr:nvSpPr>
        <xdr:cNvPr id="45" name="Retângulo Arredondado 11">
          <a:extLst>
            <a:ext uri="{FF2B5EF4-FFF2-40B4-BE49-F238E27FC236}">
              <a16:creationId xmlns:a16="http://schemas.microsoft.com/office/drawing/2014/main" id="{A74F841E-459B-430F-8DC7-89566DEDBC15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5226538" y="6017846"/>
          <a:ext cx="1447797" cy="56789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6</xdr:col>
      <xdr:colOff>105786</xdr:colOff>
      <xdr:row>1</xdr:row>
      <xdr:rowOff>68383</xdr:rowOff>
    </xdr:from>
    <xdr:to>
      <xdr:col>8</xdr:col>
      <xdr:colOff>790678</xdr:colOff>
      <xdr:row>1</xdr:row>
      <xdr:rowOff>496783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FBD81A27-1E42-469E-8E36-7209ACE62B8E}"/>
            </a:ext>
          </a:extLst>
        </xdr:cNvPr>
        <xdr:cNvSpPr/>
      </xdr:nvSpPr>
      <xdr:spPr>
        <a:xfrm>
          <a:off x="5472443" y="841269"/>
          <a:ext cx="190409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8BBF7D61-1ACA-4E10-81BF-77324BB80435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2D580BE3-FEB5-4C26-A54C-415E6DC2842B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5D3A623A-E2F6-4BCD-B455-49A030A7917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CC1D24D9-7537-4B51-8582-B30DAF5998B9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A45362C8-CDAA-435D-A51E-85499FA21C1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9F31DF-E7CA-4431-A103-7CC3F973CA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C38C42D-6EF5-4D8A-884B-31FF93D0DE5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9A651857-F82F-4D5C-8181-1CFF77AA1D49}"/>
            </a:ext>
          </a:extLst>
        </xdr:cNvPr>
        <xdr:cNvGrpSpPr/>
      </xdr:nvGrpSpPr>
      <xdr:grpSpPr>
        <a:xfrm>
          <a:off x="4435518" y="0"/>
          <a:ext cx="1111870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7B475002-0FD5-4B93-A5A5-31F3E09E4428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E80BB4B5-FD53-4A27-9771-95FD37F88B5A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C861F7A-D265-4261-B05D-E1B7B0E7C8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8</xdr:col>
      <xdr:colOff>230106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86919F40-B5F0-4DFA-9DB0-D2AA2619BF6D}"/>
            </a:ext>
          </a:extLst>
        </xdr:cNvPr>
        <xdr:cNvSpPr/>
      </xdr:nvSpPr>
      <xdr:spPr>
        <a:xfrm>
          <a:off x="5792310" y="0"/>
          <a:ext cx="1021476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8</xdr:col>
      <xdr:colOff>290633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8087CCE-63B9-46F4-AF9D-7F43CA164925}"/>
            </a:ext>
          </a:extLst>
        </xdr:cNvPr>
        <xdr:cNvSpPr txBox="1"/>
      </xdr:nvSpPr>
      <xdr:spPr>
        <a:xfrm rot="10800000" flipH="1" flipV="1">
          <a:off x="5757979" y="514894"/>
          <a:ext cx="1116334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123405</xdr:colOff>
      <xdr:row>0</xdr:row>
      <xdr:rowOff>91651</xdr:rowOff>
    </xdr:from>
    <xdr:to>
      <xdr:col>7</xdr:col>
      <xdr:colOff>534530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35F0C17-FD84-4129-9AD8-3E685853E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7485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8</xdr:col>
      <xdr:colOff>503408</xdr:colOff>
      <xdr:row>0</xdr:row>
      <xdr:rowOff>0</xdr:rowOff>
    </xdr:from>
    <xdr:to>
      <xdr:col>8</xdr:col>
      <xdr:colOff>1611928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FF4B78C9-54DB-4DE1-ABDE-8ABA00F15776}"/>
            </a:ext>
          </a:extLst>
        </xdr:cNvPr>
        <xdr:cNvGrpSpPr/>
      </xdr:nvGrpSpPr>
      <xdr:grpSpPr>
        <a:xfrm>
          <a:off x="7089265" y="0"/>
          <a:ext cx="1108520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1179FF9F-0704-4C37-856C-05AF12AFCCE5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1F0C1551-23B4-4FDB-90DA-E5C1BDEDDA25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AED0C54-B666-4CC0-867C-571C3E1BB7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1824701</xdr:colOff>
      <xdr:row>0</xdr:row>
      <xdr:rowOff>0</xdr:rowOff>
    </xdr:from>
    <xdr:to>
      <xdr:col>9</xdr:col>
      <xdr:colOff>109913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4B4F205C-91FA-46CF-96F1-A3B607286424}"/>
            </a:ext>
          </a:extLst>
        </xdr:cNvPr>
        <xdr:cNvGrpSpPr/>
      </xdr:nvGrpSpPr>
      <xdr:grpSpPr>
        <a:xfrm>
          <a:off x="8410558" y="0"/>
          <a:ext cx="1104612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F372C4B3-28D3-480E-84AC-7C9E9ED84695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E61AE0B7-08D2-4F9A-AC1B-DE2345C373C6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CCD9A21-4AB1-47E8-A5F2-5F18334FA8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317803</xdr:colOff>
      <xdr:row>0</xdr:row>
      <xdr:rowOff>0</xdr:rowOff>
    </xdr:from>
    <xdr:to>
      <xdr:col>11</xdr:col>
      <xdr:colOff>219823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FC9C5CF4-EC73-4315-AF14-F8A8DA5364F4}"/>
            </a:ext>
          </a:extLst>
        </xdr:cNvPr>
        <xdr:cNvGrpSpPr/>
      </xdr:nvGrpSpPr>
      <xdr:grpSpPr>
        <a:xfrm>
          <a:off x="9723060" y="0"/>
          <a:ext cx="1121220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73006D2A-6276-46F2-B776-8478F8A23B3E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3ABD5BB3-58D6-42A3-9224-E284EFE76F20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8712C7A-1F7B-41E5-898B-12B41F46E3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427704</xdr:colOff>
      <xdr:row>0</xdr:row>
      <xdr:rowOff>0</xdr:rowOff>
    </xdr:from>
    <xdr:to>
      <xdr:col>13</xdr:col>
      <xdr:colOff>324839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55189BF8-FD2C-4952-B835-B19CCBC58122}"/>
            </a:ext>
          </a:extLst>
        </xdr:cNvPr>
        <xdr:cNvGrpSpPr/>
      </xdr:nvGrpSpPr>
      <xdr:grpSpPr>
        <a:xfrm>
          <a:off x="11052161" y="0"/>
          <a:ext cx="1116335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DD993417-6FCA-450E-9220-578C6A42F6CF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A9CCC979-A988-44E0-A955-3B5276E0076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5A95CED-CAF7-445C-8F30-B226E9D7C7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EC0B0DA0-1D74-4AE7-966A-DC19AEEC6554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6C152EBC-513E-4469-8384-E58047CAC855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CF5F175C-C67B-48D5-AE3B-2267AE967232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FE413FD-B884-47B5-8A55-31480EF84B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B1E04473-B643-4CD5-89E7-2E080CCF6A2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B263F1F9-91FA-4F64-88E4-5176BB09EBDA}"/>
            </a:ext>
          </a:extLst>
        </xdr:cNvPr>
        <xdr:cNvSpPr/>
      </xdr:nvSpPr>
      <xdr:spPr>
        <a:xfrm>
          <a:off x="605691" y="841269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80104C76-428B-4214-A632-C7551A6D66B1}"/>
            </a:ext>
          </a:extLst>
        </xdr:cNvPr>
        <xdr:cNvSpPr/>
      </xdr:nvSpPr>
      <xdr:spPr>
        <a:xfrm>
          <a:off x="3044929" y="841269"/>
          <a:ext cx="1911907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6</xdr:col>
      <xdr:colOff>105785</xdr:colOff>
      <xdr:row>1</xdr:row>
      <xdr:rowOff>68383</xdr:rowOff>
    </xdr:from>
    <xdr:to>
      <xdr:col>8</xdr:col>
      <xdr:colOff>790677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6B79C07B-F6FD-4223-8BAA-88C0F1C51780}"/>
            </a:ext>
          </a:extLst>
        </xdr:cNvPr>
        <xdr:cNvSpPr/>
      </xdr:nvSpPr>
      <xdr:spPr>
        <a:xfrm>
          <a:off x="5472442" y="841269"/>
          <a:ext cx="190409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1306283</xdr:colOff>
      <xdr:row>1</xdr:row>
      <xdr:rowOff>68383</xdr:rowOff>
    </xdr:from>
    <xdr:to>
      <xdr:col>9</xdr:col>
      <xdr:colOff>402698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AD13F507-1166-4925-B6BA-D565A2AB58E7}"/>
            </a:ext>
          </a:extLst>
        </xdr:cNvPr>
        <xdr:cNvSpPr/>
      </xdr:nvSpPr>
      <xdr:spPr>
        <a:xfrm>
          <a:off x="7892140" y="841269"/>
          <a:ext cx="1915815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10</xdr:col>
      <xdr:colOff>308705</xdr:colOff>
      <xdr:row>1</xdr:row>
      <xdr:rowOff>68383</xdr:rowOff>
    </xdr:from>
    <xdr:to>
      <xdr:col>13</xdr:col>
      <xdr:colOff>399628</xdr:colOff>
      <xdr:row>1</xdr:row>
      <xdr:rowOff>496783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7454F4CB-96E1-49BB-AA08-C72168E1D60A}"/>
            </a:ext>
          </a:extLst>
        </xdr:cNvPr>
        <xdr:cNvSpPr/>
      </xdr:nvSpPr>
      <xdr:spPr>
        <a:xfrm>
          <a:off x="10323562" y="841269"/>
          <a:ext cx="191972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B41B17C-CF4E-4E46-83D9-1A8D86C63578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4610D335-F039-43AA-BD74-489E82DE21FC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F554A3D-E5E6-4E04-B44E-010A39A0335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688D141-932A-4061-98BF-8249A4F62EBE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DF7D4E51-7332-4574-9EAD-057A54DC574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9A2A387-9BBC-4EC0-84C9-0C8F247339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1516C1FE-5FC9-4FD5-8C50-4B41A256568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CB561700-B70D-48DD-8FBF-7B42C3140D1A}"/>
            </a:ext>
          </a:extLst>
        </xdr:cNvPr>
        <xdr:cNvGrpSpPr/>
      </xdr:nvGrpSpPr>
      <xdr:grpSpPr>
        <a:xfrm>
          <a:off x="4435518" y="0"/>
          <a:ext cx="1111870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18D22CA-B52E-4D1D-8330-10B314B7508E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5F95F96B-6009-4F4D-9A80-42B68EEEF0FF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6626B98-D9DD-4A2B-945A-8708D28734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7</xdr:col>
      <xdr:colOff>839706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7CABAD3A-011C-44B6-9CF1-663C3D4BABC2}"/>
            </a:ext>
          </a:extLst>
        </xdr:cNvPr>
        <xdr:cNvSpPr/>
      </xdr:nvSpPr>
      <xdr:spPr>
        <a:xfrm>
          <a:off x="5792310" y="0"/>
          <a:ext cx="1021476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7</xdr:col>
      <xdr:colOff>900233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8F734EEB-13D3-4C0A-82EC-8F9DA29D2A18}"/>
            </a:ext>
          </a:extLst>
        </xdr:cNvPr>
        <xdr:cNvSpPr txBox="1"/>
      </xdr:nvSpPr>
      <xdr:spPr>
        <a:xfrm rot="10800000" flipH="1" flipV="1">
          <a:off x="5757979" y="514894"/>
          <a:ext cx="1116334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123405</xdr:colOff>
      <xdr:row>0</xdr:row>
      <xdr:rowOff>91651</xdr:rowOff>
    </xdr:from>
    <xdr:to>
      <xdr:col>7</xdr:col>
      <xdr:colOff>534530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5C3124A-2E7D-4A6D-AAF7-96885459B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7485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1113008</xdr:colOff>
      <xdr:row>0</xdr:row>
      <xdr:rowOff>0</xdr:rowOff>
    </xdr:from>
    <xdr:to>
      <xdr:col>8</xdr:col>
      <xdr:colOff>22614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1C48775D-88F8-4125-8C7D-CD83E3F06514}"/>
            </a:ext>
          </a:extLst>
        </xdr:cNvPr>
        <xdr:cNvGrpSpPr/>
      </xdr:nvGrpSpPr>
      <xdr:grpSpPr>
        <a:xfrm>
          <a:off x="7089265" y="0"/>
          <a:ext cx="1108520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DDF2A68C-E3D5-43D1-9831-A7E99F80A8B5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E18C6C35-3FD7-49C1-94A6-537BEEE81CA9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D8A26A7-7213-4329-B399-55321529E3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235387</xdr:colOff>
      <xdr:row>0</xdr:row>
      <xdr:rowOff>0</xdr:rowOff>
    </xdr:from>
    <xdr:to>
      <xdr:col>10</xdr:col>
      <xdr:colOff>120799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C616DBE3-46A2-47CE-A050-9CCF44DE7C12}"/>
            </a:ext>
          </a:extLst>
        </xdr:cNvPr>
        <xdr:cNvGrpSpPr/>
      </xdr:nvGrpSpPr>
      <xdr:grpSpPr>
        <a:xfrm>
          <a:off x="8410558" y="0"/>
          <a:ext cx="1104612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FA97BDF6-776F-4BDE-95C8-AEDCBBB08CCB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F7DBB171-5D70-4A56-A5D1-843C23FAE44A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7D255A8-11CC-4A83-8E0A-ECE57FB899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328689</xdr:colOff>
      <xdr:row>0</xdr:row>
      <xdr:rowOff>0</xdr:rowOff>
    </xdr:from>
    <xdr:to>
      <xdr:col>12</xdr:col>
      <xdr:colOff>230709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C532E00E-A3BD-4F75-86F7-28652565CD31}"/>
            </a:ext>
          </a:extLst>
        </xdr:cNvPr>
        <xdr:cNvGrpSpPr/>
      </xdr:nvGrpSpPr>
      <xdr:grpSpPr>
        <a:xfrm>
          <a:off x="9723060" y="0"/>
          <a:ext cx="1121220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03DF950B-7A7D-485A-8D06-492FAE944428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B7CEF2FA-15AD-4778-A4B7-04B32D5D37DE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959824C-C2C1-48BC-9160-E05E44692D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438590</xdr:colOff>
      <xdr:row>0</xdr:row>
      <xdr:rowOff>0</xdr:rowOff>
    </xdr:from>
    <xdr:to>
      <xdr:col>14</xdr:col>
      <xdr:colOff>335725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E379192D-D60A-4801-8AE8-0BF3F68252E3}"/>
            </a:ext>
          </a:extLst>
        </xdr:cNvPr>
        <xdr:cNvGrpSpPr/>
      </xdr:nvGrpSpPr>
      <xdr:grpSpPr>
        <a:xfrm>
          <a:off x="11052161" y="0"/>
          <a:ext cx="1116335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4ED7E6AF-C7E5-49A7-9432-BC050D81188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65B2CF8D-E62F-4067-A8DB-FDD45614124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7538B0F-03B6-484F-BAE9-0BB082BC50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111B1520-3D0D-455A-9178-87600DE96E9F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FE3273E5-CA79-4428-8386-0EB63D0B130E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6DD9DE27-A284-4718-9696-D1F8BAA8DC67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7F7F937-2BED-4527-8222-65F9D0D961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E34194C1-CF0B-4B96-B76C-E87D128DA98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7FB893B9-2E61-4BDE-B63B-3B564A2619CE}"/>
            </a:ext>
          </a:extLst>
        </xdr:cNvPr>
        <xdr:cNvSpPr/>
      </xdr:nvSpPr>
      <xdr:spPr>
        <a:xfrm>
          <a:off x="605691" y="841269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94EC2CF2-255E-42EC-8EE6-666FDE7772B7}"/>
            </a:ext>
          </a:extLst>
        </xdr:cNvPr>
        <xdr:cNvSpPr/>
      </xdr:nvSpPr>
      <xdr:spPr>
        <a:xfrm>
          <a:off x="3044929" y="841269"/>
          <a:ext cx="1911907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6</xdr:col>
      <xdr:colOff>105785</xdr:colOff>
      <xdr:row>1</xdr:row>
      <xdr:rowOff>68383</xdr:rowOff>
    </xdr:from>
    <xdr:to>
      <xdr:col>7</xdr:col>
      <xdr:colOff>1400277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EFAA3AEE-FF7B-4204-9861-4C51845D47CC}"/>
            </a:ext>
          </a:extLst>
        </xdr:cNvPr>
        <xdr:cNvSpPr/>
      </xdr:nvSpPr>
      <xdr:spPr>
        <a:xfrm>
          <a:off x="5472442" y="841269"/>
          <a:ext cx="1904092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1915883</xdr:colOff>
      <xdr:row>1</xdr:row>
      <xdr:rowOff>68383</xdr:rowOff>
    </xdr:from>
    <xdr:to>
      <xdr:col>10</xdr:col>
      <xdr:colOff>413584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9EA7E8E1-7F2B-4672-83AB-7F7B2AEEBB15}"/>
            </a:ext>
          </a:extLst>
        </xdr:cNvPr>
        <xdr:cNvSpPr/>
      </xdr:nvSpPr>
      <xdr:spPr>
        <a:xfrm>
          <a:off x="7892140" y="841269"/>
          <a:ext cx="1915815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319591</xdr:colOff>
      <xdr:row>1</xdr:row>
      <xdr:rowOff>68383</xdr:rowOff>
    </xdr:from>
    <xdr:to>
      <xdr:col>14</xdr:col>
      <xdr:colOff>410514</xdr:colOff>
      <xdr:row>1</xdr:row>
      <xdr:rowOff>496783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C2685B7-C303-46E1-A802-9F3A88AEA270}"/>
            </a:ext>
          </a:extLst>
        </xdr:cNvPr>
        <xdr:cNvSpPr/>
      </xdr:nvSpPr>
      <xdr:spPr>
        <a:xfrm>
          <a:off x="10323562" y="841269"/>
          <a:ext cx="191972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1763485</xdr:colOff>
      <xdr:row>19</xdr:row>
      <xdr:rowOff>54429</xdr:rowOff>
    </xdr:from>
    <xdr:to>
      <xdr:col>7</xdr:col>
      <xdr:colOff>294190</xdr:colOff>
      <xdr:row>22</xdr:row>
      <xdr:rowOff>65477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728A335A-1495-4D0F-8124-A947A4662B9D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811485" y="4561115"/>
          <a:ext cx="1458962" cy="566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C0AD2A1E-6437-4060-926F-B04123BF7F4A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9A9A1703-F4D5-4FD0-8561-B23FF84C7A28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42D1CC18-1DE8-4D6B-AAB1-9CB427642C3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0FD0B0C-3137-493E-95F0-B1E6722B5520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F1E013DA-21D1-4154-8EBD-6D2ADF448DF7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AE8887C-2AA2-4C5A-AF15-DB15F68AEF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72830BC8-1E2C-440A-B434-8EFAA34CA77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2013303D-B456-43DF-AFE5-AE7704043039}"/>
            </a:ext>
          </a:extLst>
        </xdr:cNvPr>
        <xdr:cNvGrpSpPr/>
      </xdr:nvGrpSpPr>
      <xdr:grpSpPr>
        <a:xfrm>
          <a:off x="4435518" y="0"/>
          <a:ext cx="1111870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9CF22827-770E-4981-8A78-D754CF377DEE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14B055B-DD26-4DEF-8BC8-08720A2BA1BE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BF9D1FE-7926-444E-B649-5A7963BB06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6</xdr:col>
      <xdr:colOff>1449306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8DFFF9B0-0846-455C-A41E-9EAA32453531}"/>
            </a:ext>
          </a:extLst>
        </xdr:cNvPr>
        <xdr:cNvSpPr/>
      </xdr:nvSpPr>
      <xdr:spPr>
        <a:xfrm>
          <a:off x="5792310" y="0"/>
          <a:ext cx="1021476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6</xdr:col>
      <xdr:colOff>1509833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2CE296C-B2F1-49BB-B5E6-8E334ECF4B46}"/>
            </a:ext>
          </a:extLst>
        </xdr:cNvPr>
        <xdr:cNvSpPr txBox="1"/>
      </xdr:nvSpPr>
      <xdr:spPr>
        <a:xfrm rot="10800000" flipH="1" flipV="1">
          <a:off x="5757979" y="514894"/>
          <a:ext cx="1116334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733005</xdr:colOff>
      <xdr:row>0</xdr:row>
      <xdr:rowOff>91651</xdr:rowOff>
    </xdr:from>
    <xdr:to>
      <xdr:col>6</xdr:col>
      <xdr:colOff>1144130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9A61368-A557-43C3-BA80-3FA45A2D1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7485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1722608</xdr:colOff>
      <xdr:row>0</xdr:row>
      <xdr:rowOff>0</xdr:rowOff>
    </xdr:from>
    <xdr:to>
      <xdr:col>8</xdr:col>
      <xdr:colOff>490699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27250137-00A6-470B-AFD7-E26C819309D1}"/>
            </a:ext>
          </a:extLst>
        </xdr:cNvPr>
        <xdr:cNvGrpSpPr/>
      </xdr:nvGrpSpPr>
      <xdr:grpSpPr>
        <a:xfrm>
          <a:off x="7089265" y="0"/>
          <a:ext cx="1108520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36758487-C639-4529-A347-1B38E6E510A9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E9544566-33B0-4CCA-BB4C-1FB57DBC27CB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60035DC-A4FD-48A0-8A8B-4104D0AD14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703472</xdr:colOff>
      <xdr:row>0</xdr:row>
      <xdr:rowOff>0</xdr:rowOff>
    </xdr:from>
    <xdr:to>
      <xdr:col>8</xdr:col>
      <xdr:colOff>1808084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85D11A53-B515-4067-BCAD-8761167C5A4E}"/>
            </a:ext>
          </a:extLst>
        </xdr:cNvPr>
        <xdr:cNvGrpSpPr/>
      </xdr:nvGrpSpPr>
      <xdr:grpSpPr>
        <a:xfrm>
          <a:off x="8410558" y="0"/>
          <a:ext cx="1104612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1868EC99-CCDA-4851-930D-0F22F44063FE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21193230-B91F-4414-90D3-9E0298EB19D0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C256634-3020-4C36-B0F2-75F191A031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2015974</xdr:colOff>
      <xdr:row>0</xdr:row>
      <xdr:rowOff>0</xdr:rowOff>
    </xdr:from>
    <xdr:to>
      <xdr:col>9</xdr:col>
      <xdr:colOff>317794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72E34EBF-8EE5-4158-AA51-60C89B926ED8}"/>
            </a:ext>
          </a:extLst>
        </xdr:cNvPr>
        <xdr:cNvGrpSpPr/>
      </xdr:nvGrpSpPr>
      <xdr:grpSpPr>
        <a:xfrm>
          <a:off x="9723060" y="0"/>
          <a:ext cx="1121220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B47ED3E6-F850-4986-B34F-B3CC903FEEFB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71D872AE-9AD7-4071-BFEE-FA9B5830537A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485FF8D-CF1F-41D2-B88C-8774AF00C9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525675</xdr:colOff>
      <xdr:row>0</xdr:row>
      <xdr:rowOff>0</xdr:rowOff>
    </xdr:from>
    <xdr:to>
      <xdr:col>11</xdr:col>
      <xdr:colOff>422810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6D9E6924-F538-49EB-97AA-1C17EE8F5A0C}"/>
            </a:ext>
          </a:extLst>
        </xdr:cNvPr>
        <xdr:cNvGrpSpPr/>
      </xdr:nvGrpSpPr>
      <xdr:grpSpPr>
        <a:xfrm>
          <a:off x="11052161" y="0"/>
          <a:ext cx="1116335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D6021374-D775-4C1B-9BB7-86B7C071C4B4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74F19C67-C34D-42F7-A3C4-8E54AFB6081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F29CD92-7A07-42E9-AF09-B5EF6DD937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87F7102C-84EB-4F4E-BB22-72476B8E30DF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842313F9-1937-41D8-91AB-D9843937DBD3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A7157322-635E-4232-B419-7ADCAB0AF34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2E3B4B9-AA30-49D8-A5FE-5B3118D97B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9DB13918-6C1C-411C-ACA4-641EEA39DEB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15A7B69A-857E-45E2-A344-AE8F4663D484}"/>
            </a:ext>
          </a:extLst>
        </xdr:cNvPr>
        <xdr:cNvSpPr/>
      </xdr:nvSpPr>
      <xdr:spPr>
        <a:xfrm>
          <a:off x="605691" y="841269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F6D126CC-A07C-49B1-96FB-F4F26706D599}"/>
            </a:ext>
          </a:extLst>
        </xdr:cNvPr>
        <xdr:cNvSpPr/>
      </xdr:nvSpPr>
      <xdr:spPr>
        <a:xfrm>
          <a:off x="3044929" y="841269"/>
          <a:ext cx="1911907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6</xdr:col>
      <xdr:colOff>105785</xdr:colOff>
      <xdr:row>1</xdr:row>
      <xdr:rowOff>68383</xdr:rowOff>
    </xdr:from>
    <xdr:to>
      <xdr:col>7</xdr:col>
      <xdr:colOff>279048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9ECE1990-2D10-4837-9984-49FD33C06371}"/>
            </a:ext>
          </a:extLst>
        </xdr:cNvPr>
        <xdr:cNvSpPr/>
      </xdr:nvSpPr>
      <xdr:spPr>
        <a:xfrm>
          <a:off x="5472442" y="841269"/>
          <a:ext cx="190409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185055</xdr:colOff>
      <xdr:row>1</xdr:row>
      <xdr:rowOff>68383</xdr:rowOff>
    </xdr:from>
    <xdr:to>
      <xdr:col>8</xdr:col>
      <xdr:colOff>2100870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BE2B44F7-0EBB-42C4-AA89-D3ADE8C68200}"/>
            </a:ext>
          </a:extLst>
        </xdr:cNvPr>
        <xdr:cNvSpPr/>
      </xdr:nvSpPr>
      <xdr:spPr>
        <a:xfrm>
          <a:off x="7892141" y="841269"/>
          <a:ext cx="1915815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2616476</xdr:colOff>
      <xdr:row>1</xdr:row>
      <xdr:rowOff>68383</xdr:rowOff>
    </xdr:from>
    <xdr:to>
      <xdr:col>11</xdr:col>
      <xdr:colOff>497599</xdr:colOff>
      <xdr:row>1</xdr:row>
      <xdr:rowOff>496783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731ECF3F-364A-4C06-B131-BC34971C6299}"/>
            </a:ext>
          </a:extLst>
        </xdr:cNvPr>
        <xdr:cNvSpPr/>
      </xdr:nvSpPr>
      <xdr:spPr>
        <a:xfrm>
          <a:off x="10323562" y="841269"/>
          <a:ext cx="191972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1240972</xdr:colOff>
      <xdr:row>18</xdr:row>
      <xdr:rowOff>32656</xdr:rowOff>
    </xdr:from>
    <xdr:to>
      <xdr:col>6</xdr:col>
      <xdr:colOff>381277</xdr:colOff>
      <xdr:row>21</xdr:row>
      <xdr:rowOff>43704</xdr:rowOff>
    </xdr:to>
    <xdr:sp macro="" textlink="">
      <xdr:nvSpPr>
        <xdr:cNvPr id="42" name="Retângulo Arredondado 11">
          <a:extLst>
            <a:ext uri="{FF2B5EF4-FFF2-40B4-BE49-F238E27FC236}">
              <a16:creationId xmlns:a16="http://schemas.microsoft.com/office/drawing/2014/main" id="{35FE4108-FD6A-43E7-B111-D704E31E0694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288972" y="4354285"/>
          <a:ext cx="1458962" cy="566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ED28702-DE07-44F7-B2C5-CFAD73562A67}"/>
            </a:ext>
          </a:extLst>
        </xdr:cNvPr>
        <xdr:cNvGrpSpPr/>
      </xdr:nvGrpSpPr>
      <xdr:grpSpPr>
        <a:xfrm>
          <a:off x="0" y="1"/>
          <a:ext cx="1840006" cy="776175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E594F69-784E-4183-93DD-25CC108E7991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963658ED-7F82-4951-89DF-F12D3F628A3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FCC79808-0D55-418C-8F54-4C9977DAD2CF}"/>
            </a:ext>
          </a:extLst>
        </xdr:cNvPr>
        <xdr:cNvGrpSpPr/>
      </xdr:nvGrpSpPr>
      <xdr:grpSpPr>
        <a:xfrm>
          <a:off x="1990723" y="0"/>
          <a:ext cx="1021618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319491A4-06CD-44E3-B849-D82148B97C6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B827EDF-CD96-43EB-AFD2-34F9C55556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84E6F984-21EE-4EA2-BB47-D5BF8E62A6F9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146857ED-AB25-4561-BB47-BA5EC7E13660}"/>
            </a:ext>
          </a:extLst>
        </xdr:cNvPr>
        <xdr:cNvGrpSpPr/>
      </xdr:nvGrpSpPr>
      <xdr:grpSpPr>
        <a:xfrm>
          <a:off x="4435518" y="0"/>
          <a:ext cx="1106922" cy="775855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5B0738F8-7DA6-4AB5-854E-7A837A822842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9C062126-9C7F-4503-9614-AF56403E0969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4176B09-A6C9-4B5C-813D-5A3BDE5D6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6</xdr:col>
      <xdr:colOff>1449306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532C206F-057F-4721-8EB7-905C7673EAF2}"/>
            </a:ext>
          </a:extLst>
        </xdr:cNvPr>
        <xdr:cNvSpPr/>
      </xdr:nvSpPr>
      <xdr:spPr>
        <a:xfrm>
          <a:off x="5792310" y="0"/>
          <a:ext cx="1021476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6</xdr:col>
      <xdr:colOff>1509833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F838EE59-1563-4633-8092-B2456906C630}"/>
            </a:ext>
          </a:extLst>
        </xdr:cNvPr>
        <xdr:cNvSpPr txBox="1"/>
      </xdr:nvSpPr>
      <xdr:spPr>
        <a:xfrm rot="10800000" flipH="1" flipV="1">
          <a:off x="5757979" y="514894"/>
          <a:ext cx="1116334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733005</xdr:colOff>
      <xdr:row>0</xdr:row>
      <xdr:rowOff>91651</xdr:rowOff>
    </xdr:from>
    <xdr:to>
      <xdr:col>6</xdr:col>
      <xdr:colOff>1144130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7631B73-AF7E-4B6A-A2C7-6EB0C8A32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7485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155065</xdr:colOff>
      <xdr:row>0</xdr:row>
      <xdr:rowOff>0</xdr:rowOff>
    </xdr:from>
    <xdr:to>
      <xdr:col>9</xdr:col>
      <xdr:colOff>55271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1B394168-C13F-4D41-9B3D-658E257943E9}"/>
            </a:ext>
          </a:extLst>
        </xdr:cNvPr>
        <xdr:cNvGrpSpPr/>
      </xdr:nvGrpSpPr>
      <xdr:grpSpPr>
        <a:xfrm>
          <a:off x="7082338" y="0"/>
          <a:ext cx="1105551" cy="775855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42485F59-A5B6-4ABB-A224-6AAAB6E46B5B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6AEB6545-8D09-48E9-8006-AEB796CCCFA9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6C16CC0-7B7F-41DF-A086-63C1A885B4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268044</xdr:colOff>
      <xdr:row>0</xdr:row>
      <xdr:rowOff>0</xdr:rowOff>
    </xdr:from>
    <xdr:to>
      <xdr:col>11</xdr:col>
      <xdr:colOff>153456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B8C0961C-BD92-4C52-9F28-9F564E193EED}"/>
            </a:ext>
          </a:extLst>
        </xdr:cNvPr>
        <xdr:cNvGrpSpPr/>
      </xdr:nvGrpSpPr>
      <xdr:grpSpPr>
        <a:xfrm>
          <a:off x="8400662" y="0"/>
          <a:ext cx="1104612" cy="775855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16B7C1BD-2CE2-4100-BFFF-C3AEF2920323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3F5B2727-4A23-4F97-94E5-8CA1ADAC775D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9970DD2-F210-4AF3-9979-8DD5C98EB1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361346</xdr:colOff>
      <xdr:row>0</xdr:row>
      <xdr:rowOff>0</xdr:rowOff>
    </xdr:from>
    <xdr:to>
      <xdr:col>13</xdr:col>
      <xdr:colOff>263366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A9162A22-88EA-40D5-8AD4-6BCDF2936E97}"/>
            </a:ext>
          </a:extLst>
        </xdr:cNvPr>
        <xdr:cNvGrpSpPr/>
      </xdr:nvGrpSpPr>
      <xdr:grpSpPr>
        <a:xfrm>
          <a:off x="9713164" y="0"/>
          <a:ext cx="1121220" cy="775855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D1635918-E23B-447C-A324-DBDFAB6880BD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7B2A39BE-1EB4-4DBE-9E48-64962A013832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78D0106-4D06-4906-BBED-55E381C8B3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471247</xdr:colOff>
      <xdr:row>0</xdr:row>
      <xdr:rowOff>0</xdr:rowOff>
    </xdr:from>
    <xdr:to>
      <xdr:col>15</xdr:col>
      <xdr:colOff>368382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5F51CCD5-FA4B-41A9-9121-9C31E3C1745B}"/>
            </a:ext>
          </a:extLst>
        </xdr:cNvPr>
        <xdr:cNvGrpSpPr/>
      </xdr:nvGrpSpPr>
      <xdr:grpSpPr>
        <a:xfrm>
          <a:off x="11042265" y="0"/>
          <a:ext cx="1116335" cy="775855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35794250-DE85-4B35-B9F9-DBE4378D5FE1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17BC8191-9E11-4987-AC7F-F686BDB9FAB5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8BA66B2-E840-414A-B648-E929C5A284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C6A5A15-2FD5-4163-B69D-1C419F41A213}"/>
            </a:ext>
          </a:extLst>
        </xdr:cNvPr>
        <xdr:cNvGrpSpPr/>
      </xdr:nvGrpSpPr>
      <xdr:grpSpPr>
        <a:xfrm>
          <a:off x="3126443" y="0"/>
          <a:ext cx="1113404" cy="775855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80716404-1D5D-448E-9847-31CDB19DAC72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FBEA216D-133B-4829-B6AC-DA5D6226F655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72CFB18-99E3-4041-B7A0-16D006B476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2C0D5A30-E14A-4E85-A175-CB765B466D1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6CB5F885-C519-4157-9A5C-72027F72B1B4}"/>
            </a:ext>
          </a:extLst>
        </xdr:cNvPr>
        <xdr:cNvSpPr/>
      </xdr:nvSpPr>
      <xdr:spPr>
        <a:xfrm>
          <a:off x="605691" y="845623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B6870B09-1977-40E3-AF53-4A0AE4A6CC47}"/>
            </a:ext>
          </a:extLst>
        </xdr:cNvPr>
        <xdr:cNvSpPr/>
      </xdr:nvSpPr>
      <xdr:spPr>
        <a:xfrm>
          <a:off x="3044929" y="845623"/>
          <a:ext cx="1911907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6</xdr:col>
      <xdr:colOff>105785</xdr:colOff>
      <xdr:row>1</xdr:row>
      <xdr:rowOff>68383</xdr:rowOff>
    </xdr:from>
    <xdr:to>
      <xdr:col>7</xdr:col>
      <xdr:colOff>442334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854EFA34-90A3-41F4-B4EB-64F6907867D6}"/>
            </a:ext>
          </a:extLst>
        </xdr:cNvPr>
        <xdr:cNvSpPr/>
      </xdr:nvSpPr>
      <xdr:spPr>
        <a:xfrm>
          <a:off x="5470265" y="845623"/>
          <a:ext cx="190300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348341</xdr:colOff>
      <xdr:row>1</xdr:row>
      <xdr:rowOff>68383</xdr:rowOff>
    </xdr:from>
    <xdr:to>
      <xdr:col>11</xdr:col>
      <xdr:colOff>446242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B3856600-7B2A-497C-8D7E-CD180670D931}"/>
            </a:ext>
          </a:extLst>
        </xdr:cNvPr>
        <xdr:cNvSpPr/>
      </xdr:nvSpPr>
      <xdr:spPr>
        <a:xfrm>
          <a:off x="7888875" y="845623"/>
          <a:ext cx="1915815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12</xdr:col>
      <xdr:colOff>352248</xdr:colOff>
      <xdr:row>1</xdr:row>
      <xdr:rowOff>68383</xdr:rowOff>
    </xdr:from>
    <xdr:to>
      <xdr:col>15</xdr:col>
      <xdr:colOff>443171</xdr:colOff>
      <xdr:row>1</xdr:row>
      <xdr:rowOff>496783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B480F0A9-1C1D-4990-B057-C847D86F5418}"/>
            </a:ext>
          </a:extLst>
        </xdr:cNvPr>
        <xdr:cNvSpPr/>
      </xdr:nvSpPr>
      <xdr:spPr>
        <a:xfrm>
          <a:off x="10320296" y="845623"/>
          <a:ext cx="1919723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1295398</xdr:colOff>
      <xdr:row>27</xdr:row>
      <xdr:rowOff>0</xdr:rowOff>
    </xdr:from>
    <xdr:to>
      <xdr:col>6</xdr:col>
      <xdr:colOff>435703</xdr:colOff>
      <xdr:row>30</xdr:row>
      <xdr:rowOff>11048</xdr:rowOff>
    </xdr:to>
    <xdr:sp macro="" textlink="">
      <xdr:nvSpPr>
        <xdr:cNvPr id="42" name="Retângulo Arredondado 11">
          <a:extLst>
            <a:ext uri="{FF2B5EF4-FFF2-40B4-BE49-F238E27FC236}">
              <a16:creationId xmlns:a16="http://schemas.microsoft.com/office/drawing/2014/main" id="{9B9F491A-16FB-4287-9511-47DFC5827406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343398" y="5987143"/>
          <a:ext cx="1458962" cy="566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0</xdr:row>
      <xdr:rowOff>773207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BD91793E-62A5-43F3-A046-844983351636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FB3E0967-FE6C-482A-8543-D111EFCD9BC9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FA9E3BD1-48B0-48D2-98C6-70E2F8127D2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E3E7D9F-3BC7-4AFC-8A0D-84DEE51BCE2E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EA960233-22DB-4FA5-9C7C-877D2EE89BA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94C0AE5-453A-4C39-992A-B8AF2D161B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32E6E0FE-384B-48FB-9F46-465C58C3E6F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7</xdr:col>
      <xdr:colOff>176134</xdr:colOff>
      <xdr:row>0</xdr:row>
      <xdr:rowOff>0</xdr:rowOff>
    </xdr:from>
    <xdr:to>
      <xdr:col>9</xdr:col>
      <xdr:colOff>73269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7CC208FC-519D-4C53-8535-306FF2202FB7}"/>
            </a:ext>
          </a:extLst>
        </xdr:cNvPr>
        <xdr:cNvGrpSpPr/>
      </xdr:nvGrpSpPr>
      <xdr:grpSpPr>
        <a:xfrm>
          <a:off x="4443334" y="0"/>
          <a:ext cx="1116335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9B628BFB-B02C-4C82-8F0A-123AC00E342B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8281FFB-ECB7-4094-8C38-3B66EB93D13A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0A3618E-7651-46A6-90F6-14B65B60C3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320368</xdr:colOff>
      <xdr:row>0</xdr:row>
      <xdr:rowOff>0</xdr:rowOff>
    </xdr:from>
    <xdr:to>
      <xdr:col>11</xdr:col>
      <xdr:colOff>122645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D04A12F2-9AC6-4BE3-997D-BCA30152F7D0}"/>
            </a:ext>
          </a:extLst>
        </xdr:cNvPr>
        <xdr:cNvSpPr/>
      </xdr:nvSpPr>
      <xdr:spPr>
        <a:xfrm>
          <a:off x="5806768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286037</xdr:colOff>
      <xdr:row>0</xdr:row>
      <xdr:rowOff>514894</xdr:rowOff>
    </xdr:from>
    <xdr:to>
      <xdr:col>11</xdr:col>
      <xdr:colOff>183172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6B8F56E5-6576-4A05-BA12-003512D438A3}"/>
            </a:ext>
          </a:extLst>
        </xdr:cNvPr>
        <xdr:cNvSpPr txBox="1"/>
      </xdr:nvSpPr>
      <xdr:spPr>
        <a:xfrm rot="10800000" flipH="1" flipV="1">
          <a:off x="5772437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10</xdr:col>
      <xdr:colOff>15944</xdr:colOff>
      <xdr:row>0</xdr:row>
      <xdr:rowOff>91651</xdr:rowOff>
    </xdr:from>
    <xdr:to>
      <xdr:col>10</xdr:col>
      <xdr:colOff>427069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ACD7B26-1EDB-4A11-84A1-4D17FB9EF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194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11</xdr:col>
      <xdr:colOff>395947</xdr:colOff>
      <xdr:row>0</xdr:row>
      <xdr:rowOff>0</xdr:rowOff>
    </xdr:from>
    <xdr:to>
      <xdr:col>13</xdr:col>
      <xdr:colOff>293082</xdr:colOff>
      <xdr:row>1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87F0397A-8E20-4856-AAF2-DB72DA5A381A}"/>
            </a:ext>
          </a:extLst>
        </xdr:cNvPr>
        <xdr:cNvGrpSpPr/>
      </xdr:nvGrpSpPr>
      <xdr:grpSpPr>
        <a:xfrm>
          <a:off x="7101547" y="0"/>
          <a:ext cx="1116335" cy="772886"/>
          <a:chOff x="7058562" y="0"/>
          <a:chExt cx="1108520" cy="781538"/>
        </a:xfrm>
      </xdr:grpSpPr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CD5CB528-BB85-4D1B-8492-C7C349DD7A32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14474F84-BECD-4BBD-A121-59F4747AF792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CFB4B98-CBD2-44FF-A491-CE6000028C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505855</xdr:colOff>
      <xdr:row>0</xdr:row>
      <xdr:rowOff>0</xdr:rowOff>
    </xdr:from>
    <xdr:to>
      <xdr:col>15</xdr:col>
      <xdr:colOff>402990</xdr:colOff>
      <xdr:row>1</xdr:row>
      <xdr:rowOff>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A98C264C-B889-469C-BE8D-74018E528071}"/>
            </a:ext>
          </a:extLst>
        </xdr:cNvPr>
        <xdr:cNvGrpSpPr/>
      </xdr:nvGrpSpPr>
      <xdr:grpSpPr>
        <a:xfrm>
          <a:off x="8430655" y="0"/>
          <a:ext cx="1116335" cy="772886"/>
          <a:chOff x="8379855" y="0"/>
          <a:chExt cx="1108520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6961CE4A-4268-4287-9671-0229F30536B1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413941B0-F63C-492A-936C-A1CB392FBD32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8DF9628-A82C-473E-8612-83D5046D06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5188</xdr:colOff>
      <xdr:row>0</xdr:row>
      <xdr:rowOff>0</xdr:rowOff>
    </xdr:from>
    <xdr:to>
      <xdr:col>17</xdr:col>
      <xdr:colOff>512900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2EC3D2C3-70B8-42AC-A83F-7AF117E8DDDF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4F7D23A8-5DC1-4806-9AAC-A3C147E0252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92BC0B71-FEF5-48DF-9021-1ADEC7AADEF3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0FF59C5-D460-4F2B-A91B-5F0ECB3F49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115088</xdr:colOff>
      <xdr:row>0</xdr:row>
      <xdr:rowOff>0</xdr:rowOff>
    </xdr:from>
    <xdr:to>
      <xdr:col>20</xdr:col>
      <xdr:colOff>12224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F395F58E-C359-46A5-9572-3926E5D88BF7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8CB57639-21CF-4BD2-8660-BC2AB7E80521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52D935C5-C24F-4662-95CE-276F4C165A5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CA7ECFE-82D8-4556-B1E8-8F7B3F604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6</xdr:col>
      <xdr:colOff>586155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D114BEF1-CB3A-4F38-BB6F-0F7EB35F4ADA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63723013-4C73-4BF3-B42A-3E512D77A7C5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12AF0452-2CC9-430A-9B48-CAD0725884E8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3EE900F-BFCE-4D5C-AC1A-576020110F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C798FD9F-07CF-448B-815C-615C32C0965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3A34464-3690-4193-83C4-33239E6AF05B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B0CB22EC-C48B-4929-BC42-55A08474E22A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7E95C4BB-EF43-4479-9751-45C45905EC9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C34B4C6-4452-4F21-B7C5-B847FE7447EE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409FB52A-CA09-422B-80FC-DB946F39413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FA8934A-5739-4012-B8AD-CFDEBAC6C2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980F1998-BCC6-4EE2-ABFC-C4089AA7F5F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7</xdr:col>
      <xdr:colOff>176134</xdr:colOff>
      <xdr:row>0</xdr:row>
      <xdr:rowOff>0</xdr:rowOff>
    </xdr:from>
    <xdr:to>
      <xdr:col>9</xdr:col>
      <xdr:colOff>73269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C47D63D0-9BD6-4110-8836-9E1CF8AF688E}"/>
            </a:ext>
          </a:extLst>
        </xdr:cNvPr>
        <xdr:cNvGrpSpPr/>
      </xdr:nvGrpSpPr>
      <xdr:grpSpPr>
        <a:xfrm>
          <a:off x="4443334" y="0"/>
          <a:ext cx="1116335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676CDAB2-B097-47F5-A196-7FC2F8028B62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A1A66EC3-3BD0-4280-AC01-90092F16B80F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BFD277-5DE1-433F-BEFF-895E7D7DFB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320368</xdr:colOff>
      <xdr:row>0</xdr:row>
      <xdr:rowOff>0</xdr:rowOff>
    </xdr:from>
    <xdr:to>
      <xdr:col>11</xdr:col>
      <xdr:colOff>122645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DDA12DE6-FF64-42A3-A248-E90866D4D106}"/>
            </a:ext>
          </a:extLst>
        </xdr:cNvPr>
        <xdr:cNvSpPr/>
      </xdr:nvSpPr>
      <xdr:spPr>
        <a:xfrm>
          <a:off x="5806768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286037</xdr:colOff>
      <xdr:row>0</xdr:row>
      <xdr:rowOff>514894</xdr:rowOff>
    </xdr:from>
    <xdr:to>
      <xdr:col>11</xdr:col>
      <xdr:colOff>183172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A6670679-604A-4F0E-9582-2299D4BBC5D7}"/>
            </a:ext>
          </a:extLst>
        </xdr:cNvPr>
        <xdr:cNvSpPr txBox="1"/>
      </xdr:nvSpPr>
      <xdr:spPr>
        <a:xfrm rot="10800000" flipH="1" flipV="1">
          <a:off x="5772437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10</xdr:col>
      <xdr:colOff>15944</xdr:colOff>
      <xdr:row>0</xdr:row>
      <xdr:rowOff>91651</xdr:rowOff>
    </xdr:from>
    <xdr:to>
      <xdr:col>10</xdr:col>
      <xdr:colOff>427069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4ADBBFF-160E-4E36-A38A-54F9024AB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194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11</xdr:col>
      <xdr:colOff>395947</xdr:colOff>
      <xdr:row>0</xdr:row>
      <xdr:rowOff>0</xdr:rowOff>
    </xdr:from>
    <xdr:to>
      <xdr:col>13</xdr:col>
      <xdr:colOff>293082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820E110A-3922-4690-BA51-11FAE09717E7}"/>
            </a:ext>
          </a:extLst>
        </xdr:cNvPr>
        <xdr:cNvGrpSpPr/>
      </xdr:nvGrpSpPr>
      <xdr:grpSpPr>
        <a:xfrm>
          <a:off x="7101547" y="0"/>
          <a:ext cx="1116335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EE75A4E6-C171-4E87-886B-1D2126BBAA17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5C8C9552-AEA6-495C-981C-78AA836C0D9A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4FB3FF7-81F4-4807-B7A8-12761F471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540428</xdr:colOff>
      <xdr:row>0</xdr:row>
      <xdr:rowOff>0</xdr:rowOff>
    </xdr:from>
    <xdr:to>
      <xdr:col>15</xdr:col>
      <xdr:colOff>342036</xdr:colOff>
      <xdr:row>1</xdr:row>
      <xdr:rowOff>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D4A880A2-1A1F-4225-A283-A7A2773707AB}"/>
            </a:ext>
          </a:extLst>
        </xdr:cNvPr>
        <xdr:cNvSpPr/>
      </xdr:nvSpPr>
      <xdr:spPr>
        <a:xfrm>
          <a:off x="8465228" y="0"/>
          <a:ext cx="1020808" cy="772886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505855</xdr:colOff>
      <xdr:row>0</xdr:row>
      <xdr:rowOff>509194</xdr:rowOff>
    </xdr:from>
    <xdr:to>
      <xdr:col>15</xdr:col>
      <xdr:colOff>402990</xdr:colOff>
      <xdr:row>0</xdr:row>
      <xdr:rowOff>760808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C60B2974-3330-4183-B321-5DC11BD3C8A5}"/>
            </a:ext>
          </a:extLst>
        </xdr:cNvPr>
        <xdr:cNvSpPr txBox="1"/>
      </xdr:nvSpPr>
      <xdr:spPr>
        <a:xfrm rot="10800000" flipH="1" flipV="1">
          <a:off x="8430655" y="509194"/>
          <a:ext cx="1116335" cy="2516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14</xdr:col>
      <xdr:colOff>238455</xdr:colOff>
      <xdr:row>0</xdr:row>
      <xdr:rowOff>90636</xdr:rowOff>
    </xdr:from>
    <xdr:to>
      <xdr:col>15</xdr:col>
      <xdr:colOff>34408</xdr:colOff>
      <xdr:row>0</xdr:row>
      <xdr:rowOff>489026</xdr:rowOff>
    </xdr:to>
    <xdr:pic>
      <xdr:nvPicPr>
        <xdr:cNvPr id="23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58B32CC-4B19-4DF8-BCF0-3A17EBB5FA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772855" y="90636"/>
          <a:ext cx="405553" cy="398390"/>
        </a:xfrm>
        <a:prstGeom prst="rect">
          <a:avLst/>
        </a:prstGeom>
      </xdr:spPr>
    </xdr:pic>
    <xdr:clientData/>
  </xdr:twoCellAnchor>
  <xdr:twoCellAnchor editAs="absolute">
    <xdr:from>
      <xdr:col>16</xdr:col>
      <xdr:colOff>5188</xdr:colOff>
      <xdr:row>0</xdr:row>
      <xdr:rowOff>0</xdr:rowOff>
    </xdr:from>
    <xdr:to>
      <xdr:col>17</xdr:col>
      <xdr:colOff>512900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A13388C5-3548-4766-9E35-33EC186D7E16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006363E7-B4D0-4B95-8CB0-59B555D30B3A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4258382D-1E73-44E9-9C15-D9E480D1F05D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BD0CCE9-D882-4FC5-A406-27D9EEDC18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115088</xdr:colOff>
      <xdr:row>0</xdr:row>
      <xdr:rowOff>0</xdr:rowOff>
    </xdr:from>
    <xdr:to>
      <xdr:col>20</xdr:col>
      <xdr:colOff>12224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BBC806EF-E6C4-47A4-9A7F-1965986B1C8F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FB26D0AE-7361-4003-AAFD-831B3FBD61AB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8E071703-BE60-495F-A689-AF1EC8E795F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6852645-0578-407E-9140-A311268B05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6</xdr:col>
      <xdr:colOff>586155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A9E1EB65-CCA9-4660-BB8B-09278929D018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70F35A71-37B0-4475-838E-63958EB63018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34E76145-F0B9-4A16-BDBB-274969770386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D9404C7-2AD1-48A2-8601-2F31DE85FD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6A3537E8-F3A2-4D6F-AA68-06A58F749D29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20</xdr:col>
      <xdr:colOff>119742</xdr:colOff>
      <xdr:row>0</xdr:row>
      <xdr:rowOff>10885</xdr:rowOff>
    </xdr:from>
    <xdr:to>
      <xdr:col>22</xdr:col>
      <xdr:colOff>18858</xdr:colOff>
      <xdr:row>1</xdr:row>
      <xdr:rowOff>10885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BF6B4867-4CE5-4F80-9A92-B2666A9E1CD2}"/>
            </a:ext>
          </a:extLst>
        </xdr:cNvPr>
        <xdr:cNvGrpSpPr/>
      </xdr:nvGrpSpPr>
      <xdr:grpSpPr>
        <a:xfrm>
          <a:off x="12311742" y="10885"/>
          <a:ext cx="1118316" cy="772886"/>
          <a:chOff x="11105473" y="0"/>
          <a:chExt cx="1118289" cy="781538"/>
        </a:xfrm>
      </xdr:grpSpPr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DE830602-D687-4132-AFC2-698E46A0EF22}"/>
              </a:ext>
            </a:extLst>
          </xdr:cNvPr>
          <xdr:cNvSpPr/>
        </xdr:nvSpPr>
        <xdr:spPr>
          <a:xfrm>
            <a:off x="11140106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9" name="CaixaDeTexto 38">
            <a:extLst>
              <a:ext uri="{FF2B5EF4-FFF2-40B4-BE49-F238E27FC236}">
                <a16:creationId xmlns:a16="http://schemas.microsoft.com/office/drawing/2014/main" id="{107DBDAC-3C76-4097-8E0C-CA705FD5E7E3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</xdr:grpSp>
    <xdr:clientData/>
  </xdr:twoCellAnchor>
  <xdr:twoCellAnchor editAs="oneCell">
    <xdr:from>
      <xdr:col>20</xdr:col>
      <xdr:colOff>457200</xdr:colOff>
      <xdr:row>0</xdr:row>
      <xdr:rowOff>54429</xdr:rowOff>
    </xdr:from>
    <xdr:to>
      <xdr:col>21</xdr:col>
      <xdr:colOff>282314</xdr:colOff>
      <xdr:row>0</xdr:row>
      <xdr:rowOff>486364</xdr:rowOff>
    </xdr:to>
    <xdr:pic>
      <xdr:nvPicPr>
        <xdr:cNvPr id="40" name="Imagem 39" descr="Ícone do banco de dados (símbolo png) preto">
          <a:extLst>
            <a:ext uri="{FF2B5EF4-FFF2-40B4-BE49-F238E27FC236}">
              <a16:creationId xmlns:a16="http://schemas.microsoft.com/office/drawing/2014/main" id="{6F641C1A-7DDA-4D78-8BDC-BD8D1471C4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0" y="54429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OVO_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Setor_Modelo"/>
      <sheetName val="Produção"/>
      <sheetName val="NOVO"/>
      <sheetName val="N_PROD"/>
      <sheetName val="N_LOGISTICA"/>
      <sheetName val="Produção_Requisições"/>
      <sheetName val="Produção_Equipes"/>
      <sheetName val="Prod_Lanç"/>
      <sheetName val="Produção_BD"/>
      <sheetName val="Estoque"/>
      <sheetName val="Estoque_Prod"/>
      <sheetName val="Estoque_Pedidos"/>
      <sheetName val="Lógistica"/>
      <sheetName val="Lógistica_Cadastro_Clientes"/>
      <sheetName val="Lógistica_Cadastro_Tabela"/>
      <sheetName val="Lógistica_Veiculos_Parceiros"/>
      <sheetName val="Lógistica_Cronograma_Entregas"/>
      <sheetName val="Lógistica_Frete_Custos"/>
      <sheetName val="Lógistica_Relatorio_Entregas"/>
      <sheetName val="Lógistica_Estoque_Transporte"/>
      <sheetName val="Recursos Humanos"/>
      <sheetName val="Finanças"/>
      <sheetName val="Finanças_Custos"/>
      <sheetName val="Venda"/>
      <sheetName val="Compra"/>
      <sheetName val="Compra_CadFor"/>
      <sheetName val="Compra_Solict"/>
      <sheetName val="Compra_ControleProd"/>
      <sheetName val="Vendas_Cadastro_Clientes1"/>
      <sheetName val="Vendas_Cadastro_Clientes2"/>
      <sheetName val="Vendas_Controle_Vendas1"/>
      <sheetName val="Vendas_Controle_Vendas2"/>
      <sheetName val="Vendas_MetasVendas1"/>
      <sheetName val="Vendas_MetasVendas2"/>
      <sheetName val="NOVO_2"/>
    </sheetNames>
    <definedNames>
      <definedName name="REQ_M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a:spPr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7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0311B-1A00-407A-B3C8-C8A1D0AB8E96}">
  <sheetPr codeName="Planilha1">
    <tabColor rgb="FFFF0000"/>
  </sheetPr>
  <dimension ref="A1:AW77"/>
  <sheetViews>
    <sheetView zoomScale="40" zoomScaleNormal="40" workbookViewId="0">
      <selection activeCell="AW53" sqref="AW53"/>
    </sheetView>
  </sheetViews>
  <sheetFormatPr defaultColWidth="8.88671875" defaultRowHeight="14.4" zeroHeight="1" x14ac:dyDescent="0.3"/>
  <cols>
    <col min="1" max="25" width="8.88671875" customWidth="1"/>
    <col min="26" max="43" width="8.88671875" style="337" customWidth="1"/>
    <col min="44" max="48" width="8.88671875" customWidth="1"/>
    <col min="49" max="49" width="105.77734375" customWidth="1"/>
    <col min="50" max="16383" width="0" hidden="1" customWidth="1"/>
    <col min="16384" max="16384" width="84.77734375" customWidth="1"/>
  </cols>
  <sheetData>
    <row r="1" spans="1:49" ht="61.5" customHeight="1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</row>
    <row r="2" spans="1:49" ht="46.2" customHeight="1" x14ac:dyDescent="0.5">
      <c r="A2" s="379" t="s">
        <v>0</v>
      </c>
      <c r="B2" s="379"/>
      <c r="C2" s="379"/>
      <c r="D2" s="379"/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79"/>
      <c r="U2" s="379"/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79"/>
      <c r="AL2" s="379"/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</row>
    <row r="3" spans="1:49" x14ac:dyDescent="0.3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</row>
    <row r="4" spans="1:49" x14ac:dyDescent="0.3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</row>
    <row r="5" spans="1:49" x14ac:dyDescent="0.3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</row>
    <row r="6" spans="1:49" x14ac:dyDescent="0.3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</row>
    <row r="7" spans="1:49" x14ac:dyDescent="0.3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</row>
    <row r="8" spans="1:49" x14ac:dyDescent="0.3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</row>
    <row r="9" spans="1:49" x14ac:dyDescent="0.3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</row>
    <row r="10" spans="1:49" x14ac:dyDescent="0.3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</row>
    <row r="11" spans="1:49" x14ac:dyDescent="0.3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</row>
    <row r="12" spans="1:49" x14ac:dyDescent="0.3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</row>
    <row r="13" spans="1:49" x14ac:dyDescent="0.3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</row>
    <row r="14" spans="1:49" x14ac:dyDescent="0.3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</row>
    <row r="15" spans="1:49" x14ac:dyDescent="0.3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</row>
    <row r="16" spans="1:49" x14ac:dyDescent="0.3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</row>
    <row r="17" spans="1:49" x14ac:dyDescent="0.3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</row>
    <row r="18" spans="1:49" x14ac:dyDescent="0.3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</row>
    <row r="19" spans="1:49" x14ac:dyDescent="0.3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</row>
    <row r="20" spans="1:49" x14ac:dyDescent="0.3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</row>
    <row r="21" spans="1:49" x14ac:dyDescent="0.3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</row>
    <row r="22" spans="1:49" x14ac:dyDescent="0.3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</row>
    <row r="23" spans="1:49" x14ac:dyDescent="0.3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</row>
    <row r="24" spans="1:49" x14ac:dyDescent="0.3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</row>
    <row r="25" spans="1:49" x14ac:dyDescent="0.3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</row>
    <row r="26" spans="1:49" x14ac:dyDescent="0.3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</row>
    <row r="27" spans="1:49" x14ac:dyDescent="0.3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</row>
    <row r="28" spans="1:49" x14ac:dyDescent="0.3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</row>
    <row r="29" spans="1:49" x14ac:dyDescent="0.3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</row>
    <row r="30" spans="1:49" x14ac:dyDescent="0.3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</row>
    <row r="31" spans="1:49" x14ac:dyDescent="0.3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</row>
    <row r="32" spans="1:49" x14ac:dyDescent="0.3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</row>
    <row r="33" spans="1:49" x14ac:dyDescent="0.3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</row>
    <row r="34" spans="1:49" x14ac:dyDescent="0.3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</row>
    <row r="35" spans="1:49" x14ac:dyDescent="0.3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</row>
    <row r="36" spans="1:49" x14ac:dyDescent="0.3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</row>
    <row r="37" spans="1:49" x14ac:dyDescent="0.3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</row>
    <row r="38" spans="1:49" x14ac:dyDescent="0.3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</row>
    <row r="39" spans="1:49" x14ac:dyDescent="0.3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</row>
    <row r="40" spans="1:49" x14ac:dyDescent="0.3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</row>
    <row r="41" spans="1:49" x14ac:dyDescent="0.3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</row>
    <row r="42" spans="1:49" x14ac:dyDescent="0.3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</row>
    <row r="43" spans="1:49" x14ac:dyDescent="0.3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</row>
    <row r="44" spans="1:49" x14ac:dyDescent="0.3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</row>
    <row r="45" spans="1:49" x14ac:dyDescent="0.3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</row>
    <row r="46" spans="1:49" x14ac:dyDescent="0.3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</row>
    <row r="47" spans="1:49" x14ac:dyDescent="0.3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</row>
    <row r="48" spans="1:49" x14ac:dyDescent="0.3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</row>
    <row r="49" spans="1:49" x14ac:dyDescent="0.3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</row>
    <row r="50" spans="1:49" s="337" customFormat="1" x14ac:dyDescent="0.3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</row>
    <row r="51" spans="1:49" s="337" customFormat="1" x14ac:dyDescent="0.3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</row>
    <row r="52" spans="1:49" s="337" customFormat="1" x14ac:dyDescent="0.3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</row>
    <row r="53" spans="1:49" s="337" customFormat="1" x14ac:dyDescent="0.3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</row>
    <row r="54" spans="1:49" s="337" customFormat="1" x14ac:dyDescent="0.3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</row>
    <row r="55" spans="1:49" s="337" customFormat="1" x14ac:dyDescent="0.3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4"/>
      <c r="AS55" s="24"/>
      <c r="AT55" s="24"/>
      <c r="AU55" s="24"/>
      <c r="AV55" s="24"/>
      <c r="AW55" s="24"/>
    </row>
    <row r="56" spans="1:49" s="337" customFormat="1" x14ac:dyDescent="0.3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</row>
    <row r="57" spans="1:49" s="337" customFormat="1" x14ac:dyDescent="0.3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</row>
    <row r="58" spans="1:49" s="337" customFormat="1" x14ac:dyDescent="0.3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</row>
    <row r="59" spans="1:49" s="337" customFormat="1" x14ac:dyDescent="0.3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</row>
    <row r="60" spans="1:49" s="337" customFormat="1" x14ac:dyDescent="0.3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  <c r="AS60" s="24"/>
      <c r="AT60" s="24"/>
      <c r="AU60" s="24"/>
      <c r="AV60" s="24"/>
      <c r="AW60" s="24"/>
    </row>
    <row r="61" spans="1:49" s="337" customFormat="1" x14ac:dyDescent="0.3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4"/>
      <c r="AS61" s="24"/>
      <c r="AT61" s="24"/>
      <c r="AU61" s="24"/>
      <c r="AV61" s="24"/>
      <c r="AW61" s="24"/>
    </row>
    <row r="62" spans="1:49" s="337" customFormat="1" x14ac:dyDescent="0.3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</row>
    <row r="63" spans="1:49" s="337" customFormat="1" x14ac:dyDescent="0.3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24"/>
      <c r="AS63" s="24"/>
      <c r="AT63" s="24"/>
      <c r="AU63" s="24"/>
      <c r="AV63" s="24"/>
      <c r="AW63" s="24"/>
    </row>
    <row r="64" spans="1:49" s="337" customFormat="1" x14ac:dyDescent="0.3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4"/>
      <c r="AU64" s="24"/>
      <c r="AV64" s="24"/>
      <c r="AW64" s="24"/>
    </row>
    <row r="65" spans="1:49" s="337" customFormat="1" x14ac:dyDescent="0.3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4"/>
      <c r="AU65" s="24"/>
      <c r="AV65" s="24"/>
      <c r="AW65" s="24"/>
    </row>
    <row r="66" spans="1:49" s="337" customFormat="1" x14ac:dyDescent="0.3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4"/>
      <c r="AU66" s="24"/>
      <c r="AV66" s="24"/>
      <c r="AW66" s="24"/>
    </row>
    <row r="67" spans="1:49" s="337" customFormat="1" x14ac:dyDescent="0.3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4"/>
      <c r="AU67" s="24"/>
      <c r="AV67" s="24"/>
      <c r="AW67" s="24"/>
    </row>
    <row r="68" spans="1:49" s="337" customFormat="1" x14ac:dyDescent="0.3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</row>
    <row r="69" spans="1:49" s="337" customFormat="1" x14ac:dyDescent="0.3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</row>
    <row r="70" spans="1:49" s="337" customFormat="1" x14ac:dyDescent="0.3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/>
    </row>
    <row r="71" spans="1:49" s="337" customFormat="1" x14ac:dyDescent="0.3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4"/>
    </row>
    <row r="72" spans="1:49" s="337" customFormat="1" x14ac:dyDescent="0.3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4"/>
    </row>
    <row r="73" spans="1:49" s="337" customFormat="1" x14ac:dyDescent="0.3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</row>
    <row r="74" spans="1:49" s="337" customFormat="1" x14ac:dyDescent="0.3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</row>
    <row r="75" spans="1:49" x14ac:dyDescent="0.3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4"/>
      <c r="AS75" s="24"/>
      <c r="AT75" s="24"/>
      <c r="AU75" s="24"/>
      <c r="AV75" s="24"/>
      <c r="AW75" s="24"/>
    </row>
    <row r="76" spans="1:49" x14ac:dyDescent="0.3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</row>
    <row r="77" spans="1:49" ht="270" customHeight="1" x14ac:dyDescent="0.3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</row>
  </sheetData>
  <mergeCells count="1">
    <mergeCell ref="A2:AW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76B67-0173-4515-8DFA-8AC20FEA1596}">
  <sheetPr codeName="Planilha2">
    <tabColor rgb="FFFF0000"/>
  </sheetPr>
  <dimension ref="A1:AE52"/>
  <sheetViews>
    <sheetView showGridLines="0" zoomScale="40" zoomScaleNormal="40" workbookViewId="0">
      <selection activeCell="H49" sqref="H49"/>
    </sheetView>
  </sheetViews>
  <sheetFormatPr defaultRowHeight="14.4" x14ac:dyDescent="0.3"/>
  <cols>
    <col min="3" max="3" width="8.88671875" customWidth="1"/>
    <col min="5" max="5" width="28.88671875" customWidth="1"/>
    <col min="6" max="6" width="12.33203125" customWidth="1"/>
    <col min="7" max="7" width="15.6640625" bestFit="1" customWidth="1"/>
    <col min="8" max="8" width="16.6640625" bestFit="1" customWidth="1"/>
    <col min="9" max="9" width="10.33203125" customWidth="1"/>
    <col min="10" max="10" width="19.5546875" bestFit="1" customWidth="1"/>
    <col min="11" max="11" width="13.44140625" bestFit="1" customWidth="1"/>
    <col min="12" max="12" width="12.33203125" bestFit="1" customWidth="1"/>
    <col min="13" max="13" width="9.5546875" bestFit="1" customWidth="1"/>
    <col min="14" max="14" width="16.66406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381"/>
      <c r="B2" s="381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  <c r="S2" s="381"/>
      <c r="T2" s="381"/>
      <c r="U2" s="381"/>
      <c r="V2" s="381"/>
      <c r="W2" s="381"/>
      <c r="X2" s="381"/>
      <c r="Y2" s="381"/>
      <c r="Z2" s="381"/>
      <c r="AA2" s="381"/>
      <c r="AB2" s="381"/>
      <c r="AC2" s="381"/>
      <c r="AD2" s="381"/>
      <c r="AE2" s="381"/>
    </row>
    <row r="3" spans="1:31" x14ac:dyDescent="0.3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</row>
    <row r="4" spans="1:31" x14ac:dyDescent="0.3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</row>
    <row r="5" spans="1:31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</row>
    <row r="6" spans="1:31" x14ac:dyDescent="0.3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</row>
    <row r="7" spans="1:31" ht="14.4" customHeight="1" x14ac:dyDescent="0.3">
      <c r="A7" s="42"/>
      <c r="B7" s="42"/>
      <c r="C7" s="42"/>
      <c r="D7" s="42"/>
      <c r="E7" s="382"/>
      <c r="F7" s="382"/>
      <c r="G7" s="382"/>
      <c r="H7" s="382"/>
      <c r="I7" s="382"/>
      <c r="J7" s="38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</row>
    <row r="8" spans="1:31" ht="14.4" customHeight="1" x14ac:dyDescent="0.3">
      <c r="A8" s="42"/>
      <c r="B8" s="42"/>
      <c r="C8" s="42"/>
      <c r="D8" s="42"/>
      <c r="E8" s="382"/>
      <c r="F8" s="382"/>
      <c r="G8" s="382"/>
      <c r="H8" s="382"/>
      <c r="I8" s="382"/>
      <c r="J8" s="38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</row>
    <row r="9" spans="1:31" ht="25.2" customHeight="1" x14ac:dyDescent="0.3">
      <c r="A9" s="42"/>
      <c r="B9" s="42"/>
      <c r="C9" s="42"/>
      <c r="D9" s="42"/>
      <c r="E9" s="43"/>
      <c r="F9" s="43"/>
      <c r="G9" s="43"/>
      <c r="H9" s="43"/>
      <c r="I9" s="43"/>
      <c r="J9" s="43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</row>
    <row r="10" spans="1:31" ht="25.2" customHeight="1" x14ac:dyDescent="0.3">
      <c r="A10" s="42"/>
      <c r="B10" s="42"/>
      <c r="C10" s="42"/>
      <c r="D10" s="42"/>
      <c r="E10" s="43"/>
      <c r="F10" s="44"/>
      <c r="G10" s="44"/>
      <c r="H10" s="44"/>
      <c r="I10" s="44"/>
      <c r="J10" s="44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</row>
    <row r="11" spans="1:31" ht="25.2" customHeight="1" x14ac:dyDescent="0.3">
      <c r="A11" s="42"/>
      <c r="B11" s="42"/>
      <c r="C11" s="42"/>
      <c r="D11" s="42"/>
      <c r="E11" s="43"/>
      <c r="F11" s="44"/>
      <c r="G11" s="44"/>
      <c r="H11" s="44"/>
      <c r="I11" s="44"/>
      <c r="J11" s="44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</row>
    <row r="12" spans="1:31" ht="25.2" customHeight="1" x14ac:dyDescent="0.3">
      <c r="A12" s="42"/>
      <c r="B12" s="42"/>
      <c r="C12" s="42"/>
      <c r="D12" s="42"/>
      <c r="E12" s="43"/>
      <c r="F12" s="44"/>
      <c r="G12" s="44"/>
      <c r="H12" s="44"/>
      <c r="I12" s="44"/>
      <c r="J12" s="44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</row>
    <row r="13" spans="1:31" ht="25.2" customHeight="1" x14ac:dyDescent="0.3">
      <c r="A13" s="42"/>
      <c r="B13" s="42"/>
      <c r="C13" s="42"/>
      <c r="D13" s="42"/>
      <c r="E13" s="43"/>
      <c r="F13" s="44"/>
      <c r="G13" s="44"/>
      <c r="H13" s="44"/>
      <c r="I13" s="44"/>
      <c r="J13" s="44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</row>
    <row r="14" spans="1:31" x14ac:dyDescent="0.3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</row>
    <row r="15" spans="1:31" x14ac:dyDescent="0.3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</row>
    <row r="16" spans="1:31" x14ac:dyDescent="0.3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</row>
    <row r="17" spans="1:31" x14ac:dyDescent="0.3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</row>
    <row r="18" spans="1:31" ht="14.4" customHeight="1" x14ac:dyDescent="0.3">
      <c r="A18" s="42"/>
      <c r="B18" s="42"/>
      <c r="C18" s="42"/>
      <c r="D18" s="42"/>
      <c r="E18" s="42"/>
      <c r="F18" s="383"/>
      <c r="G18" s="383"/>
      <c r="H18" s="383"/>
      <c r="I18" s="383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</row>
    <row r="19" spans="1:31" ht="14.4" customHeight="1" x14ac:dyDescent="0.3">
      <c r="A19" s="42"/>
      <c r="B19" s="42"/>
      <c r="C19" s="42"/>
      <c r="D19" s="42"/>
      <c r="E19" s="42"/>
      <c r="F19" s="383"/>
      <c r="G19" s="383"/>
      <c r="H19" s="383"/>
      <c r="I19" s="383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</row>
    <row r="20" spans="1:31" ht="14.4" customHeight="1" x14ac:dyDescent="0.3">
      <c r="A20" s="42"/>
      <c r="B20" s="42"/>
      <c r="C20" s="42"/>
      <c r="D20" s="42"/>
      <c r="E20" s="42"/>
      <c r="F20" s="384"/>
      <c r="G20" s="384"/>
      <c r="H20" s="385"/>
      <c r="I20" s="386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</row>
    <row r="21" spans="1:31" ht="14.4" customHeight="1" x14ac:dyDescent="0.3">
      <c r="A21" s="42"/>
      <c r="B21" s="42"/>
      <c r="C21" s="42"/>
      <c r="D21" s="42"/>
      <c r="E21" s="42"/>
      <c r="F21" s="384"/>
      <c r="G21" s="384"/>
      <c r="H21" s="385"/>
      <c r="I21" s="386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</row>
    <row r="22" spans="1:31" ht="17.399999999999999" customHeight="1" x14ac:dyDescent="0.3">
      <c r="A22" s="42"/>
      <c r="B22" s="42"/>
      <c r="C22" s="42"/>
      <c r="D22" s="42"/>
      <c r="E22" s="42"/>
      <c r="F22" s="45"/>
      <c r="G22" s="45"/>
      <c r="H22" s="46"/>
      <c r="I22" s="46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</row>
    <row r="23" spans="1:31" ht="17.399999999999999" x14ac:dyDescent="0.3">
      <c r="A23" s="42"/>
      <c r="B23" s="42"/>
      <c r="C23" s="42"/>
      <c r="D23" s="42"/>
      <c r="E23" s="42"/>
      <c r="F23" s="380"/>
      <c r="G23" s="380"/>
      <c r="H23" s="47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</row>
    <row r="24" spans="1:31" ht="28.8" x14ac:dyDescent="0.3">
      <c r="A24" s="42"/>
      <c r="B24" s="42"/>
      <c r="C24" s="42"/>
      <c r="D24" s="42"/>
      <c r="E24" s="42"/>
      <c r="F24" s="48"/>
      <c r="G24" s="49"/>
      <c r="H24" s="46"/>
      <c r="I24" s="46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</row>
    <row r="25" spans="1:31" ht="17.399999999999999" x14ac:dyDescent="0.3">
      <c r="A25" s="42"/>
      <c r="B25" s="42"/>
      <c r="C25" s="42"/>
      <c r="D25" s="42"/>
      <c r="E25" s="42"/>
      <c r="F25" s="380"/>
      <c r="G25" s="380"/>
      <c r="H25" s="47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</row>
    <row r="26" spans="1:31" ht="28.8" x14ac:dyDescent="0.3">
      <c r="A26" s="42"/>
      <c r="B26" s="42"/>
      <c r="C26" s="42"/>
      <c r="D26" s="42"/>
      <c r="E26" s="42"/>
      <c r="F26" s="50"/>
      <c r="G26" s="49"/>
      <c r="H26" s="46"/>
      <c r="I26" s="46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</row>
    <row r="27" spans="1:31" ht="17.399999999999999" x14ac:dyDescent="0.3">
      <c r="A27" s="42"/>
      <c r="B27" s="42"/>
      <c r="C27" s="42"/>
      <c r="D27" s="42"/>
      <c r="E27" s="42"/>
      <c r="F27" s="380"/>
      <c r="G27" s="380"/>
      <c r="H27" s="47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</row>
    <row r="28" spans="1:31" ht="28.8" x14ac:dyDescent="0.3">
      <c r="A28" s="42"/>
      <c r="B28" s="42"/>
      <c r="C28" s="42"/>
      <c r="D28" s="42"/>
      <c r="E28" s="42"/>
      <c r="F28" s="48"/>
      <c r="G28" s="49"/>
      <c r="H28" s="46"/>
      <c r="I28" s="46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</row>
    <row r="29" spans="1:31" ht="17.399999999999999" x14ac:dyDescent="0.3">
      <c r="A29" s="42"/>
      <c r="B29" s="42"/>
      <c r="C29" s="42"/>
      <c r="D29" s="42"/>
      <c r="E29" s="42"/>
      <c r="F29" s="380"/>
      <c r="G29" s="380"/>
      <c r="H29" s="47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</row>
    <row r="30" spans="1:31" ht="28.8" x14ac:dyDescent="0.3">
      <c r="A30" s="42"/>
      <c r="B30" s="42"/>
      <c r="C30" s="42"/>
      <c r="D30" s="42"/>
      <c r="E30" s="42"/>
      <c r="F30" s="50"/>
      <c r="G30" s="51"/>
      <c r="H30" s="52"/>
      <c r="I30" s="46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</row>
    <row r="31" spans="1:31" ht="17.399999999999999" x14ac:dyDescent="0.3">
      <c r="A31" s="42"/>
      <c r="B31" s="42"/>
      <c r="C31" s="42"/>
      <c r="D31" s="42"/>
      <c r="E31" s="42"/>
      <c r="F31" s="380"/>
      <c r="G31" s="380"/>
      <c r="H31" s="47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</row>
    <row r="32" spans="1:31" ht="28.8" x14ac:dyDescent="0.3">
      <c r="A32" s="42"/>
      <c r="B32" s="42"/>
      <c r="C32" s="42"/>
      <c r="D32" s="42"/>
      <c r="E32" s="42"/>
      <c r="F32" s="45"/>
      <c r="G32" s="53"/>
      <c r="H32" s="52"/>
      <c r="I32" s="54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</row>
    <row r="33" spans="1:31" ht="28.8" x14ac:dyDescent="0.3">
      <c r="A33" s="42"/>
      <c r="B33" s="42"/>
      <c r="C33" s="42"/>
      <c r="D33" s="42"/>
      <c r="E33" s="42"/>
      <c r="F33" s="45"/>
      <c r="G33" s="53"/>
      <c r="H33" s="52"/>
      <c r="I33" s="54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</row>
    <row r="34" spans="1:31" ht="28.8" x14ac:dyDescent="0.55000000000000004">
      <c r="A34" s="42"/>
      <c r="B34" s="42"/>
      <c r="C34" s="42"/>
      <c r="D34" s="42"/>
      <c r="E34" s="42"/>
      <c r="F34" s="45"/>
      <c r="G34" s="55"/>
      <c r="H34" s="55"/>
      <c r="I34" s="55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</row>
    <row r="35" spans="1:31" ht="28.8" x14ac:dyDescent="0.55000000000000004">
      <c r="A35" s="42"/>
      <c r="B35" s="42"/>
      <c r="C35" s="42"/>
      <c r="D35" s="42"/>
      <c r="E35" s="42"/>
      <c r="F35" s="45"/>
      <c r="G35" s="55"/>
      <c r="H35" s="55"/>
      <c r="I35" s="55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</row>
    <row r="36" spans="1:31" x14ac:dyDescent="0.3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</row>
    <row r="37" spans="1:31" x14ac:dyDescent="0.3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</row>
    <row r="38" spans="1:31" x14ac:dyDescent="0.3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</row>
    <row r="39" spans="1:31" x14ac:dyDescent="0.3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</row>
    <row r="40" spans="1:31" x14ac:dyDescent="0.3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</row>
    <row r="41" spans="1:31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</row>
    <row r="42" spans="1:31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</row>
    <row r="43" spans="1:31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</row>
    <row r="44" spans="1:31" x14ac:dyDescent="0.3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</row>
    <row r="45" spans="1:31" x14ac:dyDescent="0.3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</row>
    <row r="46" spans="1:31" x14ac:dyDescent="0.3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</row>
    <row r="47" spans="1:31" x14ac:dyDescent="0.3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</row>
    <row r="48" spans="1:31" x14ac:dyDescent="0.3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</row>
    <row r="49" spans="1:31" x14ac:dyDescent="0.3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</row>
    <row r="50" spans="1:31" x14ac:dyDescent="0.3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</row>
    <row r="51" spans="1:31" x14ac:dyDescent="0.3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</row>
    <row r="52" spans="1:31" x14ac:dyDescent="0.3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</row>
  </sheetData>
  <mergeCells count="11">
    <mergeCell ref="A2:AE2"/>
    <mergeCell ref="E7:J8"/>
    <mergeCell ref="F18:I19"/>
    <mergeCell ref="F20:G21"/>
    <mergeCell ref="H20:H21"/>
    <mergeCell ref="I20:I21"/>
    <mergeCell ref="F23:G23"/>
    <mergeCell ref="F25:G25"/>
    <mergeCell ref="F27:G27"/>
    <mergeCell ref="F29:G29"/>
    <mergeCell ref="F31:G31"/>
  </mergeCells>
  <dataValidations count="2">
    <dataValidation type="list" allowBlank="1" showInputMessage="1" showErrorMessage="1" sqref="F18" xr:uid="{2ADC0AF5-6479-4187-A93D-BEEA1B174786}">
      <formula1>$L$14:$L$17</formula1>
    </dataValidation>
    <dataValidation allowBlank="1" showInputMessage="1" showErrorMessage="1" sqref="E9" xr:uid="{01141500-46C1-41B9-8960-103829730A06}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F07E-15E2-4B10-A913-CE6AC747DCFB}">
  <sheetPr codeName="Planilha3">
    <tabColor rgb="FFFF0000"/>
  </sheetPr>
  <dimension ref="A1:BJ40"/>
  <sheetViews>
    <sheetView tabSelected="1" zoomScale="40" zoomScaleNormal="40" workbookViewId="0">
      <selection activeCell="M14" sqref="M14"/>
    </sheetView>
  </sheetViews>
  <sheetFormatPr defaultRowHeight="14.4" x14ac:dyDescent="0.3"/>
  <cols>
    <col min="3" max="3" width="8.88671875" customWidth="1"/>
    <col min="5" max="5" width="28.88671875" customWidth="1"/>
    <col min="6" max="6" width="12.33203125" customWidth="1"/>
    <col min="7" max="7" width="15.6640625" bestFit="1" customWidth="1"/>
    <col min="8" max="8" width="16.6640625" bestFit="1" customWidth="1"/>
    <col min="9" max="9" width="10.33203125" customWidth="1"/>
    <col min="10" max="10" width="19.5546875" bestFit="1" customWidth="1"/>
    <col min="11" max="11" width="13.44140625" bestFit="1" customWidth="1"/>
    <col min="12" max="12" width="12.33203125" bestFit="1" customWidth="1"/>
    <col min="13" max="13" width="9.5546875" bestFit="1" customWidth="1"/>
    <col min="14" max="14" width="16.6640625" bestFit="1" customWidth="1"/>
    <col min="17" max="17" width="34" customWidth="1"/>
    <col min="18" max="18" width="15.6640625" customWidth="1"/>
    <col min="19" max="19" width="21.21875" customWidth="1"/>
    <col min="20" max="20" width="19.33203125" bestFit="1" customWidth="1"/>
    <col min="21" max="21" width="14.5546875" bestFit="1" customWidth="1"/>
    <col min="22" max="22" width="26.77734375" bestFit="1" customWidth="1"/>
    <col min="52" max="53" width="8.88671875" style="337"/>
  </cols>
  <sheetData>
    <row r="1" spans="1:62" s="341" customFormat="1" x14ac:dyDescent="0.3"/>
    <row r="2" spans="1:62" s="341" customFormat="1" x14ac:dyDescent="0.3"/>
    <row r="3" spans="1:62" ht="61.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341"/>
      <c r="AG3" s="341"/>
      <c r="AH3" s="341"/>
      <c r="AI3" s="341"/>
      <c r="AJ3" s="341"/>
      <c r="AK3" s="341"/>
      <c r="AL3" s="341"/>
      <c r="AM3" s="341"/>
      <c r="AN3" s="341"/>
      <c r="AO3" s="341"/>
      <c r="AP3" s="341"/>
      <c r="AQ3" s="341"/>
      <c r="AR3" s="341"/>
      <c r="AS3" s="341"/>
      <c r="AT3" s="341"/>
      <c r="AU3" s="341"/>
      <c r="AV3" s="341"/>
      <c r="AW3" s="341"/>
      <c r="AX3" s="341"/>
      <c r="AY3" s="341"/>
      <c r="AZ3" s="341"/>
      <c r="BA3" s="341"/>
      <c r="BB3" s="341"/>
    </row>
    <row r="4" spans="1:62" ht="46.2" customHeight="1" x14ac:dyDescent="0.3">
      <c r="A4" s="381"/>
      <c r="B4" s="381"/>
      <c r="C4" s="381"/>
      <c r="D4" s="381"/>
      <c r="E4" s="381"/>
      <c r="F4" s="381"/>
      <c r="G4" s="381"/>
      <c r="H4" s="381"/>
      <c r="I4" s="381"/>
      <c r="J4" s="381"/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  <c r="Z4" s="381"/>
      <c r="AA4" s="381"/>
      <c r="AB4" s="381"/>
      <c r="AC4" s="381"/>
      <c r="AD4" s="381"/>
      <c r="AE4" s="381"/>
      <c r="AF4" s="381"/>
      <c r="AG4" s="381"/>
      <c r="AH4" s="381"/>
      <c r="AI4" s="381"/>
      <c r="AJ4" s="381"/>
      <c r="AK4" s="381"/>
      <c r="AL4" s="381"/>
      <c r="AM4" s="381"/>
      <c r="AN4" s="381"/>
      <c r="AO4" s="381"/>
      <c r="AP4" s="381"/>
      <c r="AQ4" s="381"/>
      <c r="AR4" s="381"/>
      <c r="AS4" s="381"/>
      <c r="AT4" s="381"/>
      <c r="AU4" s="381"/>
      <c r="AV4" s="381"/>
      <c r="AW4" s="381"/>
      <c r="AX4" s="381"/>
      <c r="AY4" s="381"/>
      <c r="AZ4" s="381"/>
      <c r="BA4" s="381"/>
      <c r="BB4" s="381"/>
      <c r="BC4" s="381"/>
      <c r="BD4" s="381"/>
      <c r="BE4" s="381"/>
      <c r="BF4" s="381"/>
      <c r="BG4" s="381"/>
      <c r="BH4" s="381"/>
      <c r="BI4" s="381"/>
      <c r="BJ4" s="381"/>
    </row>
    <row r="5" spans="1:62" x14ac:dyDescent="0.3">
      <c r="A5" s="381"/>
      <c r="B5" s="381"/>
      <c r="C5" s="381"/>
      <c r="D5" s="381"/>
      <c r="E5" s="381"/>
      <c r="F5" s="381"/>
      <c r="G5" s="381"/>
      <c r="H5" s="381"/>
      <c r="I5" s="381"/>
      <c r="J5" s="381"/>
      <c r="K5" s="381"/>
      <c r="L5" s="381"/>
      <c r="M5" s="381"/>
      <c r="N5" s="381"/>
      <c r="O5" s="381"/>
      <c r="P5" s="381"/>
      <c r="Q5" s="381"/>
      <c r="R5" s="381"/>
      <c r="S5" s="381"/>
      <c r="T5" s="381"/>
      <c r="U5" s="381"/>
      <c r="V5" s="381"/>
      <c r="W5" s="381"/>
      <c r="X5" s="381"/>
      <c r="Y5" s="381"/>
      <c r="Z5" s="381"/>
      <c r="AA5" s="381"/>
      <c r="AB5" s="381"/>
      <c r="AC5" s="381"/>
      <c r="AD5" s="381"/>
      <c r="AE5" s="381"/>
      <c r="AF5" s="381"/>
      <c r="AG5" s="381"/>
      <c r="AH5" s="381"/>
      <c r="AI5" s="381"/>
      <c r="AJ5" s="381"/>
      <c r="AK5" s="381"/>
      <c r="AL5" s="381"/>
      <c r="AM5" s="381"/>
      <c r="AN5" s="381"/>
      <c r="AO5" s="381"/>
      <c r="AP5" s="381"/>
      <c r="AQ5" s="381"/>
      <c r="AR5" s="381"/>
      <c r="AS5" s="381"/>
      <c r="AT5" s="381"/>
      <c r="AU5" s="381"/>
      <c r="AV5" s="381"/>
      <c r="AW5" s="381"/>
      <c r="AX5" s="381"/>
      <c r="AY5" s="381"/>
      <c r="AZ5" s="381"/>
      <c r="BA5" s="381"/>
      <c r="BB5" s="381"/>
      <c r="BC5" s="381"/>
      <c r="BD5" s="381"/>
      <c r="BE5" s="381"/>
      <c r="BF5" s="381"/>
      <c r="BG5" s="381"/>
      <c r="BH5" s="381"/>
      <c r="BI5" s="381"/>
      <c r="BJ5" s="381"/>
    </row>
    <row r="6" spans="1:62" x14ac:dyDescent="0.3">
      <c r="A6" s="381"/>
      <c r="B6" s="381"/>
      <c r="C6" s="381"/>
      <c r="D6" s="381"/>
      <c r="E6" s="381"/>
      <c r="F6" s="381"/>
      <c r="G6" s="381"/>
      <c r="H6" s="381"/>
      <c r="I6" s="381"/>
      <c r="J6" s="381"/>
      <c r="K6" s="381"/>
      <c r="L6" s="381"/>
      <c r="M6" s="381"/>
      <c r="N6" s="381"/>
      <c r="O6" s="381"/>
      <c r="P6" s="381"/>
      <c r="Q6" s="381"/>
      <c r="R6" s="381"/>
      <c r="S6" s="381"/>
      <c r="T6" s="381"/>
      <c r="U6" s="381"/>
      <c r="V6" s="381"/>
      <c r="W6" s="381"/>
      <c r="X6" s="381"/>
      <c r="Y6" s="381"/>
      <c r="Z6" s="381"/>
      <c r="AA6" s="381"/>
      <c r="AB6" s="381"/>
      <c r="AC6" s="381"/>
      <c r="AD6" s="381"/>
      <c r="AE6" s="381"/>
      <c r="AF6" s="381"/>
      <c r="AG6" s="381"/>
      <c r="AH6" s="381"/>
      <c r="AI6" s="381"/>
      <c r="AJ6" s="381"/>
      <c r="AK6" s="381"/>
      <c r="AL6" s="381"/>
      <c r="AM6" s="381"/>
      <c r="AN6" s="381"/>
      <c r="AO6" s="381"/>
      <c r="AP6" s="381"/>
      <c r="AQ6" s="381"/>
      <c r="AR6" s="381"/>
      <c r="AS6" s="381"/>
      <c r="AT6" s="381"/>
      <c r="AU6" s="381"/>
      <c r="AV6" s="381"/>
      <c r="AW6" s="381"/>
      <c r="AX6" s="381"/>
      <c r="AY6" s="381"/>
      <c r="AZ6" s="381"/>
      <c r="BA6" s="381"/>
      <c r="BB6" s="381"/>
      <c r="BC6" s="381"/>
      <c r="BD6" s="381"/>
      <c r="BE6" s="381"/>
      <c r="BF6" s="381"/>
      <c r="BG6" s="381"/>
      <c r="BH6" s="381"/>
      <c r="BI6" s="381"/>
      <c r="BJ6" s="381"/>
    </row>
    <row r="7" spans="1:62" x14ac:dyDescent="0.3">
      <c r="A7" s="381"/>
      <c r="B7" s="381"/>
      <c r="C7" s="381"/>
      <c r="D7" s="381"/>
      <c r="E7" s="381"/>
      <c r="F7" s="381"/>
      <c r="G7" s="381"/>
      <c r="H7" s="381"/>
      <c r="I7" s="381"/>
      <c r="J7" s="381"/>
      <c r="K7" s="381"/>
      <c r="L7" s="381"/>
      <c r="M7" s="381"/>
      <c r="N7" s="381"/>
      <c r="O7" s="381"/>
      <c r="P7" s="381"/>
      <c r="Q7" s="381"/>
      <c r="R7" s="381"/>
      <c r="S7" s="381"/>
      <c r="T7" s="381"/>
      <c r="U7" s="381"/>
      <c r="V7" s="381"/>
      <c r="W7" s="381"/>
      <c r="X7" s="381"/>
      <c r="Y7" s="381"/>
      <c r="Z7" s="381"/>
      <c r="AA7" s="381"/>
      <c r="AB7" s="381"/>
      <c r="AC7" s="381"/>
      <c r="AD7" s="381"/>
      <c r="AE7" s="381"/>
      <c r="AF7" s="381"/>
      <c r="AG7" s="381"/>
      <c r="AH7" s="381"/>
      <c r="AI7" s="381"/>
      <c r="AJ7" s="381"/>
      <c r="AK7" s="381"/>
      <c r="AL7" s="381"/>
      <c r="AM7" s="381"/>
      <c r="AN7" s="381"/>
      <c r="AO7" s="381"/>
      <c r="AP7" s="381"/>
      <c r="AQ7" s="381"/>
      <c r="AR7" s="381"/>
      <c r="AS7" s="381"/>
      <c r="AT7" s="381"/>
      <c r="AU7" s="381"/>
      <c r="AV7" s="381"/>
      <c r="AW7" s="381"/>
      <c r="AX7" s="381"/>
      <c r="AY7" s="381"/>
      <c r="AZ7" s="381"/>
      <c r="BA7" s="381"/>
      <c r="BB7" s="381"/>
      <c r="BC7" s="381"/>
      <c r="BD7" s="381"/>
      <c r="BE7" s="381"/>
      <c r="BF7" s="381"/>
      <c r="BG7" s="381"/>
      <c r="BH7" s="381"/>
      <c r="BI7" s="381"/>
      <c r="BJ7" s="381"/>
    </row>
    <row r="9" spans="1:62" ht="14.4" customHeight="1" x14ac:dyDescent="0.3"/>
    <row r="10" spans="1:62" ht="14.4" customHeight="1" thickBot="1" x14ac:dyDescent="0.35"/>
    <row r="11" spans="1:62" ht="25.2" customHeight="1" x14ac:dyDescent="0.3">
      <c r="Q11" s="475" t="s">
        <v>1</v>
      </c>
      <c r="R11" s="476"/>
      <c r="S11" s="476"/>
      <c r="T11" s="476"/>
      <c r="U11" s="476"/>
      <c r="V11" s="477"/>
    </row>
    <row r="12" spans="1:62" ht="25.2" customHeight="1" x14ac:dyDescent="0.3">
      <c r="Q12" s="478"/>
      <c r="R12" s="479"/>
      <c r="S12" s="479"/>
      <c r="T12" s="479"/>
      <c r="U12" s="479"/>
      <c r="V12" s="480"/>
    </row>
    <row r="13" spans="1:62" ht="75" customHeight="1" x14ac:dyDescent="0.3">
      <c r="Q13" s="462" t="s">
        <v>2</v>
      </c>
      <c r="R13" s="463" t="s">
        <v>3</v>
      </c>
      <c r="S13" s="463" t="s">
        <v>4</v>
      </c>
      <c r="T13" s="463" t="s">
        <v>5</v>
      </c>
      <c r="U13" s="464" t="s">
        <v>6</v>
      </c>
      <c r="V13" s="465" t="s">
        <v>7</v>
      </c>
    </row>
    <row r="14" spans="1:62" ht="60" customHeight="1" x14ac:dyDescent="0.3">
      <c r="Q14" s="493" t="s">
        <v>8</v>
      </c>
      <c r="R14" s="466">
        <v>2</v>
      </c>
      <c r="S14" s="467">
        <v>1</v>
      </c>
      <c r="T14" s="467">
        <v>0</v>
      </c>
      <c r="U14" s="467">
        <v>1</v>
      </c>
      <c r="V14" s="468">
        <v>2</v>
      </c>
    </row>
    <row r="15" spans="1:62" ht="60" customHeight="1" x14ac:dyDescent="0.3">
      <c r="Q15" s="493" t="s">
        <v>9</v>
      </c>
      <c r="R15" s="469">
        <v>2</v>
      </c>
      <c r="S15" s="470">
        <v>1</v>
      </c>
      <c r="T15" s="470">
        <v>0</v>
      </c>
      <c r="U15" s="470">
        <v>2</v>
      </c>
      <c r="V15" s="471">
        <v>1</v>
      </c>
    </row>
    <row r="16" spans="1:62" ht="60" customHeight="1" x14ac:dyDescent="0.3">
      <c r="Q16" s="493" t="s">
        <v>10</v>
      </c>
      <c r="R16" s="469">
        <v>1</v>
      </c>
      <c r="S16" s="470">
        <v>1</v>
      </c>
      <c r="T16" s="470">
        <v>5</v>
      </c>
      <c r="U16" s="470">
        <v>3</v>
      </c>
      <c r="V16" s="471">
        <v>2</v>
      </c>
    </row>
    <row r="17" spans="17:22" ht="60" customHeight="1" thickBot="1" x14ac:dyDescent="0.35">
      <c r="Q17" s="494" t="s">
        <v>11</v>
      </c>
      <c r="R17" s="472">
        <v>4</v>
      </c>
      <c r="S17" s="473">
        <v>1</v>
      </c>
      <c r="T17" s="473">
        <v>0</v>
      </c>
      <c r="U17" s="473">
        <v>4</v>
      </c>
      <c r="V17" s="474">
        <v>1</v>
      </c>
    </row>
    <row r="18" spans="17:22" x14ac:dyDescent="0.3">
      <c r="Q18" s="337"/>
      <c r="R18" s="337"/>
      <c r="S18" s="337"/>
      <c r="T18" s="337"/>
      <c r="U18" s="337"/>
      <c r="V18" s="337"/>
    </row>
    <row r="19" spans="17:22" x14ac:dyDescent="0.3">
      <c r="Q19" s="337"/>
      <c r="R19" s="337"/>
      <c r="S19" s="337"/>
      <c r="T19" s="337"/>
      <c r="U19" s="337"/>
      <c r="V19" s="337"/>
    </row>
    <row r="20" spans="17:22" ht="14.4" customHeight="1" x14ac:dyDescent="0.3">
      <c r="Q20" s="337"/>
      <c r="R20" s="337"/>
      <c r="S20" s="337"/>
      <c r="T20" s="337"/>
      <c r="U20" s="337"/>
      <c r="V20" s="337"/>
    </row>
    <row r="21" spans="17:22" ht="14.4" customHeight="1" thickBot="1" x14ac:dyDescent="0.35">
      <c r="Q21" s="337"/>
      <c r="R21" s="337"/>
      <c r="S21" s="337"/>
      <c r="T21" s="337"/>
      <c r="U21" s="337"/>
      <c r="V21" s="337"/>
    </row>
    <row r="22" spans="17:22" ht="25.5" customHeight="1" x14ac:dyDescent="0.3">
      <c r="Q22" s="337"/>
      <c r="R22" s="483"/>
      <c r="S22" s="484"/>
      <c r="T22" s="484"/>
      <c r="U22" s="485"/>
      <c r="V22" s="337"/>
    </row>
    <row r="23" spans="17:22" ht="25.5" customHeight="1" x14ac:dyDescent="0.3">
      <c r="Q23" s="337"/>
      <c r="R23" s="486"/>
      <c r="S23" s="487"/>
      <c r="T23" s="487"/>
      <c r="U23" s="488"/>
      <c r="V23" s="337"/>
    </row>
    <row r="24" spans="17:22" ht="37.5" customHeight="1" x14ac:dyDescent="0.3">
      <c r="Q24" s="337"/>
      <c r="R24" s="489" t="s">
        <v>12</v>
      </c>
      <c r="S24" s="490"/>
      <c r="T24" s="481">
        <v>1</v>
      </c>
      <c r="U24" s="387"/>
      <c r="V24" s="337"/>
    </row>
    <row r="25" spans="17:22" ht="37.5" customHeight="1" x14ac:dyDescent="0.3">
      <c r="Q25" s="337"/>
      <c r="R25" s="491"/>
      <c r="S25" s="492"/>
      <c r="T25" s="482"/>
      <c r="U25" s="388"/>
      <c r="V25" s="337"/>
    </row>
    <row r="26" spans="17:22" ht="15" customHeight="1" x14ac:dyDescent="0.3">
      <c r="Q26" s="337"/>
      <c r="R26" s="3"/>
      <c r="S26" s="4"/>
      <c r="T26" s="5" t="s">
        <v>13</v>
      </c>
      <c r="U26" s="6" t="s">
        <v>13</v>
      </c>
      <c r="V26" s="337"/>
    </row>
    <row r="27" spans="17:22" ht="22.8" x14ac:dyDescent="0.3">
      <c r="Q27" s="337"/>
      <c r="R27" s="496" t="s">
        <v>3</v>
      </c>
      <c r="S27" s="497"/>
      <c r="T27" s="495" t="e">
        <f>VLOOKUP(R22,Q14:V17,2,FALSE)*T24</f>
        <v>#N/A</v>
      </c>
      <c r="U27" s="7"/>
      <c r="V27" s="337"/>
    </row>
    <row r="28" spans="17:22" ht="28.8" x14ac:dyDescent="0.4">
      <c r="Q28" s="337"/>
      <c r="R28" s="498"/>
      <c r="S28" s="499" t="s">
        <v>13</v>
      </c>
      <c r="T28" s="10" t="s">
        <v>13</v>
      </c>
      <c r="U28" s="6" t="s">
        <v>13</v>
      </c>
      <c r="V28" s="337"/>
    </row>
    <row r="29" spans="17:22" ht="22.8" x14ac:dyDescent="0.3">
      <c r="Q29" s="337"/>
      <c r="R29" s="496" t="s">
        <v>4</v>
      </c>
      <c r="S29" s="497"/>
      <c r="T29" s="495" t="e">
        <f>VLOOKUP(R22,Q14:V17,3,FALSE)*T24</f>
        <v>#N/A</v>
      </c>
      <c r="U29" s="7"/>
      <c r="V29" s="337"/>
    </row>
    <row r="30" spans="17:22" ht="28.8" x14ac:dyDescent="0.3">
      <c r="Q30" s="337"/>
      <c r="R30" s="500"/>
      <c r="S30" s="499" t="s">
        <v>13</v>
      </c>
      <c r="T30" s="10" t="s">
        <v>13</v>
      </c>
      <c r="U30" s="6" t="s">
        <v>13</v>
      </c>
      <c r="V30" s="337"/>
    </row>
    <row r="31" spans="17:22" ht="22.8" x14ac:dyDescent="0.3">
      <c r="Q31" s="337"/>
      <c r="R31" s="496" t="s">
        <v>5</v>
      </c>
      <c r="S31" s="497"/>
      <c r="T31" s="495" t="e">
        <f>VLOOKUP(R22,Q14:V17,4,FALSE)*T24</f>
        <v>#N/A</v>
      </c>
      <c r="U31" s="7"/>
      <c r="V31" s="337"/>
    </row>
    <row r="32" spans="17:22" ht="28.8" x14ac:dyDescent="0.4">
      <c r="Q32" s="337"/>
      <c r="R32" s="498"/>
      <c r="S32" s="499" t="s">
        <v>13</v>
      </c>
      <c r="T32" s="10" t="s">
        <v>13</v>
      </c>
      <c r="U32" s="6" t="s">
        <v>13</v>
      </c>
      <c r="V32" s="337"/>
    </row>
    <row r="33" spans="17:22" ht="22.8" x14ac:dyDescent="0.3">
      <c r="Q33" s="337"/>
      <c r="R33" s="496" t="s">
        <v>6</v>
      </c>
      <c r="S33" s="497"/>
      <c r="T33" s="495" t="e">
        <f>VLOOKUP(R22,Q14:V17,5,FALSE)*T24</f>
        <v>#N/A</v>
      </c>
      <c r="U33" s="7"/>
      <c r="V33" s="337"/>
    </row>
    <row r="34" spans="17:22" ht="28.8" x14ac:dyDescent="0.3">
      <c r="Q34" s="337"/>
      <c r="R34" s="500"/>
      <c r="S34" s="499"/>
      <c r="T34" s="501"/>
      <c r="U34" s="6"/>
      <c r="V34" s="337"/>
    </row>
    <row r="35" spans="17:22" ht="22.8" x14ac:dyDescent="0.3">
      <c r="Q35" s="337"/>
      <c r="R35" s="496" t="s">
        <v>7</v>
      </c>
      <c r="S35" s="497"/>
      <c r="T35" s="495" t="e">
        <f>VLOOKUP(R22,Q14:V17,6,FALSE)*T24</f>
        <v>#N/A</v>
      </c>
      <c r="U35" s="7"/>
      <c r="V35" s="337"/>
    </row>
    <row r="36" spans="17:22" ht="28.8" x14ac:dyDescent="0.3">
      <c r="Q36" s="337"/>
      <c r="R36" s="3"/>
      <c r="S36" s="10"/>
      <c r="T36" s="9"/>
      <c r="U36" s="11"/>
      <c r="V36" s="337"/>
    </row>
    <row r="37" spans="17:22" ht="28.8" x14ac:dyDescent="0.3">
      <c r="Q37" s="337"/>
      <c r="R37" s="3"/>
      <c r="S37" s="10"/>
      <c r="T37" s="9"/>
      <c r="U37" s="11"/>
      <c r="V37" s="337"/>
    </row>
    <row r="38" spans="17:22" ht="28.8" x14ac:dyDescent="0.55000000000000004">
      <c r="Q38" s="337"/>
      <c r="R38" s="3"/>
      <c r="S38" s="12"/>
      <c r="T38" s="12"/>
      <c r="U38" s="13"/>
      <c r="V38" s="337"/>
    </row>
    <row r="39" spans="17:22" ht="29.4" thickBot="1" x14ac:dyDescent="0.6">
      <c r="Q39" s="337"/>
      <c r="R39" s="14"/>
      <c r="S39" s="15"/>
      <c r="T39" s="15"/>
      <c r="U39" s="16"/>
      <c r="V39" s="337"/>
    </row>
    <row r="40" spans="17:22" x14ac:dyDescent="0.3">
      <c r="Q40" s="337"/>
      <c r="R40" s="337"/>
      <c r="S40" s="337"/>
      <c r="T40" s="337"/>
      <c r="U40" s="337"/>
      <c r="V40" s="337"/>
    </row>
  </sheetData>
  <mergeCells count="18">
    <mergeCell ref="R31:S31"/>
    <mergeCell ref="R33:S33"/>
    <mergeCell ref="R35:S35"/>
    <mergeCell ref="R24:S25"/>
    <mergeCell ref="T24:T25"/>
    <mergeCell ref="U24:U25"/>
    <mergeCell ref="R27:S27"/>
    <mergeCell ref="R29:S29"/>
    <mergeCell ref="Q11:V12"/>
    <mergeCell ref="R22:U23"/>
    <mergeCell ref="AF4:BJ4"/>
    <mergeCell ref="A5:AE5"/>
    <mergeCell ref="A6:AE6"/>
    <mergeCell ref="A7:AE7"/>
    <mergeCell ref="AF5:BJ5"/>
    <mergeCell ref="AF6:BJ6"/>
    <mergeCell ref="AF7:BJ7"/>
    <mergeCell ref="A4:AE4"/>
  </mergeCells>
  <dataValidations count="2">
    <dataValidation allowBlank="1" showInputMessage="1" showErrorMessage="1" sqref="Q13" xr:uid="{2ED808E8-CF0C-4865-A80A-C3738C960E89}"/>
    <dataValidation type="list" allowBlank="1" showInputMessage="1" showErrorMessage="1" sqref="R22" xr:uid="{4D907D60-AC14-400B-B799-719DE7BCD636}">
      <formula1>$L$16:$L$19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1624-831E-48A8-A18E-234FDC7330F7}">
  <sheetPr codeName="Planilha4">
    <tabColor rgb="FFFF0000"/>
  </sheetPr>
  <dimension ref="A1:AE54"/>
  <sheetViews>
    <sheetView showGridLines="0" zoomScale="55" zoomScaleNormal="55" workbookViewId="0">
      <selection activeCell="F20" sqref="F20"/>
    </sheetView>
  </sheetViews>
  <sheetFormatPr defaultRowHeight="14.4" x14ac:dyDescent="0.3"/>
  <cols>
    <col min="8" max="8" width="8.88671875" customWidth="1"/>
    <col min="10" max="10" width="35.6640625" customWidth="1"/>
    <col min="18" max="18" width="35.664062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</row>
    <row r="3" spans="1:3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customHeight="1" thickBot="1" x14ac:dyDescent="0.3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customHeight="1" x14ac:dyDescent="0.3">
      <c r="A11" s="1"/>
      <c r="B11" s="1"/>
      <c r="C11" s="1"/>
      <c r="D11" s="1"/>
      <c r="E11" s="1"/>
      <c r="F11" s="1"/>
      <c r="G11" s="1"/>
      <c r="H11" s="1"/>
      <c r="I11" s="1"/>
      <c r="J11" s="389" t="s">
        <v>14</v>
      </c>
      <c r="K11" s="390"/>
      <c r="L11" s="390"/>
      <c r="M11" s="390"/>
      <c r="N11" s="390"/>
      <c r="O11" s="390"/>
      <c r="P11" s="390"/>
      <c r="Q11" s="39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customHeight="1" x14ac:dyDescent="0.3">
      <c r="A12" s="1"/>
      <c r="B12" s="1"/>
      <c r="C12" s="1"/>
      <c r="D12" s="1"/>
      <c r="E12" s="1"/>
      <c r="F12" s="1"/>
      <c r="G12" s="1"/>
      <c r="H12" s="1"/>
      <c r="I12" s="1"/>
      <c r="J12" s="392"/>
      <c r="K12" s="393"/>
      <c r="L12" s="393"/>
      <c r="M12" s="393"/>
      <c r="N12" s="393"/>
      <c r="O12" s="393"/>
      <c r="P12" s="393"/>
      <c r="Q12" s="394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5" thickBot="1" x14ac:dyDescent="0.35">
      <c r="A13" s="1"/>
      <c r="B13" s="1"/>
      <c r="C13" s="1"/>
      <c r="D13" s="1"/>
      <c r="E13" s="1"/>
      <c r="F13" s="1"/>
      <c r="G13" s="1"/>
      <c r="H13" s="1"/>
      <c r="I13" s="1"/>
      <c r="J13" s="395" t="s">
        <v>15</v>
      </c>
      <c r="K13" s="396"/>
      <c r="L13" s="396"/>
      <c r="M13" s="396"/>
      <c r="N13" s="396"/>
      <c r="O13" s="396"/>
      <c r="P13" s="396"/>
      <c r="Q13" s="397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5" thickBo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3">
      <c r="A16" s="1"/>
      <c r="B16" s="1"/>
      <c r="C16" s="1"/>
      <c r="D16" s="1"/>
      <c r="E16" s="398" t="s">
        <v>16</v>
      </c>
      <c r="F16" s="399"/>
      <c r="G16" s="399"/>
      <c r="H16" s="399"/>
      <c r="I16" s="399"/>
      <c r="J16" s="399"/>
      <c r="K16" s="400"/>
      <c r="L16" s="1"/>
      <c r="M16" s="398" t="s">
        <v>16</v>
      </c>
      <c r="N16" s="399"/>
      <c r="O16" s="399"/>
      <c r="P16" s="399"/>
      <c r="Q16" s="399"/>
      <c r="R16" s="399"/>
      <c r="S16" s="400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3">
      <c r="A17" s="1"/>
      <c r="B17" s="1"/>
      <c r="C17" s="1"/>
      <c r="D17" s="1"/>
      <c r="E17" s="401"/>
      <c r="F17" s="402"/>
      <c r="G17" s="402"/>
      <c r="H17" s="402"/>
      <c r="I17" s="402"/>
      <c r="J17" s="402"/>
      <c r="K17" s="403"/>
      <c r="L17" s="1"/>
      <c r="M17" s="401"/>
      <c r="N17" s="402"/>
      <c r="O17" s="402"/>
      <c r="P17" s="402"/>
      <c r="Q17" s="402"/>
      <c r="R17" s="402"/>
      <c r="S17" s="403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5" thickBot="1" x14ac:dyDescent="0.35">
      <c r="A18" s="1"/>
      <c r="B18" s="1"/>
      <c r="C18" s="1"/>
      <c r="D18" s="1"/>
      <c r="E18" s="404"/>
      <c r="F18" s="405"/>
      <c r="G18" s="405"/>
      <c r="H18" s="405"/>
      <c r="I18" s="405"/>
      <c r="J18" s="405"/>
      <c r="K18" s="406"/>
      <c r="L18" s="1"/>
      <c r="M18" s="404"/>
      <c r="N18" s="405"/>
      <c r="O18" s="405"/>
      <c r="P18" s="405"/>
      <c r="Q18" s="405"/>
      <c r="R18" s="405"/>
      <c r="S18" s="406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customHeight="1" x14ac:dyDescent="0.55000000000000004">
      <c r="A19" s="1"/>
      <c r="B19" s="1"/>
      <c r="C19" s="1"/>
      <c r="D19" s="1"/>
      <c r="E19" s="17" t="s">
        <v>13</v>
      </c>
      <c r="F19" s="19" t="s">
        <v>13</v>
      </c>
      <c r="G19" s="19" t="s">
        <v>13</v>
      </c>
      <c r="H19" s="19" t="s">
        <v>13</v>
      </c>
      <c r="I19" s="19" t="s">
        <v>13</v>
      </c>
      <c r="J19" s="12" t="s">
        <v>13</v>
      </c>
      <c r="K19" s="13" t="s">
        <v>13</v>
      </c>
      <c r="L19" s="1"/>
      <c r="M19" s="17" t="s">
        <v>13</v>
      </c>
      <c r="N19" s="19" t="s">
        <v>13</v>
      </c>
      <c r="O19" s="19" t="s">
        <v>13</v>
      </c>
      <c r="P19" s="19" t="s">
        <v>13</v>
      </c>
      <c r="Q19" s="19" t="s">
        <v>13</v>
      </c>
      <c r="R19" s="12" t="s">
        <v>13</v>
      </c>
      <c r="S19" s="13" t="s">
        <v>13</v>
      </c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customHeight="1" x14ac:dyDescent="0.55000000000000004">
      <c r="A20" s="1"/>
      <c r="B20" s="1"/>
      <c r="C20" s="1"/>
      <c r="D20" s="1"/>
      <c r="E20" s="17" t="s">
        <v>13</v>
      </c>
      <c r="F20" s="9" t="s">
        <v>17</v>
      </c>
      <c r="G20" s="18"/>
      <c r="H20" s="19" t="s">
        <v>13</v>
      </c>
      <c r="I20" s="19" t="s">
        <v>13</v>
      </c>
      <c r="J20" s="22" t="s">
        <v>18</v>
      </c>
      <c r="K20" s="13" t="s">
        <v>13</v>
      </c>
      <c r="L20" s="1"/>
      <c r="M20" s="17" t="s">
        <v>13</v>
      </c>
      <c r="N20" s="9" t="s">
        <v>17</v>
      </c>
      <c r="O20" s="18"/>
      <c r="P20" s="19" t="s">
        <v>13</v>
      </c>
      <c r="Q20" s="19" t="s">
        <v>13</v>
      </c>
      <c r="R20" s="22" t="s">
        <v>19</v>
      </c>
      <c r="S20" s="13" t="s">
        <v>13</v>
      </c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customHeight="1" x14ac:dyDescent="0.55000000000000004">
      <c r="A21" s="1"/>
      <c r="B21" s="1"/>
      <c r="C21" s="1"/>
      <c r="D21" s="1"/>
      <c r="E21" s="17" t="s">
        <v>13</v>
      </c>
      <c r="F21" s="19" t="s">
        <v>13</v>
      </c>
      <c r="G21" s="19" t="s">
        <v>13</v>
      </c>
      <c r="H21" s="19" t="s">
        <v>13</v>
      </c>
      <c r="I21" s="19" t="s">
        <v>13</v>
      </c>
      <c r="J21" s="12" t="s">
        <v>13</v>
      </c>
      <c r="K21" s="13" t="s">
        <v>13</v>
      </c>
      <c r="L21" s="1"/>
      <c r="M21" s="17" t="s">
        <v>13</v>
      </c>
      <c r="N21" s="19" t="s">
        <v>13</v>
      </c>
      <c r="O21" s="19" t="s">
        <v>13</v>
      </c>
      <c r="P21" s="19" t="s">
        <v>13</v>
      </c>
      <c r="Q21" s="19" t="s">
        <v>13</v>
      </c>
      <c r="R21" s="12" t="s">
        <v>13</v>
      </c>
      <c r="S21" s="13" t="s">
        <v>13</v>
      </c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customHeight="1" x14ac:dyDescent="0.55000000000000004">
      <c r="A22" s="1"/>
      <c r="B22" s="1"/>
      <c r="C22" s="1"/>
      <c r="D22" s="1"/>
      <c r="E22" s="17" t="s">
        <v>13</v>
      </c>
      <c r="F22" s="9" t="s">
        <v>20</v>
      </c>
      <c r="G22" s="18"/>
      <c r="H22" s="19" t="s">
        <v>13</v>
      </c>
      <c r="I22" s="19" t="s">
        <v>13</v>
      </c>
      <c r="J22" s="22" t="s">
        <v>21</v>
      </c>
      <c r="K22" s="13" t="s">
        <v>13</v>
      </c>
      <c r="L22" s="1"/>
      <c r="M22" s="17" t="s">
        <v>13</v>
      </c>
      <c r="N22" s="9" t="s">
        <v>20</v>
      </c>
      <c r="O22" s="18"/>
      <c r="P22" s="19" t="s">
        <v>13</v>
      </c>
      <c r="Q22" s="19" t="s">
        <v>13</v>
      </c>
      <c r="R22" s="22" t="s">
        <v>22</v>
      </c>
      <c r="S22" s="13" t="s">
        <v>13</v>
      </c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customHeight="1" x14ac:dyDescent="0.55000000000000004">
      <c r="A23" s="1"/>
      <c r="B23" s="1"/>
      <c r="C23" s="1"/>
      <c r="D23" s="1"/>
      <c r="E23" s="17" t="s">
        <v>13</v>
      </c>
      <c r="F23" s="19" t="s">
        <v>13</v>
      </c>
      <c r="G23" s="19" t="s">
        <v>13</v>
      </c>
      <c r="H23" s="19" t="s">
        <v>13</v>
      </c>
      <c r="I23" s="19" t="s">
        <v>13</v>
      </c>
      <c r="J23" s="12" t="s">
        <v>13</v>
      </c>
      <c r="K23" s="13" t="s">
        <v>13</v>
      </c>
      <c r="L23" s="1"/>
      <c r="M23" s="17" t="s">
        <v>13</v>
      </c>
      <c r="N23" s="19" t="s">
        <v>13</v>
      </c>
      <c r="O23" s="19" t="s">
        <v>13</v>
      </c>
      <c r="P23" s="19" t="s">
        <v>13</v>
      </c>
      <c r="Q23" s="19" t="s">
        <v>13</v>
      </c>
      <c r="R23" s="12" t="s">
        <v>13</v>
      </c>
      <c r="S23" s="13" t="s">
        <v>13</v>
      </c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ht="14.4" customHeight="1" thickBot="1" x14ac:dyDescent="0.6">
      <c r="A24" s="1"/>
      <c r="B24" s="1"/>
      <c r="C24" s="1"/>
      <c r="D24" s="1"/>
      <c r="E24" s="20" t="s">
        <v>13</v>
      </c>
      <c r="F24" s="21" t="s">
        <v>13</v>
      </c>
      <c r="G24" s="21" t="s">
        <v>13</v>
      </c>
      <c r="H24" s="21" t="s">
        <v>13</v>
      </c>
      <c r="I24" s="21" t="s">
        <v>13</v>
      </c>
      <c r="J24" s="15" t="s">
        <v>13</v>
      </c>
      <c r="K24" s="16" t="s">
        <v>13</v>
      </c>
      <c r="L24" s="1"/>
      <c r="M24" s="20" t="s">
        <v>13</v>
      </c>
      <c r="N24" s="21" t="s">
        <v>13</v>
      </c>
      <c r="O24" s="21" t="s">
        <v>13</v>
      </c>
      <c r="P24" s="21" t="s">
        <v>13</v>
      </c>
      <c r="Q24" s="21" t="s">
        <v>13</v>
      </c>
      <c r="R24" s="15" t="s">
        <v>13</v>
      </c>
      <c r="S24" s="16" t="s">
        <v>13</v>
      </c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14.4" customHeigh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customHeight="1" thickBot="1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customHeight="1" x14ac:dyDescent="0.3">
      <c r="A27" s="1"/>
      <c r="B27" s="1"/>
      <c r="C27" s="1"/>
      <c r="D27" s="1"/>
      <c r="E27" s="398" t="s">
        <v>16</v>
      </c>
      <c r="F27" s="399"/>
      <c r="G27" s="399"/>
      <c r="H27" s="399"/>
      <c r="I27" s="399"/>
      <c r="J27" s="399"/>
      <c r="K27" s="400"/>
      <c r="L27" s="1"/>
      <c r="M27" s="398" t="s">
        <v>16</v>
      </c>
      <c r="N27" s="399"/>
      <c r="O27" s="399"/>
      <c r="P27" s="399"/>
      <c r="Q27" s="399"/>
      <c r="R27" s="399"/>
      <c r="S27" s="400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customHeight="1" x14ac:dyDescent="0.3">
      <c r="A28" s="1"/>
      <c r="B28" s="1"/>
      <c r="C28" s="1"/>
      <c r="D28" s="1"/>
      <c r="E28" s="401"/>
      <c r="F28" s="402"/>
      <c r="G28" s="402"/>
      <c r="H28" s="402"/>
      <c r="I28" s="402"/>
      <c r="J28" s="402"/>
      <c r="K28" s="403"/>
      <c r="L28" s="1"/>
      <c r="M28" s="401"/>
      <c r="N28" s="402"/>
      <c r="O28" s="402"/>
      <c r="P28" s="402"/>
      <c r="Q28" s="402"/>
      <c r="R28" s="402"/>
      <c r="S28" s="403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customHeight="1" thickBot="1" x14ac:dyDescent="0.35">
      <c r="A29" s="1"/>
      <c r="B29" s="1"/>
      <c r="C29" s="1"/>
      <c r="D29" s="1"/>
      <c r="E29" s="404"/>
      <c r="F29" s="405"/>
      <c r="G29" s="405"/>
      <c r="H29" s="405"/>
      <c r="I29" s="405"/>
      <c r="J29" s="405"/>
      <c r="K29" s="406"/>
      <c r="L29" s="1"/>
      <c r="M29" s="404"/>
      <c r="N29" s="405"/>
      <c r="O29" s="405"/>
      <c r="P29" s="405"/>
      <c r="Q29" s="405"/>
      <c r="R29" s="405"/>
      <c r="S29" s="406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customHeight="1" x14ac:dyDescent="0.55000000000000004">
      <c r="A30" s="1"/>
      <c r="B30" s="1"/>
      <c r="C30" s="1"/>
      <c r="D30" s="1"/>
      <c r="E30" s="17" t="s">
        <v>13</v>
      </c>
      <c r="F30" s="19" t="s">
        <v>13</v>
      </c>
      <c r="G30" s="19" t="s">
        <v>13</v>
      </c>
      <c r="H30" s="19" t="s">
        <v>13</v>
      </c>
      <c r="I30" s="19" t="s">
        <v>13</v>
      </c>
      <c r="J30" s="12" t="s">
        <v>13</v>
      </c>
      <c r="K30" s="13" t="s">
        <v>13</v>
      </c>
      <c r="L30" s="1"/>
      <c r="M30" s="17" t="s">
        <v>13</v>
      </c>
      <c r="N30" s="19" t="s">
        <v>13</v>
      </c>
      <c r="O30" s="19" t="s">
        <v>13</v>
      </c>
      <c r="P30" s="19" t="s">
        <v>13</v>
      </c>
      <c r="Q30" s="19" t="s">
        <v>13</v>
      </c>
      <c r="R30" s="12" t="s">
        <v>13</v>
      </c>
      <c r="S30" s="13" t="s">
        <v>13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customHeight="1" x14ac:dyDescent="0.55000000000000004">
      <c r="A31" s="1"/>
      <c r="B31" s="1"/>
      <c r="C31" s="1"/>
      <c r="D31" s="1"/>
      <c r="E31" s="17" t="s">
        <v>13</v>
      </c>
      <c r="F31" s="9" t="s">
        <v>17</v>
      </c>
      <c r="G31" s="18"/>
      <c r="H31" s="19" t="s">
        <v>13</v>
      </c>
      <c r="I31" s="19" t="s">
        <v>13</v>
      </c>
      <c r="J31" s="22" t="s">
        <v>23</v>
      </c>
      <c r="K31" s="13" t="s">
        <v>13</v>
      </c>
      <c r="L31" s="1"/>
      <c r="M31" s="17" t="s">
        <v>13</v>
      </c>
      <c r="N31" s="9" t="s">
        <v>17</v>
      </c>
      <c r="O31" s="18"/>
      <c r="P31" s="19" t="s">
        <v>13</v>
      </c>
      <c r="Q31" s="19" t="s">
        <v>13</v>
      </c>
      <c r="R31" s="22" t="s">
        <v>24</v>
      </c>
      <c r="S31" s="13" t="s">
        <v>13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ht="14.4" customHeight="1" x14ac:dyDescent="0.55000000000000004">
      <c r="A32" s="1"/>
      <c r="B32" s="1"/>
      <c r="C32" s="1"/>
      <c r="D32" s="1"/>
      <c r="E32" s="17" t="s">
        <v>13</v>
      </c>
      <c r="F32" s="19" t="s">
        <v>13</v>
      </c>
      <c r="G32" s="19" t="s">
        <v>13</v>
      </c>
      <c r="H32" s="19" t="s">
        <v>13</v>
      </c>
      <c r="I32" s="19" t="s">
        <v>13</v>
      </c>
      <c r="J32" s="12" t="s">
        <v>13</v>
      </c>
      <c r="K32" s="13" t="s">
        <v>13</v>
      </c>
      <c r="L32" s="1"/>
      <c r="M32" s="17" t="s">
        <v>13</v>
      </c>
      <c r="N32" s="19" t="s">
        <v>13</v>
      </c>
      <c r="O32" s="19" t="s">
        <v>13</v>
      </c>
      <c r="P32" s="19" t="s">
        <v>13</v>
      </c>
      <c r="Q32" s="19" t="s">
        <v>13</v>
      </c>
      <c r="R32" s="12" t="s">
        <v>13</v>
      </c>
      <c r="S32" s="13" t="s">
        <v>13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ht="14.4" customHeight="1" x14ac:dyDescent="0.55000000000000004">
      <c r="A33" s="1"/>
      <c r="B33" s="1"/>
      <c r="C33" s="1"/>
      <c r="D33" s="1"/>
      <c r="E33" s="17" t="s">
        <v>13</v>
      </c>
      <c r="F33" s="9" t="s">
        <v>20</v>
      </c>
      <c r="G33" s="18"/>
      <c r="H33" s="19" t="s">
        <v>13</v>
      </c>
      <c r="I33" s="19" t="s">
        <v>13</v>
      </c>
      <c r="J33" s="22" t="s">
        <v>25</v>
      </c>
      <c r="K33" s="13" t="s">
        <v>13</v>
      </c>
      <c r="L33" s="1"/>
      <c r="M33" s="17" t="s">
        <v>13</v>
      </c>
      <c r="N33" s="9" t="s">
        <v>20</v>
      </c>
      <c r="O33" s="18"/>
      <c r="P33" s="19" t="s">
        <v>13</v>
      </c>
      <c r="Q33" s="19" t="s">
        <v>13</v>
      </c>
      <c r="R33" s="22" t="s">
        <v>26</v>
      </c>
      <c r="S33" s="13" t="s">
        <v>13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customHeight="1" x14ac:dyDescent="0.55000000000000004">
      <c r="A34" s="1"/>
      <c r="B34" s="1"/>
      <c r="C34" s="1"/>
      <c r="D34" s="1"/>
      <c r="E34" s="17" t="s">
        <v>13</v>
      </c>
      <c r="F34" s="19" t="s">
        <v>13</v>
      </c>
      <c r="G34" s="19" t="s">
        <v>13</v>
      </c>
      <c r="H34" s="19" t="s">
        <v>13</v>
      </c>
      <c r="I34" s="19" t="s">
        <v>13</v>
      </c>
      <c r="J34" s="12" t="s">
        <v>13</v>
      </c>
      <c r="K34" s="13" t="s">
        <v>13</v>
      </c>
      <c r="L34" s="1"/>
      <c r="M34" s="17" t="s">
        <v>13</v>
      </c>
      <c r="N34" s="19" t="s">
        <v>13</v>
      </c>
      <c r="O34" s="19" t="s">
        <v>13</v>
      </c>
      <c r="P34" s="19" t="s">
        <v>13</v>
      </c>
      <c r="Q34" s="19" t="s">
        <v>13</v>
      </c>
      <c r="R34" s="12" t="s">
        <v>13</v>
      </c>
      <c r="S34" s="13" t="s">
        <v>13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customHeight="1" thickBot="1" x14ac:dyDescent="0.6">
      <c r="A35" s="1"/>
      <c r="B35" s="1"/>
      <c r="C35" s="1"/>
      <c r="D35" s="1"/>
      <c r="E35" s="20" t="s">
        <v>13</v>
      </c>
      <c r="F35" s="21" t="s">
        <v>13</v>
      </c>
      <c r="G35" s="21" t="s">
        <v>13</v>
      </c>
      <c r="H35" s="21" t="s">
        <v>13</v>
      </c>
      <c r="I35" s="21" t="s">
        <v>13</v>
      </c>
      <c r="J35" s="15" t="s">
        <v>13</v>
      </c>
      <c r="K35" s="16" t="s">
        <v>13</v>
      </c>
      <c r="L35" s="1"/>
      <c r="M35" s="20" t="s">
        <v>13</v>
      </c>
      <c r="N35" s="21" t="s">
        <v>13</v>
      </c>
      <c r="O35" s="21" t="s">
        <v>13</v>
      </c>
      <c r="P35" s="21" t="s">
        <v>13</v>
      </c>
      <c r="Q35" s="21" t="s">
        <v>13</v>
      </c>
      <c r="R35" s="15" t="s">
        <v>13</v>
      </c>
      <c r="S35" s="16" t="s">
        <v>13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customHeigh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</sheetData>
  <mergeCells count="6">
    <mergeCell ref="J11:Q12"/>
    <mergeCell ref="J13:Q13"/>
    <mergeCell ref="E27:K29"/>
    <mergeCell ref="M16:S18"/>
    <mergeCell ref="M27:S29"/>
    <mergeCell ref="E16:K1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287FF-8AFE-442B-A59F-2A5AF78A820E}">
  <sheetPr codeName="Planilha5">
    <tabColor rgb="FFFF0000"/>
  </sheetPr>
  <dimension ref="A1:AE39"/>
  <sheetViews>
    <sheetView showGridLines="0" zoomScale="55" zoomScaleNormal="55" workbookViewId="0">
      <selection activeCell="S33" sqref="S33"/>
    </sheetView>
  </sheetViews>
  <sheetFormatPr defaultRowHeight="14.4" x14ac:dyDescent="0.3"/>
  <cols>
    <col min="6" max="6" width="23.5546875" bestFit="1" customWidth="1"/>
    <col min="10" max="10" width="34.6640625" customWidth="1"/>
    <col min="11" max="11" width="8.8867187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</row>
    <row r="6" spans="1:31" ht="15" customHeight="1" thickBot="1" x14ac:dyDescent="0.35"/>
    <row r="7" spans="1:31" ht="15" customHeight="1" x14ac:dyDescent="0.3">
      <c r="E7" s="398" t="s">
        <v>27</v>
      </c>
      <c r="F7" s="399"/>
      <c r="G7" s="399"/>
      <c r="H7" s="399"/>
      <c r="I7" s="399"/>
      <c r="J7" s="399"/>
      <c r="K7" s="400"/>
    </row>
    <row r="8" spans="1:31" ht="15" customHeight="1" x14ac:dyDescent="0.3">
      <c r="E8" s="401"/>
      <c r="F8" s="402"/>
      <c r="G8" s="402"/>
      <c r="H8" s="402"/>
      <c r="I8" s="402"/>
      <c r="J8" s="402"/>
      <c r="K8" s="403"/>
    </row>
    <row r="9" spans="1:31" ht="15" customHeight="1" thickBot="1" x14ac:dyDescent="0.35">
      <c r="E9" s="404"/>
      <c r="F9" s="405"/>
      <c r="G9" s="405"/>
      <c r="H9" s="405"/>
      <c r="I9" s="405"/>
      <c r="J9" s="405"/>
      <c r="K9" s="406"/>
    </row>
    <row r="10" spans="1:31" ht="15" customHeight="1" x14ac:dyDescent="0.55000000000000004">
      <c r="E10" s="17" t="s">
        <v>13</v>
      </c>
      <c r="F10" s="85" t="s">
        <v>13</v>
      </c>
      <c r="G10" s="85" t="s">
        <v>13</v>
      </c>
      <c r="H10" s="85" t="s">
        <v>13</v>
      </c>
      <c r="I10" s="85" t="s">
        <v>13</v>
      </c>
      <c r="J10" s="93" t="s">
        <v>13</v>
      </c>
      <c r="K10" s="13" t="s">
        <v>13</v>
      </c>
    </row>
    <row r="11" spans="1:31" ht="15" customHeight="1" x14ac:dyDescent="0.55000000000000004">
      <c r="E11" s="17" t="s">
        <v>13</v>
      </c>
      <c r="F11" s="88" t="s">
        <v>28</v>
      </c>
      <c r="G11" s="89"/>
      <c r="H11" s="85" t="s">
        <v>13</v>
      </c>
      <c r="I11" s="85" t="s">
        <v>13</v>
      </c>
      <c r="J11" s="106" t="s">
        <v>29</v>
      </c>
      <c r="K11" s="13" t="s">
        <v>13</v>
      </c>
    </row>
    <row r="12" spans="1:31" ht="15" customHeight="1" x14ac:dyDescent="0.55000000000000004">
      <c r="E12" s="17" t="s">
        <v>13</v>
      </c>
      <c r="F12" s="85" t="s">
        <v>13</v>
      </c>
      <c r="G12" s="85" t="s">
        <v>13</v>
      </c>
      <c r="H12" s="85" t="s">
        <v>13</v>
      </c>
      <c r="I12" s="85" t="s">
        <v>13</v>
      </c>
      <c r="J12" s="93" t="s">
        <v>13</v>
      </c>
      <c r="K12" s="13" t="s">
        <v>13</v>
      </c>
    </row>
    <row r="13" spans="1:31" ht="15" customHeight="1" x14ac:dyDescent="0.55000000000000004">
      <c r="E13" s="17" t="s">
        <v>13</v>
      </c>
      <c r="F13" s="88" t="s">
        <v>30</v>
      </c>
      <c r="G13" s="89"/>
      <c r="H13" s="85" t="s">
        <v>13</v>
      </c>
      <c r="I13" s="85" t="s">
        <v>13</v>
      </c>
      <c r="J13" s="106"/>
      <c r="K13" s="13" t="s">
        <v>13</v>
      </c>
    </row>
    <row r="14" spans="1:31" ht="15" customHeight="1" x14ac:dyDescent="0.55000000000000004">
      <c r="E14" s="17" t="s">
        <v>13</v>
      </c>
      <c r="F14" s="85" t="s">
        <v>13</v>
      </c>
      <c r="G14" s="85" t="s">
        <v>13</v>
      </c>
      <c r="H14" s="85" t="s">
        <v>13</v>
      </c>
      <c r="I14" s="85" t="s">
        <v>13</v>
      </c>
      <c r="J14" s="93" t="s">
        <v>13</v>
      </c>
      <c r="K14" s="13" t="s">
        <v>13</v>
      </c>
    </row>
    <row r="15" spans="1:31" ht="15" customHeight="1" x14ac:dyDescent="0.55000000000000004">
      <c r="E15" s="17" t="s">
        <v>13</v>
      </c>
      <c r="F15" s="85" t="s">
        <v>13</v>
      </c>
      <c r="G15" s="85" t="s">
        <v>13</v>
      </c>
      <c r="H15" s="85" t="s">
        <v>13</v>
      </c>
      <c r="I15" s="85" t="s">
        <v>13</v>
      </c>
      <c r="J15" s="93" t="s">
        <v>13</v>
      </c>
      <c r="K15" s="13" t="s">
        <v>13</v>
      </c>
    </row>
    <row r="16" spans="1:31" ht="15" customHeight="1" x14ac:dyDescent="0.55000000000000004">
      <c r="E16" s="94" t="s">
        <v>13</v>
      </c>
      <c r="F16" s="93" t="s">
        <v>13</v>
      </c>
      <c r="G16" s="93" t="s">
        <v>13</v>
      </c>
      <c r="H16" s="93" t="s">
        <v>13</v>
      </c>
      <c r="I16" s="93" t="s">
        <v>13</v>
      </c>
      <c r="J16" s="93" t="s">
        <v>13</v>
      </c>
      <c r="K16" s="13" t="s">
        <v>13</v>
      </c>
    </row>
    <row r="17" spans="5:11" ht="15" customHeight="1" x14ac:dyDescent="0.55000000000000004">
      <c r="E17" s="94" t="s">
        <v>13</v>
      </c>
      <c r="F17" s="93" t="s">
        <v>13</v>
      </c>
      <c r="G17" s="93" t="s">
        <v>13</v>
      </c>
      <c r="H17" s="93" t="s">
        <v>13</v>
      </c>
      <c r="I17" s="93" t="s">
        <v>13</v>
      </c>
      <c r="J17" s="93" t="s">
        <v>13</v>
      </c>
      <c r="K17" s="13" t="s">
        <v>13</v>
      </c>
    </row>
    <row r="18" spans="5:11" ht="15" customHeight="1" x14ac:dyDescent="0.55000000000000004">
      <c r="E18" s="94" t="s">
        <v>13</v>
      </c>
      <c r="F18" s="93" t="s">
        <v>13</v>
      </c>
      <c r="G18" s="93" t="s">
        <v>13</v>
      </c>
      <c r="H18" s="93" t="s">
        <v>13</v>
      </c>
      <c r="I18" s="93" t="s">
        <v>13</v>
      </c>
      <c r="J18" s="93" t="s">
        <v>13</v>
      </c>
      <c r="K18" s="13" t="s">
        <v>13</v>
      </c>
    </row>
    <row r="19" spans="5:11" ht="15" customHeight="1" thickBot="1" x14ac:dyDescent="0.6">
      <c r="E19" s="30" t="s">
        <v>13</v>
      </c>
      <c r="F19" s="15" t="s">
        <v>13</v>
      </c>
      <c r="G19" s="15" t="s">
        <v>13</v>
      </c>
      <c r="H19" s="15" t="s">
        <v>13</v>
      </c>
      <c r="I19" s="15" t="s">
        <v>13</v>
      </c>
      <c r="J19" s="15" t="s">
        <v>13</v>
      </c>
      <c r="K19" s="16" t="s">
        <v>13</v>
      </c>
    </row>
    <row r="20" spans="5:11" ht="15" customHeight="1" x14ac:dyDescent="0.3"/>
    <row r="21" spans="5:11" ht="15" customHeight="1" x14ac:dyDescent="0.3"/>
    <row r="22" spans="5:11" ht="15" customHeight="1" x14ac:dyDescent="0.3"/>
    <row r="23" spans="5:11" ht="15" customHeight="1" x14ac:dyDescent="0.3"/>
    <row r="24" spans="5:11" ht="15" customHeight="1" x14ac:dyDescent="0.3"/>
    <row r="25" spans="5:11" ht="15" customHeight="1" x14ac:dyDescent="0.3"/>
    <row r="26" spans="5:11" ht="15" customHeight="1" x14ac:dyDescent="0.3"/>
    <row r="27" spans="5:11" ht="15" customHeight="1" thickBot="1" x14ac:dyDescent="0.35"/>
    <row r="28" spans="5:11" ht="15" customHeight="1" x14ac:dyDescent="0.3">
      <c r="E28" s="407" t="s">
        <v>31</v>
      </c>
      <c r="F28" s="408"/>
      <c r="G28" s="408"/>
      <c r="H28" s="408"/>
      <c r="I28" s="408"/>
      <c r="J28" s="408"/>
      <c r="K28" s="409"/>
    </row>
    <row r="29" spans="5:11" ht="15" customHeight="1" x14ac:dyDescent="0.3">
      <c r="E29" s="410"/>
      <c r="F29" s="411"/>
      <c r="G29" s="411"/>
      <c r="H29" s="411"/>
      <c r="I29" s="411"/>
      <c r="J29" s="411"/>
      <c r="K29" s="412"/>
    </row>
    <row r="30" spans="5:11" ht="15" customHeight="1" x14ac:dyDescent="0.3">
      <c r="E30" s="410"/>
      <c r="F30" s="411"/>
      <c r="G30" s="411"/>
      <c r="H30" s="411"/>
      <c r="I30" s="411"/>
      <c r="J30" s="411"/>
      <c r="K30" s="412"/>
    </row>
    <row r="31" spans="5:11" ht="15" customHeight="1" x14ac:dyDescent="0.55000000000000004">
      <c r="E31" s="17" t="s">
        <v>13</v>
      </c>
      <c r="F31" s="19" t="s">
        <v>13</v>
      </c>
      <c r="G31" s="19" t="s">
        <v>13</v>
      </c>
      <c r="H31" s="19" t="s">
        <v>13</v>
      </c>
      <c r="I31" s="19" t="s">
        <v>13</v>
      </c>
      <c r="J31" s="12" t="s">
        <v>13</v>
      </c>
      <c r="K31" s="13" t="s">
        <v>13</v>
      </c>
    </row>
    <row r="32" spans="5:11" ht="15" customHeight="1" x14ac:dyDescent="0.55000000000000004">
      <c r="E32" s="17" t="s">
        <v>13</v>
      </c>
      <c r="F32" s="9" t="s">
        <v>28</v>
      </c>
      <c r="G32" s="18"/>
      <c r="H32" s="19" t="s">
        <v>13</v>
      </c>
      <c r="I32" s="19" t="s">
        <v>13</v>
      </c>
      <c r="J32" s="22" t="s">
        <v>29</v>
      </c>
      <c r="K32" s="13" t="s">
        <v>13</v>
      </c>
    </row>
    <row r="33" spans="5:11" ht="15" customHeight="1" x14ac:dyDescent="0.55000000000000004">
      <c r="E33" s="17" t="s">
        <v>13</v>
      </c>
      <c r="F33" s="19" t="s">
        <v>13</v>
      </c>
      <c r="G33" s="19" t="s">
        <v>13</v>
      </c>
      <c r="H33" s="19" t="s">
        <v>13</v>
      </c>
      <c r="I33" s="19" t="s">
        <v>13</v>
      </c>
      <c r="J33" s="12" t="s">
        <v>13</v>
      </c>
      <c r="K33" s="13" t="s">
        <v>13</v>
      </c>
    </row>
    <row r="34" spans="5:11" ht="15" customHeight="1" x14ac:dyDescent="0.55000000000000004">
      <c r="E34" s="17" t="s">
        <v>13</v>
      </c>
      <c r="F34" s="9" t="s">
        <v>12</v>
      </c>
      <c r="G34" s="18"/>
      <c r="H34" s="19" t="s">
        <v>13</v>
      </c>
      <c r="I34" s="19" t="s">
        <v>13</v>
      </c>
      <c r="J34" s="22"/>
      <c r="K34" s="13" t="s">
        <v>13</v>
      </c>
    </row>
    <row r="35" spans="5:11" ht="15" customHeight="1" x14ac:dyDescent="0.55000000000000004">
      <c r="E35" s="17" t="s">
        <v>13</v>
      </c>
      <c r="F35" s="19" t="s">
        <v>13</v>
      </c>
      <c r="G35" s="19" t="s">
        <v>13</v>
      </c>
      <c r="H35" s="19" t="s">
        <v>13</v>
      </c>
      <c r="I35" s="19" t="s">
        <v>13</v>
      </c>
      <c r="J35" s="12" t="s">
        <v>13</v>
      </c>
      <c r="K35" s="13" t="s">
        <v>13</v>
      </c>
    </row>
    <row r="36" spans="5:11" ht="15" customHeight="1" x14ac:dyDescent="0.55000000000000004">
      <c r="E36" s="17" t="s">
        <v>13</v>
      </c>
      <c r="F36" s="9" t="s">
        <v>32</v>
      </c>
      <c r="G36" s="19" t="s">
        <v>13</v>
      </c>
      <c r="H36" s="19" t="s">
        <v>13</v>
      </c>
      <c r="I36" s="19" t="s">
        <v>13</v>
      </c>
      <c r="J36" s="29" t="s">
        <v>13</v>
      </c>
      <c r="K36" s="13" t="s">
        <v>13</v>
      </c>
    </row>
    <row r="37" spans="5:11" ht="15" customHeight="1" x14ac:dyDescent="0.55000000000000004">
      <c r="E37" s="17" t="s">
        <v>13</v>
      </c>
      <c r="F37" s="19" t="s">
        <v>13</v>
      </c>
      <c r="G37" s="19" t="s">
        <v>13</v>
      </c>
      <c r="H37" s="19" t="s">
        <v>13</v>
      </c>
      <c r="I37" s="19" t="s">
        <v>13</v>
      </c>
      <c r="J37" s="12" t="s">
        <v>13</v>
      </c>
      <c r="K37" s="13" t="s">
        <v>13</v>
      </c>
    </row>
    <row r="38" spans="5:11" ht="15" customHeight="1" thickBot="1" x14ac:dyDescent="0.6">
      <c r="E38" s="20" t="s">
        <v>13</v>
      </c>
      <c r="F38" s="26"/>
      <c r="G38" s="27"/>
      <c r="H38" s="21" t="s">
        <v>13</v>
      </c>
      <c r="I38" s="21" t="s">
        <v>13</v>
      </c>
      <c r="J38" s="28"/>
      <c r="K38" s="16" t="s">
        <v>13</v>
      </c>
    </row>
    <row r="39" spans="5:11" ht="15" customHeight="1" x14ac:dyDescent="0.3"/>
  </sheetData>
  <mergeCells count="2">
    <mergeCell ref="E7:K9"/>
    <mergeCell ref="E28:K3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0433E-07BF-49E6-B558-F6A80F931118}">
  <sheetPr codeName="Planilha23">
    <tabColor rgb="FFFF0000"/>
  </sheetPr>
  <dimension ref="A1:AE39"/>
  <sheetViews>
    <sheetView showGridLines="0" zoomScale="55" zoomScaleNormal="55" workbookViewId="0">
      <selection activeCell="O42" sqref="O42"/>
    </sheetView>
  </sheetViews>
  <sheetFormatPr defaultRowHeight="14.4" x14ac:dyDescent="0.3"/>
  <cols>
    <col min="1" max="5" width="8.88671875" style="249"/>
    <col min="6" max="6" width="23.5546875" style="249" bestFit="1" customWidth="1"/>
    <col min="7" max="9" width="8.88671875" style="249"/>
    <col min="10" max="10" width="34.6640625" style="249" customWidth="1"/>
    <col min="11" max="11" width="8.88671875" style="249" customWidth="1"/>
    <col min="12" max="16384" width="8.88671875" style="249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</row>
    <row r="6" spans="1:31" ht="15" customHeight="1" thickBot="1" x14ac:dyDescent="0.35"/>
    <row r="7" spans="1:31" ht="15" customHeight="1" x14ac:dyDescent="0.3">
      <c r="E7" s="413" t="s">
        <v>31</v>
      </c>
      <c r="F7" s="414"/>
      <c r="G7" s="414"/>
      <c r="H7" s="414"/>
      <c r="I7" s="414"/>
      <c r="J7" s="414"/>
      <c r="K7" s="415"/>
    </row>
    <row r="8" spans="1:31" ht="15" customHeight="1" x14ac:dyDescent="0.3">
      <c r="E8" s="416"/>
      <c r="F8" s="417"/>
      <c r="G8" s="417"/>
      <c r="H8" s="417"/>
      <c r="I8" s="417"/>
      <c r="J8" s="417"/>
      <c r="K8" s="418"/>
    </row>
    <row r="9" spans="1:31" ht="15" customHeight="1" x14ac:dyDescent="0.3">
      <c r="E9" s="416"/>
      <c r="F9" s="417"/>
      <c r="G9" s="417"/>
      <c r="H9" s="417"/>
      <c r="I9" s="417"/>
      <c r="J9" s="417"/>
      <c r="K9" s="418"/>
    </row>
    <row r="10" spans="1:31" ht="15" customHeight="1" x14ac:dyDescent="0.55000000000000004">
      <c r="E10" s="17" t="s">
        <v>13</v>
      </c>
      <c r="F10" s="19" t="s">
        <v>13</v>
      </c>
      <c r="G10" s="19" t="s">
        <v>13</v>
      </c>
      <c r="H10" s="19" t="s">
        <v>13</v>
      </c>
      <c r="I10" s="19" t="s">
        <v>13</v>
      </c>
      <c r="J10" s="12" t="s">
        <v>13</v>
      </c>
      <c r="K10" s="13" t="s">
        <v>13</v>
      </c>
    </row>
    <row r="11" spans="1:31" ht="15" customHeight="1" x14ac:dyDescent="0.55000000000000004">
      <c r="E11" s="17" t="s">
        <v>13</v>
      </c>
      <c r="F11" s="9" t="s">
        <v>28</v>
      </c>
      <c r="G11" s="18"/>
      <c r="H11" s="19" t="s">
        <v>13</v>
      </c>
      <c r="I11" s="19" t="s">
        <v>13</v>
      </c>
      <c r="J11" s="22" t="s">
        <v>29</v>
      </c>
      <c r="K11" s="13" t="s">
        <v>13</v>
      </c>
    </row>
    <row r="12" spans="1:31" ht="15" customHeight="1" x14ac:dyDescent="0.55000000000000004">
      <c r="E12" s="17" t="s">
        <v>13</v>
      </c>
      <c r="F12" s="19" t="s">
        <v>13</v>
      </c>
      <c r="G12" s="19" t="s">
        <v>13</v>
      </c>
      <c r="H12" s="19" t="s">
        <v>13</v>
      </c>
      <c r="I12" s="19" t="s">
        <v>13</v>
      </c>
      <c r="J12" s="12" t="s">
        <v>13</v>
      </c>
      <c r="K12" s="13" t="s">
        <v>13</v>
      </c>
    </row>
    <row r="13" spans="1:31" ht="15" customHeight="1" x14ac:dyDescent="0.55000000000000004">
      <c r="E13" s="17" t="s">
        <v>13</v>
      </c>
      <c r="F13" s="9" t="s">
        <v>12</v>
      </c>
      <c r="G13" s="18"/>
      <c r="H13" s="19" t="s">
        <v>13</v>
      </c>
      <c r="I13" s="19" t="s">
        <v>13</v>
      </c>
      <c r="J13" s="22"/>
      <c r="K13" s="13" t="s">
        <v>13</v>
      </c>
    </row>
    <row r="14" spans="1:31" ht="15" customHeight="1" x14ac:dyDescent="0.55000000000000004">
      <c r="E14" s="17" t="s">
        <v>13</v>
      </c>
      <c r="F14" s="19" t="s">
        <v>13</v>
      </c>
      <c r="G14" s="19" t="s">
        <v>13</v>
      </c>
      <c r="H14" s="19" t="s">
        <v>13</v>
      </c>
      <c r="I14" s="19" t="s">
        <v>13</v>
      </c>
      <c r="J14" s="12" t="s">
        <v>13</v>
      </c>
      <c r="K14" s="13" t="s">
        <v>13</v>
      </c>
    </row>
    <row r="15" spans="1:31" ht="15" customHeight="1" x14ac:dyDescent="0.55000000000000004">
      <c r="E15" s="17" t="s">
        <v>13</v>
      </c>
      <c r="F15" s="9" t="s">
        <v>32</v>
      </c>
      <c r="G15" s="19" t="s">
        <v>13</v>
      </c>
      <c r="H15" s="19" t="s">
        <v>13</v>
      </c>
      <c r="I15" s="19" t="s">
        <v>13</v>
      </c>
      <c r="J15" s="29" t="s">
        <v>13</v>
      </c>
      <c r="K15" s="13" t="s">
        <v>13</v>
      </c>
    </row>
    <row r="16" spans="1:31" ht="15" customHeight="1" x14ac:dyDescent="0.55000000000000004">
      <c r="E16" s="17" t="s">
        <v>13</v>
      </c>
      <c r="F16" s="19" t="s">
        <v>13</v>
      </c>
      <c r="G16" s="19" t="s">
        <v>13</v>
      </c>
      <c r="H16" s="19" t="s">
        <v>13</v>
      </c>
      <c r="I16" s="19" t="s">
        <v>13</v>
      </c>
      <c r="J16" s="12" t="s">
        <v>13</v>
      </c>
      <c r="K16" s="13" t="s">
        <v>13</v>
      </c>
    </row>
    <row r="17" spans="5:11" ht="15" customHeight="1" thickBot="1" x14ac:dyDescent="0.6">
      <c r="E17" s="20" t="s">
        <v>13</v>
      </c>
      <c r="F17" s="26"/>
      <c r="G17" s="27"/>
      <c r="H17" s="21" t="s">
        <v>13</v>
      </c>
      <c r="I17" s="21" t="s">
        <v>13</v>
      </c>
      <c r="J17" s="28"/>
      <c r="K17" s="16" t="s">
        <v>13</v>
      </c>
    </row>
    <row r="18" spans="5:11" ht="15" customHeight="1" x14ac:dyDescent="0.55000000000000004">
      <c r="E18" s="84"/>
      <c r="F18" s="84"/>
      <c r="G18" s="84"/>
      <c r="H18" s="84"/>
      <c r="I18" s="84"/>
      <c r="J18" s="84"/>
      <c r="K18" s="84"/>
    </row>
    <row r="19" spans="5:11" ht="15" customHeight="1" x14ac:dyDescent="0.55000000000000004">
      <c r="E19" s="84"/>
      <c r="F19" s="84"/>
      <c r="G19" s="84"/>
      <c r="H19" s="84"/>
      <c r="I19" s="84"/>
      <c r="J19" s="84"/>
      <c r="K19" s="84"/>
    </row>
    <row r="20" spans="5:11" ht="15" customHeight="1" x14ac:dyDescent="0.3"/>
    <row r="21" spans="5:11" ht="15" customHeight="1" x14ac:dyDescent="0.3"/>
    <row r="22" spans="5:11" ht="15" customHeight="1" x14ac:dyDescent="0.3"/>
    <row r="23" spans="5:11" ht="15" customHeight="1" x14ac:dyDescent="0.3"/>
    <row r="24" spans="5:11" ht="15" customHeight="1" x14ac:dyDescent="0.3"/>
    <row r="25" spans="5:11" ht="15" customHeight="1" x14ac:dyDescent="0.3"/>
    <row r="26" spans="5:11" ht="15" customHeight="1" x14ac:dyDescent="0.3"/>
    <row r="27" spans="5:11" ht="15" customHeight="1" x14ac:dyDescent="0.3"/>
    <row r="28" spans="5:11" ht="15" customHeight="1" x14ac:dyDescent="0.3"/>
    <row r="29" spans="5:11" ht="15" customHeight="1" x14ac:dyDescent="0.3"/>
    <row r="30" spans="5:11" ht="15" customHeight="1" x14ac:dyDescent="0.3"/>
    <row r="31" spans="5:11" ht="15" customHeight="1" x14ac:dyDescent="0.3"/>
    <row r="32" spans="5:11" ht="15" customHeight="1" x14ac:dyDescent="0.3"/>
    <row r="33" ht="15" customHeight="1" x14ac:dyDescent="0.3"/>
    <row r="34" ht="15" customHeight="1" x14ac:dyDescent="0.3"/>
    <row r="35" ht="15" customHeight="1" x14ac:dyDescent="0.3"/>
    <row r="36" ht="15" customHeight="1" x14ac:dyDescent="0.3"/>
    <row r="37" ht="15" customHeight="1" x14ac:dyDescent="0.3"/>
    <row r="38" ht="15" customHeight="1" x14ac:dyDescent="0.3"/>
    <row r="39" ht="15" customHeight="1" x14ac:dyDescent="0.3"/>
  </sheetData>
  <mergeCells count="1">
    <mergeCell ref="E7:K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7637-ED17-407C-8138-A3434EAF3E99}">
  <sheetPr codeName="Planilha6">
    <tabColor rgb="FFFFC000"/>
  </sheetPr>
  <dimension ref="A1:AE27"/>
  <sheetViews>
    <sheetView showGridLines="0" zoomScale="70" zoomScaleNormal="70" workbookViewId="0">
      <selection activeCell="F13" sqref="F13"/>
    </sheetView>
  </sheetViews>
  <sheetFormatPr defaultRowHeight="14.4" x14ac:dyDescent="0.3"/>
  <cols>
    <col min="5" max="5" width="4.5546875" bestFit="1" customWidth="1"/>
    <col min="6" max="6" width="21.88671875" bestFit="1" customWidth="1"/>
    <col min="7" max="7" width="26" bestFit="1" customWidth="1"/>
    <col min="8" max="8" width="19.44140625" bestFit="1" customWidth="1"/>
    <col min="9" max="9" width="12.109375" bestFit="1" customWidth="1"/>
    <col min="10" max="10" width="12.6640625" bestFit="1" customWidth="1"/>
    <col min="11" max="11" width="31.441406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19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19"/>
      <c r="W2" s="419"/>
      <c r="X2" s="419"/>
      <c r="Y2" s="419"/>
      <c r="Z2" s="419"/>
      <c r="AA2" s="419"/>
      <c r="AB2" s="419"/>
      <c r="AC2" s="419"/>
      <c r="AD2" s="419"/>
      <c r="AE2" s="419"/>
    </row>
    <row r="7" spans="1:31" ht="17.399999999999999" x14ac:dyDescent="0.3">
      <c r="E7" s="31" t="s">
        <v>33</v>
      </c>
      <c r="F7" s="31" t="s">
        <v>34</v>
      </c>
      <c r="G7" s="31" t="s">
        <v>35</v>
      </c>
      <c r="H7" s="31" t="s">
        <v>36</v>
      </c>
      <c r="I7" s="31" t="s">
        <v>37</v>
      </c>
      <c r="J7" s="31" t="s">
        <v>38</v>
      </c>
      <c r="K7" s="31" t="s">
        <v>39</v>
      </c>
    </row>
    <row r="8" spans="1:31" ht="14.4" customHeight="1" x14ac:dyDescent="0.3">
      <c r="E8" s="32">
        <v>1</v>
      </c>
      <c r="F8" s="32" t="s">
        <v>40</v>
      </c>
      <c r="G8" s="32" t="s">
        <v>41</v>
      </c>
      <c r="H8" s="32" t="s">
        <v>42</v>
      </c>
      <c r="I8" s="32" t="s">
        <v>43</v>
      </c>
      <c r="J8" s="32" t="s">
        <v>44</v>
      </c>
      <c r="K8" s="32" t="s">
        <v>45</v>
      </c>
    </row>
    <row r="9" spans="1:31" ht="14.4" customHeight="1" x14ac:dyDescent="0.3">
      <c r="E9" s="32">
        <f>E8+1</f>
        <v>2</v>
      </c>
      <c r="F9" s="32" t="s">
        <v>46</v>
      </c>
      <c r="G9" s="32" t="s">
        <v>47</v>
      </c>
      <c r="H9" s="32" t="s">
        <v>42</v>
      </c>
      <c r="I9" s="32" t="s">
        <v>48</v>
      </c>
      <c r="J9" s="32" t="s">
        <v>49</v>
      </c>
      <c r="K9" s="32" t="s">
        <v>50</v>
      </c>
    </row>
    <row r="10" spans="1:31" ht="14.4" customHeight="1" x14ac:dyDescent="0.3">
      <c r="E10" s="32">
        <f t="shared" ref="E10:E27" si="0">E9+1</f>
        <v>3</v>
      </c>
      <c r="F10" s="32" t="s">
        <v>51</v>
      </c>
      <c r="G10" s="32" t="s">
        <v>52</v>
      </c>
      <c r="H10" s="32" t="s">
        <v>53</v>
      </c>
      <c r="I10" s="32" t="s">
        <v>54</v>
      </c>
      <c r="J10" s="32" t="s">
        <v>55</v>
      </c>
      <c r="K10" s="32" t="s">
        <v>56</v>
      </c>
    </row>
    <row r="11" spans="1:31" ht="14.4" customHeight="1" x14ac:dyDescent="0.3">
      <c r="E11" s="32">
        <f t="shared" si="0"/>
        <v>4</v>
      </c>
      <c r="F11" s="32" t="s">
        <v>57</v>
      </c>
      <c r="G11" s="32" t="s">
        <v>58</v>
      </c>
      <c r="H11" s="32" t="s">
        <v>59</v>
      </c>
      <c r="I11" s="32" t="s">
        <v>60</v>
      </c>
      <c r="J11" s="32" t="s">
        <v>61</v>
      </c>
      <c r="K11" s="32" t="s">
        <v>62</v>
      </c>
    </row>
    <row r="12" spans="1:31" ht="14.4" customHeight="1" x14ac:dyDescent="0.3">
      <c r="E12" s="32">
        <f t="shared" si="0"/>
        <v>5</v>
      </c>
      <c r="F12" s="32" t="s">
        <v>63</v>
      </c>
      <c r="G12" s="32" t="s">
        <v>64</v>
      </c>
      <c r="H12" s="32" t="s">
        <v>65</v>
      </c>
      <c r="I12" s="32" t="s">
        <v>66</v>
      </c>
      <c r="J12" s="32" t="s">
        <v>67</v>
      </c>
      <c r="K12" s="32" t="s">
        <v>68</v>
      </c>
    </row>
    <row r="13" spans="1:31" ht="14.4" customHeight="1" x14ac:dyDescent="0.3">
      <c r="E13" s="32">
        <f t="shared" si="0"/>
        <v>6</v>
      </c>
      <c r="F13" s="32" t="s">
        <v>69</v>
      </c>
      <c r="G13" s="32" t="s">
        <v>70</v>
      </c>
      <c r="H13" s="32" t="s">
        <v>71</v>
      </c>
      <c r="I13" s="32" t="s">
        <v>72</v>
      </c>
      <c r="J13" s="32" t="s">
        <v>73</v>
      </c>
      <c r="K13" s="32" t="s">
        <v>74</v>
      </c>
    </row>
    <row r="14" spans="1:31" ht="14.4" customHeight="1" x14ac:dyDescent="0.3">
      <c r="E14" s="32">
        <f t="shared" si="0"/>
        <v>7</v>
      </c>
      <c r="F14" s="32" t="s">
        <v>75</v>
      </c>
      <c r="G14" s="32" t="s">
        <v>76</v>
      </c>
      <c r="H14" s="32" t="s">
        <v>77</v>
      </c>
      <c r="I14" s="32" t="s">
        <v>78</v>
      </c>
      <c r="J14" s="32" t="s">
        <v>79</v>
      </c>
      <c r="K14" s="32" t="s">
        <v>80</v>
      </c>
    </row>
    <row r="15" spans="1:31" ht="14.4" customHeight="1" x14ac:dyDescent="0.3">
      <c r="E15" s="32">
        <f t="shared" si="0"/>
        <v>8</v>
      </c>
      <c r="F15" s="32" t="s">
        <v>81</v>
      </c>
      <c r="G15" s="32" t="s">
        <v>82</v>
      </c>
      <c r="H15" s="32" t="s">
        <v>83</v>
      </c>
      <c r="I15" s="32" t="s">
        <v>84</v>
      </c>
      <c r="J15" s="32" t="s">
        <v>85</v>
      </c>
      <c r="K15" s="32" t="s">
        <v>86</v>
      </c>
    </row>
    <row r="16" spans="1:31" ht="14.4" customHeight="1" x14ac:dyDescent="0.3">
      <c r="E16" s="32">
        <f t="shared" si="0"/>
        <v>9</v>
      </c>
      <c r="F16" s="32" t="s">
        <v>87</v>
      </c>
      <c r="G16" s="32" t="s">
        <v>88</v>
      </c>
      <c r="H16" s="32" t="s">
        <v>89</v>
      </c>
      <c r="I16" s="32" t="s">
        <v>90</v>
      </c>
      <c r="J16" s="32" t="s">
        <v>91</v>
      </c>
      <c r="K16" s="32" t="s">
        <v>92</v>
      </c>
    </row>
    <row r="17" spans="5:11" ht="14.4" customHeight="1" x14ac:dyDescent="0.3">
      <c r="E17" s="32">
        <f t="shared" si="0"/>
        <v>10</v>
      </c>
      <c r="F17" s="32" t="s">
        <v>93</v>
      </c>
      <c r="G17" s="32" t="s">
        <v>94</v>
      </c>
      <c r="H17" s="32" t="s">
        <v>95</v>
      </c>
      <c r="I17" s="32" t="s">
        <v>96</v>
      </c>
      <c r="J17" s="32" t="s">
        <v>97</v>
      </c>
      <c r="K17" s="32" t="s">
        <v>98</v>
      </c>
    </row>
    <row r="18" spans="5:11" ht="14.4" customHeight="1" x14ac:dyDescent="0.3">
      <c r="E18" s="32">
        <f t="shared" si="0"/>
        <v>11</v>
      </c>
      <c r="F18" s="32" t="s">
        <v>99</v>
      </c>
      <c r="G18" s="32" t="s">
        <v>100</v>
      </c>
      <c r="H18" s="32" t="s">
        <v>101</v>
      </c>
      <c r="I18" s="32" t="s">
        <v>102</v>
      </c>
      <c r="J18" s="32" t="s">
        <v>103</v>
      </c>
      <c r="K18" s="32" t="s">
        <v>104</v>
      </c>
    </row>
    <row r="19" spans="5:11" ht="14.4" customHeight="1" x14ac:dyDescent="0.3">
      <c r="E19" s="32">
        <f t="shared" si="0"/>
        <v>12</v>
      </c>
      <c r="F19" s="32" t="s">
        <v>105</v>
      </c>
      <c r="G19" s="32" t="s">
        <v>106</v>
      </c>
      <c r="H19" s="32" t="s">
        <v>107</v>
      </c>
      <c r="I19" s="32" t="s">
        <v>108</v>
      </c>
      <c r="J19" s="32" t="s">
        <v>109</v>
      </c>
      <c r="K19" s="32" t="s">
        <v>110</v>
      </c>
    </row>
    <row r="20" spans="5:11" ht="14.4" customHeight="1" x14ac:dyDescent="0.3">
      <c r="E20" s="32">
        <f t="shared" si="0"/>
        <v>13</v>
      </c>
      <c r="F20" s="32" t="s">
        <v>111</v>
      </c>
      <c r="G20" s="32" t="s">
        <v>112</v>
      </c>
      <c r="H20" s="32" t="s">
        <v>113</v>
      </c>
      <c r="I20" s="32" t="s">
        <v>114</v>
      </c>
      <c r="J20" s="32" t="s">
        <v>115</v>
      </c>
      <c r="K20" s="32" t="s">
        <v>116</v>
      </c>
    </row>
    <row r="21" spans="5:11" ht="14.4" customHeight="1" x14ac:dyDescent="0.3">
      <c r="E21" s="32">
        <f t="shared" si="0"/>
        <v>14</v>
      </c>
      <c r="F21" s="32" t="s">
        <v>117</v>
      </c>
      <c r="G21" s="32" t="s">
        <v>118</v>
      </c>
      <c r="H21" s="32" t="s">
        <v>119</v>
      </c>
      <c r="I21" s="32" t="s">
        <v>120</v>
      </c>
      <c r="J21" s="32" t="s">
        <v>121</v>
      </c>
      <c r="K21" s="32" t="s">
        <v>122</v>
      </c>
    </row>
    <row r="22" spans="5:11" ht="14.4" customHeight="1" x14ac:dyDescent="0.3">
      <c r="E22" s="32">
        <f t="shared" si="0"/>
        <v>15</v>
      </c>
      <c r="F22" s="32" t="s">
        <v>123</v>
      </c>
      <c r="G22" s="32" t="s">
        <v>124</v>
      </c>
      <c r="H22" s="32" t="s">
        <v>125</v>
      </c>
      <c r="I22" s="32" t="s">
        <v>126</v>
      </c>
      <c r="J22" s="32" t="s">
        <v>127</v>
      </c>
      <c r="K22" s="32" t="s">
        <v>128</v>
      </c>
    </row>
    <row r="23" spans="5:11" ht="14.4" customHeight="1" x14ac:dyDescent="0.3">
      <c r="E23" s="32">
        <f t="shared" si="0"/>
        <v>16</v>
      </c>
      <c r="F23" s="32" t="s">
        <v>129</v>
      </c>
      <c r="G23" s="32" t="s">
        <v>130</v>
      </c>
      <c r="H23" s="32" t="s">
        <v>131</v>
      </c>
      <c r="I23" s="32" t="s">
        <v>132</v>
      </c>
      <c r="J23" s="32" t="s">
        <v>133</v>
      </c>
      <c r="K23" s="32" t="s">
        <v>104</v>
      </c>
    </row>
    <row r="24" spans="5:11" ht="14.4" customHeight="1" x14ac:dyDescent="0.3">
      <c r="E24" s="32">
        <f t="shared" si="0"/>
        <v>17</v>
      </c>
      <c r="F24" s="32" t="s">
        <v>134</v>
      </c>
      <c r="G24" s="32" t="s">
        <v>135</v>
      </c>
      <c r="H24" s="32" t="s">
        <v>136</v>
      </c>
      <c r="I24" s="32" t="s">
        <v>137</v>
      </c>
      <c r="J24" s="32" t="s">
        <v>138</v>
      </c>
      <c r="K24" s="32" t="s">
        <v>110</v>
      </c>
    </row>
    <row r="25" spans="5:11" ht="14.4" customHeight="1" x14ac:dyDescent="0.3">
      <c r="E25" s="32">
        <f t="shared" si="0"/>
        <v>18</v>
      </c>
      <c r="F25" s="32" t="s">
        <v>139</v>
      </c>
      <c r="G25" s="32" t="s">
        <v>140</v>
      </c>
      <c r="H25" s="32" t="s">
        <v>141</v>
      </c>
      <c r="I25" s="32" t="s">
        <v>142</v>
      </c>
      <c r="J25" s="32" t="s">
        <v>143</v>
      </c>
      <c r="K25" s="32" t="s">
        <v>144</v>
      </c>
    </row>
    <row r="26" spans="5:11" ht="14.4" customHeight="1" x14ac:dyDescent="0.3">
      <c r="E26" s="32">
        <f t="shared" si="0"/>
        <v>19</v>
      </c>
      <c r="F26" s="32" t="s">
        <v>145</v>
      </c>
      <c r="G26" s="32" t="s">
        <v>146</v>
      </c>
      <c r="H26" s="32" t="s">
        <v>147</v>
      </c>
      <c r="I26" s="32" t="s">
        <v>148</v>
      </c>
      <c r="J26" s="32" t="s">
        <v>149</v>
      </c>
      <c r="K26" s="32" t="s">
        <v>98</v>
      </c>
    </row>
    <row r="27" spans="5:11" ht="14.4" customHeight="1" x14ac:dyDescent="0.3">
      <c r="E27" s="32">
        <f t="shared" si="0"/>
        <v>20</v>
      </c>
      <c r="F27" s="32" t="s">
        <v>150</v>
      </c>
      <c r="G27" s="32" t="s">
        <v>151</v>
      </c>
      <c r="H27" s="32" t="s">
        <v>152</v>
      </c>
      <c r="I27" s="32" t="s">
        <v>153</v>
      </c>
      <c r="J27" s="32" t="s">
        <v>154</v>
      </c>
      <c r="K27" s="32" t="s">
        <v>80</v>
      </c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C4987-873C-4730-BC77-A8F72440F983}">
  <sheetPr codeName="Planilha7">
    <tabColor rgb="FFFFC000"/>
  </sheetPr>
  <dimension ref="A1:AE27"/>
  <sheetViews>
    <sheetView showGridLines="0" zoomScale="70" zoomScaleNormal="70" workbookViewId="0">
      <selection activeCell="C36" sqref="C36"/>
    </sheetView>
  </sheetViews>
  <sheetFormatPr defaultRowHeight="14.4" x14ac:dyDescent="0.3"/>
  <cols>
    <col min="5" max="5" width="4.5546875" bestFit="1" customWidth="1"/>
    <col min="6" max="6" width="24.109375" bestFit="1" customWidth="1"/>
    <col min="7" max="7" width="20.5546875" bestFit="1" customWidth="1"/>
    <col min="8" max="8" width="33.44140625" bestFit="1" customWidth="1"/>
    <col min="9" max="9" width="22" bestFit="1" customWidth="1"/>
    <col min="10" max="10" width="12.6640625" bestFit="1" customWidth="1"/>
    <col min="11" max="11" width="31.44140625" bestFit="1" customWidth="1"/>
    <col min="12" max="12" width="23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19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19"/>
      <c r="W2" s="419"/>
      <c r="X2" s="419"/>
      <c r="Y2" s="419"/>
      <c r="Z2" s="419"/>
      <c r="AA2" s="419"/>
      <c r="AB2" s="419"/>
      <c r="AC2" s="419"/>
      <c r="AD2" s="419"/>
      <c r="AE2" s="419"/>
    </row>
    <row r="7" spans="1:31" ht="17.399999999999999" x14ac:dyDescent="0.3">
      <c r="E7" s="31" t="s">
        <v>33</v>
      </c>
      <c r="F7" s="35" t="s">
        <v>155</v>
      </c>
      <c r="G7" s="35" t="s">
        <v>156</v>
      </c>
      <c r="H7" s="36" t="s">
        <v>157</v>
      </c>
      <c r="I7" s="35" t="s">
        <v>158</v>
      </c>
      <c r="J7" s="35" t="s">
        <v>159</v>
      </c>
      <c r="K7" s="35" t="s">
        <v>160</v>
      </c>
      <c r="L7" s="35" t="s">
        <v>161</v>
      </c>
    </row>
    <row r="8" spans="1:31" ht="14.4" customHeight="1" x14ac:dyDescent="0.3">
      <c r="E8" s="32">
        <v>1</v>
      </c>
      <c r="F8" s="32" t="s">
        <v>162</v>
      </c>
      <c r="G8" s="32" t="s">
        <v>163</v>
      </c>
      <c r="H8" s="37">
        <v>10000</v>
      </c>
      <c r="I8" s="32" t="s">
        <v>164</v>
      </c>
      <c r="J8" s="32" t="s">
        <v>165</v>
      </c>
      <c r="K8" s="32" t="s">
        <v>43</v>
      </c>
      <c r="L8" s="32" t="s">
        <v>166</v>
      </c>
    </row>
    <row r="9" spans="1:31" ht="14.4" customHeight="1" x14ac:dyDescent="0.3">
      <c r="E9" s="32">
        <f>E8+1</f>
        <v>2</v>
      </c>
      <c r="F9" s="32" t="s">
        <v>167</v>
      </c>
      <c r="G9" s="32" t="s">
        <v>168</v>
      </c>
      <c r="H9" s="37">
        <v>2000</v>
      </c>
      <c r="I9" s="32" t="s">
        <v>169</v>
      </c>
      <c r="J9" s="32" t="s">
        <v>170</v>
      </c>
      <c r="K9" s="32" t="s">
        <v>171</v>
      </c>
      <c r="L9" s="32" t="s">
        <v>172</v>
      </c>
    </row>
    <row r="10" spans="1:31" ht="14.4" customHeight="1" x14ac:dyDescent="0.3">
      <c r="E10" s="32">
        <f t="shared" ref="E10:E27" si="0">E9+1</f>
        <v>3</v>
      </c>
      <c r="F10" s="32" t="s">
        <v>173</v>
      </c>
      <c r="G10" s="32" t="s">
        <v>163</v>
      </c>
      <c r="H10" s="37">
        <v>15000</v>
      </c>
      <c r="I10" s="32" t="s">
        <v>174</v>
      </c>
      <c r="J10" s="32" t="s">
        <v>175</v>
      </c>
      <c r="K10" s="32" t="s">
        <v>176</v>
      </c>
      <c r="L10" s="32" t="s">
        <v>177</v>
      </c>
    </row>
    <row r="11" spans="1:31" ht="14.4" customHeight="1" x14ac:dyDescent="0.3">
      <c r="E11" s="32">
        <f t="shared" si="0"/>
        <v>4</v>
      </c>
      <c r="F11" s="32" t="s">
        <v>178</v>
      </c>
      <c r="G11" s="32" t="s">
        <v>179</v>
      </c>
      <c r="H11" s="37">
        <v>1200</v>
      </c>
      <c r="I11" s="32" t="s">
        <v>180</v>
      </c>
      <c r="J11" s="32" t="s">
        <v>181</v>
      </c>
      <c r="K11" s="32" t="s">
        <v>60</v>
      </c>
      <c r="L11" s="32" t="s">
        <v>166</v>
      </c>
    </row>
    <row r="12" spans="1:31" ht="14.4" customHeight="1" x14ac:dyDescent="0.3">
      <c r="E12" s="32">
        <f t="shared" si="0"/>
        <v>5</v>
      </c>
      <c r="F12" s="32" t="s">
        <v>182</v>
      </c>
      <c r="G12" s="32" t="s">
        <v>163</v>
      </c>
      <c r="H12" s="37">
        <v>12500</v>
      </c>
      <c r="I12" s="32" t="s">
        <v>183</v>
      </c>
      <c r="J12" s="32" t="s">
        <v>63</v>
      </c>
      <c r="K12" s="32" t="s">
        <v>184</v>
      </c>
      <c r="L12" s="32" t="s">
        <v>166</v>
      </c>
    </row>
    <row r="13" spans="1:31" ht="14.4" customHeight="1" x14ac:dyDescent="0.3">
      <c r="E13" s="32">
        <f t="shared" si="0"/>
        <v>6</v>
      </c>
      <c r="F13" s="32" t="s">
        <v>185</v>
      </c>
      <c r="G13" s="32" t="s">
        <v>163</v>
      </c>
      <c r="H13" s="37">
        <v>8000</v>
      </c>
      <c r="I13" s="32" t="s">
        <v>186</v>
      </c>
      <c r="J13" s="32" t="s">
        <v>187</v>
      </c>
      <c r="K13" s="32" t="s">
        <v>188</v>
      </c>
      <c r="L13" s="32" t="s">
        <v>177</v>
      </c>
    </row>
    <row r="14" spans="1:31" ht="14.4" customHeight="1" x14ac:dyDescent="0.3">
      <c r="E14" s="32">
        <f t="shared" si="0"/>
        <v>7</v>
      </c>
      <c r="F14" s="32" t="s">
        <v>189</v>
      </c>
      <c r="G14" s="32" t="s">
        <v>168</v>
      </c>
      <c r="H14" s="37">
        <v>2500</v>
      </c>
      <c r="I14" s="32" t="s">
        <v>190</v>
      </c>
      <c r="J14" s="32" t="s">
        <v>191</v>
      </c>
      <c r="K14" s="32" t="s">
        <v>192</v>
      </c>
      <c r="L14" s="32" t="s">
        <v>172</v>
      </c>
    </row>
    <row r="15" spans="1:31" ht="14.4" customHeight="1" x14ac:dyDescent="0.3">
      <c r="E15" s="32">
        <f t="shared" si="0"/>
        <v>8</v>
      </c>
      <c r="F15" s="32" t="s">
        <v>193</v>
      </c>
      <c r="G15" s="32" t="s">
        <v>179</v>
      </c>
      <c r="H15" s="37">
        <v>1800</v>
      </c>
      <c r="I15" s="32" t="s">
        <v>194</v>
      </c>
      <c r="J15" s="32" t="s">
        <v>195</v>
      </c>
      <c r="K15" s="32" t="s">
        <v>84</v>
      </c>
      <c r="L15" s="32" t="s">
        <v>166</v>
      </c>
    </row>
    <row r="16" spans="1:31" ht="14.4" customHeight="1" x14ac:dyDescent="0.3">
      <c r="E16" s="32">
        <f t="shared" si="0"/>
        <v>9</v>
      </c>
      <c r="F16" s="32" t="s">
        <v>196</v>
      </c>
      <c r="G16" s="32" t="s">
        <v>163</v>
      </c>
      <c r="H16" s="37">
        <v>10500</v>
      </c>
      <c r="I16" s="32" t="s">
        <v>197</v>
      </c>
      <c r="J16" s="32" t="s">
        <v>87</v>
      </c>
      <c r="K16" s="32" t="s">
        <v>90</v>
      </c>
      <c r="L16" s="32" t="s">
        <v>166</v>
      </c>
    </row>
    <row r="17" spans="5:12" ht="14.4" customHeight="1" x14ac:dyDescent="0.3">
      <c r="E17" s="32">
        <f t="shared" si="0"/>
        <v>10</v>
      </c>
      <c r="F17" s="32" t="s">
        <v>198</v>
      </c>
      <c r="G17" s="32" t="s">
        <v>168</v>
      </c>
      <c r="H17" s="37">
        <v>2200</v>
      </c>
      <c r="I17" s="32" t="s">
        <v>199</v>
      </c>
      <c r="J17" s="32" t="s">
        <v>200</v>
      </c>
      <c r="K17" s="32" t="s">
        <v>96</v>
      </c>
      <c r="L17" s="32" t="s">
        <v>172</v>
      </c>
    </row>
    <row r="18" spans="5:12" ht="14.4" customHeight="1" x14ac:dyDescent="0.3">
      <c r="E18" s="32">
        <f t="shared" si="0"/>
        <v>11</v>
      </c>
      <c r="F18" s="32" t="s">
        <v>201</v>
      </c>
      <c r="G18" s="32" t="s">
        <v>163</v>
      </c>
      <c r="H18" s="37">
        <v>14000</v>
      </c>
      <c r="I18" s="32" t="s">
        <v>202</v>
      </c>
      <c r="J18" s="32" t="s">
        <v>99</v>
      </c>
      <c r="K18" s="32" t="s">
        <v>102</v>
      </c>
      <c r="L18" s="32" t="s">
        <v>166</v>
      </c>
    </row>
    <row r="19" spans="5:12" ht="14.4" customHeight="1" x14ac:dyDescent="0.3">
      <c r="E19" s="32">
        <f t="shared" si="0"/>
        <v>12</v>
      </c>
      <c r="F19" s="32" t="s">
        <v>203</v>
      </c>
      <c r="G19" s="32" t="s">
        <v>179</v>
      </c>
      <c r="H19" s="37">
        <v>1000</v>
      </c>
      <c r="I19" s="32" t="s">
        <v>204</v>
      </c>
      <c r="J19" s="32" t="s">
        <v>205</v>
      </c>
      <c r="K19" s="32" t="s">
        <v>108</v>
      </c>
      <c r="L19" s="32" t="s">
        <v>177</v>
      </c>
    </row>
    <row r="20" spans="5:12" ht="14.4" customHeight="1" x14ac:dyDescent="0.3">
      <c r="E20" s="32">
        <f t="shared" si="0"/>
        <v>13</v>
      </c>
      <c r="F20" s="32" t="s">
        <v>206</v>
      </c>
      <c r="G20" s="32" t="s">
        <v>163</v>
      </c>
      <c r="H20" s="37">
        <v>13000</v>
      </c>
      <c r="I20" s="32" t="s">
        <v>207</v>
      </c>
      <c r="J20" s="32" t="s">
        <v>111</v>
      </c>
      <c r="K20" s="32" t="s">
        <v>114</v>
      </c>
      <c r="L20" s="32" t="s">
        <v>166</v>
      </c>
    </row>
    <row r="21" spans="5:12" ht="14.4" customHeight="1" x14ac:dyDescent="0.3">
      <c r="E21" s="32">
        <f t="shared" si="0"/>
        <v>14</v>
      </c>
      <c r="F21" s="32" t="s">
        <v>208</v>
      </c>
      <c r="G21" s="32" t="s">
        <v>168</v>
      </c>
      <c r="H21" s="37">
        <v>1900</v>
      </c>
      <c r="I21" s="32" t="s">
        <v>209</v>
      </c>
      <c r="J21" s="32" t="s">
        <v>117</v>
      </c>
      <c r="K21" s="32" t="s">
        <v>120</v>
      </c>
      <c r="L21" s="32" t="s">
        <v>172</v>
      </c>
    </row>
    <row r="22" spans="5:12" ht="14.4" customHeight="1" x14ac:dyDescent="0.3">
      <c r="E22" s="32">
        <f t="shared" si="0"/>
        <v>15</v>
      </c>
      <c r="F22" s="32" t="s">
        <v>210</v>
      </c>
      <c r="G22" s="32" t="s">
        <v>163</v>
      </c>
      <c r="H22" s="37">
        <v>16000</v>
      </c>
      <c r="I22" s="32" t="s">
        <v>211</v>
      </c>
      <c r="J22" s="32" t="s">
        <v>123</v>
      </c>
      <c r="K22" s="32" t="s">
        <v>126</v>
      </c>
      <c r="L22" s="32" t="s">
        <v>166</v>
      </c>
    </row>
    <row r="23" spans="5:12" ht="14.4" customHeight="1" x14ac:dyDescent="0.3">
      <c r="E23" s="32">
        <f t="shared" si="0"/>
        <v>16</v>
      </c>
      <c r="F23" s="32" t="s">
        <v>212</v>
      </c>
      <c r="G23" s="32" t="s">
        <v>179</v>
      </c>
      <c r="H23" s="37">
        <v>1500</v>
      </c>
      <c r="I23" s="32" t="s">
        <v>213</v>
      </c>
      <c r="J23" s="32" t="s">
        <v>129</v>
      </c>
      <c r="K23" s="32" t="s">
        <v>132</v>
      </c>
      <c r="L23" s="32" t="s">
        <v>166</v>
      </c>
    </row>
    <row r="24" spans="5:12" ht="14.4" customHeight="1" x14ac:dyDescent="0.3">
      <c r="E24" s="32">
        <f t="shared" si="0"/>
        <v>17</v>
      </c>
      <c r="F24" s="32" t="s">
        <v>214</v>
      </c>
      <c r="G24" s="32" t="s">
        <v>168</v>
      </c>
      <c r="H24" s="37">
        <v>2300</v>
      </c>
      <c r="I24" s="32" t="s">
        <v>215</v>
      </c>
      <c r="J24" s="32" t="s">
        <v>134</v>
      </c>
      <c r="K24" s="32" t="s">
        <v>137</v>
      </c>
      <c r="L24" s="32" t="s">
        <v>177</v>
      </c>
    </row>
    <row r="25" spans="5:12" ht="14.4" customHeight="1" x14ac:dyDescent="0.3">
      <c r="E25" s="32">
        <f t="shared" si="0"/>
        <v>18</v>
      </c>
      <c r="F25" s="32" t="s">
        <v>216</v>
      </c>
      <c r="G25" s="32" t="s">
        <v>163</v>
      </c>
      <c r="H25" s="37">
        <v>11000</v>
      </c>
      <c r="I25" s="32" t="s">
        <v>217</v>
      </c>
      <c r="J25" s="32" t="s">
        <v>139</v>
      </c>
      <c r="K25" s="32" t="s">
        <v>142</v>
      </c>
      <c r="L25" s="32" t="s">
        <v>166</v>
      </c>
    </row>
    <row r="26" spans="5:12" ht="14.4" customHeight="1" x14ac:dyDescent="0.3">
      <c r="E26" s="32">
        <f t="shared" si="0"/>
        <v>19</v>
      </c>
      <c r="F26" s="32" t="s">
        <v>218</v>
      </c>
      <c r="G26" s="32" t="s">
        <v>168</v>
      </c>
      <c r="H26" s="37">
        <v>1700</v>
      </c>
      <c r="I26" s="32" t="s">
        <v>219</v>
      </c>
      <c r="J26" s="32" t="s">
        <v>145</v>
      </c>
      <c r="K26" s="32" t="s">
        <v>148</v>
      </c>
      <c r="L26" s="32" t="s">
        <v>172</v>
      </c>
    </row>
    <row r="27" spans="5:12" ht="14.4" customHeight="1" x14ac:dyDescent="0.3">
      <c r="E27" s="32">
        <f t="shared" si="0"/>
        <v>20</v>
      </c>
      <c r="F27" s="32" t="s">
        <v>220</v>
      </c>
      <c r="G27" s="32" t="s">
        <v>179</v>
      </c>
      <c r="H27" s="37">
        <v>1300</v>
      </c>
      <c r="I27" s="32" t="s">
        <v>221</v>
      </c>
      <c r="J27" s="32" t="s">
        <v>150</v>
      </c>
      <c r="K27" s="32" t="s">
        <v>153</v>
      </c>
      <c r="L27" s="32" t="s">
        <v>166</v>
      </c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FE00B-E8CC-4959-A5D9-8DBA7613A3B0}">
  <sheetPr codeName="Planilha8">
    <tabColor rgb="FFFFC000"/>
  </sheetPr>
  <dimension ref="A1:AE27"/>
  <sheetViews>
    <sheetView showGridLines="0" zoomScale="70" zoomScaleNormal="70" workbookViewId="0">
      <selection activeCell="G11" sqref="G11"/>
    </sheetView>
  </sheetViews>
  <sheetFormatPr defaultRowHeight="14.4" x14ac:dyDescent="0.3"/>
  <cols>
    <col min="5" max="5" width="4.5546875" bestFit="1" customWidth="1"/>
    <col min="6" max="6" width="24.109375" bestFit="1" customWidth="1"/>
    <col min="7" max="7" width="20.5546875" bestFit="1" customWidth="1"/>
    <col min="8" max="8" width="33.44140625" bestFit="1" customWidth="1"/>
    <col min="9" max="9" width="30.88671875" bestFit="1" customWidth="1"/>
    <col min="10" max="10" width="12.6640625" bestFit="1" customWidth="1"/>
    <col min="11" max="11" width="31.44140625" bestFit="1" customWidth="1"/>
    <col min="12" max="12" width="23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19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19"/>
      <c r="W2" s="419"/>
      <c r="X2" s="419"/>
      <c r="Y2" s="419"/>
      <c r="Z2" s="419"/>
      <c r="AA2" s="419"/>
      <c r="AB2" s="419"/>
      <c r="AC2" s="419"/>
      <c r="AD2" s="419"/>
      <c r="AE2" s="419"/>
    </row>
    <row r="7" spans="1:31" ht="17.399999999999999" x14ac:dyDescent="0.3">
      <c r="E7" s="31" t="s">
        <v>222</v>
      </c>
      <c r="F7" s="31" t="s">
        <v>223</v>
      </c>
      <c r="G7" s="36" t="s">
        <v>224</v>
      </c>
      <c r="H7" s="31" t="s">
        <v>34</v>
      </c>
      <c r="I7" s="31" t="s">
        <v>225</v>
      </c>
      <c r="J7" s="31" t="s">
        <v>226</v>
      </c>
      <c r="K7" s="31" t="s">
        <v>227</v>
      </c>
      <c r="L7" s="31" t="s">
        <v>228</v>
      </c>
      <c r="M7" s="31" t="s">
        <v>229</v>
      </c>
    </row>
    <row r="8" spans="1:31" ht="14.4" customHeight="1" x14ac:dyDescent="0.3">
      <c r="E8" s="32">
        <v>1</v>
      </c>
      <c r="F8" s="38">
        <v>45604</v>
      </c>
      <c r="G8" s="39">
        <v>0.33333333333333331</v>
      </c>
      <c r="H8" s="32" t="s">
        <v>40</v>
      </c>
      <c r="I8" s="32" t="s">
        <v>230</v>
      </c>
      <c r="J8" s="32" t="s">
        <v>231</v>
      </c>
      <c r="K8" s="32">
        <v>10</v>
      </c>
      <c r="L8" s="32" t="s">
        <v>163</v>
      </c>
      <c r="M8" s="32" t="s">
        <v>232</v>
      </c>
    </row>
    <row r="9" spans="1:31" ht="14.4" customHeight="1" x14ac:dyDescent="0.3">
      <c r="E9" s="32">
        <f>E8+1</f>
        <v>2</v>
      </c>
      <c r="F9" s="38">
        <v>45604</v>
      </c>
      <c r="G9" s="39">
        <v>0.39583333333333331</v>
      </c>
      <c r="H9" s="32" t="s">
        <v>46</v>
      </c>
      <c r="I9" s="32" t="s">
        <v>233</v>
      </c>
      <c r="J9" s="32" t="s">
        <v>234</v>
      </c>
      <c r="K9" s="32">
        <v>2</v>
      </c>
      <c r="L9" s="32" t="s">
        <v>168</v>
      </c>
      <c r="M9" s="32" t="s">
        <v>235</v>
      </c>
    </row>
    <row r="10" spans="1:31" ht="14.4" customHeight="1" x14ac:dyDescent="0.3">
      <c r="E10" s="32">
        <f t="shared" ref="E10:E27" si="0">E9+1</f>
        <v>3</v>
      </c>
      <c r="F10" s="38">
        <v>45604</v>
      </c>
      <c r="G10" s="39">
        <v>0.32291666666666669</v>
      </c>
      <c r="H10" s="32" t="s">
        <v>51</v>
      </c>
      <c r="I10" s="32" t="s">
        <v>236</v>
      </c>
      <c r="J10" s="32" t="s">
        <v>237</v>
      </c>
      <c r="K10" s="32">
        <v>50</v>
      </c>
      <c r="L10" s="32" t="s">
        <v>179</v>
      </c>
      <c r="M10" s="32" t="s">
        <v>232</v>
      </c>
    </row>
    <row r="11" spans="1:31" ht="14.4" customHeight="1" x14ac:dyDescent="0.3">
      <c r="E11" s="32">
        <f t="shared" si="0"/>
        <v>4</v>
      </c>
      <c r="F11" s="38">
        <v>45604</v>
      </c>
      <c r="G11" s="39">
        <v>0.41666666666666669</v>
      </c>
      <c r="H11" s="32" t="s">
        <v>57</v>
      </c>
      <c r="I11" s="32" t="s">
        <v>238</v>
      </c>
      <c r="J11" s="32" t="s">
        <v>239</v>
      </c>
      <c r="K11" s="32">
        <v>15</v>
      </c>
      <c r="L11" s="32" t="s">
        <v>163</v>
      </c>
      <c r="M11" s="32" t="s">
        <v>232</v>
      </c>
    </row>
    <row r="12" spans="1:31" ht="14.4" customHeight="1" x14ac:dyDescent="0.3">
      <c r="E12" s="32">
        <f t="shared" si="0"/>
        <v>5</v>
      </c>
      <c r="F12" s="38">
        <v>45604</v>
      </c>
      <c r="G12" s="39">
        <v>0.34375</v>
      </c>
      <c r="H12" s="32" t="s">
        <v>63</v>
      </c>
      <c r="I12" s="32" t="s">
        <v>240</v>
      </c>
      <c r="J12" s="32" t="s">
        <v>231</v>
      </c>
      <c r="K12" s="32">
        <v>100</v>
      </c>
      <c r="L12" s="32" t="s">
        <v>163</v>
      </c>
      <c r="M12" s="32" t="s">
        <v>241</v>
      </c>
    </row>
    <row r="13" spans="1:31" ht="14.4" customHeight="1" x14ac:dyDescent="0.3">
      <c r="E13" s="32">
        <f t="shared" si="0"/>
        <v>6</v>
      </c>
      <c r="F13" s="38">
        <v>45604</v>
      </c>
      <c r="G13" s="39">
        <v>0.375</v>
      </c>
      <c r="H13" s="32" t="s">
        <v>69</v>
      </c>
      <c r="I13" s="32" t="s">
        <v>242</v>
      </c>
      <c r="J13" s="32" t="s">
        <v>234</v>
      </c>
      <c r="K13" s="32">
        <v>200</v>
      </c>
      <c r="L13" s="32" t="s">
        <v>168</v>
      </c>
      <c r="M13" s="32" t="s">
        <v>232</v>
      </c>
    </row>
    <row r="14" spans="1:31" ht="14.4" customHeight="1" x14ac:dyDescent="0.3">
      <c r="E14" s="32">
        <f t="shared" si="0"/>
        <v>7</v>
      </c>
      <c r="F14" s="38">
        <v>45604</v>
      </c>
      <c r="G14" s="39">
        <v>0.45833333333333331</v>
      </c>
      <c r="H14" s="32" t="s">
        <v>75</v>
      </c>
      <c r="I14" s="32" t="s">
        <v>243</v>
      </c>
      <c r="J14" s="32" t="s">
        <v>237</v>
      </c>
      <c r="K14" s="32">
        <v>30</v>
      </c>
      <c r="L14" s="32" t="s">
        <v>179</v>
      </c>
      <c r="M14" s="32" t="s">
        <v>235</v>
      </c>
    </row>
    <row r="15" spans="1:31" ht="14.4" customHeight="1" x14ac:dyDescent="0.3">
      <c r="E15" s="32">
        <f t="shared" si="0"/>
        <v>8</v>
      </c>
      <c r="F15" s="38">
        <v>45604</v>
      </c>
      <c r="G15" s="39">
        <v>0.3125</v>
      </c>
      <c r="H15" s="32" t="s">
        <v>81</v>
      </c>
      <c r="I15" s="32" t="s">
        <v>244</v>
      </c>
      <c r="J15" s="32" t="s">
        <v>239</v>
      </c>
      <c r="K15" s="32">
        <v>20</v>
      </c>
      <c r="L15" s="32" t="s">
        <v>163</v>
      </c>
      <c r="M15" s="32" t="s">
        <v>232</v>
      </c>
    </row>
    <row r="16" spans="1:31" ht="14.4" customHeight="1" x14ac:dyDescent="0.3">
      <c r="E16" s="32">
        <f t="shared" si="0"/>
        <v>9</v>
      </c>
      <c r="F16" s="38">
        <v>45604</v>
      </c>
      <c r="G16" s="39">
        <v>0.40625</v>
      </c>
      <c r="H16" s="32" t="s">
        <v>87</v>
      </c>
      <c r="I16" s="32" t="s">
        <v>245</v>
      </c>
      <c r="J16" s="32" t="s">
        <v>231</v>
      </c>
      <c r="K16" s="32">
        <v>500</v>
      </c>
      <c r="L16" s="32" t="s">
        <v>163</v>
      </c>
      <c r="M16" s="32" t="s">
        <v>232</v>
      </c>
    </row>
    <row r="17" spans="5:13" ht="14.4" customHeight="1" x14ac:dyDescent="0.3">
      <c r="E17" s="32">
        <f t="shared" si="0"/>
        <v>10</v>
      </c>
      <c r="F17" s="38">
        <v>45604</v>
      </c>
      <c r="G17" s="39">
        <v>0.42708333333333331</v>
      </c>
      <c r="H17" s="32" t="s">
        <v>93</v>
      </c>
      <c r="I17" s="32" t="s">
        <v>246</v>
      </c>
      <c r="J17" s="32" t="s">
        <v>234</v>
      </c>
      <c r="K17" s="32">
        <v>5</v>
      </c>
      <c r="L17" s="32" t="s">
        <v>168</v>
      </c>
      <c r="M17" s="32" t="s">
        <v>241</v>
      </c>
    </row>
    <row r="18" spans="5:13" ht="14.4" customHeight="1" x14ac:dyDescent="0.3">
      <c r="E18" s="32">
        <f t="shared" si="0"/>
        <v>11</v>
      </c>
      <c r="F18" s="38">
        <v>45604</v>
      </c>
      <c r="G18" s="39">
        <v>0.47916666666666669</v>
      </c>
      <c r="H18" s="32" t="s">
        <v>99</v>
      </c>
      <c r="I18" s="32" t="s">
        <v>247</v>
      </c>
      <c r="J18" s="32" t="s">
        <v>237</v>
      </c>
      <c r="K18" s="32">
        <v>40</v>
      </c>
      <c r="L18" s="32" t="s">
        <v>163</v>
      </c>
      <c r="M18" s="32" t="s">
        <v>232</v>
      </c>
    </row>
    <row r="19" spans="5:13" ht="14.4" customHeight="1" x14ac:dyDescent="0.3">
      <c r="E19" s="32">
        <f t="shared" si="0"/>
        <v>12</v>
      </c>
      <c r="F19" s="38">
        <v>45604</v>
      </c>
      <c r="G19" s="39">
        <v>0.36458333333333331</v>
      </c>
      <c r="H19" s="32" t="s">
        <v>105</v>
      </c>
      <c r="I19" s="32" t="s">
        <v>248</v>
      </c>
      <c r="J19" s="32" t="s">
        <v>239</v>
      </c>
      <c r="K19" s="32">
        <v>80</v>
      </c>
      <c r="L19" s="32" t="s">
        <v>179</v>
      </c>
      <c r="M19" s="32" t="s">
        <v>235</v>
      </c>
    </row>
    <row r="20" spans="5:13" ht="14.4" customHeight="1" x14ac:dyDescent="0.3">
      <c r="E20" s="32">
        <f t="shared" si="0"/>
        <v>13</v>
      </c>
      <c r="F20" s="38">
        <v>45604</v>
      </c>
      <c r="G20" s="39">
        <v>0.38541666666666669</v>
      </c>
      <c r="H20" s="32" t="s">
        <v>111</v>
      </c>
      <c r="I20" s="32" t="s">
        <v>249</v>
      </c>
      <c r="J20" s="32" t="s">
        <v>231</v>
      </c>
      <c r="K20" s="32">
        <v>20</v>
      </c>
      <c r="L20" s="32" t="s">
        <v>163</v>
      </c>
      <c r="M20" s="32" t="s">
        <v>232</v>
      </c>
    </row>
    <row r="21" spans="5:13" ht="14.4" customHeight="1" x14ac:dyDescent="0.3">
      <c r="E21" s="32">
        <f t="shared" si="0"/>
        <v>14</v>
      </c>
      <c r="F21" s="38">
        <v>45604</v>
      </c>
      <c r="G21" s="39">
        <v>0.29166666666666669</v>
      </c>
      <c r="H21" s="32" t="s">
        <v>117</v>
      </c>
      <c r="I21" s="32" t="s">
        <v>250</v>
      </c>
      <c r="J21" s="32" t="s">
        <v>234</v>
      </c>
      <c r="K21" s="32">
        <v>35</v>
      </c>
      <c r="L21" s="32" t="s">
        <v>168</v>
      </c>
      <c r="M21" s="32" t="s">
        <v>232</v>
      </c>
    </row>
    <row r="22" spans="5:13" ht="14.4" customHeight="1" x14ac:dyDescent="0.3">
      <c r="E22" s="32">
        <f t="shared" si="0"/>
        <v>15</v>
      </c>
      <c r="F22" s="38">
        <v>45604</v>
      </c>
      <c r="G22" s="39">
        <v>0.4375</v>
      </c>
      <c r="H22" s="32" t="s">
        <v>123</v>
      </c>
      <c r="I22" s="32" t="s">
        <v>251</v>
      </c>
      <c r="J22" s="32" t="s">
        <v>237</v>
      </c>
      <c r="K22" s="32">
        <v>300</v>
      </c>
      <c r="L22" s="32" t="s">
        <v>163</v>
      </c>
      <c r="M22" s="32" t="s">
        <v>241</v>
      </c>
    </row>
    <row r="23" spans="5:13" ht="14.4" customHeight="1" x14ac:dyDescent="0.3">
      <c r="E23" s="32">
        <f t="shared" si="0"/>
        <v>16</v>
      </c>
      <c r="F23" s="38">
        <v>45604</v>
      </c>
      <c r="G23" s="39">
        <v>0.40972222222222221</v>
      </c>
      <c r="H23" s="32" t="s">
        <v>129</v>
      </c>
      <c r="I23" s="32" t="s">
        <v>252</v>
      </c>
      <c r="J23" s="32" t="s">
        <v>239</v>
      </c>
      <c r="K23" s="32">
        <v>60</v>
      </c>
      <c r="L23" s="32" t="s">
        <v>179</v>
      </c>
      <c r="M23" s="32" t="s">
        <v>232</v>
      </c>
    </row>
    <row r="24" spans="5:13" ht="14.4" customHeight="1" x14ac:dyDescent="0.3">
      <c r="E24" s="32">
        <f t="shared" si="0"/>
        <v>17</v>
      </c>
      <c r="F24" s="38">
        <v>45604</v>
      </c>
      <c r="G24" s="39">
        <v>0.34722222222222221</v>
      </c>
      <c r="H24" s="32" t="s">
        <v>134</v>
      </c>
      <c r="I24" s="32" t="s">
        <v>253</v>
      </c>
      <c r="J24" s="32" t="s">
        <v>231</v>
      </c>
      <c r="K24" s="32">
        <v>15</v>
      </c>
      <c r="L24" s="32" t="s">
        <v>168</v>
      </c>
      <c r="M24" s="32" t="s">
        <v>235</v>
      </c>
    </row>
    <row r="25" spans="5:13" ht="14.4" customHeight="1" x14ac:dyDescent="0.3">
      <c r="E25" s="32">
        <f t="shared" si="0"/>
        <v>18</v>
      </c>
      <c r="F25" s="38">
        <v>45604</v>
      </c>
      <c r="G25" s="39">
        <v>0.48958333333333331</v>
      </c>
      <c r="H25" s="32" t="s">
        <v>139</v>
      </c>
      <c r="I25" s="32" t="s">
        <v>254</v>
      </c>
      <c r="J25" s="32" t="s">
        <v>234</v>
      </c>
      <c r="K25" s="32">
        <v>70</v>
      </c>
      <c r="L25" s="32" t="s">
        <v>163</v>
      </c>
      <c r="M25" s="32" t="s">
        <v>232</v>
      </c>
    </row>
    <row r="26" spans="5:13" ht="14.4" customHeight="1" x14ac:dyDescent="0.3">
      <c r="E26" s="32">
        <f t="shared" si="0"/>
        <v>19</v>
      </c>
      <c r="F26" s="38">
        <v>45604</v>
      </c>
      <c r="G26" s="39">
        <v>0.38194444444444442</v>
      </c>
      <c r="H26" s="32" t="s">
        <v>145</v>
      </c>
      <c r="I26" s="32" t="s">
        <v>255</v>
      </c>
      <c r="J26" s="32" t="s">
        <v>237</v>
      </c>
      <c r="K26" s="32">
        <v>120</v>
      </c>
      <c r="L26" s="32" t="s">
        <v>168</v>
      </c>
      <c r="M26" s="32" t="s">
        <v>232</v>
      </c>
    </row>
    <row r="27" spans="5:13" ht="14.4" customHeight="1" x14ac:dyDescent="0.3">
      <c r="E27" s="32">
        <f t="shared" si="0"/>
        <v>20</v>
      </c>
      <c r="F27" s="38">
        <v>45604</v>
      </c>
      <c r="G27" s="39">
        <v>0.44444444444444442</v>
      </c>
      <c r="H27" s="32" t="s">
        <v>150</v>
      </c>
      <c r="I27" s="32" t="s">
        <v>256</v>
      </c>
      <c r="J27" s="32" t="s">
        <v>239</v>
      </c>
      <c r="K27" s="32">
        <v>25</v>
      </c>
      <c r="L27" s="32" t="s">
        <v>179</v>
      </c>
      <c r="M27" s="32" t="s">
        <v>232</v>
      </c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3D56E-86BF-4E9D-8F10-43484EC0A76E}">
  <sheetPr codeName="Planilha9">
    <tabColor rgb="FFFFC000"/>
  </sheetPr>
  <dimension ref="A1:AE28"/>
  <sheetViews>
    <sheetView showGridLines="0" zoomScale="70" zoomScaleNormal="70" workbookViewId="0">
      <selection activeCell="A2" sqref="A2:AE2"/>
    </sheetView>
  </sheetViews>
  <sheetFormatPr defaultRowHeight="14.4" x14ac:dyDescent="0.3"/>
  <cols>
    <col min="5" max="5" width="4.5546875" bestFit="1" customWidth="1"/>
    <col min="6" max="6" width="24.109375" bestFit="1" customWidth="1"/>
    <col min="7" max="7" width="20.5546875" bestFit="1" customWidth="1"/>
    <col min="8" max="8" width="33.44140625" bestFit="1" customWidth="1"/>
    <col min="9" max="9" width="22" bestFit="1" customWidth="1"/>
    <col min="10" max="10" width="27.109375" bestFit="1" customWidth="1"/>
    <col min="11" max="11" width="31.44140625" bestFit="1" customWidth="1"/>
    <col min="12" max="12" width="23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19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19"/>
      <c r="W2" s="419"/>
      <c r="X2" s="419"/>
      <c r="Y2" s="419"/>
      <c r="Z2" s="419"/>
      <c r="AA2" s="419"/>
      <c r="AB2" s="419"/>
      <c r="AC2" s="419"/>
      <c r="AD2" s="419"/>
      <c r="AE2" s="419"/>
    </row>
    <row r="7" spans="1:31" ht="17.399999999999999" x14ac:dyDescent="0.3">
      <c r="E7" s="35" t="s">
        <v>222</v>
      </c>
      <c r="F7" s="35" t="s">
        <v>257</v>
      </c>
      <c r="G7" s="35" t="s">
        <v>258</v>
      </c>
      <c r="H7" s="35" t="s">
        <v>259</v>
      </c>
      <c r="I7" s="35" t="s">
        <v>260</v>
      </c>
      <c r="J7" s="35" t="s">
        <v>261</v>
      </c>
      <c r="K7" s="33"/>
      <c r="L7" s="33"/>
      <c r="M7" s="33"/>
    </row>
    <row r="8" spans="1:31" ht="14.4" customHeight="1" x14ac:dyDescent="0.3">
      <c r="E8" s="32">
        <v>1</v>
      </c>
      <c r="F8" s="40">
        <v>50</v>
      </c>
      <c r="G8" s="37">
        <v>1000</v>
      </c>
      <c r="H8" s="41">
        <f>F8*G8</f>
        <v>50000</v>
      </c>
      <c r="I8" s="41">
        <f>F8*G8+H8</f>
        <v>100000</v>
      </c>
      <c r="J8" s="32" t="s">
        <v>262</v>
      </c>
      <c r="K8" s="34"/>
      <c r="L8" s="34"/>
      <c r="M8" s="34"/>
    </row>
    <row r="9" spans="1:31" ht="14.4" customHeight="1" x14ac:dyDescent="0.3">
      <c r="E9" s="32">
        <f>E8+1</f>
        <v>2</v>
      </c>
      <c r="F9" s="40">
        <v>120</v>
      </c>
      <c r="G9" s="32">
        <v>800</v>
      </c>
      <c r="H9" s="41">
        <v>400</v>
      </c>
      <c r="I9" s="41">
        <v>600</v>
      </c>
      <c r="J9" s="32" t="s">
        <v>263</v>
      </c>
      <c r="K9" s="34"/>
      <c r="L9" s="34"/>
      <c r="M9" s="34"/>
    </row>
    <row r="10" spans="1:31" ht="14.4" customHeight="1" x14ac:dyDescent="0.3">
      <c r="E10" s="32">
        <f t="shared" ref="E10:E27" si="0">E9+1</f>
        <v>3</v>
      </c>
      <c r="F10" s="40">
        <v>30</v>
      </c>
      <c r="G10" s="32">
        <v>500</v>
      </c>
      <c r="H10" s="41">
        <v>250</v>
      </c>
      <c r="I10" s="41">
        <v>400</v>
      </c>
      <c r="J10" s="32" t="s">
        <v>264</v>
      </c>
      <c r="K10" s="34"/>
      <c r="L10" s="34"/>
      <c r="M10" s="34"/>
    </row>
    <row r="11" spans="1:31" ht="14.4" customHeight="1" x14ac:dyDescent="0.3">
      <c r="E11" s="32">
        <f t="shared" si="0"/>
        <v>4</v>
      </c>
      <c r="F11" s="40">
        <v>200</v>
      </c>
      <c r="G11" s="37">
        <v>1200</v>
      </c>
      <c r="H11" s="41">
        <v>600</v>
      </c>
      <c r="I11" s="41">
        <v>900</v>
      </c>
      <c r="J11" s="32" t="s">
        <v>265</v>
      </c>
      <c r="K11" s="34"/>
      <c r="L11" s="34"/>
      <c r="M11" s="34"/>
    </row>
    <row r="12" spans="1:31" ht="14.4" customHeight="1" x14ac:dyDescent="0.3">
      <c r="E12" s="32">
        <f t="shared" si="0"/>
        <v>5</v>
      </c>
      <c r="F12" s="40">
        <v>15</v>
      </c>
      <c r="G12" s="37">
        <v>2000</v>
      </c>
      <c r="H12" s="41">
        <v>700</v>
      </c>
      <c r="I12" s="41">
        <v>1000</v>
      </c>
      <c r="J12" s="32" t="s">
        <v>266</v>
      </c>
      <c r="K12" s="34"/>
      <c r="L12" s="34"/>
      <c r="M12" s="34"/>
    </row>
    <row r="13" spans="1:31" ht="14.4" customHeight="1" x14ac:dyDescent="0.3">
      <c r="E13" s="32">
        <f t="shared" si="0"/>
        <v>6</v>
      </c>
      <c r="F13" s="40">
        <v>80</v>
      </c>
      <c r="G13" s="37">
        <v>1500</v>
      </c>
      <c r="H13" s="41">
        <v>500</v>
      </c>
      <c r="I13" s="41">
        <v>800</v>
      </c>
      <c r="J13" s="32" t="s">
        <v>267</v>
      </c>
      <c r="K13" s="34"/>
      <c r="L13" s="34"/>
      <c r="M13" s="34"/>
    </row>
    <row r="14" spans="1:31" ht="14.4" customHeight="1" x14ac:dyDescent="0.3">
      <c r="E14" s="32">
        <f t="shared" si="0"/>
        <v>7</v>
      </c>
      <c r="F14" s="40">
        <v>60</v>
      </c>
      <c r="G14" s="32">
        <v>400</v>
      </c>
      <c r="H14" s="41">
        <v>200</v>
      </c>
      <c r="I14" s="41">
        <v>300</v>
      </c>
      <c r="J14" s="32" t="s">
        <v>268</v>
      </c>
      <c r="K14" s="34"/>
      <c r="L14" s="34"/>
      <c r="M14" s="34"/>
    </row>
    <row r="15" spans="1:31" ht="14.4" customHeight="1" x14ac:dyDescent="0.3">
      <c r="E15" s="32">
        <f t="shared" si="0"/>
        <v>8</v>
      </c>
      <c r="F15" s="40">
        <v>180</v>
      </c>
      <c r="G15" s="37">
        <v>2500</v>
      </c>
      <c r="H15" s="41">
        <v>800</v>
      </c>
      <c r="I15" s="41">
        <v>1200</v>
      </c>
      <c r="J15" s="32" t="s">
        <v>269</v>
      </c>
      <c r="K15" s="34"/>
      <c r="L15" s="34"/>
      <c r="M15" s="34"/>
    </row>
    <row r="16" spans="1:31" ht="14.4" customHeight="1" x14ac:dyDescent="0.3">
      <c r="E16" s="32">
        <f t="shared" si="0"/>
        <v>9</v>
      </c>
      <c r="F16" s="40">
        <v>90</v>
      </c>
      <c r="G16" s="37">
        <v>1800</v>
      </c>
      <c r="H16" s="41">
        <v>550</v>
      </c>
      <c r="I16" s="41">
        <v>850</v>
      </c>
      <c r="J16" s="32" t="s">
        <v>270</v>
      </c>
      <c r="K16" s="34"/>
      <c r="L16" s="34"/>
      <c r="M16" s="34"/>
    </row>
    <row r="17" spans="5:13" ht="14.4" customHeight="1" x14ac:dyDescent="0.3">
      <c r="E17" s="32">
        <f t="shared" si="0"/>
        <v>10</v>
      </c>
      <c r="F17" s="40">
        <v>40</v>
      </c>
      <c r="G17" s="32">
        <v>600</v>
      </c>
      <c r="H17" s="41">
        <v>300</v>
      </c>
      <c r="I17" s="41">
        <v>500</v>
      </c>
      <c r="J17" s="32" t="s">
        <v>271</v>
      </c>
      <c r="K17" s="34"/>
      <c r="L17" s="34"/>
      <c r="M17" s="34"/>
    </row>
    <row r="18" spans="5:13" ht="14.4" customHeight="1" x14ac:dyDescent="0.3">
      <c r="E18" s="32">
        <f t="shared" si="0"/>
        <v>11</v>
      </c>
      <c r="F18" s="40">
        <v>150</v>
      </c>
      <c r="G18" s="37">
        <v>1000</v>
      </c>
      <c r="H18" s="41">
        <v>600</v>
      </c>
      <c r="I18" s="41">
        <v>950</v>
      </c>
      <c r="J18" s="32" t="s">
        <v>272</v>
      </c>
      <c r="K18" s="34"/>
      <c r="L18" s="34"/>
      <c r="M18" s="34"/>
    </row>
    <row r="19" spans="5:13" ht="14.4" customHeight="1" x14ac:dyDescent="0.3">
      <c r="E19" s="32">
        <f t="shared" si="0"/>
        <v>12</v>
      </c>
      <c r="F19" s="40">
        <v>20</v>
      </c>
      <c r="G19" s="32">
        <v>700</v>
      </c>
      <c r="H19" s="41">
        <v>250</v>
      </c>
      <c r="I19" s="41">
        <v>400</v>
      </c>
      <c r="J19" s="32" t="s">
        <v>273</v>
      </c>
      <c r="K19" s="34"/>
      <c r="L19" s="34"/>
      <c r="M19" s="34"/>
    </row>
    <row r="20" spans="5:13" ht="14.4" customHeight="1" x14ac:dyDescent="0.3">
      <c r="E20" s="32">
        <f t="shared" si="0"/>
        <v>13</v>
      </c>
      <c r="F20" s="40">
        <v>170</v>
      </c>
      <c r="G20" s="37">
        <v>2000</v>
      </c>
      <c r="H20" s="41">
        <v>750</v>
      </c>
      <c r="I20" s="41">
        <v>1150</v>
      </c>
      <c r="J20" s="32" t="s">
        <v>274</v>
      </c>
      <c r="K20" s="34"/>
      <c r="L20" s="34"/>
      <c r="M20" s="34"/>
    </row>
    <row r="21" spans="5:13" ht="14.4" customHeight="1" x14ac:dyDescent="0.3">
      <c r="E21" s="32">
        <f t="shared" si="0"/>
        <v>14</v>
      </c>
      <c r="F21" s="40">
        <v>35</v>
      </c>
      <c r="G21" s="32">
        <v>900</v>
      </c>
      <c r="H21" s="41">
        <v>350</v>
      </c>
      <c r="I21" s="41">
        <v>550</v>
      </c>
      <c r="J21" s="32" t="s">
        <v>275</v>
      </c>
      <c r="K21" s="34"/>
      <c r="L21" s="34"/>
      <c r="M21" s="34"/>
    </row>
    <row r="22" spans="5:13" ht="14.4" customHeight="1" x14ac:dyDescent="0.3">
      <c r="E22" s="32">
        <f t="shared" si="0"/>
        <v>15</v>
      </c>
      <c r="F22" s="40">
        <v>220</v>
      </c>
      <c r="G22" s="37">
        <v>2500</v>
      </c>
      <c r="H22" s="41">
        <v>900</v>
      </c>
      <c r="I22" s="41">
        <v>1400</v>
      </c>
      <c r="J22" s="32" t="s">
        <v>276</v>
      </c>
      <c r="K22" s="34"/>
      <c r="L22" s="34"/>
      <c r="M22" s="34"/>
    </row>
    <row r="23" spans="5:13" ht="14.4" customHeight="1" x14ac:dyDescent="0.3">
      <c r="E23" s="32">
        <f t="shared" si="0"/>
        <v>16</v>
      </c>
      <c r="F23" s="40">
        <v>110</v>
      </c>
      <c r="G23" s="37">
        <v>1100</v>
      </c>
      <c r="H23" s="41">
        <v>450</v>
      </c>
      <c r="I23" s="41">
        <v>700</v>
      </c>
      <c r="J23" s="32" t="s">
        <v>277</v>
      </c>
      <c r="K23" s="34"/>
      <c r="L23" s="34"/>
      <c r="M23" s="34"/>
    </row>
    <row r="24" spans="5:13" ht="14.4" customHeight="1" x14ac:dyDescent="0.3">
      <c r="E24" s="32">
        <f t="shared" si="0"/>
        <v>17</v>
      </c>
      <c r="F24" s="40">
        <v>75</v>
      </c>
      <c r="G24" s="37">
        <v>1300</v>
      </c>
      <c r="H24" s="41">
        <v>500</v>
      </c>
      <c r="I24" s="41">
        <v>750</v>
      </c>
      <c r="J24" s="32" t="s">
        <v>278</v>
      </c>
      <c r="K24" s="34"/>
      <c r="L24" s="34"/>
      <c r="M24" s="34"/>
    </row>
    <row r="25" spans="5:13" ht="14.4" customHeight="1" x14ac:dyDescent="0.3">
      <c r="E25" s="32">
        <f t="shared" si="0"/>
        <v>18</v>
      </c>
      <c r="F25" s="40">
        <v>25</v>
      </c>
      <c r="G25" s="32">
        <v>950</v>
      </c>
      <c r="H25" s="41">
        <v>300</v>
      </c>
      <c r="I25" s="41">
        <v>450</v>
      </c>
      <c r="J25" s="32" t="s">
        <v>279</v>
      </c>
      <c r="K25" s="34"/>
      <c r="L25" s="34"/>
      <c r="M25" s="34"/>
    </row>
    <row r="26" spans="5:13" ht="14.4" customHeight="1" x14ac:dyDescent="0.3">
      <c r="E26" s="32">
        <f t="shared" si="0"/>
        <v>19</v>
      </c>
      <c r="F26" s="40">
        <v>140</v>
      </c>
      <c r="G26" s="37">
        <v>1600</v>
      </c>
      <c r="H26" s="41">
        <v>650</v>
      </c>
      <c r="I26" s="41">
        <v>1000</v>
      </c>
      <c r="J26" s="32" t="s">
        <v>280</v>
      </c>
      <c r="K26" s="34"/>
      <c r="L26" s="34"/>
      <c r="M26" s="34"/>
    </row>
    <row r="27" spans="5:13" ht="14.4" customHeight="1" x14ac:dyDescent="0.3">
      <c r="E27" s="32">
        <f t="shared" si="0"/>
        <v>20</v>
      </c>
      <c r="F27" s="40">
        <v>50</v>
      </c>
      <c r="G27" s="32">
        <v>850</v>
      </c>
      <c r="H27" s="41">
        <v>350</v>
      </c>
      <c r="I27" s="41">
        <v>550</v>
      </c>
      <c r="J27" s="32" t="s">
        <v>281</v>
      </c>
      <c r="K27" s="34"/>
      <c r="L27" s="34"/>
      <c r="M27" s="34"/>
    </row>
    <row r="28" spans="5:13" x14ac:dyDescent="0.3">
      <c r="K28" s="1"/>
      <c r="L28" s="1"/>
      <c r="M28" s="1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295F7-09C7-4486-AF7A-F2AF214F24F3}">
  <sheetPr codeName="Planilha10">
    <tabColor rgb="FFFFC000"/>
  </sheetPr>
  <dimension ref="A1:AE28"/>
  <sheetViews>
    <sheetView showGridLines="0" topLeftCell="XDJ2" zoomScale="70" zoomScaleNormal="70" workbookViewId="0">
      <selection activeCell="XDL32" sqref="XDL32"/>
    </sheetView>
  </sheetViews>
  <sheetFormatPr defaultRowHeight="14.4" x14ac:dyDescent="0.3"/>
  <cols>
    <col min="5" max="5" width="4.5546875" bestFit="1" customWidth="1"/>
    <col min="6" max="6" width="24.109375" bestFit="1" customWidth="1"/>
    <col min="7" max="7" width="20.5546875" bestFit="1" customWidth="1"/>
    <col min="8" max="8" width="33.44140625" bestFit="1" customWidth="1"/>
    <col min="9" max="9" width="22" bestFit="1" customWidth="1"/>
    <col min="10" max="10" width="27.109375" bestFit="1" customWidth="1"/>
    <col min="11" max="11" width="31.44140625" bestFit="1" customWidth="1"/>
    <col min="12" max="12" width="23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19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19"/>
      <c r="W2" s="419"/>
      <c r="X2" s="419"/>
      <c r="Y2" s="419"/>
      <c r="Z2" s="419"/>
      <c r="AA2" s="419"/>
      <c r="AB2" s="419"/>
      <c r="AC2" s="419"/>
      <c r="AD2" s="419"/>
      <c r="AE2" s="419"/>
    </row>
    <row r="7" spans="1:31" ht="17.399999999999999" x14ac:dyDescent="0.3">
      <c r="E7" s="35" t="s">
        <v>222</v>
      </c>
      <c r="F7" s="35" t="s">
        <v>257</v>
      </c>
      <c r="G7" s="35" t="s">
        <v>258</v>
      </c>
      <c r="H7" s="35" t="s">
        <v>259</v>
      </c>
      <c r="I7" s="35" t="s">
        <v>260</v>
      </c>
      <c r="J7" s="35" t="s">
        <v>261</v>
      </c>
      <c r="K7" s="33"/>
      <c r="L7" s="33"/>
      <c r="M7" s="33"/>
    </row>
    <row r="8" spans="1:31" ht="14.4" customHeight="1" x14ac:dyDescent="0.3">
      <c r="E8" s="32">
        <v>1</v>
      </c>
      <c r="F8" s="40">
        <v>50</v>
      </c>
      <c r="G8" s="37">
        <v>1000</v>
      </c>
      <c r="H8" s="41">
        <f>F8*G8</f>
        <v>50000</v>
      </c>
      <c r="I8" s="41">
        <f>F8*G8+H8</f>
        <v>100000</v>
      </c>
      <c r="J8" s="32" t="s">
        <v>262</v>
      </c>
      <c r="K8" s="34"/>
      <c r="L8" s="34"/>
      <c r="M8" s="34"/>
    </row>
    <row r="9" spans="1:31" ht="14.4" customHeight="1" x14ac:dyDescent="0.3">
      <c r="E9" s="32">
        <f>E8+1</f>
        <v>2</v>
      </c>
      <c r="F9" s="40">
        <v>120</v>
      </c>
      <c r="G9" s="32">
        <v>800</v>
      </c>
      <c r="H9" s="41">
        <v>400</v>
      </c>
      <c r="I9" s="41">
        <v>600</v>
      </c>
      <c r="J9" s="32" t="s">
        <v>263</v>
      </c>
      <c r="K9" s="34"/>
      <c r="L9" s="34"/>
      <c r="M9" s="34"/>
    </row>
    <row r="10" spans="1:31" ht="14.4" customHeight="1" x14ac:dyDescent="0.3">
      <c r="E10" s="32">
        <f t="shared" ref="E10:E27" si="0">E9+1</f>
        <v>3</v>
      </c>
      <c r="F10" s="40">
        <v>30</v>
      </c>
      <c r="G10" s="32">
        <v>500</v>
      </c>
      <c r="H10" s="41">
        <v>250</v>
      </c>
      <c r="I10" s="41">
        <v>400</v>
      </c>
      <c r="J10" s="32" t="s">
        <v>264</v>
      </c>
      <c r="K10" s="34"/>
      <c r="L10" s="34"/>
      <c r="M10" s="34"/>
    </row>
    <row r="11" spans="1:31" ht="14.4" customHeight="1" x14ac:dyDescent="0.3">
      <c r="E11" s="32">
        <f t="shared" si="0"/>
        <v>4</v>
      </c>
      <c r="F11" s="40">
        <v>200</v>
      </c>
      <c r="G11" s="37">
        <v>1200</v>
      </c>
      <c r="H11" s="41">
        <v>600</v>
      </c>
      <c r="I11" s="41">
        <v>900</v>
      </c>
      <c r="J11" s="32" t="s">
        <v>265</v>
      </c>
      <c r="K11" s="34"/>
      <c r="L11" s="34"/>
      <c r="M11" s="34"/>
    </row>
    <row r="12" spans="1:31" ht="14.4" customHeight="1" x14ac:dyDescent="0.3">
      <c r="E12" s="32">
        <f t="shared" si="0"/>
        <v>5</v>
      </c>
      <c r="F12" s="40">
        <v>15</v>
      </c>
      <c r="G12" s="37">
        <v>2000</v>
      </c>
      <c r="H12" s="41">
        <v>700</v>
      </c>
      <c r="I12" s="41">
        <v>1000</v>
      </c>
      <c r="J12" s="32" t="s">
        <v>266</v>
      </c>
      <c r="K12" s="34"/>
      <c r="L12" s="34"/>
      <c r="M12" s="34"/>
    </row>
    <row r="13" spans="1:31" ht="14.4" customHeight="1" x14ac:dyDescent="0.3">
      <c r="E13" s="32">
        <f t="shared" si="0"/>
        <v>6</v>
      </c>
      <c r="F13" s="40">
        <v>80</v>
      </c>
      <c r="G13" s="37">
        <v>1500</v>
      </c>
      <c r="H13" s="41">
        <v>500</v>
      </c>
      <c r="I13" s="41">
        <v>800</v>
      </c>
      <c r="J13" s="32" t="s">
        <v>267</v>
      </c>
      <c r="K13" s="34"/>
      <c r="L13" s="34"/>
      <c r="M13" s="34"/>
    </row>
    <row r="14" spans="1:31" ht="14.4" customHeight="1" x14ac:dyDescent="0.3">
      <c r="E14" s="32">
        <f t="shared" si="0"/>
        <v>7</v>
      </c>
      <c r="F14" s="40">
        <v>60</v>
      </c>
      <c r="G14" s="32">
        <v>400</v>
      </c>
      <c r="H14" s="41">
        <v>200</v>
      </c>
      <c r="I14" s="41">
        <v>300</v>
      </c>
      <c r="J14" s="32" t="s">
        <v>268</v>
      </c>
      <c r="K14" s="34"/>
      <c r="L14" s="34"/>
      <c r="M14" s="34"/>
    </row>
    <row r="15" spans="1:31" ht="14.4" customHeight="1" x14ac:dyDescent="0.3">
      <c r="E15" s="32">
        <f t="shared" si="0"/>
        <v>8</v>
      </c>
      <c r="F15" s="40">
        <v>180</v>
      </c>
      <c r="G15" s="37">
        <v>2500</v>
      </c>
      <c r="H15" s="41">
        <v>800</v>
      </c>
      <c r="I15" s="41">
        <v>1200</v>
      </c>
      <c r="J15" s="32" t="s">
        <v>269</v>
      </c>
      <c r="K15" s="34"/>
      <c r="L15" s="34"/>
      <c r="M15" s="34"/>
    </row>
    <row r="16" spans="1:31" ht="14.4" customHeight="1" x14ac:dyDescent="0.3">
      <c r="E16" s="32">
        <f t="shared" si="0"/>
        <v>9</v>
      </c>
      <c r="F16" s="40">
        <v>90</v>
      </c>
      <c r="G16" s="37">
        <v>1800</v>
      </c>
      <c r="H16" s="41">
        <v>550</v>
      </c>
      <c r="I16" s="41">
        <v>850</v>
      </c>
      <c r="J16" s="32" t="s">
        <v>270</v>
      </c>
      <c r="K16" s="34"/>
      <c r="L16" s="34"/>
      <c r="M16" s="34"/>
    </row>
    <row r="17" spans="5:13" ht="14.4" customHeight="1" x14ac:dyDescent="0.3">
      <c r="E17" s="32">
        <f t="shared" si="0"/>
        <v>10</v>
      </c>
      <c r="F17" s="40">
        <v>40</v>
      </c>
      <c r="G17" s="32">
        <v>600</v>
      </c>
      <c r="H17" s="41">
        <v>300</v>
      </c>
      <c r="I17" s="41">
        <v>500</v>
      </c>
      <c r="J17" s="32" t="s">
        <v>271</v>
      </c>
      <c r="K17" s="34"/>
      <c r="L17" s="34"/>
      <c r="M17" s="34"/>
    </row>
    <row r="18" spans="5:13" ht="14.4" customHeight="1" x14ac:dyDescent="0.3">
      <c r="E18" s="32">
        <f t="shared" si="0"/>
        <v>11</v>
      </c>
      <c r="F18" s="40">
        <v>150</v>
      </c>
      <c r="G18" s="37">
        <v>1000</v>
      </c>
      <c r="H18" s="41">
        <v>600</v>
      </c>
      <c r="I18" s="41">
        <v>950</v>
      </c>
      <c r="J18" s="32" t="s">
        <v>272</v>
      </c>
      <c r="K18" s="34"/>
      <c r="L18" s="34"/>
      <c r="M18" s="34"/>
    </row>
    <row r="19" spans="5:13" ht="14.4" customHeight="1" x14ac:dyDescent="0.3">
      <c r="E19" s="32">
        <f t="shared" si="0"/>
        <v>12</v>
      </c>
      <c r="F19" s="40">
        <v>20</v>
      </c>
      <c r="G19" s="32">
        <v>700</v>
      </c>
      <c r="H19" s="41">
        <v>250</v>
      </c>
      <c r="I19" s="41">
        <v>400</v>
      </c>
      <c r="J19" s="32" t="s">
        <v>273</v>
      </c>
      <c r="K19" s="34"/>
      <c r="L19" s="34"/>
      <c r="M19" s="34"/>
    </row>
    <row r="20" spans="5:13" ht="14.4" customHeight="1" x14ac:dyDescent="0.3">
      <c r="E20" s="32">
        <f t="shared" si="0"/>
        <v>13</v>
      </c>
      <c r="F20" s="40">
        <v>170</v>
      </c>
      <c r="G20" s="37">
        <v>2000</v>
      </c>
      <c r="H20" s="41">
        <v>750</v>
      </c>
      <c r="I20" s="41">
        <v>1150</v>
      </c>
      <c r="J20" s="32" t="s">
        <v>274</v>
      </c>
      <c r="K20" s="34"/>
      <c r="L20" s="34"/>
      <c r="M20" s="34"/>
    </row>
    <row r="21" spans="5:13" ht="14.4" customHeight="1" x14ac:dyDescent="0.3">
      <c r="E21" s="32">
        <f t="shared" si="0"/>
        <v>14</v>
      </c>
      <c r="F21" s="40">
        <v>35</v>
      </c>
      <c r="G21" s="32">
        <v>900</v>
      </c>
      <c r="H21" s="41">
        <v>350</v>
      </c>
      <c r="I21" s="41">
        <v>550</v>
      </c>
      <c r="J21" s="32" t="s">
        <v>275</v>
      </c>
      <c r="K21" s="34"/>
      <c r="L21" s="34"/>
      <c r="M21" s="34"/>
    </row>
    <row r="22" spans="5:13" ht="14.4" customHeight="1" x14ac:dyDescent="0.3">
      <c r="E22" s="32">
        <f t="shared" si="0"/>
        <v>15</v>
      </c>
      <c r="F22" s="40">
        <v>220</v>
      </c>
      <c r="G22" s="37">
        <v>2500</v>
      </c>
      <c r="H22" s="41">
        <v>900</v>
      </c>
      <c r="I22" s="41">
        <v>1400</v>
      </c>
      <c r="J22" s="32" t="s">
        <v>276</v>
      </c>
      <c r="K22" s="34"/>
      <c r="L22" s="34"/>
      <c r="M22" s="34"/>
    </row>
    <row r="23" spans="5:13" ht="14.4" customHeight="1" x14ac:dyDescent="0.3">
      <c r="E23" s="32">
        <f t="shared" si="0"/>
        <v>16</v>
      </c>
      <c r="F23" s="40">
        <v>110</v>
      </c>
      <c r="G23" s="37">
        <v>1100</v>
      </c>
      <c r="H23" s="41">
        <v>450</v>
      </c>
      <c r="I23" s="41">
        <v>700</v>
      </c>
      <c r="J23" s="32" t="s">
        <v>277</v>
      </c>
      <c r="K23" s="34"/>
      <c r="L23" s="34"/>
      <c r="M23" s="34"/>
    </row>
    <row r="24" spans="5:13" ht="14.4" customHeight="1" x14ac:dyDescent="0.3">
      <c r="E24" s="32">
        <f t="shared" si="0"/>
        <v>17</v>
      </c>
      <c r="F24" s="40">
        <v>75</v>
      </c>
      <c r="G24" s="37">
        <v>1300</v>
      </c>
      <c r="H24" s="41">
        <v>500</v>
      </c>
      <c r="I24" s="41">
        <v>750</v>
      </c>
      <c r="J24" s="32" t="s">
        <v>278</v>
      </c>
      <c r="K24" s="34"/>
      <c r="L24" s="34"/>
      <c r="M24" s="34"/>
    </row>
    <row r="25" spans="5:13" ht="14.4" customHeight="1" x14ac:dyDescent="0.3">
      <c r="E25" s="32">
        <f t="shared" si="0"/>
        <v>18</v>
      </c>
      <c r="F25" s="40">
        <v>25</v>
      </c>
      <c r="G25" s="32">
        <v>950</v>
      </c>
      <c r="H25" s="41">
        <v>300</v>
      </c>
      <c r="I25" s="41">
        <v>450</v>
      </c>
      <c r="J25" s="32" t="s">
        <v>279</v>
      </c>
      <c r="K25" s="34"/>
      <c r="L25" s="34"/>
      <c r="M25" s="34"/>
    </row>
    <row r="26" spans="5:13" ht="14.4" customHeight="1" x14ac:dyDescent="0.3">
      <c r="E26" s="32">
        <f t="shared" si="0"/>
        <v>19</v>
      </c>
      <c r="F26" s="40">
        <v>140</v>
      </c>
      <c r="G26" s="37">
        <v>1600</v>
      </c>
      <c r="H26" s="41">
        <v>650</v>
      </c>
      <c r="I26" s="41">
        <v>1000</v>
      </c>
      <c r="J26" s="32" t="s">
        <v>280</v>
      </c>
      <c r="K26" s="34"/>
      <c r="L26" s="34"/>
      <c r="M26" s="34"/>
    </row>
    <row r="27" spans="5:13" ht="14.4" customHeight="1" x14ac:dyDescent="0.3">
      <c r="E27" s="32">
        <f t="shared" si="0"/>
        <v>20</v>
      </c>
      <c r="F27" s="40">
        <v>50</v>
      </c>
      <c r="G27" s="32">
        <v>850</v>
      </c>
      <c r="H27" s="41">
        <v>350</v>
      </c>
      <c r="I27" s="41">
        <v>550</v>
      </c>
      <c r="J27" s="32" t="s">
        <v>281</v>
      </c>
      <c r="K27" s="34"/>
      <c r="L27" s="34"/>
      <c r="M27" s="34"/>
    </row>
    <row r="28" spans="5:13" x14ac:dyDescent="0.3">
      <c r="K28" s="1"/>
      <c r="L28" s="1"/>
      <c r="M28" s="1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410AA-3FB3-4DBD-A4E4-E20EFADEDD8E}">
  <sheetPr codeName="Planilha11">
    <tabColor rgb="FFFFC000"/>
  </sheetPr>
  <dimension ref="A1:AE28"/>
  <sheetViews>
    <sheetView showGridLines="0" zoomScale="55" zoomScaleNormal="55" workbookViewId="0">
      <selection activeCell="C18" sqref="C18"/>
    </sheetView>
  </sheetViews>
  <sheetFormatPr defaultRowHeight="14.4" x14ac:dyDescent="0.3"/>
  <cols>
    <col min="5" max="5" width="4.5546875" bestFit="1" customWidth="1"/>
    <col min="6" max="6" width="24.109375" bestFit="1" customWidth="1"/>
    <col min="7" max="7" width="20.5546875" bestFit="1" customWidth="1"/>
    <col min="8" max="8" width="33.44140625" bestFit="1" customWidth="1"/>
    <col min="9" max="9" width="22" bestFit="1" customWidth="1"/>
    <col min="10" max="10" width="27.109375" bestFit="1" customWidth="1"/>
    <col min="11" max="11" width="31.44140625" bestFit="1" customWidth="1"/>
    <col min="12" max="12" width="23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19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19"/>
      <c r="W2" s="419"/>
      <c r="X2" s="419"/>
      <c r="Y2" s="419"/>
      <c r="Z2" s="419"/>
      <c r="AA2" s="419"/>
      <c r="AB2" s="419"/>
      <c r="AC2" s="419"/>
      <c r="AD2" s="419"/>
      <c r="AE2" s="419"/>
    </row>
    <row r="7" spans="1:31" ht="17.399999999999999" x14ac:dyDescent="0.3">
      <c r="E7" s="35" t="s">
        <v>222</v>
      </c>
      <c r="F7" s="35" t="s">
        <v>257</v>
      </c>
      <c r="G7" s="35" t="s">
        <v>258</v>
      </c>
      <c r="H7" s="35" t="s">
        <v>259</v>
      </c>
      <c r="I7" s="35" t="s">
        <v>260</v>
      </c>
      <c r="J7" s="35" t="s">
        <v>261</v>
      </c>
      <c r="K7" s="33"/>
      <c r="L7" s="33"/>
      <c r="M7" s="33"/>
    </row>
    <row r="8" spans="1:31" ht="14.4" customHeight="1" x14ac:dyDescent="0.3">
      <c r="E8" s="32">
        <v>1</v>
      </c>
      <c r="F8" s="40">
        <v>50</v>
      </c>
      <c r="G8" s="37">
        <v>1000</v>
      </c>
      <c r="H8" s="41">
        <f>F8*G8</f>
        <v>50000</v>
      </c>
      <c r="I8" s="41">
        <f>F8*G8+H8</f>
        <v>100000</v>
      </c>
      <c r="J8" s="32" t="s">
        <v>262</v>
      </c>
      <c r="K8" s="34"/>
      <c r="L8" s="34"/>
      <c r="M8" s="34"/>
    </row>
    <row r="9" spans="1:31" ht="14.4" customHeight="1" x14ac:dyDescent="0.3">
      <c r="E9" s="32">
        <f>E8+1</f>
        <v>2</v>
      </c>
      <c r="F9" s="40">
        <v>120</v>
      </c>
      <c r="G9" s="32">
        <v>800</v>
      </c>
      <c r="H9" s="41">
        <v>400</v>
      </c>
      <c r="I9" s="41">
        <v>600</v>
      </c>
      <c r="J9" s="32" t="s">
        <v>263</v>
      </c>
      <c r="K9" s="34"/>
      <c r="L9" s="34"/>
      <c r="M9" s="34"/>
    </row>
    <row r="10" spans="1:31" ht="14.4" customHeight="1" x14ac:dyDescent="0.3">
      <c r="E10" s="32">
        <f t="shared" ref="E10:E27" si="0">E9+1</f>
        <v>3</v>
      </c>
      <c r="F10" s="40">
        <v>30</v>
      </c>
      <c r="G10" s="32">
        <v>500</v>
      </c>
      <c r="H10" s="41">
        <v>250</v>
      </c>
      <c r="I10" s="41">
        <v>400</v>
      </c>
      <c r="J10" s="32" t="s">
        <v>264</v>
      </c>
      <c r="K10" s="34"/>
      <c r="L10" s="34"/>
      <c r="M10" s="34"/>
    </row>
    <row r="11" spans="1:31" ht="14.4" customHeight="1" x14ac:dyDescent="0.3">
      <c r="E11" s="32">
        <f t="shared" si="0"/>
        <v>4</v>
      </c>
      <c r="F11" s="40">
        <v>200</v>
      </c>
      <c r="G11" s="37">
        <v>1200</v>
      </c>
      <c r="H11" s="41">
        <v>600</v>
      </c>
      <c r="I11" s="41">
        <v>900</v>
      </c>
      <c r="J11" s="32" t="s">
        <v>265</v>
      </c>
      <c r="K11" s="34"/>
      <c r="L11" s="34"/>
      <c r="M11" s="34"/>
    </row>
    <row r="12" spans="1:31" ht="14.4" customHeight="1" x14ac:dyDescent="0.3">
      <c r="E12" s="32">
        <f t="shared" si="0"/>
        <v>5</v>
      </c>
      <c r="F12" s="40">
        <v>15</v>
      </c>
      <c r="G12" s="37">
        <v>2000</v>
      </c>
      <c r="H12" s="41">
        <v>700</v>
      </c>
      <c r="I12" s="41">
        <v>1000</v>
      </c>
      <c r="J12" s="32" t="s">
        <v>266</v>
      </c>
      <c r="K12" s="34"/>
      <c r="L12" s="34"/>
      <c r="M12" s="34"/>
    </row>
    <row r="13" spans="1:31" ht="14.4" customHeight="1" x14ac:dyDescent="0.3">
      <c r="E13" s="32">
        <f t="shared" si="0"/>
        <v>6</v>
      </c>
      <c r="F13" s="40">
        <v>80</v>
      </c>
      <c r="G13" s="37">
        <v>1500</v>
      </c>
      <c r="H13" s="41">
        <v>500</v>
      </c>
      <c r="I13" s="41">
        <v>800</v>
      </c>
      <c r="J13" s="32" t="s">
        <v>267</v>
      </c>
      <c r="K13" s="34"/>
      <c r="L13" s="34"/>
      <c r="M13" s="34"/>
    </row>
    <row r="14" spans="1:31" ht="14.4" customHeight="1" x14ac:dyDescent="0.3">
      <c r="E14" s="32">
        <f t="shared" si="0"/>
        <v>7</v>
      </c>
      <c r="F14" s="40">
        <v>60</v>
      </c>
      <c r="G14" s="32">
        <v>400</v>
      </c>
      <c r="H14" s="41">
        <v>200</v>
      </c>
      <c r="I14" s="41">
        <v>300</v>
      </c>
      <c r="J14" s="32" t="s">
        <v>268</v>
      </c>
      <c r="K14" s="34"/>
      <c r="L14" s="34"/>
      <c r="M14" s="34"/>
    </row>
    <row r="15" spans="1:31" ht="14.4" customHeight="1" x14ac:dyDescent="0.3">
      <c r="E15" s="32">
        <f t="shared" si="0"/>
        <v>8</v>
      </c>
      <c r="F15" s="40">
        <v>180</v>
      </c>
      <c r="G15" s="37">
        <v>2500</v>
      </c>
      <c r="H15" s="41">
        <v>800</v>
      </c>
      <c r="I15" s="41">
        <v>1200</v>
      </c>
      <c r="J15" s="32" t="s">
        <v>269</v>
      </c>
      <c r="K15" s="34"/>
      <c r="L15" s="34"/>
      <c r="M15" s="34"/>
    </row>
    <row r="16" spans="1:31" ht="14.4" customHeight="1" x14ac:dyDescent="0.3">
      <c r="E16" s="32">
        <f t="shared" si="0"/>
        <v>9</v>
      </c>
      <c r="F16" s="40">
        <v>90</v>
      </c>
      <c r="G16" s="37">
        <v>1800</v>
      </c>
      <c r="H16" s="41">
        <v>550</v>
      </c>
      <c r="I16" s="41">
        <v>850</v>
      </c>
      <c r="J16" s="32" t="s">
        <v>270</v>
      </c>
      <c r="K16" s="34"/>
      <c r="L16" s="34"/>
      <c r="M16" s="34"/>
    </row>
    <row r="17" spans="5:13" ht="14.4" customHeight="1" x14ac:dyDescent="0.3">
      <c r="E17" s="32">
        <f t="shared" si="0"/>
        <v>10</v>
      </c>
      <c r="F17" s="40">
        <v>40</v>
      </c>
      <c r="G17" s="32">
        <v>600</v>
      </c>
      <c r="H17" s="41">
        <v>300</v>
      </c>
      <c r="I17" s="41">
        <v>500</v>
      </c>
      <c r="J17" s="32" t="s">
        <v>271</v>
      </c>
      <c r="K17" s="34"/>
      <c r="L17" s="34"/>
      <c r="M17" s="34"/>
    </row>
    <row r="18" spans="5:13" ht="14.4" customHeight="1" x14ac:dyDescent="0.3">
      <c r="E18" s="32">
        <f t="shared" si="0"/>
        <v>11</v>
      </c>
      <c r="F18" s="40">
        <v>150</v>
      </c>
      <c r="G18" s="37">
        <v>1000</v>
      </c>
      <c r="H18" s="41">
        <v>600</v>
      </c>
      <c r="I18" s="41">
        <v>950</v>
      </c>
      <c r="J18" s="32" t="s">
        <v>272</v>
      </c>
      <c r="K18" s="34"/>
      <c r="L18" s="34"/>
      <c r="M18" s="34"/>
    </row>
    <row r="19" spans="5:13" ht="14.4" customHeight="1" x14ac:dyDescent="0.3">
      <c r="E19" s="32">
        <f t="shared" si="0"/>
        <v>12</v>
      </c>
      <c r="F19" s="40">
        <v>20</v>
      </c>
      <c r="G19" s="32">
        <v>700</v>
      </c>
      <c r="H19" s="41">
        <v>250</v>
      </c>
      <c r="I19" s="41">
        <v>400</v>
      </c>
      <c r="J19" s="32" t="s">
        <v>273</v>
      </c>
      <c r="K19" s="34"/>
      <c r="L19" s="34"/>
      <c r="M19" s="34"/>
    </row>
    <row r="20" spans="5:13" ht="14.4" customHeight="1" x14ac:dyDescent="0.3">
      <c r="E20" s="32">
        <f t="shared" si="0"/>
        <v>13</v>
      </c>
      <c r="F20" s="40">
        <v>170</v>
      </c>
      <c r="G20" s="37">
        <v>2000</v>
      </c>
      <c r="H20" s="41">
        <v>750</v>
      </c>
      <c r="I20" s="41">
        <v>1150</v>
      </c>
      <c r="J20" s="32" t="s">
        <v>274</v>
      </c>
      <c r="K20" s="34"/>
      <c r="L20" s="34"/>
      <c r="M20" s="34"/>
    </row>
    <row r="21" spans="5:13" ht="14.4" customHeight="1" x14ac:dyDescent="0.3">
      <c r="E21" s="32">
        <f t="shared" si="0"/>
        <v>14</v>
      </c>
      <c r="F21" s="40">
        <v>35</v>
      </c>
      <c r="G21" s="32">
        <v>900</v>
      </c>
      <c r="H21" s="41">
        <v>350</v>
      </c>
      <c r="I21" s="41">
        <v>550</v>
      </c>
      <c r="J21" s="32" t="s">
        <v>275</v>
      </c>
      <c r="K21" s="34"/>
      <c r="L21" s="34"/>
      <c r="M21" s="34"/>
    </row>
    <row r="22" spans="5:13" ht="14.4" customHeight="1" x14ac:dyDescent="0.3">
      <c r="E22" s="32">
        <f t="shared" si="0"/>
        <v>15</v>
      </c>
      <c r="F22" s="40">
        <v>220</v>
      </c>
      <c r="G22" s="37">
        <v>2500</v>
      </c>
      <c r="H22" s="41">
        <v>900</v>
      </c>
      <c r="I22" s="41">
        <v>1400</v>
      </c>
      <c r="J22" s="32" t="s">
        <v>276</v>
      </c>
      <c r="K22" s="34"/>
      <c r="L22" s="34"/>
      <c r="M22" s="34"/>
    </row>
    <row r="23" spans="5:13" ht="14.4" customHeight="1" x14ac:dyDescent="0.3">
      <c r="E23" s="32">
        <f t="shared" si="0"/>
        <v>16</v>
      </c>
      <c r="F23" s="40">
        <v>110</v>
      </c>
      <c r="G23" s="37">
        <v>1100</v>
      </c>
      <c r="H23" s="41">
        <v>450</v>
      </c>
      <c r="I23" s="41">
        <v>700</v>
      </c>
      <c r="J23" s="32" t="s">
        <v>277</v>
      </c>
      <c r="K23" s="34"/>
      <c r="L23" s="34"/>
      <c r="M23" s="34"/>
    </row>
    <row r="24" spans="5:13" ht="14.4" customHeight="1" x14ac:dyDescent="0.3">
      <c r="E24" s="32">
        <f t="shared" si="0"/>
        <v>17</v>
      </c>
      <c r="F24" s="40">
        <v>75</v>
      </c>
      <c r="G24" s="37">
        <v>1300</v>
      </c>
      <c r="H24" s="41">
        <v>500</v>
      </c>
      <c r="I24" s="41">
        <v>750</v>
      </c>
      <c r="J24" s="32" t="s">
        <v>278</v>
      </c>
      <c r="K24" s="34"/>
      <c r="L24" s="34"/>
      <c r="M24" s="34"/>
    </row>
    <row r="25" spans="5:13" ht="14.4" customHeight="1" x14ac:dyDescent="0.3">
      <c r="E25" s="32">
        <f t="shared" si="0"/>
        <v>18</v>
      </c>
      <c r="F25" s="40">
        <v>25</v>
      </c>
      <c r="G25" s="32">
        <v>950</v>
      </c>
      <c r="H25" s="41">
        <v>300</v>
      </c>
      <c r="I25" s="41">
        <v>450</v>
      </c>
      <c r="J25" s="32" t="s">
        <v>279</v>
      </c>
      <c r="K25" s="34"/>
      <c r="L25" s="34"/>
      <c r="M25" s="34"/>
    </row>
    <row r="26" spans="5:13" ht="14.4" customHeight="1" x14ac:dyDescent="0.3">
      <c r="E26" s="32">
        <f t="shared" si="0"/>
        <v>19</v>
      </c>
      <c r="F26" s="40">
        <v>140</v>
      </c>
      <c r="G26" s="37">
        <v>1600</v>
      </c>
      <c r="H26" s="41">
        <v>650</v>
      </c>
      <c r="I26" s="41">
        <v>1000</v>
      </c>
      <c r="J26" s="32" t="s">
        <v>280</v>
      </c>
      <c r="K26" s="34"/>
      <c r="L26" s="34"/>
      <c r="M26" s="34"/>
    </row>
    <row r="27" spans="5:13" ht="14.4" customHeight="1" x14ac:dyDescent="0.3">
      <c r="E27" s="32">
        <f t="shared" si="0"/>
        <v>20</v>
      </c>
      <c r="F27" s="40">
        <v>50</v>
      </c>
      <c r="G27" s="32">
        <v>850</v>
      </c>
      <c r="H27" s="41">
        <v>350</v>
      </c>
      <c r="I27" s="41">
        <v>550</v>
      </c>
      <c r="J27" s="32" t="s">
        <v>281</v>
      </c>
      <c r="K27" s="34"/>
      <c r="L27" s="34"/>
      <c r="M27" s="34"/>
    </row>
    <row r="28" spans="5:13" x14ac:dyDescent="0.3">
      <c r="K28" s="1"/>
      <c r="L28" s="1"/>
      <c r="M28" s="1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1B1E0-3910-4779-897F-2CFAF1F51E4B}">
  <sheetPr codeName="Planilha12">
    <tabColor rgb="FFFF0000"/>
  </sheetPr>
  <dimension ref="A1:AE24"/>
  <sheetViews>
    <sheetView showGridLines="0" zoomScale="78" zoomScaleNormal="100" workbookViewId="0">
      <selection activeCell="O13" sqref="O13"/>
    </sheetView>
  </sheetViews>
  <sheetFormatPr defaultRowHeight="14.4" x14ac:dyDescent="0.3"/>
  <cols>
    <col min="6" max="6" width="22.5546875" bestFit="1" customWidth="1"/>
    <col min="8" max="8" width="17.44140625" customWidth="1"/>
    <col min="13" max="13" width="22.5546875" bestFit="1" customWidth="1"/>
    <col min="14" max="14" width="9.109375" customWidth="1"/>
    <col min="15" max="15" width="16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19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19"/>
      <c r="W2" s="419"/>
      <c r="X2" s="419"/>
      <c r="Y2" s="419"/>
      <c r="Z2" s="419"/>
      <c r="AA2" s="419"/>
      <c r="AB2" s="419"/>
      <c r="AC2" s="419"/>
      <c r="AD2" s="419"/>
      <c r="AE2" s="419"/>
    </row>
    <row r="3" spans="1:31" ht="14.25" customHeight="1" x14ac:dyDescent="0.3"/>
    <row r="4" spans="1:31" ht="14.25" customHeight="1" x14ac:dyDescent="0.3"/>
    <row r="5" spans="1:31" ht="14.25" customHeight="1" x14ac:dyDescent="0.3"/>
    <row r="6" spans="1:31" ht="14.25" customHeight="1" x14ac:dyDescent="0.3"/>
    <row r="7" spans="1:31" ht="14.25" customHeight="1" x14ac:dyDescent="0.3">
      <c r="E7" s="420" t="s">
        <v>282</v>
      </c>
      <c r="F7" s="421"/>
      <c r="G7" s="421"/>
      <c r="H7" s="421"/>
      <c r="I7" s="422"/>
      <c r="L7" s="420" t="s">
        <v>283</v>
      </c>
      <c r="M7" s="421"/>
      <c r="N7" s="421"/>
      <c r="O7" s="421"/>
      <c r="P7" s="422"/>
    </row>
    <row r="8" spans="1:31" ht="14.25" customHeight="1" x14ac:dyDescent="0.3">
      <c r="E8" s="423"/>
      <c r="F8" s="424"/>
      <c r="G8" s="424"/>
      <c r="H8" s="424"/>
      <c r="I8" s="425"/>
      <c r="L8" s="423"/>
      <c r="M8" s="424"/>
      <c r="N8" s="424"/>
      <c r="O8" s="424"/>
      <c r="P8" s="425"/>
    </row>
    <row r="9" spans="1:31" ht="14.25" customHeight="1" x14ac:dyDescent="0.3">
      <c r="E9" s="426"/>
      <c r="F9" s="427"/>
      <c r="G9" s="427"/>
      <c r="H9" s="427"/>
      <c r="I9" s="428"/>
      <c r="L9" s="423"/>
      <c r="M9" s="424"/>
      <c r="N9" s="424"/>
      <c r="O9" s="424"/>
      <c r="P9" s="425"/>
    </row>
    <row r="10" spans="1:31" ht="14.25" customHeight="1" x14ac:dyDescent="0.55000000000000004">
      <c r="E10" s="60" t="s">
        <v>13</v>
      </c>
      <c r="F10" s="56" t="s">
        <v>13</v>
      </c>
      <c r="G10" s="57" t="s">
        <v>13</v>
      </c>
      <c r="H10" s="57" t="s">
        <v>13</v>
      </c>
      <c r="I10" s="61" t="s">
        <v>13</v>
      </c>
      <c r="L10" s="60" t="s">
        <v>13</v>
      </c>
      <c r="M10" s="56" t="s">
        <v>13</v>
      </c>
      <c r="N10" s="57" t="s">
        <v>13</v>
      </c>
      <c r="O10" s="57" t="s">
        <v>13</v>
      </c>
      <c r="P10" s="61" t="s">
        <v>13</v>
      </c>
    </row>
    <row r="11" spans="1:31" ht="14.25" customHeight="1" x14ac:dyDescent="0.3">
      <c r="E11" s="60" t="s">
        <v>13</v>
      </c>
      <c r="F11" s="252" t="s">
        <v>3</v>
      </c>
      <c r="G11" s="58" t="s">
        <v>13</v>
      </c>
      <c r="H11" s="254" t="s">
        <v>284</v>
      </c>
      <c r="I11" s="62" t="s">
        <v>13</v>
      </c>
      <c r="L11" s="60" t="s">
        <v>13</v>
      </c>
      <c r="M11" s="253" t="s">
        <v>285</v>
      </c>
      <c r="N11" s="58"/>
      <c r="O11" s="378"/>
      <c r="P11" s="62" t="s">
        <v>13</v>
      </c>
    </row>
    <row r="12" spans="1:31" ht="14.25" customHeight="1" x14ac:dyDescent="0.55000000000000004">
      <c r="E12" s="60" t="s">
        <v>13</v>
      </c>
      <c r="F12" s="252" t="s">
        <v>13</v>
      </c>
      <c r="G12" s="57" t="s">
        <v>13</v>
      </c>
      <c r="H12" s="255" t="s">
        <v>13</v>
      </c>
      <c r="I12" s="61" t="s">
        <v>13</v>
      </c>
      <c r="L12" s="60" t="s">
        <v>13</v>
      </c>
      <c r="M12" s="253"/>
      <c r="N12" s="57"/>
      <c r="O12" s="57"/>
      <c r="P12" s="61" t="s">
        <v>13</v>
      </c>
    </row>
    <row r="13" spans="1:31" ht="14.25" customHeight="1" x14ac:dyDescent="0.3">
      <c r="E13" s="60" t="s">
        <v>13</v>
      </c>
      <c r="F13" s="252" t="s">
        <v>4</v>
      </c>
      <c r="G13" s="58" t="s">
        <v>13</v>
      </c>
      <c r="H13" s="254" t="s">
        <v>13</v>
      </c>
      <c r="I13" s="62" t="s">
        <v>13</v>
      </c>
      <c r="L13" s="60" t="s">
        <v>13</v>
      </c>
      <c r="M13" s="253" t="s">
        <v>286</v>
      </c>
      <c r="N13" s="58"/>
      <c r="O13" s="378"/>
      <c r="P13" s="62" t="s">
        <v>13</v>
      </c>
    </row>
    <row r="14" spans="1:31" ht="14.25" customHeight="1" x14ac:dyDescent="0.55000000000000004">
      <c r="E14" s="60" t="s">
        <v>13</v>
      </c>
      <c r="F14" s="252" t="s">
        <v>13</v>
      </c>
      <c r="G14" s="57" t="s">
        <v>13</v>
      </c>
      <c r="H14" s="255" t="s">
        <v>13</v>
      </c>
      <c r="I14" s="61" t="s">
        <v>13</v>
      </c>
      <c r="L14" s="60" t="s">
        <v>13</v>
      </c>
      <c r="M14" s="58"/>
      <c r="N14" s="57"/>
      <c r="O14" s="57"/>
      <c r="P14" s="61" t="s">
        <v>13</v>
      </c>
    </row>
    <row r="15" spans="1:31" ht="14.25" customHeight="1" x14ac:dyDescent="0.3">
      <c r="E15" s="60" t="s">
        <v>13</v>
      </c>
      <c r="F15" s="252" t="s">
        <v>5</v>
      </c>
      <c r="G15" s="58" t="s">
        <v>13</v>
      </c>
      <c r="H15" s="254" t="s">
        <v>13</v>
      </c>
      <c r="I15" s="62" t="s">
        <v>13</v>
      </c>
      <c r="L15" s="60" t="s">
        <v>13</v>
      </c>
      <c r="M15" s="58"/>
      <c r="N15" s="58"/>
      <c r="O15" s="58"/>
      <c r="P15" s="62" t="s">
        <v>13</v>
      </c>
    </row>
    <row r="16" spans="1:31" ht="14.25" customHeight="1" x14ac:dyDescent="0.55000000000000004">
      <c r="E16" s="60" t="s">
        <v>13</v>
      </c>
      <c r="F16" s="252" t="s">
        <v>13</v>
      </c>
      <c r="G16" s="57" t="s">
        <v>13</v>
      </c>
      <c r="H16" s="255" t="s">
        <v>13</v>
      </c>
      <c r="I16" s="61" t="s">
        <v>13</v>
      </c>
      <c r="L16" s="60" t="s">
        <v>13</v>
      </c>
      <c r="M16" s="58"/>
      <c r="N16" s="57"/>
      <c r="O16" s="57"/>
      <c r="P16" s="61" t="s">
        <v>13</v>
      </c>
    </row>
    <row r="17" spans="5:16" ht="14.25" customHeight="1" x14ac:dyDescent="0.55000000000000004">
      <c r="E17" s="60" t="s">
        <v>13</v>
      </c>
      <c r="F17" s="252" t="s">
        <v>6</v>
      </c>
      <c r="G17" s="58" t="s">
        <v>13</v>
      </c>
      <c r="H17" s="254" t="s">
        <v>13</v>
      </c>
      <c r="I17" s="61" t="s">
        <v>13</v>
      </c>
      <c r="L17" s="60" t="s">
        <v>13</v>
      </c>
      <c r="M17" s="58"/>
      <c r="N17" s="58"/>
      <c r="O17" s="58"/>
      <c r="P17" s="61" t="s">
        <v>13</v>
      </c>
    </row>
    <row r="18" spans="5:16" ht="14.25" customHeight="1" x14ac:dyDescent="0.55000000000000004">
      <c r="E18" s="60" t="s">
        <v>13</v>
      </c>
      <c r="F18" s="252" t="s">
        <v>13</v>
      </c>
      <c r="G18" s="58" t="s">
        <v>13</v>
      </c>
      <c r="H18" s="255" t="s">
        <v>13</v>
      </c>
      <c r="I18" s="61" t="s">
        <v>13</v>
      </c>
      <c r="L18" s="60" t="s">
        <v>13</v>
      </c>
      <c r="M18" s="58"/>
      <c r="N18" s="58"/>
      <c r="O18" s="57"/>
      <c r="P18" s="61" t="s">
        <v>13</v>
      </c>
    </row>
    <row r="19" spans="5:16" ht="14.25" customHeight="1" x14ac:dyDescent="0.55000000000000004">
      <c r="E19" s="60" t="s">
        <v>13</v>
      </c>
      <c r="F19" s="252" t="s">
        <v>7</v>
      </c>
      <c r="G19" s="58" t="s">
        <v>13</v>
      </c>
      <c r="H19" s="254" t="s">
        <v>13</v>
      </c>
      <c r="I19" s="61" t="s">
        <v>13</v>
      </c>
      <c r="L19" s="60" t="s">
        <v>13</v>
      </c>
      <c r="M19" s="58"/>
      <c r="N19" s="58"/>
      <c r="O19" s="58"/>
      <c r="P19" s="61" t="s">
        <v>13</v>
      </c>
    </row>
    <row r="20" spans="5:16" ht="14.25" customHeight="1" x14ac:dyDescent="0.55000000000000004">
      <c r="E20" s="60" t="s">
        <v>13</v>
      </c>
      <c r="F20" s="56" t="s">
        <v>13</v>
      </c>
      <c r="G20" s="58" t="s">
        <v>13</v>
      </c>
      <c r="H20" s="57" t="s">
        <v>13</v>
      </c>
      <c r="I20" s="61" t="s">
        <v>13</v>
      </c>
      <c r="L20" s="64" t="s">
        <v>13</v>
      </c>
      <c r="M20" s="72" t="s">
        <v>13</v>
      </c>
      <c r="N20" s="73" t="s">
        <v>13</v>
      </c>
      <c r="O20" s="65" t="s">
        <v>13</v>
      </c>
      <c r="P20" s="74" t="s">
        <v>13</v>
      </c>
    </row>
    <row r="21" spans="5:16" ht="14.25" customHeight="1" x14ac:dyDescent="0.55000000000000004">
      <c r="E21" s="60" t="s">
        <v>13</v>
      </c>
      <c r="F21" s="59" t="s">
        <v>13</v>
      </c>
      <c r="G21" s="58" t="s">
        <v>13</v>
      </c>
      <c r="H21" s="57" t="s">
        <v>13</v>
      </c>
      <c r="I21" s="61" t="s">
        <v>13</v>
      </c>
      <c r="L21" s="71" t="s">
        <v>13</v>
      </c>
      <c r="M21" s="68" t="s">
        <v>13</v>
      </c>
      <c r="N21" s="69" t="s">
        <v>13</v>
      </c>
      <c r="O21" s="70" t="s">
        <v>13</v>
      </c>
      <c r="P21" s="70" t="s">
        <v>13</v>
      </c>
    </row>
    <row r="22" spans="5:16" ht="14.25" customHeight="1" x14ac:dyDescent="0.55000000000000004">
      <c r="E22" s="60" t="s">
        <v>13</v>
      </c>
      <c r="F22" s="57" t="s">
        <v>13</v>
      </c>
      <c r="G22" s="57" t="s">
        <v>13</v>
      </c>
      <c r="H22" s="57" t="s">
        <v>13</v>
      </c>
      <c r="I22" s="63" t="s">
        <v>13</v>
      </c>
      <c r="L22" s="71" t="s">
        <v>13</v>
      </c>
      <c r="M22" s="70" t="s">
        <v>13</v>
      </c>
      <c r="N22" s="70" t="s">
        <v>13</v>
      </c>
      <c r="O22" s="70" t="s">
        <v>13</v>
      </c>
      <c r="P22" s="71" t="s">
        <v>13</v>
      </c>
    </row>
    <row r="23" spans="5:16" ht="14.25" customHeight="1" x14ac:dyDescent="0.55000000000000004">
      <c r="E23" s="60" t="s">
        <v>13</v>
      </c>
      <c r="F23" s="57" t="s">
        <v>13</v>
      </c>
      <c r="G23" s="57" t="s">
        <v>13</v>
      </c>
      <c r="H23" s="57" t="s">
        <v>13</v>
      </c>
      <c r="I23" s="63" t="s">
        <v>13</v>
      </c>
      <c r="L23" s="71" t="s">
        <v>13</v>
      </c>
      <c r="M23" s="70" t="s">
        <v>13</v>
      </c>
      <c r="N23" s="70" t="s">
        <v>13</v>
      </c>
      <c r="O23" s="70" t="s">
        <v>13</v>
      </c>
      <c r="P23" s="71" t="s">
        <v>13</v>
      </c>
    </row>
    <row r="24" spans="5:16" ht="28.8" x14ac:dyDescent="0.55000000000000004">
      <c r="E24" s="64" t="s">
        <v>13</v>
      </c>
      <c r="F24" s="65" t="s">
        <v>13</v>
      </c>
      <c r="G24" s="65" t="s">
        <v>13</v>
      </c>
      <c r="H24" s="65" t="s">
        <v>13</v>
      </c>
      <c r="I24" s="66" t="s">
        <v>13</v>
      </c>
      <c r="L24" s="71" t="s">
        <v>13</v>
      </c>
      <c r="M24" s="70" t="s">
        <v>13</v>
      </c>
      <c r="N24" s="70" t="s">
        <v>13</v>
      </c>
      <c r="O24" s="70" t="s">
        <v>13</v>
      </c>
      <c r="P24" s="71" t="s">
        <v>13</v>
      </c>
    </row>
  </sheetData>
  <mergeCells count="3">
    <mergeCell ref="A2:AE2"/>
    <mergeCell ref="E7:I9"/>
    <mergeCell ref="L7:P9"/>
  </mergeCells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A2E87-838C-47E0-A8FC-1CF32F680492}">
  <sheetPr codeName="Planilha13">
    <tabColor rgb="FFFF0000"/>
  </sheetPr>
  <dimension ref="A1:AE24"/>
  <sheetViews>
    <sheetView showGridLines="0" zoomScale="78" zoomScaleNormal="100" workbookViewId="0">
      <selection activeCell="L20" sqref="L20"/>
    </sheetView>
  </sheetViews>
  <sheetFormatPr defaultRowHeight="14.4" x14ac:dyDescent="0.3"/>
  <cols>
    <col min="6" max="6" width="22.5546875" bestFit="1" customWidth="1"/>
    <col min="8" max="8" width="17.44140625" customWidth="1"/>
    <col min="13" max="13" width="22.5546875" bestFit="1" customWidth="1"/>
    <col min="14" max="14" width="9.109375" customWidth="1"/>
    <col min="15" max="15" width="16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19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19"/>
      <c r="W2" s="419"/>
      <c r="X2" s="419"/>
      <c r="Y2" s="419"/>
      <c r="Z2" s="419"/>
      <c r="AA2" s="419"/>
      <c r="AB2" s="419"/>
      <c r="AC2" s="419"/>
      <c r="AD2" s="419"/>
      <c r="AE2" s="419"/>
    </row>
    <row r="3" spans="1:31" ht="14.25" customHeight="1" x14ac:dyDescent="0.3"/>
    <row r="4" spans="1:31" ht="14.25" customHeight="1" x14ac:dyDescent="0.3"/>
    <row r="5" spans="1:31" ht="14.25" customHeight="1" x14ac:dyDescent="0.3"/>
    <row r="6" spans="1:31" ht="14.25" customHeight="1" x14ac:dyDescent="0.3"/>
    <row r="7" spans="1:31" ht="14.25" customHeight="1" x14ac:dyDescent="0.3">
      <c r="E7" s="420" t="s">
        <v>287</v>
      </c>
      <c r="F7" s="421"/>
      <c r="G7" s="421"/>
      <c r="H7" s="421"/>
      <c r="I7" s="422"/>
      <c r="L7" s="77"/>
      <c r="M7" s="77"/>
      <c r="N7" s="77"/>
      <c r="O7" s="77"/>
      <c r="P7" s="77"/>
    </row>
    <row r="8" spans="1:31" ht="14.25" customHeight="1" x14ac:dyDescent="0.3">
      <c r="E8" s="423"/>
      <c r="F8" s="424"/>
      <c r="G8" s="424"/>
      <c r="H8" s="424"/>
      <c r="I8" s="425"/>
      <c r="L8" s="77"/>
      <c r="M8" s="77"/>
      <c r="N8" s="77"/>
      <c r="O8" s="77"/>
      <c r="P8" s="77"/>
    </row>
    <row r="9" spans="1:31" ht="14.25" customHeight="1" x14ac:dyDescent="0.3">
      <c r="E9" s="426"/>
      <c r="F9" s="427"/>
      <c r="G9" s="427"/>
      <c r="H9" s="427"/>
      <c r="I9" s="428"/>
      <c r="L9" s="77"/>
      <c r="M9" s="77"/>
      <c r="N9" s="77"/>
      <c r="O9" s="77"/>
      <c r="P9" s="77"/>
    </row>
    <row r="10" spans="1:31" ht="14.25" customHeight="1" x14ac:dyDescent="0.55000000000000004">
      <c r="E10" s="60" t="s">
        <v>13</v>
      </c>
      <c r="F10" s="56" t="s">
        <v>13</v>
      </c>
      <c r="G10" s="57" t="s">
        <v>13</v>
      </c>
      <c r="H10" s="57" t="s">
        <v>13</v>
      </c>
      <c r="I10" s="61" t="s">
        <v>13</v>
      </c>
      <c r="L10" s="71"/>
      <c r="M10" s="75"/>
      <c r="N10" s="70"/>
      <c r="O10" s="70"/>
      <c r="P10" s="70"/>
    </row>
    <row r="11" spans="1:31" ht="14.25" customHeight="1" x14ac:dyDescent="0.3">
      <c r="E11" s="60" t="s">
        <v>13</v>
      </c>
      <c r="F11" s="253" t="s">
        <v>3</v>
      </c>
      <c r="G11" s="58" t="s">
        <v>13</v>
      </c>
      <c r="H11" s="67" t="s">
        <v>284</v>
      </c>
      <c r="I11" s="62" t="s">
        <v>13</v>
      </c>
      <c r="L11" s="71"/>
      <c r="M11" s="69"/>
      <c r="N11" s="69"/>
      <c r="O11" s="76"/>
      <c r="P11" s="69"/>
    </row>
    <row r="12" spans="1:31" ht="14.25" customHeight="1" x14ac:dyDescent="0.55000000000000004">
      <c r="E12" s="60" t="s">
        <v>13</v>
      </c>
      <c r="F12" s="253" t="s">
        <v>13</v>
      </c>
      <c r="G12" s="57" t="s">
        <v>13</v>
      </c>
      <c r="H12" s="256" t="s">
        <v>13</v>
      </c>
      <c r="I12" s="61" t="s">
        <v>13</v>
      </c>
      <c r="L12" s="71"/>
      <c r="M12" s="69"/>
      <c r="N12" s="70"/>
      <c r="O12" s="70"/>
      <c r="P12" s="70"/>
    </row>
    <row r="13" spans="1:31" ht="14.25" customHeight="1" x14ac:dyDescent="0.3">
      <c r="E13" s="60" t="s">
        <v>13</v>
      </c>
      <c r="F13" s="253" t="s">
        <v>4</v>
      </c>
      <c r="G13" s="58" t="s">
        <v>13</v>
      </c>
      <c r="H13" s="67" t="s">
        <v>13</v>
      </c>
      <c r="I13" s="62" t="s">
        <v>13</v>
      </c>
      <c r="L13" s="71"/>
      <c r="M13" s="69"/>
      <c r="N13" s="69"/>
      <c r="O13" s="76"/>
      <c r="P13" s="69"/>
    </row>
    <row r="14" spans="1:31" ht="14.25" customHeight="1" x14ac:dyDescent="0.55000000000000004">
      <c r="E14" s="60" t="s">
        <v>13</v>
      </c>
      <c r="F14" s="253" t="s">
        <v>13</v>
      </c>
      <c r="G14" s="57" t="s">
        <v>13</v>
      </c>
      <c r="H14" s="256" t="s">
        <v>13</v>
      </c>
      <c r="I14" s="61" t="s">
        <v>13</v>
      </c>
      <c r="L14" s="71"/>
      <c r="M14" s="69"/>
      <c r="N14" s="70"/>
      <c r="O14" s="70"/>
      <c r="P14" s="70"/>
    </row>
    <row r="15" spans="1:31" ht="14.25" customHeight="1" x14ac:dyDescent="0.3">
      <c r="E15" s="60" t="s">
        <v>13</v>
      </c>
      <c r="F15" s="253" t="s">
        <v>5</v>
      </c>
      <c r="G15" s="58" t="s">
        <v>13</v>
      </c>
      <c r="H15" s="67" t="s">
        <v>13</v>
      </c>
      <c r="I15" s="62" t="s">
        <v>13</v>
      </c>
      <c r="L15" s="71"/>
      <c r="M15" s="69"/>
      <c r="N15" s="69"/>
      <c r="O15" s="69"/>
      <c r="P15" s="69"/>
    </row>
    <row r="16" spans="1:31" ht="14.25" customHeight="1" x14ac:dyDescent="0.55000000000000004">
      <c r="E16" s="60" t="s">
        <v>13</v>
      </c>
      <c r="F16" s="253" t="s">
        <v>13</v>
      </c>
      <c r="G16" s="57" t="s">
        <v>13</v>
      </c>
      <c r="H16" s="256" t="s">
        <v>13</v>
      </c>
      <c r="I16" s="61" t="s">
        <v>13</v>
      </c>
      <c r="L16" s="71"/>
      <c r="M16" s="69"/>
      <c r="N16" s="70"/>
      <c r="O16" s="70"/>
      <c r="P16" s="70"/>
    </row>
    <row r="17" spans="5:16" ht="14.25" customHeight="1" x14ac:dyDescent="0.55000000000000004">
      <c r="E17" s="60" t="s">
        <v>13</v>
      </c>
      <c r="F17" s="252" t="s">
        <v>6</v>
      </c>
      <c r="G17" s="58" t="s">
        <v>13</v>
      </c>
      <c r="H17" s="67" t="s">
        <v>13</v>
      </c>
      <c r="I17" s="61" t="s">
        <v>13</v>
      </c>
      <c r="L17" s="71"/>
      <c r="M17" s="69"/>
      <c r="N17" s="69"/>
      <c r="O17" s="69"/>
      <c r="P17" s="70"/>
    </row>
    <row r="18" spans="5:16" ht="14.25" customHeight="1" x14ac:dyDescent="0.55000000000000004">
      <c r="E18" s="60" t="s">
        <v>13</v>
      </c>
      <c r="F18" s="253" t="s">
        <v>13</v>
      </c>
      <c r="G18" s="58" t="s">
        <v>13</v>
      </c>
      <c r="H18" s="256" t="s">
        <v>13</v>
      </c>
      <c r="I18" s="61" t="s">
        <v>13</v>
      </c>
      <c r="L18" s="71"/>
      <c r="M18" s="69"/>
      <c r="N18" s="69"/>
      <c r="O18" s="70"/>
      <c r="P18" s="70"/>
    </row>
    <row r="19" spans="5:16" ht="14.25" customHeight="1" x14ac:dyDescent="0.55000000000000004">
      <c r="E19" s="60" t="s">
        <v>13</v>
      </c>
      <c r="F19" s="252" t="s">
        <v>7</v>
      </c>
      <c r="G19" s="58" t="s">
        <v>13</v>
      </c>
      <c r="H19" s="67" t="s">
        <v>13</v>
      </c>
      <c r="I19" s="61" t="s">
        <v>13</v>
      </c>
      <c r="L19" s="71"/>
      <c r="M19" s="69"/>
      <c r="N19" s="69"/>
      <c r="O19" s="69"/>
      <c r="P19" s="70"/>
    </row>
    <row r="20" spans="5:16" ht="14.25" customHeight="1" x14ac:dyDescent="0.55000000000000004">
      <c r="E20" s="60" t="s">
        <v>13</v>
      </c>
      <c r="F20" s="56" t="s">
        <v>13</v>
      </c>
      <c r="G20" s="58" t="s">
        <v>13</v>
      </c>
      <c r="H20" s="256" t="s">
        <v>13</v>
      </c>
      <c r="I20" s="61" t="s">
        <v>13</v>
      </c>
      <c r="L20" s="71"/>
      <c r="M20" s="75"/>
      <c r="N20" s="69"/>
      <c r="O20" s="70"/>
      <c r="P20" s="70"/>
    </row>
    <row r="21" spans="5:16" ht="14.25" customHeight="1" x14ac:dyDescent="0.55000000000000004">
      <c r="E21" s="60" t="s">
        <v>13</v>
      </c>
      <c r="F21" s="59" t="s">
        <v>13</v>
      </c>
      <c r="G21" s="58" t="s">
        <v>13</v>
      </c>
      <c r="H21" s="57" t="s">
        <v>13</v>
      </c>
      <c r="I21" s="61" t="s">
        <v>13</v>
      </c>
      <c r="L21" s="71" t="s">
        <v>13</v>
      </c>
      <c r="M21" s="68" t="s">
        <v>13</v>
      </c>
      <c r="N21" s="69" t="s">
        <v>13</v>
      </c>
      <c r="O21" s="70" t="s">
        <v>13</v>
      </c>
      <c r="P21" s="70" t="s">
        <v>13</v>
      </c>
    </row>
    <row r="22" spans="5:16" ht="14.25" customHeight="1" x14ac:dyDescent="0.55000000000000004">
      <c r="E22" s="60" t="s">
        <v>13</v>
      </c>
      <c r="F22" s="57" t="s">
        <v>13</v>
      </c>
      <c r="G22" s="57" t="s">
        <v>13</v>
      </c>
      <c r="H22" s="57" t="s">
        <v>13</v>
      </c>
      <c r="I22" s="63" t="s">
        <v>13</v>
      </c>
      <c r="L22" s="71" t="s">
        <v>13</v>
      </c>
      <c r="M22" s="70" t="s">
        <v>13</v>
      </c>
      <c r="N22" s="70" t="s">
        <v>13</v>
      </c>
      <c r="O22" s="70" t="s">
        <v>13</v>
      </c>
      <c r="P22" s="71" t="s">
        <v>13</v>
      </c>
    </row>
    <row r="23" spans="5:16" ht="14.25" customHeight="1" x14ac:dyDescent="0.55000000000000004">
      <c r="E23" s="60" t="s">
        <v>13</v>
      </c>
      <c r="F23" s="57" t="s">
        <v>13</v>
      </c>
      <c r="G23" s="57" t="s">
        <v>13</v>
      </c>
      <c r="H23" s="57" t="s">
        <v>13</v>
      </c>
      <c r="I23" s="63" t="s">
        <v>13</v>
      </c>
      <c r="L23" s="71" t="s">
        <v>13</v>
      </c>
      <c r="M23" s="70" t="s">
        <v>13</v>
      </c>
      <c r="N23" s="70" t="s">
        <v>13</v>
      </c>
      <c r="O23" s="70" t="s">
        <v>13</v>
      </c>
      <c r="P23" s="71" t="s">
        <v>13</v>
      </c>
    </row>
    <row r="24" spans="5:16" ht="28.8" x14ac:dyDescent="0.55000000000000004">
      <c r="E24" s="64" t="s">
        <v>13</v>
      </c>
      <c r="F24" s="65" t="s">
        <v>13</v>
      </c>
      <c r="G24" s="65" t="s">
        <v>13</v>
      </c>
      <c r="H24" s="65" t="s">
        <v>13</v>
      </c>
      <c r="I24" s="66" t="s">
        <v>13</v>
      </c>
      <c r="L24" s="71" t="s">
        <v>13</v>
      </c>
      <c r="M24" s="70" t="s">
        <v>13</v>
      </c>
      <c r="N24" s="70" t="s">
        <v>13</v>
      </c>
      <c r="O24" s="70" t="s">
        <v>13</v>
      </c>
      <c r="P24" s="71" t="s">
        <v>13</v>
      </c>
    </row>
  </sheetData>
  <mergeCells count="2">
    <mergeCell ref="A2:AE2"/>
    <mergeCell ref="E7:I9"/>
  </mergeCells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88803-C8BB-4817-B700-5F2BF2730A8E}">
  <sheetPr codeName="Planilha14">
    <tabColor rgb="FF00B050"/>
  </sheetPr>
  <dimension ref="A1:AE17"/>
  <sheetViews>
    <sheetView showGridLines="0" zoomScale="70" zoomScaleNormal="70" workbookViewId="0">
      <selection activeCell="H26" sqref="H26"/>
    </sheetView>
  </sheetViews>
  <sheetFormatPr defaultRowHeight="14.4" x14ac:dyDescent="0.3"/>
  <cols>
    <col min="6" max="6" width="66.77734375" customWidth="1"/>
    <col min="7" max="7" width="2.6640625" bestFit="1" customWidth="1"/>
    <col min="8" max="8" width="25.44140625" customWidth="1"/>
    <col min="9" max="9" width="8.88671875" customWidth="1"/>
    <col min="12" max="12" width="8.8867187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19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19"/>
      <c r="W2" s="419"/>
      <c r="X2" s="419"/>
      <c r="Y2" s="419"/>
      <c r="Z2" s="419"/>
      <c r="AA2" s="419"/>
      <c r="AB2" s="419"/>
      <c r="AC2" s="419"/>
      <c r="AD2" s="419"/>
      <c r="AE2" s="419"/>
    </row>
    <row r="6" spans="1:31" ht="15" thickBot="1" x14ac:dyDescent="0.35"/>
    <row r="7" spans="1:31" ht="15" customHeight="1" x14ac:dyDescent="0.3">
      <c r="E7" s="407" t="s">
        <v>288</v>
      </c>
      <c r="F7" s="408"/>
      <c r="G7" s="408"/>
      <c r="H7" s="408"/>
      <c r="I7" s="408"/>
      <c r="J7" s="409"/>
      <c r="K7" s="83"/>
    </row>
    <row r="8" spans="1:31" ht="15" customHeight="1" x14ac:dyDescent="0.3">
      <c r="E8" s="410"/>
      <c r="F8" s="429"/>
      <c r="G8" s="429"/>
      <c r="H8" s="429"/>
      <c r="I8" s="429"/>
      <c r="J8" s="412"/>
      <c r="K8" s="83"/>
    </row>
    <row r="9" spans="1:31" ht="15" customHeight="1" thickBot="1" x14ac:dyDescent="0.35">
      <c r="E9" s="430"/>
      <c r="F9" s="431"/>
      <c r="G9" s="431"/>
      <c r="H9" s="431"/>
      <c r="I9" s="431"/>
      <c r="J9" s="432"/>
      <c r="K9" s="83"/>
    </row>
    <row r="10" spans="1:31" ht="15" customHeight="1" x14ac:dyDescent="0.55000000000000004">
      <c r="E10" s="17" t="s">
        <v>13</v>
      </c>
      <c r="F10" s="85" t="s">
        <v>13</v>
      </c>
      <c r="G10" s="85" t="s">
        <v>13</v>
      </c>
      <c r="H10" s="85" t="s">
        <v>13</v>
      </c>
      <c r="I10" s="85" t="s">
        <v>13</v>
      </c>
      <c r="J10" s="13" t="s">
        <v>13</v>
      </c>
      <c r="K10" s="84" t="s">
        <v>13</v>
      </c>
    </row>
    <row r="11" spans="1:31" ht="15" customHeight="1" x14ac:dyDescent="0.55000000000000004">
      <c r="E11" s="17" t="s">
        <v>13</v>
      </c>
      <c r="F11" s="86" t="s">
        <v>289</v>
      </c>
      <c r="G11" s="86"/>
      <c r="H11" s="92"/>
      <c r="I11" s="86"/>
      <c r="J11" s="87"/>
      <c r="K11" s="84" t="s">
        <v>13</v>
      </c>
    </row>
    <row r="12" spans="1:31" ht="15" customHeight="1" x14ac:dyDescent="0.55000000000000004">
      <c r="E12" s="17" t="s">
        <v>13</v>
      </c>
      <c r="F12" s="85" t="s">
        <v>13</v>
      </c>
      <c r="G12" s="85" t="s">
        <v>13</v>
      </c>
      <c r="H12" s="85" t="s">
        <v>13</v>
      </c>
      <c r="I12" s="85" t="s">
        <v>13</v>
      </c>
      <c r="J12" s="13" t="s">
        <v>13</v>
      </c>
      <c r="K12" s="84" t="s">
        <v>13</v>
      </c>
    </row>
    <row r="13" spans="1:31" ht="15" customHeight="1" x14ac:dyDescent="0.55000000000000004">
      <c r="E13" s="17" t="s">
        <v>13</v>
      </c>
      <c r="F13" s="88" t="s">
        <v>290</v>
      </c>
      <c r="G13" s="89"/>
      <c r="H13" s="91" t="s">
        <v>13</v>
      </c>
      <c r="I13" s="85" t="s">
        <v>13</v>
      </c>
      <c r="J13" s="87"/>
      <c r="K13" s="84" t="s">
        <v>13</v>
      </c>
    </row>
    <row r="14" spans="1:31" ht="15" customHeight="1" x14ac:dyDescent="0.55000000000000004">
      <c r="E14" s="17" t="s">
        <v>13</v>
      </c>
      <c r="F14" s="85" t="s">
        <v>13</v>
      </c>
      <c r="G14" s="85" t="s">
        <v>13</v>
      </c>
      <c r="H14" s="85" t="s">
        <v>13</v>
      </c>
      <c r="I14" s="85" t="s">
        <v>13</v>
      </c>
      <c r="J14" s="13" t="s">
        <v>13</v>
      </c>
      <c r="K14" s="84" t="s">
        <v>13</v>
      </c>
    </row>
    <row r="15" spans="1:31" ht="15" customHeight="1" x14ac:dyDescent="0.55000000000000004">
      <c r="E15" s="17" t="s">
        <v>13</v>
      </c>
      <c r="F15" s="85" t="s">
        <v>13</v>
      </c>
      <c r="G15" s="85" t="s">
        <v>13</v>
      </c>
      <c r="H15" s="85" t="s">
        <v>13</v>
      </c>
      <c r="I15" s="85" t="s">
        <v>13</v>
      </c>
      <c r="J15" s="13" t="s">
        <v>13</v>
      </c>
      <c r="K15" s="84" t="s">
        <v>13</v>
      </c>
    </row>
    <row r="16" spans="1:31" ht="28.8" x14ac:dyDescent="0.55000000000000004">
      <c r="E16" s="17" t="s">
        <v>13</v>
      </c>
      <c r="F16" s="85" t="s">
        <v>13</v>
      </c>
      <c r="G16" s="85" t="s">
        <v>13</v>
      </c>
      <c r="H16" s="85" t="s">
        <v>13</v>
      </c>
      <c r="I16" s="85" t="s">
        <v>13</v>
      </c>
      <c r="J16" s="13" t="s">
        <v>13</v>
      </c>
    </row>
    <row r="17" spans="5:10" ht="29.4" thickBot="1" x14ac:dyDescent="0.6">
      <c r="E17" s="20" t="s">
        <v>13</v>
      </c>
      <c r="F17" s="21" t="s">
        <v>13</v>
      </c>
      <c r="G17" s="21" t="s">
        <v>13</v>
      </c>
      <c r="H17" s="21" t="s">
        <v>13</v>
      </c>
      <c r="I17" s="21" t="s">
        <v>13</v>
      </c>
      <c r="J17" s="16" t="s">
        <v>13</v>
      </c>
    </row>
  </sheetData>
  <mergeCells count="2">
    <mergeCell ref="A2:AE2"/>
    <mergeCell ref="E7:J9"/>
  </mergeCells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D8804-732A-49B3-9567-D1C463F62549}">
  <sheetPr codeName="Planilha15">
    <tabColor rgb="FF00B050"/>
  </sheetPr>
  <dimension ref="A1:AE40"/>
  <sheetViews>
    <sheetView showGridLines="0" zoomScale="70" zoomScaleNormal="70" workbookViewId="0">
      <selection activeCell="I16" sqref="I16"/>
    </sheetView>
  </sheetViews>
  <sheetFormatPr defaultRowHeight="14.4" x14ac:dyDescent="0.3"/>
  <cols>
    <col min="6" max="6" width="30.5546875" customWidth="1"/>
    <col min="7" max="7" width="8.88671875" customWidth="1"/>
    <col min="8" max="8" width="27.77734375" customWidth="1"/>
    <col min="9" max="9" width="8.88671875" customWidth="1"/>
    <col min="12" max="12" width="8.8867187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19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19"/>
      <c r="W2" s="419"/>
      <c r="X2" s="419"/>
      <c r="Y2" s="419"/>
      <c r="Z2" s="419"/>
      <c r="AA2" s="419"/>
      <c r="AB2" s="419"/>
      <c r="AC2" s="419"/>
      <c r="AD2" s="419"/>
      <c r="AE2" s="419"/>
    </row>
    <row r="6" spans="1:31" ht="15" thickBot="1" x14ac:dyDescent="0.35"/>
    <row r="7" spans="1:31" ht="15" customHeight="1" x14ac:dyDescent="0.3">
      <c r="E7" s="433" t="s">
        <v>291</v>
      </c>
      <c r="F7" s="434"/>
      <c r="G7" s="434"/>
      <c r="H7" s="434"/>
      <c r="I7" s="435"/>
      <c r="J7" s="83"/>
      <c r="K7" s="83"/>
    </row>
    <row r="8" spans="1:31" ht="15" customHeight="1" x14ac:dyDescent="0.3">
      <c r="E8" s="436"/>
      <c r="F8" s="437"/>
      <c r="G8" s="437"/>
      <c r="H8" s="437"/>
      <c r="I8" s="438"/>
      <c r="J8" s="83"/>
      <c r="K8" s="83"/>
    </row>
    <row r="9" spans="1:31" ht="15" customHeight="1" thickBot="1" x14ac:dyDescent="0.35">
      <c r="E9" s="8"/>
      <c r="F9" s="98"/>
      <c r="G9" s="98"/>
      <c r="H9" s="98"/>
      <c r="I9" s="101"/>
      <c r="J9" s="83"/>
      <c r="K9" s="83"/>
    </row>
    <row r="10" spans="1:31" ht="15" customHeight="1" thickBot="1" x14ac:dyDescent="0.6">
      <c r="E10" s="8"/>
      <c r="F10" s="99" t="s">
        <v>292</v>
      </c>
      <c r="G10" s="98"/>
      <c r="H10" s="96"/>
      <c r="I10" s="101"/>
      <c r="J10" s="84"/>
      <c r="K10" s="84" t="s">
        <v>13</v>
      </c>
    </row>
    <row r="11" spans="1:31" ht="15" customHeight="1" thickBot="1" x14ac:dyDescent="0.6">
      <c r="E11" s="8"/>
      <c r="F11" s="99"/>
      <c r="G11" s="98"/>
      <c r="H11" s="98"/>
      <c r="I11" s="101"/>
      <c r="J11" s="95"/>
      <c r="K11" s="84" t="s">
        <v>13</v>
      </c>
    </row>
    <row r="12" spans="1:31" ht="15" customHeight="1" thickBot="1" x14ac:dyDescent="0.6">
      <c r="E12" s="8"/>
      <c r="F12" s="99" t="s">
        <v>293</v>
      </c>
      <c r="G12" s="98"/>
      <c r="H12" s="96"/>
      <c r="I12" s="101"/>
      <c r="J12" s="84"/>
      <c r="K12" s="84" t="s">
        <v>13</v>
      </c>
    </row>
    <row r="13" spans="1:31" ht="15" customHeight="1" thickBot="1" x14ac:dyDescent="0.6">
      <c r="E13" s="8"/>
      <c r="F13" s="99"/>
      <c r="G13" s="98"/>
      <c r="H13" s="98"/>
      <c r="I13" s="101"/>
      <c r="J13" s="95"/>
      <c r="K13" s="84" t="s">
        <v>13</v>
      </c>
    </row>
    <row r="14" spans="1:31" ht="15" customHeight="1" thickBot="1" x14ac:dyDescent="0.6">
      <c r="E14" s="8"/>
      <c r="F14" s="99" t="s">
        <v>294</v>
      </c>
      <c r="G14" s="98"/>
      <c r="H14" s="96"/>
      <c r="I14" s="101"/>
      <c r="J14" s="84"/>
      <c r="K14" s="84" t="s">
        <v>13</v>
      </c>
    </row>
    <row r="15" spans="1:31" ht="15" customHeight="1" thickBot="1" x14ac:dyDescent="0.6">
      <c r="E15" s="8"/>
      <c r="F15" s="99"/>
      <c r="G15" s="98"/>
      <c r="H15" s="98"/>
      <c r="I15" s="101"/>
      <c r="J15" s="84"/>
      <c r="K15" s="84" t="s">
        <v>13</v>
      </c>
    </row>
    <row r="16" spans="1:31" ht="15" customHeight="1" thickBot="1" x14ac:dyDescent="0.6">
      <c r="E16" s="8"/>
      <c r="F16" s="99" t="s">
        <v>295</v>
      </c>
      <c r="G16" s="98"/>
      <c r="H16" s="96"/>
      <c r="I16" s="101"/>
      <c r="J16" s="84"/>
    </row>
    <row r="17" spans="5:10" ht="15" customHeight="1" thickBot="1" x14ac:dyDescent="0.6">
      <c r="E17" s="8"/>
      <c r="F17" s="99"/>
      <c r="G17" s="98"/>
      <c r="H17" s="98"/>
      <c r="I17" s="101"/>
      <c r="J17" s="84"/>
    </row>
    <row r="18" spans="5:10" ht="15" customHeight="1" thickBot="1" x14ac:dyDescent="0.35">
      <c r="E18" s="8"/>
      <c r="F18" s="99" t="s">
        <v>296</v>
      </c>
      <c r="G18" s="98"/>
      <c r="H18" s="96"/>
      <c r="I18" s="101"/>
    </row>
    <row r="19" spans="5:10" ht="15" customHeight="1" thickBot="1" x14ac:dyDescent="0.35">
      <c r="E19" s="8"/>
      <c r="F19" s="99"/>
      <c r="G19" s="98"/>
      <c r="H19" s="98"/>
      <c r="I19" s="101"/>
    </row>
    <row r="20" spans="5:10" ht="15" customHeight="1" thickBot="1" x14ac:dyDescent="0.35">
      <c r="E20" s="8"/>
      <c r="F20" s="99" t="s">
        <v>297</v>
      </c>
      <c r="G20" s="98"/>
      <c r="H20" s="96"/>
      <c r="I20" s="101"/>
    </row>
    <row r="21" spans="5:10" ht="15" customHeight="1" thickBot="1" x14ac:dyDescent="0.35">
      <c r="E21" s="8"/>
      <c r="F21" s="99"/>
      <c r="G21" s="98"/>
      <c r="H21" s="98"/>
      <c r="I21" s="101"/>
    </row>
    <row r="22" spans="5:10" ht="15" customHeight="1" thickBot="1" x14ac:dyDescent="0.35">
      <c r="E22" s="8"/>
      <c r="F22" s="99" t="s">
        <v>298</v>
      </c>
      <c r="G22" s="98"/>
      <c r="H22" s="96"/>
      <c r="I22" s="101"/>
    </row>
    <row r="23" spans="5:10" ht="15" customHeight="1" thickBot="1" x14ac:dyDescent="0.35">
      <c r="E23" s="8"/>
      <c r="F23" s="99"/>
      <c r="G23" s="98"/>
      <c r="H23" s="98"/>
      <c r="I23" s="101"/>
    </row>
    <row r="24" spans="5:10" ht="15" customHeight="1" thickBot="1" x14ac:dyDescent="0.35">
      <c r="E24" s="8"/>
      <c r="F24" s="99" t="s">
        <v>299</v>
      </c>
      <c r="G24" s="98"/>
      <c r="H24" s="96"/>
      <c r="I24" s="101"/>
    </row>
    <row r="25" spans="5:10" ht="15" customHeight="1" thickBot="1" x14ac:dyDescent="0.35">
      <c r="E25" s="8"/>
      <c r="F25" s="99"/>
      <c r="G25" s="98"/>
      <c r="H25" s="98"/>
      <c r="I25" s="101"/>
    </row>
    <row r="26" spans="5:10" ht="15" customHeight="1" thickBot="1" x14ac:dyDescent="0.35">
      <c r="E26" s="8"/>
      <c r="F26" s="99" t="s">
        <v>300</v>
      </c>
      <c r="G26" s="98"/>
      <c r="H26" s="96"/>
      <c r="I26" s="101"/>
    </row>
    <row r="27" spans="5:10" ht="15" customHeight="1" thickBot="1" x14ac:dyDescent="0.35">
      <c r="E27" s="8"/>
      <c r="F27" s="100"/>
      <c r="G27" s="98"/>
      <c r="H27" s="98"/>
      <c r="I27" s="101"/>
    </row>
    <row r="28" spans="5:10" ht="15" customHeight="1" thickBot="1" x14ac:dyDescent="0.35">
      <c r="E28" s="8"/>
      <c r="F28" s="99" t="s">
        <v>301</v>
      </c>
      <c r="G28" s="98"/>
      <c r="H28" s="96"/>
      <c r="I28" s="101"/>
    </row>
    <row r="29" spans="5:10" ht="15" customHeight="1" thickBot="1" x14ac:dyDescent="0.35">
      <c r="E29" s="8"/>
      <c r="F29" s="100"/>
      <c r="G29" s="98"/>
      <c r="H29" s="98"/>
      <c r="I29" s="101"/>
    </row>
    <row r="30" spans="5:10" ht="15" customHeight="1" thickBot="1" x14ac:dyDescent="0.35">
      <c r="E30" s="8"/>
      <c r="F30" s="99" t="s">
        <v>302</v>
      </c>
      <c r="G30" s="98"/>
      <c r="H30" s="97"/>
      <c r="I30" s="101"/>
    </row>
    <row r="31" spans="5:10" ht="15" customHeight="1" thickBot="1" x14ac:dyDescent="0.35">
      <c r="E31" s="8"/>
      <c r="F31" s="100"/>
      <c r="G31" s="98"/>
      <c r="H31" s="98"/>
      <c r="I31" s="101"/>
    </row>
    <row r="32" spans="5:10" ht="15" customHeight="1" thickBot="1" x14ac:dyDescent="0.35">
      <c r="E32" s="8"/>
      <c r="F32" s="99" t="s">
        <v>303</v>
      </c>
      <c r="G32" s="98"/>
      <c r="H32" s="105" t="s">
        <v>305</v>
      </c>
      <c r="I32" s="101"/>
    </row>
    <row r="33" spans="5:9" ht="15" customHeight="1" thickBot="1" x14ac:dyDescent="0.35">
      <c r="E33" s="8"/>
      <c r="F33" s="100"/>
      <c r="G33" s="98"/>
      <c r="H33" s="98"/>
      <c r="I33" s="101"/>
    </row>
    <row r="34" spans="5:9" ht="15" customHeight="1" thickBot="1" x14ac:dyDescent="0.35">
      <c r="E34" s="8"/>
      <c r="F34" s="99" t="s">
        <v>304</v>
      </c>
      <c r="G34" s="98"/>
      <c r="H34" s="96"/>
      <c r="I34" s="101"/>
    </row>
    <row r="35" spans="5:9" ht="15" customHeight="1" x14ac:dyDescent="0.3">
      <c r="E35" s="8"/>
      <c r="F35" s="98"/>
      <c r="G35" s="98"/>
      <c r="H35" s="98"/>
      <c r="I35" s="101"/>
    </row>
    <row r="36" spans="5:9" ht="15" customHeight="1" x14ac:dyDescent="0.3">
      <c r="E36" s="8"/>
      <c r="F36" s="98"/>
      <c r="G36" s="98"/>
      <c r="H36" s="98"/>
      <c r="I36" s="101"/>
    </row>
    <row r="37" spans="5:9" x14ac:dyDescent="0.3">
      <c r="E37" s="8"/>
      <c r="F37" s="98"/>
      <c r="G37" s="98"/>
      <c r="H37" s="98"/>
      <c r="I37" s="101"/>
    </row>
    <row r="38" spans="5:9" x14ac:dyDescent="0.3">
      <c r="E38" s="8"/>
      <c r="F38" s="98"/>
      <c r="G38" s="98"/>
      <c r="H38" s="98"/>
      <c r="I38" s="101"/>
    </row>
    <row r="39" spans="5:9" x14ac:dyDescent="0.3">
      <c r="E39" s="8"/>
      <c r="F39" s="98"/>
      <c r="G39" s="98"/>
      <c r="H39" s="98"/>
      <c r="I39" s="101"/>
    </row>
    <row r="40" spans="5:9" ht="15" thickBot="1" x14ac:dyDescent="0.35">
      <c r="E40" s="102"/>
      <c r="F40" s="103"/>
      <c r="G40" s="103"/>
      <c r="H40" s="103"/>
      <c r="I40" s="104"/>
    </row>
  </sheetData>
  <mergeCells count="2">
    <mergeCell ref="A2:AE2"/>
    <mergeCell ref="E7:I8"/>
  </mergeCells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7C44C-4270-4719-B8C5-CD7E507969CD}">
  <sheetPr codeName="Planilha16">
    <tabColor rgb="FF00B050"/>
  </sheetPr>
  <dimension ref="A1:AE41"/>
  <sheetViews>
    <sheetView showGridLines="0" zoomScale="40" zoomScaleNormal="40" workbookViewId="0">
      <selection activeCell="G25" sqref="G25"/>
    </sheetView>
  </sheetViews>
  <sheetFormatPr defaultRowHeight="14.4" x14ac:dyDescent="0.3"/>
  <cols>
    <col min="5" max="5" width="8.88671875" customWidth="1"/>
    <col min="6" max="6" width="77.88671875" bestFit="1" customWidth="1"/>
    <col min="7" max="9" width="9.109375"/>
    <col min="10" max="10" width="27.5546875" customWidth="1"/>
    <col min="11" max="11" width="9.109375"/>
    <col min="12" max="12" width="81.6640625" bestFit="1" customWidth="1"/>
    <col min="13" max="14" width="9.109375"/>
    <col min="15" max="15" width="22.6640625" customWidth="1"/>
    <col min="16" max="16" width="29.109375" bestFit="1" customWidth="1"/>
    <col min="17" max="17" width="38.44140625" bestFit="1" customWidth="1"/>
    <col min="18" max="18" width="29.10937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19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19"/>
      <c r="W2" s="419"/>
      <c r="X2" s="419"/>
      <c r="Y2" s="419"/>
      <c r="Z2" s="419"/>
      <c r="AA2" s="419"/>
      <c r="AB2" s="419"/>
      <c r="AC2" s="419"/>
      <c r="AD2" s="419"/>
      <c r="AE2" s="419"/>
    </row>
    <row r="7" spans="1:31" ht="15" customHeight="1" thickBot="1" x14ac:dyDescent="0.35">
      <c r="E7" s="77"/>
      <c r="F7" s="77"/>
      <c r="G7" s="77"/>
      <c r="H7" s="77"/>
      <c r="I7" s="77"/>
      <c r="J7" s="83"/>
      <c r="K7" s="83"/>
    </row>
    <row r="8" spans="1:31" ht="15" customHeight="1" x14ac:dyDescent="0.3">
      <c r="E8" s="115"/>
      <c r="F8" s="116"/>
      <c r="G8" s="117"/>
      <c r="H8" s="113"/>
      <c r="I8" s="139"/>
      <c r="J8" s="140"/>
      <c r="K8" s="140"/>
      <c r="L8" s="140"/>
      <c r="M8" s="140"/>
      <c r="N8" s="140"/>
      <c r="O8" s="140"/>
      <c r="P8" s="140"/>
      <c r="Q8" s="141"/>
    </row>
    <row r="9" spans="1:31" ht="15" customHeight="1" x14ac:dyDescent="1.45">
      <c r="E9" s="118"/>
      <c r="F9" s="119" t="s">
        <v>306</v>
      </c>
      <c r="G9" s="120"/>
      <c r="H9" s="113"/>
      <c r="I9" s="142"/>
      <c r="J9" s="143" t="s">
        <v>311</v>
      </c>
      <c r="K9" s="144"/>
      <c r="L9" s="144"/>
      <c r="M9" s="144"/>
      <c r="N9" s="144"/>
      <c r="O9" s="145" t="s">
        <v>312</v>
      </c>
      <c r="P9" s="144"/>
      <c r="Q9" s="146"/>
    </row>
    <row r="10" spans="1:31" ht="15" customHeight="1" x14ac:dyDescent="1.45">
      <c r="E10" s="118"/>
      <c r="F10" s="119"/>
      <c r="G10" s="120"/>
      <c r="H10" s="113"/>
      <c r="I10" s="142"/>
      <c r="J10" s="144" t="s">
        <v>313</v>
      </c>
      <c r="K10" s="144"/>
      <c r="L10" s="144"/>
      <c r="M10" s="144"/>
      <c r="N10" s="144"/>
      <c r="O10" s="147" t="s">
        <v>314</v>
      </c>
      <c r="P10" s="144"/>
      <c r="Q10" s="146"/>
    </row>
    <row r="11" spans="1:31" ht="15" customHeight="1" x14ac:dyDescent="0.3">
      <c r="E11" s="131"/>
      <c r="F11" s="132"/>
      <c r="G11" s="133"/>
      <c r="H11" s="113"/>
      <c r="I11" s="142"/>
      <c r="J11" s="144" t="s">
        <v>315</v>
      </c>
      <c r="K11" s="144"/>
      <c r="L11" s="144"/>
      <c r="M11" s="144"/>
      <c r="N11" s="144"/>
      <c r="O11" s="148"/>
      <c r="P11" s="144"/>
      <c r="Q11" s="146"/>
    </row>
    <row r="12" spans="1:31" ht="15" customHeight="1" x14ac:dyDescent="0.3">
      <c r="E12" s="134"/>
      <c r="F12" s="138" t="s">
        <v>307</v>
      </c>
      <c r="G12" s="135"/>
      <c r="H12" s="113"/>
      <c r="I12" s="149"/>
      <c r="J12" s="150"/>
      <c r="K12" s="150"/>
      <c r="L12" s="150"/>
      <c r="M12" s="150"/>
      <c r="N12" s="150"/>
      <c r="O12" s="150"/>
      <c r="P12" s="150"/>
      <c r="Q12" s="151"/>
    </row>
    <row r="13" spans="1:31" ht="15" customHeight="1" thickBot="1" x14ac:dyDescent="0.35">
      <c r="E13" s="136"/>
      <c r="F13" s="137"/>
      <c r="G13" s="135"/>
      <c r="H13" s="113"/>
      <c r="I13" s="152"/>
      <c r="J13" s="153"/>
      <c r="K13" s="153"/>
      <c r="L13" s="153"/>
      <c r="M13" s="153"/>
      <c r="N13" s="153"/>
      <c r="O13" s="153"/>
      <c r="P13" s="153"/>
      <c r="Q13" s="154"/>
    </row>
    <row r="14" spans="1:31" ht="15" customHeight="1" thickBot="1" x14ac:dyDescent="0.35">
      <c r="E14" s="130"/>
      <c r="F14" s="78"/>
      <c r="G14" s="7"/>
      <c r="H14" s="1"/>
      <c r="I14" s="155"/>
      <c r="J14" s="156" t="s">
        <v>316</v>
      </c>
      <c r="K14" s="157"/>
      <c r="L14" s="157"/>
      <c r="M14" s="157"/>
      <c r="N14" s="157"/>
      <c r="O14" s="156" t="s">
        <v>317</v>
      </c>
      <c r="P14" s="157"/>
      <c r="Q14" s="158"/>
    </row>
    <row r="15" spans="1:31" ht="15" customHeight="1" x14ac:dyDescent="0.3">
      <c r="E15" s="130"/>
      <c r="F15" s="129"/>
      <c r="G15" s="7"/>
      <c r="H15" s="1"/>
      <c r="I15" s="155"/>
      <c r="J15" s="159"/>
      <c r="K15" s="157"/>
      <c r="L15" s="157"/>
      <c r="M15" s="157"/>
      <c r="N15" s="157"/>
      <c r="O15" s="159"/>
      <c r="P15" s="157"/>
      <c r="Q15" s="158"/>
    </row>
    <row r="16" spans="1:31" ht="15" customHeight="1" x14ac:dyDescent="0.3">
      <c r="E16" s="127"/>
      <c r="F16" s="138" t="s">
        <v>308</v>
      </c>
      <c r="G16" s="7"/>
      <c r="H16" s="1"/>
      <c r="I16" s="155"/>
      <c r="J16" s="160"/>
      <c r="K16" s="160"/>
      <c r="L16" s="160"/>
      <c r="M16" s="160"/>
      <c r="N16" s="160"/>
      <c r="O16" s="160"/>
      <c r="P16" s="160"/>
      <c r="Q16" s="161"/>
    </row>
    <row r="17" spans="5:17" ht="15" customHeight="1" thickBot="1" x14ac:dyDescent="0.35">
      <c r="E17" s="127"/>
      <c r="F17" s="129"/>
      <c r="G17" s="7"/>
      <c r="H17" s="1"/>
      <c r="I17" s="162"/>
      <c r="J17" s="163" t="s">
        <v>318</v>
      </c>
      <c r="K17" s="164"/>
      <c r="L17" s="164"/>
      <c r="M17" s="165" t="s">
        <v>319</v>
      </c>
      <c r="N17" s="165" t="s">
        <v>320</v>
      </c>
      <c r="O17" s="166"/>
      <c r="P17" s="163" t="s">
        <v>321</v>
      </c>
      <c r="Q17" s="166"/>
    </row>
    <row r="18" spans="5:17" ht="15" customHeight="1" thickBot="1" x14ac:dyDescent="0.35">
      <c r="E18" s="127"/>
      <c r="F18" s="79"/>
      <c r="G18" s="7"/>
      <c r="H18" s="1"/>
      <c r="I18" s="167"/>
      <c r="J18" s="168" t="s">
        <v>322</v>
      </c>
      <c r="K18" s="164"/>
      <c r="L18" s="164"/>
      <c r="M18" s="168"/>
      <c r="N18" s="168"/>
      <c r="O18" s="166"/>
      <c r="P18" s="164"/>
      <c r="Q18" s="166"/>
    </row>
    <row r="19" spans="5:17" ht="15" customHeight="1" x14ac:dyDescent="0.3">
      <c r="E19" s="127"/>
      <c r="F19" s="129"/>
      <c r="G19" s="7"/>
      <c r="H19" s="1"/>
      <c r="I19" s="167"/>
      <c r="J19" s="167" t="s">
        <v>323</v>
      </c>
      <c r="K19" s="169"/>
      <c r="L19" s="169"/>
      <c r="M19" s="167"/>
      <c r="N19" s="167"/>
      <c r="O19" s="170"/>
      <c r="P19" s="169"/>
      <c r="Q19" s="170"/>
    </row>
    <row r="20" spans="5:17" ht="15" customHeight="1" x14ac:dyDescent="0.3">
      <c r="E20" s="127"/>
      <c r="F20" s="138" t="s">
        <v>309</v>
      </c>
      <c r="G20" s="123"/>
      <c r="H20" s="114"/>
      <c r="I20" s="167"/>
      <c r="J20" s="168" t="s">
        <v>324</v>
      </c>
      <c r="K20" s="164"/>
      <c r="L20" s="164"/>
      <c r="M20" s="168"/>
      <c r="N20" s="168"/>
      <c r="O20" s="166"/>
      <c r="P20" s="164"/>
      <c r="Q20" s="166"/>
    </row>
    <row r="21" spans="5:17" ht="15" customHeight="1" thickBot="1" x14ac:dyDescent="0.35">
      <c r="E21" s="127"/>
      <c r="F21" s="128"/>
      <c r="G21" s="123"/>
      <c r="H21" s="114"/>
      <c r="I21" s="167"/>
      <c r="J21" s="167" t="s">
        <v>325</v>
      </c>
      <c r="K21" s="169"/>
      <c r="L21" s="169"/>
      <c r="M21" s="167"/>
      <c r="N21" s="167"/>
      <c r="O21" s="170"/>
      <c r="P21" s="169"/>
      <c r="Q21" s="170"/>
    </row>
    <row r="22" spans="5:17" ht="15" customHeight="1" thickBot="1" x14ac:dyDescent="0.35">
      <c r="E22" s="127"/>
      <c r="F22" s="112"/>
      <c r="G22" s="123"/>
      <c r="H22" s="114"/>
      <c r="I22" s="167"/>
      <c r="J22" s="168" t="s">
        <v>326</v>
      </c>
      <c r="K22" s="164"/>
      <c r="L22" s="164"/>
      <c r="M22" s="168"/>
      <c r="N22" s="168"/>
      <c r="O22" s="166"/>
      <c r="P22" s="164"/>
      <c r="Q22" s="166"/>
    </row>
    <row r="23" spans="5:17" ht="15" customHeight="1" x14ac:dyDescent="0.3">
      <c r="E23" s="127"/>
      <c r="F23" s="128"/>
      <c r="G23" s="123"/>
      <c r="H23" s="114"/>
      <c r="I23" s="171"/>
      <c r="J23" s="171"/>
      <c r="K23" s="172"/>
      <c r="L23" s="172"/>
      <c r="M23" s="171"/>
      <c r="N23" s="171"/>
      <c r="O23" s="173"/>
      <c r="P23" s="172"/>
      <c r="Q23" s="173"/>
    </row>
    <row r="24" spans="5:17" ht="15" customHeight="1" x14ac:dyDescent="0.3">
      <c r="E24" s="127"/>
      <c r="F24" s="138" t="s">
        <v>310</v>
      </c>
      <c r="G24" s="123"/>
      <c r="H24" s="114"/>
      <c r="I24" s="167"/>
      <c r="J24" s="174" t="s">
        <v>327</v>
      </c>
      <c r="K24" s="169"/>
      <c r="L24" s="169"/>
      <c r="M24" s="169"/>
      <c r="N24" s="174" t="s">
        <v>328</v>
      </c>
      <c r="O24" s="170"/>
      <c r="P24" s="175" t="s">
        <v>329</v>
      </c>
      <c r="Q24" s="170"/>
    </row>
    <row r="25" spans="5:17" ht="15" customHeight="1" thickBot="1" x14ac:dyDescent="0.35">
      <c r="E25" s="127"/>
      <c r="F25" s="128"/>
      <c r="G25" s="123"/>
      <c r="H25" s="114"/>
      <c r="I25" s="167"/>
      <c r="J25" s="167"/>
      <c r="K25" s="169"/>
      <c r="L25" s="169"/>
      <c r="M25" s="169"/>
      <c r="N25" s="167"/>
      <c r="O25" s="170"/>
      <c r="P25" s="169"/>
      <c r="Q25" s="170"/>
    </row>
    <row r="26" spans="5:17" ht="15" customHeight="1" thickBot="1" x14ac:dyDescent="0.35">
      <c r="E26" s="127"/>
      <c r="F26" s="112"/>
      <c r="G26" s="123"/>
      <c r="H26" s="114"/>
      <c r="I26" s="167"/>
      <c r="J26" s="167"/>
      <c r="K26" s="169"/>
      <c r="L26" s="169"/>
      <c r="M26" s="169"/>
      <c r="N26" s="167"/>
      <c r="O26" s="170"/>
      <c r="P26" s="169"/>
      <c r="Q26" s="170"/>
    </row>
    <row r="27" spans="5:17" ht="15" customHeight="1" x14ac:dyDescent="0.3">
      <c r="E27" s="121"/>
      <c r="F27" s="122"/>
      <c r="G27" s="123"/>
      <c r="H27" s="114"/>
      <c r="I27" s="167"/>
      <c r="J27" s="167"/>
      <c r="K27" s="169"/>
      <c r="L27" s="169"/>
      <c r="M27" s="169"/>
      <c r="N27" s="167"/>
      <c r="O27" s="170"/>
      <c r="P27" s="169"/>
      <c r="Q27" s="170"/>
    </row>
    <row r="28" spans="5:17" ht="15" customHeight="1" x14ac:dyDescent="0.3">
      <c r="E28" s="121"/>
      <c r="F28" s="122"/>
      <c r="G28" s="123"/>
      <c r="H28" s="114"/>
      <c r="I28" s="167"/>
      <c r="J28" s="171"/>
      <c r="K28" s="172"/>
      <c r="L28" s="172"/>
      <c r="M28" s="172"/>
      <c r="N28" s="167"/>
      <c r="O28" s="170"/>
      <c r="P28" s="169"/>
      <c r="Q28" s="170"/>
    </row>
    <row r="29" spans="5:17" ht="15" customHeight="1" x14ac:dyDescent="0.3">
      <c r="E29" s="121"/>
      <c r="F29" s="122"/>
      <c r="G29" s="123"/>
      <c r="H29" s="114"/>
      <c r="I29" s="152"/>
      <c r="J29" s="153"/>
      <c r="K29" s="153"/>
      <c r="L29" s="153"/>
      <c r="M29" s="153"/>
      <c r="N29" s="153"/>
      <c r="O29" s="153"/>
      <c r="P29" s="153"/>
      <c r="Q29" s="154"/>
    </row>
    <row r="30" spans="5:17" ht="15" customHeight="1" x14ac:dyDescent="0.3">
      <c r="E30" s="121"/>
      <c r="F30" s="122"/>
      <c r="G30" s="123"/>
      <c r="H30" s="107"/>
      <c r="I30" s="155"/>
      <c r="J30" s="176" t="s">
        <v>322</v>
      </c>
      <c r="K30" s="177"/>
      <c r="L30" s="178"/>
      <c r="M30" s="178"/>
      <c r="N30" s="178"/>
      <c r="O30" s="178"/>
      <c r="P30" s="179"/>
      <c r="Q30" s="158"/>
    </row>
    <row r="31" spans="5:17" ht="15" customHeight="1" x14ac:dyDescent="0.3">
      <c r="E31" s="121"/>
      <c r="F31" s="122"/>
      <c r="G31" s="123"/>
      <c r="H31" s="110"/>
      <c r="I31" s="155"/>
      <c r="J31" s="176" t="s">
        <v>330</v>
      </c>
      <c r="K31" s="177"/>
      <c r="L31" s="178"/>
      <c r="M31" s="178"/>
      <c r="N31" s="178"/>
      <c r="O31" s="178"/>
      <c r="P31" s="179"/>
      <c r="Q31" s="158"/>
    </row>
    <row r="32" spans="5:17" ht="15" customHeight="1" thickBot="1" x14ac:dyDescent="0.35">
      <c r="E32" s="124"/>
      <c r="F32" s="125"/>
      <c r="G32" s="126"/>
      <c r="H32" s="107"/>
      <c r="I32" s="155"/>
      <c r="J32" s="176" t="s">
        <v>331</v>
      </c>
      <c r="K32" s="177"/>
      <c r="L32" s="178"/>
      <c r="M32" s="178"/>
      <c r="N32" s="178"/>
      <c r="O32" s="178"/>
      <c r="P32" s="179"/>
      <c r="Q32" s="158"/>
    </row>
    <row r="33" spans="5:17" ht="15" customHeight="1" x14ac:dyDescent="0.3">
      <c r="E33" s="107"/>
      <c r="F33" s="108"/>
      <c r="G33" s="107"/>
      <c r="H33" s="111"/>
      <c r="I33" s="155"/>
      <c r="J33" s="176" t="s">
        <v>332</v>
      </c>
      <c r="K33" s="177"/>
      <c r="L33" s="178"/>
      <c r="M33" s="178"/>
      <c r="N33" s="178"/>
      <c r="O33" s="178"/>
      <c r="P33" s="179"/>
      <c r="Q33" s="158"/>
    </row>
    <row r="34" spans="5:17" ht="15" customHeight="1" x14ac:dyDescent="0.3">
      <c r="E34" s="107"/>
      <c r="F34" s="109"/>
      <c r="G34" s="107"/>
      <c r="H34" s="107"/>
      <c r="I34" s="180"/>
      <c r="J34" s="160"/>
      <c r="K34" s="160"/>
      <c r="L34" s="160"/>
      <c r="M34" s="160"/>
      <c r="N34" s="160"/>
      <c r="O34" s="160"/>
      <c r="P34" s="160"/>
      <c r="Q34" s="161"/>
    </row>
    <row r="35" spans="5:17" ht="15" customHeight="1" x14ac:dyDescent="0.3">
      <c r="E35" s="107"/>
      <c r="F35" s="108"/>
      <c r="G35" s="107"/>
      <c r="H35" s="107"/>
      <c r="I35" s="181"/>
      <c r="J35" s="182"/>
      <c r="K35" s="182"/>
      <c r="L35" s="182"/>
      <c r="M35" s="182"/>
      <c r="N35" s="182"/>
      <c r="O35" s="182"/>
      <c r="P35" s="182"/>
      <c r="Q35" s="183"/>
    </row>
    <row r="36" spans="5:17" ht="15" customHeight="1" x14ac:dyDescent="0.35">
      <c r="E36" s="107"/>
      <c r="F36" s="107"/>
      <c r="G36" s="107"/>
      <c r="H36" s="107"/>
      <c r="I36" s="167"/>
      <c r="J36" s="184" t="s">
        <v>333</v>
      </c>
      <c r="K36" s="169"/>
      <c r="L36" s="169"/>
      <c r="M36" s="169"/>
      <c r="N36" s="169"/>
      <c r="O36" s="169"/>
      <c r="P36" s="169"/>
      <c r="Q36" s="170"/>
    </row>
    <row r="37" spans="5:17" ht="15" customHeight="1" x14ac:dyDescent="0.3">
      <c r="E37" s="107"/>
      <c r="F37" s="107"/>
      <c r="G37" s="107"/>
      <c r="H37" s="107"/>
      <c r="I37" s="167"/>
      <c r="J37" s="169"/>
      <c r="K37" s="169"/>
      <c r="L37" s="169"/>
      <c r="M37" s="169"/>
      <c r="N37" s="169"/>
      <c r="O37" s="169"/>
      <c r="P37" s="169"/>
      <c r="Q37" s="170"/>
    </row>
    <row r="38" spans="5:17" x14ac:dyDescent="0.3">
      <c r="E38" s="107"/>
      <c r="F38" s="107"/>
      <c r="G38" s="107"/>
      <c r="H38" s="107"/>
      <c r="I38" s="167"/>
      <c r="J38" s="172"/>
      <c r="K38" s="172"/>
      <c r="L38" s="172"/>
      <c r="M38" s="169"/>
      <c r="N38" s="172"/>
      <c r="O38" s="172"/>
      <c r="P38" s="172"/>
      <c r="Q38" s="170"/>
    </row>
    <row r="39" spans="5:17" x14ac:dyDescent="0.3">
      <c r="E39" s="107"/>
      <c r="F39" s="107"/>
      <c r="G39" s="107"/>
      <c r="H39" s="107"/>
      <c r="I39" s="167"/>
      <c r="J39" s="175" t="s">
        <v>334</v>
      </c>
      <c r="K39" s="169"/>
      <c r="L39" s="169"/>
      <c r="M39" s="169"/>
      <c r="N39" s="169" t="s">
        <v>335</v>
      </c>
      <c r="O39" s="169"/>
      <c r="P39" s="169"/>
      <c r="Q39" s="170"/>
    </row>
    <row r="40" spans="5:17" x14ac:dyDescent="0.3">
      <c r="E40" s="107"/>
      <c r="F40" s="107"/>
      <c r="G40" s="107"/>
      <c r="H40" s="107"/>
      <c r="I40" s="171"/>
      <c r="J40" s="172"/>
      <c r="K40" s="172"/>
      <c r="L40" s="172"/>
      <c r="M40" s="172"/>
      <c r="N40" s="172"/>
      <c r="O40" s="172"/>
      <c r="P40" s="172"/>
      <c r="Q40" s="173"/>
    </row>
    <row r="41" spans="5:17" x14ac:dyDescent="0.3">
      <c r="E41" s="107"/>
      <c r="F41" s="107"/>
      <c r="G41" s="107"/>
      <c r="H41" s="107"/>
      <c r="I41" s="107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A80E5-10FE-4FDF-B1C4-8F4C909F8B52}">
  <sheetPr codeName="Planilha17">
    <tabColor rgb="FF00B050"/>
  </sheetPr>
  <dimension ref="A1:AE40"/>
  <sheetViews>
    <sheetView showGridLines="0" zoomScale="70" zoomScaleNormal="70" workbookViewId="0">
      <selection activeCell="E7" sqref="E7"/>
    </sheetView>
  </sheetViews>
  <sheetFormatPr defaultRowHeight="14.4" x14ac:dyDescent="0.3"/>
  <cols>
    <col min="5" max="5" width="32.6640625" bestFit="1" customWidth="1"/>
    <col min="6" max="6" width="14.88671875" customWidth="1"/>
    <col min="7" max="8" width="8.88671875" customWidth="1"/>
    <col min="9" max="9" width="16.44140625" bestFit="1" customWidth="1"/>
    <col min="10" max="10" width="14.21875" bestFit="1" customWidth="1"/>
    <col min="11" max="11" width="16.44140625" bestFit="1" customWidth="1"/>
    <col min="12" max="12" width="20.66406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19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19"/>
      <c r="W2" s="419"/>
      <c r="X2" s="419"/>
      <c r="Y2" s="419"/>
      <c r="Z2" s="419"/>
      <c r="AA2" s="419"/>
      <c r="AB2" s="419"/>
      <c r="AC2" s="419"/>
      <c r="AD2" s="419"/>
      <c r="AE2" s="419"/>
    </row>
    <row r="6" spans="1:31" ht="15" thickBot="1" x14ac:dyDescent="0.35"/>
    <row r="7" spans="1:31" ht="15" customHeight="1" x14ac:dyDescent="0.3">
      <c r="E7" s="191" t="s">
        <v>336</v>
      </c>
      <c r="F7" s="192" t="s">
        <v>302</v>
      </c>
      <c r="G7" s="77"/>
      <c r="H7" s="77"/>
      <c r="I7" s="441" t="s">
        <v>357</v>
      </c>
      <c r="J7" s="442"/>
      <c r="K7" s="442"/>
      <c r="L7" s="443"/>
    </row>
    <row r="8" spans="1:31" ht="15" customHeight="1" x14ac:dyDescent="0.3">
      <c r="E8" s="193" t="s">
        <v>337</v>
      </c>
      <c r="F8" s="194">
        <v>5000</v>
      </c>
      <c r="G8" s="77"/>
      <c r="H8" s="77"/>
      <c r="I8" s="439" t="s">
        <v>358</v>
      </c>
      <c r="J8" s="440"/>
      <c r="K8" s="186" t="s">
        <v>359</v>
      </c>
      <c r="L8" s="197" t="s">
        <v>360</v>
      </c>
    </row>
    <row r="9" spans="1:31" ht="15" customHeight="1" x14ac:dyDescent="0.3">
      <c r="E9" s="193" t="s">
        <v>338</v>
      </c>
      <c r="F9" s="194">
        <v>3000</v>
      </c>
      <c r="G9" s="107"/>
      <c r="H9" s="107"/>
      <c r="I9" s="198" t="s">
        <v>361</v>
      </c>
      <c r="J9" s="187">
        <v>2259.1999999999998</v>
      </c>
      <c r="K9" s="188">
        <v>0</v>
      </c>
      <c r="L9" s="199">
        <v>0</v>
      </c>
    </row>
    <row r="10" spans="1:31" ht="15" customHeight="1" x14ac:dyDescent="0.3">
      <c r="E10" s="193" t="s">
        <v>339</v>
      </c>
      <c r="F10" s="194">
        <v>2000</v>
      </c>
      <c r="G10" s="107"/>
      <c r="H10" s="107"/>
      <c r="I10" s="200">
        <f>J9</f>
        <v>2259.1999999999998</v>
      </c>
      <c r="J10" s="187">
        <v>2826.65</v>
      </c>
      <c r="K10" s="189">
        <v>7.4999999999999997E-2</v>
      </c>
      <c r="L10" s="199">
        <v>164.44</v>
      </c>
    </row>
    <row r="11" spans="1:31" ht="15" customHeight="1" x14ac:dyDescent="0.3">
      <c r="E11" s="193" t="s">
        <v>340</v>
      </c>
      <c r="F11" s="194">
        <v>5000</v>
      </c>
      <c r="G11" s="107"/>
      <c r="H11" s="107"/>
      <c r="I11" s="200">
        <f>J10</f>
        <v>2826.65</v>
      </c>
      <c r="J11" s="187">
        <v>3751.05</v>
      </c>
      <c r="K11" s="189">
        <v>0.15</v>
      </c>
      <c r="L11" s="199">
        <v>381.44</v>
      </c>
    </row>
    <row r="12" spans="1:31" ht="15" customHeight="1" x14ac:dyDescent="0.3">
      <c r="E12" s="193" t="s">
        <v>341</v>
      </c>
      <c r="F12" s="194">
        <v>3000</v>
      </c>
      <c r="G12" s="107"/>
      <c r="H12" s="107"/>
      <c r="I12" s="200">
        <f>J11</f>
        <v>3751.05</v>
      </c>
      <c r="J12" s="187">
        <v>4664.68</v>
      </c>
      <c r="K12" s="189">
        <v>0.22500000000000001</v>
      </c>
      <c r="L12" s="199">
        <v>662.77</v>
      </c>
    </row>
    <row r="13" spans="1:31" ht="15" customHeight="1" thickBot="1" x14ac:dyDescent="0.35">
      <c r="E13" s="193" t="s">
        <v>342</v>
      </c>
      <c r="F13" s="194">
        <v>2000</v>
      </c>
      <c r="G13" s="107"/>
      <c r="H13" s="107"/>
      <c r="I13" s="201" t="s">
        <v>362</v>
      </c>
      <c r="J13" s="202">
        <f>J12</f>
        <v>4664.68</v>
      </c>
      <c r="K13" s="203">
        <v>0.27500000000000002</v>
      </c>
      <c r="L13" s="204">
        <v>896</v>
      </c>
    </row>
    <row r="14" spans="1:31" ht="15" customHeight="1" x14ac:dyDescent="0.55000000000000004">
      <c r="E14" s="193" t="s">
        <v>343</v>
      </c>
      <c r="F14" s="194">
        <v>5000</v>
      </c>
      <c r="G14" s="107"/>
      <c r="H14" s="107"/>
      <c r="I14" s="107"/>
      <c r="J14" s="84"/>
      <c r="K14" s="84" t="s">
        <v>13</v>
      </c>
    </row>
    <row r="15" spans="1:31" ht="15" customHeight="1" thickBot="1" x14ac:dyDescent="0.6">
      <c r="E15" s="193" t="s">
        <v>344</v>
      </c>
      <c r="F15" s="194">
        <v>3000</v>
      </c>
      <c r="G15" s="107"/>
      <c r="H15" s="107"/>
      <c r="I15" s="107"/>
      <c r="J15" s="84"/>
      <c r="K15" s="84" t="s">
        <v>13</v>
      </c>
    </row>
    <row r="16" spans="1:31" ht="15" customHeight="1" x14ac:dyDescent="0.3">
      <c r="E16" s="193" t="s">
        <v>14</v>
      </c>
      <c r="F16" s="194">
        <v>5000</v>
      </c>
      <c r="G16" s="107"/>
      <c r="H16" s="107"/>
      <c r="I16" s="444" t="s">
        <v>321</v>
      </c>
      <c r="J16" s="445"/>
      <c r="K16" s="445"/>
      <c r="L16" s="446"/>
    </row>
    <row r="17" spans="5:12" ht="15" customHeight="1" x14ac:dyDescent="0.3">
      <c r="E17" s="193" t="s">
        <v>345</v>
      </c>
      <c r="F17" s="194">
        <v>3000</v>
      </c>
      <c r="G17" s="107"/>
      <c r="H17" s="107"/>
      <c r="I17" s="193" t="s">
        <v>325</v>
      </c>
      <c r="J17" s="190">
        <v>0.11</v>
      </c>
      <c r="K17" s="185" t="s">
        <v>325</v>
      </c>
      <c r="L17" s="205">
        <v>0.11</v>
      </c>
    </row>
    <row r="18" spans="5:12" ht="15" customHeight="1" x14ac:dyDescent="0.3">
      <c r="E18" s="193" t="s">
        <v>346</v>
      </c>
      <c r="F18" s="194">
        <v>2000</v>
      </c>
      <c r="G18" s="107"/>
      <c r="H18" s="107"/>
      <c r="I18" s="193" t="s">
        <v>363</v>
      </c>
      <c r="J18" s="185" t="s">
        <v>364</v>
      </c>
      <c r="K18" s="185" t="s">
        <v>363</v>
      </c>
      <c r="L18" s="206" t="s">
        <v>364</v>
      </c>
    </row>
    <row r="19" spans="5:12" ht="15" customHeight="1" thickBot="1" x14ac:dyDescent="0.35">
      <c r="E19" s="193" t="s">
        <v>347</v>
      </c>
      <c r="F19" s="194">
        <v>5000</v>
      </c>
      <c r="G19" s="107"/>
      <c r="H19" s="107"/>
      <c r="I19" s="195" t="s">
        <v>365</v>
      </c>
      <c r="J19" s="207">
        <v>1.4999999999999999E-2</v>
      </c>
      <c r="K19" s="208" t="s">
        <v>365</v>
      </c>
      <c r="L19" s="209">
        <v>1.4999999999999999E-2</v>
      </c>
    </row>
    <row r="20" spans="5:12" ht="15" customHeight="1" x14ac:dyDescent="0.3">
      <c r="E20" s="193" t="s">
        <v>348</v>
      </c>
      <c r="F20" s="194">
        <v>3000</v>
      </c>
      <c r="G20" s="107"/>
      <c r="H20" s="107"/>
      <c r="I20" s="107"/>
    </row>
    <row r="21" spans="5:12" ht="15" customHeight="1" thickBot="1" x14ac:dyDescent="0.35">
      <c r="E21" s="193" t="s">
        <v>349</v>
      </c>
      <c r="F21" s="194">
        <v>2000</v>
      </c>
      <c r="G21" s="107"/>
      <c r="H21" s="107"/>
    </row>
    <row r="22" spans="5:12" ht="15" customHeight="1" x14ac:dyDescent="0.3">
      <c r="E22" s="193" t="s">
        <v>350</v>
      </c>
      <c r="F22" s="194">
        <v>5000</v>
      </c>
      <c r="G22" s="107"/>
      <c r="H22" s="107"/>
      <c r="I22" s="210" t="s">
        <v>366</v>
      </c>
    </row>
    <row r="23" spans="5:12" ht="15" customHeight="1" thickBot="1" x14ac:dyDescent="0.35">
      <c r="E23" s="193" t="s">
        <v>351</v>
      </c>
      <c r="F23" s="194">
        <v>4000</v>
      </c>
      <c r="G23" s="107"/>
      <c r="H23" s="107"/>
      <c r="I23" s="211">
        <v>0.08</v>
      </c>
    </row>
    <row r="24" spans="5:12" ht="15" customHeight="1" x14ac:dyDescent="0.3">
      <c r="E24" s="193" t="s">
        <v>352</v>
      </c>
      <c r="F24" s="194">
        <v>3000</v>
      </c>
      <c r="G24" s="107"/>
      <c r="H24" s="107"/>
      <c r="I24" s="107"/>
    </row>
    <row r="25" spans="5:12" ht="15" customHeight="1" x14ac:dyDescent="0.3">
      <c r="E25" s="193" t="s">
        <v>353</v>
      </c>
      <c r="F25" s="194">
        <v>2000</v>
      </c>
      <c r="G25" s="107"/>
      <c r="H25" s="107"/>
      <c r="I25" s="107"/>
    </row>
    <row r="26" spans="5:12" ht="15" customHeight="1" x14ac:dyDescent="0.3">
      <c r="E26" s="193" t="s">
        <v>354</v>
      </c>
      <c r="F26" s="194">
        <v>5000</v>
      </c>
      <c r="G26" s="107"/>
      <c r="H26" s="107"/>
      <c r="I26" s="107"/>
    </row>
    <row r="27" spans="5:12" ht="15" customHeight="1" x14ac:dyDescent="0.3">
      <c r="E27" s="193" t="s">
        <v>355</v>
      </c>
      <c r="F27" s="194">
        <v>3000</v>
      </c>
      <c r="G27" s="107"/>
      <c r="H27" s="107"/>
      <c r="I27" s="107"/>
    </row>
    <row r="28" spans="5:12" ht="15" customHeight="1" thickBot="1" x14ac:dyDescent="0.35">
      <c r="E28" s="195" t="s">
        <v>356</v>
      </c>
      <c r="F28" s="196">
        <v>2000</v>
      </c>
      <c r="G28" s="107"/>
      <c r="H28" s="107"/>
      <c r="I28" s="107"/>
    </row>
    <row r="29" spans="5:12" ht="15" customHeight="1" x14ac:dyDescent="0.3">
      <c r="E29" s="107"/>
      <c r="F29" s="109"/>
      <c r="G29" s="107"/>
      <c r="H29" s="107"/>
      <c r="I29" s="107"/>
    </row>
    <row r="30" spans="5:12" ht="15" customHeight="1" x14ac:dyDescent="0.3">
      <c r="E30" s="107"/>
      <c r="F30" s="108"/>
      <c r="G30" s="107"/>
      <c r="H30" s="110"/>
      <c r="I30" s="107"/>
    </row>
    <row r="31" spans="5:12" ht="15" customHeight="1" x14ac:dyDescent="0.3">
      <c r="E31" s="107"/>
      <c r="F31" s="109"/>
      <c r="G31" s="107"/>
      <c r="H31" s="107"/>
      <c r="I31" s="107"/>
    </row>
    <row r="32" spans="5:12" ht="15" customHeight="1" x14ac:dyDescent="0.3">
      <c r="E32" s="107"/>
      <c r="F32" s="108"/>
      <c r="G32" s="107"/>
      <c r="H32" s="111"/>
      <c r="I32" s="107"/>
    </row>
    <row r="33" spans="5:9" ht="15" customHeight="1" x14ac:dyDescent="0.3">
      <c r="E33" s="107"/>
      <c r="F33" s="109"/>
      <c r="G33" s="107"/>
      <c r="H33" s="107"/>
      <c r="I33" s="107"/>
    </row>
    <row r="34" spans="5:9" ht="15" customHeight="1" x14ac:dyDescent="0.3">
      <c r="E34" s="107"/>
      <c r="F34" s="108"/>
      <c r="G34" s="107"/>
      <c r="H34" s="107"/>
      <c r="I34" s="107"/>
    </row>
    <row r="35" spans="5:9" ht="15" customHeight="1" x14ac:dyDescent="0.3">
      <c r="E35" s="107"/>
      <c r="F35" s="107"/>
      <c r="G35" s="107"/>
      <c r="H35" s="107"/>
      <c r="I35" s="107"/>
    </row>
    <row r="36" spans="5:9" ht="15" customHeight="1" x14ac:dyDescent="0.3">
      <c r="E36" s="107"/>
      <c r="F36" s="107"/>
      <c r="G36" s="107"/>
      <c r="H36" s="107"/>
      <c r="I36" s="107"/>
    </row>
    <row r="37" spans="5:9" x14ac:dyDescent="0.3">
      <c r="E37" s="107"/>
      <c r="F37" s="107"/>
      <c r="G37" s="107"/>
      <c r="H37" s="107"/>
      <c r="I37" s="107"/>
    </row>
    <row r="38" spans="5:9" x14ac:dyDescent="0.3">
      <c r="E38" s="107"/>
      <c r="F38" s="107"/>
      <c r="G38" s="107"/>
      <c r="H38" s="107"/>
      <c r="I38" s="107"/>
    </row>
    <row r="39" spans="5:9" x14ac:dyDescent="0.3">
      <c r="E39" s="107"/>
      <c r="F39" s="107"/>
      <c r="G39" s="107"/>
      <c r="H39" s="107"/>
      <c r="I39" s="107"/>
    </row>
    <row r="40" spans="5:9" x14ac:dyDescent="0.3">
      <c r="E40" s="107"/>
      <c r="F40" s="107"/>
      <c r="G40" s="107"/>
      <c r="H40" s="107"/>
      <c r="I40" s="107"/>
    </row>
  </sheetData>
  <mergeCells count="4">
    <mergeCell ref="A2:AE2"/>
    <mergeCell ref="I8:J8"/>
    <mergeCell ref="I7:L7"/>
    <mergeCell ref="I16:L16"/>
  </mergeCells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3C71A-CE3C-4EB7-829D-B3DAF5CACC9B}">
  <sheetPr codeName="Planilha20">
    <tabColor rgb="FF7030A0"/>
  </sheetPr>
  <dimension ref="A1:AE27"/>
  <sheetViews>
    <sheetView zoomScale="70" zoomScaleNormal="70" workbookViewId="0">
      <selection activeCell="B4" sqref="B4"/>
    </sheetView>
  </sheetViews>
  <sheetFormatPr defaultRowHeight="14.4" x14ac:dyDescent="0.3"/>
  <cols>
    <col min="6" max="6" width="13.33203125" bestFit="1" customWidth="1"/>
    <col min="7" max="8" width="9.109375"/>
    <col min="9" max="9" width="39.77734375" customWidth="1"/>
    <col min="10" max="10" width="8.88671875" customWidth="1"/>
    <col min="15" max="15" width="8.8867187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19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19"/>
      <c r="W2" s="419"/>
      <c r="X2" s="419"/>
      <c r="Y2" s="419"/>
      <c r="Z2" s="419"/>
      <c r="AA2" s="419"/>
      <c r="AB2" s="419"/>
      <c r="AC2" s="419"/>
      <c r="AD2" s="419"/>
      <c r="AE2" s="419"/>
    </row>
    <row r="6" spans="1:31" ht="14.4" customHeight="1" thickBot="1" x14ac:dyDescent="0.35"/>
    <row r="7" spans="1:31" ht="14.4" customHeight="1" x14ac:dyDescent="0.3">
      <c r="E7" s="413" t="s">
        <v>374</v>
      </c>
      <c r="F7" s="414"/>
      <c r="G7" s="414"/>
      <c r="H7" s="414"/>
      <c r="I7" s="414"/>
      <c r="J7" s="415"/>
      <c r="K7" s="216"/>
      <c r="L7" s="113"/>
    </row>
    <row r="8" spans="1:31" ht="14.4" customHeight="1" x14ac:dyDescent="0.3">
      <c r="E8" s="416"/>
      <c r="F8" s="447"/>
      <c r="G8" s="447"/>
      <c r="H8" s="447"/>
      <c r="I8" s="447"/>
      <c r="J8" s="418"/>
      <c r="K8" s="216"/>
      <c r="L8" s="113"/>
    </row>
    <row r="9" spans="1:31" ht="14.4" customHeight="1" x14ac:dyDescent="0.55000000000000004">
      <c r="E9" s="94" t="s">
        <v>13</v>
      </c>
      <c r="F9" s="93" t="s">
        <v>13</v>
      </c>
      <c r="G9" s="93" t="s">
        <v>13</v>
      </c>
      <c r="H9" s="93" t="s">
        <v>13</v>
      </c>
      <c r="I9" s="93" t="s">
        <v>13</v>
      </c>
      <c r="J9" s="13" t="s">
        <v>13</v>
      </c>
      <c r="K9" s="213" t="s">
        <v>13</v>
      </c>
      <c r="L9" s="113"/>
    </row>
    <row r="10" spans="1:31" ht="14.4" customHeight="1" x14ac:dyDescent="0.55000000000000004">
      <c r="E10" s="94" t="s">
        <v>13</v>
      </c>
      <c r="F10" s="217" t="s">
        <v>367</v>
      </c>
      <c r="G10" s="218" t="s">
        <v>13</v>
      </c>
      <c r="H10" s="93" t="s">
        <v>13</v>
      </c>
      <c r="I10" s="215" t="s">
        <v>13</v>
      </c>
      <c r="J10" s="7"/>
      <c r="K10" s="213" t="s">
        <v>13</v>
      </c>
      <c r="L10" s="113"/>
    </row>
    <row r="11" spans="1:31" ht="14.4" customHeight="1" x14ac:dyDescent="0.55000000000000004">
      <c r="E11" s="94" t="s">
        <v>13</v>
      </c>
      <c r="F11" s="219" t="s">
        <v>13</v>
      </c>
      <c r="G11" s="93" t="s">
        <v>13</v>
      </c>
      <c r="H11" s="93" t="s">
        <v>13</v>
      </c>
      <c r="I11" s="93" t="s">
        <v>13</v>
      </c>
      <c r="J11" s="13" t="s">
        <v>13</v>
      </c>
      <c r="K11" s="213" t="s">
        <v>13</v>
      </c>
      <c r="L11" s="113"/>
    </row>
    <row r="12" spans="1:31" ht="14.4" customHeight="1" x14ac:dyDescent="0.55000000000000004">
      <c r="E12" s="94" t="s">
        <v>13</v>
      </c>
      <c r="F12" s="217" t="s">
        <v>368</v>
      </c>
      <c r="G12" s="218" t="s">
        <v>13</v>
      </c>
      <c r="H12" s="93" t="s">
        <v>13</v>
      </c>
      <c r="I12" s="215" t="s">
        <v>13</v>
      </c>
      <c r="J12" s="13" t="s">
        <v>13</v>
      </c>
      <c r="K12" s="213" t="s">
        <v>13</v>
      </c>
      <c r="L12" s="1"/>
    </row>
    <row r="13" spans="1:31" ht="14.4" customHeight="1" x14ac:dyDescent="0.55000000000000004">
      <c r="E13" s="94" t="s">
        <v>13</v>
      </c>
      <c r="F13" s="219" t="s">
        <v>13</v>
      </c>
      <c r="G13" s="93" t="s">
        <v>13</v>
      </c>
      <c r="H13" s="93" t="s">
        <v>13</v>
      </c>
      <c r="I13" s="93" t="s">
        <v>13</v>
      </c>
      <c r="J13" s="13" t="s">
        <v>13</v>
      </c>
      <c r="K13" s="213" t="s">
        <v>13</v>
      </c>
      <c r="L13" s="1"/>
    </row>
    <row r="14" spans="1:31" ht="14.4" customHeight="1" x14ac:dyDescent="0.55000000000000004">
      <c r="E14" s="94" t="s">
        <v>13</v>
      </c>
      <c r="F14" s="217" t="s">
        <v>369</v>
      </c>
      <c r="G14" s="220"/>
      <c r="H14" s="93" t="s">
        <v>13</v>
      </c>
      <c r="I14" s="215" t="s">
        <v>13</v>
      </c>
      <c r="J14" s="13" t="s">
        <v>13</v>
      </c>
      <c r="K14" s="213" t="s">
        <v>13</v>
      </c>
      <c r="L14" s="1"/>
    </row>
    <row r="15" spans="1:31" ht="14.4" customHeight="1" x14ac:dyDescent="0.55000000000000004">
      <c r="E15" s="94" t="s">
        <v>13</v>
      </c>
      <c r="F15" s="219" t="s">
        <v>13</v>
      </c>
      <c r="G15" s="93" t="s">
        <v>13</v>
      </c>
      <c r="H15" s="93" t="s">
        <v>13</v>
      </c>
      <c r="I15" s="93" t="s">
        <v>13</v>
      </c>
      <c r="J15" s="13" t="s">
        <v>13</v>
      </c>
      <c r="K15" s="213" t="s">
        <v>13</v>
      </c>
      <c r="L15" s="1"/>
    </row>
    <row r="16" spans="1:31" ht="14.4" customHeight="1" x14ac:dyDescent="0.55000000000000004">
      <c r="E16" s="94" t="s">
        <v>13</v>
      </c>
      <c r="F16" s="217" t="s">
        <v>370</v>
      </c>
      <c r="G16" s="218" t="s">
        <v>13</v>
      </c>
      <c r="H16" s="93" t="s">
        <v>13</v>
      </c>
      <c r="I16" s="215" t="s">
        <v>13</v>
      </c>
      <c r="J16" s="13" t="s">
        <v>13</v>
      </c>
      <c r="K16" s="213" t="s">
        <v>13</v>
      </c>
      <c r="L16" s="212"/>
    </row>
    <row r="17" spans="5:12" ht="14.4" customHeight="1" x14ac:dyDescent="0.55000000000000004">
      <c r="E17" s="94" t="s">
        <v>13</v>
      </c>
      <c r="F17" s="219" t="s">
        <v>13</v>
      </c>
      <c r="G17" s="93" t="s">
        <v>13</v>
      </c>
      <c r="H17" s="93" t="s">
        <v>13</v>
      </c>
      <c r="I17" s="93" t="s">
        <v>13</v>
      </c>
      <c r="J17" s="13" t="s">
        <v>13</v>
      </c>
      <c r="K17" s="213" t="s">
        <v>13</v>
      </c>
      <c r="L17" s="212"/>
    </row>
    <row r="18" spans="5:12" ht="14.4" customHeight="1" x14ac:dyDescent="0.55000000000000004">
      <c r="E18" s="94" t="s">
        <v>13</v>
      </c>
      <c r="F18" s="217" t="s">
        <v>371</v>
      </c>
      <c r="G18" s="218" t="s">
        <v>13</v>
      </c>
      <c r="H18" s="93" t="s">
        <v>13</v>
      </c>
      <c r="I18" s="215" t="s">
        <v>13</v>
      </c>
      <c r="J18" s="13" t="s">
        <v>13</v>
      </c>
      <c r="K18" s="213" t="s">
        <v>13</v>
      </c>
      <c r="L18" s="213"/>
    </row>
    <row r="19" spans="5:12" ht="14.4" customHeight="1" x14ac:dyDescent="0.55000000000000004">
      <c r="E19" s="94" t="s">
        <v>13</v>
      </c>
      <c r="F19" s="219" t="s">
        <v>13</v>
      </c>
      <c r="G19" s="93" t="s">
        <v>13</v>
      </c>
      <c r="H19" s="93" t="s">
        <v>13</v>
      </c>
      <c r="I19" s="93" t="s">
        <v>13</v>
      </c>
      <c r="J19" s="13" t="s">
        <v>13</v>
      </c>
      <c r="K19" s="213" t="s">
        <v>13</v>
      </c>
      <c r="L19" s="213"/>
    </row>
    <row r="20" spans="5:12" ht="14.4" customHeight="1" x14ac:dyDescent="0.55000000000000004">
      <c r="E20" s="94" t="s">
        <v>13</v>
      </c>
      <c r="F20" s="217" t="s">
        <v>372</v>
      </c>
      <c r="G20" s="220"/>
      <c r="H20" s="93" t="s">
        <v>13</v>
      </c>
      <c r="I20" s="215" t="s">
        <v>13</v>
      </c>
      <c r="J20" s="13" t="s">
        <v>13</v>
      </c>
      <c r="K20" s="213" t="s">
        <v>13</v>
      </c>
      <c r="L20" s="213"/>
    </row>
    <row r="21" spans="5:12" ht="14.4" customHeight="1" x14ac:dyDescent="0.55000000000000004">
      <c r="E21" s="94" t="s">
        <v>13</v>
      </c>
      <c r="F21" s="219" t="s">
        <v>13</v>
      </c>
      <c r="G21" s="218" t="s">
        <v>13</v>
      </c>
      <c r="H21" s="93" t="s">
        <v>13</v>
      </c>
      <c r="I21" s="93" t="s">
        <v>13</v>
      </c>
      <c r="J21" s="13" t="s">
        <v>13</v>
      </c>
      <c r="K21" s="213" t="s">
        <v>13</v>
      </c>
      <c r="L21" s="213"/>
    </row>
    <row r="22" spans="5:12" ht="14.4" customHeight="1" x14ac:dyDescent="0.55000000000000004">
      <c r="E22" s="127"/>
      <c r="F22" s="217" t="s">
        <v>373</v>
      </c>
      <c r="G22" s="220"/>
      <c r="H22" s="93" t="s">
        <v>13</v>
      </c>
      <c r="I22" s="215" t="s">
        <v>13</v>
      </c>
      <c r="J22" s="13" t="s">
        <v>13</v>
      </c>
      <c r="K22" s="213"/>
      <c r="L22" s="213"/>
    </row>
    <row r="23" spans="5:12" ht="14.4" customHeight="1" x14ac:dyDescent="0.55000000000000004">
      <c r="E23" s="127"/>
      <c r="F23" s="93"/>
      <c r="G23" s="218"/>
      <c r="H23" s="218"/>
      <c r="I23" s="93"/>
      <c r="J23" s="13"/>
      <c r="K23" s="213"/>
      <c r="L23" s="213"/>
    </row>
    <row r="24" spans="5:12" ht="14.4" customHeight="1" x14ac:dyDescent="0.3">
      <c r="E24" s="127"/>
      <c r="F24" s="214"/>
      <c r="G24" s="214"/>
      <c r="H24" s="214"/>
      <c r="I24" s="214"/>
      <c r="J24" s="7"/>
    </row>
    <row r="25" spans="5:12" ht="14.4" customHeight="1" x14ac:dyDescent="0.3">
      <c r="E25" s="127"/>
      <c r="F25" s="214"/>
      <c r="G25" s="214"/>
      <c r="H25" s="214"/>
      <c r="I25" s="214"/>
      <c r="J25" s="7"/>
    </row>
    <row r="26" spans="5:12" x14ac:dyDescent="0.3">
      <c r="E26" s="127"/>
      <c r="F26" s="214"/>
      <c r="G26" s="214"/>
      <c r="H26" s="214"/>
      <c r="I26" s="214"/>
      <c r="J26" s="7"/>
    </row>
    <row r="27" spans="5:12" ht="15" thickBot="1" x14ac:dyDescent="0.35">
      <c r="E27" s="221"/>
      <c r="F27" s="222"/>
      <c r="G27" s="222"/>
      <c r="H27" s="222"/>
      <c r="I27" s="222"/>
      <c r="J27" s="223"/>
    </row>
  </sheetData>
  <mergeCells count="2">
    <mergeCell ref="A2:AE2"/>
    <mergeCell ref="E7:J8"/>
  </mergeCells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34E7A-FB8B-4125-A9A9-9114866C163F}">
  <sheetPr codeName="Planilha21">
    <tabColor rgb="FF7030A0"/>
  </sheetPr>
  <dimension ref="A1:AE31"/>
  <sheetViews>
    <sheetView showGridLines="0" zoomScale="70" zoomScaleNormal="70" workbookViewId="0">
      <selection activeCell="F15" sqref="F15"/>
    </sheetView>
  </sheetViews>
  <sheetFormatPr defaultColWidth="9.109375" defaultRowHeight="14.4" x14ac:dyDescent="0.3"/>
  <cols>
    <col min="6" max="6" width="41.33203125" customWidth="1"/>
    <col min="8" max="8" width="30.44140625" customWidth="1"/>
    <col min="9" max="9" width="8.88671875" customWidth="1"/>
    <col min="10" max="10" width="35" customWidth="1"/>
    <col min="15" max="15" width="8.8867187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19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19"/>
      <c r="W2" s="419"/>
      <c r="X2" s="419"/>
      <c r="Y2" s="419"/>
      <c r="Z2" s="419"/>
      <c r="AA2" s="419"/>
      <c r="AB2" s="419"/>
      <c r="AC2" s="419"/>
      <c r="AD2" s="419"/>
      <c r="AE2" s="419"/>
    </row>
    <row r="4" spans="1:31" ht="14.4" customHeight="1" x14ac:dyDescent="0.3"/>
    <row r="5" spans="1:31" ht="14.4" customHeight="1" x14ac:dyDescent="0.3"/>
    <row r="6" spans="1:31" ht="14.4" customHeight="1" thickBot="1" x14ac:dyDescent="0.35"/>
    <row r="7" spans="1:31" ht="14.4" customHeight="1" x14ac:dyDescent="0.4">
      <c r="E7" s="413" t="s">
        <v>381</v>
      </c>
      <c r="F7" s="414"/>
      <c r="G7" s="414"/>
      <c r="H7" s="414"/>
      <c r="I7" s="415"/>
      <c r="J7" s="224"/>
      <c r="K7" s="224"/>
      <c r="L7" s="225"/>
      <c r="M7" s="225"/>
    </row>
    <row r="8" spans="1:31" ht="14.4" customHeight="1" x14ac:dyDescent="0.4">
      <c r="E8" s="416"/>
      <c r="F8" s="447"/>
      <c r="G8" s="447"/>
      <c r="H8" s="447"/>
      <c r="I8" s="418"/>
      <c r="J8" s="224"/>
      <c r="K8" s="224"/>
      <c r="L8" s="225"/>
      <c r="M8" s="225"/>
    </row>
    <row r="9" spans="1:31" ht="14.4" customHeight="1" x14ac:dyDescent="0.55000000000000004">
      <c r="E9" s="81" t="s">
        <v>13</v>
      </c>
      <c r="F9" s="80" t="s">
        <v>13</v>
      </c>
      <c r="G9" s="80" t="s">
        <v>13</v>
      </c>
      <c r="H9" s="80" t="s">
        <v>13</v>
      </c>
      <c r="I9" s="82" t="s">
        <v>13</v>
      </c>
      <c r="J9" s="84" t="s">
        <v>13</v>
      </c>
      <c r="K9" s="84" t="s">
        <v>13</v>
      </c>
      <c r="L9" s="225"/>
      <c r="M9" s="225"/>
    </row>
    <row r="10" spans="1:31" ht="14.4" customHeight="1" x14ac:dyDescent="0.55000000000000004">
      <c r="E10" s="81" t="s">
        <v>13</v>
      </c>
      <c r="F10" s="246" t="s">
        <v>375</v>
      </c>
      <c r="G10" s="231" t="s">
        <v>13</v>
      </c>
      <c r="H10" s="229"/>
      <c r="I10" s="82" t="s">
        <v>13</v>
      </c>
      <c r="J10" s="226"/>
      <c r="K10" s="84" t="s">
        <v>13</v>
      </c>
      <c r="L10" s="225"/>
      <c r="M10" s="225"/>
    </row>
    <row r="11" spans="1:31" ht="14.4" customHeight="1" x14ac:dyDescent="0.55000000000000004">
      <c r="E11" s="81" t="s">
        <v>13</v>
      </c>
      <c r="F11" s="247" t="s">
        <v>13</v>
      </c>
      <c r="G11" s="80" t="s">
        <v>13</v>
      </c>
      <c r="H11" s="80" t="s">
        <v>13</v>
      </c>
      <c r="I11" s="82" t="s">
        <v>13</v>
      </c>
      <c r="J11" s="84" t="s">
        <v>13</v>
      </c>
      <c r="K11" s="84" t="s">
        <v>13</v>
      </c>
      <c r="L11" s="225"/>
      <c r="M11" s="225"/>
    </row>
    <row r="12" spans="1:31" ht="14.4" customHeight="1" x14ac:dyDescent="0.55000000000000004">
      <c r="E12" s="81" t="s">
        <v>13</v>
      </c>
      <c r="F12" s="246" t="s">
        <v>376</v>
      </c>
      <c r="G12" s="231" t="s">
        <v>13</v>
      </c>
      <c r="H12" s="229" t="s">
        <v>13</v>
      </c>
      <c r="I12" s="82" t="s">
        <v>13</v>
      </c>
      <c r="J12" s="226"/>
      <c r="K12" s="84" t="s">
        <v>13</v>
      </c>
      <c r="L12" s="226"/>
      <c r="M12" s="226"/>
    </row>
    <row r="13" spans="1:31" ht="14.4" customHeight="1" x14ac:dyDescent="0.55000000000000004">
      <c r="E13" s="81" t="s">
        <v>13</v>
      </c>
      <c r="F13" s="247" t="s">
        <v>13</v>
      </c>
      <c r="G13" s="80" t="s">
        <v>13</v>
      </c>
      <c r="H13" s="80" t="s">
        <v>13</v>
      </c>
      <c r="I13" s="82" t="s">
        <v>13</v>
      </c>
      <c r="J13" s="84" t="s">
        <v>13</v>
      </c>
      <c r="K13" s="84" t="s">
        <v>13</v>
      </c>
      <c r="L13" s="226"/>
      <c r="M13" s="226"/>
    </row>
    <row r="14" spans="1:31" ht="14.4" customHeight="1" x14ac:dyDescent="0.55000000000000004">
      <c r="E14" s="81" t="s">
        <v>13</v>
      </c>
      <c r="F14" s="246" t="s">
        <v>298</v>
      </c>
      <c r="G14" s="86"/>
      <c r="H14" s="229" t="s">
        <v>13</v>
      </c>
      <c r="I14" s="82" t="s">
        <v>13</v>
      </c>
      <c r="J14" s="230"/>
      <c r="K14" s="84" t="s">
        <v>13</v>
      </c>
      <c r="L14" s="226"/>
      <c r="M14" s="226"/>
    </row>
    <row r="15" spans="1:31" ht="14.4" customHeight="1" x14ac:dyDescent="0.55000000000000004">
      <c r="E15" s="81" t="s">
        <v>13</v>
      </c>
      <c r="F15" s="247" t="s">
        <v>13</v>
      </c>
      <c r="G15" s="80" t="s">
        <v>13</v>
      </c>
      <c r="H15" s="80" t="s">
        <v>13</v>
      </c>
      <c r="I15" s="82" t="s">
        <v>13</v>
      </c>
      <c r="J15" s="84" t="s">
        <v>13</v>
      </c>
      <c r="K15" s="84" t="s">
        <v>13</v>
      </c>
      <c r="L15" s="226"/>
      <c r="M15" s="226"/>
    </row>
    <row r="16" spans="1:31" ht="14.4" customHeight="1" x14ac:dyDescent="0.55000000000000004">
      <c r="E16" s="81" t="s">
        <v>13</v>
      </c>
      <c r="F16" s="246" t="s">
        <v>285</v>
      </c>
      <c r="G16" s="231" t="s">
        <v>13</v>
      </c>
      <c r="H16" s="229" t="s">
        <v>13</v>
      </c>
      <c r="I16" s="82" t="s">
        <v>13</v>
      </c>
      <c r="J16" s="226"/>
      <c r="K16" s="84" t="s">
        <v>13</v>
      </c>
      <c r="L16" s="227"/>
      <c r="M16" s="226"/>
    </row>
    <row r="17" spans="5:13" ht="14.4" customHeight="1" x14ac:dyDescent="0.55000000000000004">
      <c r="E17" s="81" t="s">
        <v>13</v>
      </c>
      <c r="F17" s="247" t="s">
        <v>13</v>
      </c>
      <c r="G17" s="80" t="s">
        <v>13</v>
      </c>
      <c r="H17" s="80" t="s">
        <v>13</v>
      </c>
      <c r="I17" s="82" t="s">
        <v>13</v>
      </c>
      <c r="J17" s="84" t="s">
        <v>13</v>
      </c>
      <c r="K17" s="84" t="s">
        <v>13</v>
      </c>
      <c r="L17" s="227"/>
      <c r="M17" s="226"/>
    </row>
    <row r="18" spans="5:13" ht="14.4" customHeight="1" x14ac:dyDescent="0.55000000000000004">
      <c r="E18" s="81" t="s">
        <v>13</v>
      </c>
      <c r="F18" s="246" t="s">
        <v>286</v>
      </c>
      <c r="G18" s="231" t="s">
        <v>13</v>
      </c>
      <c r="H18" s="229" t="s">
        <v>13</v>
      </c>
      <c r="I18" s="82" t="s">
        <v>13</v>
      </c>
      <c r="J18" s="226"/>
      <c r="K18" s="84" t="s">
        <v>13</v>
      </c>
      <c r="L18" s="84"/>
      <c r="M18" s="228"/>
    </row>
    <row r="19" spans="5:13" ht="14.4" customHeight="1" x14ac:dyDescent="0.55000000000000004">
      <c r="E19" s="81" t="s">
        <v>13</v>
      </c>
      <c r="F19" s="247" t="s">
        <v>13</v>
      </c>
      <c r="G19" s="80" t="s">
        <v>13</v>
      </c>
      <c r="H19" s="80" t="s">
        <v>13</v>
      </c>
      <c r="I19" s="82" t="s">
        <v>13</v>
      </c>
      <c r="J19" s="84" t="s">
        <v>13</v>
      </c>
      <c r="K19" s="84" t="s">
        <v>13</v>
      </c>
      <c r="L19" s="84"/>
      <c r="M19" s="228"/>
    </row>
    <row r="20" spans="5:13" ht="14.4" customHeight="1" x14ac:dyDescent="0.55000000000000004">
      <c r="E20" s="81" t="s">
        <v>13</v>
      </c>
      <c r="F20" s="246" t="s">
        <v>377</v>
      </c>
      <c r="G20" s="86"/>
      <c r="H20" s="229" t="s">
        <v>13</v>
      </c>
      <c r="I20" s="82" t="s">
        <v>13</v>
      </c>
      <c r="J20" s="226"/>
      <c r="K20" s="84" t="s">
        <v>13</v>
      </c>
      <c r="L20" s="84"/>
      <c r="M20" s="228"/>
    </row>
    <row r="21" spans="5:13" ht="14.4" customHeight="1" x14ac:dyDescent="0.55000000000000004">
      <c r="E21" s="81" t="s">
        <v>13</v>
      </c>
      <c r="F21" s="247" t="s">
        <v>13</v>
      </c>
      <c r="G21" s="231" t="s">
        <v>13</v>
      </c>
      <c r="H21" s="80" t="s">
        <v>13</v>
      </c>
      <c r="I21" s="82" t="s">
        <v>13</v>
      </c>
      <c r="J21" s="84" t="s">
        <v>13</v>
      </c>
      <c r="K21" s="84" t="s">
        <v>13</v>
      </c>
      <c r="L21" s="84"/>
      <c r="M21" s="228"/>
    </row>
    <row r="22" spans="5:13" ht="14.4" customHeight="1" x14ac:dyDescent="0.55000000000000004">
      <c r="E22" s="232"/>
      <c r="F22" s="246" t="s">
        <v>378</v>
      </c>
      <c r="G22" s="86"/>
      <c r="H22" s="229" t="s">
        <v>13</v>
      </c>
      <c r="I22" s="82" t="s">
        <v>13</v>
      </c>
      <c r="J22" s="226"/>
      <c r="K22" s="84"/>
      <c r="L22" s="84"/>
      <c r="M22" s="228"/>
    </row>
    <row r="23" spans="5:13" ht="14.4" customHeight="1" x14ac:dyDescent="0.55000000000000004">
      <c r="E23" s="232"/>
      <c r="F23" s="247"/>
      <c r="G23" s="231"/>
      <c r="H23" s="231"/>
      <c r="I23" s="82"/>
      <c r="J23" s="84"/>
      <c r="K23" s="84"/>
      <c r="L23" s="84"/>
      <c r="M23" s="228"/>
    </row>
    <row r="24" spans="5:13" ht="14.4" customHeight="1" x14ac:dyDescent="0.55000000000000004">
      <c r="E24" s="232"/>
      <c r="F24" s="246" t="s">
        <v>379</v>
      </c>
      <c r="G24" s="86"/>
      <c r="H24" s="229" t="s">
        <v>13</v>
      </c>
      <c r="I24" s="82" t="s">
        <v>13</v>
      </c>
      <c r="J24" s="226"/>
      <c r="K24" s="84"/>
      <c r="L24" s="84"/>
      <c r="M24" s="228"/>
    </row>
    <row r="25" spans="5:13" ht="14.4" customHeight="1" x14ac:dyDescent="0.55000000000000004">
      <c r="E25" s="232"/>
      <c r="F25" s="247"/>
      <c r="G25" s="80"/>
      <c r="H25" s="80"/>
      <c r="I25" s="82"/>
      <c r="J25" s="84"/>
      <c r="K25" s="84"/>
      <c r="L25" s="84"/>
      <c r="M25" s="228"/>
    </row>
    <row r="26" spans="5:13" ht="14.4" customHeight="1" x14ac:dyDescent="0.3">
      <c r="E26" s="232"/>
      <c r="F26" s="246" t="s">
        <v>380</v>
      </c>
      <c r="G26" s="86"/>
      <c r="H26" s="229" t="s">
        <v>13</v>
      </c>
      <c r="I26" s="82" t="s">
        <v>13</v>
      </c>
      <c r="J26" s="226"/>
      <c r="K26" s="228"/>
      <c r="L26" s="228"/>
      <c r="M26" s="228"/>
    </row>
    <row r="27" spans="5:13" ht="14.4" customHeight="1" x14ac:dyDescent="0.3">
      <c r="E27" s="232"/>
      <c r="F27" s="122"/>
      <c r="G27" s="122"/>
      <c r="H27" s="122"/>
      <c r="I27" s="123"/>
      <c r="J27" s="228"/>
      <c r="K27" s="228"/>
      <c r="L27" s="228"/>
      <c r="M27" s="228"/>
    </row>
    <row r="28" spans="5:13" ht="14.4" customHeight="1" x14ac:dyDescent="0.3">
      <c r="E28" s="232"/>
      <c r="F28" s="122"/>
      <c r="G28" s="122"/>
      <c r="H28" s="122"/>
      <c r="I28" s="123"/>
    </row>
    <row r="29" spans="5:13" ht="14.4" customHeight="1" x14ac:dyDescent="0.3">
      <c r="E29" s="232"/>
      <c r="F29" s="122"/>
      <c r="G29" s="122"/>
      <c r="H29" s="122"/>
      <c r="I29" s="123"/>
    </row>
    <row r="30" spans="5:13" ht="14.4" customHeight="1" thickBot="1" x14ac:dyDescent="0.35">
      <c r="E30" s="233"/>
      <c r="F30" s="125"/>
      <c r="G30" s="125"/>
      <c r="H30" s="125"/>
      <c r="I30" s="126"/>
    </row>
    <row r="31" spans="5:13" ht="14.4" customHeight="1" x14ac:dyDescent="0.3"/>
  </sheetData>
  <mergeCells count="2">
    <mergeCell ref="A2:AE2"/>
    <mergeCell ref="E7:I8"/>
  </mergeCells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3BF4-EA17-4C6B-A97B-2B517A8D602F}">
  <sheetPr codeName="Planilha22">
    <tabColor rgb="FF7030A0"/>
  </sheetPr>
  <dimension ref="A1:AE31"/>
  <sheetViews>
    <sheetView showGridLines="0" zoomScale="70" zoomScaleNormal="70" workbookViewId="0">
      <selection activeCell="H28" sqref="H28"/>
    </sheetView>
  </sheetViews>
  <sheetFormatPr defaultColWidth="9.109375" defaultRowHeight="14.4" x14ac:dyDescent="0.3"/>
  <cols>
    <col min="6" max="6" width="28.5546875" bestFit="1" customWidth="1"/>
    <col min="8" max="8" width="24.21875" customWidth="1"/>
    <col min="9" max="10" width="9.109375" customWidth="1"/>
    <col min="11" max="11" width="27.44140625" bestFit="1" customWidth="1"/>
    <col min="12" max="12" width="14.5546875" bestFit="1" customWidth="1"/>
    <col min="15" max="15" width="8.8867187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19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19"/>
      <c r="W2" s="419"/>
      <c r="X2" s="419"/>
      <c r="Y2" s="419"/>
      <c r="Z2" s="419"/>
      <c r="AA2" s="419"/>
      <c r="AB2" s="419"/>
      <c r="AC2" s="419"/>
      <c r="AD2" s="419"/>
      <c r="AE2" s="419"/>
    </row>
    <row r="4" spans="1:31" ht="14.4" customHeight="1" x14ac:dyDescent="0.3"/>
    <row r="5" spans="1:31" ht="14.4" customHeight="1" x14ac:dyDescent="0.3"/>
    <row r="6" spans="1:31" ht="14.4" customHeight="1" thickBot="1" x14ac:dyDescent="0.35"/>
    <row r="7" spans="1:31" ht="14.4" customHeight="1" x14ac:dyDescent="0.3">
      <c r="E7" s="413" t="s">
        <v>382</v>
      </c>
      <c r="F7" s="414"/>
      <c r="G7" s="414"/>
      <c r="H7" s="414"/>
      <c r="I7" s="415"/>
      <c r="J7" s="237"/>
      <c r="K7" s="248" t="s">
        <v>384</v>
      </c>
      <c r="L7" s="248" t="s">
        <v>286</v>
      </c>
      <c r="M7" s="225"/>
    </row>
    <row r="8" spans="1:31" ht="14.4" customHeight="1" x14ac:dyDescent="0.3">
      <c r="E8" s="416"/>
      <c r="F8" s="447"/>
      <c r="G8" s="447"/>
      <c r="H8" s="447"/>
      <c r="I8" s="418"/>
      <c r="J8" s="237"/>
      <c r="K8" s="250" t="s">
        <v>231</v>
      </c>
      <c r="L8" s="251">
        <v>130</v>
      </c>
      <c r="M8" s="225"/>
    </row>
    <row r="9" spans="1:31" ht="14.4" customHeight="1" x14ac:dyDescent="0.3">
      <c r="E9" s="240" t="s">
        <v>13</v>
      </c>
      <c r="F9" s="241" t="s">
        <v>13</v>
      </c>
      <c r="G9" s="241" t="s">
        <v>13</v>
      </c>
      <c r="H9" s="241" t="s">
        <v>13</v>
      </c>
      <c r="I9" s="242" t="s">
        <v>13</v>
      </c>
      <c r="J9" s="238" t="s">
        <v>13</v>
      </c>
      <c r="K9" s="250" t="s">
        <v>386</v>
      </c>
      <c r="L9" s="251">
        <v>130</v>
      </c>
      <c r="M9" s="225"/>
    </row>
    <row r="10" spans="1:31" ht="14.4" customHeight="1" x14ac:dyDescent="0.3">
      <c r="E10" s="240" t="s">
        <v>13</v>
      </c>
      <c r="F10" s="241" t="s">
        <v>385</v>
      </c>
      <c r="G10" s="241" t="s">
        <v>13</v>
      </c>
      <c r="H10" s="239" t="s">
        <v>13</v>
      </c>
      <c r="I10" s="242" t="s">
        <v>13</v>
      </c>
      <c r="J10" s="1"/>
      <c r="K10" s="250" t="s">
        <v>234</v>
      </c>
      <c r="L10" s="251">
        <v>130</v>
      </c>
      <c r="M10" s="225"/>
    </row>
    <row r="11" spans="1:31" ht="14.4" customHeight="1" x14ac:dyDescent="0.3">
      <c r="E11" s="240" t="s">
        <v>13</v>
      </c>
      <c r="F11" s="241" t="s">
        <v>13</v>
      </c>
      <c r="G11" s="241" t="s">
        <v>13</v>
      </c>
      <c r="H11" s="241" t="s">
        <v>13</v>
      </c>
      <c r="I11" s="242" t="s">
        <v>13</v>
      </c>
      <c r="J11" s="238" t="s">
        <v>13</v>
      </c>
      <c r="K11" s="250" t="s">
        <v>387</v>
      </c>
      <c r="L11" s="251">
        <v>130</v>
      </c>
      <c r="M11" s="225"/>
    </row>
    <row r="12" spans="1:31" ht="14.4" customHeight="1" x14ac:dyDescent="0.3">
      <c r="E12" s="240" t="s">
        <v>13</v>
      </c>
      <c r="F12" s="241" t="s">
        <v>285</v>
      </c>
      <c r="G12" s="241" t="s">
        <v>13</v>
      </c>
      <c r="H12" s="239" t="s">
        <v>13</v>
      </c>
      <c r="I12" s="242" t="s">
        <v>13</v>
      </c>
      <c r="J12" s="1"/>
      <c r="K12" s="238" t="s">
        <v>13</v>
      </c>
      <c r="L12" s="226"/>
      <c r="M12" s="226"/>
    </row>
    <row r="13" spans="1:31" ht="14.4" customHeight="1" x14ac:dyDescent="0.3">
      <c r="E13" s="240" t="s">
        <v>13</v>
      </c>
      <c r="F13" s="241" t="s">
        <v>13</v>
      </c>
      <c r="G13" s="241" t="s">
        <v>13</v>
      </c>
      <c r="H13" s="241" t="s">
        <v>13</v>
      </c>
      <c r="I13" s="242" t="s">
        <v>13</v>
      </c>
      <c r="J13" s="238" t="s">
        <v>13</v>
      </c>
      <c r="K13" s="238" t="s">
        <v>13</v>
      </c>
      <c r="L13" s="226"/>
      <c r="M13" s="226"/>
    </row>
    <row r="14" spans="1:31" ht="14.4" customHeight="1" x14ac:dyDescent="0.3">
      <c r="E14" s="240" t="s">
        <v>13</v>
      </c>
      <c r="F14" s="241" t="s">
        <v>384</v>
      </c>
      <c r="G14" s="241"/>
      <c r="H14" s="239" t="s">
        <v>13</v>
      </c>
      <c r="I14" s="242" t="s">
        <v>13</v>
      </c>
      <c r="J14" s="1"/>
      <c r="K14" s="238" t="s">
        <v>13</v>
      </c>
      <c r="L14" s="226"/>
      <c r="M14" s="226"/>
    </row>
    <row r="15" spans="1:31" ht="14.4" customHeight="1" x14ac:dyDescent="0.3">
      <c r="E15" s="240" t="s">
        <v>13</v>
      </c>
      <c r="F15" s="241" t="s">
        <v>13</v>
      </c>
      <c r="G15" s="241" t="s">
        <v>13</v>
      </c>
      <c r="H15" s="241" t="s">
        <v>13</v>
      </c>
      <c r="I15" s="242" t="s">
        <v>13</v>
      </c>
      <c r="J15" s="238" t="s">
        <v>13</v>
      </c>
      <c r="K15" s="238" t="s">
        <v>13</v>
      </c>
      <c r="L15" s="226"/>
      <c r="M15" s="226"/>
    </row>
    <row r="16" spans="1:31" ht="14.4" customHeight="1" x14ac:dyDescent="0.3">
      <c r="E16" s="240" t="s">
        <v>13</v>
      </c>
      <c r="F16" s="241" t="s">
        <v>383</v>
      </c>
      <c r="G16" s="241" t="s">
        <v>13</v>
      </c>
      <c r="H16" s="239" t="s">
        <v>13</v>
      </c>
      <c r="I16" s="242" t="s">
        <v>13</v>
      </c>
      <c r="J16" s="1"/>
      <c r="K16" s="238" t="s">
        <v>13</v>
      </c>
      <c r="L16" s="227"/>
      <c r="M16" s="226"/>
    </row>
    <row r="17" spans="5:13" ht="14.4" customHeight="1" x14ac:dyDescent="0.3">
      <c r="E17" s="240" t="s">
        <v>13</v>
      </c>
      <c r="F17" s="241" t="s">
        <v>13</v>
      </c>
      <c r="G17" s="241" t="s">
        <v>13</v>
      </c>
      <c r="H17" s="241" t="s">
        <v>13</v>
      </c>
      <c r="I17" s="242" t="s">
        <v>13</v>
      </c>
      <c r="J17" s="238" t="s">
        <v>13</v>
      </c>
      <c r="K17" s="238" t="s">
        <v>13</v>
      </c>
      <c r="L17" s="227"/>
      <c r="M17" s="226"/>
    </row>
    <row r="18" spans="5:13" ht="14.4" customHeight="1" x14ac:dyDescent="0.55000000000000004">
      <c r="E18" s="240" t="s">
        <v>13</v>
      </c>
      <c r="F18" s="241" t="s">
        <v>13</v>
      </c>
      <c r="G18" s="241" t="s">
        <v>13</v>
      </c>
      <c r="H18" s="241" t="s">
        <v>13</v>
      </c>
      <c r="I18" s="242" t="s">
        <v>13</v>
      </c>
      <c r="J18" s="238" t="s">
        <v>13</v>
      </c>
      <c r="K18" s="238" t="s">
        <v>13</v>
      </c>
      <c r="L18" s="84"/>
      <c r="M18" s="228"/>
    </row>
    <row r="19" spans="5:13" ht="14.4" customHeight="1" x14ac:dyDescent="0.55000000000000004">
      <c r="E19" s="240" t="s">
        <v>13</v>
      </c>
      <c r="F19" s="241" t="s">
        <v>13</v>
      </c>
      <c r="G19" s="241" t="s">
        <v>13</v>
      </c>
      <c r="H19" s="241" t="s">
        <v>13</v>
      </c>
      <c r="I19" s="242" t="s">
        <v>13</v>
      </c>
      <c r="J19" s="238" t="s">
        <v>13</v>
      </c>
      <c r="K19" s="238" t="s">
        <v>13</v>
      </c>
      <c r="L19" s="84"/>
      <c r="M19" s="228"/>
    </row>
    <row r="20" spans="5:13" ht="14.4" customHeight="1" x14ac:dyDescent="0.55000000000000004">
      <c r="E20" s="240" t="s">
        <v>13</v>
      </c>
      <c r="F20" s="241" t="s">
        <v>13</v>
      </c>
      <c r="G20" s="241" t="s">
        <v>13</v>
      </c>
      <c r="H20" s="241" t="s">
        <v>13</v>
      </c>
      <c r="I20" s="242" t="s">
        <v>13</v>
      </c>
      <c r="J20" s="238" t="s">
        <v>13</v>
      </c>
      <c r="K20" s="238" t="s">
        <v>13</v>
      </c>
      <c r="L20" s="84"/>
      <c r="M20" s="228"/>
    </row>
    <row r="21" spans="5:13" ht="14.4" customHeight="1" x14ac:dyDescent="0.55000000000000004">
      <c r="E21" s="240" t="s">
        <v>13</v>
      </c>
      <c r="F21" s="241" t="s">
        <v>13</v>
      </c>
      <c r="G21" s="241" t="s">
        <v>13</v>
      </c>
      <c r="H21" s="241" t="s">
        <v>13</v>
      </c>
      <c r="I21" s="242" t="s">
        <v>13</v>
      </c>
      <c r="J21" s="84" t="s">
        <v>13</v>
      </c>
      <c r="K21" s="84" t="s">
        <v>13</v>
      </c>
      <c r="L21" s="84"/>
      <c r="M21" s="228"/>
    </row>
    <row r="22" spans="5:13" ht="14.4" customHeight="1" thickBot="1" x14ac:dyDescent="0.6">
      <c r="E22" s="243" t="s">
        <v>13</v>
      </c>
      <c r="F22" s="244" t="s">
        <v>13</v>
      </c>
      <c r="G22" s="244" t="s">
        <v>13</v>
      </c>
      <c r="H22" s="244" t="s">
        <v>13</v>
      </c>
      <c r="I22" s="245" t="s">
        <v>13</v>
      </c>
      <c r="J22" s="226"/>
      <c r="K22" s="84"/>
      <c r="L22" s="84"/>
      <c r="M22" s="228"/>
    </row>
    <row r="23" spans="5:13" ht="14.4" customHeight="1" x14ac:dyDescent="0.55000000000000004">
      <c r="E23" s="236"/>
      <c r="F23" s="234"/>
      <c r="G23" s="235"/>
      <c r="H23" s="235"/>
      <c r="I23" s="234"/>
      <c r="J23" s="84"/>
      <c r="K23" s="84"/>
      <c r="L23" s="84"/>
      <c r="M23" s="228"/>
    </row>
    <row r="24" spans="5:13" ht="14.4" customHeight="1" x14ac:dyDescent="0.55000000000000004">
      <c r="E24" s="236"/>
      <c r="F24" s="90"/>
      <c r="G24" s="90"/>
      <c r="H24" s="234"/>
      <c r="I24" s="234"/>
      <c r="J24" s="226"/>
      <c r="K24" s="84"/>
      <c r="L24" s="84"/>
      <c r="M24" s="228"/>
    </row>
    <row r="25" spans="5:13" ht="14.4" customHeight="1" x14ac:dyDescent="0.55000000000000004">
      <c r="E25" s="236"/>
      <c r="F25" s="234"/>
      <c r="G25" s="234"/>
      <c r="H25" s="234"/>
      <c r="I25" s="234"/>
      <c r="J25" s="84"/>
      <c r="K25" s="84"/>
      <c r="L25" s="84"/>
      <c r="M25" s="228"/>
    </row>
    <row r="26" spans="5:13" ht="14.4" customHeight="1" x14ac:dyDescent="0.3">
      <c r="E26" s="236"/>
      <c r="F26" s="90"/>
      <c r="G26" s="90"/>
      <c r="H26" s="234"/>
      <c r="I26" s="234"/>
      <c r="J26" s="226"/>
      <c r="K26" s="228"/>
      <c r="L26" s="228"/>
      <c r="M26" s="228"/>
    </row>
    <row r="27" spans="5:13" ht="14.4" customHeight="1" x14ac:dyDescent="0.3">
      <c r="E27" s="236"/>
      <c r="F27" s="228"/>
      <c r="G27" s="228"/>
      <c r="H27" s="228"/>
      <c r="I27" s="228"/>
      <c r="J27" s="228"/>
      <c r="K27" s="228"/>
      <c r="L27" s="228"/>
      <c r="M27" s="228"/>
    </row>
    <row r="28" spans="5:13" ht="14.4" customHeight="1" x14ac:dyDescent="0.3">
      <c r="E28" s="236"/>
      <c r="F28" s="228"/>
      <c r="G28" s="228"/>
      <c r="H28" s="228"/>
      <c r="I28" s="228"/>
    </row>
    <row r="29" spans="5:13" ht="14.4" customHeight="1" x14ac:dyDescent="0.3">
      <c r="E29" s="236"/>
      <c r="F29" s="228"/>
      <c r="G29" s="228"/>
      <c r="H29" s="228"/>
      <c r="I29" s="228"/>
    </row>
    <row r="30" spans="5:13" ht="14.4" customHeight="1" x14ac:dyDescent="0.3">
      <c r="E30" s="236"/>
      <c r="F30" s="228"/>
      <c r="G30" s="228"/>
      <c r="H30" s="228"/>
      <c r="I30" s="228"/>
    </row>
    <row r="31" spans="5:13" ht="14.4" customHeight="1" x14ac:dyDescent="0.3"/>
  </sheetData>
  <mergeCells count="2">
    <mergeCell ref="A2:AE2"/>
    <mergeCell ref="E7:I8"/>
  </mergeCells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3F519-E410-4819-BE8F-4C29F73E20E3}">
  <sheetPr codeName="Planilha19">
    <tabColor rgb="FFFF0000"/>
  </sheetPr>
  <dimension ref="A1:AE38"/>
  <sheetViews>
    <sheetView showGridLines="0" zoomScale="70" zoomScaleNormal="70" workbookViewId="0">
      <selection activeCell="G18" sqref="G18"/>
    </sheetView>
  </sheetViews>
  <sheetFormatPr defaultRowHeight="14.4" x14ac:dyDescent="0.3"/>
  <cols>
    <col min="6" max="6" width="33.77734375" bestFit="1" customWidth="1"/>
    <col min="7" max="7" width="8.88671875" customWidth="1"/>
    <col min="9" max="9" width="41.10937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19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19"/>
      <c r="W2" s="419"/>
      <c r="X2" s="419"/>
      <c r="Y2" s="419"/>
      <c r="Z2" s="419"/>
      <c r="AA2" s="419"/>
      <c r="AB2" s="419"/>
      <c r="AC2" s="419"/>
      <c r="AD2" s="419"/>
      <c r="AE2" s="419"/>
    </row>
    <row r="5" spans="1:31" ht="14.4" customHeight="1" x14ac:dyDescent="0.3"/>
    <row r="6" spans="1:31" ht="14.4" customHeight="1" thickBot="1" x14ac:dyDescent="0.35"/>
    <row r="7" spans="1:31" ht="14.4" customHeight="1" x14ac:dyDescent="0.3">
      <c r="E7" s="433" t="s">
        <v>402</v>
      </c>
      <c r="F7" s="434"/>
      <c r="G7" s="434"/>
      <c r="H7" s="434"/>
      <c r="I7" s="434"/>
      <c r="J7" s="435"/>
    </row>
    <row r="8" spans="1:31" s="257" customFormat="1" ht="14.4" customHeight="1" x14ac:dyDescent="0.3">
      <c r="E8" s="436"/>
      <c r="F8" s="437"/>
      <c r="G8" s="437"/>
      <c r="H8" s="437"/>
      <c r="I8" s="437"/>
      <c r="J8" s="438"/>
    </row>
    <row r="9" spans="1:31" ht="14.4" customHeight="1" x14ac:dyDescent="0.3">
      <c r="E9" s="282"/>
      <c r="F9" s="271"/>
      <c r="G9" s="271"/>
      <c r="H9" s="271"/>
      <c r="I9" s="271"/>
      <c r="J9" s="283"/>
    </row>
    <row r="10" spans="1:31" ht="14.4" customHeight="1" x14ac:dyDescent="0.3">
      <c r="E10" s="284"/>
      <c r="F10" s="270" t="s">
        <v>388</v>
      </c>
      <c r="G10" s="272"/>
      <c r="H10" s="272"/>
      <c r="I10" s="273"/>
      <c r="J10" s="285"/>
    </row>
    <row r="11" spans="1:31" ht="14.4" customHeight="1" x14ac:dyDescent="0.3">
      <c r="E11" s="284"/>
      <c r="F11" s="272"/>
      <c r="G11" s="272"/>
      <c r="H11" s="272"/>
      <c r="I11" s="274"/>
      <c r="J11" s="285"/>
    </row>
    <row r="12" spans="1:31" ht="14.4" customHeight="1" x14ac:dyDescent="0.3">
      <c r="E12" s="286"/>
      <c r="F12" s="275" t="s">
        <v>390</v>
      </c>
      <c r="G12" s="275"/>
      <c r="H12" s="276"/>
      <c r="I12" s="277"/>
      <c r="J12" s="287"/>
    </row>
    <row r="13" spans="1:31" ht="14.4" customHeight="1" x14ac:dyDescent="0.3">
      <c r="E13" s="286"/>
      <c r="F13" s="275"/>
      <c r="G13" s="275"/>
      <c r="H13" s="276"/>
      <c r="I13" s="276"/>
      <c r="J13" s="287"/>
    </row>
    <row r="14" spans="1:31" ht="14.4" customHeight="1" x14ac:dyDescent="0.3">
      <c r="E14" s="286"/>
      <c r="F14" s="275" t="s">
        <v>375</v>
      </c>
      <c r="G14" s="275"/>
      <c r="H14" s="276"/>
      <c r="I14" s="278"/>
      <c r="J14" s="287"/>
    </row>
    <row r="15" spans="1:31" ht="14.4" customHeight="1" x14ac:dyDescent="0.3">
      <c r="E15" s="286"/>
      <c r="F15" s="276"/>
      <c r="G15" s="276"/>
      <c r="H15" s="276"/>
      <c r="I15" s="276"/>
      <c r="J15" s="287"/>
    </row>
    <row r="16" spans="1:31" ht="14.4" customHeight="1" x14ac:dyDescent="0.3">
      <c r="E16" s="286"/>
      <c r="F16" s="275" t="s">
        <v>38</v>
      </c>
      <c r="G16" s="276"/>
      <c r="H16" s="276"/>
      <c r="I16" s="279"/>
      <c r="J16" s="287"/>
    </row>
    <row r="17" spans="5:10" ht="14.4" customHeight="1" x14ac:dyDescent="0.3">
      <c r="E17" s="286"/>
      <c r="F17" s="276"/>
      <c r="G17" s="276"/>
      <c r="H17" s="276"/>
      <c r="I17" s="276"/>
      <c r="J17" s="287"/>
    </row>
    <row r="18" spans="5:10" ht="14.4" customHeight="1" x14ac:dyDescent="0.3">
      <c r="E18" s="286"/>
      <c r="F18" s="275" t="s">
        <v>37</v>
      </c>
      <c r="G18" s="276"/>
      <c r="H18" s="276"/>
      <c r="I18" s="277"/>
      <c r="J18" s="287"/>
    </row>
    <row r="19" spans="5:10" ht="14.4" customHeight="1" x14ac:dyDescent="0.3">
      <c r="E19" s="286"/>
      <c r="F19" s="276"/>
      <c r="G19" s="276"/>
      <c r="H19" s="276"/>
      <c r="I19" s="276"/>
      <c r="J19" s="287"/>
    </row>
    <row r="20" spans="5:10" ht="14.4" customHeight="1" x14ac:dyDescent="0.3">
      <c r="E20" s="286"/>
      <c r="F20" s="275" t="s">
        <v>395</v>
      </c>
      <c r="G20" s="276"/>
      <c r="H20" s="276"/>
      <c r="I20" s="277"/>
      <c r="J20" s="287"/>
    </row>
    <row r="21" spans="5:10" ht="14.4" customHeight="1" x14ac:dyDescent="0.3">
      <c r="E21" s="286"/>
      <c r="F21" s="276"/>
      <c r="G21" s="276"/>
      <c r="H21" s="280"/>
      <c r="I21" s="280"/>
      <c r="J21" s="288"/>
    </row>
    <row r="22" spans="5:10" ht="14.4" customHeight="1" x14ac:dyDescent="0.3">
      <c r="E22" s="286"/>
      <c r="F22" s="275" t="s">
        <v>397</v>
      </c>
      <c r="G22" s="276"/>
      <c r="H22" s="280"/>
      <c r="I22" s="281"/>
      <c r="J22" s="288"/>
    </row>
    <row r="23" spans="5:10" ht="14.4" customHeight="1" x14ac:dyDescent="0.3">
      <c r="E23" s="284"/>
      <c r="F23" s="272"/>
      <c r="G23" s="272"/>
      <c r="H23" s="272"/>
      <c r="I23" s="274"/>
      <c r="J23" s="285"/>
    </row>
    <row r="24" spans="5:10" ht="14.4" customHeight="1" x14ac:dyDescent="0.3">
      <c r="E24" s="286"/>
      <c r="F24" s="275" t="s">
        <v>399</v>
      </c>
      <c r="G24" s="276"/>
      <c r="H24" s="280"/>
      <c r="I24" s="281"/>
      <c r="J24" s="288"/>
    </row>
    <row r="25" spans="5:10" ht="14.4" customHeight="1" x14ac:dyDescent="0.3">
      <c r="E25" s="286"/>
      <c r="F25" s="276"/>
      <c r="G25" s="276"/>
      <c r="H25" s="280"/>
      <c r="I25" s="280"/>
      <c r="J25" s="288"/>
    </row>
    <row r="26" spans="5:10" ht="14.4" customHeight="1" x14ac:dyDescent="0.3">
      <c r="E26" s="286"/>
      <c r="F26" s="275" t="s">
        <v>401</v>
      </c>
      <c r="G26" s="276"/>
      <c r="H26" s="280"/>
      <c r="I26" s="293"/>
      <c r="J26" s="288"/>
    </row>
    <row r="27" spans="5:10" ht="14.4" customHeight="1" x14ac:dyDescent="0.3">
      <c r="E27" s="286"/>
      <c r="F27" s="276"/>
      <c r="G27" s="276"/>
      <c r="H27" s="280"/>
      <c r="I27" s="280"/>
      <c r="J27" s="288"/>
    </row>
    <row r="28" spans="5:10" ht="14.4" customHeight="1" x14ac:dyDescent="0.3">
      <c r="E28" s="286"/>
      <c r="F28" s="276"/>
      <c r="G28" s="276"/>
      <c r="H28" s="280"/>
      <c r="I28" s="280"/>
      <c r="J28" s="288"/>
    </row>
    <row r="29" spans="5:10" ht="14.4" customHeight="1" x14ac:dyDescent="0.3">
      <c r="E29" s="286"/>
      <c r="F29" s="276"/>
      <c r="G29" s="276"/>
      <c r="H29" s="280"/>
      <c r="I29" s="280"/>
      <c r="J29" s="288"/>
    </row>
    <row r="30" spans="5:10" ht="14.4" customHeight="1" x14ac:dyDescent="0.3">
      <c r="E30" s="286"/>
      <c r="F30" s="276"/>
      <c r="G30" s="276"/>
      <c r="H30" s="280"/>
      <c r="I30" s="280"/>
      <c r="J30" s="288"/>
    </row>
    <row r="31" spans="5:10" ht="14.4" customHeight="1" thickBot="1" x14ac:dyDescent="0.35">
      <c r="E31" s="289"/>
      <c r="F31" s="290"/>
      <c r="G31" s="290"/>
      <c r="H31" s="291"/>
      <c r="I31" s="291"/>
      <c r="J31" s="292"/>
    </row>
    <row r="32" spans="5:10" ht="14.4" customHeight="1" x14ac:dyDescent="0.3"/>
    <row r="33" ht="14.4" customHeight="1" x14ac:dyDescent="0.3"/>
    <row r="34" ht="14.4" customHeight="1" x14ac:dyDescent="0.3"/>
    <row r="35" ht="14.4" customHeight="1" x14ac:dyDescent="0.3"/>
    <row r="36" ht="14.4" customHeight="1" x14ac:dyDescent="0.3"/>
    <row r="37" ht="14.4" customHeight="1" x14ac:dyDescent="0.3"/>
    <row r="38" ht="14.4" customHeight="1" x14ac:dyDescent="0.3"/>
  </sheetData>
  <mergeCells count="2">
    <mergeCell ref="A2:AE2"/>
    <mergeCell ref="E7:J8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BCA9A-CFF6-4DA6-B23B-2BC2AFAE32E6}">
  <sheetPr codeName="Planilha25">
    <tabColor rgb="FFFF0000"/>
  </sheetPr>
  <dimension ref="A1:AE39"/>
  <sheetViews>
    <sheetView showGridLines="0" zoomScale="70" zoomScaleNormal="70" workbookViewId="0">
      <selection activeCell="O33" sqref="O33"/>
    </sheetView>
  </sheetViews>
  <sheetFormatPr defaultRowHeight="14.4" x14ac:dyDescent="0.3"/>
  <cols>
    <col min="1" max="5" width="8.88671875" style="300"/>
    <col min="6" max="6" width="33.77734375" style="300" bestFit="1" customWidth="1"/>
    <col min="7" max="7" width="8.88671875" style="300" customWidth="1"/>
    <col min="8" max="8" width="8.88671875" style="300"/>
    <col min="9" max="9" width="41.109375" style="300" bestFit="1" customWidth="1"/>
    <col min="10" max="16384" width="8.88671875" style="300"/>
  </cols>
  <sheetData>
    <row r="1" spans="1:31" ht="61.5" customHeight="1" x14ac:dyDescent="0.3">
      <c r="A1" s="301"/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  <c r="Y1" s="301"/>
      <c r="Z1" s="301"/>
      <c r="AA1" s="301"/>
      <c r="AB1" s="301"/>
      <c r="AC1" s="301"/>
      <c r="AD1" s="301"/>
      <c r="AE1" s="301"/>
    </row>
    <row r="2" spans="1:31" ht="46.2" customHeight="1" x14ac:dyDescent="0.3">
      <c r="A2" s="419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19"/>
      <c r="W2" s="419"/>
      <c r="X2" s="419"/>
      <c r="Y2" s="419"/>
      <c r="Z2" s="419"/>
      <c r="AA2" s="419"/>
      <c r="AB2" s="419"/>
      <c r="AC2" s="419"/>
      <c r="AD2" s="419"/>
      <c r="AE2" s="419"/>
    </row>
    <row r="5" spans="1:31" ht="14.4" customHeight="1" x14ac:dyDescent="0.3"/>
    <row r="6" spans="1:31" ht="14.4" customHeight="1" thickBot="1" x14ac:dyDescent="0.35"/>
    <row r="7" spans="1:31" ht="14.4" customHeight="1" x14ac:dyDescent="0.3">
      <c r="E7" s="448" t="s">
        <v>402</v>
      </c>
      <c r="F7" s="449"/>
      <c r="G7" s="449"/>
      <c r="H7" s="449"/>
      <c r="I7" s="449"/>
      <c r="J7" s="450"/>
    </row>
    <row r="8" spans="1:31" s="311" customFormat="1" ht="14.4" customHeight="1" x14ac:dyDescent="0.3">
      <c r="E8" s="451"/>
      <c r="F8" s="452"/>
      <c r="G8" s="452"/>
      <c r="H8" s="452"/>
      <c r="I8" s="452"/>
      <c r="J8" s="453"/>
    </row>
    <row r="9" spans="1:31" ht="14.4" customHeight="1" x14ac:dyDescent="0.3">
      <c r="E9" s="314"/>
      <c r="F9" s="260"/>
      <c r="G9" s="260"/>
      <c r="H9" s="261"/>
      <c r="I9" s="261"/>
      <c r="J9" s="315"/>
    </row>
    <row r="10" spans="1:31" ht="14.4" customHeight="1" x14ac:dyDescent="0.3">
      <c r="E10" s="316"/>
      <c r="F10" s="262" t="s">
        <v>388</v>
      </c>
      <c r="G10" s="263"/>
      <c r="H10" s="263"/>
      <c r="I10" s="313" t="s">
        <v>389</v>
      </c>
      <c r="J10" s="317"/>
    </row>
    <row r="11" spans="1:31" ht="14.4" customHeight="1" x14ac:dyDescent="0.3">
      <c r="E11" s="316"/>
      <c r="F11" s="263"/>
      <c r="G11" s="263"/>
      <c r="H11" s="263"/>
      <c r="I11" s="259"/>
      <c r="J11" s="317"/>
    </row>
    <row r="12" spans="1:31" ht="14.4" customHeight="1" x14ac:dyDescent="0.3">
      <c r="E12" s="314"/>
      <c r="F12" s="260" t="s">
        <v>390</v>
      </c>
      <c r="G12" s="260"/>
      <c r="H12" s="261"/>
      <c r="I12" s="265" t="s">
        <v>391</v>
      </c>
      <c r="J12" s="315"/>
    </row>
    <row r="13" spans="1:31" ht="14.4" customHeight="1" x14ac:dyDescent="0.3">
      <c r="E13" s="314"/>
      <c r="F13" s="260"/>
      <c r="G13" s="260"/>
      <c r="H13" s="261"/>
      <c r="I13" s="261"/>
      <c r="J13" s="315"/>
    </row>
    <row r="14" spans="1:31" ht="14.4" customHeight="1" x14ac:dyDescent="0.3">
      <c r="E14" s="314"/>
      <c r="F14" s="260" t="s">
        <v>375</v>
      </c>
      <c r="G14" s="260"/>
      <c r="H14" s="261"/>
      <c r="I14" s="266" t="s">
        <v>392</v>
      </c>
      <c r="J14" s="315"/>
    </row>
    <row r="15" spans="1:31" ht="14.4" customHeight="1" x14ac:dyDescent="0.3">
      <c r="E15" s="314"/>
      <c r="F15" s="261"/>
      <c r="G15" s="261"/>
      <c r="H15" s="261"/>
      <c r="I15" s="261"/>
      <c r="J15" s="315"/>
    </row>
    <row r="16" spans="1:31" ht="14.4" customHeight="1" x14ac:dyDescent="0.3">
      <c r="E16" s="314"/>
      <c r="F16" s="260" t="s">
        <v>38</v>
      </c>
      <c r="G16" s="261"/>
      <c r="H16" s="261"/>
      <c r="I16" s="267" t="s">
        <v>393</v>
      </c>
      <c r="J16" s="315"/>
    </row>
    <row r="17" spans="5:10" ht="14.4" customHeight="1" x14ac:dyDescent="0.3">
      <c r="E17" s="314"/>
      <c r="F17" s="261"/>
      <c r="G17" s="261"/>
      <c r="H17" s="261"/>
      <c r="I17" s="261"/>
      <c r="J17" s="315"/>
    </row>
    <row r="18" spans="5:10" ht="14.4" customHeight="1" x14ac:dyDescent="0.3">
      <c r="E18" s="314"/>
      <c r="F18" s="260" t="s">
        <v>37</v>
      </c>
      <c r="G18" s="261"/>
      <c r="H18" s="261"/>
      <c r="I18" s="265" t="s">
        <v>394</v>
      </c>
      <c r="J18" s="315"/>
    </row>
    <row r="19" spans="5:10" ht="14.4" customHeight="1" x14ac:dyDescent="0.3">
      <c r="E19" s="314"/>
      <c r="F19" s="261"/>
      <c r="G19" s="261"/>
      <c r="H19" s="261"/>
      <c r="I19" s="261"/>
      <c r="J19" s="315"/>
    </row>
    <row r="20" spans="5:10" ht="14.4" customHeight="1" x14ac:dyDescent="0.3">
      <c r="E20" s="314"/>
      <c r="F20" s="260" t="s">
        <v>395</v>
      </c>
      <c r="G20" s="261"/>
      <c r="H20" s="261"/>
      <c r="I20" s="265" t="s">
        <v>396</v>
      </c>
      <c r="J20" s="315"/>
    </row>
    <row r="21" spans="5:10" ht="14.4" customHeight="1" x14ac:dyDescent="0.3">
      <c r="E21" s="314"/>
      <c r="F21" s="261"/>
      <c r="G21" s="261"/>
      <c r="H21" s="264"/>
      <c r="I21" s="264"/>
      <c r="J21" s="318"/>
    </row>
    <row r="22" spans="5:10" ht="14.4" customHeight="1" x14ac:dyDescent="0.3">
      <c r="E22" s="314"/>
      <c r="F22" s="260" t="s">
        <v>397</v>
      </c>
      <c r="G22" s="261"/>
      <c r="H22" s="264"/>
      <c r="I22" s="268" t="s">
        <v>398</v>
      </c>
      <c r="J22" s="318"/>
    </row>
    <row r="23" spans="5:10" ht="14.4" customHeight="1" x14ac:dyDescent="0.3">
      <c r="E23" s="316"/>
      <c r="F23" s="263"/>
      <c r="G23" s="263"/>
      <c r="H23" s="263"/>
      <c r="I23" s="259"/>
      <c r="J23" s="317"/>
    </row>
    <row r="24" spans="5:10" ht="14.4" customHeight="1" x14ac:dyDescent="0.3">
      <c r="E24" s="314"/>
      <c r="F24" s="260" t="s">
        <v>399</v>
      </c>
      <c r="G24" s="261"/>
      <c r="H24" s="264"/>
      <c r="I24" s="268" t="s">
        <v>400</v>
      </c>
      <c r="J24" s="318"/>
    </row>
    <row r="25" spans="5:10" ht="14.4" customHeight="1" x14ac:dyDescent="0.3">
      <c r="E25" s="314"/>
      <c r="F25" s="261"/>
      <c r="G25" s="261"/>
      <c r="H25" s="264"/>
      <c r="I25" s="264"/>
      <c r="J25" s="318"/>
    </row>
    <row r="26" spans="5:10" ht="14.4" customHeight="1" x14ac:dyDescent="0.3">
      <c r="E26" s="314"/>
      <c r="F26" s="260" t="s">
        <v>401</v>
      </c>
      <c r="G26" s="261"/>
      <c r="H26" s="264"/>
      <c r="I26" s="269">
        <v>4.5</v>
      </c>
      <c r="J26" s="318"/>
    </row>
    <row r="27" spans="5:10" ht="14.4" customHeight="1" thickBot="1" x14ac:dyDescent="0.35">
      <c r="E27" s="319"/>
      <c r="F27" s="320"/>
      <c r="G27" s="320"/>
      <c r="H27" s="321"/>
      <c r="I27" s="321"/>
      <c r="J27" s="322"/>
    </row>
    <row r="28" spans="5:10" ht="14.4" customHeight="1" x14ac:dyDescent="0.3">
      <c r="E28" s="297"/>
      <c r="F28" s="297"/>
      <c r="G28" s="297"/>
      <c r="H28" s="298"/>
      <c r="I28" s="298"/>
      <c r="J28" s="298"/>
    </row>
    <row r="29" spans="5:10" ht="14.4" customHeight="1" x14ac:dyDescent="0.3">
      <c r="E29" s="297"/>
      <c r="F29" s="297"/>
      <c r="G29" s="297"/>
      <c r="H29" s="298"/>
      <c r="I29" s="298"/>
      <c r="J29" s="298"/>
    </row>
    <row r="30" spans="5:10" ht="14.4" customHeight="1" x14ac:dyDescent="0.3">
      <c r="E30" s="297"/>
      <c r="F30" s="297"/>
      <c r="G30" s="297"/>
      <c r="H30" s="298"/>
      <c r="I30" s="298"/>
      <c r="J30" s="298"/>
    </row>
    <row r="31" spans="5:10" ht="14.4" customHeight="1" x14ac:dyDescent="0.3">
      <c r="E31" s="297"/>
      <c r="F31" s="297"/>
      <c r="G31" s="297"/>
      <c r="H31" s="298"/>
      <c r="I31" s="298"/>
      <c r="J31" s="298"/>
    </row>
    <row r="32" spans="5:10" ht="14.4" customHeight="1" x14ac:dyDescent="0.3">
      <c r="E32" s="297"/>
      <c r="F32" s="297"/>
      <c r="G32" s="297"/>
      <c r="H32" s="298"/>
      <c r="I32" s="298"/>
      <c r="J32" s="298"/>
    </row>
    <row r="33" ht="14.4" customHeight="1" x14ac:dyDescent="0.3"/>
    <row r="34" ht="14.4" customHeight="1" x14ac:dyDescent="0.3"/>
    <row r="35" ht="14.4" customHeight="1" x14ac:dyDescent="0.3"/>
    <row r="36" ht="14.4" customHeight="1" x14ac:dyDescent="0.3"/>
    <row r="37" ht="14.4" customHeight="1" x14ac:dyDescent="0.3"/>
    <row r="38" ht="14.4" customHeight="1" x14ac:dyDescent="0.3"/>
    <row r="39" ht="14.4" customHeight="1" x14ac:dyDescent="0.3"/>
  </sheetData>
  <mergeCells count="2">
    <mergeCell ref="A2:AE2"/>
    <mergeCell ref="E7:J8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4EE17-9B84-4FD7-92B8-355A1DBEAE58}">
  <sheetPr codeName="Planilha24">
    <tabColor rgb="FFFF0000"/>
  </sheetPr>
  <dimension ref="A1:AE39"/>
  <sheetViews>
    <sheetView showGridLines="0" zoomScale="70" zoomScaleNormal="70" workbookViewId="0">
      <selection activeCell="O22" sqref="O22"/>
    </sheetView>
  </sheetViews>
  <sheetFormatPr defaultRowHeight="14.4" x14ac:dyDescent="0.3"/>
  <cols>
    <col min="1" max="5" width="8.88671875" style="257"/>
    <col min="6" max="6" width="33.77734375" style="257" bestFit="1" customWidth="1"/>
    <col min="7" max="7" width="8.88671875" style="257" customWidth="1"/>
    <col min="8" max="8" width="32" style="257" customWidth="1"/>
    <col min="9" max="9" width="8.88671875" style="257" customWidth="1"/>
    <col min="10" max="16384" width="8.88671875" style="257"/>
  </cols>
  <sheetData>
    <row r="1" spans="1:31" ht="61.5" customHeight="1" x14ac:dyDescent="0.3">
      <c r="A1" s="258"/>
      <c r="B1" s="258"/>
      <c r="C1" s="258"/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258"/>
      <c r="S1" s="258"/>
      <c r="T1" s="258"/>
      <c r="U1" s="258"/>
      <c r="V1" s="258"/>
      <c r="W1" s="258"/>
      <c r="X1" s="258"/>
      <c r="Y1" s="258"/>
      <c r="Z1" s="258"/>
      <c r="AA1" s="258"/>
      <c r="AB1" s="258"/>
      <c r="AC1" s="258"/>
      <c r="AD1" s="258"/>
      <c r="AE1" s="258"/>
    </row>
    <row r="2" spans="1:31" ht="46.2" customHeight="1" x14ac:dyDescent="0.3">
      <c r="A2" s="419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19"/>
      <c r="W2" s="419"/>
      <c r="X2" s="419"/>
      <c r="Y2" s="419"/>
      <c r="Z2" s="419"/>
      <c r="AA2" s="419"/>
      <c r="AB2" s="419"/>
      <c r="AC2" s="419"/>
      <c r="AD2" s="419"/>
      <c r="AE2" s="419"/>
    </row>
    <row r="5" spans="1:31" ht="14.4" customHeight="1" x14ac:dyDescent="0.3"/>
    <row r="6" spans="1:31" ht="14.4" customHeight="1" thickBot="1" x14ac:dyDescent="0.35"/>
    <row r="7" spans="1:31" ht="14.4" customHeight="1" x14ac:dyDescent="0.4">
      <c r="E7" s="454" t="s">
        <v>403</v>
      </c>
      <c r="F7" s="455"/>
      <c r="G7" s="455"/>
      <c r="H7" s="455"/>
      <c r="I7" s="456"/>
      <c r="J7" s="304"/>
      <c r="K7" s="304"/>
    </row>
    <row r="8" spans="1:31" s="300" customFormat="1" ht="14.4" customHeight="1" x14ac:dyDescent="0.4">
      <c r="E8" s="457"/>
      <c r="F8" s="424"/>
      <c r="G8" s="424"/>
      <c r="H8" s="424"/>
      <c r="I8" s="458"/>
      <c r="J8" s="304"/>
      <c r="K8" s="304"/>
    </row>
    <row r="9" spans="1:31" ht="14.4" customHeight="1" x14ac:dyDescent="0.3">
      <c r="E9" s="306"/>
      <c r="F9" s="259"/>
      <c r="G9" s="259"/>
      <c r="H9" s="259"/>
      <c r="I9" s="307"/>
      <c r="J9" s="305"/>
      <c r="K9" s="305"/>
    </row>
    <row r="10" spans="1:31" ht="14.4" customHeight="1" x14ac:dyDescent="0.3">
      <c r="E10" s="306"/>
      <c r="F10" s="262" t="s">
        <v>404</v>
      </c>
      <c r="G10" s="259"/>
      <c r="H10" s="302"/>
      <c r="I10" s="307"/>
      <c r="J10" s="226"/>
      <c r="K10" s="305"/>
    </row>
    <row r="11" spans="1:31" ht="14.4" customHeight="1" x14ac:dyDescent="0.3">
      <c r="E11" s="306"/>
      <c r="F11" s="262"/>
      <c r="G11" s="259"/>
      <c r="H11" s="259"/>
      <c r="I11" s="307"/>
      <c r="J11" s="305"/>
      <c r="K11" s="305"/>
    </row>
    <row r="12" spans="1:31" ht="14.4" customHeight="1" x14ac:dyDescent="0.3">
      <c r="E12" s="306"/>
      <c r="F12" s="262" t="s">
        <v>405</v>
      </c>
      <c r="G12" s="259"/>
      <c r="H12" s="302"/>
      <c r="I12" s="307"/>
      <c r="J12" s="226"/>
      <c r="K12" s="305"/>
    </row>
    <row r="13" spans="1:31" ht="14.4" customHeight="1" x14ac:dyDescent="0.3">
      <c r="E13" s="306"/>
      <c r="F13" s="262"/>
      <c r="G13" s="259"/>
      <c r="H13" s="259"/>
      <c r="I13" s="307"/>
      <c r="J13" s="305"/>
      <c r="K13" s="305"/>
    </row>
    <row r="14" spans="1:31" ht="14.4" customHeight="1" x14ac:dyDescent="0.3">
      <c r="E14" s="306"/>
      <c r="F14" s="262" t="s">
        <v>406</v>
      </c>
      <c r="G14" s="259"/>
      <c r="H14" s="302"/>
      <c r="I14" s="307"/>
      <c r="J14" s="226"/>
      <c r="K14" s="305"/>
    </row>
    <row r="15" spans="1:31" ht="14.4" customHeight="1" x14ac:dyDescent="0.3">
      <c r="E15" s="306"/>
      <c r="F15" s="262"/>
      <c r="G15" s="259"/>
      <c r="H15" s="259"/>
      <c r="I15" s="307"/>
      <c r="J15" s="305"/>
      <c r="K15" s="305"/>
    </row>
    <row r="16" spans="1:31" ht="14.4" customHeight="1" x14ac:dyDescent="0.3">
      <c r="E16" s="306"/>
      <c r="F16" s="262" t="s">
        <v>407</v>
      </c>
      <c r="G16" s="259"/>
      <c r="H16" s="303"/>
      <c r="I16" s="307"/>
      <c r="J16" s="226"/>
      <c r="K16" s="305"/>
    </row>
    <row r="17" spans="5:11" ht="14.4" customHeight="1" x14ac:dyDescent="0.3">
      <c r="E17" s="306"/>
      <c r="F17" s="259"/>
      <c r="G17" s="259"/>
      <c r="H17" s="259"/>
      <c r="I17" s="307"/>
      <c r="J17" s="305"/>
      <c r="K17" s="305"/>
    </row>
    <row r="18" spans="5:11" ht="14.4" customHeight="1" x14ac:dyDescent="0.3">
      <c r="E18" s="306"/>
      <c r="F18" s="262" t="s">
        <v>408</v>
      </c>
      <c r="G18" s="259"/>
      <c r="H18" s="303"/>
      <c r="I18" s="307"/>
      <c r="J18" s="226"/>
      <c r="K18" s="305"/>
    </row>
    <row r="19" spans="5:11" ht="14.4" customHeight="1" x14ac:dyDescent="0.3">
      <c r="E19" s="306"/>
      <c r="F19" s="259"/>
      <c r="G19" s="259"/>
      <c r="H19" s="259"/>
      <c r="I19" s="307"/>
      <c r="J19" s="305"/>
      <c r="K19" s="305"/>
    </row>
    <row r="20" spans="5:11" ht="14.4" customHeight="1" x14ac:dyDescent="0.3">
      <c r="E20" s="306"/>
      <c r="F20" s="259"/>
      <c r="G20" s="259"/>
      <c r="H20" s="259"/>
      <c r="I20" s="307"/>
      <c r="J20" s="297"/>
    </row>
    <row r="21" spans="5:11" ht="14.4" customHeight="1" x14ac:dyDescent="0.3">
      <c r="E21" s="306"/>
      <c r="F21" s="259"/>
      <c r="G21" s="259"/>
      <c r="H21" s="259"/>
      <c r="I21" s="307"/>
      <c r="J21" s="297"/>
    </row>
    <row r="22" spans="5:11" ht="14.4" customHeight="1" x14ac:dyDescent="0.3">
      <c r="E22" s="306"/>
      <c r="F22" s="259"/>
      <c r="G22" s="259"/>
      <c r="H22" s="259"/>
      <c r="I22" s="307"/>
      <c r="J22" s="298"/>
    </row>
    <row r="23" spans="5:11" ht="14.4" customHeight="1" thickBot="1" x14ac:dyDescent="0.35">
      <c r="E23" s="308"/>
      <c r="F23" s="309"/>
      <c r="G23" s="309"/>
      <c r="H23" s="309"/>
      <c r="I23" s="310"/>
      <c r="J23" s="298"/>
    </row>
    <row r="24" spans="5:11" ht="14.4" customHeight="1" x14ac:dyDescent="0.3">
      <c r="E24" s="294"/>
      <c r="F24" s="294"/>
      <c r="G24" s="294"/>
      <c r="H24" s="294"/>
      <c r="I24" s="295"/>
      <c r="J24" s="294"/>
    </row>
    <row r="25" spans="5:11" ht="14.4" customHeight="1" x14ac:dyDescent="0.3">
      <c r="E25" s="297"/>
      <c r="F25" s="296"/>
      <c r="G25" s="297"/>
      <c r="H25" s="298"/>
      <c r="I25" s="298"/>
      <c r="J25" s="298"/>
    </row>
    <row r="26" spans="5:11" ht="14.4" customHeight="1" x14ac:dyDescent="0.3">
      <c r="E26" s="297"/>
      <c r="F26" s="297"/>
      <c r="G26" s="297"/>
      <c r="H26" s="298"/>
      <c r="I26" s="298"/>
      <c r="J26" s="298"/>
    </row>
    <row r="27" spans="5:11" ht="14.4" customHeight="1" x14ac:dyDescent="0.3">
      <c r="E27" s="297"/>
      <c r="F27" s="296"/>
      <c r="G27" s="297"/>
      <c r="H27" s="298"/>
      <c r="I27" s="299"/>
      <c r="J27" s="298"/>
    </row>
    <row r="28" spans="5:11" ht="14.4" customHeight="1" x14ac:dyDescent="0.3">
      <c r="E28" s="297"/>
      <c r="F28" s="297"/>
      <c r="G28" s="297"/>
      <c r="H28" s="298"/>
      <c r="I28" s="298"/>
      <c r="J28" s="298"/>
    </row>
    <row r="29" spans="5:11" ht="14.4" customHeight="1" x14ac:dyDescent="0.3">
      <c r="E29" s="297"/>
      <c r="F29" s="297"/>
      <c r="G29" s="297"/>
      <c r="H29" s="298"/>
      <c r="I29" s="298"/>
      <c r="J29" s="298"/>
    </row>
    <row r="30" spans="5:11" ht="14.4" customHeight="1" x14ac:dyDescent="0.3">
      <c r="E30" s="297"/>
      <c r="F30" s="297"/>
      <c r="G30" s="297"/>
      <c r="H30" s="298"/>
      <c r="I30" s="298"/>
      <c r="J30" s="298"/>
    </row>
    <row r="31" spans="5:11" ht="14.4" customHeight="1" x14ac:dyDescent="0.3">
      <c r="E31" s="297"/>
      <c r="F31" s="297"/>
      <c r="G31" s="297"/>
      <c r="H31" s="298"/>
      <c r="I31" s="298"/>
      <c r="J31" s="298"/>
    </row>
    <row r="32" spans="5:11" ht="14.4" customHeight="1" x14ac:dyDescent="0.3">
      <c r="E32" s="297"/>
      <c r="F32" s="297"/>
      <c r="G32" s="297"/>
      <c r="H32" s="298"/>
      <c r="I32" s="298"/>
      <c r="J32" s="298"/>
    </row>
    <row r="33" ht="14.4" customHeight="1" x14ac:dyDescent="0.3"/>
    <row r="34" ht="14.4" customHeight="1" x14ac:dyDescent="0.3"/>
    <row r="35" ht="14.4" customHeight="1" x14ac:dyDescent="0.3"/>
    <row r="36" ht="14.4" customHeight="1" x14ac:dyDescent="0.3"/>
    <row r="37" ht="14.4" customHeight="1" x14ac:dyDescent="0.3"/>
    <row r="38" ht="14.4" customHeight="1" x14ac:dyDescent="0.3"/>
    <row r="39" ht="14.4" customHeight="1" x14ac:dyDescent="0.3"/>
  </sheetData>
  <mergeCells count="2">
    <mergeCell ref="A2:AE2"/>
    <mergeCell ref="E7:I8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30CDE-D6C6-4343-9392-C855A4232612}">
  <sheetPr codeName="Planilha26">
    <tabColor rgb="FFFF0000"/>
  </sheetPr>
  <dimension ref="A1:AE40"/>
  <sheetViews>
    <sheetView showGridLines="0" zoomScale="70" zoomScaleNormal="70" workbookViewId="0">
      <selection activeCell="L27" sqref="L27"/>
    </sheetView>
  </sheetViews>
  <sheetFormatPr defaultRowHeight="14.4" x14ac:dyDescent="0.3"/>
  <cols>
    <col min="1" max="5" width="8.88671875" style="311"/>
    <col min="6" max="6" width="33.77734375" style="311" bestFit="1" customWidth="1"/>
    <col min="7" max="7" width="25.21875" style="311" customWidth="1"/>
    <col min="8" max="8" width="8.88671875" style="311"/>
    <col min="9" max="9" width="41.109375" style="311" bestFit="1" customWidth="1"/>
    <col min="10" max="16384" width="8.88671875" style="311"/>
  </cols>
  <sheetData>
    <row r="1" spans="1:31" ht="61.5" customHeight="1" x14ac:dyDescent="0.3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2"/>
    </row>
    <row r="2" spans="1:31" ht="46.2" customHeight="1" x14ac:dyDescent="0.3">
      <c r="A2" s="419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19"/>
      <c r="W2" s="419"/>
      <c r="X2" s="419"/>
      <c r="Y2" s="419"/>
      <c r="Z2" s="419"/>
      <c r="AA2" s="419"/>
      <c r="AB2" s="419"/>
      <c r="AC2" s="419"/>
      <c r="AD2" s="419"/>
      <c r="AE2" s="419"/>
    </row>
    <row r="5" spans="1:31" ht="14.4" customHeight="1" x14ac:dyDescent="0.3"/>
    <row r="6" spans="1:31" ht="14.4" customHeight="1" x14ac:dyDescent="0.3"/>
    <row r="7" spans="1:31" ht="14.4" customHeight="1" thickBot="1" x14ac:dyDescent="0.35">
      <c r="E7" s="326"/>
      <c r="F7" s="326"/>
      <c r="G7" s="326"/>
      <c r="H7" s="326"/>
      <c r="I7" s="326"/>
      <c r="J7" s="326"/>
    </row>
    <row r="8" spans="1:31" ht="14.4" customHeight="1" x14ac:dyDescent="0.3">
      <c r="E8" s="433" t="s">
        <v>411</v>
      </c>
      <c r="F8" s="434"/>
      <c r="G8" s="434"/>
      <c r="H8" s="435"/>
      <c r="I8" s="331"/>
      <c r="J8" s="331"/>
      <c r="K8" s="331"/>
      <c r="L8" s="331"/>
    </row>
    <row r="9" spans="1:31" s="329" customFormat="1" ht="14.4" customHeight="1" x14ac:dyDescent="0.3">
      <c r="E9" s="436"/>
      <c r="F9" s="437"/>
      <c r="G9" s="437"/>
      <c r="H9" s="438"/>
      <c r="I9" s="331"/>
      <c r="J9" s="331"/>
      <c r="K9" s="331"/>
      <c r="L9" s="331"/>
    </row>
    <row r="10" spans="1:31" ht="14.4" customHeight="1" x14ac:dyDescent="0.3">
      <c r="E10" s="352"/>
      <c r="F10" s="347"/>
      <c r="G10" s="347"/>
      <c r="H10" s="353"/>
      <c r="I10" s="332"/>
      <c r="J10" s="332"/>
      <c r="K10" s="332"/>
      <c r="L10" s="332"/>
    </row>
    <row r="11" spans="1:31" ht="14.4" customHeight="1" x14ac:dyDescent="0.3">
      <c r="E11" s="352"/>
      <c r="F11" s="349" t="s">
        <v>409</v>
      </c>
      <c r="G11" s="336"/>
      <c r="H11" s="353"/>
      <c r="I11" s="332"/>
      <c r="J11" s="333"/>
      <c r="K11" s="332"/>
      <c r="L11" s="332"/>
    </row>
    <row r="12" spans="1:31" ht="14.4" customHeight="1" x14ac:dyDescent="0.3">
      <c r="E12" s="352"/>
      <c r="F12" s="347"/>
      <c r="G12" s="347"/>
      <c r="H12" s="353"/>
      <c r="I12" s="332"/>
      <c r="J12" s="332"/>
      <c r="K12" s="332"/>
      <c r="L12" s="332"/>
    </row>
    <row r="13" spans="1:31" ht="14.4" customHeight="1" x14ac:dyDescent="0.3">
      <c r="E13" s="352"/>
      <c r="F13" s="349" t="s">
        <v>410</v>
      </c>
      <c r="G13" s="336"/>
      <c r="H13" s="353"/>
      <c r="I13" s="332"/>
      <c r="J13" s="333"/>
      <c r="K13" s="332"/>
      <c r="L13" s="332"/>
    </row>
    <row r="14" spans="1:31" ht="14.4" customHeight="1" x14ac:dyDescent="0.3">
      <c r="E14" s="352"/>
      <c r="F14" s="348"/>
      <c r="G14" s="348"/>
      <c r="H14" s="354"/>
      <c r="I14" s="334"/>
      <c r="J14" s="334"/>
      <c r="K14" s="334"/>
      <c r="L14" s="334"/>
    </row>
    <row r="15" spans="1:31" ht="14.4" customHeight="1" x14ac:dyDescent="0.3">
      <c r="E15" s="352"/>
      <c r="F15" s="349" t="s">
        <v>399</v>
      </c>
      <c r="G15" s="336"/>
      <c r="H15" s="354"/>
      <c r="I15" s="334"/>
      <c r="J15" s="333"/>
      <c r="K15" s="334"/>
      <c r="L15" s="334"/>
    </row>
    <row r="16" spans="1:31" ht="14.4" customHeight="1" x14ac:dyDescent="0.3">
      <c r="E16" s="352"/>
      <c r="F16" s="348"/>
      <c r="G16" s="348"/>
      <c r="H16" s="354"/>
      <c r="I16" s="334"/>
      <c r="J16" s="334"/>
      <c r="K16" s="334"/>
      <c r="L16" s="334"/>
    </row>
    <row r="17" spans="5:12" ht="14.4" customHeight="1" x14ac:dyDescent="0.3">
      <c r="E17" s="352"/>
      <c r="F17" s="349" t="s">
        <v>227</v>
      </c>
      <c r="G17" s="336"/>
      <c r="H17" s="354"/>
      <c r="I17" s="334"/>
      <c r="J17" s="333"/>
      <c r="K17" s="334"/>
      <c r="L17" s="334"/>
    </row>
    <row r="18" spans="5:12" ht="14.4" customHeight="1" x14ac:dyDescent="0.3">
      <c r="E18" s="352"/>
      <c r="F18" s="348"/>
      <c r="G18" s="348"/>
      <c r="H18" s="355"/>
      <c r="I18" s="335"/>
      <c r="J18" s="335"/>
      <c r="K18" s="335"/>
      <c r="L18" s="335"/>
    </row>
    <row r="19" spans="5:12" ht="14.4" customHeight="1" x14ac:dyDescent="0.3">
      <c r="E19" s="352"/>
      <c r="F19" s="348"/>
      <c r="G19" s="348"/>
      <c r="H19" s="355"/>
      <c r="I19" s="323"/>
      <c r="J19" s="323"/>
    </row>
    <row r="20" spans="5:12" ht="14.4" customHeight="1" x14ac:dyDescent="0.3">
      <c r="E20" s="352"/>
      <c r="F20" s="348"/>
      <c r="G20" s="348"/>
      <c r="H20" s="355"/>
      <c r="I20" s="323"/>
      <c r="J20" s="323"/>
    </row>
    <row r="21" spans="5:12" ht="14.4" customHeight="1" x14ac:dyDescent="0.3">
      <c r="E21" s="352"/>
      <c r="F21" s="348"/>
      <c r="G21" s="348"/>
      <c r="H21" s="355"/>
      <c r="I21" s="323"/>
      <c r="J21" s="323"/>
    </row>
    <row r="22" spans="5:12" ht="14.4" customHeight="1" thickBot="1" x14ac:dyDescent="0.35">
      <c r="E22" s="356"/>
      <c r="F22" s="357"/>
      <c r="G22" s="357"/>
      <c r="H22" s="358"/>
      <c r="I22" s="324"/>
      <c r="J22" s="324"/>
    </row>
    <row r="23" spans="5:12" ht="14.4" customHeight="1" x14ac:dyDescent="0.3">
      <c r="E23" s="323"/>
      <c r="F23" s="327"/>
      <c r="G23" s="323"/>
      <c r="H23" s="324"/>
      <c r="I23" s="324"/>
      <c r="J23" s="324"/>
    </row>
    <row r="24" spans="5:12" ht="14.4" customHeight="1" x14ac:dyDescent="0.3">
      <c r="E24" s="328"/>
      <c r="F24" s="328"/>
      <c r="G24" s="328"/>
      <c r="H24" s="328"/>
      <c r="I24" s="305"/>
      <c r="J24" s="328"/>
    </row>
    <row r="25" spans="5:12" ht="14.4" customHeight="1" x14ac:dyDescent="0.3">
      <c r="E25" s="323"/>
      <c r="F25" s="327"/>
      <c r="G25" s="323"/>
      <c r="H25" s="324"/>
      <c r="I25" s="324"/>
      <c r="J25" s="324"/>
    </row>
    <row r="26" spans="5:12" ht="14.4" customHeight="1" x14ac:dyDescent="0.3">
      <c r="E26" s="323"/>
      <c r="F26" s="323"/>
      <c r="G26" s="323"/>
      <c r="H26" s="324"/>
      <c r="I26" s="324"/>
      <c r="J26" s="324"/>
    </row>
    <row r="27" spans="5:12" ht="14.4" customHeight="1" x14ac:dyDescent="0.3">
      <c r="E27" s="323"/>
      <c r="F27" s="327"/>
      <c r="G27" s="323"/>
      <c r="H27" s="324"/>
      <c r="I27" s="325"/>
      <c r="J27" s="324"/>
    </row>
    <row r="28" spans="5:12" ht="14.4" customHeight="1" x14ac:dyDescent="0.3">
      <c r="E28" s="323"/>
      <c r="F28" s="323"/>
      <c r="G28" s="323"/>
      <c r="H28" s="324"/>
      <c r="I28" s="324"/>
      <c r="J28" s="324"/>
    </row>
    <row r="29" spans="5:12" ht="14.4" customHeight="1" x14ac:dyDescent="0.3">
      <c r="E29" s="297"/>
      <c r="F29" s="297"/>
      <c r="G29" s="297"/>
      <c r="H29" s="298"/>
      <c r="I29" s="298"/>
      <c r="J29" s="298"/>
    </row>
    <row r="30" spans="5:12" ht="14.4" customHeight="1" x14ac:dyDescent="0.3">
      <c r="E30" s="297"/>
      <c r="F30" s="297"/>
      <c r="G30" s="297"/>
      <c r="H30" s="298"/>
      <c r="I30" s="298"/>
      <c r="J30" s="298"/>
    </row>
    <row r="31" spans="5:12" ht="14.4" customHeight="1" x14ac:dyDescent="0.3">
      <c r="E31" s="297"/>
      <c r="F31" s="297"/>
      <c r="G31" s="297"/>
      <c r="H31" s="298"/>
      <c r="I31" s="298"/>
      <c r="J31" s="298"/>
    </row>
    <row r="32" spans="5:12" ht="14.4" customHeight="1" x14ac:dyDescent="0.3">
      <c r="E32" s="297"/>
      <c r="F32" s="297"/>
      <c r="G32" s="297"/>
      <c r="H32" s="298"/>
      <c r="I32" s="298"/>
      <c r="J32" s="298"/>
    </row>
    <row r="33" spans="5:10" ht="14.4" customHeight="1" x14ac:dyDescent="0.3">
      <c r="E33" s="297"/>
      <c r="F33" s="297"/>
      <c r="G33" s="297"/>
      <c r="H33" s="298"/>
      <c r="I33" s="298"/>
      <c r="J33" s="298"/>
    </row>
    <row r="34" spans="5:10" ht="14.4" customHeight="1" x14ac:dyDescent="0.3"/>
    <row r="35" spans="5:10" ht="14.4" customHeight="1" x14ac:dyDescent="0.3"/>
    <row r="36" spans="5:10" ht="14.4" customHeight="1" x14ac:dyDescent="0.3"/>
    <row r="37" spans="5:10" ht="14.4" customHeight="1" x14ac:dyDescent="0.3"/>
    <row r="38" spans="5:10" ht="14.4" customHeight="1" x14ac:dyDescent="0.3"/>
    <row r="39" spans="5:10" ht="14.4" customHeight="1" x14ac:dyDescent="0.3"/>
    <row r="40" spans="5:10" ht="14.4" customHeight="1" x14ac:dyDescent="0.3"/>
  </sheetData>
  <mergeCells count="2">
    <mergeCell ref="A2:AE2"/>
    <mergeCell ref="E8:H9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3E116-2DA3-4024-8836-2A9DF352A106}">
  <sheetPr codeName="Planilha27">
    <tabColor rgb="FFFF0000"/>
  </sheetPr>
  <dimension ref="A1:AE41"/>
  <sheetViews>
    <sheetView showGridLines="0" zoomScale="55" zoomScaleNormal="55" workbookViewId="0">
      <selection activeCell="AB26" sqref="AB26"/>
    </sheetView>
  </sheetViews>
  <sheetFormatPr defaultRowHeight="14.4" x14ac:dyDescent="0.3"/>
  <cols>
    <col min="1" max="5" width="8.88671875" style="329"/>
    <col min="6" max="6" width="33.77734375" style="329" bestFit="1" customWidth="1"/>
    <col min="7" max="7" width="22.77734375" style="329" customWidth="1"/>
    <col min="8" max="8" width="8.88671875" style="329"/>
    <col min="9" max="9" width="8.77734375" style="329" customWidth="1"/>
    <col min="10" max="16384" width="8.88671875" style="329"/>
  </cols>
  <sheetData>
    <row r="1" spans="1:31" ht="61.5" customHeight="1" x14ac:dyDescent="0.3">
      <c r="A1" s="330"/>
      <c r="B1" s="330"/>
      <c r="C1" s="330"/>
      <c r="D1" s="330"/>
      <c r="E1" s="330"/>
      <c r="F1" s="330"/>
      <c r="G1" s="330"/>
      <c r="H1" s="330"/>
      <c r="I1" s="330"/>
      <c r="J1" s="330"/>
      <c r="K1" s="330"/>
      <c r="L1" s="330"/>
      <c r="M1" s="330"/>
      <c r="N1" s="330"/>
      <c r="O1" s="330"/>
      <c r="P1" s="330"/>
      <c r="Q1" s="330"/>
      <c r="R1" s="330"/>
      <c r="S1" s="330"/>
      <c r="T1" s="330"/>
      <c r="U1" s="330"/>
      <c r="V1" s="330"/>
      <c r="W1" s="330"/>
      <c r="X1" s="330"/>
      <c r="Y1" s="330"/>
      <c r="Z1" s="330"/>
      <c r="AA1" s="330"/>
      <c r="AB1" s="330"/>
      <c r="AC1" s="330"/>
      <c r="AD1" s="330"/>
      <c r="AE1" s="330"/>
    </row>
    <row r="2" spans="1:31" ht="46.2" customHeight="1" x14ac:dyDescent="0.3">
      <c r="A2" s="419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19"/>
      <c r="W2" s="419"/>
      <c r="X2" s="419"/>
      <c r="Y2" s="419"/>
      <c r="Z2" s="419"/>
      <c r="AA2" s="419"/>
      <c r="AB2" s="419"/>
      <c r="AC2" s="419"/>
      <c r="AD2" s="419"/>
      <c r="AE2" s="419"/>
    </row>
    <row r="5" spans="1:31" ht="14.4" customHeight="1" x14ac:dyDescent="0.3"/>
    <row r="6" spans="1:31" ht="14.4" customHeight="1" x14ac:dyDescent="0.3"/>
    <row r="7" spans="1:31" ht="14.4" customHeight="1" thickBot="1" x14ac:dyDescent="0.35">
      <c r="E7" s="326"/>
      <c r="F7" s="326"/>
      <c r="G7" s="326"/>
      <c r="H7" s="326"/>
      <c r="I7" s="326"/>
      <c r="J7" s="326"/>
    </row>
    <row r="8" spans="1:31" ht="14.4" customHeight="1" x14ac:dyDescent="0.3">
      <c r="E8" s="433" t="s">
        <v>416</v>
      </c>
      <c r="F8" s="434"/>
      <c r="G8" s="434"/>
      <c r="H8" s="435"/>
      <c r="I8" s="342"/>
      <c r="J8" s="342"/>
      <c r="K8" s="342"/>
      <c r="L8" s="342"/>
    </row>
    <row r="9" spans="1:31" s="337" customFormat="1" ht="14.4" customHeight="1" x14ac:dyDescent="0.3">
      <c r="E9" s="459"/>
      <c r="F9" s="460"/>
      <c r="G9" s="460"/>
      <c r="H9" s="461"/>
      <c r="I9" s="342"/>
      <c r="J9" s="342"/>
      <c r="K9" s="342"/>
      <c r="L9" s="342"/>
    </row>
    <row r="10" spans="1:31" ht="14.4" customHeight="1" x14ac:dyDescent="0.3">
      <c r="E10" s="359"/>
      <c r="F10" s="351"/>
      <c r="G10" s="351"/>
      <c r="H10" s="360"/>
      <c r="I10" s="374"/>
      <c r="J10" s="332"/>
      <c r="K10" s="332"/>
      <c r="L10" s="332"/>
    </row>
    <row r="11" spans="1:31" ht="14.4" customHeight="1" x14ac:dyDescent="0.3">
      <c r="E11" s="361"/>
      <c r="F11" s="349" t="s">
        <v>412</v>
      </c>
      <c r="G11" s="339"/>
      <c r="H11" s="317"/>
      <c r="I11" s="374"/>
      <c r="J11" s="332"/>
      <c r="K11" s="332"/>
      <c r="L11" s="332"/>
    </row>
    <row r="12" spans="1:31" ht="14.4" customHeight="1" x14ac:dyDescent="0.3">
      <c r="E12" s="361"/>
      <c r="F12" s="349"/>
      <c r="G12" s="349"/>
      <c r="H12" s="362"/>
      <c r="I12" s="374"/>
      <c r="J12" s="332"/>
      <c r="K12" s="332"/>
      <c r="L12" s="332"/>
    </row>
    <row r="13" spans="1:31" ht="14.4" customHeight="1" x14ac:dyDescent="0.3">
      <c r="E13" s="361"/>
      <c r="F13" s="349" t="s">
        <v>388</v>
      </c>
      <c r="G13" s="338"/>
      <c r="H13" s="317"/>
      <c r="I13" s="374"/>
      <c r="J13" s="332"/>
      <c r="K13" s="332"/>
      <c r="L13" s="332"/>
    </row>
    <row r="14" spans="1:31" ht="14.4" customHeight="1" x14ac:dyDescent="0.3">
      <c r="E14" s="361"/>
      <c r="F14" s="349"/>
      <c r="G14" s="349"/>
      <c r="H14" s="363"/>
      <c r="I14" s="375"/>
      <c r="J14" s="334"/>
      <c r="K14" s="334"/>
      <c r="L14" s="334"/>
    </row>
    <row r="15" spans="1:31" ht="14.4" customHeight="1" x14ac:dyDescent="0.3">
      <c r="E15" s="361"/>
      <c r="F15" s="349" t="s">
        <v>413</v>
      </c>
      <c r="G15" s="338"/>
      <c r="H15" s="317"/>
      <c r="I15" s="375"/>
      <c r="J15" s="334"/>
      <c r="K15" s="334"/>
      <c r="L15" s="334"/>
    </row>
    <row r="16" spans="1:31" ht="14.4" customHeight="1" x14ac:dyDescent="0.3">
      <c r="E16" s="361"/>
      <c r="F16" s="349"/>
      <c r="G16" s="349"/>
      <c r="H16" s="363"/>
      <c r="I16" s="375"/>
      <c r="J16" s="334"/>
      <c r="K16" s="334"/>
      <c r="L16" s="334"/>
    </row>
    <row r="17" spans="5:12" ht="14.4" customHeight="1" x14ac:dyDescent="0.3">
      <c r="E17" s="361"/>
      <c r="F17" s="349" t="s">
        <v>37</v>
      </c>
      <c r="G17" s="338"/>
      <c r="H17" s="317"/>
      <c r="I17" s="375"/>
      <c r="J17" s="334"/>
      <c r="K17" s="334"/>
      <c r="L17" s="334"/>
    </row>
    <row r="18" spans="5:12" ht="14.4" customHeight="1" x14ac:dyDescent="0.3">
      <c r="E18" s="361"/>
      <c r="F18" s="349"/>
      <c r="G18" s="349"/>
      <c r="H18" s="362"/>
      <c r="I18" s="374"/>
      <c r="J18" s="332"/>
      <c r="K18" s="332"/>
      <c r="L18" s="332"/>
    </row>
    <row r="19" spans="5:12" ht="14.4" customHeight="1" x14ac:dyDescent="0.3">
      <c r="E19" s="361"/>
      <c r="F19" s="349" t="s">
        <v>399</v>
      </c>
      <c r="G19" s="338"/>
      <c r="H19" s="317"/>
      <c r="I19" s="375"/>
      <c r="J19" s="334"/>
      <c r="K19" s="334"/>
      <c r="L19" s="334"/>
    </row>
    <row r="20" spans="5:12" ht="14.4" customHeight="1" x14ac:dyDescent="0.3">
      <c r="E20" s="364"/>
      <c r="F20" s="365"/>
      <c r="G20" s="365"/>
      <c r="H20" s="366"/>
      <c r="I20" s="376"/>
      <c r="J20" s="345"/>
      <c r="K20" s="345"/>
      <c r="L20" s="345"/>
    </row>
    <row r="21" spans="5:12" ht="14.4" customHeight="1" x14ac:dyDescent="0.3">
      <c r="E21" s="364"/>
      <c r="F21" s="349" t="s">
        <v>414</v>
      </c>
      <c r="G21" s="344"/>
      <c r="H21" s="317"/>
      <c r="I21" s="376"/>
      <c r="J21" s="345"/>
      <c r="K21" s="345"/>
      <c r="L21" s="345"/>
    </row>
    <row r="22" spans="5:12" ht="14.4" customHeight="1" x14ac:dyDescent="0.3">
      <c r="E22" s="361"/>
      <c r="F22" s="349"/>
      <c r="G22" s="349"/>
      <c r="H22" s="363"/>
      <c r="I22" s="375"/>
      <c r="J22" s="334"/>
      <c r="K22" s="334"/>
      <c r="L22" s="334"/>
    </row>
    <row r="23" spans="5:12" ht="14.4" customHeight="1" x14ac:dyDescent="0.3">
      <c r="E23" s="361"/>
      <c r="F23" s="349" t="s">
        <v>227</v>
      </c>
      <c r="G23" s="340"/>
      <c r="H23" s="317"/>
      <c r="I23" s="375"/>
      <c r="J23" s="334"/>
      <c r="K23" s="334"/>
      <c r="L23" s="334"/>
    </row>
    <row r="24" spans="5:12" ht="14.4" customHeight="1" x14ac:dyDescent="0.3">
      <c r="E24" s="361"/>
      <c r="F24" s="349"/>
      <c r="G24" s="349"/>
      <c r="H24" s="363"/>
      <c r="I24" s="375"/>
      <c r="J24" s="334"/>
      <c r="K24" s="334"/>
      <c r="L24" s="334"/>
    </row>
    <row r="25" spans="5:12" ht="14.4" customHeight="1" x14ac:dyDescent="0.3">
      <c r="E25" s="361"/>
      <c r="F25" s="349" t="s">
        <v>415</v>
      </c>
      <c r="G25" s="343"/>
      <c r="H25" s="317"/>
      <c r="I25" s="377"/>
      <c r="J25" s="335"/>
      <c r="K25" s="335"/>
      <c r="L25" s="335"/>
    </row>
    <row r="26" spans="5:12" ht="14.4" customHeight="1" x14ac:dyDescent="0.3">
      <c r="E26" s="373"/>
      <c r="F26" s="372"/>
      <c r="G26" s="350"/>
      <c r="H26" s="367"/>
      <c r="I26" s="377"/>
      <c r="J26" s="346"/>
      <c r="K26" s="346"/>
      <c r="L26" s="346"/>
    </row>
    <row r="27" spans="5:12" ht="14.4" customHeight="1" x14ac:dyDescent="0.3">
      <c r="E27" s="373"/>
      <c r="F27" s="372"/>
      <c r="G27" s="350"/>
      <c r="H27" s="367"/>
      <c r="I27" s="377"/>
      <c r="J27" s="324"/>
    </row>
    <row r="28" spans="5:12" ht="14.4" customHeight="1" x14ac:dyDescent="0.3">
      <c r="E28" s="373"/>
      <c r="F28" s="372"/>
      <c r="G28" s="350"/>
      <c r="H28" s="367"/>
      <c r="I28" s="377"/>
      <c r="J28" s="324"/>
    </row>
    <row r="29" spans="5:12" ht="14.4" customHeight="1" x14ac:dyDescent="0.3">
      <c r="E29" s="373"/>
      <c r="F29" s="372"/>
      <c r="G29" s="350"/>
      <c r="H29" s="367"/>
      <c r="I29" s="377"/>
      <c r="J29" s="324"/>
    </row>
    <row r="30" spans="5:12" ht="14.4" customHeight="1" x14ac:dyDescent="0.3">
      <c r="E30" s="373"/>
      <c r="F30" s="372"/>
      <c r="G30" s="350"/>
      <c r="H30" s="367"/>
      <c r="I30" s="377"/>
      <c r="J30" s="298"/>
    </row>
    <row r="31" spans="5:12" ht="14.4" customHeight="1" thickBot="1" x14ac:dyDescent="0.35">
      <c r="E31" s="368"/>
      <c r="F31" s="369"/>
      <c r="G31" s="370"/>
      <c r="H31" s="371"/>
      <c r="I31" s="377"/>
      <c r="J31" s="298"/>
    </row>
    <row r="32" spans="5:12" ht="14.4" customHeight="1" x14ac:dyDescent="0.3">
      <c r="E32" s="297"/>
      <c r="F32" s="297"/>
      <c r="G32" s="297"/>
      <c r="H32" s="298"/>
      <c r="I32" s="298"/>
      <c r="J32" s="298"/>
    </row>
    <row r="33" spans="5:10" ht="14.4" customHeight="1" x14ac:dyDescent="0.3">
      <c r="E33" s="297"/>
      <c r="F33" s="297"/>
      <c r="G33" s="297"/>
      <c r="H33" s="298"/>
      <c r="I33" s="298"/>
      <c r="J33" s="298"/>
    </row>
    <row r="34" spans="5:10" ht="14.4" customHeight="1" x14ac:dyDescent="0.3">
      <c r="E34" s="297"/>
      <c r="F34" s="297"/>
      <c r="G34" s="297"/>
      <c r="H34" s="298"/>
      <c r="I34" s="298"/>
      <c r="J34" s="298"/>
    </row>
    <row r="35" spans="5:10" ht="14.4" customHeight="1" x14ac:dyDescent="0.3"/>
    <row r="36" spans="5:10" ht="14.4" customHeight="1" x14ac:dyDescent="0.3"/>
    <row r="37" spans="5:10" ht="14.4" customHeight="1" x14ac:dyDescent="0.3"/>
    <row r="38" spans="5:10" ht="14.4" customHeight="1" x14ac:dyDescent="0.3"/>
    <row r="39" spans="5:10" ht="14.4" customHeight="1" x14ac:dyDescent="0.3"/>
    <row r="40" spans="5:10" ht="14.4" customHeight="1" x14ac:dyDescent="0.3"/>
    <row r="41" spans="5:10" ht="14.4" customHeight="1" x14ac:dyDescent="0.3"/>
  </sheetData>
  <mergeCells count="2">
    <mergeCell ref="A2:AE2"/>
    <mergeCell ref="E8:H9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8F13F-F396-493D-8D7F-7E294A665FE0}">
  <sheetPr codeName="Planilha18">
    <tabColor rgb="FFFF0000"/>
  </sheetPr>
  <dimension ref="A1:AE2"/>
  <sheetViews>
    <sheetView showGridLines="0" zoomScale="70" zoomScaleNormal="70" workbookViewId="0">
      <selection activeCell="U36" sqref="U36"/>
    </sheetView>
  </sheetViews>
  <sheetFormatPr defaultRowHeight="14.4" x14ac:dyDescent="0.3"/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19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19"/>
      <c r="W2" s="419"/>
      <c r="X2" s="419"/>
      <c r="Y2" s="419"/>
      <c r="Z2" s="419"/>
      <c r="AA2" s="419"/>
      <c r="AB2" s="419"/>
      <c r="AC2" s="419"/>
      <c r="AD2" s="419"/>
      <c r="AE2" s="419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67F5E-02EB-455A-BA13-D6AE10E0BD61}">
  <sheetPr codeName="Planilha28">
    <tabColor rgb="FFFF0000"/>
  </sheetPr>
  <dimension ref="A1:AE2"/>
  <sheetViews>
    <sheetView zoomScale="70" zoomScaleNormal="70" workbookViewId="0">
      <selection activeCell="K9" sqref="K9:L9"/>
    </sheetView>
  </sheetViews>
  <sheetFormatPr defaultRowHeight="14.4" x14ac:dyDescent="0.3"/>
  <cols>
    <col min="1" max="16384" width="8.88671875" style="337"/>
  </cols>
  <sheetData>
    <row r="1" spans="1:31" ht="61.5" customHeight="1" x14ac:dyDescent="0.3">
      <c r="A1" s="341"/>
      <c r="B1" s="341"/>
      <c r="C1" s="341"/>
      <c r="D1" s="341"/>
      <c r="E1" s="341"/>
      <c r="F1" s="341"/>
      <c r="G1" s="341"/>
      <c r="H1" s="341"/>
      <c r="I1" s="341"/>
      <c r="J1" s="341"/>
      <c r="K1" s="341"/>
      <c r="L1" s="341"/>
      <c r="M1" s="341"/>
      <c r="N1" s="341"/>
      <c r="O1" s="341"/>
      <c r="P1" s="341"/>
      <c r="Q1" s="341"/>
      <c r="R1" s="341"/>
      <c r="S1" s="341"/>
      <c r="T1" s="341"/>
      <c r="U1" s="341"/>
      <c r="V1" s="341"/>
      <c r="W1" s="341"/>
      <c r="X1" s="341"/>
      <c r="Y1" s="341"/>
      <c r="Z1" s="341"/>
      <c r="AA1" s="341"/>
      <c r="AB1" s="341"/>
      <c r="AC1" s="341"/>
      <c r="AD1" s="341"/>
      <c r="AE1" s="341"/>
    </row>
    <row r="2" spans="1:31" ht="46.2" customHeight="1" x14ac:dyDescent="0.3">
      <c r="A2" s="419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19"/>
      <c r="W2" s="419"/>
      <c r="X2" s="419"/>
      <c r="Y2" s="419"/>
      <c r="Z2" s="419"/>
      <c r="AA2" s="419"/>
      <c r="AB2" s="419"/>
      <c r="AC2" s="419"/>
      <c r="AD2" s="419"/>
      <c r="AE2" s="419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NOVO</vt:lpstr>
      <vt:lpstr>N_PRODHOME</vt:lpstr>
      <vt:lpstr>N_PRODREQ</vt:lpstr>
      <vt:lpstr>N_ EQUIPES</vt:lpstr>
      <vt:lpstr>N_PRODLANC</vt:lpstr>
      <vt:lpstr>N_PRODGRAF </vt:lpstr>
      <vt:lpstr>N_LOGCLIENTES</vt:lpstr>
      <vt:lpstr>N_LOGVEIC</vt:lpstr>
      <vt:lpstr>N_LOGCRON</vt:lpstr>
      <vt:lpstr>N_LOGFRETE</vt:lpstr>
      <vt:lpstr>N_LOGRELAT</vt:lpstr>
      <vt:lpstr>N_LOGRASTR</vt:lpstr>
      <vt:lpstr>N_ESTQSAÍDAS</vt:lpstr>
      <vt:lpstr>N_ESTQENTRAD</vt:lpstr>
      <vt:lpstr>N_RHCONTRATAÇÃO</vt:lpstr>
      <vt:lpstr>N_CADASTRAR</vt:lpstr>
      <vt:lpstr>N_RHFOLHA</vt:lpstr>
      <vt:lpstr>N_RHREF </vt:lpstr>
      <vt:lpstr>N_VCLIENTES</vt:lpstr>
      <vt:lpstr>N_VCONTROLE</vt:lpstr>
      <vt:lpstr>N_VMETAS</vt:lpstr>
      <vt:lpstr>N_CCADASTROF</vt:lpstr>
      <vt:lpstr>N_PROCFOR</vt:lpstr>
      <vt:lpstr>N_CMP</vt:lpstr>
      <vt:lpstr>N_CSOLICITAR</vt:lpstr>
      <vt:lpstr>N_CREALIZARP</vt:lpstr>
      <vt:lpstr>N_FINANÇAS</vt:lpstr>
      <vt:lpstr>BANCO DE DADOS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moraes369@gmail.com</dc:creator>
  <cp:keywords/>
  <dc:description/>
  <cp:lastModifiedBy>moraes369@gmail.com</cp:lastModifiedBy>
  <cp:revision/>
  <dcterms:created xsi:type="dcterms:W3CDTF">2024-10-25T18:08:44Z</dcterms:created>
  <dcterms:modified xsi:type="dcterms:W3CDTF">2024-11-22T17:43:17Z</dcterms:modified>
  <cp:category/>
  <cp:contentStatus/>
</cp:coreProperties>
</file>