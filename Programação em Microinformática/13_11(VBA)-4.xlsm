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DeTrabalho"/>
  <bookViews>
    <workbookView xWindow="-105" yWindow="-105" windowWidth="23250" windowHeight="12450" tabRatio="901" firstSheet="14" activeTab="17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93" r:id="rId8"/>
    <sheet name="N_LOGCRON" sheetId="94" r:id="rId9"/>
    <sheet name="N_LOGFRETE" sheetId="95" r:id="rId10"/>
    <sheet name="N_LOGRELAT" sheetId="96" r:id="rId11"/>
    <sheet name="N_LOGRAST" sheetId="97" r:id="rId12"/>
    <sheet name="N_LOGCAD" sheetId="98" r:id="rId13"/>
    <sheet name="N_ESTQSAÍDAS" sheetId="99" r:id="rId14"/>
    <sheet name="N_ESTQENTRAD" sheetId="100" r:id="rId15"/>
    <sheet name="N_RHCONTRATAÇÃO" sheetId="101" r:id="rId16"/>
    <sheet name="N_CADASTRAR" sheetId="102" r:id="rId17"/>
    <sheet name="N_RHFOLHA" sheetId="103" r:id="rId18"/>
    <sheet name="N_RHREF " sheetId="104" r:id="rId19"/>
    <sheet name="N_VCLIENTES" sheetId="105" r:id="rId20"/>
    <sheet name="N_VCINTRL" sheetId="106" r:id="rId21"/>
    <sheet name="N_VMETAS" sheetId="107" r:id="rId22"/>
    <sheet name="N_VRELCOM" sheetId="109" r:id="rId23"/>
    <sheet name="N_VRELMET" sheetId="108" r:id="rId24"/>
    <sheet name="N_CCADASTROF" sheetId="112" r:id="rId25"/>
    <sheet name="N_PROCFOR" sheetId="113" r:id="rId26"/>
    <sheet name="N_CMP" sheetId="114" r:id="rId27"/>
    <sheet name="N_CSOLICITAR" sheetId="115" r:id="rId28"/>
    <sheet name="SOLICITAÇÕES" sheetId="116" r:id="rId29"/>
    <sheet name="N_CREALIZARP" sheetId="117" r:id="rId30"/>
    <sheet name="N_FINANÇAS" sheetId="118" r:id="rId31"/>
    <sheet name="N_FINANÇAS (2)" sheetId="119" r:id="rId32"/>
    <sheet name="N_FINANÇAS (3)" sheetId="120" r:id="rId33"/>
    <sheet name="BANCO DE DADOS" sheetId="121" r:id="rId34"/>
    <sheet name="BANCO DE DADOS (2)" sheetId="122" r:id="rId35"/>
    <sheet name="BANCO DE DADOS (3)" sheetId="123" r:id="rId36"/>
    <sheet name="BD_CADAS" sheetId="110" r:id="rId37"/>
    <sheet name="BD_CADAS (2)" sheetId="111" r:id="rId38"/>
  </sheets>
  <externalReferences>
    <externalReference r:id="rId39"/>
    <externalReference r:id="rId40"/>
    <externalReference r:id="rId41"/>
  </externalReferences>
  <definedNames>
    <definedName name="QUEIJOS">#REF!</definedName>
    <definedName name="QUEIJOS_OFC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" i="103" l="1"/>
  <c r="O22" i="103" s="1"/>
  <c r="O24" i="103"/>
  <c r="M21" i="103" l="1"/>
  <c r="N28" i="103"/>
  <c r="O36" i="103"/>
  <c r="O23" i="103"/>
  <c r="O34" i="103"/>
  <c r="O35" i="103" s="1"/>
  <c r="N17" i="103"/>
  <c r="I16" i="120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P28" i="103" l="1"/>
  <c r="O33" i="103"/>
  <c r="O32" i="103"/>
  <c r="I16" i="104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<sst xmlns="http://schemas.openxmlformats.org/spreadsheetml/2006/main" count="1874" uniqueCount="681">
  <si>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</si>
  <si>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</si>
  <si>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</si>
  <si>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</si>
  <si>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</si>
  <si>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</si>
  <si>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</si>
  <si>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</si>
  <si>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</si>
  <si>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</si>
  <si>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</si>
  <si>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</si>
  <si>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</si>
  <si>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</si>
  <si>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</si>
  <si>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</si>
  <si>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</si>
  <si>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</si>
  <si>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</si>
  <si>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</si>
  <si>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</si>
  <si>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</si>
  <si>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</si>
  <si>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</si>
  <si>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</si>
  <si>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</si>
  <si>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</si>
  <si>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</si>
  <si>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</si>
  <si>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</si>
  <si>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</si>
  <si>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</si>
  <si>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</si>
  <si>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</si>
  <si>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</si>
  <si>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</si>
  <si>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</si>
  <si>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</si>
  <si>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</si>
  <si>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</si>
  <si>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</si>
  <si>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</si>
  <si>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</si>
  <si>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</si>
  <si>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</si>
  <si>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</si>
  <si>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</si>
  <si>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</si>
  <si>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</si>
  <si>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</si>
  <si>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</si>
  <si>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</si>
  <si>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</si>
  <si>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</si>
  <si>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</si>
  <si>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</si>
  <si>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</si>
  <si>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</si>
  <si>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</si>
  <si>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</si>
  <si>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</si>
  <si>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</si>
  <si>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</si>
  <si>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</si>
  <si>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</si>
  <si>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</si>
  <si>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</si>
  <si>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</si>
  <si>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</si>
  <si>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</si>
  <si>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</si>
  <si>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</si>
  <si>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</si>
  <si>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</si>
  <si>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</si>
  <si>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</si>
  <si>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</si>
  <si>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</si>
  <si>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</si>
  <si>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</si>
  <si>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</si>
  <si>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</si>
  <si>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</si>
  <si>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</si>
  <si>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</si>
  <si>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</si>
  <si>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</si>
  <si>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</si>
  <si>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</si>
  <si>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</si>
  <si>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</si>
  <si>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</si>
  <si>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</si>
  <si>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</si>
  <si>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</si>
  <si>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</si>
  <si>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</si>
  <si>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</si>
  <si>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</si>
  <si>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</si>
  <si>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</si>
  <si>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</si>
  <si>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</si>
  <si>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</si>
  <si>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</si>
  <si>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</si>
  <si>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</si>
  <si>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</si>
  <si>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</si>
  <si>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</si>
  <si>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</si>
  <si>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</si>
  <si>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</si>
  <si>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</si>
  <si>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</si>
  <si>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</si>
  <si>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</si>
  <si>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</si>
  <si>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</si>
  <si>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</si>
  <si>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</si>
  <si>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</si>
  <si>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</si>
  <si>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</si>
  <si>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</si>
  <si>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</si>
  <si>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</si>
  <si>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</si>
  <si>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</si>
  <si>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</si>
  <si>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</si>
  <si>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</si>
  <si>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</si>
  <si>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</si>
  <si>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</si>
  <si>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</si>
  <si>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</si>
  <si>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</si>
  <si>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</si>
  <si>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</si>
  <si>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</si>
  <si>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</si>
  <si>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</si>
  <si>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</si>
  <si>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</si>
  <si>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</si>
  <si>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</si>
  <si>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</si>
  <si>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</si>
  <si>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</si>
  <si>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</si>
  <si>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</si>
  <si>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</si>
  <si>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</si>
  <si>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</si>
  <si>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</si>
  <si>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</si>
  <si>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</si>
  <si>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</si>
  <si>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</si>
  <si>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</si>
  <si>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</si>
  <si>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</si>
  <si>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</si>
  <si>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</si>
  <si>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</si>
  <si>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</si>
  <si>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</si>
  <si>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</si>
  <si>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</si>
  <si>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</si>
  <si>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</si>
  <si>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</si>
  <si>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</si>
  <si>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</si>
  <si>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</si>
  <si>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</si>
  <si>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</si>
  <si>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</si>
  <si>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</si>
  <si>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</si>
  <si>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</si>
  <si>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</si>
  <si>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</si>
  <si>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</si>
  <si>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</si>
  <si>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</si>
  <si>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</si>
  <si>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</si>
  <si>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</si>
  <si>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</si>
  <si>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</si>
  <si>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</si>
  <si>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</si>
  <si>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</si>
  <si>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</si>
  <si>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</si>
  <si>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</si>
  <si>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</si>
  <si>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</si>
  <si>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</si>
  <si>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</si>
  <si>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</si>
  <si>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</si>
  <si>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</si>
  <si>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</si>
  <si>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</si>
  <si>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</si>
  <si>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</si>
  <si>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</si>
  <si>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</si>
  <si>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</si>
  <si>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</si>
  <si>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</si>
  <si>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</si>
  <si>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</si>
  <si>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</si>
  <si>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</si>
  <si>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</si>
  <si>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</si>
  <si>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</si>
  <si>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</si>
  <si>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</si>
  <si>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</si>
  <si>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</si>
  <si>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</si>
  <si>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</si>
  <si>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</si>
  <si>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</si>
  <si>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</si>
  <si>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</si>
  <si>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</si>
  <si>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</si>
  <si>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</si>
  <si>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</si>
  <si>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</si>
  <si>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</si>
  <si>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</si>
  <si>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</si>
  <si>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</si>
  <si>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</si>
  <si>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</si>
  <si>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</si>
  <si>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</si>
  <si>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</si>
  <si>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</si>
  <si>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</si>
  <si>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</si>
  <si>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</si>
  <si>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</si>
  <si>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</si>
  <si>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</si>
  <si>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</si>
  <si>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</si>
  <si>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</si>
  <si>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</si>
  <si>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</si>
  <si>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</si>
  <si>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</si>
  <si>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</si>
  <si>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</si>
  <si>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</si>
  <si>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</si>
  <si>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</si>
  <si>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</si>
  <si>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</si>
  <si>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</si>
  <si>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</si>
  <si>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</si>
  <si>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</si>
  <si>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</si>
  <si>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</si>
  <si>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</si>
  <si>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</si>
  <si>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</si>
  <si>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</si>
  <si>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</si>
  <si>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</si>
  <si>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</si>
  <si>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</si>
  <si>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</si>
  <si>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</si>
  <si>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</si>
  <si>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</si>
  <si>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</si>
  <si>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</si>
  <si>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</si>
  <si>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</si>
  <si>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</si>
  <si>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</si>
  <si>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</si>
  <si>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</si>
  <si>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</si>
  <si>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</si>
  <si>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SALÁRIO</t>
  </si>
  <si>
    <t>HORÁRIO DE TRABALHO</t>
  </si>
  <si>
    <t>DATA DE INÍCIO</t>
  </si>
  <si>
    <t>8h às 12h e das 13h às 17h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</si>
  <si>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</si>
  <si>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</si>
  <si>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</si>
  <si>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</si>
  <si>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</si>
  <si>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</si>
  <si>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</si>
  <si>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</si>
  <si>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</si>
  <si>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</si>
  <si>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</si>
  <si>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</si>
  <si>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</si>
  <si>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</si>
  <si>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</si>
  <si>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</si>
  <si>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</si>
  <si>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</si>
  <si>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</si>
  <si>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</si>
  <si>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</si>
  <si>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</si>
  <si>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</si>
  <si>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</si>
  <si>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</si>
  <si>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</si>
  <si>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</si>
  <si>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</si>
  <si>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</si>
  <si>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</si>
  <si>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</si>
  <si>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</si>
  <si>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</si>
  <si>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</si>
  <si>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</si>
  <si>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</si>
  <si>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</si>
  <si>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</si>
  <si>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</si>
  <si>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</si>
  <si>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</si>
  <si>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</si>
  <si>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</si>
  <si>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</si>
  <si>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</si>
  <si>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</si>
  <si>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</si>
  <si>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</si>
  <si>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</si>
  <si>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</si>
  <si>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</si>
  <si>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</si>
  <si>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</si>
  <si>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</si>
  <si>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</si>
  <si>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</si>
  <si>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TELEFONE:</t>
  </si>
  <si>
    <t>ESTADO: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</si>
  <si>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</si>
  <si>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</si>
  <si>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</si>
  <si>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</si>
  <si>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</si>
  <si>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</si>
  <si>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</si>
  <si>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</si>
  <si>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</si>
  <si>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</si>
  <si>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</si>
  <si>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</si>
  <si>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ID do fornecedor</t>
  </si>
  <si>
    <t xml:space="preserve">Nome </t>
  </si>
  <si>
    <t>Endereço</t>
  </si>
  <si>
    <t>Condições de pagamento</t>
  </si>
  <si>
    <t>Produto</t>
  </si>
  <si>
    <t>Valor unitario do produto</t>
  </si>
  <si>
    <t>PROCURAR FORNECEDOR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</si>
  <si>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</si>
  <si>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</si>
  <si>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</si>
  <si>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</si>
  <si>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</si>
  <si>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</si>
  <si>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</si>
  <si>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</si>
  <si>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</si>
  <si>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</si>
  <si>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</si>
  <si>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</si>
  <si>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</si>
  <si>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</si>
  <si>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</si>
  <si>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</si>
  <si>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</si>
  <si>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</si>
  <si>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QUEIIJOS</t>
  </si>
  <si>
    <t>PREÇOS UNITARIO</t>
  </si>
  <si>
    <t>NÍVEL DA  META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</si>
  <si>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</si>
  <si>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</si>
  <si>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</si>
  <si>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</si>
  <si>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</si>
  <si>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</si>
  <si>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</si>
  <si>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</si>
  <si>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</si>
  <si>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</si>
  <si>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</si>
  <si>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</si>
  <si>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</si>
  <si>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</si>
  <si>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</si>
  <si>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</si>
  <si>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</si>
  <si>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</si>
  <si>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</si>
  <si>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</si>
  <si>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</si>
  <si>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</si>
  <si>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</si>
  <si>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</si>
  <si>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</si>
  <si>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</si>
  <si>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</si>
  <si>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</si>
  <si>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</si>
  <si>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</si>
  <si>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</si>
  <si>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</si>
  <si>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</si>
  <si>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</si>
  <si>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</si>
  <si>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</si>
  <si>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</si>
  <si>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</si>
  <si>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</si>
  <si>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</si>
  <si>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</si>
  <si>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</si>
  <si>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</si>
  <si>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</si>
  <si>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</si>
  <si>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</si>
  <si>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</si>
  <si>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</si>
  <si>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</si>
  <si>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</si>
  <si>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</si>
  <si>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</si>
  <si>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</si>
  <si>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</si>
  <si>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</si>
  <si>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</si>
  <si>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</si>
  <si>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</si>
  <si>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</si>
  <si>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</si>
  <si>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</si>
  <si>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</si>
  <si>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</si>
  <si>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</si>
  <si>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</si>
  <si>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</si>
  <si>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</si>
  <si>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</si>
  <si>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</si>
  <si>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</si>
  <si>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</si>
  <si>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</si>
  <si>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</si>
  <si>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</si>
  <si>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</si>
  <si>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</si>
  <si>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</si>
  <si>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</si>
  <si>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</si>
  <si>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</si>
  <si>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</si>
  <si>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</si>
  <si>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</si>
  <si>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</si>
  <si>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</si>
  <si>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</si>
  <si>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</si>
  <si>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</si>
  <si>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</si>
  <si>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</si>
  <si>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</si>
  <si>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</si>
  <si>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</si>
  <si>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</si>
  <si>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</si>
  <si>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</si>
  <si>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</si>
  <si>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</si>
  <si>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</si>
  <si>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</si>
  <si>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</si>
  <si>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</si>
  <si>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</si>
  <si>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</si>
  <si>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</si>
  <si>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</si>
  <si>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</si>
  <si>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</si>
  <si>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</si>
  <si>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</si>
  <si>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</si>
  <si>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</si>
  <si>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</si>
  <si>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</si>
  <si>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</si>
  <si>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</si>
  <si>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</si>
  <si>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</si>
  <si>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</si>
  <si>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</si>
  <si>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</si>
  <si>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</si>
  <si>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</si>
  <si>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</si>
  <si>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</si>
  <si>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</si>
  <si>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</si>
  <si>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</si>
  <si>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</si>
  <si>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</si>
  <si>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</si>
  <si>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</si>
  <si>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</si>
  <si>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</si>
  <si>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</si>
  <si>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</si>
  <si>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</si>
  <si>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</si>
  <si>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</si>
  <si>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</si>
  <si>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</si>
  <si>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</si>
  <si>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</si>
  <si>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</si>
  <si>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</si>
  <si>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</si>
  <si>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</si>
  <si>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</si>
  <si>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</si>
  <si>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</si>
  <si>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</si>
  <si>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</si>
  <si>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</si>
  <si>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</si>
  <si>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</si>
  <si>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</si>
  <si>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</si>
  <si>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</si>
  <si>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</si>
  <si>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</si>
  <si>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</si>
  <si>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</si>
  <si>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</si>
  <si>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</si>
  <si>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</si>
  <si>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</si>
  <si>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</si>
  <si>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</si>
  <si>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</si>
  <si>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</si>
  <si>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</si>
  <si>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</si>
  <si>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</si>
  <si>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</si>
  <si>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</si>
  <si>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</si>
  <si>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</si>
  <si>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</si>
  <si>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</si>
  <si>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</si>
  <si>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</si>
  <si>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</si>
  <si>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</si>
  <si>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</si>
  <si>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</si>
  <si>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</si>
  <si>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</si>
  <si>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</si>
  <si>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</si>
  <si>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</si>
  <si>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</si>
  <si>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</si>
  <si>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</si>
  <si>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</si>
  <si>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</si>
  <si>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</si>
  <si>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</si>
  <si>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</si>
  <si>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</si>
  <si>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</si>
  <si>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</si>
  <si>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</si>
  <si>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</si>
  <si>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</si>
  <si>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</si>
  <si>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</si>
  <si>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</si>
  <si>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</si>
  <si>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</si>
  <si>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</si>
  <si>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</si>
  <si>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</si>
  <si>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</si>
  <si>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</si>
  <si>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</si>
  <si>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</si>
  <si>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</si>
  <si>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</si>
  <si>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</si>
  <si>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</si>
  <si>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</si>
  <si>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</si>
  <si>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</si>
  <si>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</si>
  <si>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</si>
  <si>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</si>
  <si>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</si>
  <si>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</si>
  <si>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</si>
  <si>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</si>
  <si>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</si>
  <si>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</si>
  <si>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</si>
  <si>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</si>
  <si>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</si>
  <si>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</si>
  <si>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</si>
  <si>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</si>
  <si>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</si>
  <si>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</si>
  <si>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</si>
  <si>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</si>
  <si>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</si>
  <si>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</si>
  <si>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</si>
  <si>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CONTRATAÇÃO</t>
  </si>
  <si>
    <t>QUANTOS COLABORADORES CONTRATAR?</t>
  </si>
  <si>
    <t>PARA QUAL CARGO/SETOR CONTRATAR?</t>
  </si>
  <si>
    <t>SOLICITAR DEMISSÃO</t>
  </si>
  <si>
    <t>CADASTRO DE FUNCIONÁRIOS DEMITIDOS</t>
  </si>
  <si>
    <t>AGENDAMENTO DE PAGAMENTO</t>
  </si>
  <si>
    <t>MÊS/ANO</t>
  </si>
  <si>
    <t>SALÁRIO LÍQUIDO</t>
  </si>
  <si>
    <t>BASE IRPF</t>
  </si>
  <si>
    <t>Guarido</t>
  </si>
  <si>
    <t>Vanderléio</t>
  </si>
  <si>
    <t>Robersval</t>
  </si>
  <si>
    <t>Douglas</t>
  </si>
  <si>
    <t>Casado</t>
  </si>
  <si>
    <t>Solteiro</t>
  </si>
  <si>
    <t>Vendedor</t>
  </si>
  <si>
    <t>Avenida das Américas, 527</t>
  </si>
  <si>
    <t>Rua São Jorge, 781</t>
  </si>
  <si>
    <t>Praça da Liberdade, 92</t>
  </si>
  <si>
    <t>Rua dos Reis, 1015</t>
  </si>
  <si>
    <t>ja1oa@email.com</t>
  </si>
  <si>
    <t>2ana@email.com</t>
  </si>
  <si>
    <t>ca323rlos@email.com</t>
  </si>
  <si>
    <t>bea232triz@email.com</t>
  </si>
  <si>
    <t>11 97885-5284</t>
  </si>
  <si>
    <t>11 94562-6872</t>
  </si>
  <si>
    <t>12 78472-6873</t>
  </si>
  <si>
    <t>13 69572-6874</t>
  </si>
  <si>
    <t>Gerente de RH</t>
  </si>
  <si>
    <t>Auxiliar de Compras</t>
  </si>
  <si>
    <t>Analista de Logística</t>
  </si>
  <si>
    <t>Operador de Produção</t>
  </si>
  <si>
    <t>CARGO/SETOR</t>
  </si>
  <si>
    <t>NOME DO COLABORADOR A SER DEMITIDO</t>
  </si>
  <si>
    <t>NOME DO SOLICITANTE</t>
  </si>
  <si>
    <t>CARGO E SETOR DO SOLICITANTE</t>
  </si>
  <si>
    <t>GERENTES</t>
  </si>
  <si>
    <t>CONTRATAÇÕES SOLICITADAS</t>
  </si>
  <si>
    <t>DEMISSÕES SOLICITADAS</t>
  </si>
  <si>
    <t>COLABORADOR A SER DEMITIDO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</si>
</sst>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  <font>
      <u/>
      <sz val="11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sz val="20"/>
      <color theme="1"/>
      <name val="Arial"/>
      <family val="2"/>
    </font>
    <font>
      <sz val="28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566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8" fillId="17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9" fillId="17" borderId="0" xfId="0" applyFont="1" applyFill="1"/>
    <xf numFmtId="0" fontId="10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vertical="center"/>
    </xf>
    <xf numFmtId="0" fontId="6" fillId="17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3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3" fillId="13" borderId="46" xfId="0" applyFont="1" applyFill="1" applyBorder="1" applyAlignment="1"/>
    <xf numFmtId="0" fontId="2" fillId="13" borderId="47" xfId="0" applyFont="1" applyFill="1" applyBorder="1" applyAlignment="1"/>
    <xf numFmtId="0" fontId="14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2" xfId="0" applyFont="1" applyFill="1" applyBorder="1"/>
    <xf numFmtId="0" fontId="9" fillId="2" borderId="52" xfId="0" applyFont="1" applyFill="1" applyBorder="1" applyAlignment="1">
      <alignment horizontal="center"/>
    </xf>
    <xf numFmtId="0" fontId="9" fillId="10" borderId="0" xfId="0" applyFont="1" applyFill="1" applyBorder="1"/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17" fillId="2" borderId="0" xfId="0" applyFont="1" applyFill="1" applyAlignment="1">
      <alignment vertical="center"/>
    </xf>
    <xf numFmtId="0" fontId="19" fillId="10" borderId="0" xfId="0" applyFont="1" applyFill="1" applyBorder="1" applyAlignment="1">
      <alignment vertical="center"/>
    </xf>
    <xf numFmtId="0" fontId="0" fillId="10" borderId="7" xfId="0" applyFill="1" applyBorder="1"/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7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5" fillId="3" borderId="0" xfId="0" applyFont="1" applyFill="1"/>
    <xf numFmtId="0" fontId="0" fillId="0" borderId="0" xfId="0"/>
    <xf numFmtId="0" fontId="28" fillId="13" borderId="0" xfId="0" applyFont="1" applyFill="1" applyBorder="1" applyAlignment="1"/>
    <xf numFmtId="0" fontId="24" fillId="10" borderId="0" xfId="0" applyFont="1" applyFill="1" applyBorder="1" applyAlignment="1">
      <alignment vertical="center"/>
    </xf>
    <xf numFmtId="0" fontId="31" fillId="10" borderId="0" xfId="0" applyFont="1" applyFill="1" applyBorder="1"/>
    <xf numFmtId="0" fontId="23" fillId="2" borderId="1" xfId="0" applyFont="1" applyFill="1" applyBorder="1"/>
    <xf numFmtId="0" fontId="23" fillId="10" borderId="0" xfId="0" applyFont="1" applyFill="1" applyBorder="1"/>
    <xf numFmtId="0" fontId="21" fillId="10" borderId="0" xfId="0" applyFont="1" applyFill="1" applyBorder="1" applyAlignment="1">
      <alignment horizontal="left"/>
    </xf>
    <xf numFmtId="0" fontId="23" fillId="10" borderId="0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2" borderId="1" xfId="0" applyNumberFormat="1" applyFont="1" applyFill="1" applyBorder="1" applyAlignment="1">
      <alignment horizontal="left"/>
    </xf>
    <xf numFmtId="0" fontId="32" fillId="2" borderId="1" xfId="2" applyFont="1" applyFill="1" applyBorder="1" applyAlignment="1">
      <alignment horizontal="left"/>
    </xf>
    <xf numFmtId="0" fontId="23" fillId="11" borderId="0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left"/>
    </xf>
    <xf numFmtId="0" fontId="24" fillId="10" borderId="7" xfId="0" applyFont="1" applyFill="1" applyBorder="1" applyAlignment="1">
      <alignment vertical="center"/>
    </xf>
    <xf numFmtId="0" fontId="24" fillId="10" borderId="8" xfId="0" applyFont="1" applyFill="1" applyBorder="1" applyAlignment="1">
      <alignment vertical="center"/>
    </xf>
    <xf numFmtId="0" fontId="31" fillId="10" borderId="7" xfId="0" applyFont="1" applyFill="1" applyBorder="1"/>
    <xf numFmtId="0" fontId="31" fillId="10" borderId="8" xfId="0" applyFont="1" applyFill="1" applyBorder="1"/>
    <xf numFmtId="0" fontId="23" fillId="10" borderId="7" xfId="0" applyFont="1" applyFill="1" applyBorder="1" applyAlignment="1">
      <alignment horizontal="left"/>
    </xf>
    <xf numFmtId="0" fontId="23" fillId="10" borderId="8" xfId="0" applyFont="1" applyFill="1" applyBorder="1" applyAlignment="1">
      <alignment horizontal="left"/>
    </xf>
    <xf numFmtId="0" fontId="23" fillId="11" borderId="8" xfId="0" applyFont="1" applyFill="1" applyBorder="1" applyAlignment="1">
      <alignment horizontal="left"/>
    </xf>
    <xf numFmtId="0" fontId="23" fillId="10" borderId="9" xfId="0" applyFont="1" applyFill="1" applyBorder="1" applyAlignment="1">
      <alignment horizontal="left"/>
    </xf>
    <xf numFmtId="0" fontId="23" fillId="10" borderId="10" xfId="0" applyFont="1" applyFill="1" applyBorder="1" applyAlignment="1">
      <alignment horizontal="left"/>
    </xf>
    <xf numFmtId="0" fontId="23" fillId="11" borderId="10" xfId="0" applyFont="1" applyFill="1" applyBorder="1" applyAlignment="1">
      <alignment horizontal="left"/>
    </xf>
    <xf numFmtId="0" fontId="23" fillId="11" borderId="11" xfId="0" applyFont="1" applyFill="1" applyBorder="1" applyAlignment="1">
      <alignment horizontal="left"/>
    </xf>
    <xf numFmtId="165" fontId="23" fillId="3" borderId="1" xfId="0" applyNumberFormat="1" applyFont="1" applyFill="1" applyBorder="1" applyAlignment="1">
      <alignment horizontal="left"/>
    </xf>
    <xf numFmtId="0" fontId="31" fillId="2" borderId="0" xfId="0" applyFont="1" applyFill="1" applyBorder="1"/>
    <xf numFmtId="0" fontId="23" fillId="2" borderId="0" xfId="0" applyFont="1" applyFill="1" applyBorder="1"/>
    <xf numFmtId="0" fontId="23" fillId="2" borderId="0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left"/>
    </xf>
    <xf numFmtId="0" fontId="18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8" fillId="2" borderId="12" xfId="0" applyFont="1" applyFill="1" applyBorder="1" applyAlignment="1"/>
    <xf numFmtId="0" fontId="18" fillId="8" borderId="23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18" fillId="8" borderId="16" xfId="0" applyFont="1" applyFill="1" applyBorder="1" applyAlignment="1">
      <alignment horizontal="center" vertical="center"/>
    </xf>
    <xf numFmtId="0" fontId="18" fillId="8" borderId="24" xfId="0" applyFont="1" applyFill="1" applyBorder="1" applyAlignment="1">
      <alignment horizontal="center" vertical="center"/>
    </xf>
    <xf numFmtId="0" fontId="33" fillId="2" borderId="17" xfId="0" applyFont="1" applyFill="1" applyBorder="1" applyAlignment="1">
      <alignment horizontal="center" vertical="center"/>
    </xf>
    <xf numFmtId="0" fontId="33" fillId="2" borderId="19" xfId="0" applyFont="1" applyFill="1" applyBorder="1" applyAlignment="1">
      <alignment horizontal="center" vertical="center"/>
    </xf>
    <xf numFmtId="0" fontId="33" fillId="2" borderId="24" xfId="0" applyFont="1" applyFill="1" applyBorder="1" applyAlignment="1">
      <alignment horizontal="center" vertical="center"/>
    </xf>
    <xf numFmtId="0" fontId="33" fillId="2" borderId="18" xfId="0" applyFont="1" applyFill="1" applyBorder="1" applyAlignment="1">
      <alignment horizontal="center" vertical="center"/>
    </xf>
    <xf numFmtId="0" fontId="33" fillId="2" borderId="12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center" vertical="center"/>
    </xf>
    <xf numFmtId="0" fontId="33" fillId="2" borderId="28" xfId="0" applyFont="1" applyFill="1" applyBorder="1" applyAlignment="1">
      <alignment horizontal="center" vertical="center"/>
    </xf>
    <xf numFmtId="0" fontId="33" fillId="2" borderId="29" xfId="0" applyFont="1" applyFill="1" applyBorder="1" applyAlignment="1">
      <alignment horizontal="center" vertical="center"/>
    </xf>
    <xf numFmtId="0" fontId="33" fillId="2" borderId="30" xfId="0" applyFont="1" applyFill="1" applyBorder="1" applyAlignment="1">
      <alignment horizontal="center" vertical="center"/>
    </xf>
    <xf numFmtId="0" fontId="18" fillId="8" borderId="25" xfId="0" applyFont="1" applyFill="1" applyBorder="1" applyAlignment="1">
      <alignment horizontal="center" vertical="center"/>
    </xf>
    <xf numFmtId="0" fontId="18" fillId="8" borderId="2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4" fillId="10" borderId="7" xfId="0" applyFont="1" applyFill="1" applyBorder="1"/>
    <xf numFmtId="0" fontId="35" fillId="10" borderId="0" xfId="0" applyFont="1" applyFill="1" applyAlignment="1">
      <alignment horizontal="center" vertical="center"/>
    </xf>
    <xf numFmtId="0" fontId="35" fillId="10" borderId="7" xfId="0" applyFont="1" applyFill="1" applyBorder="1" applyAlignment="1">
      <alignment vertical="center"/>
    </xf>
    <xf numFmtId="0" fontId="6" fillId="11" borderId="0" xfId="0" applyFont="1" applyFill="1" applyAlignment="1">
      <alignment horizontal="left" vertical="center"/>
    </xf>
    <xf numFmtId="0" fontId="27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6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6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6" fillId="11" borderId="0" xfId="0" applyFont="1" applyFill="1" applyBorder="1" applyAlignment="1">
      <alignment horizontal="left" vertical="center"/>
    </xf>
    <xf numFmtId="0" fontId="26" fillId="11" borderId="0" xfId="0" applyFont="1" applyFill="1" applyBorder="1" applyAlignment="1">
      <alignment vertical="center"/>
    </xf>
    <xf numFmtId="0" fontId="29" fillId="3" borderId="0" xfId="0" applyFont="1" applyFill="1" applyBorder="1" applyAlignment="1">
      <alignment vertical="center"/>
    </xf>
    <xf numFmtId="0" fontId="20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6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6" fillId="3" borderId="0" xfId="0" applyFont="1" applyFill="1" applyBorder="1" applyAlignment="1">
      <alignment vertical="center"/>
    </xf>
    <xf numFmtId="0" fontId="27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7" fillId="11" borderId="0" xfId="0" applyFont="1" applyFill="1" applyBorder="1" applyAlignment="1">
      <alignment horizontal="left" vertical="center"/>
    </xf>
    <xf numFmtId="0" fontId="27" fillId="9" borderId="0" xfId="0" applyFont="1" applyFill="1" applyBorder="1" applyAlignment="1">
      <alignment horizontal="center" vertical="center"/>
    </xf>
    <xf numFmtId="0" fontId="0" fillId="16" borderId="0" xfId="0" applyFill="1" applyAlignment="1"/>
    <xf numFmtId="0" fontId="38" fillId="17" borderId="1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left" vertical="center" wrapText="1"/>
    </xf>
    <xf numFmtId="3" fontId="33" fillId="13" borderId="1" xfId="0" applyNumberFormat="1" applyFont="1" applyFill="1" applyBorder="1" applyAlignment="1">
      <alignment horizontal="left" vertical="center" wrapText="1"/>
    </xf>
    <xf numFmtId="0" fontId="38" fillId="17" borderId="1" xfId="0" applyFont="1" applyFill="1" applyBorder="1" applyAlignment="1">
      <alignment horizontal="left" vertical="center"/>
    </xf>
    <xf numFmtId="0" fontId="38" fillId="17" borderId="1" xfId="0" applyFont="1" applyFill="1" applyBorder="1" applyAlignment="1">
      <alignment horizontal="right" vertical="center"/>
    </xf>
    <xf numFmtId="14" fontId="33" fillId="13" borderId="1" xfId="0" applyNumberFormat="1" applyFont="1" applyFill="1" applyBorder="1" applyAlignment="1">
      <alignment horizontal="left" vertical="center" wrapText="1"/>
    </xf>
    <xf numFmtId="20" fontId="33" fillId="13" borderId="1" xfId="0" applyNumberFormat="1" applyFont="1" applyFill="1" applyBorder="1" applyAlignment="1">
      <alignment horizontal="left" vertical="center" wrapText="1"/>
    </xf>
    <xf numFmtId="2" fontId="33" fillId="13" borderId="1" xfId="0" applyNumberFormat="1" applyFont="1" applyFill="1" applyBorder="1" applyAlignment="1">
      <alignment horizontal="left" vertical="center" wrapText="1"/>
    </xf>
    <xf numFmtId="8" fontId="33" fillId="13" borderId="1" xfId="0" applyNumberFormat="1" applyFont="1" applyFill="1" applyBorder="1" applyAlignment="1">
      <alignment horizontal="left" vertical="center" wrapText="1"/>
    </xf>
    <xf numFmtId="0" fontId="26" fillId="10" borderId="0" xfId="0" applyFont="1" applyFill="1" applyBorder="1" applyAlignment="1">
      <alignment vertical="center"/>
    </xf>
    <xf numFmtId="0" fontId="22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6" fillId="13" borderId="0" xfId="0" applyFont="1" applyFill="1" applyBorder="1" applyAlignment="1"/>
    <xf numFmtId="0" fontId="27" fillId="3" borderId="1" xfId="0" applyFont="1" applyFill="1" applyBorder="1" applyAlignment="1">
      <alignment horizontal="center" vertical="center"/>
    </xf>
    <xf numFmtId="0" fontId="37" fillId="10" borderId="0" xfId="0" applyFont="1" applyFill="1" applyBorder="1" applyAlignment="1">
      <alignment horizontal="left" vertical="center"/>
    </xf>
    <xf numFmtId="0" fontId="33" fillId="10" borderId="0" xfId="0" applyFont="1" applyFill="1" applyBorder="1" applyAlignment="1">
      <alignment horizontal="left" vertical="center"/>
    </xf>
    <xf numFmtId="0" fontId="37" fillId="19" borderId="52" xfId="0" applyFont="1" applyFill="1" applyBorder="1" applyAlignment="1">
      <alignment horizontal="center"/>
    </xf>
    <xf numFmtId="0" fontId="40" fillId="20" borderId="0" xfId="0" applyFont="1" applyFill="1" applyAlignment="1">
      <alignment vertical="center"/>
    </xf>
    <xf numFmtId="0" fontId="8" fillId="21" borderId="0" xfId="0" applyFont="1" applyFill="1"/>
    <xf numFmtId="0" fontId="12" fillId="20" borderId="0" xfId="0" applyFont="1" applyFill="1"/>
    <xf numFmtId="0" fontId="9" fillId="20" borderId="49" xfId="0" applyFont="1" applyFill="1" applyBorder="1"/>
    <xf numFmtId="0" fontId="9" fillId="20" borderId="50" xfId="0" applyFont="1" applyFill="1" applyBorder="1"/>
    <xf numFmtId="0" fontId="9" fillId="20" borderId="15" xfId="0" applyFont="1" applyFill="1" applyBorder="1"/>
    <xf numFmtId="0" fontId="9" fillId="20" borderId="51" xfId="0" applyFont="1" applyFill="1" applyBorder="1"/>
    <xf numFmtId="0" fontId="9" fillId="20" borderId="0" xfId="0" applyFont="1" applyFill="1"/>
    <xf numFmtId="0" fontId="12" fillId="20" borderId="0" xfId="0" applyFont="1" applyFill="1" applyAlignment="1">
      <alignment horizontal="left" vertical="center"/>
    </xf>
    <xf numFmtId="0" fontId="9" fillId="20" borderId="20" xfId="0" applyFont="1" applyFill="1" applyBorder="1"/>
    <xf numFmtId="0" fontId="33" fillId="20" borderId="0" xfId="0" applyFont="1" applyFill="1"/>
    <xf numFmtId="0" fontId="41" fillId="2" borderId="1" xfId="0" applyFont="1" applyFill="1" applyBorder="1"/>
    <xf numFmtId="0" fontId="9" fillId="20" borderId="53" xfId="0" applyFont="1" applyFill="1" applyBorder="1"/>
    <xf numFmtId="0" fontId="9" fillId="20" borderId="14" xfId="0" applyFont="1" applyFill="1" applyBorder="1"/>
    <xf numFmtId="0" fontId="9" fillId="20" borderId="3" xfId="0" applyFont="1" applyFill="1" applyBorder="1"/>
    <xf numFmtId="0" fontId="9" fillId="21" borderId="49" xfId="0" applyFont="1" applyFill="1" applyBorder="1"/>
    <xf numFmtId="0" fontId="9" fillId="21" borderId="50" xfId="0" applyFont="1" applyFill="1" applyBorder="1"/>
    <xf numFmtId="0" fontId="9" fillId="21" borderId="15" xfId="0" applyFont="1" applyFill="1" applyBorder="1"/>
    <xf numFmtId="0" fontId="9" fillId="21" borderId="51" xfId="0" applyFont="1" applyFill="1" applyBorder="1"/>
    <xf numFmtId="0" fontId="9" fillId="21" borderId="0" xfId="0" applyFont="1" applyFill="1"/>
    <xf numFmtId="0" fontId="9" fillId="21" borderId="20" xfId="0" applyFont="1" applyFill="1" applyBorder="1"/>
    <xf numFmtId="0" fontId="9" fillId="21" borderId="14" xfId="0" applyFont="1" applyFill="1" applyBorder="1"/>
    <xf numFmtId="0" fontId="9" fillId="21" borderId="3" xfId="0" applyFont="1" applyFill="1" applyBorder="1"/>
    <xf numFmtId="0" fontId="9" fillId="22" borderId="13" xfId="0" applyFont="1" applyFill="1" applyBorder="1"/>
    <xf numFmtId="0" fontId="9" fillId="22" borderId="54" xfId="0" applyFont="1" applyFill="1" applyBorder="1"/>
    <xf numFmtId="0" fontId="9" fillId="22" borderId="56" xfId="0" applyFont="1" applyFill="1" applyBorder="1"/>
    <xf numFmtId="0" fontId="9" fillId="22" borderId="51" xfId="0" applyFont="1" applyFill="1" applyBorder="1"/>
    <xf numFmtId="0" fontId="9" fillId="22" borderId="0" xfId="0" applyFont="1" applyFill="1"/>
    <xf numFmtId="0" fontId="9" fillId="22" borderId="20" xfId="0" applyFont="1" applyFill="1" applyBorder="1"/>
    <xf numFmtId="0" fontId="9" fillId="22" borderId="53" xfId="0" applyFont="1" applyFill="1" applyBorder="1"/>
    <xf numFmtId="0" fontId="9" fillId="22" borderId="14" xfId="0" applyFont="1" applyFill="1" applyBorder="1"/>
    <xf numFmtId="0" fontId="9" fillId="22" borderId="3" xfId="0" applyFont="1" applyFill="1" applyBorder="1"/>
    <xf numFmtId="0" fontId="9" fillId="21" borderId="53" xfId="0" applyFont="1" applyFill="1" applyBorder="1"/>
    <xf numFmtId="0" fontId="9" fillId="22" borderId="49" xfId="0" applyFont="1" applyFill="1" applyBorder="1"/>
    <xf numFmtId="0" fontId="9" fillId="22" borderId="50" xfId="0" applyFont="1" applyFill="1" applyBorder="1"/>
    <xf numFmtId="0" fontId="9" fillId="22" borderId="15" xfId="0" applyFont="1" applyFill="1" applyBorder="1"/>
    <xf numFmtId="0" fontId="12" fillId="21" borderId="0" xfId="0" applyFont="1" applyFill="1"/>
    <xf numFmtId="0" fontId="39" fillId="22" borderId="54" xfId="0" applyFont="1" applyFill="1" applyBorder="1"/>
    <xf numFmtId="0" fontId="30" fillId="22" borderId="55" xfId="0" applyFont="1" applyFill="1" applyBorder="1"/>
    <xf numFmtId="0" fontId="30" fillId="22" borderId="51" xfId="0" applyFont="1" applyFill="1" applyBorder="1"/>
    <xf numFmtId="0" fontId="39" fillId="22" borderId="55" xfId="0" applyFont="1" applyFill="1" applyBorder="1"/>
    <xf numFmtId="0" fontId="39" fillId="22" borderId="51" xfId="0" applyFont="1" applyFill="1" applyBorder="1"/>
    <xf numFmtId="0" fontId="37" fillId="22" borderId="0" xfId="0" applyFont="1" applyFill="1"/>
    <xf numFmtId="0" fontId="36" fillId="22" borderId="0" xfId="0" applyFont="1" applyFill="1"/>
    <xf numFmtId="0" fontId="39" fillId="22" borderId="0" xfId="0" applyFont="1" applyFill="1"/>
    <xf numFmtId="0" fontId="37" fillId="21" borderId="1" xfId="0" applyFont="1" applyFill="1" applyBorder="1"/>
    <xf numFmtId="0" fontId="33" fillId="10" borderId="36" xfId="0" applyFont="1" applyFill="1" applyBorder="1" applyAlignment="1">
      <alignment horizontal="left" vertical="center"/>
    </xf>
    <xf numFmtId="0" fontId="33" fillId="10" borderId="38" xfId="0" applyFont="1" applyFill="1" applyBorder="1" applyAlignment="1">
      <alignment horizontal="left" vertical="center"/>
    </xf>
    <xf numFmtId="0" fontId="38" fillId="17" borderId="34" xfId="0" applyFont="1" applyFill="1" applyBorder="1" applyAlignment="1">
      <alignment horizontal="center"/>
    </xf>
    <xf numFmtId="0" fontId="38" fillId="17" borderId="35" xfId="0" applyFont="1" applyFill="1" applyBorder="1" applyAlignment="1">
      <alignment horizontal="center"/>
    </xf>
    <xf numFmtId="44" fontId="33" fillId="10" borderId="37" xfId="0" applyNumberFormat="1" applyFont="1" applyFill="1" applyBorder="1" applyAlignment="1">
      <alignment horizontal="left" vertical="center"/>
    </xf>
    <xf numFmtId="44" fontId="33" fillId="10" borderId="40" xfId="0" applyNumberFormat="1" applyFont="1" applyFill="1" applyBorder="1" applyAlignment="1">
      <alignment horizontal="left" vertical="center"/>
    </xf>
    <xf numFmtId="0" fontId="37" fillId="19" borderId="1" xfId="0" applyFont="1" applyFill="1" applyBorder="1" applyAlignment="1">
      <alignment horizontal="center" vertical="center"/>
    </xf>
    <xf numFmtId="0" fontId="37" fillId="19" borderId="37" xfId="0" applyFont="1" applyFill="1" applyBorder="1" applyAlignment="1">
      <alignment vertical="center"/>
    </xf>
    <xf numFmtId="44" fontId="33" fillId="10" borderId="1" xfId="0" applyNumberFormat="1" applyFont="1" applyFill="1" applyBorder="1" applyAlignment="1">
      <alignment horizontal="left"/>
    </xf>
    <xf numFmtId="0" fontId="33" fillId="10" borderId="36" xfId="0" applyFont="1" applyFill="1" applyBorder="1" applyAlignment="1">
      <alignment horizontal="left"/>
    </xf>
    <xf numFmtId="9" fontId="33" fillId="10" borderId="1" xfId="0" applyNumberFormat="1" applyFont="1" applyFill="1" applyBorder="1" applyAlignment="1">
      <alignment horizontal="left" vertical="center"/>
    </xf>
    <xf numFmtId="164" fontId="33" fillId="10" borderId="37" xfId="0" applyNumberFormat="1" applyFont="1" applyFill="1" applyBorder="1" applyAlignment="1">
      <alignment horizontal="left" vertical="center"/>
    </xf>
    <xf numFmtId="44" fontId="33" fillId="10" borderId="36" xfId="0" applyNumberFormat="1" applyFont="1" applyFill="1" applyBorder="1" applyAlignment="1">
      <alignment horizontal="left"/>
    </xf>
    <xf numFmtId="10" fontId="33" fillId="10" borderId="1" xfId="0" applyNumberFormat="1" applyFont="1" applyFill="1" applyBorder="1" applyAlignment="1">
      <alignment horizontal="left" vertical="center"/>
    </xf>
    <xf numFmtId="0" fontId="33" fillId="10" borderId="38" xfId="0" applyFont="1" applyFill="1" applyBorder="1" applyAlignment="1">
      <alignment horizontal="left"/>
    </xf>
    <xf numFmtId="44" fontId="33" fillId="10" borderId="39" xfId="0" applyNumberFormat="1" applyFont="1" applyFill="1" applyBorder="1" applyAlignment="1">
      <alignment horizontal="left"/>
    </xf>
    <xf numFmtId="10" fontId="33" fillId="10" borderId="39" xfId="0" applyNumberFormat="1" applyFont="1" applyFill="1" applyBorder="1" applyAlignment="1">
      <alignment horizontal="left" vertical="center"/>
    </xf>
    <xf numFmtId="164" fontId="33" fillId="10" borderId="40" xfId="0" applyNumberFormat="1" applyFont="1" applyFill="1" applyBorder="1" applyAlignment="1">
      <alignment horizontal="left" vertical="center"/>
    </xf>
    <xf numFmtId="0" fontId="33" fillId="10" borderId="1" xfId="0" applyFont="1" applyFill="1" applyBorder="1" applyAlignment="1">
      <alignment horizontal="left" vertical="center"/>
    </xf>
    <xf numFmtId="9" fontId="33" fillId="10" borderId="37" xfId="0" applyNumberFormat="1" applyFont="1" applyFill="1" applyBorder="1" applyAlignment="1">
      <alignment horizontal="left" vertical="center"/>
    </xf>
    <xf numFmtId="0" fontId="33" fillId="10" borderId="37" xfId="0" applyFont="1" applyFill="1" applyBorder="1" applyAlignment="1">
      <alignment horizontal="left" vertical="center"/>
    </xf>
    <xf numFmtId="0" fontId="33" fillId="10" borderId="39" xfId="0" applyFont="1" applyFill="1" applyBorder="1" applyAlignment="1">
      <alignment horizontal="left" vertical="center"/>
    </xf>
    <xf numFmtId="10" fontId="33" fillId="10" borderId="40" xfId="0" applyNumberFormat="1" applyFont="1" applyFill="1" applyBorder="1" applyAlignment="1">
      <alignment horizontal="left" vertical="center"/>
    </xf>
    <xf numFmtId="0" fontId="42" fillId="17" borderId="60" xfId="0" applyFont="1" applyFill="1" applyBorder="1"/>
    <xf numFmtId="9" fontId="33" fillId="10" borderId="61" xfId="0" applyNumberFormat="1" applyFont="1" applyFill="1" applyBorder="1" applyAlignment="1">
      <alignment horizontal="left"/>
    </xf>
    <xf numFmtId="0" fontId="6" fillId="11" borderId="0" xfId="0" applyFont="1" applyFill="1" applyBorder="1" applyAlignment="1">
      <alignment vertical="center"/>
    </xf>
    <xf numFmtId="0" fontId="9" fillId="13" borderId="0" xfId="0" applyFont="1" applyFill="1" applyBorder="1"/>
    <xf numFmtId="0" fontId="9" fillId="13" borderId="10" xfId="0" applyFont="1" applyFill="1" applyBorder="1"/>
    <xf numFmtId="0" fontId="20" fillId="17" borderId="1" xfId="0" applyFont="1" applyFill="1" applyBorder="1"/>
    <xf numFmtId="0" fontId="33" fillId="10" borderId="62" xfId="0" applyFont="1" applyFill="1" applyBorder="1" applyAlignment="1">
      <alignment horizontal="left"/>
    </xf>
    <xf numFmtId="0" fontId="33" fillId="10" borderId="1" xfId="0" applyFont="1" applyFill="1" applyBorder="1" applyAlignment="1">
      <alignment horizontal="left"/>
    </xf>
    <xf numFmtId="0" fontId="6" fillId="11" borderId="1" xfId="0" applyFont="1" applyFill="1" applyBorder="1" applyAlignment="1">
      <alignment horizontal="left"/>
    </xf>
    <xf numFmtId="0" fontId="6" fillId="11" borderId="0" xfId="0" applyFont="1" applyFill="1"/>
    <xf numFmtId="0" fontId="0" fillId="2" borderId="0" xfId="0" applyFill="1" applyAlignment="1">
      <alignment horizontal="left" vertical="center"/>
    </xf>
    <xf numFmtId="0" fontId="21" fillId="2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/>
    </xf>
    <xf numFmtId="0" fontId="25" fillId="12" borderId="34" xfId="0" applyFont="1" applyFill="1" applyBorder="1" applyAlignment="1">
      <alignment horizontal="center" vertical="center"/>
    </xf>
    <xf numFmtId="0" fontId="25" fillId="12" borderId="67" xfId="0" applyFont="1" applyFill="1" applyBorder="1" applyAlignment="1">
      <alignment horizontal="center" vertical="center"/>
    </xf>
    <xf numFmtId="0" fontId="25" fillId="12" borderId="59" xfId="0" applyFont="1" applyFill="1" applyBorder="1" applyAlignment="1">
      <alignment horizontal="center" vertical="center"/>
    </xf>
    <xf numFmtId="0" fontId="25" fillId="17" borderId="36" xfId="0" applyFont="1" applyFill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0" fontId="25" fillId="17" borderId="37" xfId="0" applyFont="1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15" fillId="3" borderId="68" xfId="0" applyFont="1" applyFill="1" applyBorder="1"/>
    <xf numFmtId="0" fontId="15" fillId="3" borderId="3" xfId="0" applyFont="1" applyFill="1" applyBorder="1"/>
    <xf numFmtId="0" fontId="9" fillId="2" borderId="1" xfId="0" applyFont="1" applyFill="1" applyBorder="1" applyAlignment="1">
      <alignment horizontal="left" vertical="center"/>
    </xf>
    <xf numFmtId="0" fontId="9" fillId="2" borderId="37" xfId="0" applyFont="1" applyFill="1" applyBorder="1" applyAlignment="1">
      <alignment horizontal="left" vertical="center"/>
    </xf>
    <xf numFmtId="0" fontId="0" fillId="0" borderId="36" xfId="0" applyBorder="1"/>
    <xf numFmtId="0" fontId="0" fillId="0" borderId="1" xfId="0" applyBorder="1"/>
    <xf numFmtId="0" fontId="0" fillId="0" borderId="37" xfId="0" applyBorder="1"/>
    <xf numFmtId="0" fontId="9" fillId="2" borderId="37" xfId="0" applyFont="1" applyFill="1" applyBorder="1" applyAlignment="1">
      <alignment horizontal="left"/>
    </xf>
    <xf numFmtId="0" fontId="1" fillId="2" borderId="37" xfId="2" applyFill="1" applyBorder="1" applyAlignment="1">
      <alignment horizontal="left" vertical="center"/>
    </xf>
    <xf numFmtId="0" fontId="1" fillId="2" borderId="37" xfId="2" applyFill="1" applyBorder="1" applyAlignment="1">
      <alignment horizontal="left"/>
    </xf>
    <xf numFmtId="0" fontId="9" fillId="2" borderId="37" xfId="0" applyFont="1" applyFill="1" applyBorder="1"/>
    <xf numFmtId="0" fontId="8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5" fillId="3" borderId="69" xfId="0" applyFont="1" applyFill="1" applyBorder="1"/>
    <xf numFmtId="0" fontId="15" fillId="3" borderId="70" xfId="0" applyFont="1" applyFill="1" applyBorder="1"/>
    <xf numFmtId="0" fontId="9" fillId="2" borderId="39" xfId="0" applyFont="1" applyFill="1" applyBorder="1" applyAlignment="1">
      <alignment horizontal="left" vertical="center"/>
    </xf>
    <xf numFmtId="0" fontId="9" fillId="2" borderId="40" xfId="0" applyFont="1" applyFill="1" applyBorder="1" applyAlignment="1">
      <alignment horizontal="left" vertical="center"/>
    </xf>
    <xf numFmtId="0" fontId="25" fillId="17" borderId="68" xfId="0" applyFont="1" applyFill="1" applyBorder="1" applyAlignment="1">
      <alignment horizontal="center"/>
    </xf>
    <xf numFmtId="0" fontId="25" fillId="17" borderId="2" xfId="0" applyFont="1" applyFill="1" applyBorder="1" applyAlignment="1">
      <alignment horizontal="center"/>
    </xf>
    <xf numFmtId="0" fontId="25" fillId="17" borderId="2" xfId="0" applyFont="1" applyFill="1" applyBorder="1" applyAlignment="1">
      <alignment horizontal="center" vertical="center"/>
    </xf>
    <xf numFmtId="0" fontId="25" fillId="17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7" fillId="2" borderId="0" xfId="0" applyFont="1" applyFill="1" applyAlignment="1">
      <alignment vertical="center"/>
    </xf>
    <xf numFmtId="0" fontId="25" fillId="12" borderId="1" xfId="0" applyFont="1" applyFill="1" applyBorder="1" applyAlignment="1">
      <alignment horizontal="center"/>
    </xf>
    <xf numFmtId="0" fontId="25" fillId="12" borderId="56" xfId="0" applyFont="1" applyFill="1" applyBorder="1" applyAlignment="1">
      <alignment horizontal="center"/>
    </xf>
    <xf numFmtId="0" fontId="25" fillId="3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left"/>
    </xf>
    <xf numFmtId="0" fontId="8" fillId="2" borderId="18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44" fillId="2" borderId="1" xfId="0" applyFont="1" applyFill="1" applyBorder="1" applyAlignment="1">
      <alignment horizontal="left"/>
    </xf>
    <xf numFmtId="0" fontId="9" fillId="2" borderId="18" xfId="0" applyFont="1" applyFill="1" applyBorder="1" applyAlignment="1">
      <alignment horizontal="left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9" fillId="2" borderId="0" xfId="0" applyFont="1" applyFill="1"/>
    <xf numFmtId="0" fontId="7" fillId="3" borderId="0" xfId="0" applyFont="1" applyFill="1"/>
    <xf numFmtId="0" fontId="7" fillId="17" borderId="36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7" borderId="3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5" fillId="0" borderId="36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3" fillId="2" borderId="0" xfId="0" applyFont="1" applyFill="1"/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1" fillId="2" borderId="0" xfId="2" applyFill="1" applyBorder="1"/>
    <xf numFmtId="44" fontId="0" fillId="2" borderId="0" xfId="5" applyFont="1" applyFill="1" applyBorder="1"/>
    <xf numFmtId="0" fontId="46" fillId="2" borderId="0" xfId="0" applyFont="1" applyFill="1"/>
    <xf numFmtId="0" fontId="37" fillId="10" borderId="0" xfId="0" applyFont="1" applyFill="1" applyBorder="1"/>
    <xf numFmtId="0" fontId="47" fillId="10" borderId="0" xfId="0" applyFont="1" applyFill="1" applyBorder="1"/>
    <xf numFmtId="0" fontId="37" fillId="10" borderId="0" xfId="0" applyFont="1" applyFill="1" applyBorder="1" applyAlignment="1">
      <alignment horizontal="left"/>
    </xf>
    <xf numFmtId="0" fontId="33" fillId="10" borderId="0" xfId="0" applyFont="1" applyFill="1" applyBorder="1" applyAlignment="1">
      <alignment horizontal="left"/>
    </xf>
    <xf numFmtId="0" fontId="33" fillId="10" borderId="0" xfId="0" applyFont="1" applyFill="1" applyBorder="1"/>
    <xf numFmtId="0" fontId="31" fillId="10" borderId="9" xfId="0" applyFont="1" applyFill="1" applyBorder="1"/>
    <xf numFmtId="0" fontId="47" fillId="10" borderId="10" xfId="0" applyFont="1" applyFill="1" applyBorder="1"/>
    <xf numFmtId="0" fontId="31" fillId="10" borderId="10" xfId="0" applyFont="1" applyFill="1" applyBorder="1"/>
    <xf numFmtId="0" fontId="23" fillId="10" borderId="10" xfId="0" applyFont="1" applyFill="1" applyBorder="1"/>
    <xf numFmtId="0" fontId="31" fillId="10" borderId="11" xfId="0" applyFont="1" applyFill="1" applyBorder="1"/>
    <xf numFmtId="0" fontId="36" fillId="10" borderId="0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horizontal="left" vertical="center"/>
    </xf>
    <xf numFmtId="0" fontId="42" fillId="10" borderId="0" xfId="0" applyFont="1" applyFill="1" applyBorder="1" applyAlignment="1">
      <alignment horizontal="left" vertical="center"/>
    </xf>
    <xf numFmtId="0" fontId="47" fillId="2" borderId="0" xfId="0" applyFont="1" applyFill="1" applyBorder="1"/>
    <xf numFmtId="0" fontId="37" fillId="10" borderId="10" xfId="0" applyFont="1" applyFill="1" applyBorder="1" applyAlignment="1">
      <alignment horizontal="left"/>
    </xf>
    <xf numFmtId="0" fontId="33" fillId="10" borderId="10" xfId="0" applyFont="1" applyFill="1" applyBorder="1" applyAlignment="1">
      <alignment horizontal="left"/>
    </xf>
    <xf numFmtId="165" fontId="23" fillId="11" borderId="0" xfId="0" applyNumberFormat="1" applyFont="1" applyFill="1" applyBorder="1" applyAlignment="1">
      <alignment horizontal="left"/>
    </xf>
    <xf numFmtId="0" fontId="22" fillId="10" borderId="0" xfId="0" applyFont="1" applyFill="1" applyBorder="1" applyAlignment="1">
      <alignment horizontal="left" vertical="center"/>
    </xf>
    <xf numFmtId="44" fontId="0" fillId="13" borderId="1" xfId="4" applyFont="1" applyFill="1" applyBorder="1"/>
    <xf numFmtId="44" fontId="45" fillId="13" borderId="1" xfId="4" applyFont="1" applyFill="1" applyBorder="1"/>
    <xf numFmtId="0" fontId="22" fillId="13" borderId="1" xfId="0" applyFont="1" applyFill="1" applyBorder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3" fillId="13" borderId="55" xfId="0" applyFont="1" applyFill="1" applyBorder="1"/>
    <xf numFmtId="0" fontId="33" fillId="13" borderId="1" xfId="0" applyFont="1" applyFill="1" applyBorder="1" applyAlignment="1">
      <alignment horizontal="center"/>
    </xf>
    <xf numFmtId="44" fontId="33" fillId="13" borderId="1" xfId="4" applyFont="1" applyFill="1" applyBorder="1" applyAlignment="1"/>
    <xf numFmtId="0" fontId="29" fillId="17" borderId="1" xfId="0" applyFont="1" applyFill="1" applyBorder="1" applyAlignment="1">
      <alignment horizontal="center" vertical="center"/>
    </xf>
    <xf numFmtId="0" fontId="38" fillId="17" borderId="55" xfId="0" applyFont="1" applyFill="1" applyBorder="1" applyAlignment="1">
      <alignment vertical="center"/>
    </xf>
    <xf numFmtId="0" fontId="38" fillId="17" borderId="1" xfId="0" applyFont="1" applyFill="1" applyBorder="1" applyAlignment="1">
      <alignment vertical="center"/>
    </xf>
    <xf numFmtId="0" fontId="33" fillId="13" borderId="1" xfId="0" applyFont="1" applyFill="1" applyBorder="1"/>
    <xf numFmtId="44" fontId="33" fillId="13" borderId="1" xfId="4" applyFont="1" applyFill="1" applyBorder="1" applyAlignment="1">
      <alignment horizontal="center"/>
    </xf>
    <xf numFmtId="0" fontId="33" fillId="10" borderId="1" xfId="0" applyFont="1" applyFill="1" applyBorder="1"/>
    <xf numFmtId="44" fontId="33" fillId="10" borderId="1" xfId="0" applyNumberFormat="1" applyFont="1" applyFill="1" applyBorder="1"/>
    <xf numFmtId="44" fontId="9" fillId="13" borderId="1" xfId="4" applyFont="1" applyFill="1" applyBorder="1"/>
    <xf numFmtId="0" fontId="9" fillId="0" borderId="50" xfId="0" applyFont="1" applyBorder="1"/>
    <xf numFmtId="44" fontId="9" fillId="0" borderId="50" xfId="4" applyFont="1" applyBorder="1"/>
    <xf numFmtId="44" fontId="0" fillId="0" borderId="50" xfId="4" applyFont="1" applyBorder="1"/>
    <xf numFmtId="0" fontId="9" fillId="0" borderId="0" xfId="0" applyFont="1"/>
    <xf numFmtId="44" fontId="9" fillId="0" borderId="0" xfId="4" applyFont="1" applyBorder="1"/>
    <xf numFmtId="44" fontId="0" fillId="0" borderId="0" xfId="4" applyFont="1" applyBorder="1"/>
    <xf numFmtId="44" fontId="9" fillId="17" borderId="13" xfId="4" applyFont="1" applyFill="1" applyBorder="1"/>
    <xf numFmtId="44" fontId="0" fillId="17" borderId="13" xfId="4" applyFont="1" applyFill="1" applyBorder="1"/>
    <xf numFmtId="0" fontId="9" fillId="0" borderId="54" xfId="0" applyFont="1" applyBorder="1"/>
    <xf numFmtId="44" fontId="9" fillId="0" borderId="54" xfId="4" applyFont="1" applyBorder="1"/>
    <xf numFmtId="44" fontId="0" fillId="0" borderId="54" xfId="4" applyFont="1" applyBorder="1"/>
    <xf numFmtId="44" fontId="33" fillId="13" borderId="1" xfId="4" applyFont="1" applyFill="1" applyBorder="1"/>
    <xf numFmtId="44" fontId="47" fillId="13" borderId="1" xfId="4" applyFont="1" applyFill="1" applyBorder="1"/>
    <xf numFmtId="0" fontId="33" fillId="13" borderId="13" xfId="0" applyFont="1" applyFill="1" applyBorder="1"/>
    <xf numFmtId="44" fontId="33" fillId="13" borderId="13" xfId="4" applyFont="1" applyFill="1" applyBorder="1"/>
    <xf numFmtId="44" fontId="47" fillId="13" borderId="13" xfId="4" applyFont="1" applyFill="1" applyBorder="1"/>
    <xf numFmtId="0" fontId="34" fillId="13" borderId="1" xfId="0" applyFont="1" applyFill="1" applyBorder="1"/>
    <xf numFmtId="0" fontId="38" fillId="17" borderId="13" xfId="0" applyFont="1" applyFill="1" applyBorder="1"/>
    <xf numFmtId="44" fontId="33" fillId="13" borderId="0" xfId="4" applyFont="1" applyFill="1"/>
    <xf numFmtId="0" fontId="29" fillId="17" borderId="1" xfId="0" applyFont="1" applyFill="1" applyBorder="1" applyAlignment="1">
      <alignment horizontal="center"/>
    </xf>
    <xf numFmtId="0" fontId="48" fillId="0" borderId="0" xfId="0" applyFont="1" applyAlignment="1">
      <alignment vertical="center"/>
    </xf>
    <xf numFmtId="0" fontId="47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29" fillId="12" borderId="34" xfId="0" applyFont="1" applyFill="1" applyBorder="1" applyAlignment="1">
      <alignment horizontal="center" vertical="center"/>
    </xf>
    <xf numFmtId="0" fontId="29" fillId="12" borderId="67" xfId="0" applyFont="1" applyFill="1" applyBorder="1" applyAlignment="1">
      <alignment horizontal="center" vertical="center"/>
    </xf>
    <xf numFmtId="0" fontId="29" fillId="12" borderId="59" xfId="0" applyFont="1" applyFill="1" applyBorder="1" applyAlignment="1">
      <alignment horizontal="center" vertical="center"/>
    </xf>
    <xf numFmtId="0" fontId="6" fillId="3" borderId="68" xfId="0" applyFont="1" applyFill="1" applyBorder="1"/>
    <xf numFmtId="0" fontId="6" fillId="3" borderId="3" xfId="0" applyFont="1" applyFill="1" applyBorder="1"/>
    <xf numFmtId="0" fontId="33" fillId="2" borderId="1" xfId="0" applyFont="1" applyFill="1" applyBorder="1" applyAlignment="1">
      <alignment horizontal="left" vertical="center"/>
    </xf>
    <xf numFmtId="0" fontId="33" fillId="2" borderId="37" xfId="0" applyFont="1" applyFill="1" applyBorder="1" applyAlignment="1">
      <alignment horizontal="left" vertical="center"/>
    </xf>
    <xf numFmtId="0" fontId="33" fillId="2" borderId="37" xfId="0" applyFont="1" applyFill="1" applyBorder="1" applyAlignment="1">
      <alignment horizontal="left"/>
    </xf>
    <xf numFmtId="0" fontId="49" fillId="2" borderId="37" xfId="2" applyFont="1" applyFill="1" applyBorder="1" applyAlignment="1">
      <alignment horizontal="left" vertical="center"/>
    </xf>
    <xf numFmtId="0" fontId="49" fillId="2" borderId="37" xfId="2" applyFont="1" applyFill="1" applyBorder="1" applyAlignment="1">
      <alignment horizontal="left"/>
    </xf>
    <xf numFmtId="0" fontId="33" fillId="2" borderId="37" xfId="0" applyFont="1" applyFill="1" applyBorder="1"/>
    <xf numFmtId="0" fontId="6" fillId="3" borderId="69" xfId="0" applyFont="1" applyFill="1" applyBorder="1"/>
    <xf numFmtId="0" fontId="6" fillId="3" borderId="70" xfId="0" applyFont="1" applyFill="1" applyBorder="1"/>
    <xf numFmtId="0" fontId="33" fillId="2" borderId="39" xfId="0" applyFont="1" applyFill="1" applyBorder="1" applyAlignment="1">
      <alignment horizontal="left" vertical="center"/>
    </xf>
    <xf numFmtId="0" fontId="33" fillId="2" borderId="40" xfId="0" applyFont="1" applyFill="1" applyBorder="1" applyAlignment="1">
      <alignment horizontal="left" vertical="center"/>
    </xf>
    <xf numFmtId="0" fontId="29" fillId="17" borderId="36" xfId="0" applyFont="1" applyFill="1" applyBorder="1" applyAlignment="1">
      <alignment horizontal="center"/>
    </xf>
    <xf numFmtId="0" fontId="29" fillId="17" borderId="37" xfId="0" applyFont="1" applyFill="1" applyBorder="1" applyAlignment="1">
      <alignment horizontal="center"/>
    </xf>
    <xf numFmtId="0" fontId="47" fillId="0" borderId="36" xfId="0" applyFont="1" applyBorder="1"/>
    <xf numFmtId="0" fontId="47" fillId="0" borderId="1" xfId="0" applyFont="1" applyBorder="1"/>
    <xf numFmtId="0" fontId="47" fillId="0" borderId="37" xfId="0" applyFont="1" applyBorder="1"/>
    <xf numFmtId="0" fontId="47" fillId="0" borderId="38" xfId="0" applyFont="1" applyBorder="1"/>
    <xf numFmtId="0" fontId="47" fillId="0" borderId="39" xfId="0" applyFont="1" applyBorder="1"/>
    <xf numFmtId="0" fontId="47" fillId="0" borderId="40" xfId="0" applyFont="1" applyBorder="1"/>
    <xf numFmtId="0" fontId="29" fillId="17" borderId="68" xfId="0" applyFont="1" applyFill="1" applyBorder="1" applyAlignment="1">
      <alignment horizontal="center"/>
    </xf>
    <xf numFmtId="0" fontId="29" fillId="17" borderId="2" xfId="0" applyFont="1" applyFill="1" applyBorder="1" applyAlignment="1">
      <alignment horizontal="center"/>
    </xf>
    <xf numFmtId="0" fontId="29" fillId="17" borderId="2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/>
    </xf>
    <xf numFmtId="0" fontId="29" fillId="12" borderId="56" xfId="0" applyFont="1" applyFill="1" applyBorder="1" applyAlignment="1">
      <alignment horizontal="center"/>
    </xf>
    <xf numFmtId="0" fontId="33" fillId="2" borderId="1" xfId="0" applyFont="1" applyFill="1" applyBorder="1" applyAlignment="1">
      <alignment horizontal="left"/>
    </xf>
    <xf numFmtId="0" fontId="37" fillId="2" borderId="18" xfId="0" applyFont="1" applyFill="1" applyBorder="1" applyAlignment="1">
      <alignment horizontal="left"/>
    </xf>
    <xf numFmtId="0" fontId="51" fillId="2" borderId="1" xfId="0" applyFont="1" applyFill="1" applyBorder="1" applyAlignment="1">
      <alignment horizontal="left"/>
    </xf>
    <xf numFmtId="0" fontId="33" fillId="2" borderId="18" xfId="0" applyFont="1" applyFill="1" applyBorder="1" applyAlignment="1">
      <alignment horizontal="left"/>
    </xf>
    <xf numFmtId="0" fontId="29" fillId="17" borderId="36" xfId="0" applyFont="1" applyFill="1" applyBorder="1" applyAlignment="1">
      <alignment horizontal="center" vertical="center"/>
    </xf>
    <xf numFmtId="0" fontId="29" fillId="17" borderId="37" xfId="0" applyFont="1" applyFill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50" fillId="7" borderId="64" xfId="0" applyFont="1" applyFill="1" applyBorder="1" applyAlignment="1">
      <alignment horizontal="center"/>
    </xf>
    <xf numFmtId="0" fontId="50" fillId="7" borderId="65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7" fillId="17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8" fillId="17" borderId="0" xfId="0" applyFont="1" applyFill="1" applyAlignment="1">
      <alignment horizontal="center" vertical="center"/>
    </xf>
    <xf numFmtId="0" fontId="36" fillId="10" borderId="7" xfId="0" applyFont="1" applyFill="1" applyBorder="1" applyAlignment="1">
      <alignment horizontal="center" vertical="center"/>
    </xf>
    <xf numFmtId="0" fontId="36" fillId="10" borderId="20" xfId="0" applyFont="1" applyFill="1" applyBorder="1" applyAlignment="1">
      <alignment horizontal="center" vertical="center"/>
    </xf>
    <xf numFmtId="0" fontId="26" fillId="9" borderId="31" xfId="0" applyFont="1" applyFill="1" applyBorder="1" applyAlignment="1">
      <alignment horizontal="center" vertical="center"/>
    </xf>
    <xf numFmtId="0" fontId="26" fillId="9" borderId="15" xfId="0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3" xfId="0" applyFont="1" applyFill="1" applyBorder="1" applyAlignment="1">
      <alignment horizontal="center" vertical="center"/>
    </xf>
    <xf numFmtId="0" fontId="35" fillId="3" borderId="13" xfId="0" applyFont="1" applyFill="1" applyBorder="1" applyAlignment="1">
      <alignment horizontal="center" vertical="center"/>
    </xf>
    <xf numFmtId="0" fontId="35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9" fillId="5" borderId="4" xfId="0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22" xfId="0" applyFont="1" applyFill="1" applyBorder="1" applyAlignment="1">
      <alignment horizontal="center" vertical="center"/>
    </xf>
    <xf numFmtId="0" fontId="29" fillId="4" borderId="4" xfId="0" applyFont="1" applyFill="1" applyBorder="1" applyAlignment="1">
      <alignment horizontal="center" vertical="center"/>
    </xf>
    <xf numFmtId="0" fontId="29" fillId="4" borderId="5" xfId="0" applyFont="1" applyFill="1" applyBorder="1" applyAlignment="1">
      <alignment horizontal="center" vertical="center"/>
    </xf>
    <xf numFmtId="0" fontId="29" fillId="4" borderId="6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14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/>
    </xf>
    <xf numFmtId="0" fontId="20" fillId="12" borderId="5" xfId="0" applyFont="1" applyFill="1" applyBorder="1" applyAlignment="1">
      <alignment horizontal="center" vertical="center"/>
    </xf>
    <xf numFmtId="0" fontId="20" fillId="12" borderId="6" xfId="0" applyFont="1" applyFill="1" applyBorder="1" applyAlignment="1">
      <alignment horizontal="center" vertical="center"/>
    </xf>
    <xf numFmtId="0" fontId="20" fillId="12" borderId="7" xfId="0" applyFont="1" applyFill="1" applyBorder="1" applyAlignment="1">
      <alignment horizontal="center" vertical="center"/>
    </xf>
    <xf numFmtId="0" fontId="20" fillId="12" borderId="0" xfId="0" applyFont="1" applyFill="1" applyBorder="1" applyAlignment="1">
      <alignment horizontal="center" vertical="center"/>
    </xf>
    <xf numFmtId="0" fontId="20" fillId="12" borderId="8" xfId="0" applyFont="1" applyFill="1" applyBorder="1" applyAlignment="1">
      <alignment horizontal="center" vertical="center"/>
    </xf>
    <xf numFmtId="0" fontId="20" fillId="12" borderId="9" xfId="0" applyFont="1" applyFill="1" applyBorder="1" applyAlignment="1">
      <alignment horizontal="center" vertical="center"/>
    </xf>
    <xf numFmtId="0" fontId="20" fillId="12" borderId="10" xfId="0" applyFont="1" applyFill="1" applyBorder="1" applyAlignment="1">
      <alignment horizontal="center" vertical="center"/>
    </xf>
    <xf numFmtId="0" fontId="20" fillId="12" borderId="11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21" xfId="0" applyFont="1" applyFill="1" applyBorder="1" applyAlignment="1">
      <alignment horizontal="center" vertical="center"/>
    </xf>
    <xf numFmtId="0" fontId="20" fillId="6" borderId="14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18" fillId="8" borderId="31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63" xfId="0" applyFont="1" applyFill="1" applyBorder="1" applyAlignment="1">
      <alignment horizontal="center" vertical="center"/>
    </xf>
    <xf numFmtId="0" fontId="18" fillId="8" borderId="9" xfId="0" applyFont="1" applyFill="1" applyBorder="1" applyAlignment="1">
      <alignment horizontal="center" vertical="center"/>
    </xf>
    <xf numFmtId="0" fontId="18" fillId="8" borderId="10" xfId="0" applyFont="1" applyFill="1" applyBorder="1" applyAlignment="1">
      <alignment horizontal="center" vertical="center"/>
    </xf>
    <xf numFmtId="0" fontId="18" fillId="8" borderId="11" xfId="0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/>
    </xf>
    <xf numFmtId="0" fontId="29" fillId="17" borderId="41" xfId="0" applyFont="1" applyFill="1" applyBorder="1" applyAlignment="1">
      <alignment horizontal="center" vertical="center"/>
    </xf>
    <xf numFmtId="0" fontId="29" fillId="17" borderId="42" xfId="0" applyFont="1" applyFill="1" applyBorder="1" applyAlignment="1">
      <alignment horizontal="center" vertical="center"/>
    </xf>
    <xf numFmtId="0" fontId="29" fillId="17" borderId="43" xfId="0" applyFont="1" applyFill="1" applyBorder="1" applyAlignment="1">
      <alignment horizontal="center" vertical="center"/>
    </xf>
    <xf numFmtId="0" fontId="29" fillId="17" borderId="44" xfId="0" applyFont="1" applyFill="1" applyBorder="1" applyAlignment="1">
      <alignment horizontal="center" vertical="center"/>
    </xf>
    <xf numFmtId="0" fontId="29" fillId="17" borderId="0" xfId="0" applyFont="1" applyFill="1" applyBorder="1" applyAlignment="1">
      <alignment horizontal="center" vertical="center"/>
    </xf>
    <xf numFmtId="0" fontId="29" fillId="17" borderId="45" xfId="0" applyFont="1" applyFill="1" applyBorder="1" applyAlignment="1">
      <alignment horizontal="center" vertical="center"/>
    </xf>
    <xf numFmtId="0" fontId="20" fillId="17" borderId="4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6" xfId="0" applyFont="1" applyFill="1" applyBorder="1" applyAlignment="1">
      <alignment horizontal="center" vertical="center"/>
    </xf>
    <xf numFmtId="0" fontId="20" fillId="17" borderId="9" xfId="0" applyFont="1" applyFill="1" applyBorder="1" applyAlignment="1">
      <alignment horizontal="center" vertical="center"/>
    </xf>
    <xf numFmtId="0" fontId="20" fillId="17" borderId="10" xfId="0" applyFont="1" applyFill="1" applyBorder="1" applyAlignment="1">
      <alignment horizontal="center" vertical="center"/>
    </xf>
    <xf numFmtId="0" fontId="20" fillId="17" borderId="11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0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38" fillId="17" borderId="57" xfId="0" applyFont="1" applyFill="1" applyBorder="1" applyAlignment="1">
      <alignment horizontal="center" vertical="center"/>
    </xf>
    <xf numFmtId="0" fontId="38" fillId="17" borderId="58" xfId="0" applyFont="1" applyFill="1" applyBorder="1" applyAlignment="1">
      <alignment horizontal="center" vertical="center"/>
    </xf>
    <xf numFmtId="0" fontId="38" fillId="17" borderId="59" xfId="0" applyFont="1" applyFill="1" applyBorder="1" applyAlignment="1">
      <alignment horizontal="center" vertical="center"/>
    </xf>
    <xf numFmtId="0" fontId="37" fillId="19" borderId="36" xfId="0" applyFont="1" applyFill="1" applyBorder="1" applyAlignment="1">
      <alignment horizontal="center" vertical="center"/>
    </xf>
    <xf numFmtId="0" fontId="37" fillId="19" borderId="1" xfId="0" applyFont="1" applyFill="1" applyBorder="1" applyAlignment="1">
      <alignment horizontal="center" vertical="center"/>
    </xf>
    <xf numFmtId="0" fontId="30" fillId="13" borderId="1" xfId="0" applyFont="1" applyFill="1" applyBorder="1" applyAlignment="1">
      <alignment horizontal="left"/>
    </xf>
    <xf numFmtId="0" fontId="22" fillId="13" borderId="1" xfId="0" applyFont="1" applyFill="1" applyBorder="1" applyAlignment="1">
      <alignment horizontal="center"/>
    </xf>
    <xf numFmtId="0" fontId="29" fillId="17" borderId="55" xfId="0" applyFont="1" applyFill="1" applyBorder="1" applyAlignment="1">
      <alignment horizontal="center" vertical="center"/>
    </xf>
    <xf numFmtId="0" fontId="29" fillId="17" borderId="54" xfId="0" applyFont="1" applyFill="1" applyBorder="1" applyAlignment="1">
      <alignment horizontal="center" vertical="center"/>
    </xf>
    <xf numFmtId="0" fontId="29" fillId="17" borderId="56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left"/>
    </xf>
    <xf numFmtId="44" fontId="33" fillId="13" borderId="1" xfId="4" applyFont="1" applyFill="1" applyBorder="1" applyAlignment="1">
      <alignment horizontal="center"/>
    </xf>
    <xf numFmtId="0" fontId="38" fillId="17" borderId="1" xfId="0" applyFont="1" applyFill="1" applyBorder="1" applyAlignment="1">
      <alignment horizontal="center" vertical="center"/>
    </xf>
    <xf numFmtId="0" fontId="47" fillId="13" borderId="55" xfId="0" applyFont="1" applyFill="1" applyBorder="1" applyAlignment="1">
      <alignment horizontal="center"/>
    </xf>
    <xf numFmtId="0" fontId="47" fillId="13" borderId="56" xfId="0" applyFont="1" applyFill="1" applyBorder="1" applyAlignment="1">
      <alignment horizontal="center"/>
    </xf>
    <xf numFmtId="0" fontId="38" fillId="17" borderId="55" xfId="0" applyFont="1" applyFill="1" applyBorder="1" applyAlignment="1">
      <alignment horizontal="center" vertical="center"/>
    </xf>
    <xf numFmtId="0" fontId="38" fillId="17" borderId="54" xfId="0" applyFont="1" applyFill="1" applyBorder="1" applyAlignment="1">
      <alignment horizontal="center" vertical="center"/>
    </xf>
    <xf numFmtId="0" fontId="38" fillId="17" borderId="56" xfId="0" applyFont="1" applyFill="1" applyBorder="1" applyAlignment="1">
      <alignment horizontal="center" vertical="center"/>
    </xf>
    <xf numFmtId="0" fontId="20" fillId="17" borderId="14" xfId="0" applyFont="1" applyFill="1" applyBorder="1" applyAlignment="1">
      <alignment horizontal="center" vertical="center"/>
    </xf>
    <xf numFmtId="0" fontId="38" fillId="7" borderId="64" xfId="0" applyFont="1" applyFill="1" applyBorder="1" applyAlignment="1">
      <alignment horizontal="center" vertical="center"/>
    </xf>
    <xf numFmtId="0" fontId="38" fillId="7" borderId="65" xfId="0" applyFont="1" applyFill="1" applyBorder="1" applyAlignment="1">
      <alignment horizontal="center" vertical="center"/>
    </xf>
    <xf numFmtId="0" fontId="38" fillId="7" borderId="66" xfId="0" applyFont="1" applyFill="1" applyBorder="1" applyAlignment="1">
      <alignment horizontal="center" vertical="center"/>
    </xf>
    <xf numFmtId="0" fontId="38" fillId="23" borderId="57" xfId="0" applyFont="1" applyFill="1" applyBorder="1" applyAlignment="1">
      <alignment horizontal="center"/>
    </xf>
    <xf numFmtId="0" fontId="38" fillId="23" borderId="58" xfId="0" applyFont="1" applyFill="1" applyBorder="1" applyAlignment="1">
      <alignment horizontal="center"/>
    </xf>
    <xf numFmtId="0" fontId="38" fillId="23" borderId="59" xfId="0" applyFont="1" applyFill="1" applyBorder="1" applyAlignment="1">
      <alignment horizontal="center"/>
    </xf>
    <xf numFmtId="0" fontId="50" fillId="7" borderId="64" xfId="0" applyFont="1" applyFill="1" applyBorder="1" applyAlignment="1">
      <alignment horizontal="center"/>
    </xf>
    <xf numFmtId="0" fontId="50" fillId="7" borderId="65" xfId="0" applyFont="1" applyFill="1" applyBorder="1" applyAlignment="1">
      <alignment horizontal="center"/>
    </xf>
    <xf numFmtId="0" fontId="38" fillId="7" borderId="14" xfId="0" applyFont="1" applyFill="1" applyBorder="1" applyAlignment="1">
      <alignment horizontal="center" vertical="center"/>
    </xf>
    <xf numFmtId="0" fontId="29" fillId="23" borderId="57" xfId="0" applyFont="1" applyFill="1" applyBorder="1" applyAlignment="1">
      <alignment horizontal="center"/>
    </xf>
    <xf numFmtId="0" fontId="29" fillId="23" borderId="58" xfId="0" applyFont="1" applyFill="1" applyBorder="1" applyAlignment="1">
      <alignment horizontal="center"/>
    </xf>
    <xf numFmtId="0" fontId="29" fillId="23" borderId="59" xfId="0" applyFont="1" applyFill="1" applyBorder="1" applyAlignment="1">
      <alignment horizontal="center"/>
    </xf>
    <xf numFmtId="0" fontId="43" fillId="7" borderId="64" xfId="0" applyFont="1" applyFill="1" applyBorder="1" applyAlignment="1">
      <alignment horizontal="center"/>
    </xf>
    <xf numFmtId="0" fontId="43" fillId="7" borderId="65" xfId="0" applyFont="1" applyFill="1" applyBorder="1" applyAlignment="1">
      <alignment horizontal="center"/>
    </xf>
    <xf numFmtId="0" fontId="43" fillId="7" borderId="66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7" borderId="64" xfId="0" applyFont="1" applyFill="1" applyBorder="1" applyAlignment="1">
      <alignment horizontal="center" vertical="center"/>
    </xf>
    <xf numFmtId="0" fontId="7" fillId="7" borderId="65" xfId="0" applyFont="1" applyFill="1" applyBorder="1" applyAlignment="1">
      <alignment horizontal="center" vertical="center"/>
    </xf>
    <xf numFmtId="0" fontId="7" fillId="7" borderId="66" xfId="0" applyFont="1" applyFill="1" applyBorder="1" applyAlignment="1">
      <alignment horizontal="center" vertical="center"/>
    </xf>
    <xf numFmtId="0" fontId="25" fillId="23" borderId="57" xfId="0" applyFont="1" applyFill="1" applyBorder="1" applyAlignment="1">
      <alignment horizontal="center"/>
    </xf>
    <xf numFmtId="0" fontId="25" fillId="23" borderId="58" xfId="0" applyFont="1" applyFill="1" applyBorder="1" applyAlignment="1">
      <alignment horizontal="center"/>
    </xf>
    <xf numFmtId="0" fontId="25" fillId="23" borderId="59" xfId="0" applyFont="1" applyFill="1" applyBorder="1" applyAlignment="1">
      <alignment horizontal="center"/>
    </xf>
    <xf numFmtId="0" fontId="7" fillId="7" borderId="14" xfId="0" applyFont="1" applyFill="1" applyBorder="1" applyAlignment="1">
      <alignment horizontal="center" vertical="center"/>
    </xf>
    <xf numFmtId="0" fontId="7" fillId="23" borderId="57" xfId="0" applyFont="1" applyFill="1" applyBorder="1" applyAlignment="1">
      <alignment horizontal="center"/>
    </xf>
    <xf numFmtId="0" fontId="7" fillId="23" borderId="58" xfId="0" applyFont="1" applyFill="1" applyBorder="1" applyAlignment="1">
      <alignment horizontal="center"/>
    </xf>
    <xf numFmtId="0" fontId="7" fillId="23" borderId="59" xfId="0" applyFont="1" applyFill="1" applyBorder="1" applyAlignment="1">
      <alignment horizontal="center"/>
    </xf>
    <xf numFmtId="0" fontId="9" fillId="22" borderId="55" xfId="0" applyFont="1" applyFill="1" applyBorder="1" applyAlignment="1">
      <alignment horizontal="center"/>
    </xf>
    <xf numFmtId="0" fontId="9" fillId="22" borderId="56" xfId="0" applyFont="1" applyFill="1" applyBorder="1" applyAlignment="1">
      <alignment horizontal="center"/>
    </xf>
    <xf numFmtId="0" fontId="9" fillId="2" borderId="51" xfId="0" applyFont="1" applyFill="1" applyBorder="1"/>
    <xf numFmtId="0" fontId="9" fillId="2" borderId="55" xfId="0" applyFont="1" applyFill="1" applyBorder="1"/>
    <xf numFmtId="0" fontId="52" fillId="2" borderId="1" xfId="0" applyFont="1" applyFill="1" applyBorder="1"/>
    <xf numFmtId="0" fontId="40" fillId="2" borderId="1" xfId="0" applyFont="1" applyFill="1" applyBorder="1"/>
    <xf numFmtId="0" fontId="52" fillId="2" borderId="51" xfId="0" applyFont="1" applyFill="1" applyBorder="1"/>
    <xf numFmtId="0" fontId="52" fillId="2" borderId="55" xfId="0" applyFont="1" applyFill="1" applyBorder="1"/>
    <xf numFmtId="0" fontId="50" fillId="7" borderId="64" xfId="0" applyFont="1" applyFill="1" applyBorder="1" applyAlignment="1"/>
    <xf numFmtId="0" fontId="50" fillId="7" borderId="65" xfId="0" applyFont="1" applyFill="1" applyBorder="1" applyAlignment="1"/>
    <xf numFmtId="14" fontId="0" fillId="0" borderId="1" xfId="5" applyNumberFormat="1" applyFont="1" applyBorder="1"/>
    <xf numFmtId="0" fontId="29" fillId="17" borderId="34" xfId="0" applyFont="1" applyFill="1" applyBorder="1" applyAlignment="1">
      <alignment horizontal="center"/>
    </xf>
    <xf numFmtId="0" fontId="29" fillId="17" borderId="35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50" fillId="7" borderId="5" xfId="0" applyFont="1" applyFill="1" applyBorder="1" applyAlignment="1">
      <alignment horizontal="center"/>
    </xf>
    <xf numFmtId="14" fontId="9" fillId="2" borderId="52" xfId="0" applyNumberFormat="1" applyFont="1" applyFill="1" applyBorder="1"/>
    <xf numFmtId="164" fontId="52" fillId="2" borderId="55" xfId="0" applyNumberFormat="1" applyFont="1" applyFill="1" applyBorder="1" applyAlignment="1"/>
    <xf numFmtId="164" fontId="52" fillId="2" borderId="56" xfId="0" applyNumberFormat="1" applyFont="1" applyFill="1" applyBorder="1" applyAlignment="1"/>
    <xf numFmtId="164" fontId="52" fillId="2" borderId="54" xfId="0" applyNumberFormat="1" applyFont="1" applyFill="1" applyBorder="1" applyAlignment="1"/>
    <xf numFmtId="0" fontId="29" fillId="17" borderId="71" xfId="0" applyFont="1" applyFill="1" applyBorder="1" applyAlignment="1">
      <alignment horizontal="center"/>
    </xf>
    <xf numFmtId="0" fontId="29" fillId="17" borderId="72" xfId="0" applyFont="1" applyFill="1" applyBorder="1" applyAlignment="1">
      <alignment horizontal="center"/>
    </xf>
    <xf numFmtId="0" fontId="29" fillId="17" borderId="72" xfId="0" applyFont="1" applyFill="1" applyBorder="1" applyAlignment="1">
      <alignment horizontal="center" vertical="center"/>
    </xf>
    <xf numFmtId="164" fontId="39" fillId="2" borderId="54" xfId="0" applyNumberFormat="1" applyFont="1" applyFill="1" applyBorder="1" applyAlignment="1"/>
    <xf numFmtId="164" fontId="39" fillId="2" borderId="56" xfId="0" applyNumberFormat="1" applyFont="1" applyFill="1" applyBorder="1" applyAlignment="1"/>
    <xf numFmtId="164" fontId="53" fillId="2" borderId="51" xfId="0" applyNumberFormat="1" applyFont="1" applyFill="1" applyBorder="1" applyAlignment="1">
      <alignment vertical="center"/>
    </xf>
    <xf numFmtId="164" fontId="53" fillId="2" borderId="20" xfId="0" applyNumberFormat="1" applyFont="1" applyFill="1" applyBorder="1" applyAlignment="1">
      <alignment vertical="center"/>
    </xf>
    <xf numFmtId="164" fontId="53" fillId="2" borderId="53" xfId="0" applyNumberFormat="1" applyFont="1" applyFill="1" applyBorder="1" applyAlignment="1">
      <alignment vertical="center"/>
    </xf>
    <xf numFmtId="164" fontId="53" fillId="2" borderId="3" xfId="0" applyNumberFormat="1" applyFont="1" applyFill="1" applyBorder="1" applyAlignment="1">
      <alignment vertical="center"/>
    </xf>
    <xf numFmtId="0" fontId="39" fillId="22" borderId="49" xfId="0" applyFont="1" applyFill="1" applyBorder="1"/>
    <xf numFmtId="0" fontId="0" fillId="0" borderId="51" xfId="0" applyBorder="1"/>
  </cellXfs>
  <cellStyles count="6">
    <cellStyle name="Hiperlink" xfId="2" builtinId="8"/>
    <cellStyle name="Hyperlink" xfId="1"/>
    <cellStyle name="Moeda" xfId="4" builtinId="4"/>
    <cellStyle name="Moeda 2" xfId="3"/>
    <cellStyle name="Moeda 3" xfId="5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31104"/>
        <c:axId val="154845184"/>
      </c:barChart>
      <c:catAx>
        <c:axId val="15483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54845184"/>
        <c:crosses val="autoZero"/>
        <c:auto val="1"/>
        <c:lblAlgn val="ctr"/>
        <c:lblOffset val="100"/>
        <c:noMultiLvlLbl val="0"/>
      </c:catAx>
      <c:valAx>
        <c:axId val="1548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5483110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3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3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3.png"/></Relationships>
</file>

<file path=xl/drawings/_rels/drawing37.xml.rels><?xml version="1.0" encoding="UTF-8" standalone="yes"?>
<Relationships xmlns="http://schemas.openxmlformats.org/package/2006/relationships"><Relationship Id="rId8" Type="http://schemas.microsoft.com/office/2007/relationships/hdphoto" Target="../media/hdphoto14.wdp"/><Relationship Id="rId13" Type="http://schemas.openxmlformats.org/officeDocument/2006/relationships/image" Target="../media/image28.png"/><Relationship Id="rId18" Type="http://schemas.microsoft.com/office/2007/relationships/hdphoto" Target="../media/hdphoto19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5.png"/><Relationship Id="rId12" Type="http://schemas.microsoft.com/office/2007/relationships/hdphoto" Target="../media/hdphoto16.wdp"/><Relationship Id="rId17" Type="http://schemas.openxmlformats.org/officeDocument/2006/relationships/image" Target="../media/image30.png"/><Relationship Id="rId25" Type="http://schemas.microsoft.com/office/2007/relationships/hdphoto" Target="../media/hdphoto10.wdp"/><Relationship Id="rId2" Type="http://schemas.microsoft.com/office/2007/relationships/hdphoto" Target="../media/hdphoto13.wdp"/><Relationship Id="rId16" Type="http://schemas.microsoft.com/office/2007/relationships/hdphoto" Target="../media/hdphoto18.wdp"/><Relationship Id="rId20" Type="http://schemas.microsoft.com/office/2007/relationships/hdphoto" Target="../media/hdphoto20.wdp"/><Relationship Id="rId1" Type="http://schemas.openxmlformats.org/officeDocument/2006/relationships/image" Target="../media/image24.png"/><Relationship Id="rId6" Type="http://schemas.openxmlformats.org/officeDocument/2006/relationships/hyperlink" Target="#Produ&#231;&#227;o!A1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microsoft.com/office/2007/relationships/hdphoto" Target="../media/hdphoto1.wdp"/><Relationship Id="rId15" Type="http://schemas.openxmlformats.org/officeDocument/2006/relationships/image" Target="../media/image29.png"/><Relationship Id="rId23" Type="http://schemas.microsoft.com/office/2007/relationships/hdphoto" Target="../media/hdphoto21.wdp"/><Relationship Id="rId10" Type="http://schemas.microsoft.com/office/2007/relationships/hdphoto" Target="../media/hdphoto15.wdp"/><Relationship Id="rId19" Type="http://schemas.openxmlformats.org/officeDocument/2006/relationships/image" Target="../media/image31.png"/><Relationship Id="rId4" Type="http://schemas.openxmlformats.org/officeDocument/2006/relationships/image" Target="../media/image3.png"/><Relationship Id="rId9" Type="http://schemas.openxmlformats.org/officeDocument/2006/relationships/image" Target="../media/image26.png"/><Relationship Id="rId14" Type="http://schemas.microsoft.com/office/2007/relationships/hdphoto" Target="../media/hdphoto17.wdp"/><Relationship Id="rId22" Type="http://schemas.openxmlformats.org/officeDocument/2006/relationships/image" Target="../media/image32.png"/></Relationships>
</file>

<file path=xl/drawings/_rels/drawing38.xml.rels><?xml version="1.0" encoding="UTF-8" standalone="yes"?>
<Relationships xmlns="http://schemas.openxmlformats.org/package/2006/relationships"><Relationship Id="rId8" Type="http://schemas.microsoft.com/office/2007/relationships/hdphoto" Target="../media/hdphoto23.wdp"/><Relationship Id="rId13" Type="http://schemas.openxmlformats.org/officeDocument/2006/relationships/image" Target="../media/image28.png"/><Relationship Id="rId18" Type="http://schemas.microsoft.com/office/2007/relationships/hdphoto" Target="../media/hdphoto25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5.png"/><Relationship Id="rId12" Type="http://schemas.microsoft.com/office/2007/relationships/hdphoto" Target="../media/hdphoto16.wdp"/><Relationship Id="rId17" Type="http://schemas.openxmlformats.org/officeDocument/2006/relationships/image" Target="../media/image37.png"/><Relationship Id="rId25" Type="http://schemas.microsoft.com/office/2007/relationships/hdphoto" Target="../media/hdphoto10.wdp"/><Relationship Id="rId2" Type="http://schemas.microsoft.com/office/2007/relationships/hdphoto" Target="../media/hdphoto13.wdp"/><Relationship Id="rId16" Type="http://schemas.microsoft.com/office/2007/relationships/hdphoto" Target="../media/hdphoto24.wdp"/><Relationship Id="rId20" Type="http://schemas.microsoft.com/office/2007/relationships/hdphoto" Target="../media/hdphoto26.wdp"/><Relationship Id="rId1" Type="http://schemas.openxmlformats.org/officeDocument/2006/relationships/image" Target="../media/image24.png"/><Relationship Id="rId6" Type="http://schemas.openxmlformats.org/officeDocument/2006/relationships/hyperlink" Target="#Produ&#231;&#227;o!A1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microsoft.com/office/2007/relationships/hdphoto" Target="../media/hdphoto22.wdp"/><Relationship Id="rId15" Type="http://schemas.openxmlformats.org/officeDocument/2006/relationships/image" Target="../media/image36.png"/><Relationship Id="rId23" Type="http://schemas.microsoft.com/office/2007/relationships/hdphoto" Target="../media/hdphoto21.wdp"/><Relationship Id="rId10" Type="http://schemas.microsoft.com/office/2007/relationships/hdphoto" Target="../media/hdphoto15.wdp"/><Relationship Id="rId19" Type="http://schemas.openxmlformats.org/officeDocument/2006/relationships/image" Target="../media/image38.png"/><Relationship Id="rId4" Type="http://schemas.openxmlformats.org/officeDocument/2006/relationships/image" Target="../media/image34.png"/><Relationship Id="rId9" Type="http://schemas.openxmlformats.org/officeDocument/2006/relationships/image" Target="../media/image26.png"/><Relationship Id="rId14" Type="http://schemas.microsoft.com/office/2007/relationships/hdphoto" Target="../media/hdphoto17.wdp"/><Relationship Id="rId22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AD69FCF3-1DA2-47EC-9F09-304C9D0E1885}"/>
            </a:ext>
            <a:ext uri="{147F2762-F138-4A5C-976F-8EAC2B608ADB}">
              <a16:predDERef xmlns=""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=""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578215" y="691749"/>
          <a:ext cx="18393145" cy="17305644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="" xmlns:a16="http://schemas.microsoft.com/office/drawing/2014/main" id="{1A271014-B2D8-45B4-B4B0-3B0A45172369}"/>
              </a:ext>
              <a:ext uri="{147F2762-F138-4A5C-976F-8EAC2B608ADB}">
                <a16:predDERef xmlns=""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=""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extLst>
                <a:ext uri="{FF2B5EF4-FFF2-40B4-BE49-F238E27FC236}">
                  <a16:creationId xmlns="" xmlns:a16="http://schemas.microsoft.com/office/drawing/2014/main" id="{A27A1621-AD33-48E5-89E5-B6102C9218FB}"/>
                </a:ext>
                <a:ext uri="{147F2762-F138-4A5C-976F-8EAC2B608ADB}">
                  <a16:predDERef xmlns=""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=""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extLst>
                <a:ext uri="{FF2B5EF4-FFF2-40B4-BE49-F238E27FC236}">
                  <a16:creationId xmlns=""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=""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=""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=""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=""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0</xdr:col>
      <xdr:colOff>55420</xdr:colOff>
      <xdr:row>1</xdr:row>
      <xdr:rowOff>55420</xdr:rowOff>
    </xdr:from>
    <xdr:to>
      <xdr:col>0</xdr:col>
      <xdr:colOff>512620</xdr:colOff>
      <xdr:row>1</xdr:row>
      <xdr:rowOff>512620</xdr:rowOff>
    </xdr:to>
    <xdr:sp macro="[0]!BotaoComLogin" textlink="">
      <xdr:nvSpPr>
        <xdr:cNvPr id="15" name="Círculo: Vazio 14">
          <a:extLst>
            <a:ext uri="{FF2B5EF4-FFF2-40B4-BE49-F238E27FC236}">
              <a16:creationId xmlns="" xmlns:a16="http://schemas.microsoft.com/office/drawing/2014/main" id="{712F380D-EDC3-4A67-AE6E-466806333055}"/>
            </a:ext>
          </a:extLst>
        </xdr:cNvPr>
        <xdr:cNvSpPr/>
      </xdr:nvSpPr>
      <xdr:spPr>
        <a:xfrm>
          <a:off x="55420" y="831275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="" xmlns:a16="http://schemas.microsoft.com/office/drawing/2014/main" id="{30B25C55-E74E-48A4-82A6-4D0589666D12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5486" y="0"/>
          <a:ext cx="1031143" cy="785813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=""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=""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40731" y="0"/>
          <a:ext cx="1113353" cy="785813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=""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01275" y="0"/>
          <a:ext cx="1078854" cy="785813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=""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688939" y="0"/>
          <a:ext cx="1083430" cy="785813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=""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=""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=""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6977524" y="0"/>
          <a:ext cx="1087092" cy="785813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=""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=""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=""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277389" y="0"/>
          <a:ext cx="1085101" cy="785813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=""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=""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=""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570330" y="0"/>
          <a:ext cx="1091953" cy="785813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=""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=""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=""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0874071" y="0"/>
          <a:ext cx="1068649" cy="785813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=""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=""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=""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=""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680D0889-A939-4570-A855-D11118A4B60A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="" xmlns:a16="http://schemas.microsoft.com/office/drawing/2014/main" id="{CC48E4A9-9798-477D-B0E1-C63F365034B4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C05CA310-D6A8-490B-9653-6B5CC81DD787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412D5A57-627C-4741-9A27-9311E16397D8}"/>
            </a:ext>
            <a:ext uri="{147F2762-F138-4A5C-976F-8EAC2B608ADB}">
              <a16:predDERef xmlns=""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  <xdr:twoCellAnchor editAs="absolute">
    <xdr:from>
      <xdr:col>15</xdr:col>
      <xdr:colOff>400050</xdr:colOff>
      <xdr:row>1</xdr:row>
      <xdr:rowOff>57150</xdr:rowOff>
    </xdr:from>
    <xdr:to>
      <xdr:col>16</xdr:col>
      <xdr:colOff>247650</xdr:colOff>
      <xdr:row>1</xdr:row>
      <xdr:rowOff>514350</xdr:rowOff>
    </xdr:to>
    <xdr:sp macro="[0]!BotaoComLogin" textlink="">
      <xdr:nvSpPr>
        <xdr:cNvPr id="40" name="Círculo: Vazio 39">
          <a:extLst>
            <a:ext uri="{FF2B5EF4-FFF2-40B4-BE49-F238E27FC236}">
              <a16:creationId xmlns="" xmlns:a16="http://schemas.microsoft.com/office/drawing/2014/main" id="{BEE4D8CC-DE1C-4AB1-9932-0BC116B83D3D}"/>
            </a:ext>
          </a:extLst>
        </xdr:cNvPr>
        <xdr:cNvSpPr/>
      </xdr:nvSpPr>
      <xdr:spPr>
        <a:xfrm>
          <a:off x="14058900" y="8382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3EB06236-FA36-42B1-8B0C-F2FD642A1758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873DC564-DAE4-4475-B1D9-F21F5DC9DCDD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=""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838FC62B-9EB5-0901-C91F-4E877B57F872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37" name="Agrupar 36">
          <a:extLst>
            <a:ext uri="{FF2B5EF4-FFF2-40B4-BE49-F238E27FC236}">
              <a16:creationId xmlns="" xmlns:a16="http://schemas.microsoft.com/office/drawing/2014/main" id="{00000000-0008-0000-0400-000025000000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=""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2"/>
            <a:extLst>
              <a:ext uri="{FF2B5EF4-FFF2-40B4-BE49-F238E27FC236}">
                <a16:creationId xmlns=""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=""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708568</xdr:colOff>
      <xdr:row>0</xdr:row>
      <xdr:rowOff>0</xdr:rowOff>
    </xdr:from>
    <xdr:to>
      <xdr:col>8</xdr:col>
      <xdr:colOff>90242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966368" y="0"/>
          <a:ext cx="1591474" cy="1162050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=""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=""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9596894" y="0"/>
          <a:ext cx="1598566" cy="1162050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=""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13234512" y="0"/>
          <a:ext cx="1591491" cy="1162050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=""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6865055" y="0"/>
          <a:ext cx="1612288" cy="1162050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20516395" y="0"/>
          <a:ext cx="1592907" cy="1162050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=""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=""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29" name="Agrupar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4148354" y="0"/>
          <a:ext cx="1590058" cy="1162050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=""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=""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33" name="Agrupar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7777464" y="0"/>
          <a:ext cx="1598568" cy="1162050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=""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=""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230232</xdr:colOff>
      <xdr:row>0</xdr:row>
      <xdr:rowOff>0</xdr:rowOff>
    </xdr:from>
    <xdr:to>
      <xdr:col>38</xdr:col>
      <xdr:colOff>0</xdr:colOff>
      <xdr:row>3</xdr:row>
      <xdr:rowOff>0</xdr:rowOff>
    </xdr:to>
    <xdr:grpSp>
      <xdr:nvGrpSpPr>
        <xdr:cNvPr id="2" name="Agrupar 1">
          <a:extLst>
            <a:ext uri="{FF2B5EF4-FFF2-40B4-BE49-F238E27FC236}">
              <a16:creationId xmlns="" xmlns:a16="http://schemas.microsoft.com/office/drawing/2014/main" id="{984BF345-5BA1-42CE-B6A1-FF46A8AFDACD}"/>
            </a:ext>
          </a:extLst>
        </xdr:cNvPr>
        <xdr:cNvGrpSpPr/>
      </xdr:nvGrpSpPr>
      <xdr:grpSpPr>
        <a:xfrm>
          <a:off x="31415082" y="0"/>
          <a:ext cx="1598568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=""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=""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9" name="Imagem 48" descr="Ícone do banco de dados (símbolo png) preto">
            <a:extLst>
              <a:ext uri="{FF2B5EF4-FFF2-40B4-BE49-F238E27FC236}">
                <a16:creationId xmlns="" xmlns:a16="http://schemas.microsoft.com/office/drawing/2014/main" id="{F2B3580B-7D1F-46B1-832E-F7B561C22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9</xdr:col>
      <xdr:colOff>533400</xdr:colOff>
      <xdr:row>10</xdr:row>
      <xdr:rowOff>0</xdr:rowOff>
    </xdr:from>
    <xdr:to>
      <xdr:col>9</xdr:col>
      <xdr:colOff>990600</xdr:colOff>
      <xdr:row>11</xdr:row>
      <xdr:rowOff>133350</xdr:rowOff>
    </xdr:to>
    <xdr:sp macro="[0]!BotaoComLogin" textlink="">
      <xdr:nvSpPr>
        <xdr:cNvPr id="45" name="Círculo: Vazio 44">
          <a:extLst>
            <a:ext uri="{FF2B5EF4-FFF2-40B4-BE49-F238E27FC236}">
              <a16:creationId xmlns="" xmlns:a16="http://schemas.microsoft.com/office/drawing/2014/main" id="{6E142909-A74A-4D01-B03D-5B89DDB07F93}"/>
            </a:ext>
          </a:extLst>
        </xdr:cNvPr>
        <xdr:cNvSpPr/>
      </xdr:nvSpPr>
      <xdr:spPr>
        <a:xfrm>
          <a:off x="8705850" y="2895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="" xmlns:a16="http://schemas.microsoft.com/office/drawing/2014/main" id="{BBE69C41-F214-4756-A858-082FE8EB997D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=""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="" xmlns:a16="http://schemas.microsoft.com/office/drawing/2014/main" id="{6B9085FD-6DBC-43D7-9686-6C53E958877C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="" xmlns:a16="http://schemas.microsoft.com/office/drawing/2014/main" id="{DB25D4EA-B2B7-492C-9C81-6A37759D5B17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="" xmlns:a16="http://schemas.microsoft.com/office/drawing/2014/main" id="{9DED9435-1324-498D-9FE9-B350CFD762AD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32</xdr:col>
      <xdr:colOff>2002158</xdr:colOff>
      <xdr:row>3</xdr:row>
      <xdr:rowOff>0</xdr:rowOff>
    </xdr:to>
    <xdr:grpSp>
      <xdr:nvGrpSpPr>
        <xdr:cNvPr id="154" name="Agrupar 153">
          <a:extLst>
            <a:ext uri="{FF2B5EF4-FFF2-40B4-BE49-F238E27FC236}">
              <a16:creationId xmlns="" xmlns:a16="http://schemas.microsoft.com/office/drawing/2014/main" id="{1C824415-D25E-4C49-9A3F-F1BB86BA63DF}"/>
            </a:ext>
          </a:extLst>
        </xdr:cNvPr>
        <xdr:cNvGrpSpPr/>
      </xdr:nvGrpSpPr>
      <xdr:grpSpPr>
        <a:xfrm>
          <a:off x="2457450" y="0"/>
          <a:ext cx="30539058" cy="1162050"/>
          <a:chOff x="2419350" y="0"/>
          <a:chExt cx="30546678" cy="1162050"/>
        </a:xfrm>
      </xdr:grpSpPr>
      <xdr:grpSp>
        <xdr:nvGrpSpPr>
          <xdr:cNvPr id="82" name="Agrupar 81">
            <a:extLst>
              <a:ext uri="{FF2B5EF4-FFF2-40B4-BE49-F238E27FC236}">
                <a16:creationId xmlns="" xmlns:a16="http://schemas.microsoft.com/office/drawing/2014/main" id="{589C5E3B-0210-4312-8F84-3C19C230E2B1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="" xmlns:a16="http://schemas.microsoft.com/office/drawing/2014/main" id="{D561E60B-0AE3-4DF0-AC58-08ECE6B88B04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4" name="Imagem 9">
              <a:hlinkClick xmlns:r="http://schemas.openxmlformats.org/officeDocument/2006/relationships" r:id="rId2"/>
              <a:extLst>
                <a:ext uri="{FF2B5EF4-FFF2-40B4-BE49-F238E27FC236}">
                  <a16:creationId xmlns="" xmlns:a16="http://schemas.microsoft.com/office/drawing/2014/main" id="{33E6DC5B-0213-42D1-935C-FA54DEAE5E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5" name="CaixaDeTexto 84">
              <a:extLst>
                <a:ext uri="{FF2B5EF4-FFF2-40B4-BE49-F238E27FC236}">
                  <a16:creationId xmlns="" xmlns:a16="http://schemas.microsoft.com/office/drawing/2014/main" id="{B9483C08-6B73-4343-BEB9-85E0AF3666F7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6" name="Agrupar 85">
            <a:extLst>
              <a:ext uri="{FF2B5EF4-FFF2-40B4-BE49-F238E27FC236}">
                <a16:creationId xmlns="" xmlns:a16="http://schemas.microsoft.com/office/drawing/2014/main" id="{B1002987-3E6C-4D5F-B59E-A4CC79289F16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87" name="Retângulo 86">
              <a:extLst>
                <a:ext uri="{FF2B5EF4-FFF2-40B4-BE49-F238E27FC236}">
                  <a16:creationId xmlns="" xmlns:a16="http://schemas.microsoft.com/office/drawing/2014/main" id="{90619BF4-3616-40F4-80EB-7CC2AC1994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CaixaDeTexto 87">
              <a:extLst>
                <a:ext uri="{FF2B5EF4-FFF2-40B4-BE49-F238E27FC236}">
                  <a16:creationId xmlns="" xmlns:a16="http://schemas.microsoft.com/office/drawing/2014/main" id="{4F3813B2-4073-4C9B-A291-27692851523B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9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D5980F89-0F4A-4661-A3FD-4F7F3E69B5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0" name="Agrupar 89">
            <a:extLst>
              <a:ext uri="{FF2B5EF4-FFF2-40B4-BE49-F238E27FC236}">
                <a16:creationId xmlns="" xmlns:a16="http://schemas.microsoft.com/office/drawing/2014/main" id="{5A287940-66C6-4E30-880A-4457D2C94C2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="" xmlns:a16="http://schemas.microsoft.com/office/drawing/2014/main" id="{477C8117-517F-444F-923E-E1622CC1267A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="" xmlns:a16="http://schemas.microsoft.com/office/drawing/2014/main" id="{1D04AB98-DFE2-4DFD-B98E-8E20BE2773E0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47C01576-EFB7-41CE-BCCF-86B84C82AC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="" xmlns:a16="http://schemas.microsoft.com/office/drawing/2014/main" id="{1717D999-06D0-43C0-9F5A-9586747A54DA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95" name="Retângulo 94">
              <a:extLst>
                <a:ext uri="{FF2B5EF4-FFF2-40B4-BE49-F238E27FC236}">
                  <a16:creationId xmlns="" xmlns:a16="http://schemas.microsoft.com/office/drawing/2014/main" id="{6E40C190-452B-47D9-BD38-09E250DFC34A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6" name="CaixaDeTexto 95">
              <a:extLst>
                <a:ext uri="{FF2B5EF4-FFF2-40B4-BE49-F238E27FC236}">
                  <a16:creationId xmlns="" xmlns:a16="http://schemas.microsoft.com/office/drawing/2014/main" id="{910073FF-A866-4D21-8C25-FC7E981A84DE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97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57C84530-2434-4565-AB10-9FAD7F68E3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="" xmlns:a16="http://schemas.microsoft.com/office/drawing/2014/main" id="{5DCB2429-04C7-4F24-A616-0A2CA27BAA75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99" name="Retângulo 98">
              <a:extLst>
                <a:ext uri="{FF2B5EF4-FFF2-40B4-BE49-F238E27FC236}">
                  <a16:creationId xmlns="" xmlns:a16="http://schemas.microsoft.com/office/drawing/2014/main" id="{28E9A8F6-4979-49AB-90DE-8544C9300A44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CaixaDeTexto 99">
              <a:extLst>
                <a:ext uri="{FF2B5EF4-FFF2-40B4-BE49-F238E27FC236}">
                  <a16:creationId xmlns="" xmlns:a16="http://schemas.microsoft.com/office/drawing/2014/main" id="{CFFFC0FA-663B-4507-AA1B-35E8CE49FE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1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ED9EB963-EF7C-47A3-AE4F-64CE0AADE0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02" name="Agrupar 101">
            <a:extLst>
              <a:ext uri="{FF2B5EF4-FFF2-40B4-BE49-F238E27FC236}">
                <a16:creationId xmlns="" xmlns:a16="http://schemas.microsoft.com/office/drawing/2014/main" id="{CF6E804E-4AA5-4A41-B1DA-F5770B7EE137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="" xmlns:a16="http://schemas.microsoft.com/office/drawing/2014/main" id="{8BBB1D6A-C7DB-4C4C-A41F-3B1A0D279754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="" xmlns:a16="http://schemas.microsoft.com/office/drawing/2014/main" id="{41275F4A-808D-4684-81A8-118E6B1D6573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7FA3DB30-2C9D-4CF1-A3B5-CCF1987DBD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06" name="Agrupar 105">
            <a:extLst>
              <a:ext uri="{FF2B5EF4-FFF2-40B4-BE49-F238E27FC236}">
                <a16:creationId xmlns="" xmlns:a16="http://schemas.microsoft.com/office/drawing/2014/main" id="{2354A111-05F6-4A34-826B-4EBDCA249D8E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107" name="Retângulo 106">
              <a:extLst>
                <a:ext uri="{FF2B5EF4-FFF2-40B4-BE49-F238E27FC236}">
                  <a16:creationId xmlns="" xmlns:a16="http://schemas.microsoft.com/office/drawing/2014/main" id="{D0B29A8F-C30E-4D44-8DE5-4DBF46D1964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CaixaDeTexto 107">
              <a:extLst>
                <a:ext uri="{FF2B5EF4-FFF2-40B4-BE49-F238E27FC236}">
                  <a16:creationId xmlns="" xmlns:a16="http://schemas.microsoft.com/office/drawing/2014/main" id="{E1A9F1F9-62A9-4542-992F-FA5992FBA7A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9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2D792FF3-9567-4CFD-A9D1-DCF64C2B71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110" name="Agrupar 109">
            <a:extLst>
              <a:ext uri="{FF2B5EF4-FFF2-40B4-BE49-F238E27FC236}">
                <a16:creationId xmlns="" xmlns:a16="http://schemas.microsoft.com/office/drawing/2014/main" id="{3DD06C74-ED99-41DB-876C-B0B0051B16F2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111" name="Retângulo 110">
              <a:extLst>
                <a:ext uri="{FF2B5EF4-FFF2-40B4-BE49-F238E27FC236}">
                  <a16:creationId xmlns="" xmlns:a16="http://schemas.microsoft.com/office/drawing/2014/main" id="{22EDE107-0B14-4E02-83AF-E018D5B36EC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CaixaDeTexto 111">
              <a:extLst>
                <a:ext uri="{FF2B5EF4-FFF2-40B4-BE49-F238E27FC236}">
                  <a16:creationId xmlns="" xmlns:a16="http://schemas.microsoft.com/office/drawing/2014/main" id="{3CDAF0F0-1914-4C3A-93D6-1BBA48CFB9C9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13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BE743116-B503-41BC-8D2D-FA2BCE40F8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114" name="Agrupar 113">
            <a:extLst>
              <a:ext uri="{FF2B5EF4-FFF2-40B4-BE49-F238E27FC236}">
                <a16:creationId xmlns="" xmlns:a16="http://schemas.microsoft.com/office/drawing/2014/main" id="{27A6B33B-FBCF-44A6-915C-CF8F7AD798F7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="" xmlns:a16="http://schemas.microsoft.com/office/drawing/2014/main" id="{BC884020-F4C9-4A36-8D69-15F1B5E49ACD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="" xmlns:a16="http://schemas.microsoft.com/office/drawing/2014/main" id="{D82FA2FE-7866-46CC-A026-D80329A7B65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17" name="Imagem 116" descr="Ícone do banco de dados (símbolo png) preto">
              <a:extLst>
                <a:ext uri="{FF2B5EF4-FFF2-40B4-BE49-F238E27FC236}">
                  <a16:creationId xmlns="" xmlns:a16="http://schemas.microsoft.com/office/drawing/2014/main" id="{398BF405-59FB-479E-A299-3EE8D145E01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10</xdr:col>
      <xdr:colOff>228600</xdr:colOff>
      <xdr:row>11</xdr:row>
      <xdr:rowOff>266700</xdr:rowOff>
    </xdr:from>
    <xdr:to>
      <xdr:col>11</xdr:col>
      <xdr:colOff>76200</xdr:colOff>
      <xdr:row>13</xdr:row>
      <xdr:rowOff>0</xdr:rowOff>
    </xdr:to>
    <xdr:sp macro="[0]!BotaoComLogin" textlink="">
      <xdr:nvSpPr>
        <xdr:cNvPr id="155" name="Círculo: Vazio 154">
          <a:extLst>
            <a:ext uri="{FF2B5EF4-FFF2-40B4-BE49-F238E27FC236}">
              <a16:creationId xmlns="" xmlns:a16="http://schemas.microsoft.com/office/drawing/2014/main" id="{04326554-713E-405A-8100-28B8158D2B40}"/>
            </a:ext>
          </a:extLst>
        </xdr:cNvPr>
        <xdr:cNvSpPr/>
      </xdr:nvSpPr>
      <xdr:spPr>
        <a:xfrm>
          <a:off x="8153400" y="4038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13F0E146-F0FE-4F12-9F3D-F635CF3A63AE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1601931</xdr:colOff>
      <xdr:row>10</xdr:row>
      <xdr:rowOff>39831</xdr:rowOff>
    </xdr:from>
    <xdr:to>
      <xdr:col>18</xdr:col>
      <xdr:colOff>2059131</xdr:colOff>
      <xdr:row>11</xdr:row>
      <xdr:rowOff>135081</xdr:rowOff>
    </xdr:to>
    <xdr:sp macro="[0]!BotaoComLogin" textlink="">
      <xdr:nvSpPr>
        <xdr:cNvPr id="42" name="Círculo: Vazio 41">
          <a:extLst>
            <a:ext uri="{FF2B5EF4-FFF2-40B4-BE49-F238E27FC236}">
              <a16:creationId xmlns="" xmlns:a16="http://schemas.microsoft.com/office/drawing/2014/main" id="{4C408212-5FF6-4E4B-AA73-D17CA46703CB}"/>
            </a:ext>
          </a:extLst>
        </xdr:cNvPr>
        <xdr:cNvSpPr/>
      </xdr:nvSpPr>
      <xdr:spPr>
        <a:xfrm>
          <a:off x="15356031" y="3449781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98F6044-3435-4A9B-94D6-20C32595DB41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="" xmlns:a16="http://schemas.microsoft.com/office/drawing/2014/main" id="{F1339A0B-5DB3-41E3-BBE0-E3F639E8901D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5" name="Agrupar 44">
            <a:extLst>
              <a:ext uri="{FF2B5EF4-FFF2-40B4-BE49-F238E27FC236}">
                <a16:creationId xmlns="" xmlns:a16="http://schemas.microsoft.com/office/drawing/2014/main" id="{EA84ECBA-852C-4371-85E3-B393A6FD67ED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="" xmlns:a16="http://schemas.microsoft.com/office/drawing/2014/main" id="{97B5C298-5186-45F9-ACE4-6F589EA46488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9" name="Imagem 9">
              <a:hlinkClick xmlns:r="http://schemas.openxmlformats.org/officeDocument/2006/relationships" r:id="rId2"/>
              <a:extLst>
                <a:ext uri="{FF2B5EF4-FFF2-40B4-BE49-F238E27FC236}">
                  <a16:creationId xmlns="" xmlns:a16="http://schemas.microsoft.com/office/drawing/2014/main" id="{13C98B25-D54B-4D2C-A4A7-7CBE11F438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0" name="CaixaDeTexto 79">
              <a:extLst>
                <a:ext uri="{FF2B5EF4-FFF2-40B4-BE49-F238E27FC236}">
                  <a16:creationId xmlns="" xmlns:a16="http://schemas.microsoft.com/office/drawing/2014/main" id="{13F43AEB-3135-4367-8C65-9E5830A2898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="" xmlns:a16="http://schemas.microsoft.com/office/drawing/2014/main" id="{9B9FA6EF-0857-4BB7-82D8-DE8F5B4FD774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="" xmlns:a16="http://schemas.microsoft.com/office/drawing/2014/main" id="{C80BA942-1F5A-48F9-BD25-8AA0F756AD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="" xmlns:a16="http://schemas.microsoft.com/office/drawing/2014/main" id="{24F0708C-5F88-4E95-B1D4-28D81FA683B9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A44F4329-3612-4FFF-84E5-0F30FC13059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47" name="Agrupar 46">
            <a:extLst>
              <a:ext uri="{FF2B5EF4-FFF2-40B4-BE49-F238E27FC236}">
                <a16:creationId xmlns="" xmlns:a16="http://schemas.microsoft.com/office/drawing/2014/main" id="{8154EC42-2C46-4267-ACCC-BC9E865C6C4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="" xmlns:a16="http://schemas.microsoft.com/office/drawing/2014/main" id="{D6869E5D-9A2E-4B0A-9888-5B3ED68AD70F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="" xmlns:a16="http://schemas.microsoft.com/office/drawing/2014/main" id="{6C6BF8DA-D17B-4DD5-92D9-EE2A570787F3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019CA871-8EB2-4584-B12B-EBF5444023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="" xmlns:a16="http://schemas.microsoft.com/office/drawing/2014/main" id="{57550321-A8E6-4279-BB4E-239A29FEF233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="" xmlns:a16="http://schemas.microsoft.com/office/drawing/2014/main" id="{3653972E-F014-4B36-AA65-70541A461D3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="" xmlns:a16="http://schemas.microsoft.com/office/drawing/2014/main" id="{53060750-9EB6-4011-9168-E1FBDAC49EA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0342FB37-CCAD-4CA5-9C10-E6C55086A9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="" xmlns:a16="http://schemas.microsoft.com/office/drawing/2014/main" id="{6EFEE672-8949-478D-8AC8-A907C0A6EBC8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="" xmlns:a16="http://schemas.microsoft.com/office/drawing/2014/main" id="{84474232-E6BB-4A99-A467-6AD9C49B41F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="" xmlns:a16="http://schemas.microsoft.com/office/drawing/2014/main" id="{72B7B358-80D9-4E9A-BB85-ECE5178EFFB0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98DEBA7F-C3D2-4FDE-8DA7-DCD1DB2187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="" xmlns:a16="http://schemas.microsoft.com/office/drawing/2014/main" id="{927D7277-9A75-480B-BBFA-FA4CBD7C1776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="" xmlns:a16="http://schemas.microsoft.com/office/drawing/2014/main" id="{86FF84ED-7681-46B1-8D54-EB8235BB1066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="" xmlns:a16="http://schemas.microsoft.com/office/drawing/2014/main" id="{4E129A8C-6006-42CF-A3AD-66FB78E41F41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DBA6CF66-B019-4092-BFB8-9F92B4E54C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="" xmlns:a16="http://schemas.microsoft.com/office/drawing/2014/main" id="{A6B30270-44C9-43C9-A115-D7E66F508BF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="" xmlns:a16="http://schemas.microsoft.com/office/drawing/2014/main" id="{36A14DD1-E547-4F7F-8A0B-BC3441B2E1F4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="" xmlns:a16="http://schemas.microsoft.com/office/drawing/2014/main" id="{B6DDBD23-9A0E-4431-B7E8-66A194D3BF2E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DAF074B2-3913-4F3E-B6C9-F2A26D9037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="" xmlns:a16="http://schemas.microsoft.com/office/drawing/2014/main" id="{FD8EC3E9-2447-4C4E-9E31-735BB021337A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="" xmlns:a16="http://schemas.microsoft.com/office/drawing/2014/main" id="{46E21FDE-18B0-45EE-87B4-638ED06E102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="" xmlns:a16="http://schemas.microsoft.com/office/drawing/2014/main" id="{A4A45D96-43F8-483C-B31A-48F7A4F72B24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9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27CC0839-E4C0-4789-BDF6-1867D344B7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="" xmlns:a16="http://schemas.microsoft.com/office/drawing/2014/main" id="{2B6EC1C1-CC3C-4C57-86FA-B388B12A0312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4" name="Retângulo 53">
              <a:extLst>
                <a:ext uri="{FF2B5EF4-FFF2-40B4-BE49-F238E27FC236}">
                  <a16:creationId xmlns="" xmlns:a16="http://schemas.microsoft.com/office/drawing/2014/main" id="{394F6C32-7F16-42C2-849D-5544A663B698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" name="CaixaDeTexto 54">
              <a:extLst>
                <a:ext uri="{FF2B5EF4-FFF2-40B4-BE49-F238E27FC236}">
                  <a16:creationId xmlns="" xmlns:a16="http://schemas.microsoft.com/office/drawing/2014/main" id="{C8B2D1DA-3908-4422-9015-842A5E972543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6" name="Imagem 55" descr="Ícone do banco de dados (símbolo png) preto">
              <a:extLst>
                <a:ext uri="{FF2B5EF4-FFF2-40B4-BE49-F238E27FC236}">
                  <a16:creationId xmlns="" xmlns:a16="http://schemas.microsoft.com/office/drawing/2014/main" id="{8EEC6813-92F0-4CCE-B0FA-DD2284EC1C9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=""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="" xmlns:a16="http://schemas.microsoft.com/office/drawing/2014/main" id="{0EB0024F-8E8A-418A-BE9D-A8C972EE3636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="" xmlns:a16="http://schemas.microsoft.com/office/drawing/2014/main" id="{BC8D0F71-272B-4B75-BDD1-17351949F8B1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=""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="" xmlns:a16="http://schemas.microsoft.com/office/drawing/2014/main" id="{91AAD696-6C11-4688-BA7C-749C83AE8462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323850</xdr:colOff>
      <xdr:row>14</xdr:row>
      <xdr:rowOff>95250</xdr:rowOff>
    </xdr:from>
    <xdr:to>
      <xdr:col>16</xdr:col>
      <xdr:colOff>171450</xdr:colOff>
      <xdr:row>15</xdr:row>
      <xdr:rowOff>190500</xdr:rowOff>
    </xdr:to>
    <xdr:sp macro="[0]!BotaoComLogin" textlink="">
      <xdr:nvSpPr>
        <xdr:cNvPr id="41" name="Círculo: Vazio 40">
          <a:extLst>
            <a:ext uri="{FF2B5EF4-FFF2-40B4-BE49-F238E27FC236}">
              <a16:creationId xmlns="" xmlns:a16="http://schemas.microsoft.com/office/drawing/2014/main" id="{D14E04D5-E4E6-4221-9E22-0D887BD73EF1}"/>
            </a:ext>
          </a:extLst>
        </xdr:cNvPr>
        <xdr:cNvSpPr/>
      </xdr:nvSpPr>
      <xdr:spPr>
        <a:xfrm>
          <a:off x="12249150" y="49530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=""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400EBBFF-35F4-4E32-9C51-DA483560A066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D2E29B54-56DE-4F60-8A80-287F197976A5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="" xmlns:a16="http://schemas.microsoft.com/office/drawing/2014/main" id="{9DD942D4-A0DF-44DF-B452-A80B9E90C63B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8" name="Agrupar 47">
            <a:extLst>
              <a:ext uri="{FF2B5EF4-FFF2-40B4-BE49-F238E27FC236}">
                <a16:creationId xmlns="" xmlns:a16="http://schemas.microsoft.com/office/drawing/2014/main" id="{6EA6089A-F1F9-4853-B6D8-3691AF020D7E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1" name="Retângulo 80">
              <a:extLst>
                <a:ext uri="{FF2B5EF4-FFF2-40B4-BE49-F238E27FC236}">
                  <a16:creationId xmlns="" xmlns:a16="http://schemas.microsoft.com/office/drawing/2014/main" id="{CB30D25D-7CCE-4FA5-AC51-CB30B467841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2" name="Imagem 9">
              <a:hlinkClick xmlns:r="http://schemas.openxmlformats.org/officeDocument/2006/relationships" r:id="rId2"/>
              <a:extLst>
                <a:ext uri="{FF2B5EF4-FFF2-40B4-BE49-F238E27FC236}">
                  <a16:creationId xmlns="" xmlns:a16="http://schemas.microsoft.com/office/drawing/2014/main" id="{9800F053-F9A9-4570-9854-7EE20CBDCA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3" name="CaixaDeTexto 82">
              <a:extLst>
                <a:ext uri="{FF2B5EF4-FFF2-40B4-BE49-F238E27FC236}">
                  <a16:creationId xmlns="" xmlns:a16="http://schemas.microsoft.com/office/drawing/2014/main" id="{8D75AC37-7679-43C8-84CC-679EBDE196A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9" name="Agrupar 48">
            <a:extLst>
              <a:ext uri="{FF2B5EF4-FFF2-40B4-BE49-F238E27FC236}">
                <a16:creationId xmlns="" xmlns:a16="http://schemas.microsoft.com/office/drawing/2014/main" id="{26D03E39-FF55-4941-A7A5-736199C22D5B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="" xmlns:a16="http://schemas.microsoft.com/office/drawing/2014/main" id="{CF439F70-A3DB-4723-AE38-3F965F8E2B7A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="" xmlns:a16="http://schemas.microsoft.com/office/drawing/2014/main" id="{806456FC-733C-4CFF-B5FE-C79CD84A2704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0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838929F4-9FF3-4897-A41A-42389AB24E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0" name="Agrupar 49">
            <a:extLst>
              <a:ext uri="{FF2B5EF4-FFF2-40B4-BE49-F238E27FC236}">
                <a16:creationId xmlns="" xmlns:a16="http://schemas.microsoft.com/office/drawing/2014/main" id="{2E7615D5-9E64-4710-8717-890100F8CAB1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="" xmlns:a16="http://schemas.microsoft.com/office/drawing/2014/main" id="{1CFF52B5-AE6C-4F6C-A9D2-2C428556A11C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="" xmlns:a16="http://schemas.microsoft.com/office/drawing/2014/main" id="{FE1C33C8-8CD2-4FE9-8BC3-92749EA7FC2F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05FE926F-585D-4EDD-9995-ED0B082A64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="" xmlns:a16="http://schemas.microsoft.com/office/drawing/2014/main" id="{2EF98064-FA72-423F-9F98-ADD0505109BB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="" xmlns:a16="http://schemas.microsoft.com/office/drawing/2014/main" id="{E61C47F2-7926-4CB3-99FD-56E50C660C9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="" xmlns:a16="http://schemas.microsoft.com/office/drawing/2014/main" id="{CC27FFB1-EDDB-4347-A02E-2274B915A9F9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C61E476E-270C-49CD-AE42-7AF6E3CB5E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="" xmlns:a16="http://schemas.microsoft.com/office/drawing/2014/main" id="{A2D11322-21F3-4500-BB5A-C0CCD052DF34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="" xmlns:a16="http://schemas.microsoft.com/office/drawing/2014/main" id="{B202A55B-5D26-48A8-817D-06ADAEFF99E0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="" xmlns:a16="http://schemas.microsoft.com/office/drawing/2014/main" id="{2C131DB3-64F6-47B3-BE4E-3D982123243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C6A357B8-0416-4E1F-9BC6-8FB90AB28E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="" xmlns:a16="http://schemas.microsoft.com/office/drawing/2014/main" id="{0B50F937-C807-4750-8955-5278DD09BD1C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="" xmlns:a16="http://schemas.microsoft.com/office/drawing/2014/main" id="{DCD824C7-4F39-433F-82AF-64FFD8016AE8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="" xmlns:a16="http://schemas.microsoft.com/office/drawing/2014/main" id="{7DE81D56-6DB0-4F06-8132-D77B2FB11DBA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D9A5B157-0809-4A9B-A203-5FCBF7694F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="" xmlns:a16="http://schemas.microsoft.com/office/drawing/2014/main" id="{DC40C0BA-9C64-4278-911B-6F56DD9C597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="" xmlns:a16="http://schemas.microsoft.com/office/drawing/2014/main" id="{344A1167-6E09-44B1-A32D-9F86783285E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="" xmlns:a16="http://schemas.microsoft.com/office/drawing/2014/main" id="{0E7F3FBE-DDF4-4407-9AB0-32853E8116D4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CCBEA583-8831-4E96-88FA-8A4CBCB046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="" xmlns:a16="http://schemas.microsoft.com/office/drawing/2014/main" id="{53A7A20F-D388-4793-A7E1-BDCF210B3A99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="" xmlns:a16="http://schemas.microsoft.com/office/drawing/2014/main" id="{7A0C6223-7917-4436-9F13-877E05B8A7F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="" xmlns:a16="http://schemas.microsoft.com/office/drawing/2014/main" id="{40B84F6E-E2D0-42BF-8F44-08AE1400FBEB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D3D324D3-8D5B-4F3E-B0E9-5DF0120400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="" xmlns:a16="http://schemas.microsoft.com/office/drawing/2014/main" id="{51BC4476-75F2-4E1A-8C63-A9F67D811DA5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="" xmlns:a16="http://schemas.microsoft.com/office/drawing/2014/main" id="{19D1D1C4-D618-4042-92DB-677368CA1897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="" xmlns:a16="http://schemas.microsoft.com/office/drawing/2014/main" id="{5731EBED-3714-4FF8-A64D-4E41FD4D5B2D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9" name="Imagem 58" descr="Ícone do banco de dados (símbolo png) preto">
              <a:extLst>
                <a:ext uri="{FF2B5EF4-FFF2-40B4-BE49-F238E27FC236}">
                  <a16:creationId xmlns="" xmlns:a16="http://schemas.microsoft.com/office/drawing/2014/main" id="{A7F5EE73-D215-4EEB-AB8E-A24E25A4BE3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690ED7EE-2CDB-4692-A564-2EF9ED92BAE6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="" xmlns:a16="http://schemas.microsoft.com/office/drawing/2014/main" id="{9854D1A0-20CD-4B5D-B30B-00FAC2E6D678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16</xdr:col>
      <xdr:colOff>571500</xdr:colOff>
      <xdr:row>3</xdr:row>
      <xdr:rowOff>342900</xdr:rowOff>
    </xdr:from>
    <xdr:to>
      <xdr:col>17</xdr:col>
      <xdr:colOff>419100</xdr:colOff>
      <xdr:row>5</xdr:row>
      <xdr:rowOff>29936</xdr:rowOff>
    </xdr:to>
    <xdr:sp macro="[0]!BotaoComLogin" textlink="">
      <xdr:nvSpPr>
        <xdr:cNvPr id="46" name="Círculo: Vazio 45">
          <a:extLst>
            <a:ext uri="{FF2B5EF4-FFF2-40B4-BE49-F238E27FC236}">
              <a16:creationId xmlns="" xmlns:a16="http://schemas.microsoft.com/office/drawing/2014/main" id="{51ED14EE-DF5E-4F05-B1D7-0071555AB6C6}"/>
            </a:ext>
          </a:extLst>
        </xdr:cNvPr>
        <xdr:cNvSpPr/>
      </xdr:nvSpPr>
      <xdr:spPr>
        <a:xfrm>
          <a:off x="30270450" y="1504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1AB7B0DD-FB06-421F-9690-CCA1966000A7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=""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="" xmlns:a16="http://schemas.microsoft.com/office/drawing/2014/main" id="{DBC0329D-72D4-45E8-84B5-79585B9A3B47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=""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=""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=""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=""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=""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=""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=""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=""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=""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=""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=""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=""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=""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=""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=""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=""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=""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=""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=""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=""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=""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=""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=""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=""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=""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=""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=""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23</xdr:col>
      <xdr:colOff>304800</xdr:colOff>
      <xdr:row>11</xdr:row>
      <xdr:rowOff>19050</xdr:rowOff>
    </xdr:from>
    <xdr:to>
      <xdr:col>24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52F9F7B1-4E38-4F63-8945-DB11E75453DB}"/>
            </a:ext>
          </a:extLst>
        </xdr:cNvPr>
        <xdr:cNvSpPr/>
      </xdr:nvSpPr>
      <xdr:spPr>
        <a:xfrm>
          <a:off x="28746450" y="3790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AD41383-AA64-401B-BB1B-06A400957886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="" xmlns:a16="http://schemas.microsoft.com/office/drawing/2014/main" id="{FA73073F-0647-46C6-8FB8-E5680BCBA716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=""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=""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=""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=""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=""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=""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=""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=""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=""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=""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=""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=""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=""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=""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=""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=""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=""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=""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=""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=""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=""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=""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=""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=""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=""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=""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22</xdr:col>
      <xdr:colOff>304800</xdr:colOff>
      <xdr:row>11</xdr:row>
      <xdr:rowOff>19050</xdr:rowOff>
    </xdr:from>
    <xdr:to>
      <xdr:col>23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612F9E51-33F1-4314-846A-F0972518AA87}"/>
            </a:ext>
          </a:extLst>
        </xdr:cNvPr>
        <xdr:cNvSpPr/>
      </xdr:nvSpPr>
      <xdr:spPr>
        <a:xfrm>
          <a:off x="287121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5DBA03EB-AE50-47AB-ACF6-26E3E4FD945D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="" xmlns:a16="http://schemas.microsoft.com/office/drawing/2014/main" id="{65FD128C-4E46-46E8-AAD4-98B01DD983EB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=""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=""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=""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=""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=""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=""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=""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=""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=""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=""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=""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=""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=""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=""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=""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=""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=""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=""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=""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=""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=""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=""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=""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=""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=""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=""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76200</xdr:colOff>
      <xdr:row>11</xdr:row>
      <xdr:rowOff>19050</xdr:rowOff>
    </xdr:from>
    <xdr:to>
      <xdr:col>24</xdr:col>
      <xdr:colOff>533400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31688FC5-51E8-4955-A59E-84C23CB6FFD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5D04748B-E3EB-441F-A033-723B7AC00348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="" xmlns:a16="http://schemas.microsoft.com/office/drawing/2014/main" id="{EC2640C8-7D25-4007-B084-723EE408EFD2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=""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=""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=""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=""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=""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=""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=""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=""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=""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=""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=""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=""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=""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=""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=""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=""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=""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=""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=""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=""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=""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=""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=""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=""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=""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=""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114300</xdr:colOff>
      <xdr:row>11</xdr:row>
      <xdr:rowOff>19050</xdr:rowOff>
    </xdr:from>
    <xdr:to>
      <xdr:col>24</xdr:col>
      <xdr:colOff>571500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39857E04-A25D-4762-8F4B-5B51308490CF}"/>
            </a:ext>
          </a:extLst>
        </xdr:cNvPr>
        <xdr:cNvSpPr/>
      </xdr:nvSpPr>
      <xdr:spPr>
        <a:xfrm>
          <a:off x="286740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E8917B22-0931-49D4-B3D7-6C8208BF96AC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="" xmlns:a16="http://schemas.microsoft.com/office/drawing/2014/main" id="{08456B89-A500-4F07-865D-47BBC305F32D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=""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=""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=""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=""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=""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=""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=""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=""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=""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=""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=""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=""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=""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=""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=""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=""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=""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=""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=""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=""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=""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=""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=""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=""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=""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=""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A2C19ED0-2EBC-47BD-B467-F8FF0A8A7F2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BC161C9F-5DDC-4636-9D4C-4729F9340953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="" xmlns:a16="http://schemas.microsoft.com/office/drawing/2014/main" id="{7EC7D8C2-40B7-4E94-B3BF-C57ADF7925DE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=""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=""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=""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=""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=""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=""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=""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=""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=""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=""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=""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=""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=""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=""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=""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=""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=""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=""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=""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=""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=""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=""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=""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=""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=""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=""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EE73FE17-8B42-4C13-9807-D55142A0B12D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FA5A6ABF-F122-4BF1-88DF-641AFC9A49B2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="" xmlns:a16="http://schemas.microsoft.com/office/drawing/2014/main" id="{1BE500F5-1A0D-4796-9C08-8E44D1E41E29}"/>
              </a:ext>
              <a:ext uri="{147F2762-F138-4A5C-976F-8EAC2B608ADB}">
                <a16:predDERef xmlns=""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=""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=""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=""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=""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=""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=""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=""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=""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=""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=""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=""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=""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=""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=""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=""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=""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=""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=""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=""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=""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=""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=""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=""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=""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=""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=""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=""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=""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=""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=""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10" name="Círculo: Vazio 9">
          <a:extLst>
            <a:ext uri="{FF2B5EF4-FFF2-40B4-BE49-F238E27FC236}">
              <a16:creationId xmlns="" xmlns:a16="http://schemas.microsoft.com/office/drawing/2014/main" id="{B6CD4612-7F5B-4547-99F3-8533094CFAAF}"/>
            </a:ext>
          </a:extLst>
        </xdr:cNvPr>
        <xdr:cNvSpPr/>
      </xdr:nvSpPr>
      <xdr:spPr>
        <a:xfrm>
          <a:off x="8020050" y="27241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55702D68-D5C8-4CDF-BF80-7431A8BA482E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="" xmlns:a16="http://schemas.microsoft.com/office/drawing/2014/main" id="{E7C2BB46-B7A5-4596-90A4-DA16D21C1A4A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=""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=""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=""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=""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=""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=""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=""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=""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=""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=""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=""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=""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=""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=""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=""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=""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=""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="" xmlns:a16="http://schemas.microsoft.com/office/drawing/2014/main" id="{AAC97D67-9C0B-444B-8AC9-5ADC02F81388}"/>
            </a:ext>
            <a:ext uri="{147F2762-F138-4A5C-976F-8EAC2B608ADB}">
              <a16:predDERef xmlns=""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="" xmlns:a16="http://schemas.microsoft.com/office/drawing/2014/main" id="{82008787-EB4E-4FAF-A4F9-83E87DB0D97D}"/>
            </a:ext>
          </a:extLst>
        </xdr:cNvPr>
        <xdr:cNvSpPr/>
      </xdr:nvSpPr>
      <xdr:spPr>
        <a:xfrm>
          <a:off x="8016240" y="2682240"/>
          <a:ext cx="44958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DED96927-86EB-45BF-9DBA-0313C3937FA0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="" xmlns:a16="http://schemas.microsoft.com/office/drawing/2014/main" id="{41D5657A-233D-4DC6-8445-AD410B6AED4A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=""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=""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=""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=""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=""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=""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=""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="" xmlns:a16="http://schemas.microsoft.com/office/drawing/2014/main" id="{9E9508F3-1D81-4079-8085-DAAA7F103224}"/>
            </a:ext>
          </a:extLst>
        </xdr:cNvPr>
        <xdr:cNvSpPr/>
      </xdr:nvSpPr>
      <xdr:spPr>
        <a:xfrm>
          <a:off x="16268700" y="9669780"/>
          <a:ext cx="1950720" cy="11655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381000</xdr:colOff>
      <xdr:row>3</xdr:row>
      <xdr:rowOff>266700</xdr:rowOff>
    </xdr:from>
    <xdr:to>
      <xdr:col>16</xdr:col>
      <xdr:colOff>76200</xdr:colOff>
      <xdr:row>4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="" xmlns:a16="http://schemas.microsoft.com/office/drawing/2014/main" id="{F02BE0B2-D231-4147-98F5-64B5A1EE59AA}"/>
            </a:ext>
          </a:extLst>
        </xdr:cNvPr>
        <xdr:cNvSpPr/>
      </xdr:nvSpPr>
      <xdr:spPr>
        <a:xfrm>
          <a:off x="20326350" y="14287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D4E85BB-203F-4337-82B1-4BD693F48E34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="" xmlns:a16="http://schemas.microsoft.com/office/drawing/2014/main" id="{5757FF52-3B75-4219-98FF-294F5476A70A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40429" y="0"/>
          <a:ext cx="1454537" cy="1129393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=""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=""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784523" y="0"/>
          <a:ext cx="1487663" cy="1129393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=""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=""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3</xdr:row>
      <xdr:rowOff>890</xdr:rowOff>
    </xdr:to>
    <xdr:sp macro="" textlink="">
      <xdr:nvSpPr>
        <xdr:cNvPr id="25" name="CaixaDeTexto 24">
          <a:extLst>
            <a:ext uri="{FF2B5EF4-FFF2-40B4-BE49-F238E27FC236}">
              <a16:creationId xmlns=""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19873720" y="0"/>
          <a:ext cx="1578903" cy="1129393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3491166" y="0"/>
          <a:ext cx="1459032" cy="1129393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6915264" y="0"/>
          <a:ext cx="1549183" cy="1129393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=""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0502989" y="0"/>
          <a:ext cx="1483869" cy="1129393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=""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=""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=""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0]!Solicitar_contratação" textlink="">
      <xdr:nvSpPr>
        <xdr:cNvPr id="43" name="Retângulo: Cantos Arredondados 42">
          <a:extLst>
            <a:ext uri="{FF2B5EF4-FFF2-40B4-BE49-F238E27FC236}">
              <a16:creationId xmlns=""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11EB1B90-80FA-4E2D-82A5-5D0BFBA8C6A9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127DC4B7-C85B-427B-A26E-75E11C8BAF48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C3F39354-B16B-4C45-84F7-746106A3C8E5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35</xdr:row>
      <xdr:rowOff>238125</xdr:rowOff>
    </xdr:from>
    <xdr:to>
      <xdr:col>15</xdr:col>
      <xdr:colOff>357187</xdr:colOff>
      <xdr:row>38</xdr:row>
      <xdr:rowOff>279626</xdr:rowOff>
    </xdr:to>
    <xdr:sp macro="[0]!Solicitar_Demissão" textlink="">
      <xdr:nvSpPr>
        <xdr:cNvPr id="49" name="Retângulo Arredondado 11">
          <a:extLst>
            <a:ext uri="{FF2B5EF4-FFF2-40B4-BE49-F238E27FC236}">
              <a16:creationId xmlns:a16="http://schemas.microsoft.com/office/drawing/2014/main" xmlns="" id="{E6004F23-FAD2-4F5A-A25E-E7E86C289A9A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8026063" y="12525375"/>
          <a:ext cx="1738312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4457700</xdr:colOff>
      <xdr:row>3</xdr:row>
      <xdr:rowOff>266700</xdr:rowOff>
    </xdr:from>
    <xdr:to>
      <xdr:col>15</xdr:col>
      <xdr:colOff>4895850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B56C4BFF-1A12-45F2-B004-D5A89FB90B11}"/>
            </a:ext>
          </a:extLst>
        </xdr:cNvPr>
        <xdr:cNvSpPr/>
      </xdr:nvSpPr>
      <xdr:spPr>
        <a:xfrm>
          <a:off x="20299680" y="140970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B7782554-39C6-4106-A724-E608CCAC513A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35CF85BF-C7EB-4DE5-8FE5-87898D0975E8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045170" y="0"/>
          <a:ext cx="1449635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3490486" y="0"/>
          <a:ext cx="1575373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075828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0583952" y="0"/>
          <a:ext cx="1555306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=""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8197470C-1DEF-4A68-88EF-EC336AB8FA54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5DEFB26F-FFA9-4ADE-86AF-34CF63E3620B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7C75B8A1-3107-4434-8A6F-0AA8D2B4AF4A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[0]!CadastrarColaborador" textlink="">
      <xdr:nvSpPr>
        <xdr:cNvPr id="44" name="Retângulo Arredondado 11">
          <a:extLst>
            <a:ext uri="{FF2B5EF4-FFF2-40B4-BE49-F238E27FC236}">
              <a16:creationId xmlns="" xmlns:a16="http://schemas.microsoft.com/office/drawing/2014/main" id="{E9D0DFA0-A85E-4E3A-B462-C34BD01B0BA0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10</xdr:col>
      <xdr:colOff>306532</xdr:colOff>
      <xdr:row>3</xdr:row>
      <xdr:rowOff>266700</xdr:rowOff>
    </xdr:from>
    <xdr:to>
      <xdr:col>11</xdr:col>
      <xdr:colOff>452004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3EF6E76E-2E94-4282-85EB-C58D0B50025F}"/>
            </a:ext>
          </a:extLst>
        </xdr:cNvPr>
        <xdr:cNvSpPr/>
      </xdr:nvSpPr>
      <xdr:spPr>
        <a:xfrm>
          <a:off x="2031492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A0B4ABE6-E4BA-48CF-AB55-103DF3B14414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D14B7D30-9DED-4A0B-8B0A-5444D0197337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5273" y="0"/>
          <a:ext cx="1459980" cy="1125682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853796" y="0"/>
          <a:ext cx="1452531" cy="1125682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9</xdr:col>
      <xdr:colOff>2091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151774</xdr:colOff>
      <xdr:row>0</xdr:row>
      <xdr:rowOff>0</xdr:rowOff>
    </xdr:from>
    <xdr:to>
      <xdr:col>11</xdr:col>
      <xdr:colOff>1688866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19929138" y="0"/>
          <a:ext cx="1537092" cy="1125682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1850118</xdr:colOff>
      <xdr:row>0</xdr:row>
      <xdr:rowOff>0</xdr:rowOff>
    </xdr:from>
    <xdr:to>
      <xdr:col>13</xdr:col>
      <xdr:colOff>1500143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3463209" y="0"/>
          <a:ext cx="1589661" cy="1125682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262087</xdr:colOff>
      <xdr:row>0</xdr:row>
      <xdr:rowOff>0</xdr:rowOff>
    </xdr:from>
    <xdr:to>
      <xdr:col>14</xdr:col>
      <xdr:colOff>1797910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001360" y="0"/>
          <a:ext cx="1535823" cy="1125682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1879498</xdr:colOff>
      <xdr:row>0</xdr:row>
      <xdr:rowOff>0</xdr:rowOff>
    </xdr:from>
    <xdr:to>
      <xdr:col>15</xdr:col>
      <xdr:colOff>3477667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0575725" y="0"/>
          <a:ext cx="1598169" cy="1125682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=""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E722DB31-F0B4-4DA8-81FB-49618AF9368E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A24B4A65-1D03-4E85-8D27-9C7BF74D9F93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9</xdr:col>
      <xdr:colOff>1046591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6AD459D3-BF8E-4252-90EB-316577D58509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15</xdr:col>
      <xdr:colOff>2286000</xdr:colOff>
      <xdr:row>44</xdr:row>
      <xdr:rowOff>285750</xdr:rowOff>
    </xdr:from>
    <xdr:to>
      <xdr:col>15</xdr:col>
      <xdr:colOff>4839380</xdr:colOff>
      <xdr:row>47</xdr:row>
      <xdr:rowOff>327251</xdr:rowOff>
    </xdr:to>
    <xdr:sp macro="[0]!Agendar_Pagamento" textlink="">
      <xdr:nvSpPr>
        <xdr:cNvPr id="45" name="Retângulo Arredondado 11">
          <a:extLst>
            <a:ext uri="{FF2B5EF4-FFF2-40B4-BE49-F238E27FC236}">
              <a16:creationId xmlns:a16="http://schemas.microsoft.com/office/drawing/2014/main" xmlns="" id="{E6004F23-FAD2-4F5A-A25E-E7E86C289A9A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30146625" y="15430500"/>
          <a:ext cx="2553380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12</xdr:col>
      <xdr:colOff>57150</xdr:colOff>
      <xdr:row>3</xdr:row>
      <xdr:rowOff>266700</xdr:rowOff>
    </xdr:from>
    <xdr:to>
      <xdr:col>12</xdr:col>
      <xdr:colOff>514350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184B24F9-C087-4657-B2FB-CB64374465E8}"/>
            </a:ext>
          </a:extLst>
        </xdr:cNvPr>
        <xdr:cNvSpPr/>
      </xdr:nvSpPr>
      <xdr:spPr>
        <a:xfrm>
          <a:off x="2032635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D99386C1-1B58-4444-9F5A-62B8139CA9AF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378CF45A-CED6-4FEF-B9C7-B5884D300F01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6985341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=""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020D734E-8061-4266-9313-DC9F2388A632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156369B9-A214-4793-8688-DC6F56F3B8F8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5B40B346-2CBB-4F16-A347-297DE7DB9811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4F70DCB7-0164-4460-A80D-4430C26BBCB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63EFC35-133C-40CB-B266-1269CEF4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F69802CF-D570-4D93-86F3-07E17A7552ED}"/>
            </a:ext>
          </a:extLst>
        </xdr:cNvPr>
        <xdr:cNvSpPr/>
      </xdr:nvSpPr>
      <xdr:spPr>
        <a:xfrm>
          <a:off x="25203150" y="140970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A27B7593-91A5-4067-973D-BD9BB1E4FDB1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AFB818A7-394D-4B29-ABCC-6F6EB9B22543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5A0A260E-9325-4A2E-A98A-B76719C8F2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9E104897-45C2-4B8B-9124-ED76C2E63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78DE30A5-44BD-4919-87F7-979799074B3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3057F514-4B36-40AE-ABB4-B732655500A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C791C49A-FCB4-4D81-B99F-107FF136E3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1C290481-7D3F-4598-AB96-2B3E109A4F8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70E502B-474A-4589-B0B9-5723FF4CBF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D9E72012-AD37-42BD-B509-37F4B0A06F3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5C2F23ED-2792-4156-808E-D7C524AEC89C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3BD365A-BA0A-4597-91AA-E4417230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013D8B86-CE8A-415D-8AEB-8BED29BA45B8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CDC212D2-C371-48AF-B48B-E8CA19F84F40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F319C3FA-300B-4DDD-B964-3A47200B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9296941F-046D-4723-9142-8298EE877259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E6A96873-541B-4DF4-9843-83A27F2ECACA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97D55B3-953E-4FEF-AB84-4A8A75771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794EA2BB-F51C-48A8-817A-AD39FF593319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1ABA6884-32FD-4286-8781-61272EA24FA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DA027D37-A64E-4F6E-808D-751E805AE1F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76A6C73-B9D6-48E1-A8F3-7687EF7F0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F5FA165C-1AE7-4943-9196-38E96BAE15E9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2BA7593F-9DAC-49BC-B750-D00F6C257D41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8F738A34-CA06-41BE-AE7D-EE525376630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3717E1F-6C10-422A-97F2-64C6B0B57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3A0401DA-6E24-4818-B030-F9DEF92E2CA5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44720A25-5AEE-4BD3-8FD4-64E057EBC708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3DC78B4-188B-47F3-A52A-80B47F3AC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CCE9CC11-F371-4214-A54E-5E5EF10705AC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4DFD0DDC-9F82-44E1-A05A-59FBB825DF1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947699F7-CECD-46A7-B4DB-144490F3C59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="" xmlns:a16="http://schemas.microsoft.com/office/drawing/2014/main" id="{535787F8-A08D-494F-963D-DD62F99D9F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A1DEA15F-405C-4A2F-8621-6925D1D27A2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827F62E6-7E3F-492A-B702-127209BF7C45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9399AF5B-7278-4C54-99D3-A6064B371874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B1875DB0-E6C4-4785-8CCC-CE532FAEC24A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C5864EAE-F899-4D36-AF94-9C8E7E231575}"/>
            </a:ext>
          </a:extLst>
        </xdr:cNvPr>
        <xdr:cNvSpPr/>
      </xdr:nvSpPr>
      <xdr:spPr>
        <a:xfrm>
          <a:off x="20943912" y="1295400"/>
          <a:ext cx="3398400" cy="81196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9" name="Retângulo Arredondado 11">
          <a:extLst>
            <a:ext uri="{FF2B5EF4-FFF2-40B4-BE49-F238E27FC236}">
              <a16:creationId xmlns="" xmlns:a16="http://schemas.microsoft.com/office/drawing/2014/main" id="{1D5B652F-FAFE-4AD6-AFDB-C03FD45D41E4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4706983" y="5269775"/>
          <a:ext cx="1452153" cy="5613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" textlink="">
      <xdr:nvSpPr>
        <xdr:cNvPr id="50" name="Retângulo Arredondado 11">
          <a:extLst>
            <a:ext uri="{FF2B5EF4-FFF2-40B4-BE49-F238E27FC236}">
              <a16:creationId xmlns="" xmlns:a16="http://schemas.microsoft.com/office/drawing/2014/main" id="{91CD3AD3-B1F8-4FCD-AC78-9EFF6801FE31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103441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F1BC3912-F65D-4384-9090-48AC9FE48F7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47B5195-A0BB-4E9C-B03A-5DEB6E37F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EC034556-3995-4675-9A7F-4F9E51F789AC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C3E383EF-43B0-4151-B1E5-B5DABF9CB0E5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8B93F9B2-613E-4979-B664-A66E15448D10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AE0C65FD-70D2-472A-85BF-EA2EFAEDED9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21DF8404-6287-42EE-8D0C-FBAA36C99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77066DCA-3817-4EC0-B58A-2B1904ECCA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0CB7A36F-4BED-4A41-81DA-D048A5B30202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A746ADC6-4136-4A43-9AC9-BD0591333E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9450ABEF-B03B-469D-94DC-28B0971275E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DFD0EC9F-12A2-4B36-9354-D0B6C8B3D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A115E1E0-CC9E-4812-94E6-573D682A2E7A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E7236CF4-DB6F-4D20-B842-CB29C4C5250D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AC33ADC-7D39-492D-B191-3D043D49F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E01365F9-AA7A-4385-8418-6220AB9779A5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B115E2B8-8238-45D6-A7EE-20C5D532EDBA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3273698-77FD-4860-B083-B5A39A852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0DF91854-3F74-45C8-BBCA-D574B8646C5A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0F8F293E-17EC-4FF2-90D9-EDC65B893539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E60FC26-1B73-4FC9-A152-A217B1384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BCA79830-6ECC-4943-8822-926033A582C9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DEB73A05-D220-4CC0-837D-D36D1150EFF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F789E8DE-31D2-4AD9-9CE7-684825796B3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7F6360F-B236-41FB-AFA7-B95AB1642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8DA00BF5-EB96-4059-A3B6-A9A5971B2DB2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52323973-777C-480C-B833-7E21062A009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163AF80E-3D58-4CF1-B611-4D49849F226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A3704DD5-F097-414C-8464-E145B1ABA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="" xmlns:a16="http://schemas.microsoft.com/office/drawing/2014/main" id="{270EEB1D-2589-4A5D-B216-1A193083193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="" xmlns:a16="http://schemas.microsoft.com/office/drawing/2014/main" id="{C4C810C3-5604-472B-B49F-8C259B932840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A8569A8-4B5C-4B5E-B31C-4C663933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="" xmlns:a16="http://schemas.microsoft.com/office/drawing/2014/main" id="{D58AA317-260D-44FF-AE05-DC7957926C75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="" xmlns:a16="http://schemas.microsoft.com/office/drawing/2014/main" id="{C24285C2-91CB-4BB5-B913-C7A05F9BB02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="" xmlns:a16="http://schemas.microsoft.com/office/drawing/2014/main" id="{06626A27-83D8-491B-80AD-5C630ABBCD2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="" xmlns:a16="http://schemas.microsoft.com/office/drawing/2014/main" id="{DB3673C8-2175-49CF-B8A7-3E75EFE0F43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6DC130A7-D36F-45F5-9A13-8B15F898E43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65CD9C35-114C-4433-8745-CE915B522801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4BA28A6E-5B55-48E1-9103-65353E3324BD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C351412F-58BE-4453-B3B3-DBE50191C8B6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6CB3CC48-C85A-48C3-B454-4D5C45768493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="" xmlns:a16="http://schemas.microsoft.com/office/drawing/2014/main" id="{7403E624-4072-4F49-82A3-F460263B4FA5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" textlink="">
      <xdr:nvSpPr>
        <xdr:cNvPr id="44" name="Retângulo Arredondado 11">
          <a:extLst>
            <a:ext uri="{FF2B5EF4-FFF2-40B4-BE49-F238E27FC236}">
              <a16:creationId xmlns="" xmlns:a16="http://schemas.microsoft.com/office/drawing/2014/main" id="{ACC235BB-1958-44AB-ABFB-1BEDCD616C28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39636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DDFACFC2-9831-47FD-8968-80C00FF4B3C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44BC007C-810D-44B0-A1F2-99E499E0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AF066C66-B58E-45DA-B54C-0EE2B4731327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FE5FF1AF-2953-4B1B-86D2-322D27100849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3019F2CF-7866-47F8-8DF3-0ABE2B84136E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14037C0A-C5C0-4153-A1AC-CCDEC54739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C4747959-ACE5-4091-A0EE-74F181EFD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91B2B600-4913-4C16-9FE9-38820185CB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5651545D-1264-4A9B-BCFF-46073DE14BAE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87A7A93F-E8A6-4AAC-83F0-A7E525E8799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7C0E52A6-6CDA-4FE9-B9BC-10660846EBB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750234C5-468D-4BBA-A5FD-EFEFAB0B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1263B8A5-70E3-4B0A-A584-0A5F353109B7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0162293E-5A73-4BA6-B870-D4299435AC08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F039D631-50B2-4A9D-A707-0CCC87246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3E13D135-322D-4023-A95D-17ADEB34BD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E8461B4F-8A6C-49B5-9DFD-4CF1E1653FC3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9B8E115-045D-4039-8EA1-0DF863BF8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AA0ED215-A32C-4E02-9D93-453E815E42F7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63CF618D-67D8-49F6-A180-4BFE6C734766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CA026D8-3CDA-44D8-9352-ADBF3A46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99EDF868-6E0E-4DB0-8768-D95808FC27BB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D0191617-A0EB-4A79-8F62-7E2152CAD8E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5DC321FF-0380-4396-9DEB-3E500CD826C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DE7A96C8-897B-42A6-9BC6-46B3C78DE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84FF8D43-9CB7-4CB0-9DFE-08C90B7DA324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69FAF08E-3274-4C71-AE04-FC5E1D630D9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BF231A2C-0E2C-43A5-8AA5-6423320E264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88307B0-8677-4FA4-AB0F-893D359D99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="" xmlns:a16="http://schemas.microsoft.com/office/drawing/2014/main" id="{425C3C3B-95FD-414D-B3EA-0D9E36C74B74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="" xmlns:a16="http://schemas.microsoft.com/office/drawing/2014/main" id="{CE6F0368-1779-4BBD-A2E2-75B1BCB9A9B4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0702381-9E3B-40ED-B415-4DE4E497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="" xmlns:a16="http://schemas.microsoft.com/office/drawing/2014/main" id="{E914A014-70EA-4C7D-BBB4-2A91B0E89497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="" xmlns:a16="http://schemas.microsoft.com/office/drawing/2014/main" id="{C64A925F-BA41-4B97-8465-2B979C10CF6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="" xmlns:a16="http://schemas.microsoft.com/office/drawing/2014/main" id="{E436ADAB-95C6-4E88-95F7-56D3652607D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="" xmlns:a16="http://schemas.microsoft.com/office/drawing/2014/main" id="{C2030D42-196E-4714-98F4-5B29F48025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DDE0A04-B36E-415A-95BC-8503D258C8B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3CD54AAE-9E42-4CC8-98FC-348940506E2A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B3F07989-1805-4F70-B7B9-82AC9D4D66F0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7D5BA933-E109-4805-BDA2-8C700330B912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26572A1A-A4F4-4B1B-B80B-DA17740ECCEA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="" xmlns:a16="http://schemas.microsoft.com/office/drawing/2014/main" id="{BE0F5A65-D7AC-4622-896A-B330E8CCCE16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5" name="Retângulo Arredondado 11">
          <a:extLst>
            <a:ext uri="{FF2B5EF4-FFF2-40B4-BE49-F238E27FC236}">
              <a16:creationId xmlns="" xmlns:a16="http://schemas.microsoft.com/office/drawing/2014/main" id="{28138847-677E-4CF9-99C8-0840A0CB4719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4860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E2D35D9C-A72A-492A-9775-C710F270BE9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16996FA-18CA-4D74-A930-8D70B2E5A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C7D34660-8190-4FA3-B52A-E8F022F51B71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424830E-C3EB-4952-BF0C-ABE2C0D47AD8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2B5C5B7F-E245-4AC3-A6B9-D0C1201AA33A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6A690E8B-022E-439F-AD21-3E0B255A727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C9924F49-95F3-4E08-AB3F-26303BECD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AABFE2E8-7A34-4253-A8EA-533FA05199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3606C0A9-C4C5-4BB9-82F7-BDBCA470E30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43AFA651-8CC0-4F72-9D35-CEE2165E22B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342AEB43-44B2-4EB2-B6C6-B2950897A9C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54E0006A-B28F-452B-8959-989B08D02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DE6257CE-6214-4BE3-B45C-890328FB251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4374FB05-2FAE-41C5-8706-2E99304FDB15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ABF4B33-51FE-485C-AB17-8EAAC8958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357555A4-2FB3-4B46-939F-95F5BE7A588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3FD0D207-3428-41DC-8119-97E6EB93581E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6709EF35-EEEF-46FD-9668-86B88DFD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8E06D166-1471-4B1E-A55F-439FB8111D0C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D5724CC6-7242-49A0-85C9-7E49282685E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C861A45-0D10-4BF3-90E8-FCF9BA7E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30C7B253-1D9A-4249-BED8-0CC5FF7C4DF4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8916D578-259C-4241-9C4A-B0885B4B20E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42491708-010A-4D83-9412-A4FC6A314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3117DA20-D114-40C6-830A-8BA0E135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BF8E1943-BE81-48AF-93F3-B090952F6626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3AB47941-7795-4428-9393-A074FDCEC09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28960F0F-F4FC-48F0-A787-F14F457FCC5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2491DCBA-0E8E-421A-9A30-DD9D03CDFF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="" xmlns:a16="http://schemas.microsoft.com/office/drawing/2014/main" id="{C7E6D566-2997-41E5-AEB0-B95B0E1657B2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="" xmlns:a16="http://schemas.microsoft.com/office/drawing/2014/main" id="{E7033FF8-785C-4C5A-B87B-C9689A01AE79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12A151D-CD3F-41E4-9878-A09E0F25D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="" xmlns:a16="http://schemas.microsoft.com/office/drawing/2014/main" id="{0BDE650B-3333-46B2-BAE0-96049919B412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="" xmlns:a16="http://schemas.microsoft.com/office/drawing/2014/main" id="{617CB094-3093-4C4D-ACE4-FA53362769A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="" xmlns:a16="http://schemas.microsoft.com/office/drawing/2014/main" id="{BDF2E14E-B3F8-4E55-A8D1-32DC2A6B0C6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="" xmlns:a16="http://schemas.microsoft.com/office/drawing/2014/main" id="{7FC7E9A4-3598-4FED-BCAD-8CF729EFB8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32F0EAAA-1C37-4839-BEB6-35137823ED0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E49D1FDF-DAEB-4C96-AE78-E3517F326D9B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AB9B5F0F-4993-487D-ABB1-7363667F22C6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DEA42F58-97CF-4983-879B-32A208955394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3460650D-B88A-4D1C-AFFC-657CAF60945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="" xmlns:a16="http://schemas.microsoft.com/office/drawing/2014/main" id="{8D66A803-0D95-4F7D-8738-06D475D8942E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8F576AD4-1C54-46B2-8A69-30D8FB03BB79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7940983-00A1-4FC1-B7CB-5531B7E6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2026EE70-CEC1-46D5-AA0D-1E41F51613DF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267F3B17-A181-4FAA-9F80-3293A71B33A5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="" xmlns:a16="http://schemas.microsoft.com/office/drawing/2014/main" id="{4AF9929C-FF49-47DF-A134-7B392071ECEB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="" xmlns:a16="http://schemas.microsoft.com/office/drawing/2014/main" id="{27161733-A7B2-4745-BEA7-9CE31BD31D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BA00A088-6B6F-4F84-A06E-8641FED2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="" xmlns:a16="http://schemas.microsoft.com/office/drawing/2014/main" id="{2A2E4560-EE13-4CB2-A61C-6FCB700B4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70EDABDD-4F06-4EA2-B0DE-CDB3A3DB1B00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1DE8F09C-922D-4487-8288-54019CF5E49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="" xmlns:a16="http://schemas.microsoft.com/office/drawing/2014/main" id="{C1D29699-7061-4627-A2A9-BD424A7F9A0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34F14BD8-BA85-4DCA-8363-4F10796D2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22E3BC41-784D-4E71-B159-3A8B1FEAB5BC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A382226B-243A-4887-8040-6A06014150DB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7C72575-30A9-4E31-B7AA-032EE238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="" xmlns:a16="http://schemas.microsoft.com/office/drawing/2014/main" id="{4CBFC3CD-889A-4838-AE50-7FF4AEE485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="" xmlns:a16="http://schemas.microsoft.com/office/drawing/2014/main" id="{B5406BBA-9865-40C6-8B98-F72ADBE812D2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240AB4D-EF26-4B75-AAA4-B25BFE0E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F9FFF05F-9E72-4205-970C-0E517DDAB87D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FB89511C-C7A4-4BEB-979E-C4606851F617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295ABBC8-F1CE-479F-BDF5-7F8B4975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CF0B5132-86CE-4153-B4AF-2711DE539249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5A52B53B-9CFF-48AC-9CB0-4B4AB19897D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AAB8D531-A41E-4821-92CF-B93071BB6C1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7769FBE-BF3C-4DC3-B1F1-734891706C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BEA6DDE9-B50B-44DB-A744-4890E67900A4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7017C11D-0D49-4B6F-BC1A-8D4B2302CFB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8AB4584E-AA91-47AD-A7F5-A5DED05357A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24ED208D-1C5B-4B8F-AB72-552F32231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="" xmlns:a16="http://schemas.microsoft.com/office/drawing/2014/main" id="{C9ADE8F0-4C34-46E9-9740-E527ED65FFF9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="" xmlns:a16="http://schemas.microsoft.com/office/drawing/2014/main" id="{A826B72F-49FB-4448-954B-008A193B6F43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8473045-5F69-42A2-B42A-6E63621FE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="" xmlns:a16="http://schemas.microsoft.com/office/drawing/2014/main" id="{52EEDA1D-C9C7-4E75-B13E-AA396B81F608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="" xmlns:a16="http://schemas.microsoft.com/office/drawing/2014/main" id="{2E332AA6-FB88-44ED-A512-8CF3F1A5137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="" xmlns:a16="http://schemas.microsoft.com/office/drawing/2014/main" id="{BF69FBD0-3C94-4C4F-BC06-59B3B9F75CF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="" xmlns:a16="http://schemas.microsoft.com/office/drawing/2014/main" id="{BCF1F156-42AB-42BD-A519-58E4176A8D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913E58DE-1CC2-452C-89DD-57616D3528A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13F5B259-E4C2-4CE8-80FB-42D01D2575A5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24475A7A-C32E-4034-A23F-C666544B4126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EFD0FA18-D22E-487B-A259-CF11A4D16F05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4CE4EFA9-2796-4BCD-AFFE-F2683A41E742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="" xmlns:a16="http://schemas.microsoft.com/office/drawing/2014/main" id="{4D8AE4E8-BAF7-4C5D-9DD0-B749F7D799D0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4" name="Retângulo Arredondado 11">
          <a:extLst>
            <a:ext uri="{FF2B5EF4-FFF2-40B4-BE49-F238E27FC236}">
              <a16:creationId xmlns="" xmlns:a16="http://schemas.microsoft.com/office/drawing/2014/main" id="{BC3B2769-1B4C-4D36-ABD7-DD7F587183EB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6003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0282DD5D-82E9-4961-A35F-B40E97E5BA1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CD98643-874A-4CE8-A9D2-899DC1C0F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285750</xdr:colOff>
      <xdr:row>3</xdr:row>
      <xdr:rowOff>247650</xdr:rowOff>
    </xdr:from>
    <xdr:to>
      <xdr:col>14</xdr:col>
      <xdr:colOff>742950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823BBB73-D010-47C3-9824-2EDF270E44B6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F376F32A-459F-41CD-A84A-ECBACF116E29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EEE45DC2-3777-4FEC-86B2-C8975A45C28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680DDDEA-4A3E-4585-A208-9BE79D543481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E7C59F10-7E39-413B-9249-73F44EC0494B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9404C4B4-0281-49B7-AB65-39ADAA830EE4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F461AC2B-6B6D-421E-A1A0-873A40ED100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="" xmlns:a16="http://schemas.microsoft.com/office/drawing/2014/main" id="{0C726B49-14EA-4BCB-8E79-D5579DDC0679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="" xmlns:a16="http://schemas.microsoft.com/office/drawing/2014/main" id="{E5AA95F3-5BB8-4A40-8636-492DD78E19F8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79" name="Retângulo 78">
            <a:extLst>
              <a:ext uri="{FF2B5EF4-FFF2-40B4-BE49-F238E27FC236}">
                <a16:creationId xmlns="" xmlns:a16="http://schemas.microsoft.com/office/drawing/2014/main" id="{F16E14CD-F5A9-4FB5-88FA-EB55A00A0D1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EF9B7F97-67A8-4C7A-8D94-B03E38115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1" name="CaixaDeTexto 80">
            <a:extLst>
              <a:ext uri="{FF2B5EF4-FFF2-40B4-BE49-F238E27FC236}">
                <a16:creationId xmlns="" xmlns:a16="http://schemas.microsoft.com/office/drawing/2014/main" id="{55876001-F9E4-4197-B73B-B3E16625343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76" name="Retângulo 75">
          <a:extLst>
            <a:ext uri="{FF2B5EF4-FFF2-40B4-BE49-F238E27FC236}">
              <a16:creationId xmlns="" xmlns:a16="http://schemas.microsoft.com/office/drawing/2014/main" id="{801A6510-2782-406E-8DB3-1AF3A6163984}"/>
            </a:ext>
          </a:extLst>
        </xdr:cNvPr>
        <xdr:cNvSpPr/>
      </xdr:nvSpPr>
      <xdr:spPr>
        <a:xfrm>
          <a:off x="5965474" y="0"/>
          <a:ext cx="1454926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77" name="CaixaDeTexto 76">
          <a:extLst>
            <a:ext uri="{FF2B5EF4-FFF2-40B4-BE49-F238E27FC236}">
              <a16:creationId xmlns="" xmlns:a16="http://schemas.microsoft.com/office/drawing/2014/main" id="{2C50BD1C-63FB-462F-BFDA-A335E8643D41}"/>
            </a:ext>
          </a:extLst>
        </xdr:cNvPr>
        <xdr:cNvSpPr txBox="1"/>
      </xdr:nvSpPr>
      <xdr:spPr>
        <a:xfrm rot="10800000" flipH="1" flipV="1">
          <a:off x="5898823" y="765583"/>
          <a:ext cx="159107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7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2A9CFF9-02E6-4DFA-9156-7925E00B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1912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="" xmlns:a16="http://schemas.microsoft.com/office/drawing/2014/main" id="{51853AF9-687F-428B-9EB1-9A33A2CE3902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73" name="Retângulo 72">
            <a:extLst>
              <a:ext uri="{FF2B5EF4-FFF2-40B4-BE49-F238E27FC236}">
                <a16:creationId xmlns="" xmlns:a16="http://schemas.microsoft.com/office/drawing/2014/main" id="{46211448-7B67-4E4A-BAA3-A23643B8D8C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="" xmlns:a16="http://schemas.microsoft.com/office/drawing/2014/main" id="{BDDB787E-5DE0-4FE7-A69A-1B92545C079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75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87A8AFB-38BF-408F-B45E-E7F44CAE3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="" xmlns:a16="http://schemas.microsoft.com/office/drawing/2014/main" id="{8F284B43-7068-4422-B3B1-79A701464B4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70" name="Retângulo 69">
            <a:extLst>
              <a:ext uri="{FF2B5EF4-FFF2-40B4-BE49-F238E27FC236}">
                <a16:creationId xmlns="" xmlns:a16="http://schemas.microsoft.com/office/drawing/2014/main" id="{F15D17F1-4B62-4FE3-A062-137EC4794231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="" xmlns:a16="http://schemas.microsoft.com/office/drawing/2014/main" id="{6324DE97-EA67-429D-9806-5A9ED860E67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5DD70DE-5176-437D-81C4-DD1F45ED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="" xmlns:a16="http://schemas.microsoft.com/office/drawing/2014/main" id="{A1CF5E5E-978B-4679-A7E7-0A4AFCE4EF18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67" name="Retângulo 66">
            <a:extLst>
              <a:ext uri="{FF2B5EF4-FFF2-40B4-BE49-F238E27FC236}">
                <a16:creationId xmlns="" xmlns:a16="http://schemas.microsoft.com/office/drawing/2014/main" id="{94A29B2A-3700-42D9-980F-E16536C7DE4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="" xmlns:a16="http://schemas.microsoft.com/office/drawing/2014/main" id="{F0A39BA5-D06D-4F68-93ED-924DD4A47D2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270AA5B-B40D-461E-BF12-0B913A69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="" xmlns:a16="http://schemas.microsoft.com/office/drawing/2014/main" id="{227C7664-9E0E-45B9-95FE-20E14F23F83A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64" name="Retângulo 63">
            <a:extLst>
              <a:ext uri="{FF2B5EF4-FFF2-40B4-BE49-F238E27FC236}">
                <a16:creationId xmlns="" xmlns:a16="http://schemas.microsoft.com/office/drawing/2014/main" id="{08DC4C00-082C-402C-A921-7D09EF46B57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="" xmlns:a16="http://schemas.microsoft.com/office/drawing/2014/main" id="{8E915781-67D4-4105-92A2-9D24B803DEF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8AF84D4-49F9-4E06-867D-3669094C63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BA65AE59-7236-406B-8717-13E4D5D03079}"/>
            </a:ext>
          </a:extLst>
        </xdr:cNvPr>
        <xdr:cNvSpPr/>
      </xdr:nvSpPr>
      <xdr:spPr>
        <a:xfrm>
          <a:off x="24125506" y="0"/>
          <a:ext cx="145363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62" name="CaixaDeTexto 61">
          <a:extLst>
            <a:ext uri="{FF2B5EF4-FFF2-40B4-BE49-F238E27FC236}">
              <a16:creationId xmlns="" xmlns:a16="http://schemas.microsoft.com/office/drawing/2014/main" id="{A336994D-3C18-4001-A9C4-11CE158EAC16}"/>
            </a:ext>
          </a:extLst>
        </xdr:cNvPr>
        <xdr:cNvSpPr txBox="1"/>
      </xdr:nvSpPr>
      <xdr:spPr>
        <a:xfrm rot="10800000" flipH="1" flipV="1">
          <a:off x="24076273" y="76558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6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9CC376AA-B21C-4E85-9952-CB45317B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63566" y="136274"/>
          <a:ext cx="577508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="" xmlns:a16="http://schemas.microsoft.com/office/drawing/2014/main" id="{9C6C65C4-009C-4CBD-8426-D9DCC9AE1A2D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58" name="Retângulo 57">
            <a:extLst>
              <a:ext uri="{FF2B5EF4-FFF2-40B4-BE49-F238E27FC236}">
                <a16:creationId xmlns="" xmlns:a16="http://schemas.microsoft.com/office/drawing/2014/main" id="{B12F2C61-DB2F-4A76-B3F2-3F9DBC2A302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="" xmlns:a16="http://schemas.microsoft.com/office/drawing/2014/main" id="{3867FF89-AACA-4B2F-98AD-2CE5F384393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AE1AEBC3-D5FD-425F-ACC5-28130AF1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="" xmlns:a16="http://schemas.microsoft.com/office/drawing/2014/main" id="{460E4044-C870-4AE9-BBEB-9FAD3E5EFAE5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55" name="Retângulo 54">
            <a:extLst>
              <a:ext uri="{FF2B5EF4-FFF2-40B4-BE49-F238E27FC236}">
                <a16:creationId xmlns="" xmlns:a16="http://schemas.microsoft.com/office/drawing/2014/main" id="{699203BF-B47C-45D9-8F92-43C61C2B521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="" xmlns:a16="http://schemas.microsoft.com/office/drawing/2014/main" id="{CD3FD241-149D-438B-B2D0-2147D6687CB7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57" name="Imagem 56" descr="Ícone do banco de dados (símbolo png) preto">
            <a:extLst>
              <a:ext uri="{FF2B5EF4-FFF2-40B4-BE49-F238E27FC236}">
                <a16:creationId xmlns="" xmlns:a16="http://schemas.microsoft.com/office/drawing/2014/main" id="{A2CE86C6-A480-47B9-B59A-FF35F6DBE3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" textlink="">
      <xdr:nvSpPr>
        <xdr:cNvPr id="124" name="Retângulo Arredondado 11">
          <a:extLst>
            <a:ext uri="{FF2B5EF4-FFF2-40B4-BE49-F238E27FC236}">
              <a16:creationId xmlns="" xmlns:a16="http://schemas.microsoft.com/office/drawing/2014/main" id="{2E958A02-4472-4CC3-9D05-DF8C9909FC5D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241486" y="11458819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B2DF3AFB-97BD-43D9-A2B7-5B49F1D5233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87E7712-12D7-4891-A266-790CBF970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FB408B05-2D83-4B6F-8E28-66A3AE997BE3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1B944729-6AFF-4683-A080-F26D01AE60C4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8AD4B180-BA0D-4329-A505-63DC5723E7EF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F337539F-C185-45DE-9534-86DF7D412BEE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02C36A65-94B4-4C24-856A-11535988C970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5273703C-38C7-454F-A01C-1B8C5ACD4357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790DE656-BC97-45CA-A63F-C11850EC3981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="" xmlns:a16="http://schemas.microsoft.com/office/drawing/2014/main" id="{8E684865-99EC-41B9-8306-C18ADBF28D2F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03987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42E04E82-6F6C-43D8-AD7B-4918B0805352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F4FD094C-F58E-4CAA-8BEC-2F6BA67C4E7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12577D3D-20A1-4F05-9F5E-F18E784F5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588E4E01-8F88-4AAF-884A-9EEE0EFCF9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4383D0B7-B1BD-4FD4-B983-10760B511CE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AD0E0C24-BB00-4A2E-B684-BF304B717A63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A1936B6-D486-4BDF-9C7D-B474E06D9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5085E3F1-3BB9-483F-A410-2CCB37C2A723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79CA9FDC-D213-4C1C-B3C4-94CA30DC41B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F25A44DE-9B7B-442A-B834-98C66C075B4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C6DDE57-FB95-4C6B-8EA2-5C610FD8D9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0267FC05-D36A-4CA2-9AF5-C2CDF3EFE1CA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01169AB4-B5DE-4495-A9E8-CE91C51DDCF1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FAFDFAC1-848B-482C-8BC9-31C79AC253D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0C7A9E8E-6237-4832-B4A1-76DD2FC2D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91D90898-4AA5-41FC-9115-B211D9505DF7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4E30CDC0-FB73-46BE-81F3-F46F9EAC127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E8307F8A-2A3C-4CA9-9D4D-9FAE72E4C70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1F0855DA-F33B-4B89-B929-0B1891E39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D1D3B62E-9177-44A4-AE5A-947B22C08CFC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1F3C3D84-EE64-41B8-B9FC-C633B08BC51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F23792F8-FAE3-4D42-AD10-9B35F6ADC3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893C12E-4B0B-48E3-AE72-CF0C40967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2D314323-0C2D-40A8-A96D-343DF5667F17}"/>
            </a:ext>
          </a:extLst>
        </xdr:cNvPr>
        <xdr:cNvSpPr/>
      </xdr:nvSpPr>
      <xdr:spPr>
        <a:xfrm>
          <a:off x="24148366" y="0"/>
          <a:ext cx="14536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="" xmlns:a16="http://schemas.microsoft.com/office/drawing/2014/main" id="{3440046E-AF77-4415-81E4-FF00F10C8295}"/>
            </a:ext>
          </a:extLst>
        </xdr:cNvPr>
        <xdr:cNvSpPr txBox="1"/>
      </xdr:nvSpPr>
      <xdr:spPr>
        <a:xfrm rot="10800000" flipH="1" flipV="1">
          <a:off x="2409913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693AEA80-2BF7-447F-ABDC-15E4F4622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7750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A5D80991-D0AF-430B-ABB4-3473396DCCA6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="" xmlns:a16="http://schemas.microsoft.com/office/drawing/2014/main" id="{5893BA5F-82B5-445F-B83B-BAF2E2642AE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D81E3960-5FC2-4164-8522-9ADC5029E96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6E7E6665-5BA6-4780-9270-47CD0457D9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="" xmlns:a16="http://schemas.microsoft.com/office/drawing/2014/main" id="{CECD8F23-1AA5-408C-BC54-506668259AC8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FA941E44-6449-4E00-9CC3-6DCA2F52D8E6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CE53E7CE-EC01-4080-8958-3C3DB26D231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="" xmlns:a16="http://schemas.microsoft.com/office/drawing/2014/main" id="{E1A1942D-AAC9-4B9E-8E5D-3FED5FAF03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F480A754-B9BC-4E06-A49F-9674743F883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A2C1EA3-F447-456D-80C2-58A646DC3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4B34D548-A801-4155-B117-1C079CFD0038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4E0BA431-8B69-4890-87DD-FF2C0C01FAE3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73F0E683-9CD9-4DB8-B9CA-367C7E437CC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33CC3ACF-FB17-4124-86CF-8497D0507EFC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D5EB1898-BDA9-475C-9D0D-0C3B3AF2DEEE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F9650251-0980-4CC4-97CE-A8DC62109D42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E8B1762D-08BE-4900-81DC-CD2FA7E667C0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="" xmlns:a16="http://schemas.microsoft.com/office/drawing/2014/main" id="{152723AA-2E06-41A4-A37F-DBB9C04DC6D7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02608F91-B444-47DC-B670-59C71DB2234C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78BA0F80-C58B-4003-A6D1-29523C92AF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8E75A12C-F300-4806-A905-0955C5E2A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9483105E-1150-4D1D-ABC5-98B3886F235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D6E1542B-599C-4D75-9DB7-1FEE0B76ED9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3DFF5DDC-6DA0-4492-8065-CCC4A2130F6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197A6F9-CEE6-4F0B-B9FC-C56E8A1D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0D472903-F075-4D6D-A97B-69346B5530C6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5FF8B128-DA59-40F7-9067-8FE8BF2E8C5B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AAE1C0F0-CAA5-46C5-A03C-60CD24F1F01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85B391E-CDF3-4864-AC43-DCDDB1829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EEEFAB73-D009-41E4-A10D-36D06476296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CFBB7592-89C8-4BDB-B107-A5BE9330EAE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64CF4327-F72C-4351-B22E-7229F5EE12AA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0A601A4-5E6F-487E-9FC1-5A2842FDB7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B99F5EB0-6590-4399-89D6-693437C2FFF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8DECBFD7-AE43-4E73-ADD4-3A60F60E0632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FF8DB9D2-D1DB-4FD0-AE63-143A6A8B3D9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9BAE44E-2880-4310-89C6-076AE13AA4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EE344064-39B4-45EA-8447-1AB9421C706E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5ED75BF6-DD15-4967-B75D-B7A711A83B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852EC0DA-4A66-4EB0-8742-E108E63F8D2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648B9DCB-30BD-4FBB-A043-50576D6A0A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827612AD-F179-4013-8B83-27A281B0C7D3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="" xmlns:a16="http://schemas.microsoft.com/office/drawing/2014/main" id="{F3BA504F-76BD-4E66-94F7-60AF53641D43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BD7CC2B-35DB-4C68-BD26-80A785610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6109A837-E78C-41D1-A7F4-09E7A7885B88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="" xmlns:a16="http://schemas.microsoft.com/office/drawing/2014/main" id="{BEEB11EB-F80F-42ED-BEC5-DD60212A851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24D5F2F4-B8A5-42CB-821C-BA1691C301C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A844F2E-7442-44A4-BD34-5C3A3BC04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="" xmlns:a16="http://schemas.microsoft.com/office/drawing/2014/main" id="{84013787-492E-4630-835E-BAB6782A57B5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A946A035-771B-43B3-BB3E-5BB0AB0DFD5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E8FA14A6-33BF-4FE4-AEB3-0A402041617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="" xmlns:a16="http://schemas.microsoft.com/office/drawing/2014/main" id="{D8E4B37B-2967-44E0-BE69-C6F8DAA716B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24</xdr:row>
      <xdr:rowOff>76200</xdr:rowOff>
    </xdr:from>
    <xdr:to>
      <xdr:col>11</xdr:col>
      <xdr:colOff>812895</xdr:colOff>
      <xdr:row>27</xdr:row>
      <xdr:rowOff>87248</xdr:rowOff>
    </xdr:to>
    <xdr:sp macro="" textlink="">
      <xdr:nvSpPr>
        <xdr:cNvPr id="46" name="Retângulo Arredondado 11">
          <a:extLst>
            <a:ext uri="{FF2B5EF4-FFF2-40B4-BE49-F238E27FC236}">
              <a16:creationId xmlns="" xmlns:a16="http://schemas.microsoft.com/office/drawing/2014/main" id="{F228134C-6115-4D85-A401-B284EEBE897D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097000" y="8553450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1FC28393-FF5F-4BC8-BBC8-B8BD22E7E9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8EA5602-4BEB-4125-B3BA-B6D150C68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1F3FAF9F-3FCD-4206-80D9-B3E165123722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2B87F2A3-067D-4A77-82DA-E256E23D7A31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37C587E5-1CEF-42B4-A753-975A6A3DDB4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33BC8B7F-9541-46B5-B1A3-40D0E94F10CC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087B88E9-AE57-43D5-9186-1885BFE8A873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28DFD628-B1A2-41EC-B366-DC7A2B2B7803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89B93BA8-A65F-4EE4-91C8-73E741597BCF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="" xmlns:a16="http://schemas.microsoft.com/office/drawing/2014/main" id="{E34A0FC7-9B54-42C9-A1DD-63EFE3AD6521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3184A01D-7C30-4BC1-BD0C-4F3D2223B809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BE5294A8-DA2E-4553-A8AE-D2EFD9C67DD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02CCA57E-96E9-41A8-A369-866BA5C01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AD7AEB56-0817-43B8-AA1A-AB196DA0F3C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AC15C311-3633-4981-B226-BB24764C97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E111505E-BFC8-49CF-AE1D-6C7E0337D90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640E2409-D35E-40A3-B47C-1A3DB0EAB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AEE8C0F8-176B-4CCA-BC2A-3C29CF977417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43B328B7-04B1-4066-BC6B-8242E83D37AF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41DAB9E1-EF3F-48CA-A6D8-696C9CBDF1D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6C20FE16-5E77-46DB-9295-F3EA25410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63ED67D0-FC93-4A0E-824C-01E8325EF14C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F96929D8-29C7-4165-A333-1588AB1C1C7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87360E4B-7F5F-4A7D-B748-2DF957B308C3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FAE4A13-260E-4258-8817-4DE912B105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3C394D08-8868-45ED-A481-B64408E1AC5B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98C8F823-6975-424D-B251-1B4410D02A2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F89E53BF-20C9-4FC6-A923-727F7488177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64C5D76-AB0D-4D54-939F-6E8C5E7DE5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45ABD013-7F7A-4B9D-9460-E7847774314E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D532D197-674E-4D70-AD4E-2BA26940227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840E806B-89FB-49B3-9CD5-64C5272382A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758CC082-5A3C-45CD-8336-9EDD3CEF5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C07B641D-01C3-46F2-8210-397488BBA02C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="" xmlns:a16="http://schemas.microsoft.com/office/drawing/2014/main" id="{C6C85187-0F8A-441A-B7A8-1C65A6A300B7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CEE971B-398A-4BE3-8566-C36AE1E0D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2A123B43-C730-4DC8-BA3E-60C180DAE182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="" xmlns:a16="http://schemas.microsoft.com/office/drawing/2014/main" id="{B64E966F-2EEC-454E-8E45-DA239125AB8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C59E78DF-40FC-4E3B-879A-1BCB067A88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1F028F4B-87F3-436C-A980-8DEEDC66F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="" xmlns:a16="http://schemas.microsoft.com/office/drawing/2014/main" id="{0B899C3D-22D4-4503-96E9-86F33FEED909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A39BDC40-7EBB-45B9-86F7-EE4A2B3CBAE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0D6ACA96-2AD6-4DBF-9B3C-DBC2E4065C7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="" xmlns:a16="http://schemas.microsoft.com/office/drawing/2014/main" id="{C0E15F1D-AB68-4DAB-AD47-9C2A85C4B7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" textlink="">
      <xdr:nvSpPr>
        <xdr:cNvPr id="46" name="Retângulo Arredondado 11">
          <a:extLst>
            <a:ext uri="{FF2B5EF4-FFF2-40B4-BE49-F238E27FC236}">
              <a16:creationId xmlns="" xmlns:a16="http://schemas.microsoft.com/office/drawing/2014/main" id="{C86A39E8-165F-4C30-A845-1F7CBB06719D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097000" y="8172450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6</xdr:col>
      <xdr:colOff>141305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699F96F1-8E13-4B9A-A5DE-EB22074CFB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85695</xdr:colOff>
      <xdr:row>0</xdr:row>
      <xdr:rowOff>91651</xdr:rowOff>
    </xdr:from>
    <xdr:to>
      <xdr:col>5</xdr:col>
      <xdr:colOff>502931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CE6BDE2-C6A3-4061-9504-7403CCCEE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2514600</xdr:colOff>
      <xdr:row>3</xdr:row>
      <xdr:rowOff>247650</xdr:rowOff>
    </xdr:from>
    <xdr:to>
      <xdr:col>15</xdr:col>
      <xdr:colOff>2971800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E608B56D-B5E2-4799-8976-D740354BD09F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53058D1D-A51D-4134-A649-4A97D14CD28D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791652F8-0AA6-432A-8811-9335D520298C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9</xdr:col>
      <xdr:colOff>1668900</xdr:colOff>
      <xdr:row>3</xdr:row>
      <xdr:rowOff>182100</xdr:rowOff>
    </xdr:from>
    <xdr:to>
      <xdr:col>11</xdr:col>
      <xdr:colOff>1143000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E16B0221-E016-4BB9-A1F3-9075EE235202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6</xdr:col>
      <xdr:colOff>419100</xdr:colOff>
      <xdr:row>3</xdr:row>
      <xdr:rowOff>182100</xdr:rowOff>
    </xdr:from>
    <xdr:to>
      <xdr:col>8</xdr:col>
      <xdr:colOff>1417200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01B6E2C0-8391-44EE-8389-64EB39796063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12</xdr:col>
      <xdr:colOff>38100</xdr:colOff>
      <xdr:row>3</xdr:row>
      <xdr:rowOff>152400</xdr:rowOff>
    </xdr:from>
    <xdr:to>
      <xdr:col>13</xdr:col>
      <xdr:colOff>2122050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327D5BC2-ABBC-4333-A1EE-4E0A9EA89998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14</xdr:col>
      <xdr:colOff>274662</xdr:colOff>
      <xdr:row>3</xdr:row>
      <xdr:rowOff>133350</xdr:rowOff>
    </xdr:from>
    <xdr:to>
      <xdr:col>15</xdr:col>
      <xdr:colOff>1653762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3560768E-FB9B-4E89-9A58-65E2C449F616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="" xmlns:a16="http://schemas.microsoft.com/office/drawing/2014/main" id="{67EECECF-42A8-43E6-8014-A4387FB98CC6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6A60B5B2-22D1-45D2-B734-17F9EB878EE5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947E7A02-DDAE-43FA-A359-0608A11FE07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B4C3CA76-D5F2-4966-A674-38CA37DF3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FE2CE1DD-CDBA-4BDC-8725-9761D2D62C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555274</xdr:colOff>
      <xdr:row>0</xdr:row>
      <xdr:rowOff>0</xdr:rowOff>
    </xdr:from>
    <xdr:to>
      <xdr:col>7</xdr:col>
      <xdr:colOff>1019600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B5C99C81-25D6-48B4-804F-115A8B13A65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488623</xdr:colOff>
      <xdr:row>2</xdr:row>
      <xdr:rowOff>384583</xdr:rowOff>
    </xdr:from>
    <xdr:to>
      <xdr:col>7</xdr:col>
      <xdr:colOff>1089100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A1DDFF12-6921-4FAA-BB7A-132067B8CE1E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985225</xdr:colOff>
      <xdr:row>0</xdr:row>
      <xdr:rowOff>126203</xdr:rowOff>
    </xdr:from>
    <xdr:to>
      <xdr:col>7</xdr:col>
      <xdr:colOff>589649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494F037E-D4F2-411D-B8B0-E6B7F8110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9</xdr:col>
      <xdr:colOff>155843</xdr:colOff>
      <xdr:row>0</xdr:row>
      <xdr:rowOff>0</xdr:rowOff>
    </xdr:from>
    <xdr:to>
      <xdr:col>9</xdr:col>
      <xdr:colOff>1754010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458C0F36-6C75-4107-8E40-07836A77EF8E}"/>
            </a:ext>
          </a:extLst>
        </xdr:cNvPr>
        <xdr:cNvGrpSpPr/>
      </xdr:nvGrpSpPr>
      <xdr:grpSpPr>
        <a:xfrm>
          <a:off x="9252218" y="0"/>
          <a:ext cx="1598167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5996FF0C-6D93-4908-AAF7-5EF32CCCC281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9C8B1FC5-109E-4B18-9201-CF7D94C5A9F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804AA55B-7737-433B-9C16-393153FB3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1887554</xdr:colOff>
      <xdr:row>0</xdr:row>
      <xdr:rowOff>0</xdr:rowOff>
    </xdr:from>
    <xdr:to>
      <xdr:col>11</xdr:col>
      <xdr:colOff>1459348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E50041A5-AB22-4E0D-986B-979FF66BE63C}"/>
            </a:ext>
          </a:extLst>
        </xdr:cNvPr>
        <xdr:cNvGrpSpPr/>
      </xdr:nvGrpSpPr>
      <xdr:grpSpPr>
        <a:xfrm>
          <a:off x="12841304" y="0"/>
          <a:ext cx="1548232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C258C866-0961-4AF7-8082-74F8D549C48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51C65D6B-A7B4-4CEC-918F-190B94B5B7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A1F48E35-5793-4826-8462-10735884C5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716591</xdr:colOff>
      <xdr:row>0</xdr:row>
      <xdr:rowOff>0</xdr:rowOff>
    </xdr:from>
    <xdr:to>
      <xdr:col>13</xdr:col>
      <xdr:colOff>1014027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D14F9299-093D-40DD-8C7B-A33D52842636}"/>
            </a:ext>
          </a:extLst>
        </xdr:cNvPr>
        <xdr:cNvGrpSpPr/>
      </xdr:nvGrpSpPr>
      <xdr:grpSpPr>
        <a:xfrm>
          <a:off x="16337591" y="0"/>
          <a:ext cx="1583311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DB2E42C7-DFDF-462D-9EA1-FC17870E9FD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7D1D431C-0DF8-483C-911A-61CB46F5663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1E7BDB0F-9DEB-452C-939A-26493C9D9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3052570</xdr:colOff>
      <xdr:row>0</xdr:row>
      <xdr:rowOff>0</xdr:rowOff>
    </xdr:from>
    <xdr:to>
      <xdr:col>14</xdr:col>
      <xdr:colOff>1368480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DA9AA291-118E-41F4-8FC4-9DC3DE86D331}"/>
            </a:ext>
          </a:extLst>
        </xdr:cNvPr>
        <xdr:cNvGrpSpPr/>
      </xdr:nvGrpSpPr>
      <xdr:grpSpPr>
        <a:xfrm>
          <a:off x="19959445" y="0"/>
          <a:ext cx="150678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0932D8E3-0AE5-4AA8-871D-D763BB2D9D7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DB1A4246-A5E8-4825-BA18-4A788D43443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3485DD3C-16A2-4A68-8B7F-B99EC44178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1436956</xdr:colOff>
      <xdr:row>0</xdr:row>
      <xdr:rowOff>0</xdr:rowOff>
    </xdr:from>
    <xdr:to>
      <xdr:col>15</xdr:col>
      <xdr:colOff>2890587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E17F39C5-3B0A-4C1B-9403-D58C1BF490E9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1387723</xdr:colOff>
      <xdr:row>2</xdr:row>
      <xdr:rowOff>384583</xdr:rowOff>
    </xdr:from>
    <xdr:to>
      <xdr:col>15</xdr:col>
      <xdr:colOff>2977384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="" xmlns:a16="http://schemas.microsoft.com/office/drawing/2014/main" id="{79ED0CDD-6BE5-4265-A569-C516ACFCB4E9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15</xdr:col>
      <xdr:colOff>1875016</xdr:colOff>
      <xdr:row>0</xdr:row>
      <xdr:rowOff>136274</xdr:rowOff>
    </xdr:from>
    <xdr:to>
      <xdr:col>15</xdr:col>
      <xdr:colOff>2452524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5FFD659-6D24-4049-ABBB-FE115CE5F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5015928</xdr:colOff>
      <xdr:row>0</xdr:row>
      <xdr:rowOff>0</xdr:rowOff>
    </xdr:from>
    <xdr:to>
      <xdr:col>17</xdr:col>
      <xdr:colOff>518097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9BE21F33-E199-449B-921F-8B2C50408CA6}"/>
            </a:ext>
          </a:extLst>
        </xdr:cNvPr>
        <xdr:cNvGrpSpPr/>
      </xdr:nvGrpSpPr>
      <xdr:grpSpPr>
        <a:xfrm>
          <a:off x="26942478" y="0"/>
          <a:ext cx="157911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="" xmlns:a16="http://schemas.microsoft.com/office/drawing/2014/main" id="{77D743C5-0E85-4DF9-B87A-AF59CE4B5A3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9E74D678-21C5-4CF0-B434-D52C092FA5B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1DD950E-F23B-4B0E-9689-A7B612FC9A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118239</xdr:colOff>
      <xdr:row>0</xdr:row>
      <xdr:rowOff>0</xdr:rowOff>
    </xdr:from>
    <xdr:to>
      <xdr:col>22</xdr:col>
      <xdr:colOff>116208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="" xmlns:a16="http://schemas.microsoft.com/office/drawing/2014/main" id="{9A441D70-451D-4F08-ACF0-93F8E40895B2}"/>
            </a:ext>
          </a:extLst>
        </xdr:cNvPr>
        <xdr:cNvGrpSpPr/>
      </xdr:nvGrpSpPr>
      <xdr:grpSpPr>
        <a:xfrm>
          <a:off x="30502989" y="0"/>
          <a:ext cx="15695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7E1E582E-E5A4-4810-8616-1A7785DF422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C52BC1A2-D829-4F2B-80CC-A46F39E227F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="" xmlns:a16="http://schemas.microsoft.com/office/drawing/2014/main" id="{B36EAC5F-4151-4B29-838A-BFD94B0600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61D4E0F1-AD3F-41D9-8878-4EFCAB0533B0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7267C19-8554-4B2D-A08E-C4C2E07CF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285750</xdr:colOff>
      <xdr:row>3</xdr:row>
      <xdr:rowOff>247650</xdr:rowOff>
    </xdr:from>
    <xdr:to>
      <xdr:col>14</xdr:col>
      <xdr:colOff>742950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A068B71D-B182-42EE-BFCF-A7F9A5D88B1D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D6ED390C-5293-4167-901A-46359FDDDFAC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0BC64271-3F9C-40ED-8B5C-D1D05D1217B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BA83C8C0-1F56-448E-8AC0-C52E1AE58111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E3C4422F-D748-4B1C-B1AC-13E8D7E15739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="" xmlns:a16="http://schemas.microsoft.com/office/drawing/2014/main" id="{42F92539-75BC-4167-9B2B-AAF590E6F8EE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05E1537A-70B9-41D3-8160-F397F13BB818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="" xmlns:a16="http://schemas.microsoft.com/office/drawing/2014/main" id="{19B027E5-FC4F-491D-811B-1508E909C19D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0F7AD3BF-7D8A-47F0-B3EB-9CC2DA8FF22B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866F2A92-596E-484E-87DA-AE242BA033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85BED11C-EDDD-4C20-8DF2-472B51392C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DA7C5918-4F9D-4355-ADBB-1361680432E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59953386-5091-47B6-AC16-A1626AE33A7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00205E88-F06A-4341-9472-1104DFEEC8B2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91C08AEE-13EE-4DB6-A9F8-743E91D38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5C40F234-8535-477F-998D-5ABB8E7DE054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F71C8FA1-65FA-425A-B444-ED4481A3C1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300B2999-4A1A-45E9-A339-D2CF0540E8F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9CB6279-220D-423E-A558-CA032C246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0A5B0208-7C98-40A8-A146-308102971BBC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FFD1D5FC-58E3-4DC8-9BCD-AD095EE9551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B7ACE117-DD6E-40A6-970D-26430CFA69B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521D2B5B-7E8F-4221-A767-8C7345A92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93122A86-4A82-4D19-9928-60DBF96E1A4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AB52F019-CE11-4F74-87EF-98B70BA069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EEFE00AA-65EA-4F54-88EA-11F3E4184EE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23ABBC8-BE63-479F-866A-095B16DF85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F086F854-C8BE-4819-AF3C-A1E047CD7217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4E4671A4-A253-4862-BE1E-FBCC4284948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89221709-AB88-4838-ACD4-5C2ADDF568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9668067-B728-49F1-A52F-7A5C86C53D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EE538503-18DD-4BE0-9608-90D28336C13F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="" xmlns:a16="http://schemas.microsoft.com/office/drawing/2014/main" id="{FA467CB1-CE9C-40D4-9C2B-B5EB10935CBA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60E1E547-4996-4C74-9593-AFD2A5D4C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C14E929D-6007-45D7-A342-7EAA0878555E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="" xmlns:a16="http://schemas.microsoft.com/office/drawing/2014/main" id="{44CC8786-8846-473E-A3BC-9CF891E05B5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8EAAB3F4-096D-44F2-99E8-3FA7A30E819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86969FB4-41F6-45D5-955D-46A120757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="" xmlns:a16="http://schemas.microsoft.com/office/drawing/2014/main" id="{C1F9FBF8-4D6A-4912-8204-B37D22BC1DBC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8A41F4A6-5CD8-4E37-BFCA-45DFFB9950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CD5A8289-B1B7-449D-9B20-EFA40EEDDCB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="" xmlns:a16="http://schemas.microsoft.com/office/drawing/2014/main" id="{DD7A3089-C33B-4906-86EA-7732997DAE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" textlink="">
      <xdr:nvSpPr>
        <xdr:cNvPr id="46" name="Retângulo Arredondado 11">
          <a:extLst>
            <a:ext uri="{FF2B5EF4-FFF2-40B4-BE49-F238E27FC236}">
              <a16:creationId xmlns="" xmlns:a16="http://schemas.microsoft.com/office/drawing/2014/main" id="{B13F5C50-628D-4500-99AF-5745F365857C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4241486" y="10963519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342900</xdr:colOff>
      <xdr:row>3</xdr:row>
      <xdr:rowOff>247650</xdr:rowOff>
    </xdr:from>
    <xdr:to>
      <xdr:col>21</xdr:col>
      <xdr:colOff>190500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CAE6ECE5-F1D4-40C7-A0CE-9418E06B73EB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1D46D822-3678-44C6-96D2-0378B2BECE21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0517E42C-7970-4155-84CF-C21BE9EF8478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89D2BF39-A6AA-479B-A77F-4797A76E9B39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="" xmlns:a16="http://schemas.microsoft.com/office/drawing/2014/main" id="{84045E74-C9DA-4AC4-B8A8-A8B52EE1FE0F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="" xmlns:a16="http://schemas.microsoft.com/office/drawing/2014/main" id="{8CDBAC92-CD02-476D-AF4A-707D3E0EFA10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=""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=""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=""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=""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=""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=""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2836542" y="0"/>
          <a:ext cx="153394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=""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=""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699486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=""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=""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=""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0531564" y="0"/>
          <a:ext cx="1555307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=""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=""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=""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1390650</xdr:colOff>
      <xdr:row>3</xdr:row>
      <xdr:rowOff>247650</xdr:rowOff>
    </xdr:from>
    <xdr:to>
      <xdr:col>15</xdr:col>
      <xdr:colOff>400050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A829CC50-7B69-40F0-95CF-8C2936AADE0A}"/>
            </a:ext>
          </a:extLst>
        </xdr:cNvPr>
        <xdr:cNvSpPr/>
      </xdr:nvSpPr>
      <xdr:spPr>
        <a:xfrm>
          <a:off x="2521458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372B8EC-D030-462E-AEA2-C0CE9E590A86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0F608D35-DC21-418D-A104-4422523EE29E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9CFFE4D5-75D3-418E-B32D-42C09A967026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="" xmlns:a16="http://schemas.microsoft.com/office/drawing/2014/main" id="{20208FD1-E0D4-4D59-93C2-0FDB8DF4DB95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34CCCB25-E24B-48CB-8393-8F2A43D22141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=""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=""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=""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=""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428079" y="0"/>
          <a:ext cx="161188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=""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=""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=""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=""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6971053" y="0"/>
          <a:ext cx="155054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=""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0531564" y="0"/>
          <a:ext cx="1569594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=""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=""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=""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3</xdr:row>
      <xdr:rowOff>247650</xdr:rowOff>
    </xdr:from>
    <xdr:to>
      <xdr:col>14</xdr:col>
      <xdr:colOff>495300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57FE677A-8B6A-4A98-821D-7D387EBE99F9}"/>
            </a:ext>
          </a:extLst>
        </xdr:cNvPr>
        <xdr:cNvSpPr/>
      </xdr:nvSpPr>
      <xdr:spPr>
        <a:xfrm>
          <a:off x="25218390" y="1390650"/>
          <a:ext cx="44958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23C48F96-81E5-426C-A172-329E6D6FDE0D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1B715594-02FE-4425-B946-77E26E6D6043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1166A1E7-5648-417E-9FBF-841BFA79F91C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="" xmlns:a16="http://schemas.microsoft.com/office/drawing/2014/main" id="{25B3B3E5-4D35-4219-9B3E-E7B2B842B01C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57F46F70-E375-41B5-BB7A-5203D29919D1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=""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=""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=""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2793679" y="0"/>
          <a:ext cx="155299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=""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385216" y="0"/>
          <a:ext cx="1530924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=""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=""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=""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=""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6947241" y="0"/>
          <a:ext cx="156959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=""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0526802" y="0"/>
          <a:ext cx="1598169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=""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=""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=""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1390650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BF003011-BF2C-4911-99FD-10D086267F4E}"/>
            </a:ext>
          </a:extLst>
        </xdr:cNvPr>
        <xdr:cNvSpPr/>
      </xdr:nvSpPr>
      <xdr:spPr>
        <a:xfrm>
          <a:off x="2520696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D3F7C3C8-490E-462C-A138-982214F78ABE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FB47A410-3D0A-4CE5-8DB7-33C5A97A04B5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3E86A52C-80DF-4D8E-8C7F-98826CC76C2E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="" xmlns:a16="http://schemas.microsoft.com/office/drawing/2014/main" id="{58F679CA-9AD9-453D-87A8-711512B53C47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14BECF93-7C09-4009-B3BA-85E85622C190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=""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=""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=""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=""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=""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=""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=""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=""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=""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=""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1794510</xdr:colOff>
      <xdr:row>3</xdr:row>
      <xdr:rowOff>247650</xdr:rowOff>
    </xdr:from>
    <xdr:to>
      <xdr:col>11</xdr:col>
      <xdr:colOff>2251710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34FA4CED-BED9-4B86-B510-9C2B55B3E03A}"/>
            </a:ext>
          </a:extLst>
        </xdr:cNvPr>
        <xdr:cNvSpPr/>
      </xdr:nvSpPr>
      <xdr:spPr>
        <a:xfrm>
          <a:off x="2519553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27E7ADAD-1763-4F65-A771-F79D394B2AAC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2EDD665C-CCA9-42C7-928D-1BBC2F4F7DA8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00C7E303-AD3F-4A83-816E-BE178C801850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="" xmlns:a16="http://schemas.microsoft.com/office/drawing/2014/main" id="{13F696E4-3464-496A-858E-E044DACD69F8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082AD5F8-F59F-4212-AF1A-8962A208BDEE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56658" y="0"/>
          <a:ext cx="1459980" cy="1125682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=""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317161" y="0"/>
          <a:ext cx="1605787" cy="1125682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=""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=""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2922007" y="0"/>
          <a:ext cx="1539832" cy="1125682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=""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443578" y="0"/>
          <a:ext cx="1571708" cy="1125682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=""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=""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=""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=""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148911" y="0"/>
          <a:ext cx="1505343" cy="1125682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2186688</xdr:colOff>
      <xdr:row>0</xdr:row>
      <xdr:rowOff>0</xdr:rowOff>
    </xdr:from>
    <xdr:to>
      <xdr:col>13</xdr:col>
      <xdr:colOff>3615541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2137193</xdr:colOff>
      <xdr:row>2</xdr:row>
      <xdr:rowOff>384584</xdr:rowOff>
    </xdr:from>
    <xdr:to>
      <xdr:col>13</xdr:col>
      <xdr:colOff>3702804</xdr:colOff>
      <xdr:row>3</xdr:row>
      <xdr:rowOff>891</xdr:rowOff>
    </xdr:to>
    <xdr:sp macro="" textlink="">
      <xdr:nvSpPr>
        <xdr:cNvPr id="40" name="CaixaDeTexto 39">
          <a:extLst>
            <a:ext uri="{FF2B5EF4-FFF2-40B4-BE49-F238E27FC236}">
              <a16:creationId xmlns=""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2598878</xdr:colOff>
      <xdr:row>0</xdr:row>
      <xdr:rowOff>105753</xdr:rowOff>
    </xdr:from>
    <xdr:to>
      <xdr:col>13</xdr:col>
      <xdr:colOff>3187563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=""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=""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746760</xdr:colOff>
      <xdr:row>3</xdr:row>
      <xdr:rowOff>247650</xdr:rowOff>
    </xdr:from>
    <xdr:to>
      <xdr:col>11</xdr:col>
      <xdr:colOff>1203960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="" xmlns:a16="http://schemas.microsoft.com/office/drawing/2014/main" id="{7C4A4AA0-27D3-4281-A3FC-89EF48C3BF7B}"/>
            </a:ext>
          </a:extLst>
        </xdr:cNvPr>
        <xdr:cNvSpPr/>
      </xdr:nvSpPr>
      <xdr:spPr>
        <a:xfrm>
          <a:off x="2531745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FBAB212F-0980-42A0-930A-C70A68D608C7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="" xmlns:a16="http://schemas.microsoft.com/office/drawing/2014/main" id="{9E4085F1-78E9-49C2-A9F4-FFA379EEEA77}"/>
            </a:ext>
            <a:ext uri="{147F2762-F138-4A5C-976F-8EAC2B608ADB}">
              <a16:predDERef xmlns=""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="" xmlns:a16="http://schemas.microsoft.com/office/drawing/2014/main" id="{E3F100E9-AF45-4E06-BD7A-AFD11E68D38A}"/>
            </a:ext>
            <a:ext uri="{147F2762-F138-4A5C-976F-8EAC2B608ADB}">
              <a16:predDERef xmlns=""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7C6A949E-7B38-47DE-A91F-CEA9BA0BD173}"/>
            </a:ext>
            <a:ext uri="{147F2762-F138-4A5C-976F-8EAC2B608ADB}">
              <a16:predDERef xmlns=""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=""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=""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=""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=""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=""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366518" y="0"/>
          <a:ext cx="1505775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=""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=""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=""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2871784" y="0"/>
          <a:ext cx="159871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=""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=""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=""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422364" y="0"/>
          <a:ext cx="162712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=""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=""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=""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=""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=""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=""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=""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127263" y="0"/>
          <a:ext cx="160578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=""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=""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=""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=""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=""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="" xmlns:a16="http://schemas.microsoft.com/office/drawing/2014/main" id="{CE1510D1-C515-4297-B687-B8CF32CF30BD}"/>
            </a:ext>
          </a:extLst>
        </xdr:cNvPr>
        <xdr:cNvGrpSpPr/>
      </xdr:nvGrpSpPr>
      <xdr:grpSpPr>
        <a:xfrm>
          <a:off x="0" y="1"/>
          <a:ext cx="1798442" cy="779638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="" xmlns:a16="http://schemas.microsoft.com/office/drawing/2014/main" id="{8BE1DAA7-E1D5-432D-AA19-CBE7433C97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="" xmlns:a16="http://schemas.microsoft.com/office/drawing/2014/main" id="{8C01CF50-7B1F-4427-A4B9-F934B27BF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2</xdr:col>
      <xdr:colOff>1793141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="" xmlns:a16="http://schemas.microsoft.com/office/drawing/2014/main" id="{00E336F7-73E3-4A2C-A2D7-F5CC1C41F703}"/>
            </a:ext>
          </a:extLst>
        </xdr:cNvPr>
        <xdr:cNvGrpSpPr/>
      </xdr:nvGrpSpPr>
      <xdr:grpSpPr>
        <a:xfrm>
          <a:off x="1949159" y="0"/>
          <a:ext cx="1021618" cy="77931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="" xmlns:a16="http://schemas.microsoft.com/office/drawing/2014/main" id="{E7FDF32A-3365-4F31-BA33-6AF95C46C1D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38152B44-53EF-4760-9883-9B46B158B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="" xmlns:a16="http://schemas.microsoft.com/office/drawing/2014/main" id="{D45DCF85-3116-48F5-A5C7-F8C8BFB4B32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1123191</xdr:colOff>
      <xdr:row>0</xdr:row>
      <xdr:rowOff>0</xdr:rowOff>
    </xdr:from>
    <xdr:to>
      <xdr:col>4</xdr:col>
      <xdr:colOff>775892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="" xmlns:a16="http://schemas.microsoft.com/office/drawing/2014/main" id="{8B51B617-E485-4EAF-9016-B84CA4E8F42F}"/>
            </a:ext>
          </a:extLst>
        </xdr:cNvPr>
        <xdr:cNvGrpSpPr/>
      </xdr:nvGrpSpPr>
      <xdr:grpSpPr>
        <a:xfrm>
          <a:off x="4344373" y="0"/>
          <a:ext cx="1055474" cy="779318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="" xmlns:a16="http://schemas.microsoft.com/office/drawing/2014/main" id="{C04119F0-A131-4648-82F5-AD0F87539F1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="" xmlns:a16="http://schemas.microsoft.com/office/drawing/2014/main" id="{DFA3A6BD-2165-4661-991A-FA807E623CA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51E88E0F-BF62-4F9D-96A4-1814542C5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1017350</xdr:colOff>
      <xdr:row>0</xdr:row>
      <xdr:rowOff>0</xdr:rowOff>
    </xdr:from>
    <xdr:to>
      <xdr:col>5</xdr:col>
      <xdr:colOff>813393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="" xmlns:a16="http://schemas.microsoft.com/office/drawing/2014/main" id="{DB5CC63F-E91D-43E6-98F4-1C66C9BCBB66}"/>
            </a:ext>
          </a:extLst>
        </xdr:cNvPr>
        <xdr:cNvSpPr/>
      </xdr:nvSpPr>
      <xdr:spPr>
        <a:xfrm>
          <a:off x="5779850" y="0"/>
          <a:ext cx="1022863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990639</xdr:colOff>
      <xdr:row>0</xdr:row>
      <xdr:rowOff>514894</xdr:rowOff>
    </xdr:from>
    <xdr:to>
      <xdr:col>5</xdr:col>
      <xdr:colOff>873920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="" xmlns:a16="http://schemas.microsoft.com/office/drawing/2014/main" id="{B34865D2-43CE-4305-8CDF-0FFACDE5CE2B}"/>
            </a:ext>
          </a:extLst>
        </xdr:cNvPr>
        <xdr:cNvSpPr txBox="1"/>
      </xdr:nvSpPr>
      <xdr:spPr>
        <a:xfrm rot="10800000" flipH="1" flipV="1">
          <a:off x="5753139" y="514894"/>
          <a:ext cx="1110101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97092</xdr:colOff>
      <xdr:row>0</xdr:row>
      <xdr:rowOff>91651</xdr:rowOff>
    </xdr:from>
    <xdr:to>
      <xdr:col>5</xdr:col>
      <xdr:colOff>508217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D684AF4E-EA15-4B18-BEAA-C7A1FFD11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86412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1086695</xdr:colOff>
      <xdr:row>0</xdr:row>
      <xdr:rowOff>0</xdr:rowOff>
    </xdr:from>
    <xdr:to>
      <xdr:col>6</xdr:col>
      <xdr:colOff>23907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="" xmlns:a16="http://schemas.microsoft.com/office/drawing/2014/main" id="{A4DCDDF5-FB45-4813-9300-AACAB8C7720E}"/>
            </a:ext>
          </a:extLst>
        </xdr:cNvPr>
        <xdr:cNvGrpSpPr/>
      </xdr:nvGrpSpPr>
      <xdr:grpSpPr>
        <a:xfrm>
          <a:off x="6905604" y="0"/>
          <a:ext cx="1050030" cy="779318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="" xmlns:a16="http://schemas.microsoft.com/office/drawing/2014/main" id="{05E9CE89-7068-4D7A-8D9A-F76D4B84ABA6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="" xmlns:a16="http://schemas.microsoft.com/office/drawing/2014/main" id="{BC8E124F-65A5-41A9-A199-1E0DC8F554BC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76A29550-45D0-46CC-B660-D82D432CAF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271253</xdr:colOff>
      <xdr:row>0</xdr:row>
      <xdr:rowOff>0</xdr:rowOff>
    </xdr:from>
    <xdr:to>
      <xdr:col>7</xdr:col>
      <xdr:colOff>183698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C8EF58C0-96F2-4D6C-AB31-46C4BD6AECCE}"/>
            </a:ext>
          </a:extLst>
        </xdr:cNvPr>
        <xdr:cNvSpPr/>
      </xdr:nvSpPr>
      <xdr:spPr>
        <a:xfrm>
          <a:off x="8439893" y="0"/>
          <a:ext cx="1017345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236680</xdr:colOff>
      <xdr:row>0</xdr:row>
      <xdr:rowOff>509194</xdr:rowOff>
    </xdr:from>
    <xdr:to>
      <xdr:col>7</xdr:col>
      <xdr:colOff>244652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5E98C42A-DA94-4F22-B442-8D437EC2C206}"/>
            </a:ext>
          </a:extLst>
        </xdr:cNvPr>
        <xdr:cNvSpPr txBox="1"/>
      </xdr:nvSpPr>
      <xdr:spPr>
        <a:xfrm rot="10800000" flipH="1" flipV="1">
          <a:off x="8405320" y="509194"/>
          <a:ext cx="1112872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578880</xdr:colOff>
      <xdr:row>0</xdr:row>
      <xdr:rowOff>90636</xdr:rowOff>
    </xdr:from>
    <xdr:to>
      <xdr:col>6</xdr:col>
      <xdr:colOff>984433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1E29BFF6-340B-452D-B98A-DE323338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47520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7</xdr:col>
      <xdr:colOff>456450</xdr:colOff>
      <xdr:row>0</xdr:row>
      <xdr:rowOff>0</xdr:rowOff>
    </xdr:from>
    <xdr:to>
      <xdr:col>8</xdr:col>
      <xdr:colOff>659362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DBD07D09-FB0B-466A-90AC-FB548E432EFE}"/>
            </a:ext>
          </a:extLst>
        </xdr:cNvPr>
        <xdr:cNvGrpSpPr/>
      </xdr:nvGrpSpPr>
      <xdr:grpSpPr>
        <a:xfrm>
          <a:off x="9461905" y="0"/>
          <a:ext cx="1086139" cy="779318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DC241A6B-B149-4846-9058-93F40627A46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D2225A0C-F528-41A6-94D0-22C03A630AF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CB8BB300-80AB-492F-9882-3B125CDC2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871150</xdr:colOff>
      <xdr:row>0</xdr:row>
      <xdr:rowOff>0</xdr:rowOff>
    </xdr:from>
    <xdr:to>
      <xdr:col>8</xdr:col>
      <xdr:colOff>1987486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519DFBB9-8C3F-48FF-A011-9FF1FE905DC9}"/>
            </a:ext>
          </a:extLst>
        </xdr:cNvPr>
        <xdr:cNvGrpSpPr/>
      </xdr:nvGrpSpPr>
      <xdr:grpSpPr>
        <a:xfrm>
          <a:off x="10759832" y="0"/>
          <a:ext cx="1116336" cy="779318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75FBEB64-E448-46EB-AE93-8DA323C3CA8C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9097BFFB-D66B-4E10-A80C-A156CA38E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16AEE5BC-58E6-49CE-8BD0-4FB32AA40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1907243</xdr:colOff>
      <xdr:row>0</xdr:row>
      <xdr:rowOff>0</xdr:rowOff>
    </xdr:from>
    <xdr:to>
      <xdr:col>3</xdr:col>
      <xdr:colOff>923612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067B2CEC-5436-40CF-AAA4-F92983AF52B1}"/>
            </a:ext>
          </a:extLst>
        </xdr:cNvPr>
        <xdr:cNvGrpSpPr/>
      </xdr:nvGrpSpPr>
      <xdr:grpSpPr>
        <a:xfrm>
          <a:off x="3084879" y="0"/>
          <a:ext cx="1059915" cy="779318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80CD6873-770C-47FB-A03B-5C0B68013EA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CC56E101-BAD8-49A6-83D8-5D4E2C0531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8E9481D9-7F28-408B-9D7A-99DF6768AB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B4BB7BCC-5A96-4203-93FD-06EB3AB917FA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2095004</xdr:colOff>
      <xdr:row>0</xdr:row>
      <xdr:rowOff>10885</xdr:rowOff>
    </xdr:from>
    <xdr:to>
      <xdr:col>9</xdr:col>
      <xdr:colOff>999562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="" xmlns:a16="http://schemas.microsoft.com/office/drawing/2014/main" id="{2895CD58-7FF8-4A35-8137-9C2BEDF13052}"/>
            </a:ext>
          </a:extLst>
        </xdr:cNvPr>
        <xdr:cNvGrpSpPr/>
      </xdr:nvGrpSpPr>
      <xdr:grpSpPr>
        <a:xfrm>
          <a:off x="11983686" y="10885"/>
          <a:ext cx="1052012" cy="779318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="" xmlns:a16="http://schemas.microsoft.com/office/drawing/2014/main" id="{EB0312F4-A1F4-452D-A35C-FD308EF9685C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="" xmlns:a16="http://schemas.microsoft.com/office/drawing/2014/main" id="{5F9E08AB-1CD4-4191-AB5C-2D67F648952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="" xmlns:a16="http://schemas.microsoft.com/office/drawing/2014/main" id="{4560FE13-C8C6-41EA-861E-494E0201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746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99B5529F-DF6C-4165-9C79-4E5F42C8CA36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1829638</xdr:colOff>
      <xdr:row>1</xdr:row>
      <xdr:rowOff>76202</xdr:rowOff>
    </xdr:from>
    <xdr:to>
      <xdr:col>4</xdr:col>
      <xdr:colOff>176968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A217028C-45B4-42B7-89E2-B01ED3F30C52}"/>
            </a:ext>
          </a:extLst>
        </xdr:cNvPr>
        <xdr:cNvSpPr/>
      </xdr:nvSpPr>
      <xdr:spPr>
        <a:xfrm>
          <a:off x="3048838" y="853442"/>
          <a:ext cx="1890630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="" xmlns:a16="http://schemas.microsoft.com/office/drawing/2014/main" id="{8BB8C4B7-1601-4E05-AA8F-D145AA5CC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051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734288</xdr:colOff>
      <xdr:row>1</xdr:row>
      <xdr:rowOff>69275</xdr:rowOff>
    </xdr:from>
    <xdr:to>
      <xdr:col>5</xdr:col>
      <xdr:colOff>1395328</xdr:colOff>
      <xdr:row>1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19EAA2F4-5728-4058-A186-ED7764D4FECB}"/>
            </a:ext>
          </a:extLst>
        </xdr:cNvPr>
        <xdr:cNvSpPr/>
      </xdr:nvSpPr>
      <xdr:spPr>
        <a:xfrm>
          <a:off x="5496788" y="846515"/>
          <a:ext cx="1887860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221673</xdr:colOff>
      <xdr:row>0</xdr:row>
      <xdr:rowOff>83125</xdr:rowOff>
    </xdr:from>
    <xdr:to>
      <xdr:col>9</xdr:col>
      <xdr:colOff>656387</xdr:colOff>
      <xdr:row>0</xdr:row>
      <xdr:rowOff>515060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="" xmlns:a16="http://schemas.microsoft.com/office/drawing/2014/main" id="{4A7283AC-8639-4A9B-994E-CBD64112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19413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="" xmlns:a16="http://schemas.microsoft.com/office/drawing/2014/main" id="{7456558F-FC13-4D13-9EFC-541488B4C420}"/>
            </a:ext>
          </a:extLst>
        </xdr:cNvPr>
        <xdr:cNvGrpSpPr/>
      </xdr:nvGrpSpPr>
      <xdr:grpSpPr>
        <a:xfrm>
          <a:off x="0" y="1"/>
          <a:ext cx="1798442" cy="779638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="" xmlns:a16="http://schemas.microsoft.com/office/drawing/2014/main" id="{CFFE75C7-FB6B-4FC4-8E3B-9AAEF7A5393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="" xmlns:a16="http://schemas.microsoft.com/office/drawing/2014/main" id="{40248076-0E84-4314-B12B-05143A8DF3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366123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="" xmlns:a16="http://schemas.microsoft.com/office/drawing/2014/main" id="{A38EC471-FE5D-4722-A2AD-811864D2C5CF}"/>
            </a:ext>
          </a:extLst>
        </xdr:cNvPr>
        <xdr:cNvGrpSpPr/>
      </xdr:nvGrpSpPr>
      <xdr:grpSpPr>
        <a:xfrm>
          <a:off x="1949159" y="0"/>
          <a:ext cx="980055" cy="77931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="" xmlns:a16="http://schemas.microsoft.com/office/drawing/2014/main" id="{E4C90DAB-9A93-441B-85BD-37B01FD93FF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3CE738E1-EECB-4F76-AC13-7E33897867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="" xmlns:a16="http://schemas.microsoft.com/office/drawing/2014/main" id="{54CB65FC-B90C-4DF1-BC39-9B0969EA166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1788209</xdr:colOff>
      <xdr:row>0</xdr:row>
      <xdr:rowOff>0</xdr:rowOff>
    </xdr:from>
    <xdr:to>
      <xdr:col>4</xdr:col>
      <xdr:colOff>969856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="" xmlns:a16="http://schemas.microsoft.com/office/drawing/2014/main" id="{2A3E60AB-1EEE-4C80-8834-2E3678E513EE}"/>
            </a:ext>
          </a:extLst>
        </xdr:cNvPr>
        <xdr:cNvGrpSpPr/>
      </xdr:nvGrpSpPr>
      <xdr:grpSpPr>
        <a:xfrm>
          <a:off x="4351300" y="0"/>
          <a:ext cx="1052011" cy="779318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="" xmlns:a16="http://schemas.microsoft.com/office/drawing/2014/main" id="{10FAAC88-7926-47AF-89DB-994ADD9D2F6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="" xmlns:a16="http://schemas.microsoft.com/office/drawing/2014/main" id="{FE107038-55AC-4BED-B007-3BD07F9FBFB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D8541983-FB1F-45B4-A2BB-28B3DAB58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1211314</xdr:colOff>
      <xdr:row>0</xdr:row>
      <xdr:rowOff>0</xdr:rowOff>
    </xdr:from>
    <xdr:to>
      <xdr:col>5</xdr:col>
      <xdr:colOff>771829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="" xmlns:a16="http://schemas.microsoft.com/office/drawing/2014/main" id="{7AEFD873-964C-47D2-A133-A2BCF35F1890}"/>
            </a:ext>
          </a:extLst>
        </xdr:cNvPr>
        <xdr:cNvSpPr/>
      </xdr:nvSpPr>
      <xdr:spPr>
        <a:xfrm>
          <a:off x="5783314" y="0"/>
          <a:ext cx="102355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1184603</xdr:colOff>
      <xdr:row>0</xdr:row>
      <xdr:rowOff>514894</xdr:rowOff>
    </xdr:from>
    <xdr:to>
      <xdr:col>5</xdr:col>
      <xdr:colOff>832356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="" xmlns:a16="http://schemas.microsoft.com/office/drawing/2014/main" id="{101945E0-53CB-4A5A-97FF-F28249A51FA0}"/>
            </a:ext>
          </a:extLst>
        </xdr:cNvPr>
        <xdr:cNvSpPr txBox="1"/>
      </xdr:nvSpPr>
      <xdr:spPr>
        <a:xfrm rot="10800000" flipH="1" flipV="1">
          <a:off x="5756603" y="514894"/>
          <a:ext cx="111079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55528</xdr:colOff>
      <xdr:row>0</xdr:row>
      <xdr:rowOff>91651</xdr:rowOff>
    </xdr:from>
    <xdr:to>
      <xdr:col>5</xdr:col>
      <xdr:colOff>466653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199B481A-4EFE-4F09-AE7B-B1C73430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056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1045131</xdr:colOff>
      <xdr:row>0</xdr:row>
      <xdr:rowOff>0</xdr:rowOff>
    </xdr:from>
    <xdr:to>
      <xdr:col>6</xdr:col>
      <xdr:colOff>37762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="" xmlns:a16="http://schemas.microsoft.com/office/drawing/2014/main" id="{BF48A10A-AB9F-415C-BAD0-D6C29D4D0862}"/>
            </a:ext>
          </a:extLst>
        </xdr:cNvPr>
        <xdr:cNvGrpSpPr/>
      </xdr:nvGrpSpPr>
      <xdr:grpSpPr>
        <a:xfrm>
          <a:off x="6898676" y="0"/>
          <a:ext cx="1053495" cy="779318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="" xmlns:a16="http://schemas.microsoft.com/office/drawing/2014/main" id="{4803E59B-DF3F-49E4-95F3-C6E4A4BCFAD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="" xmlns:a16="http://schemas.microsoft.com/office/drawing/2014/main" id="{8CF038F0-9E87-4A19-A7F2-1820C8A4E8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291C6514-D332-404F-9720-FED0E9D534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285108</xdr:colOff>
      <xdr:row>0</xdr:row>
      <xdr:rowOff>0</xdr:rowOff>
    </xdr:from>
    <xdr:to>
      <xdr:col>6</xdr:col>
      <xdr:colOff>1305916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88EDC41D-E704-4D8E-859A-37BB5BA8726B}"/>
            </a:ext>
          </a:extLst>
        </xdr:cNvPr>
        <xdr:cNvSpPr/>
      </xdr:nvSpPr>
      <xdr:spPr>
        <a:xfrm>
          <a:off x="8446128" y="0"/>
          <a:ext cx="1020808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250535</xdr:colOff>
      <xdr:row>0</xdr:row>
      <xdr:rowOff>509194</xdr:rowOff>
    </xdr:from>
    <xdr:to>
      <xdr:col>6</xdr:col>
      <xdr:colOff>1366870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="" xmlns:a16="http://schemas.microsoft.com/office/drawing/2014/main" id="{C4D0D4AB-2679-4BCA-9F1D-7E0E06EA6028}"/>
            </a:ext>
          </a:extLst>
        </xdr:cNvPr>
        <xdr:cNvSpPr txBox="1"/>
      </xdr:nvSpPr>
      <xdr:spPr>
        <a:xfrm rot="10800000" flipH="1" flipV="1">
          <a:off x="84115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592735</xdr:colOff>
      <xdr:row>0</xdr:row>
      <xdr:rowOff>90636</xdr:rowOff>
    </xdr:from>
    <xdr:to>
      <xdr:col>6</xdr:col>
      <xdr:colOff>998288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EAAC41CB-E572-483D-8E2E-E46B89F4C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537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6</xdr:col>
      <xdr:colOff>1578668</xdr:colOff>
      <xdr:row>0</xdr:row>
      <xdr:rowOff>0</xdr:rowOff>
    </xdr:from>
    <xdr:to>
      <xdr:col>7</xdr:col>
      <xdr:colOff>451543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="" xmlns:a16="http://schemas.microsoft.com/office/drawing/2014/main" id="{156B1873-D9DF-49A3-9B2E-FE29F269954C}"/>
            </a:ext>
          </a:extLst>
        </xdr:cNvPr>
        <xdr:cNvGrpSpPr/>
      </xdr:nvGrpSpPr>
      <xdr:grpSpPr>
        <a:xfrm>
          <a:off x="9493077" y="0"/>
          <a:ext cx="1054966" cy="779318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="" xmlns:a16="http://schemas.microsoft.com/office/drawing/2014/main" id="{A7721EF8-3CAF-4453-A01C-1BC229882E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="" xmlns:a16="http://schemas.microsoft.com/office/drawing/2014/main" id="{EE1D520D-036F-44A7-A12E-0D66D47F98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F7AFCF5F-7CDB-4D74-BD61-CA818AAAC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663331</xdr:colOff>
      <xdr:row>0</xdr:row>
      <xdr:rowOff>0</xdr:rowOff>
    </xdr:from>
    <xdr:to>
      <xdr:col>8</xdr:col>
      <xdr:colOff>130976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="" xmlns:a16="http://schemas.microsoft.com/office/drawing/2014/main" id="{FF24CE22-321B-42BE-8EFA-F0B9267B8D6C}"/>
            </a:ext>
          </a:extLst>
        </xdr:cNvPr>
        <xdr:cNvGrpSpPr/>
      </xdr:nvGrpSpPr>
      <xdr:grpSpPr>
        <a:xfrm>
          <a:off x="10759831" y="0"/>
          <a:ext cx="1060918" cy="779318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="" xmlns:a16="http://schemas.microsoft.com/office/drawing/2014/main" id="{62412243-A2CE-48C1-97EA-C003BB7A6A7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="" xmlns:a16="http://schemas.microsoft.com/office/drawing/2014/main" id="{8AEFC8E7-03D7-4B78-BF25-2AF17F09888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64654FD3-F447-4FF6-877F-D413D8EE75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480225</xdr:colOff>
      <xdr:row>0</xdr:row>
      <xdr:rowOff>0</xdr:rowOff>
    </xdr:from>
    <xdr:to>
      <xdr:col>3</xdr:col>
      <xdr:colOff>1588630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="" xmlns:a16="http://schemas.microsoft.com/office/drawing/2014/main" id="{1368A891-E816-4FF2-BA22-70E7F55A8AC1}"/>
            </a:ext>
          </a:extLst>
        </xdr:cNvPr>
        <xdr:cNvGrpSpPr/>
      </xdr:nvGrpSpPr>
      <xdr:grpSpPr>
        <a:xfrm>
          <a:off x="3043316" y="0"/>
          <a:ext cx="1108405" cy="779318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="" xmlns:a16="http://schemas.microsoft.com/office/drawing/2014/main" id="{D4F774BF-B59E-4AD3-8B96-3C21275DE1F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="" xmlns:a16="http://schemas.microsoft.com/office/drawing/2014/main" id="{F1EAD7DB-49DD-40FF-9247-792656087A0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866ED808-8E7C-43BB-B082-46A39232B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3815E429-FE20-4F00-B145-E08B3E4CB171}"/>
            </a:ext>
            <a:ext uri="{147F2762-F138-4A5C-976F-8EAC2B608ADB}">
              <a16:predDERef xmlns=""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238494</xdr:colOff>
      <xdr:row>0</xdr:row>
      <xdr:rowOff>10885</xdr:rowOff>
    </xdr:from>
    <xdr:to>
      <xdr:col>8</xdr:col>
      <xdr:colOff>1359780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="" xmlns:a16="http://schemas.microsoft.com/office/drawing/2014/main" id="{6FF2387F-CA9C-415A-88B4-12D15590215B}"/>
            </a:ext>
          </a:extLst>
        </xdr:cNvPr>
        <xdr:cNvGrpSpPr/>
      </xdr:nvGrpSpPr>
      <xdr:grpSpPr>
        <a:xfrm>
          <a:off x="11928267" y="10885"/>
          <a:ext cx="1121286" cy="779318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="" xmlns:a16="http://schemas.microsoft.com/office/drawing/2014/main" id="{4D221F81-FED6-47E7-B80C-2D50CAEEFB7E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="" xmlns:a16="http://schemas.microsoft.com/office/drawing/2014/main" id="{8C815A83-B377-499C-9EC1-FE1F9BB77EE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="" xmlns:a16="http://schemas.microsoft.com/office/drawing/2014/main" id="{849C5619-F4B2-4675-9D81-D17070BA1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6614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7964A4F8-D30E-4692-9776-57F6CCE79F28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403112</xdr:colOff>
      <xdr:row>1</xdr:row>
      <xdr:rowOff>76202</xdr:rowOff>
    </xdr:from>
    <xdr:to>
      <xdr:col>4</xdr:col>
      <xdr:colOff>371424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A0A0BE1D-ACE7-4E70-92A5-6D89EBBD764B}"/>
            </a:ext>
          </a:extLst>
        </xdr:cNvPr>
        <xdr:cNvSpPr/>
      </xdr:nvSpPr>
      <xdr:spPr>
        <a:xfrm>
          <a:off x="3054872" y="853442"/>
          <a:ext cx="188855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="" xmlns:a16="http://schemas.microsoft.com/office/drawing/2014/main" id="{C4B25696-E396-429C-B3A8-349F04B36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1205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929087</xdr:colOff>
      <xdr:row>1</xdr:row>
      <xdr:rowOff>76202</xdr:rowOff>
    </xdr:from>
    <xdr:to>
      <xdr:col>5</xdr:col>
      <xdr:colOff>1354599</xdr:colOff>
      <xdr:row>1</xdr:row>
      <xdr:rowOff>504602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A8538D96-A7A8-4C6A-BCD1-BEAA8DFF8F9C}"/>
            </a:ext>
          </a:extLst>
        </xdr:cNvPr>
        <xdr:cNvSpPr/>
      </xdr:nvSpPr>
      <xdr:spPr>
        <a:xfrm>
          <a:off x="5501087" y="853442"/>
          <a:ext cx="188855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581891</xdr:colOff>
      <xdr:row>0</xdr:row>
      <xdr:rowOff>83129</xdr:rowOff>
    </xdr:from>
    <xdr:to>
      <xdr:col>8</xdr:col>
      <xdr:colOff>1016605</xdr:colOff>
      <xdr:row>0</xdr:row>
      <xdr:rowOff>515064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="" xmlns:a16="http://schemas.microsoft.com/office/drawing/2014/main" id="{394BD90E-DB27-4CDF-BA4C-0FC385AFC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9111" y="831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>
        <row r="23">
          <cell r="H23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>
            <v>0</v>
          </cell>
        </row>
        <row r="2">
          <cell r="J2">
            <v>0</v>
          </cell>
        </row>
        <row r="7">
          <cell r="J7">
            <v>0</v>
          </cell>
        </row>
        <row r="8">
          <cell r="J8">
            <v>0</v>
          </cell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I13">
            <v>450</v>
          </cell>
        </row>
      </sheetData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ja1oa@email.com" TargetMode="External"/><Relationship Id="rId13" Type="http://schemas.openxmlformats.org/officeDocument/2006/relationships/drawing" Target="../drawings/drawing35.xm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beatriz@email.com" TargetMode="External"/><Relationship Id="rId12" Type="http://schemas.openxmlformats.org/officeDocument/2006/relationships/printerSettings" Target="../printerSettings/printerSettings32.bin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carlos@email.com" TargetMode="External"/><Relationship Id="rId11" Type="http://schemas.openxmlformats.org/officeDocument/2006/relationships/hyperlink" Target="mailto:bea232triz@email.com" TargetMode="External"/><Relationship Id="rId5" Type="http://schemas.openxmlformats.org/officeDocument/2006/relationships/hyperlink" Target="mailto:ana@email.com" TargetMode="External"/><Relationship Id="rId10" Type="http://schemas.openxmlformats.org/officeDocument/2006/relationships/hyperlink" Target="mailto:ca323rlos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2ana@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37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FF0000"/>
  </sheetPr>
  <dimension ref="A1:AW77"/>
  <sheetViews>
    <sheetView zoomScale="40" zoomScaleNormal="40" workbookViewId="0">
      <selection activeCell="XFD77" sqref="XFD77"/>
    </sheetView>
  </sheetViews>
  <sheetFormatPr defaultColWidth="8.85546875" defaultRowHeight="15" zeroHeight="1" x14ac:dyDescent="0.25"/>
  <cols>
    <col min="1" max="25" width="8.85546875" customWidth="1"/>
    <col min="26" max="43" width="8.85546875" style="109" customWidth="1"/>
    <col min="44" max="48" width="8.85546875" customWidth="1"/>
    <col min="49" max="49" width="105.7109375" customWidth="1"/>
    <col min="50" max="16383" width="0" hidden="1" customWidth="1"/>
    <col min="16384" max="16384" width="84.7109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15" customHeight="1" x14ac:dyDescent="0.4">
      <c r="A2" s="423" t="s">
        <v>0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3"/>
      <c r="W2" s="423"/>
      <c r="X2" s="423"/>
      <c r="Y2" s="423"/>
      <c r="Z2" s="423"/>
      <c r="AA2" s="423"/>
      <c r="AB2" s="423"/>
      <c r="AC2" s="423"/>
      <c r="AD2" s="423"/>
      <c r="AE2" s="423"/>
      <c r="AF2" s="423"/>
      <c r="AG2" s="423"/>
      <c r="AH2" s="423"/>
      <c r="AI2" s="423"/>
      <c r="AJ2" s="423"/>
      <c r="AK2" s="423"/>
      <c r="AL2" s="423"/>
      <c r="AM2" s="423"/>
      <c r="AN2" s="423"/>
      <c r="AO2" s="423"/>
      <c r="AP2" s="423"/>
      <c r="AQ2" s="423"/>
      <c r="AR2" s="423"/>
      <c r="AS2" s="423"/>
      <c r="AT2" s="423"/>
      <c r="AU2" s="423"/>
      <c r="AV2" s="423"/>
      <c r="AW2" s="423"/>
    </row>
    <row r="3" spans="1:49" ht="14.45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ht="14.45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ht="14.45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ht="14.45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ht="14.45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ht="14.45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ht="14.45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ht="14.45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ht="14.45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ht="14.45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ht="14.45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ht="14.45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ht="14.45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ht="14.45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ht="14.45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ht="14.45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ht="14.45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ht="14.45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ht="14.45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ht="14.45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ht="14.45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ht="14.45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ht="14.45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ht="14.45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ht="14.45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ht="14.45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ht="14.45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ht="14.45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ht="14.45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ht="14.45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ht="14.45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ht="14.45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ht="14.45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ht="14.45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ht="14.45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ht="14.45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ht="14.45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ht="14.45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ht="14.45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ht="14.45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ht="14.45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ht="14.45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ht="14.45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ht="14.45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ht="14.45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ht="14.45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ht="14.45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09" customFormat="1" ht="14.45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09" customFormat="1" ht="14.45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09" customFormat="1" ht="14.45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09" customFormat="1" ht="14.45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09" customFormat="1" ht="14.45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09" customFormat="1" ht="14.45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09" customFormat="1" ht="14.45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09" customFormat="1" ht="14.45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09" customFormat="1" ht="14.45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09" customFormat="1" ht="14.45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09" customFormat="1" ht="14.45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09" customFormat="1" ht="14.45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09" customFormat="1" ht="14.45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09" customFormat="1" ht="14.45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09" customFormat="1" ht="14.45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09" customFormat="1" ht="14.45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09" customFormat="1" ht="14.45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09" customFormat="1" ht="14.45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09" customFormat="1" ht="14.45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09" customFormat="1" ht="14.45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09" customFormat="1" ht="14.45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09" customFormat="1" ht="14.45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09" customFormat="1" ht="14.45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09" customFormat="1" ht="14.45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09" customFormat="1" ht="14.45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ht="14.45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ht="14.45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0000"/>
  </sheetPr>
  <dimension ref="A1:AE52"/>
  <sheetViews>
    <sheetView showGridLines="0" zoomScale="40" zoomScaleNormal="40" workbookViewId="0">
      <selection activeCell="H48" sqref="H48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15" customHeight="1" x14ac:dyDescent="0.3">
      <c r="A2" s="424"/>
      <c r="B2" s="424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  <c r="AE2" s="424"/>
    </row>
    <row r="3" spans="1:31" ht="14.45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ht="14.45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ht="14.45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ht="14.45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ht="14.45" customHeight="1" x14ac:dyDescent="0.25">
      <c r="A7" s="25"/>
      <c r="B7" s="25"/>
      <c r="C7" s="25"/>
      <c r="D7" s="25"/>
      <c r="E7" s="425"/>
      <c r="F7" s="425"/>
      <c r="G7" s="425"/>
      <c r="H7" s="425"/>
      <c r="I7" s="425"/>
      <c r="J7" s="4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ht="14.45" customHeight="1" x14ac:dyDescent="0.25">
      <c r="A8" s="25"/>
      <c r="B8" s="25"/>
      <c r="C8" s="25"/>
      <c r="D8" s="25"/>
      <c r="E8" s="425"/>
      <c r="F8" s="425"/>
      <c r="G8" s="425"/>
      <c r="H8" s="425"/>
      <c r="I8" s="425"/>
      <c r="J8" s="4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ht="25.15" customHeight="1" x14ac:dyDescent="0.3">
      <c r="A9" s="25"/>
      <c r="B9" s="25"/>
      <c r="C9" s="25"/>
      <c r="D9" s="25"/>
      <c r="E9" s="26"/>
      <c r="F9" s="26"/>
      <c r="G9" s="26"/>
      <c r="H9" s="26"/>
      <c r="I9" s="26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ht="25.15" customHeight="1" x14ac:dyDescent="0.3">
      <c r="A10" s="25"/>
      <c r="B10" s="25"/>
      <c r="C10" s="25"/>
      <c r="D10" s="25"/>
      <c r="E10" s="26"/>
      <c r="F10" s="27"/>
      <c r="G10" s="27"/>
      <c r="H10" s="27"/>
      <c r="I10" s="27"/>
      <c r="J10" s="27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ht="25.15" customHeight="1" x14ac:dyDescent="0.3">
      <c r="A11" s="25"/>
      <c r="B11" s="25"/>
      <c r="C11" s="25"/>
      <c r="D11" s="25"/>
      <c r="E11" s="26"/>
      <c r="F11" s="27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25.15" customHeight="1" x14ac:dyDescent="0.3">
      <c r="A12" s="25"/>
      <c r="B12" s="25"/>
      <c r="C12" s="25"/>
      <c r="D12" s="25"/>
      <c r="E12" s="26"/>
      <c r="F12" s="27"/>
      <c r="G12" s="27"/>
      <c r="H12" s="27"/>
      <c r="I12" s="27"/>
      <c r="J12" s="27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25.15" customHeight="1" x14ac:dyDescent="0.3">
      <c r="A13" s="25"/>
      <c r="B13" s="25"/>
      <c r="C13" s="25"/>
      <c r="D13" s="25"/>
      <c r="E13" s="26"/>
      <c r="F13" s="27"/>
      <c r="G13" s="27"/>
      <c r="H13" s="27"/>
      <c r="I13" s="27"/>
      <c r="J13" s="27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ht="14.45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ht="14.45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ht="14.45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ht="14.4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14.45" customHeight="1" x14ac:dyDescent="0.25">
      <c r="A18" s="25"/>
      <c r="B18" s="25"/>
      <c r="C18" s="25"/>
      <c r="D18" s="25"/>
      <c r="E18" s="25"/>
      <c r="F18" s="426"/>
      <c r="G18" s="426"/>
      <c r="H18" s="426"/>
      <c r="I18" s="426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4.45" customHeight="1" x14ac:dyDescent="0.25">
      <c r="A19" s="25"/>
      <c r="B19" s="25"/>
      <c r="C19" s="25"/>
      <c r="D19" s="25"/>
      <c r="E19" s="25"/>
      <c r="F19" s="426"/>
      <c r="G19" s="426"/>
      <c r="H19" s="426"/>
      <c r="I19" s="426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ht="14.45" customHeight="1" x14ac:dyDescent="0.25">
      <c r="A20" s="25"/>
      <c r="B20" s="25"/>
      <c r="C20" s="25"/>
      <c r="D20" s="25"/>
      <c r="E20" s="25"/>
      <c r="F20" s="427"/>
      <c r="G20" s="427"/>
      <c r="H20" s="428"/>
      <c r="I20" s="429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ht="14.45" customHeight="1" x14ac:dyDescent="0.25">
      <c r="A21" s="25"/>
      <c r="B21" s="25"/>
      <c r="C21" s="25"/>
      <c r="D21" s="25"/>
      <c r="E21" s="25"/>
      <c r="F21" s="427"/>
      <c r="G21" s="427"/>
      <c r="H21" s="428"/>
      <c r="I21" s="429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ht="17.45" customHeight="1" x14ac:dyDescent="0.3">
      <c r="A22" s="25"/>
      <c r="B22" s="25"/>
      <c r="C22" s="25"/>
      <c r="D22" s="25"/>
      <c r="E22" s="25"/>
      <c r="F22" s="28"/>
      <c r="G22" s="28"/>
      <c r="H22" s="29"/>
      <c r="I22" s="29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ht="17.45" x14ac:dyDescent="0.3">
      <c r="A23" s="25"/>
      <c r="B23" s="25"/>
      <c r="C23" s="25"/>
      <c r="D23" s="25"/>
      <c r="E23" s="25"/>
      <c r="F23" s="430"/>
      <c r="G23" s="430"/>
      <c r="H23" s="30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ht="28.9" x14ac:dyDescent="0.3">
      <c r="A24" s="25"/>
      <c r="B24" s="25"/>
      <c r="C24" s="25"/>
      <c r="D24" s="25"/>
      <c r="E24" s="25"/>
      <c r="F24" s="31"/>
      <c r="G24" s="32"/>
      <c r="H24" s="29"/>
      <c r="I24" s="29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ht="17.45" x14ac:dyDescent="0.3">
      <c r="A25" s="25"/>
      <c r="B25" s="25"/>
      <c r="C25" s="25"/>
      <c r="D25" s="25"/>
      <c r="E25" s="25"/>
      <c r="F25" s="430"/>
      <c r="G25" s="430"/>
      <c r="H25" s="30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ht="28.9" x14ac:dyDescent="0.3">
      <c r="A26" s="25"/>
      <c r="B26" s="25"/>
      <c r="C26" s="25"/>
      <c r="D26" s="25"/>
      <c r="E26" s="25"/>
      <c r="F26" s="33"/>
      <c r="G26" s="32"/>
      <c r="H26" s="29"/>
      <c r="I26" s="29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ht="17.45" x14ac:dyDescent="0.3">
      <c r="A27" s="25"/>
      <c r="B27" s="25"/>
      <c r="C27" s="25"/>
      <c r="D27" s="25"/>
      <c r="E27" s="25"/>
      <c r="F27" s="430"/>
      <c r="G27" s="430"/>
      <c r="H27" s="30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ht="28.9" x14ac:dyDescent="0.3">
      <c r="A28" s="25"/>
      <c r="B28" s="25"/>
      <c r="C28" s="25"/>
      <c r="D28" s="25"/>
      <c r="E28" s="25"/>
      <c r="F28" s="31"/>
      <c r="G28" s="32"/>
      <c r="H28" s="29"/>
      <c r="I28" s="29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ht="17.45" x14ac:dyDescent="0.3">
      <c r="A29" s="25"/>
      <c r="B29" s="25"/>
      <c r="C29" s="25"/>
      <c r="D29" s="25"/>
      <c r="E29" s="25"/>
      <c r="F29" s="430"/>
      <c r="G29" s="430"/>
      <c r="H29" s="30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ht="28.9" x14ac:dyDescent="0.3">
      <c r="A30" s="25"/>
      <c r="B30" s="25"/>
      <c r="C30" s="25"/>
      <c r="D30" s="25"/>
      <c r="E30" s="25"/>
      <c r="F30" s="33"/>
      <c r="G30" s="34"/>
      <c r="H30" s="35"/>
      <c r="I30" s="29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1:31" ht="17.45" x14ac:dyDescent="0.3">
      <c r="A31" s="25"/>
      <c r="B31" s="25"/>
      <c r="C31" s="25"/>
      <c r="D31" s="25"/>
      <c r="E31" s="25"/>
      <c r="F31" s="430"/>
      <c r="G31" s="430"/>
      <c r="H31" s="30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1:31" ht="28.9" x14ac:dyDescent="0.3">
      <c r="A32" s="25"/>
      <c r="B32" s="25"/>
      <c r="C32" s="25"/>
      <c r="D32" s="25"/>
      <c r="E32" s="25"/>
      <c r="F32" s="28"/>
      <c r="G32" s="36"/>
      <c r="H32" s="35"/>
      <c r="I32" s="37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  <row r="33" spans="1:31" ht="28.9" x14ac:dyDescent="0.3">
      <c r="A33" s="25"/>
      <c r="B33" s="25"/>
      <c r="C33" s="25"/>
      <c r="D33" s="25"/>
      <c r="E33" s="25"/>
      <c r="F33" s="28"/>
      <c r="G33" s="36"/>
      <c r="H33" s="35"/>
      <c r="I33" s="37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</row>
    <row r="34" spans="1:31" ht="28.9" x14ac:dyDescent="0.55000000000000004">
      <c r="A34" s="25"/>
      <c r="B34" s="25"/>
      <c r="C34" s="25"/>
      <c r="D34" s="25"/>
      <c r="E34" s="25"/>
      <c r="F34" s="28"/>
      <c r="G34" s="38"/>
      <c r="H34" s="38"/>
      <c r="I34" s="38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</row>
    <row r="35" spans="1:31" ht="28.9" x14ac:dyDescent="0.55000000000000004">
      <c r="A35" s="25"/>
      <c r="B35" s="25"/>
      <c r="C35" s="25"/>
      <c r="D35" s="25"/>
      <c r="E35" s="25"/>
      <c r="F35" s="28"/>
      <c r="G35" s="38"/>
      <c r="H35" s="38"/>
      <c r="I35" s="38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</row>
    <row r="36" spans="1:31" ht="14.45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1:31" ht="14.45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</row>
    <row r="38" spans="1:31" ht="14.45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</row>
    <row r="39" spans="1:31" ht="14.45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</row>
    <row r="40" spans="1:31" ht="14.45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</row>
    <row r="41" spans="1:31" ht="14.45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</row>
    <row r="42" spans="1:31" ht="14.45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</row>
    <row r="43" spans="1:31" ht="14.45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</row>
    <row r="44" spans="1:31" ht="14.45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</row>
    <row r="45" spans="1:31" ht="14.45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</row>
    <row r="46" spans="1:31" ht="14.45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</row>
    <row r="47" spans="1:31" ht="14.45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</row>
    <row r="48" spans="1:31" ht="14.45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</row>
    <row r="49" spans="1:31" ht="14.45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</row>
    <row r="50" spans="1:31" ht="14.45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</row>
    <row r="51" spans="1:31" ht="14.45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 ht="14.45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</row>
  </sheetData>
  <mergeCells count="11">
    <mergeCell ref="F23:G23"/>
    <mergeCell ref="F25:G25"/>
    <mergeCell ref="F27:G27"/>
    <mergeCell ref="F29:G29"/>
    <mergeCell ref="F31:G31"/>
    <mergeCell ref="A2:AE2"/>
    <mergeCell ref="E7:J8"/>
    <mergeCell ref="F18:I19"/>
    <mergeCell ref="F20:G21"/>
    <mergeCell ref="H20:H21"/>
    <mergeCell ref="I20:I21"/>
  </mergeCells>
  <dataValidations count="2">
    <dataValidation type="list" allowBlank="1" showInputMessage="1" showErrorMessage="1" sqref="F18">
      <formula1>$L$14:$L$17</formula1>
    </dataValidation>
    <dataValidation allowBlank="1" showInputMessage="1" showErrorMessage="1" sqref="E9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0000"/>
  </sheetPr>
  <dimension ref="A1:BJ40"/>
  <sheetViews>
    <sheetView zoomScale="40" zoomScaleNormal="40" workbookViewId="0">
      <selection activeCell="T29" sqref="T29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  <col min="17" max="17" width="34" customWidth="1"/>
    <col min="18" max="18" width="15.7109375" customWidth="1"/>
    <col min="19" max="19" width="21.28515625" customWidth="1"/>
    <col min="20" max="20" width="19.28515625" bestFit="1" customWidth="1"/>
    <col min="21" max="21" width="14.5703125" bestFit="1" customWidth="1"/>
    <col min="22" max="22" width="26.7109375" bestFit="1" customWidth="1"/>
    <col min="52" max="53" width="8.85546875" style="109"/>
  </cols>
  <sheetData>
    <row r="1" spans="1:62" s="110" customFormat="1" ht="14.45" x14ac:dyDescent="0.3"/>
    <row r="2" spans="1:62" s="110" customFormat="1" ht="14.45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</row>
    <row r="4" spans="1:62" ht="46.15" customHeight="1" x14ac:dyDescent="0.3">
      <c r="A4" s="424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</row>
    <row r="5" spans="1:62" ht="14.45" x14ac:dyDescent="0.3">
      <c r="A5" s="424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D5" s="424"/>
      <c r="AE5" s="424"/>
      <c r="AF5" s="424"/>
      <c r="AG5" s="424"/>
      <c r="AH5" s="424"/>
      <c r="AI5" s="424"/>
      <c r="AJ5" s="424"/>
      <c r="AK5" s="424"/>
      <c r="AL5" s="424"/>
      <c r="AM5" s="424"/>
      <c r="AN5" s="424"/>
      <c r="AO5" s="424"/>
      <c r="AP5" s="424"/>
      <c r="AQ5" s="424"/>
      <c r="AR5" s="424"/>
      <c r="AS5" s="424"/>
      <c r="AT5" s="424"/>
      <c r="AU5" s="424"/>
      <c r="AV5" s="424"/>
      <c r="AW5" s="424"/>
      <c r="AX5" s="424"/>
      <c r="AY5" s="424"/>
      <c r="AZ5" s="424"/>
      <c r="BA5" s="424"/>
      <c r="BB5" s="424"/>
      <c r="BC5" s="424"/>
      <c r="BD5" s="424"/>
      <c r="BE5" s="424"/>
      <c r="BF5" s="424"/>
      <c r="BG5" s="424"/>
      <c r="BH5" s="424"/>
      <c r="BI5" s="424"/>
      <c r="BJ5" s="424"/>
    </row>
    <row r="6" spans="1:62" ht="14.45" x14ac:dyDescent="0.3">
      <c r="A6" s="424"/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4"/>
      <c r="U6" s="424"/>
      <c r="V6" s="424"/>
      <c r="W6" s="424"/>
      <c r="X6" s="424"/>
      <c r="Y6" s="424"/>
      <c r="Z6" s="424"/>
      <c r="AA6" s="424"/>
      <c r="AB6" s="424"/>
      <c r="AC6" s="424"/>
      <c r="AD6" s="424"/>
      <c r="AE6" s="424"/>
      <c r="AF6" s="424"/>
      <c r="AG6" s="424"/>
      <c r="AH6" s="424"/>
      <c r="AI6" s="424"/>
      <c r="AJ6" s="424"/>
      <c r="AK6" s="424"/>
      <c r="AL6" s="424"/>
      <c r="AM6" s="424"/>
      <c r="AN6" s="424"/>
      <c r="AO6" s="424"/>
      <c r="AP6" s="424"/>
      <c r="AQ6" s="424"/>
      <c r="AR6" s="424"/>
      <c r="AS6" s="424"/>
      <c r="AT6" s="424"/>
      <c r="AU6" s="424"/>
      <c r="AV6" s="424"/>
      <c r="AW6" s="424"/>
      <c r="AX6" s="424"/>
      <c r="AY6" s="424"/>
      <c r="AZ6" s="424"/>
      <c r="BA6" s="424"/>
      <c r="BB6" s="424"/>
      <c r="BC6" s="424"/>
      <c r="BD6" s="424"/>
      <c r="BE6" s="424"/>
      <c r="BF6" s="424"/>
      <c r="BG6" s="424"/>
      <c r="BH6" s="424"/>
      <c r="BI6" s="424"/>
      <c r="BJ6" s="424"/>
    </row>
    <row r="7" spans="1:62" ht="14.45" x14ac:dyDescent="0.3">
      <c r="A7" s="424"/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  <c r="Y7" s="424"/>
      <c r="Z7" s="424"/>
      <c r="AA7" s="424"/>
      <c r="AB7" s="424"/>
      <c r="AC7" s="424"/>
      <c r="AD7" s="424"/>
      <c r="AE7" s="424"/>
      <c r="AF7" s="424"/>
      <c r="AG7" s="424"/>
      <c r="AH7" s="424"/>
      <c r="AI7" s="424"/>
      <c r="AJ7" s="424"/>
      <c r="AK7" s="424"/>
      <c r="AL7" s="424"/>
      <c r="AM7" s="424"/>
      <c r="AN7" s="424"/>
      <c r="AO7" s="424"/>
      <c r="AP7" s="424"/>
      <c r="AQ7" s="424"/>
      <c r="AR7" s="424"/>
      <c r="AS7" s="424"/>
      <c r="AT7" s="424"/>
      <c r="AU7" s="424"/>
      <c r="AV7" s="424"/>
      <c r="AW7" s="424"/>
      <c r="AX7" s="424"/>
      <c r="AY7" s="424"/>
      <c r="AZ7" s="424"/>
      <c r="BA7" s="424"/>
      <c r="BB7" s="424"/>
      <c r="BC7" s="424"/>
      <c r="BD7" s="424"/>
      <c r="BE7" s="424"/>
      <c r="BF7" s="424"/>
      <c r="BG7" s="424"/>
      <c r="BH7" s="424"/>
      <c r="BI7" s="424"/>
      <c r="BJ7" s="424"/>
    </row>
    <row r="9" spans="1:62" ht="14.45" customHeight="1" x14ac:dyDescent="0.3"/>
    <row r="10" spans="1:62" ht="14.45" customHeight="1" thickBot="1" x14ac:dyDescent="0.35"/>
    <row r="11" spans="1:62" ht="25.15" customHeight="1" x14ac:dyDescent="0.25">
      <c r="Q11" s="441" t="s">
        <v>1</v>
      </c>
      <c r="R11" s="442"/>
      <c r="S11" s="442"/>
      <c r="T11" s="442"/>
      <c r="U11" s="442"/>
      <c r="V11" s="443"/>
    </row>
    <row r="12" spans="1:62" ht="25.15" customHeight="1" x14ac:dyDescent="0.25">
      <c r="Q12" s="444"/>
      <c r="R12" s="445"/>
      <c r="S12" s="445"/>
      <c r="T12" s="445"/>
      <c r="U12" s="445"/>
      <c r="V12" s="446"/>
    </row>
    <row r="13" spans="1:62" ht="75" customHeight="1" x14ac:dyDescent="0.3">
      <c r="Q13" s="112" t="s">
        <v>2</v>
      </c>
      <c r="R13" s="113" t="s">
        <v>3</v>
      </c>
      <c r="S13" s="113" t="s">
        <v>4</v>
      </c>
      <c r="T13" s="113" t="s">
        <v>5</v>
      </c>
      <c r="U13" s="114" t="s">
        <v>6</v>
      </c>
      <c r="V13" s="115" t="s">
        <v>7</v>
      </c>
    </row>
    <row r="14" spans="1:62" ht="60" customHeight="1" x14ac:dyDescent="0.3">
      <c r="Q14" s="125" t="s">
        <v>8</v>
      </c>
      <c r="R14" s="116">
        <v>2</v>
      </c>
      <c r="S14" s="117">
        <v>1</v>
      </c>
      <c r="T14" s="117">
        <v>0</v>
      </c>
      <c r="U14" s="117">
        <v>1</v>
      </c>
      <c r="V14" s="118">
        <v>2</v>
      </c>
    </row>
    <row r="15" spans="1:62" ht="60" customHeight="1" x14ac:dyDescent="0.3">
      <c r="Q15" s="125" t="s">
        <v>9</v>
      </c>
      <c r="R15" s="119">
        <v>2</v>
      </c>
      <c r="S15" s="120">
        <v>1</v>
      </c>
      <c r="T15" s="120">
        <v>0</v>
      </c>
      <c r="U15" s="120">
        <v>2</v>
      </c>
      <c r="V15" s="121">
        <v>1</v>
      </c>
    </row>
    <row r="16" spans="1:62" ht="60" customHeight="1" x14ac:dyDescent="0.3">
      <c r="Q16" s="125" t="s">
        <v>10</v>
      </c>
      <c r="R16" s="119">
        <v>1</v>
      </c>
      <c r="S16" s="120">
        <v>1</v>
      </c>
      <c r="T16" s="120">
        <v>5</v>
      </c>
      <c r="U16" s="120">
        <v>3</v>
      </c>
      <c r="V16" s="121">
        <v>2</v>
      </c>
    </row>
    <row r="17" spans="17:22" ht="60" customHeight="1" thickBot="1" x14ac:dyDescent="0.35">
      <c r="Q17" s="126" t="s">
        <v>11</v>
      </c>
      <c r="R17" s="122">
        <v>4</v>
      </c>
      <c r="S17" s="123">
        <v>1</v>
      </c>
      <c r="T17" s="123">
        <v>0</v>
      </c>
      <c r="U17" s="123">
        <v>4</v>
      </c>
      <c r="V17" s="124">
        <v>1</v>
      </c>
    </row>
    <row r="18" spans="17:22" ht="14.45" x14ac:dyDescent="0.3">
      <c r="Q18" s="109"/>
      <c r="R18" s="109"/>
      <c r="S18" s="109"/>
      <c r="T18" s="109"/>
      <c r="U18" s="109"/>
      <c r="V18" s="109"/>
    </row>
    <row r="19" spans="17:22" ht="14.45" x14ac:dyDescent="0.3">
      <c r="Q19" s="109"/>
      <c r="R19" s="109"/>
      <c r="S19" s="109"/>
      <c r="T19" s="109"/>
      <c r="U19" s="109"/>
      <c r="V19" s="109"/>
    </row>
    <row r="20" spans="17:22" ht="14.45" customHeight="1" x14ac:dyDescent="0.3">
      <c r="Q20" s="109"/>
      <c r="R20" s="109"/>
      <c r="S20" s="109"/>
      <c r="T20" s="109"/>
      <c r="U20" s="109"/>
      <c r="V20" s="109"/>
    </row>
    <row r="21" spans="17:22" ht="14.45" customHeight="1" thickBot="1" x14ac:dyDescent="0.35">
      <c r="Q21" s="109"/>
      <c r="R21" s="109"/>
      <c r="S21" s="109"/>
      <c r="T21" s="109"/>
      <c r="U21" s="109"/>
      <c r="V21" s="109"/>
    </row>
    <row r="22" spans="17:22" ht="25.5" customHeight="1" x14ac:dyDescent="0.25">
      <c r="Q22" s="109"/>
      <c r="R22" s="447"/>
      <c r="S22" s="448"/>
      <c r="T22" s="448"/>
      <c r="U22" s="449"/>
      <c r="V22" s="109"/>
    </row>
    <row r="23" spans="17:22" ht="25.5" customHeight="1" x14ac:dyDescent="0.25">
      <c r="Q23" s="109"/>
      <c r="R23" s="450"/>
      <c r="S23" s="451"/>
      <c r="T23" s="451"/>
      <c r="U23" s="452"/>
      <c r="V23" s="109"/>
    </row>
    <row r="24" spans="17:22" ht="37.5" customHeight="1" x14ac:dyDescent="0.25">
      <c r="Q24" s="109"/>
      <c r="R24" s="433" t="s">
        <v>12</v>
      </c>
      <c r="S24" s="434"/>
      <c r="T24" s="437">
        <v>1</v>
      </c>
      <c r="U24" s="439"/>
      <c r="V24" s="109"/>
    </row>
    <row r="25" spans="17:22" ht="37.5" customHeight="1" x14ac:dyDescent="0.25">
      <c r="Q25" s="109"/>
      <c r="R25" s="435"/>
      <c r="S25" s="436"/>
      <c r="T25" s="438"/>
      <c r="U25" s="440"/>
      <c r="V25" s="109"/>
    </row>
    <row r="26" spans="17:22" ht="15" customHeight="1" x14ac:dyDescent="0.25">
      <c r="Q26" s="109"/>
      <c r="R26" s="3"/>
      <c r="S26" s="4"/>
      <c r="T26" s="5" t="s">
        <v>13</v>
      </c>
      <c r="U26" s="6" t="s">
        <v>13</v>
      </c>
      <c r="V26" s="109"/>
    </row>
    <row r="27" spans="17:22" ht="22.9" x14ac:dyDescent="0.3">
      <c r="Q27" s="109"/>
      <c r="R27" s="431" t="s">
        <v>3</v>
      </c>
      <c r="S27" s="432"/>
      <c r="T27" s="127" t="e">
        <f>VLOOKUP(R22,Q14:V17,2,FALSE)*T24</f>
        <v>#N/A</v>
      </c>
      <c r="U27" s="7"/>
      <c r="V27" s="109"/>
    </row>
    <row r="28" spans="17:22" ht="28.5" x14ac:dyDescent="0.35">
      <c r="Q28" s="109"/>
      <c r="R28" s="128"/>
      <c r="S28" s="129" t="s">
        <v>13</v>
      </c>
      <c r="T28" s="10" t="s">
        <v>13</v>
      </c>
      <c r="U28" s="6" t="s">
        <v>13</v>
      </c>
      <c r="V28" s="109"/>
    </row>
    <row r="29" spans="17:22" ht="22.9" x14ac:dyDescent="0.3">
      <c r="Q29" s="109"/>
      <c r="R29" s="431" t="s">
        <v>4</v>
      </c>
      <c r="S29" s="432"/>
      <c r="T29" s="127" t="e">
        <f>VLOOKUP(R22,Q14:V17,3,FALSE)*T24</f>
        <v>#N/A</v>
      </c>
      <c r="U29" s="7"/>
      <c r="V29" s="109"/>
    </row>
    <row r="30" spans="17:22" ht="28.5" x14ac:dyDescent="0.25">
      <c r="Q30" s="109"/>
      <c r="R30" s="130"/>
      <c r="S30" s="129" t="s">
        <v>13</v>
      </c>
      <c r="T30" s="10" t="s">
        <v>13</v>
      </c>
      <c r="U30" s="6" t="s">
        <v>13</v>
      </c>
      <c r="V30" s="109"/>
    </row>
    <row r="31" spans="17:22" ht="22.9" x14ac:dyDescent="0.3">
      <c r="Q31" s="109"/>
      <c r="R31" s="431" t="s">
        <v>5</v>
      </c>
      <c r="S31" s="432"/>
      <c r="T31" s="127" t="e">
        <f>VLOOKUP(R22,Q14:V17,4,FALSE)*T24</f>
        <v>#N/A</v>
      </c>
      <c r="U31" s="7"/>
      <c r="V31" s="109"/>
    </row>
    <row r="32" spans="17:22" ht="28.5" x14ac:dyDescent="0.35">
      <c r="Q32" s="109"/>
      <c r="R32" s="128"/>
      <c r="S32" s="129" t="s">
        <v>13</v>
      </c>
      <c r="T32" s="10" t="s">
        <v>13</v>
      </c>
      <c r="U32" s="6" t="s">
        <v>13</v>
      </c>
      <c r="V32" s="109"/>
    </row>
    <row r="33" spans="17:22" ht="22.9" x14ac:dyDescent="0.3">
      <c r="Q33" s="109"/>
      <c r="R33" s="431" t="s">
        <v>6</v>
      </c>
      <c r="S33" s="432"/>
      <c r="T33" s="127" t="e">
        <f>VLOOKUP(R22,Q14:V17,5,FALSE)*T24</f>
        <v>#N/A</v>
      </c>
      <c r="U33" s="7"/>
      <c r="V33" s="109"/>
    </row>
    <row r="34" spans="17:22" ht="28.9" x14ac:dyDescent="0.3">
      <c r="Q34" s="109"/>
      <c r="R34" s="130"/>
      <c r="S34" s="129"/>
      <c r="T34" s="131"/>
      <c r="U34" s="6"/>
      <c r="V34" s="109"/>
    </row>
    <row r="35" spans="17:22" ht="22.9" x14ac:dyDescent="0.3">
      <c r="Q35" s="109"/>
      <c r="R35" s="431" t="s">
        <v>7</v>
      </c>
      <c r="S35" s="432"/>
      <c r="T35" s="127" t="e">
        <f>VLOOKUP(R22,Q14:V17,6,FALSE)*T24</f>
        <v>#N/A</v>
      </c>
      <c r="U35" s="7"/>
      <c r="V35" s="109"/>
    </row>
    <row r="36" spans="17:22" ht="28.9" x14ac:dyDescent="0.3">
      <c r="Q36" s="109"/>
      <c r="R36" s="3"/>
      <c r="S36" s="10"/>
      <c r="T36" s="9"/>
      <c r="U36" s="11"/>
      <c r="V36" s="109"/>
    </row>
    <row r="37" spans="17:22" ht="28.9" x14ac:dyDescent="0.3">
      <c r="Q37" s="109"/>
      <c r="R37" s="3"/>
      <c r="S37" s="10"/>
      <c r="T37" s="9"/>
      <c r="U37" s="11"/>
      <c r="V37" s="109"/>
    </row>
    <row r="38" spans="17:22" ht="28.9" x14ac:dyDescent="0.55000000000000004">
      <c r="Q38" s="109"/>
      <c r="R38" s="3"/>
      <c r="S38" s="12"/>
      <c r="T38" s="12"/>
      <c r="U38" s="13"/>
      <c r="V38" s="109"/>
    </row>
    <row r="39" spans="17:22" ht="29.45" thickBot="1" x14ac:dyDescent="0.6">
      <c r="Q39" s="109"/>
      <c r="R39" s="14"/>
      <c r="S39" s="15"/>
      <c r="T39" s="15"/>
      <c r="U39" s="16"/>
      <c r="V39" s="109"/>
    </row>
    <row r="40" spans="17:22" ht="14.45" x14ac:dyDescent="0.3">
      <c r="Q40" s="109"/>
      <c r="R40" s="109"/>
      <c r="S40" s="109"/>
      <c r="T40" s="109"/>
      <c r="U40" s="109"/>
      <c r="V40" s="109"/>
    </row>
  </sheetData>
  <mergeCells count="18">
    <mergeCell ref="AF4:BJ4"/>
    <mergeCell ref="A5:AE5"/>
    <mergeCell ref="A6:AE6"/>
    <mergeCell ref="A7:AE7"/>
    <mergeCell ref="AF5:BJ5"/>
    <mergeCell ref="AF6:BJ6"/>
    <mergeCell ref="AF7:BJ7"/>
    <mergeCell ref="A4:AE4"/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/>
    <dataValidation type="list" allowBlank="1" showInputMessage="1" showErrorMessage="1" sqref="R22">
      <formula1>$L$16:$L$19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A1:BA63"/>
  <sheetViews>
    <sheetView topLeftCell="C1" zoomScale="40" zoomScaleNormal="40" workbookViewId="0">
      <selection activeCell="H14" sqref="H14"/>
    </sheetView>
  </sheetViews>
  <sheetFormatPr defaultRowHeight="15" x14ac:dyDescent="0.25"/>
  <cols>
    <col min="8" max="8" width="8.85546875" customWidth="1"/>
    <col min="10" max="10" width="35.7109375" customWidth="1"/>
    <col min="14" max="14" width="23.42578125" bestFit="1" customWidth="1"/>
    <col min="16" max="16" width="11.42578125" customWidth="1"/>
    <col min="18" max="18" width="47.42578125" customWidth="1"/>
    <col min="23" max="23" width="17.28515625" customWidth="1"/>
    <col min="24" max="24" width="6.28515625" customWidth="1"/>
    <col min="25" max="25" width="28.28515625" customWidth="1"/>
    <col min="27" max="27" width="6.28515625" customWidth="1"/>
    <col min="28" max="28" width="10.5703125" customWidth="1"/>
    <col min="29" max="29" width="39.42578125" customWidth="1"/>
    <col min="30" max="30" width="8.85546875" customWidth="1"/>
    <col min="31" max="31" width="39.42578125" customWidth="1"/>
    <col min="32" max="32" width="8.85546875" customWidth="1"/>
    <col min="33" max="33" width="35.7109375" customWidth="1"/>
  </cols>
  <sheetData>
    <row r="1" spans="1:53" s="109" customFormat="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</row>
    <row r="2" spans="1:53" s="109" customFormat="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</row>
    <row r="3" spans="1:53" ht="61.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</row>
    <row r="4" spans="1:53" ht="46.15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ht="14.45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09" customFormat="1" ht="14.45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ht="14.4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9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9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9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9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73"/>
      <c r="P11" s="73"/>
      <c r="Q11" s="73"/>
      <c r="R11" s="73"/>
      <c r="S11" s="145"/>
      <c r="T11" s="149"/>
      <c r="U11" s="149"/>
      <c r="V11" s="149"/>
      <c r="W11" s="149"/>
      <c r="X11" s="149"/>
      <c r="Y11" s="149"/>
      <c r="Z11" s="149"/>
      <c r="AA11" s="149"/>
      <c r="AB11" s="73"/>
      <c r="AC11" s="73"/>
      <c r="AD11" s="73"/>
      <c r="AE11" s="73"/>
      <c r="AF11" s="73"/>
    </row>
    <row r="12" spans="1:53" ht="28.9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33"/>
      <c r="R12" s="462" t="s">
        <v>14</v>
      </c>
      <c r="S12" s="463"/>
      <c r="T12" s="463"/>
      <c r="U12" s="463"/>
      <c r="V12" s="463"/>
      <c r="W12" s="463"/>
      <c r="X12" s="463"/>
      <c r="Y12" s="463"/>
      <c r="Z12" s="463"/>
      <c r="AA12" s="464"/>
      <c r="AB12" s="1"/>
      <c r="AC12" s="1"/>
      <c r="AD12" s="1"/>
      <c r="AE12" s="73"/>
      <c r="AF12" s="73"/>
    </row>
    <row r="13" spans="1:53" ht="28.9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09"/>
      <c r="N13" s="109"/>
      <c r="O13" s="1"/>
      <c r="P13" s="1"/>
      <c r="Q13" s="133"/>
      <c r="R13" s="465"/>
      <c r="S13" s="466"/>
      <c r="T13" s="466"/>
      <c r="U13" s="466"/>
      <c r="V13" s="466"/>
      <c r="W13" s="466"/>
      <c r="X13" s="466"/>
      <c r="Y13" s="466"/>
      <c r="Z13" s="466"/>
      <c r="AA13" s="467"/>
      <c r="AB13" s="109"/>
      <c r="AC13" s="1"/>
      <c r="AD13" s="109"/>
      <c r="AE13" s="73"/>
      <c r="AF13" s="73"/>
    </row>
    <row r="14" spans="1:53" ht="28.9" customHeight="1" x14ac:dyDescent="0.25">
      <c r="A14" s="1"/>
      <c r="B14" s="1"/>
      <c r="C14" s="1"/>
      <c r="D14" s="1"/>
      <c r="M14" s="109"/>
      <c r="N14" s="109"/>
      <c r="O14" s="134"/>
      <c r="P14" s="134"/>
      <c r="Q14" s="133"/>
      <c r="R14" s="468" t="s">
        <v>15</v>
      </c>
      <c r="S14" s="469"/>
      <c r="T14" s="469"/>
      <c r="U14" s="469"/>
      <c r="V14" s="469"/>
      <c r="W14" s="469"/>
      <c r="X14" s="469"/>
      <c r="Y14" s="469"/>
      <c r="Z14" s="469"/>
      <c r="AA14" s="470"/>
      <c r="AB14" s="109"/>
      <c r="AC14" s="1"/>
      <c r="AD14" s="109"/>
      <c r="AE14" s="73"/>
      <c r="AF14" s="73"/>
    </row>
    <row r="15" spans="1:53" ht="28.9" customHeight="1" thickBot="1" x14ac:dyDescent="0.3">
      <c r="A15" s="1"/>
      <c r="B15" s="1"/>
      <c r="C15" s="1"/>
      <c r="D15" s="1"/>
      <c r="M15" s="109"/>
      <c r="N15" s="109"/>
      <c r="O15" s="134"/>
      <c r="P15" s="134"/>
      <c r="Q15" s="133"/>
      <c r="R15" s="471"/>
      <c r="S15" s="472"/>
      <c r="T15" s="472"/>
      <c r="U15" s="472"/>
      <c r="V15" s="472"/>
      <c r="W15" s="472"/>
      <c r="X15" s="472"/>
      <c r="Y15" s="472"/>
      <c r="Z15" s="472"/>
      <c r="AA15" s="473"/>
      <c r="AB15" s="109"/>
      <c r="AC15" s="1"/>
      <c r="AD15" s="109"/>
      <c r="AE15" s="73"/>
      <c r="AF15" s="73"/>
    </row>
    <row r="16" spans="1:53" ht="28.9" customHeight="1" x14ac:dyDescent="0.3">
      <c r="A16" s="1"/>
      <c r="B16" s="1"/>
      <c r="C16" s="1"/>
      <c r="D16" s="1"/>
      <c r="M16" s="109"/>
      <c r="N16" s="109"/>
      <c r="O16" s="134"/>
      <c r="P16" s="134"/>
      <c r="Q16" s="134"/>
      <c r="R16" s="134"/>
      <c r="S16" s="134"/>
      <c r="T16" s="134"/>
      <c r="U16" s="134"/>
      <c r="V16" s="134"/>
      <c r="W16" s="134"/>
      <c r="X16" s="1"/>
      <c r="Y16" s="1"/>
      <c r="Z16" s="1"/>
      <c r="AA16" s="1"/>
      <c r="AB16" s="1"/>
      <c r="AC16" s="1"/>
      <c r="AD16" s="109"/>
      <c r="AE16" s="73"/>
      <c r="AF16" s="73"/>
    </row>
    <row r="17" spans="1:32" ht="28.9" customHeight="1" thickBot="1" x14ac:dyDescent="0.35">
      <c r="A17" s="1"/>
      <c r="B17" s="1"/>
      <c r="C17" s="1"/>
      <c r="D17" s="1"/>
      <c r="M17" s="109"/>
      <c r="N17" s="109"/>
      <c r="O17" s="133"/>
      <c r="P17" s="133"/>
      <c r="Q17" s="133"/>
      <c r="R17" s="133"/>
      <c r="S17" s="133"/>
      <c r="T17" s="133"/>
      <c r="U17" s="134"/>
      <c r="V17" s="134"/>
      <c r="W17" s="134"/>
      <c r="X17" s="134"/>
      <c r="Y17" s="134"/>
      <c r="Z17" s="134"/>
      <c r="AA17" s="134"/>
      <c r="AB17" s="1"/>
      <c r="AC17" s="1"/>
      <c r="AD17" s="109"/>
      <c r="AE17" s="150"/>
      <c r="AF17" s="150"/>
    </row>
    <row r="18" spans="1:32" ht="28.9" customHeight="1" x14ac:dyDescent="0.25">
      <c r="A18" s="1"/>
      <c r="B18" s="1"/>
      <c r="C18" s="1"/>
      <c r="D18" s="1"/>
      <c r="M18" s="453" t="s">
        <v>16</v>
      </c>
      <c r="N18" s="454"/>
      <c r="O18" s="454"/>
      <c r="P18" s="454"/>
      <c r="Q18" s="454"/>
      <c r="R18" s="454"/>
      <c r="S18" s="455"/>
      <c r="T18" s="133"/>
      <c r="U18" s="133"/>
      <c r="V18" s="134"/>
      <c r="W18" s="133"/>
      <c r="X18" s="453" t="s">
        <v>16</v>
      </c>
      <c r="Y18" s="454"/>
      <c r="Z18" s="454"/>
      <c r="AA18" s="454"/>
      <c r="AB18" s="454"/>
      <c r="AC18" s="454"/>
      <c r="AD18" s="455"/>
      <c r="AE18" s="150"/>
      <c r="AF18" s="150"/>
    </row>
    <row r="19" spans="1:32" ht="28.9" customHeight="1" x14ac:dyDescent="0.25">
      <c r="A19" s="1"/>
      <c r="B19" s="1"/>
      <c r="C19" s="1"/>
      <c r="D19" s="1"/>
      <c r="M19" s="456"/>
      <c r="N19" s="457"/>
      <c r="O19" s="457"/>
      <c r="P19" s="457"/>
      <c r="Q19" s="457"/>
      <c r="R19" s="457"/>
      <c r="S19" s="458"/>
      <c r="T19" s="133"/>
      <c r="U19" s="133"/>
      <c r="V19" s="134"/>
      <c r="W19" s="133"/>
      <c r="X19" s="456"/>
      <c r="Y19" s="457"/>
      <c r="Z19" s="457"/>
      <c r="AA19" s="457"/>
      <c r="AB19" s="457"/>
      <c r="AC19" s="457"/>
      <c r="AD19" s="458"/>
      <c r="AE19" s="150"/>
      <c r="AF19" s="150"/>
    </row>
    <row r="20" spans="1:32" ht="28.9" customHeight="1" thickBot="1" x14ac:dyDescent="0.5">
      <c r="A20" s="1"/>
      <c r="B20" s="1"/>
      <c r="C20" s="1"/>
      <c r="D20" s="1"/>
      <c r="M20" s="459"/>
      <c r="N20" s="460"/>
      <c r="O20" s="460"/>
      <c r="P20" s="460"/>
      <c r="Q20" s="460"/>
      <c r="R20" s="460"/>
      <c r="S20" s="461"/>
      <c r="T20" s="133"/>
      <c r="U20" s="133"/>
      <c r="V20" s="134"/>
      <c r="W20" s="133"/>
      <c r="X20" s="459"/>
      <c r="Y20" s="460"/>
      <c r="Z20" s="460"/>
      <c r="AA20" s="460"/>
      <c r="AB20" s="460"/>
      <c r="AC20" s="460"/>
      <c r="AD20" s="461"/>
      <c r="AE20" s="54"/>
      <c r="AF20" s="54"/>
    </row>
    <row r="21" spans="1:32" ht="28.9" customHeight="1" x14ac:dyDescent="0.45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37" t="s">
        <v>13</v>
      </c>
      <c r="T21" s="133"/>
      <c r="U21" s="133"/>
      <c r="V21" s="134"/>
      <c r="W21" s="133"/>
      <c r="X21" s="52" t="s">
        <v>13</v>
      </c>
      <c r="Y21" s="136" t="s">
        <v>13</v>
      </c>
      <c r="Z21" s="136" t="s">
        <v>13</v>
      </c>
      <c r="AA21" s="136" t="s">
        <v>13</v>
      </c>
      <c r="AB21" s="136" t="s">
        <v>13</v>
      </c>
      <c r="AC21" s="12" t="s">
        <v>13</v>
      </c>
      <c r="AD21" s="13" t="s">
        <v>13</v>
      </c>
      <c r="AE21" s="74"/>
      <c r="AF21" s="54"/>
    </row>
    <row r="22" spans="1:32" ht="28.9" customHeight="1" x14ac:dyDescent="0.45">
      <c r="A22" s="1"/>
      <c r="B22" s="1"/>
      <c r="C22" s="1"/>
      <c r="D22" s="1"/>
      <c r="M22" s="17" t="s">
        <v>13</v>
      </c>
      <c r="N22" s="135" t="s">
        <v>17</v>
      </c>
      <c r="O22" s="18"/>
      <c r="P22" s="19" t="s">
        <v>13</v>
      </c>
      <c r="Q22" s="19" t="s">
        <v>13</v>
      </c>
      <c r="R22" s="132" t="s">
        <v>18</v>
      </c>
      <c r="S22" s="137" t="s">
        <v>13</v>
      </c>
      <c r="T22" s="133"/>
      <c r="U22" s="133"/>
      <c r="V22" s="134"/>
      <c r="W22" s="133"/>
      <c r="X22" s="52" t="s">
        <v>13</v>
      </c>
      <c r="Y22" s="138" t="s">
        <v>17</v>
      </c>
      <c r="Z22" s="139"/>
      <c r="AA22" s="136" t="s">
        <v>13</v>
      </c>
      <c r="AB22" s="136" t="s">
        <v>13</v>
      </c>
      <c r="AC22" s="132" t="s">
        <v>19</v>
      </c>
      <c r="AD22" s="13" t="s">
        <v>13</v>
      </c>
      <c r="AE22" s="54"/>
      <c r="AF22" s="54"/>
    </row>
    <row r="23" spans="1:32" ht="28.9" customHeight="1" x14ac:dyDescent="0.45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09"/>
      <c r="U23" s="109"/>
      <c r="V23" s="1"/>
      <c r="W23" s="109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4"/>
      <c r="AF23" s="54"/>
    </row>
    <row r="24" spans="1:32" ht="28.9" customHeight="1" x14ac:dyDescent="0.45">
      <c r="A24" s="1"/>
      <c r="B24" s="1"/>
      <c r="C24" s="1"/>
      <c r="D24" s="1"/>
      <c r="M24" s="17" t="s">
        <v>13</v>
      </c>
      <c r="N24" s="135" t="s">
        <v>20</v>
      </c>
      <c r="O24" s="18"/>
      <c r="P24" s="19" t="s">
        <v>13</v>
      </c>
      <c r="Q24" s="19" t="s">
        <v>13</v>
      </c>
      <c r="R24" s="132" t="s">
        <v>21</v>
      </c>
      <c r="S24" s="137" t="s">
        <v>13</v>
      </c>
      <c r="T24" s="133"/>
      <c r="U24" s="133"/>
      <c r="V24" s="134"/>
      <c r="W24" s="133"/>
      <c r="X24" s="52" t="s">
        <v>13</v>
      </c>
      <c r="Y24" s="138" t="s">
        <v>20</v>
      </c>
      <c r="Z24" s="18"/>
      <c r="AA24" s="19" t="s">
        <v>13</v>
      </c>
      <c r="AB24" s="19" t="s">
        <v>13</v>
      </c>
      <c r="AC24" s="132" t="s">
        <v>22</v>
      </c>
      <c r="AD24" s="13" t="s">
        <v>13</v>
      </c>
      <c r="AE24" s="54"/>
      <c r="AF24" s="54"/>
    </row>
    <row r="25" spans="1:32" ht="28.9" customHeight="1" x14ac:dyDescent="0.45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40" t="s">
        <v>13</v>
      </c>
      <c r="S25" s="137" t="s">
        <v>13</v>
      </c>
      <c r="T25" s="133"/>
      <c r="U25" s="133"/>
      <c r="V25" s="134"/>
      <c r="W25" s="133"/>
      <c r="X25" s="52" t="s">
        <v>13</v>
      </c>
      <c r="Y25" s="136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54"/>
      <c r="AF25" s="54"/>
    </row>
    <row r="26" spans="1:32" ht="28.9" customHeight="1" thickBot="1" x14ac:dyDescent="0.5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41" t="s">
        <v>13</v>
      </c>
      <c r="S26" s="142" t="s">
        <v>13</v>
      </c>
      <c r="T26" s="133"/>
      <c r="U26" s="133"/>
      <c r="V26" s="134"/>
      <c r="W26" s="133"/>
      <c r="X26" s="143" t="s">
        <v>13</v>
      </c>
      <c r="Y26" s="144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73"/>
      <c r="AF26" s="73"/>
    </row>
    <row r="27" spans="1:32" ht="28.9" customHeight="1" x14ac:dyDescent="0.3">
      <c r="A27" s="1"/>
      <c r="B27" s="1"/>
      <c r="C27" s="1"/>
      <c r="D27" s="1"/>
      <c r="M27" s="109"/>
      <c r="N27" s="109"/>
      <c r="O27" s="109"/>
      <c r="P27" s="109"/>
      <c r="Q27" s="109"/>
      <c r="R27" s="133"/>
      <c r="S27" s="133"/>
      <c r="T27" s="133"/>
      <c r="U27" s="134"/>
      <c r="V27" s="134"/>
      <c r="W27" s="134"/>
      <c r="X27" s="134"/>
      <c r="Y27" s="134"/>
      <c r="Z27" s="1"/>
      <c r="AA27" s="1"/>
      <c r="AB27" s="1"/>
      <c r="AC27" s="1"/>
      <c r="AD27" s="109"/>
      <c r="AE27" s="73"/>
      <c r="AF27" s="73"/>
    </row>
    <row r="28" spans="1:32" ht="28.9" customHeight="1" thickBot="1" x14ac:dyDescent="0.35">
      <c r="A28" s="1"/>
      <c r="B28" s="1"/>
      <c r="C28" s="1"/>
      <c r="D28" s="1"/>
      <c r="M28" s="109"/>
      <c r="N28" s="109"/>
      <c r="O28" s="1"/>
      <c r="P28" s="1"/>
      <c r="Q28" s="1"/>
      <c r="R28" s="1"/>
      <c r="S28" s="1"/>
      <c r="T28" s="1"/>
      <c r="U28" s="134"/>
      <c r="V28" s="134"/>
      <c r="W28" s="134"/>
      <c r="X28" s="134"/>
      <c r="Y28" s="134"/>
      <c r="Z28" s="134"/>
      <c r="AA28" s="134"/>
      <c r="AB28" s="1"/>
      <c r="AC28" s="1"/>
      <c r="AD28" s="109"/>
      <c r="AE28" s="150"/>
      <c r="AF28" s="150"/>
    </row>
    <row r="29" spans="1:32" ht="28.9" customHeight="1" x14ac:dyDescent="0.25">
      <c r="A29" s="1"/>
      <c r="B29" s="1"/>
      <c r="C29" s="1"/>
      <c r="D29" s="1"/>
      <c r="M29" s="453" t="s">
        <v>16</v>
      </c>
      <c r="N29" s="454"/>
      <c r="O29" s="454"/>
      <c r="P29" s="454"/>
      <c r="Q29" s="454"/>
      <c r="R29" s="454"/>
      <c r="S29" s="455"/>
      <c r="T29" s="109"/>
      <c r="U29" s="133"/>
      <c r="V29" s="134"/>
      <c r="W29" s="133"/>
      <c r="X29" s="453" t="s">
        <v>16</v>
      </c>
      <c r="Y29" s="454"/>
      <c r="Z29" s="454"/>
      <c r="AA29" s="454"/>
      <c r="AB29" s="454"/>
      <c r="AC29" s="454"/>
      <c r="AD29" s="455"/>
      <c r="AE29" s="150"/>
      <c r="AF29" s="150"/>
    </row>
    <row r="30" spans="1:32" ht="28.9" customHeight="1" x14ac:dyDescent="0.25">
      <c r="A30" s="1"/>
      <c r="B30" s="1"/>
      <c r="C30" s="1"/>
      <c r="D30" s="1"/>
      <c r="M30" s="456"/>
      <c r="N30" s="457"/>
      <c r="O30" s="457"/>
      <c r="P30" s="457"/>
      <c r="Q30" s="457"/>
      <c r="R30" s="457"/>
      <c r="S30" s="458"/>
      <c r="T30" s="133"/>
      <c r="U30" s="133"/>
      <c r="V30" s="134"/>
      <c r="W30" s="133"/>
      <c r="X30" s="456"/>
      <c r="Y30" s="457"/>
      <c r="Z30" s="457"/>
      <c r="AA30" s="457"/>
      <c r="AB30" s="457"/>
      <c r="AC30" s="457"/>
      <c r="AD30" s="458"/>
      <c r="AE30" s="150"/>
      <c r="AF30" s="150"/>
    </row>
    <row r="31" spans="1:32" ht="28.9" customHeight="1" thickBot="1" x14ac:dyDescent="0.5">
      <c r="A31" s="1"/>
      <c r="B31" s="1"/>
      <c r="C31" s="1"/>
      <c r="D31" s="1"/>
      <c r="M31" s="459"/>
      <c r="N31" s="460"/>
      <c r="O31" s="460"/>
      <c r="P31" s="460"/>
      <c r="Q31" s="460"/>
      <c r="R31" s="460"/>
      <c r="S31" s="461"/>
      <c r="T31" s="133"/>
      <c r="U31" s="133"/>
      <c r="V31" s="134"/>
      <c r="W31" s="133"/>
      <c r="X31" s="459"/>
      <c r="Y31" s="460"/>
      <c r="Z31" s="460"/>
      <c r="AA31" s="460"/>
      <c r="AB31" s="460"/>
      <c r="AC31" s="460"/>
      <c r="AD31" s="461"/>
      <c r="AE31" s="54"/>
      <c r="AF31" s="54"/>
    </row>
    <row r="32" spans="1:32" ht="28.9" customHeight="1" x14ac:dyDescent="0.45">
      <c r="A32" s="1"/>
      <c r="B32" s="1"/>
      <c r="C32" s="1"/>
      <c r="D32" s="1"/>
      <c r="M32" s="17" t="s">
        <v>13</v>
      </c>
      <c r="N32" s="55" t="s">
        <v>13</v>
      </c>
      <c r="O32" s="55" t="s">
        <v>13</v>
      </c>
      <c r="P32" s="55" t="s">
        <v>13</v>
      </c>
      <c r="Q32" s="55" t="s">
        <v>13</v>
      </c>
      <c r="R32" s="57" t="s">
        <v>13</v>
      </c>
      <c r="S32" s="137" t="s">
        <v>13</v>
      </c>
      <c r="T32" s="133"/>
      <c r="U32" s="133"/>
      <c r="V32" s="134"/>
      <c r="W32" s="133"/>
      <c r="X32" s="52" t="s">
        <v>13</v>
      </c>
      <c r="Y32" s="51" t="s">
        <v>13</v>
      </c>
      <c r="Z32" s="51" t="s">
        <v>13</v>
      </c>
      <c r="AA32" s="51" t="s">
        <v>13</v>
      </c>
      <c r="AB32" s="51" t="s">
        <v>13</v>
      </c>
      <c r="AC32" s="57" t="s">
        <v>13</v>
      </c>
      <c r="AD32" s="13" t="s">
        <v>13</v>
      </c>
      <c r="AE32" s="74"/>
      <c r="AF32" s="54"/>
    </row>
    <row r="33" spans="1:32" ht="28.9" customHeight="1" x14ac:dyDescent="0.45">
      <c r="A33" s="1"/>
      <c r="B33" s="1"/>
      <c r="C33" s="1"/>
      <c r="D33" s="1"/>
      <c r="M33" s="17" t="s">
        <v>13</v>
      </c>
      <c r="N33" s="147" t="s">
        <v>17</v>
      </c>
      <c r="O33" s="56"/>
      <c r="P33" s="55" t="s">
        <v>13</v>
      </c>
      <c r="Q33" s="55" t="s">
        <v>13</v>
      </c>
      <c r="R33" s="132" t="s">
        <v>23</v>
      </c>
      <c r="S33" s="137" t="s">
        <v>13</v>
      </c>
      <c r="T33" s="133"/>
      <c r="U33" s="133"/>
      <c r="V33" s="134"/>
      <c r="W33" s="133"/>
      <c r="X33" s="52" t="s">
        <v>13</v>
      </c>
      <c r="Y33" s="148" t="s">
        <v>17</v>
      </c>
      <c r="Z33" s="75"/>
      <c r="AA33" s="51" t="s">
        <v>13</v>
      </c>
      <c r="AB33" s="51" t="s">
        <v>13</v>
      </c>
      <c r="AC33" s="132" t="s">
        <v>24</v>
      </c>
      <c r="AD33" s="13" t="s">
        <v>13</v>
      </c>
      <c r="AE33" s="54"/>
      <c r="AF33" s="54"/>
    </row>
    <row r="34" spans="1:32" ht="28.9" customHeight="1" x14ac:dyDescent="0.45">
      <c r="A34" s="1"/>
      <c r="B34" s="1"/>
      <c r="C34" s="1"/>
      <c r="D34" s="1"/>
      <c r="M34" s="17" t="s">
        <v>13</v>
      </c>
      <c r="N34" s="55" t="s">
        <v>13</v>
      </c>
      <c r="O34" s="55" t="s">
        <v>13</v>
      </c>
      <c r="P34" s="55" t="s">
        <v>13</v>
      </c>
      <c r="Q34" s="55" t="s">
        <v>13</v>
      </c>
      <c r="R34" s="57" t="s">
        <v>13</v>
      </c>
      <c r="S34" s="13" t="s">
        <v>13</v>
      </c>
      <c r="T34" s="109"/>
      <c r="U34" s="109"/>
      <c r="V34" s="1"/>
      <c r="W34" s="109"/>
      <c r="X34" s="17" t="s">
        <v>13</v>
      </c>
      <c r="Y34" s="55" t="s">
        <v>13</v>
      </c>
      <c r="Z34" s="55" t="s">
        <v>13</v>
      </c>
      <c r="AA34" s="55" t="s">
        <v>13</v>
      </c>
      <c r="AB34" s="55" t="s">
        <v>13</v>
      </c>
      <c r="AC34" s="57" t="s">
        <v>13</v>
      </c>
      <c r="AD34" s="13" t="s">
        <v>13</v>
      </c>
      <c r="AE34" s="74"/>
      <c r="AF34" s="54"/>
    </row>
    <row r="35" spans="1:32" ht="28.9" customHeight="1" x14ac:dyDescent="0.45">
      <c r="A35" s="1"/>
      <c r="B35" s="1"/>
      <c r="C35" s="1"/>
      <c r="D35" s="1"/>
      <c r="M35" s="17" t="s">
        <v>13</v>
      </c>
      <c r="N35" s="147" t="s">
        <v>20</v>
      </c>
      <c r="O35" s="56"/>
      <c r="P35" s="55" t="s">
        <v>13</v>
      </c>
      <c r="Q35" s="55" t="s">
        <v>13</v>
      </c>
      <c r="R35" s="132" t="s">
        <v>25</v>
      </c>
      <c r="S35" s="13" t="s">
        <v>13</v>
      </c>
      <c r="T35" s="109"/>
      <c r="U35" s="109"/>
      <c r="V35" s="1"/>
      <c r="W35" s="109"/>
      <c r="X35" s="17" t="s">
        <v>13</v>
      </c>
      <c r="Y35" s="147" t="s">
        <v>20</v>
      </c>
      <c r="Z35" s="56"/>
      <c r="AA35" s="55" t="s">
        <v>13</v>
      </c>
      <c r="AB35" s="55" t="s">
        <v>13</v>
      </c>
      <c r="AC35" s="132" t="s">
        <v>26</v>
      </c>
      <c r="AD35" s="13" t="s">
        <v>13</v>
      </c>
      <c r="AE35" s="54"/>
      <c r="AF35" s="54"/>
    </row>
    <row r="36" spans="1:32" ht="28.9" customHeight="1" x14ac:dyDescent="0.45">
      <c r="A36" s="1"/>
      <c r="B36" s="1"/>
      <c r="C36" s="1"/>
      <c r="D36" s="1"/>
      <c r="M36" s="17" t="s">
        <v>13</v>
      </c>
      <c r="N36" s="55" t="s">
        <v>13</v>
      </c>
      <c r="O36" s="55" t="s">
        <v>13</v>
      </c>
      <c r="P36" s="55" t="s">
        <v>13</v>
      </c>
      <c r="Q36" s="55" t="s">
        <v>13</v>
      </c>
      <c r="R36" s="57" t="s">
        <v>13</v>
      </c>
      <c r="S36" s="13" t="s">
        <v>13</v>
      </c>
      <c r="T36" s="109"/>
      <c r="U36" s="109"/>
      <c r="V36" s="1"/>
      <c r="W36" s="109"/>
      <c r="X36" s="17" t="s">
        <v>13</v>
      </c>
      <c r="Y36" s="55" t="s">
        <v>13</v>
      </c>
      <c r="Z36" s="55" t="s">
        <v>13</v>
      </c>
      <c r="AA36" s="55" t="s">
        <v>13</v>
      </c>
      <c r="AB36" s="55" t="s">
        <v>13</v>
      </c>
      <c r="AC36" s="57" t="s">
        <v>13</v>
      </c>
      <c r="AD36" s="13" t="s">
        <v>13</v>
      </c>
      <c r="AE36" s="54"/>
      <c r="AF36" s="54"/>
    </row>
    <row r="37" spans="1:32" ht="28.9" customHeight="1" thickBot="1" x14ac:dyDescent="0.5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09"/>
      <c r="U37" s="109"/>
      <c r="V37" s="1"/>
      <c r="W37" s="109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9" customHeight="1" x14ac:dyDescent="0.3">
      <c r="A38" s="1"/>
      <c r="B38" s="1"/>
      <c r="C38" s="1"/>
      <c r="D38" s="1"/>
      <c r="O38" s="73"/>
      <c r="P38" s="73"/>
      <c r="Q38" s="73"/>
      <c r="R38" s="73"/>
      <c r="S38" s="145"/>
      <c r="T38" s="149"/>
      <c r="U38" s="149"/>
      <c r="V38" s="149"/>
      <c r="W38" s="149"/>
      <c r="X38" s="149"/>
      <c r="Y38" s="149"/>
      <c r="Z38" s="149"/>
      <c r="AA38" s="149"/>
      <c r="AB38" s="73"/>
      <c r="AC38" s="73"/>
      <c r="AD38" s="73"/>
      <c r="AE38" s="73"/>
      <c r="AF38" s="73"/>
    </row>
    <row r="39" spans="1:32" ht="28.9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3"/>
      <c r="P39" s="73"/>
      <c r="Q39" s="73"/>
      <c r="R39" s="73"/>
      <c r="S39" s="145"/>
      <c r="T39" s="149"/>
      <c r="U39" s="149"/>
      <c r="V39" s="149"/>
      <c r="W39" s="149"/>
      <c r="X39" s="149"/>
      <c r="Y39" s="149"/>
      <c r="Z39" s="149"/>
      <c r="AA39" s="149"/>
      <c r="AB39" s="73"/>
      <c r="AC39" s="73"/>
      <c r="AD39" s="73"/>
      <c r="AE39" s="73"/>
      <c r="AF39" s="73"/>
    </row>
    <row r="40" spans="1:32" ht="28.9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3"/>
      <c r="P40" s="73"/>
      <c r="Q40" s="145"/>
      <c r="R40" s="145"/>
      <c r="S40" s="145"/>
      <c r="T40" s="108"/>
      <c r="U40" s="108"/>
      <c r="V40" s="108"/>
      <c r="W40" s="108"/>
      <c r="X40" s="108"/>
      <c r="Y40" s="108"/>
      <c r="Z40" s="108"/>
      <c r="AA40" s="108"/>
      <c r="AB40" s="73"/>
      <c r="AC40" s="73"/>
      <c r="AD40" s="73"/>
      <c r="AE40" s="73"/>
      <c r="AF40" s="73"/>
    </row>
    <row r="41" spans="1:32" ht="28.9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73"/>
      <c r="P41" s="73"/>
      <c r="Q41" s="145"/>
      <c r="R41" s="145"/>
      <c r="S41" s="145"/>
      <c r="T41" s="108"/>
      <c r="U41" s="108"/>
      <c r="V41" s="108"/>
      <c r="W41" s="108"/>
      <c r="X41" s="108"/>
      <c r="Y41" s="108"/>
      <c r="Z41" s="108"/>
      <c r="AA41" s="108"/>
      <c r="AB41" s="73"/>
      <c r="AC41" s="73"/>
      <c r="AD41" s="73"/>
      <c r="AE41" s="73"/>
      <c r="AF41" s="73"/>
    </row>
    <row r="42" spans="1:32" ht="28.9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73"/>
      <c r="P42" s="73"/>
      <c r="Q42" s="145"/>
      <c r="R42" s="145"/>
      <c r="S42" s="145"/>
      <c r="T42" s="145"/>
      <c r="U42" s="145"/>
      <c r="V42" s="145"/>
      <c r="W42" s="145"/>
      <c r="X42" s="145"/>
      <c r="Y42" s="145"/>
      <c r="Z42" s="73"/>
      <c r="AA42" s="73"/>
      <c r="AB42" s="73"/>
      <c r="AC42" s="73"/>
      <c r="AD42" s="73"/>
      <c r="AE42" s="73"/>
      <c r="AF42" s="73"/>
    </row>
    <row r="43" spans="1:32" ht="28.9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73"/>
      <c r="P43" s="73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73"/>
      <c r="AE43" s="73"/>
      <c r="AF43" s="73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50"/>
      <c r="P44" s="150"/>
      <c r="Q44" s="150"/>
      <c r="R44" s="150"/>
      <c r="S44" s="150"/>
      <c r="T44" s="150"/>
      <c r="U44" s="150"/>
      <c r="V44" s="145"/>
      <c r="W44" s="145"/>
      <c r="X44" s="145"/>
      <c r="Y44" s="145"/>
      <c r="Z44" s="150"/>
      <c r="AA44" s="150"/>
      <c r="AB44" s="150"/>
      <c r="AC44" s="150"/>
      <c r="AD44" s="150"/>
      <c r="AE44" s="150"/>
      <c r="AF44" s="150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50"/>
      <c r="P45" s="150"/>
      <c r="Q45" s="150"/>
      <c r="R45" s="150"/>
      <c r="S45" s="150"/>
      <c r="T45" s="150"/>
      <c r="U45" s="150"/>
      <c r="V45" s="145"/>
      <c r="W45" s="145"/>
      <c r="X45" s="145"/>
      <c r="Y45" s="145"/>
      <c r="Z45" s="150"/>
      <c r="AA45" s="150"/>
      <c r="AB45" s="150"/>
      <c r="AC45" s="150"/>
      <c r="AD45" s="150"/>
      <c r="AE45" s="150"/>
      <c r="AF45" s="150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50"/>
      <c r="P46" s="150"/>
      <c r="Q46" s="150"/>
      <c r="R46" s="150"/>
      <c r="S46" s="150"/>
      <c r="T46" s="150"/>
      <c r="U46" s="150"/>
      <c r="V46" s="145"/>
      <c r="W46" s="145"/>
      <c r="X46" s="145"/>
      <c r="Y46" s="145"/>
      <c r="Z46" s="150"/>
      <c r="AA46" s="150"/>
      <c r="AB46" s="150"/>
      <c r="AC46" s="150"/>
      <c r="AD46" s="150"/>
      <c r="AE46" s="150"/>
      <c r="AF46" s="150"/>
    </row>
    <row r="47" spans="1:32" ht="28.9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51"/>
      <c r="P47" s="151"/>
      <c r="Q47" s="151"/>
      <c r="R47" s="151"/>
      <c r="S47" s="151"/>
      <c r="T47" s="54"/>
      <c r="U47" s="152"/>
      <c r="V47" s="145"/>
      <c r="W47" s="145"/>
      <c r="X47" s="145"/>
      <c r="Y47" s="145"/>
      <c r="Z47" s="76"/>
      <c r="AA47" s="76"/>
      <c r="AB47" s="76"/>
      <c r="AC47" s="76"/>
      <c r="AD47" s="76"/>
      <c r="AE47" s="54"/>
      <c r="AF47" s="54"/>
    </row>
    <row r="48" spans="1:32" ht="28.9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51"/>
      <c r="P48" s="153"/>
      <c r="Q48" s="154"/>
      <c r="R48" s="151"/>
      <c r="S48" s="151"/>
      <c r="T48" s="74"/>
      <c r="U48" s="152"/>
      <c r="V48" s="145"/>
      <c r="W48" s="145"/>
      <c r="X48" s="145"/>
      <c r="Y48" s="145"/>
      <c r="Z48" s="76"/>
      <c r="AA48" s="155"/>
      <c r="AB48" s="77"/>
      <c r="AC48" s="76"/>
      <c r="AD48" s="76"/>
      <c r="AE48" s="74"/>
      <c r="AF48" s="54"/>
    </row>
    <row r="49" spans="1:32" ht="28.9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51"/>
      <c r="P49" s="151"/>
      <c r="Q49" s="151"/>
      <c r="R49" s="151"/>
      <c r="S49" s="151"/>
      <c r="T49" s="54"/>
      <c r="U49" s="54"/>
      <c r="V49" s="73"/>
      <c r="W49" s="73"/>
      <c r="X49" s="73"/>
      <c r="Y49" s="73"/>
      <c r="Z49" s="151"/>
      <c r="AA49" s="151"/>
      <c r="AB49" s="151"/>
      <c r="AC49" s="151"/>
      <c r="AD49" s="151"/>
      <c r="AE49" s="54"/>
      <c r="AF49" s="54"/>
    </row>
    <row r="50" spans="1:32" ht="28.9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51"/>
      <c r="P50" s="153"/>
      <c r="Q50" s="154"/>
      <c r="R50" s="151"/>
      <c r="S50" s="151"/>
      <c r="T50" s="156"/>
      <c r="U50" s="152"/>
      <c r="V50" s="145"/>
      <c r="W50" s="145"/>
      <c r="X50" s="145"/>
      <c r="Y50" s="145"/>
      <c r="Z50" s="76"/>
      <c r="AA50" s="155"/>
      <c r="AB50" s="154"/>
      <c r="AC50" s="151"/>
      <c r="AD50" s="151"/>
      <c r="AE50" s="74"/>
      <c r="AF50" s="54"/>
    </row>
    <row r="51" spans="1:32" ht="28.9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51"/>
      <c r="P51" s="151"/>
      <c r="Q51" s="151"/>
      <c r="R51" s="151"/>
      <c r="S51" s="151"/>
      <c r="T51" s="152"/>
      <c r="U51" s="152"/>
      <c r="V51" s="145"/>
      <c r="W51" s="145"/>
      <c r="X51" s="145"/>
      <c r="Y51" s="145"/>
      <c r="Z51" s="76"/>
      <c r="AA51" s="76"/>
      <c r="AB51" s="151"/>
      <c r="AC51" s="151"/>
      <c r="AD51" s="151"/>
      <c r="AE51" s="54"/>
      <c r="AF51" s="54"/>
    </row>
    <row r="52" spans="1:32" ht="28.9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51"/>
      <c r="P52" s="151"/>
      <c r="Q52" s="151"/>
      <c r="R52" s="151"/>
      <c r="S52" s="151"/>
      <c r="T52" s="152"/>
      <c r="U52" s="152"/>
      <c r="V52" s="145"/>
      <c r="W52" s="145"/>
      <c r="X52" s="145"/>
      <c r="Y52" s="145"/>
      <c r="Z52" s="76"/>
      <c r="AA52" s="76"/>
      <c r="AB52" s="151"/>
      <c r="AC52" s="151"/>
      <c r="AD52" s="151"/>
      <c r="AE52" s="54"/>
      <c r="AF52" s="54"/>
    </row>
    <row r="53" spans="1:3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73"/>
      <c r="P53" s="73"/>
      <c r="Q53" s="73"/>
      <c r="R53" s="73"/>
      <c r="S53" s="73"/>
      <c r="T53" s="145"/>
      <c r="U53" s="145"/>
      <c r="V53" s="145"/>
      <c r="W53" s="145"/>
      <c r="X53" s="145"/>
      <c r="Y53" s="145"/>
      <c r="Z53" s="145"/>
      <c r="AA53" s="145"/>
      <c r="AB53" s="73"/>
      <c r="AC53" s="73"/>
      <c r="AD53" s="73"/>
      <c r="AE53" s="73"/>
      <c r="AF53" s="73"/>
    </row>
    <row r="54" spans="1:3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73"/>
      <c r="P54" s="73"/>
      <c r="Q54" s="73"/>
      <c r="R54" s="73"/>
      <c r="S54" s="73"/>
      <c r="T54" s="73"/>
      <c r="U54" s="73"/>
      <c r="V54" s="73"/>
      <c r="W54" s="145"/>
      <c r="X54" s="145"/>
      <c r="Y54" s="145"/>
      <c r="Z54" s="145"/>
      <c r="AA54" s="145"/>
      <c r="AB54" s="145"/>
      <c r="AC54" s="145"/>
      <c r="AD54" s="73"/>
      <c r="AE54" s="73"/>
      <c r="AF54" s="73"/>
    </row>
    <row r="55" spans="1:32" ht="26.2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50"/>
      <c r="P55" s="150"/>
      <c r="Q55" s="150"/>
      <c r="R55" s="150"/>
      <c r="S55" s="150"/>
      <c r="T55" s="150"/>
      <c r="U55" s="150"/>
      <c r="V55" s="73"/>
      <c r="W55" s="145"/>
      <c r="X55" s="145"/>
      <c r="Y55" s="145"/>
      <c r="Z55" s="150"/>
      <c r="AA55" s="150"/>
      <c r="AB55" s="150"/>
      <c r="AC55" s="150"/>
      <c r="AD55" s="150"/>
      <c r="AE55" s="150"/>
      <c r="AF55" s="150"/>
    </row>
    <row r="56" spans="1:32" ht="26.2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50"/>
      <c r="P56" s="150"/>
      <c r="Q56" s="150"/>
      <c r="R56" s="150"/>
      <c r="S56" s="150"/>
      <c r="T56" s="150"/>
      <c r="U56" s="150"/>
      <c r="V56" s="145"/>
      <c r="W56" s="145"/>
      <c r="X56" s="145"/>
      <c r="Y56" s="145"/>
      <c r="Z56" s="150"/>
      <c r="AA56" s="150"/>
      <c r="AB56" s="150"/>
      <c r="AC56" s="150"/>
      <c r="AD56" s="150"/>
      <c r="AE56" s="150"/>
      <c r="AF56" s="150"/>
    </row>
    <row r="57" spans="1:32" ht="26.2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50"/>
      <c r="P57" s="150"/>
      <c r="Q57" s="150"/>
      <c r="R57" s="150"/>
      <c r="S57" s="150"/>
      <c r="T57" s="150"/>
      <c r="U57" s="150"/>
      <c r="V57" s="145"/>
      <c r="W57" s="145"/>
      <c r="X57" s="145"/>
      <c r="Y57" s="145"/>
      <c r="Z57" s="150"/>
      <c r="AA57" s="150"/>
      <c r="AB57" s="150"/>
      <c r="AC57" s="150"/>
      <c r="AD57" s="150"/>
      <c r="AE57" s="150"/>
      <c r="AF57" s="150"/>
    </row>
    <row r="58" spans="1:32" ht="28.5" x14ac:dyDescent="0.45">
      <c r="O58" s="151"/>
      <c r="P58" s="151"/>
      <c r="Q58" s="151"/>
      <c r="R58" s="151"/>
      <c r="S58" s="151"/>
      <c r="T58" s="54"/>
      <c r="U58" s="152"/>
      <c r="V58" s="145"/>
      <c r="W58" s="145"/>
      <c r="X58" s="145"/>
      <c r="Y58" s="145"/>
      <c r="Z58" s="76"/>
      <c r="AA58" s="76"/>
      <c r="AB58" s="76"/>
      <c r="AC58" s="76"/>
      <c r="AD58" s="76"/>
      <c r="AE58" s="54"/>
      <c r="AF58" s="54"/>
    </row>
    <row r="59" spans="1:32" ht="28.5" x14ac:dyDescent="0.45">
      <c r="O59" s="151"/>
      <c r="P59" s="153"/>
      <c r="Q59" s="154"/>
      <c r="R59" s="151"/>
      <c r="S59" s="151"/>
      <c r="T59" s="74"/>
      <c r="U59" s="152"/>
      <c r="V59" s="145"/>
      <c r="W59" s="145"/>
      <c r="X59" s="145"/>
      <c r="Y59" s="145"/>
      <c r="Z59" s="76"/>
      <c r="AA59" s="155"/>
      <c r="AB59" s="77"/>
      <c r="AC59" s="76"/>
      <c r="AD59" s="76"/>
      <c r="AE59" s="74"/>
      <c r="AF59" s="54"/>
    </row>
    <row r="60" spans="1:32" ht="28.5" x14ac:dyDescent="0.45">
      <c r="O60" s="151"/>
      <c r="P60" s="151"/>
      <c r="Q60" s="151"/>
      <c r="R60" s="151"/>
      <c r="S60" s="151"/>
      <c r="T60" s="54"/>
      <c r="U60" s="54"/>
      <c r="V60" s="73"/>
      <c r="W60" s="73"/>
      <c r="X60" s="73"/>
      <c r="Y60" s="73"/>
      <c r="Z60" s="151"/>
      <c r="AA60" s="151"/>
      <c r="AB60" s="151"/>
      <c r="AC60" s="151"/>
      <c r="AD60" s="151"/>
      <c r="AE60" s="54"/>
      <c r="AF60" s="54"/>
    </row>
    <row r="61" spans="1:32" ht="28.5" x14ac:dyDescent="0.45">
      <c r="O61" s="151"/>
      <c r="P61" s="153"/>
      <c r="Q61" s="154"/>
      <c r="R61" s="151"/>
      <c r="S61" s="151"/>
      <c r="T61" s="74"/>
      <c r="U61" s="54"/>
      <c r="V61" s="73"/>
      <c r="W61" s="73"/>
      <c r="X61" s="73"/>
      <c r="Y61" s="73"/>
      <c r="Z61" s="151"/>
      <c r="AA61" s="153"/>
      <c r="AB61" s="154"/>
      <c r="AC61" s="151"/>
      <c r="AD61" s="151"/>
      <c r="AE61" s="74"/>
      <c r="AF61" s="54"/>
    </row>
    <row r="62" spans="1:32" ht="28.5" x14ac:dyDescent="0.45">
      <c r="O62" s="151"/>
      <c r="P62" s="151"/>
      <c r="Q62" s="151"/>
      <c r="R62" s="151"/>
      <c r="S62" s="151"/>
      <c r="T62" s="54"/>
      <c r="U62" s="54"/>
      <c r="V62" s="73"/>
      <c r="W62" s="73"/>
      <c r="X62" s="73"/>
      <c r="Y62" s="73"/>
      <c r="Z62" s="151"/>
      <c r="AA62" s="151"/>
      <c r="AB62" s="151"/>
      <c r="AC62" s="151"/>
      <c r="AD62" s="151"/>
      <c r="AE62" s="54"/>
      <c r="AF62" s="54"/>
    </row>
    <row r="63" spans="1:32" ht="28.5" x14ac:dyDescent="0.45">
      <c r="O63" s="151"/>
      <c r="P63" s="151"/>
      <c r="Q63" s="151"/>
      <c r="R63" s="151"/>
      <c r="S63" s="151"/>
      <c r="T63" s="54"/>
      <c r="U63" s="54"/>
      <c r="V63" s="73"/>
      <c r="W63" s="73"/>
      <c r="X63" s="73"/>
      <c r="Y63" s="73"/>
      <c r="Z63" s="151"/>
      <c r="AA63" s="151"/>
      <c r="AB63" s="151"/>
      <c r="AC63" s="151"/>
      <c r="AD63" s="151"/>
      <c r="AE63" s="54"/>
      <c r="AF63" s="54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F0000"/>
  </sheetPr>
  <dimension ref="A1:BB57"/>
  <sheetViews>
    <sheetView showGridLines="0" zoomScale="40" zoomScaleNormal="40" workbookViewId="0">
      <selection activeCell="J23" sqref="J23"/>
    </sheetView>
  </sheetViews>
  <sheetFormatPr defaultRowHeight="15" x14ac:dyDescent="0.25"/>
  <cols>
    <col min="6" max="6" width="23.5703125" bestFit="1" customWidth="1"/>
    <col min="10" max="10" width="34.7109375" customWidth="1"/>
    <col min="11" max="11" width="8.85546875" customWidth="1"/>
    <col min="19" max="19" width="47.7109375" bestFit="1" customWidth="1"/>
    <col min="21" max="21" width="11.42578125" customWidth="1"/>
    <col min="23" max="23" width="47.42578125" customWidth="1"/>
  </cols>
  <sheetData>
    <row r="1" spans="1:54" s="109" customFormat="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</row>
    <row r="2" spans="1:54" s="109" customFormat="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</row>
    <row r="3" spans="1:54" ht="61.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</row>
    <row r="4" spans="1:54" ht="46.15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ht="14.45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ht="14.45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ht="14.4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3"/>
    <row r="9" spans="1:54" ht="28.9" customHeight="1" x14ac:dyDescent="0.3">
      <c r="E9" s="53"/>
      <c r="F9" s="53"/>
      <c r="G9" s="53"/>
      <c r="H9" s="53"/>
      <c r="I9" s="53"/>
      <c r="J9" s="53"/>
      <c r="K9" s="53"/>
    </row>
    <row r="10" spans="1:54" ht="28.9" customHeight="1" x14ac:dyDescent="0.3">
      <c r="E10" s="53"/>
      <c r="F10" s="53"/>
      <c r="G10" s="53"/>
      <c r="H10" s="53"/>
      <c r="I10" s="53"/>
      <c r="J10" s="53"/>
      <c r="K10" s="53"/>
    </row>
    <row r="11" spans="1:54" ht="28.9" customHeight="1" x14ac:dyDescent="0.3">
      <c r="E11" s="53"/>
      <c r="F11" s="53"/>
      <c r="G11" s="53"/>
      <c r="H11" s="53"/>
      <c r="I11" s="53"/>
      <c r="J11" s="53"/>
      <c r="K11" s="53"/>
    </row>
    <row r="12" spans="1:54" ht="28.9" customHeight="1" x14ac:dyDescent="0.55000000000000004">
      <c r="E12" s="151"/>
      <c r="F12" s="151"/>
      <c r="G12" s="151"/>
      <c r="H12" s="151"/>
      <c r="I12" s="151"/>
      <c r="J12" s="54"/>
      <c r="K12" s="54"/>
      <c r="R12" s="109"/>
      <c r="S12" s="109"/>
      <c r="T12" s="109"/>
      <c r="U12" s="109"/>
      <c r="V12" s="109"/>
      <c r="W12" s="109"/>
      <c r="X12" s="109"/>
    </row>
    <row r="13" spans="1:54" ht="28.9" customHeight="1" x14ac:dyDescent="0.55000000000000004">
      <c r="E13" s="151"/>
      <c r="F13" s="157"/>
      <c r="G13" s="154"/>
      <c r="H13" s="151"/>
      <c r="I13" s="151"/>
      <c r="J13" s="58"/>
      <c r="K13" s="54"/>
      <c r="R13" s="109"/>
      <c r="S13" s="109"/>
      <c r="T13" s="109"/>
      <c r="U13" s="109"/>
      <c r="V13" s="109"/>
      <c r="W13" s="109"/>
      <c r="X13" s="109"/>
    </row>
    <row r="14" spans="1:54" ht="28.9" customHeight="1" x14ac:dyDescent="0.55000000000000004">
      <c r="E14" s="151"/>
      <c r="F14" s="151"/>
      <c r="G14" s="151"/>
      <c r="H14" s="151"/>
      <c r="I14" s="151"/>
      <c r="J14" s="54"/>
      <c r="K14" s="54"/>
      <c r="R14" s="109"/>
      <c r="S14" s="109"/>
      <c r="T14" s="109"/>
      <c r="U14" s="109"/>
      <c r="V14" s="109"/>
      <c r="W14" s="109"/>
      <c r="X14" s="109"/>
    </row>
    <row r="15" spans="1:54" ht="28.9" customHeight="1" thickBot="1" x14ac:dyDescent="0.6">
      <c r="E15" s="151"/>
      <c r="F15" s="157"/>
      <c r="G15" s="154"/>
      <c r="H15" s="151"/>
      <c r="I15" s="151"/>
      <c r="J15" s="58"/>
      <c r="K15" s="54"/>
      <c r="R15" s="109"/>
      <c r="S15" s="109"/>
      <c r="T15" s="109"/>
      <c r="U15" s="109"/>
      <c r="V15" s="109"/>
      <c r="W15" s="109"/>
      <c r="X15" s="109"/>
    </row>
    <row r="16" spans="1:54" ht="28.9" customHeight="1" x14ac:dyDescent="0.45">
      <c r="E16" s="151"/>
      <c r="F16" s="151"/>
      <c r="G16" s="151"/>
      <c r="H16" s="151"/>
      <c r="I16" s="151"/>
      <c r="J16" s="54"/>
      <c r="K16" s="54"/>
      <c r="R16" s="453" t="s">
        <v>27</v>
      </c>
      <c r="S16" s="454"/>
      <c r="T16" s="454"/>
      <c r="U16" s="454"/>
      <c r="V16" s="454"/>
      <c r="W16" s="454"/>
      <c r="X16" s="455"/>
    </row>
    <row r="17" spans="5:24" ht="28.9" customHeight="1" x14ac:dyDescent="0.45">
      <c r="E17" s="151"/>
      <c r="F17" s="151"/>
      <c r="G17" s="151"/>
      <c r="H17" s="151"/>
      <c r="I17" s="151"/>
      <c r="J17" s="54"/>
      <c r="K17" s="54"/>
      <c r="R17" s="456"/>
      <c r="S17" s="457"/>
      <c r="T17" s="457"/>
      <c r="U17" s="457"/>
      <c r="V17" s="457"/>
      <c r="W17" s="457"/>
      <c r="X17" s="458"/>
    </row>
    <row r="18" spans="5:24" ht="28.9" customHeight="1" thickBot="1" x14ac:dyDescent="0.5">
      <c r="E18" s="54"/>
      <c r="F18" s="54"/>
      <c r="G18" s="54"/>
      <c r="H18" s="54"/>
      <c r="I18" s="54"/>
      <c r="J18" s="54"/>
      <c r="K18" s="54"/>
      <c r="R18" s="459"/>
      <c r="S18" s="460"/>
      <c r="T18" s="460"/>
      <c r="U18" s="460"/>
      <c r="V18" s="460"/>
      <c r="W18" s="460"/>
      <c r="X18" s="461"/>
    </row>
    <row r="19" spans="5:24" ht="28.9" customHeight="1" x14ac:dyDescent="0.45">
      <c r="E19" s="54"/>
      <c r="F19" s="54"/>
      <c r="G19" s="54"/>
      <c r="H19" s="54"/>
      <c r="I19" s="54"/>
      <c r="J19" s="54"/>
      <c r="K19" s="54"/>
      <c r="R19" s="17" t="s">
        <v>13</v>
      </c>
      <c r="S19" s="55" t="s">
        <v>13</v>
      </c>
      <c r="T19" s="55" t="s">
        <v>13</v>
      </c>
      <c r="U19" s="55" t="s">
        <v>13</v>
      </c>
      <c r="V19" s="55" t="s">
        <v>13</v>
      </c>
      <c r="W19" s="57" t="s">
        <v>13</v>
      </c>
      <c r="X19" s="137" t="s">
        <v>13</v>
      </c>
    </row>
    <row r="20" spans="5:24" ht="28.9" customHeight="1" x14ac:dyDescent="0.45">
      <c r="E20" s="54"/>
      <c r="F20" s="54"/>
      <c r="G20" s="54"/>
      <c r="H20" s="54"/>
      <c r="I20" s="54"/>
      <c r="J20" s="54"/>
      <c r="K20" s="54"/>
      <c r="R20" s="17" t="s">
        <v>13</v>
      </c>
      <c r="S20" s="147" t="s">
        <v>28</v>
      </c>
      <c r="T20" s="56"/>
      <c r="U20" s="55" t="s">
        <v>13</v>
      </c>
      <c r="V20" s="55" t="s">
        <v>13</v>
      </c>
      <c r="W20" s="132" t="s">
        <v>18</v>
      </c>
      <c r="X20" s="137" t="s">
        <v>13</v>
      </c>
    </row>
    <row r="21" spans="5:24" ht="28.9" customHeight="1" x14ac:dyDescent="0.45">
      <c r="E21" s="54"/>
      <c r="F21" s="54"/>
      <c r="G21" s="54"/>
      <c r="H21" s="54"/>
      <c r="I21" s="54"/>
      <c r="J21" s="54"/>
      <c r="K21" s="54"/>
      <c r="R21" s="17" t="s">
        <v>13</v>
      </c>
      <c r="S21" s="55" t="s">
        <v>13</v>
      </c>
      <c r="T21" s="55" t="s">
        <v>13</v>
      </c>
      <c r="U21" s="55" t="s">
        <v>13</v>
      </c>
      <c r="V21" s="55" t="s">
        <v>13</v>
      </c>
      <c r="W21" s="57" t="s">
        <v>13</v>
      </c>
      <c r="X21" s="13" t="s">
        <v>13</v>
      </c>
    </row>
    <row r="22" spans="5:24" ht="28.9" customHeight="1" x14ac:dyDescent="0.45">
      <c r="R22" s="17" t="s">
        <v>13</v>
      </c>
      <c r="S22" s="147" t="s">
        <v>29</v>
      </c>
      <c r="T22" s="56"/>
      <c r="U22" s="55" t="s">
        <v>13</v>
      </c>
      <c r="V22" s="55" t="s">
        <v>13</v>
      </c>
      <c r="W22" s="132" t="s">
        <v>21</v>
      </c>
      <c r="X22" s="137" t="s">
        <v>13</v>
      </c>
    </row>
    <row r="23" spans="5:24" ht="28.9" customHeight="1" x14ac:dyDescent="0.45">
      <c r="R23" s="17" t="s">
        <v>13</v>
      </c>
      <c r="S23" s="55" t="s">
        <v>13</v>
      </c>
      <c r="T23" s="55" t="s">
        <v>13</v>
      </c>
      <c r="U23" s="55" t="s">
        <v>13</v>
      </c>
      <c r="V23" s="55" t="s">
        <v>13</v>
      </c>
      <c r="W23" s="146" t="s">
        <v>13</v>
      </c>
      <c r="X23" s="137" t="s">
        <v>13</v>
      </c>
    </row>
    <row r="24" spans="5:24" ht="28.9" customHeight="1" x14ac:dyDescent="0.45">
      <c r="R24" s="17" t="s">
        <v>13</v>
      </c>
      <c r="S24" s="55" t="s">
        <v>13</v>
      </c>
      <c r="T24" s="55" t="s">
        <v>13</v>
      </c>
      <c r="U24" s="55" t="s">
        <v>13</v>
      </c>
      <c r="V24" s="55" t="s">
        <v>13</v>
      </c>
      <c r="W24" s="146" t="s">
        <v>13</v>
      </c>
      <c r="X24" s="137" t="s">
        <v>13</v>
      </c>
    </row>
    <row r="25" spans="5:24" ht="28.9" customHeight="1" x14ac:dyDescent="0.45">
      <c r="R25" s="17" t="s">
        <v>13</v>
      </c>
      <c r="S25" s="55" t="s">
        <v>13</v>
      </c>
      <c r="T25" s="55" t="s">
        <v>13</v>
      </c>
      <c r="U25" s="55" t="s">
        <v>13</v>
      </c>
      <c r="V25" s="55" t="s">
        <v>13</v>
      </c>
      <c r="W25" s="146" t="s">
        <v>13</v>
      </c>
      <c r="X25" s="137" t="s">
        <v>13</v>
      </c>
    </row>
    <row r="26" spans="5:24" ht="28.9" customHeight="1" x14ac:dyDescent="0.45">
      <c r="R26" s="17" t="s">
        <v>13</v>
      </c>
      <c r="S26" s="55" t="s">
        <v>13</v>
      </c>
      <c r="T26" s="55" t="s">
        <v>13</v>
      </c>
      <c r="U26" s="55" t="s">
        <v>13</v>
      </c>
      <c r="V26" s="55" t="s">
        <v>13</v>
      </c>
      <c r="W26" s="146" t="s">
        <v>13</v>
      </c>
      <c r="X26" s="137" t="s">
        <v>13</v>
      </c>
    </row>
    <row r="27" spans="5:24" ht="28.9" customHeight="1" thickBot="1" x14ac:dyDescent="0.5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41" t="s">
        <v>13</v>
      </c>
      <c r="X27" s="142" t="s">
        <v>13</v>
      </c>
    </row>
    <row r="28" spans="5:24" ht="28.9" customHeight="1" x14ac:dyDescent="0.3"/>
    <row r="29" spans="5:24" ht="28.9" customHeight="1" x14ac:dyDescent="0.3"/>
    <row r="30" spans="5:24" ht="28.9" customHeight="1" x14ac:dyDescent="0.3">
      <c r="E30" s="53"/>
      <c r="F30" s="53"/>
      <c r="G30" s="53"/>
      <c r="H30" s="53"/>
      <c r="I30" s="53"/>
      <c r="J30" s="53"/>
      <c r="K30" s="53"/>
    </row>
    <row r="31" spans="5:24" ht="28.9" customHeight="1" x14ac:dyDescent="0.3">
      <c r="E31" s="53"/>
      <c r="F31" s="53"/>
      <c r="G31" s="53"/>
      <c r="H31" s="53"/>
      <c r="I31" s="53"/>
      <c r="J31" s="53"/>
      <c r="K31" s="53"/>
    </row>
    <row r="32" spans="5:24" ht="28.9" customHeight="1" x14ac:dyDescent="0.3">
      <c r="E32" s="53"/>
      <c r="F32" s="53"/>
      <c r="G32" s="53"/>
      <c r="H32" s="53"/>
      <c r="I32" s="53"/>
      <c r="J32" s="53"/>
      <c r="K32" s="53"/>
    </row>
    <row r="33" spans="5:11" ht="28.9" customHeight="1" x14ac:dyDescent="0.55000000000000004">
      <c r="E33" s="151"/>
      <c r="F33" s="151"/>
      <c r="G33" s="151"/>
      <c r="H33" s="151"/>
      <c r="I33" s="151"/>
      <c r="J33" s="54"/>
      <c r="K33" s="54"/>
    </row>
    <row r="34" spans="5:11" ht="28.9" customHeight="1" x14ac:dyDescent="0.55000000000000004">
      <c r="E34" s="151"/>
      <c r="F34" s="157"/>
      <c r="G34" s="154"/>
      <c r="H34" s="151"/>
      <c r="I34" s="151"/>
      <c r="J34" s="58"/>
      <c r="K34" s="54"/>
    </row>
    <row r="35" spans="5:11" ht="28.9" customHeight="1" x14ac:dyDescent="0.55000000000000004">
      <c r="E35" s="151"/>
      <c r="F35" s="151"/>
      <c r="G35" s="151"/>
      <c r="H35" s="151"/>
      <c r="I35" s="151"/>
      <c r="J35" s="54"/>
      <c r="K35" s="54"/>
    </row>
    <row r="36" spans="5:11" ht="28.9" customHeight="1" x14ac:dyDescent="0.55000000000000004">
      <c r="E36" s="151"/>
      <c r="F36" s="157"/>
      <c r="G36" s="154"/>
      <c r="H36" s="151"/>
      <c r="I36" s="151"/>
      <c r="J36" s="58"/>
      <c r="K36" s="54"/>
    </row>
    <row r="37" spans="5:11" ht="28.9" customHeight="1" x14ac:dyDescent="0.55000000000000004">
      <c r="E37" s="151"/>
      <c r="F37" s="151"/>
      <c r="G37" s="151"/>
      <c r="H37" s="151"/>
      <c r="I37" s="151"/>
      <c r="J37" s="54"/>
      <c r="K37" s="54"/>
    </row>
    <row r="38" spans="5:11" ht="28.9" customHeight="1" x14ac:dyDescent="0.55000000000000004">
      <c r="E38" s="151"/>
      <c r="F38" s="157"/>
      <c r="G38" s="151"/>
      <c r="H38" s="151"/>
      <c r="I38" s="151"/>
      <c r="J38" s="54"/>
      <c r="K38" s="54"/>
    </row>
    <row r="39" spans="5:11" ht="28.9" customHeight="1" x14ac:dyDescent="0.55000000000000004">
      <c r="E39" s="151"/>
      <c r="F39" s="151"/>
      <c r="G39" s="151"/>
      <c r="H39" s="151"/>
      <c r="I39" s="151"/>
      <c r="J39" s="54"/>
      <c r="K39" s="54"/>
    </row>
    <row r="40" spans="5:11" ht="28.9" customHeight="1" x14ac:dyDescent="0.55000000000000004">
      <c r="E40" s="151"/>
      <c r="F40" s="157"/>
      <c r="G40" s="154"/>
      <c r="H40" s="151"/>
      <c r="I40" s="151"/>
      <c r="J40" s="58"/>
      <c r="K40" s="54"/>
    </row>
    <row r="41" spans="5:11" ht="28.9" customHeight="1" x14ac:dyDescent="0.3"/>
    <row r="42" spans="5:11" ht="28.9" customHeight="1" x14ac:dyDescent="0.3"/>
    <row r="43" spans="5:11" ht="28.9" customHeight="1" x14ac:dyDescent="0.3"/>
    <row r="44" spans="5:11" ht="28.9" customHeight="1" x14ac:dyDescent="0.3"/>
    <row r="45" spans="5:11" ht="28.9" customHeight="1" x14ac:dyDescent="0.3"/>
    <row r="46" spans="5:11" ht="28.9" customHeight="1" x14ac:dyDescent="0.3"/>
    <row r="47" spans="5:11" ht="28.9" customHeight="1" x14ac:dyDescent="0.3"/>
    <row r="48" spans="5:11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FF0000"/>
  </sheetPr>
  <dimension ref="A1:BB69"/>
  <sheetViews>
    <sheetView zoomScale="40" zoomScaleNormal="40" workbookViewId="0">
      <selection activeCell="T15" sqref="T15"/>
    </sheetView>
  </sheetViews>
  <sheetFormatPr defaultColWidth="8.85546875" defaultRowHeight="15" x14ac:dyDescent="0.25"/>
  <cols>
    <col min="1" max="5" width="8.85546875" style="79"/>
    <col min="6" max="6" width="23.5703125" style="79" bestFit="1" customWidth="1"/>
    <col min="7" max="9" width="8.85546875" style="79"/>
    <col min="10" max="10" width="34.7109375" style="79" customWidth="1"/>
    <col min="11" max="11" width="8.85546875" style="79" customWidth="1"/>
    <col min="12" max="19" width="8.85546875" style="79"/>
    <col min="20" max="20" width="47.7109375" style="79" bestFit="1" customWidth="1"/>
    <col min="21" max="21" width="8.85546875" style="79"/>
    <col min="22" max="22" width="11.42578125" style="79" customWidth="1"/>
    <col min="23" max="23" width="8.85546875" style="79"/>
    <col min="24" max="24" width="47.42578125" style="79" customWidth="1"/>
    <col min="25" max="16384" width="8.85546875" style="79"/>
  </cols>
  <sheetData>
    <row r="1" spans="1:54" s="109" customFormat="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</row>
    <row r="2" spans="1:54" s="109" customFormat="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  <c r="AZ3" s="110"/>
      <c r="BA3" s="110"/>
      <c r="BB3" s="110"/>
    </row>
    <row r="4" spans="1:54" ht="46.15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ht="14.45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ht="14.45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ht="14.4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3"/>
    <row r="9" spans="1:54" ht="28.9" customHeight="1" x14ac:dyDescent="0.25">
      <c r="E9" s="474"/>
      <c r="F9" s="474"/>
      <c r="G9" s="474"/>
      <c r="H9" s="474"/>
      <c r="I9" s="474"/>
      <c r="J9" s="474"/>
      <c r="K9" s="474"/>
    </row>
    <row r="10" spans="1:54" ht="28.9" customHeight="1" thickBot="1" x14ac:dyDescent="0.3">
      <c r="E10" s="474"/>
      <c r="F10" s="474"/>
      <c r="G10" s="474"/>
      <c r="H10" s="474"/>
      <c r="I10" s="474"/>
      <c r="J10" s="474"/>
      <c r="K10" s="474"/>
    </row>
    <row r="11" spans="1:54" ht="28.9" customHeight="1" x14ac:dyDescent="0.25">
      <c r="E11" s="474"/>
      <c r="F11" s="474"/>
      <c r="G11" s="474"/>
      <c r="H11" s="474"/>
      <c r="I11" s="474"/>
      <c r="J11" s="474"/>
      <c r="K11" s="474"/>
      <c r="S11" s="453" t="s">
        <v>27</v>
      </c>
      <c r="T11" s="454"/>
      <c r="U11" s="454"/>
      <c r="V11" s="454"/>
      <c r="W11" s="454"/>
      <c r="X11" s="454"/>
      <c r="Y11" s="455"/>
    </row>
    <row r="12" spans="1:54" ht="28.9" customHeight="1" x14ac:dyDescent="0.45">
      <c r="E12" s="151"/>
      <c r="F12" s="151"/>
      <c r="G12" s="151"/>
      <c r="H12" s="151"/>
      <c r="I12" s="151"/>
      <c r="J12" s="54"/>
      <c r="K12" s="54"/>
      <c r="S12" s="456"/>
      <c r="T12" s="457"/>
      <c r="U12" s="457"/>
      <c r="V12" s="457"/>
      <c r="W12" s="457"/>
      <c r="X12" s="457"/>
      <c r="Y12" s="458"/>
    </row>
    <row r="13" spans="1:54" ht="28.9" customHeight="1" x14ac:dyDescent="0.45">
      <c r="E13" s="151"/>
      <c r="F13" s="157"/>
      <c r="G13" s="154"/>
      <c r="H13" s="151"/>
      <c r="I13" s="151"/>
      <c r="J13" s="58"/>
      <c r="K13" s="54"/>
      <c r="S13" s="456"/>
      <c r="T13" s="457"/>
      <c r="U13" s="457"/>
      <c r="V13" s="457"/>
      <c r="W13" s="457"/>
      <c r="X13" s="457"/>
      <c r="Y13" s="458"/>
    </row>
    <row r="14" spans="1:54" ht="28.9" customHeight="1" x14ac:dyDescent="0.45">
      <c r="E14" s="151"/>
      <c r="F14" s="151"/>
      <c r="G14" s="151"/>
      <c r="H14" s="151"/>
      <c r="I14" s="151"/>
      <c r="J14" s="54"/>
      <c r="K14" s="54"/>
      <c r="S14" s="17" t="s">
        <v>13</v>
      </c>
      <c r="T14" s="55" t="s">
        <v>13</v>
      </c>
      <c r="U14" s="55" t="s">
        <v>13</v>
      </c>
      <c r="V14" s="55" t="s">
        <v>13</v>
      </c>
      <c r="W14" s="55" t="s">
        <v>13</v>
      </c>
      <c r="X14" s="57" t="s">
        <v>13</v>
      </c>
      <c r="Y14" s="137" t="s">
        <v>13</v>
      </c>
    </row>
    <row r="15" spans="1:54" ht="28.9" customHeight="1" x14ac:dyDescent="0.45">
      <c r="E15" s="151"/>
      <c r="F15" s="157"/>
      <c r="G15" s="154"/>
      <c r="H15" s="151"/>
      <c r="I15" s="151"/>
      <c r="J15" s="58"/>
      <c r="K15" s="54"/>
      <c r="S15" s="17" t="s">
        <v>13</v>
      </c>
      <c r="T15" s="147" t="s">
        <v>28</v>
      </c>
      <c r="U15" s="56"/>
      <c r="V15" s="55" t="s">
        <v>13</v>
      </c>
      <c r="W15" s="55" t="s">
        <v>13</v>
      </c>
      <c r="X15" s="159" t="s">
        <v>18</v>
      </c>
      <c r="Y15" s="137" t="s">
        <v>13</v>
      </c>
    </row>
    <row r="16" spans="1:54" ht="28.9" customHeight="1" x14ac:dyDescent="0.45">
      <c r="E16" s="151"/>
      <c r="F16" s="151"/>
      <c r="G16" s="151"/>
      <c r="H16" s="151"/>
      <c r="I16" s="151"/>
      <c r="J16" s="54"/>
      <c r="K16" s="54"/>
      <c r="S16" s="17" t="s">
        <v>13</v>
      </c>
      <c r="T16" s="55" t="s">
        <v>13</v>
      </c>
      <c r="U16" s="55" t="s">
        <v>13</v>
      </c>
      <c r="V16" s="55" t="s">
        <v>13</v>
      </c>
      <c r="W16" s="55" t="s">
        <v>13</v>
      </c>
      <c r="X16" s="57" t="s">
        <v>13</v>
      </c>
      <c r="Y16" s="13" t="s">
        <v>13</v>
      </c>
    </row>
    <row r="17" spans="5:25" ht="28.9" customHeight="1" x14ac:dyDescent="0.45">
      <c r="E17" s="151"/>
      <c r="F17" s="157"/>
      <c r="G17" s="151"/>
      <c r="H17" s="151"/>
      <c r="I17" s="151"/>
      <c r="J17" s="54"/>
      <c r="K17" s="54"/>
      <c r="S17" s="17" t="s">
        <v>13</v>
      </c>
      <c r="T17" s="147" t="s">
        <v>29</v>
      </c>
      <c r="U17" s="56"/>
      <c r="V17" s="55" t="s">
        <v>13</v>
      </c>
      <c r="W17" s="55" t="s">
        <v>13</v>
      </c>
      <c r="X17" s="159" t="s">
        <v>21</v>
      </c>
      <c r="Y17" s="137" t="s">
        <v>13</v>
      </c>
    </row>
    <row r="18" spans="5:25" ht="28.9" customHeight="1" x14ac:dyDescent="0.45">
      <c r="E18" s="151"/>
      <c r="F18" s="151"/>
      <c r="G18" s="151"/>
      <c r="H18" s="151"/>
      <c r="I18" s="151"/>
      <c r="J18" s="54"/>
      <c r="K18" s="54"/>
      <c r="S18" s="17" t="s">
        <v>13</v>
      </c>
      <c r="T18" s="55" t="s">
        <v>13</v>
      </c>
      <c r="U18" s="55" t="s">
        <v>13</v>
      </c>
      <c r="V18" s="55" t="s">
        <v>13</v>
      </c>
      <c r="W18" s="55" t="s">
        <v>13</v>
      </c>
      <c r="X18" s="146" t="s">
        <v>13</v>
      </c>
      <c r="Y18" s="137" t="s">
        <v>13</v>
      </c>
    </row>
    <row r="19" spans="5:25" ht="28.9" customHeight="1" x14ac:dyDescent="0.45">
      <c r="E19" s="151"/>
      <c r="F19" s="157"/>
      <c r="G19" s="154"/>
      <c r="H19" s="151"/>
      <c r="I19" s="151"/>
      <c r="J19" s="58"/>
      <c r="K19" s="54"/>
      <c r="S19" s="17" t="s">
        <v>13</v>
      </c>
      <c r="T19" s="158" t="s">
        <v>30</v>
      </c>
      <c r="U19" s="55" t="s">
        <v>13</v>
      </c>
      <c r="V19" s="55" t="s">
        <v>13</v>
      </c>
      <c r="W19" s="55" t="s">
        <v>13</v>
      </c>
      <c r="X19" s="159" t="s">
        <v>21</v>
      </c>
      <c r="Y19" s="137" t="s">
        <v>13</v>
      </c>
    </row>
    <row r="20" spans="5:25" ht="28.9" customHeight="1" x14ac:dyDescent="0.45">
      <c r="E20" s="54"/>
      <c r="F20" s="54"/>
      <c r="G20" s="54"/>
      <c r="H20" s="54"/>
      <c r="I20" s="54"/>
      <c r="J20" s="54"/>
      <c r="K20" s="54"/>
      <c r="S20" s="17" t="s">
        <v>13</v>
      </c>
      <c r="T20" s="55" t="s">
        <v>13</v>
      </c>
      <c r="U20" s="55" t="s">
        <v>13</v>
      </c>
      <c r="V20" s="55" t="s">
        <v>13</v>
      </c>
      <c r="W20" s="55" t="s">
        <v>13</v>
      </c>
      <c r="X20" s="146" t="s">
        <v>13</v>
      </c>
      <c r="Y20" s="137" t="s">
        <v>13</v>
      </c>
    </row>
    <row r="21" spans="5:25" ht="28.9" customHeight="1" thickBot="1" x14ac:dyDescent="0.5">
      <c r="E21" s="54"/>
      <c r="F21" s="54"/>
      <c r="G21" s="54"/>
      <c r="H21" s="54"/>
      <c r="I21" s="54"/>
      <c r="J21" s="54"/>
      <c r="K21" s="54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41" t="s">
        <v>13</v>
      </c>
      <c r="Y21" s="142" t="s">
        <v>13</v>
      </c>
    </row>
    <row r="22" spans="5:25" ht="28.9" customHeight="1" x14ac:dyDescent="0.45">
      <c r="S22" s="151" t="s">
        <v>13</v>
      </c>
      <c r="T22" s="151" t="s">
        <v>13</v>
      </c>
      <c r="U22" s="151" t="s">
        <v>13</v>
      </c>
      <c r="V22" s="151" t="s">
        <v>13</v>
      </c>
      <c r="W22" s="151" t="s">
        <v>13</v>
      </c>
      <c r="X22" s="152" t="s">
        <v>13</v>
      </c>
      <c r="Y22" s="152" t="s">
        <v>13</v>
      </c>
    </row>
    <row r="23" spans="5:25" ht="28.9" customHeight="1" x14ac:dyDescent="0.3"/>
    <row r="24" spans="5:25" ht="28.9" customHeight="1" x14ac:dyDescent="0.3"/>
    <row r="25" spans="5:25" ht="28.9" customHeight="1" x14ac:dyDescent="0.3"/>
    <row r="26" spans="5:25" ht="28.9" customHeight="1" x14ac:dyDescent="0.3"/>
    <row r="27" spans="5:25" ht="28.9" customHeight="1" x14ac:dyDescent="0.3"/>
    <row r="28" spans="5:25" ht="28.9" customHeight="1" x14ac:dyDescent="0.3"/>
    <row r="29" spans="5:25" ht="28.9" customHeight="1" x14ac:dyDescent="0.3"/>
    <row r="30" spans="5:25" ht="28.9" customHeight="1" x14ac:dyDescent="0.3"/>
    <row r="31" spans="5:25" ht="28.9" customHeight="1" x14ac:dyDescent="0.3"/>
    <row r="32" spans="5:2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  <row r="68" ht="28.9" customHeight="1" x14ac:dyDescent="0.25"/>
    <row r="69" ht="28.9" customHeight="1" x14ac:dyDescent="0.25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5" x14ac:dyDescent="0.25"/>
  <cols>
    <col min="5" max="5" width="5.7109375" bestFit="1" customWidth="1"/>
    <col min="6" max="6" width="29.85546875" bestFit="1" customWidth="1"/>
    <col min="7" max="7" width="49.85546875" customWidth="1"/>
    <col min="8" max="8" width="30.42578125" bestFit="1" customWidth="1"/>
    <col min="9" max="9" width="11.28515625" bestFit="1" customWidth="1"/>
    <col min="10" max="10" width="29.85546875" bestFit="1" customWidth="1"/>
    <col min="11" max="11" width="49.85546875" bestFit="1" customWidth="1"/>
    <col min="12" max="12" width="30.42578125" bestFit="1" customWidth="1"/>
    <col min="13" max="13" width="25.140625" bestFit="1" customWidth="1"/>
    <col min="14" max="14" width="51.28515625" bestFit="1" customWidth="1"/>
    <col min="15" max="16" width="41.7109375" bestFit="1" customWidth="1"/>
  </cols>
  <sheetData>
    <row r="1" spans="1:51" s="109" customFormat="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s="109" customFormat="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s="109" customFormat="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25">
      <c r="I12" s="161" t="s">
        <v>388</v>
      </c>
      <c r="J12" s="161" t="s">
        <v>32</v>
      </c>
      <c r="K12" s="161" t="s">
        <v>33</v>
      </c>
      <c r="L12" s="161" t="s">
        <v>34</v>
      </c>
      <c r="M12" s="161" t="s">
        <v>35</v>
      </c>
      <c r="N12" s="161" t="s">
        <v>36</v>
      </c>
      <c r="O12" s="161" t="s">
        <v>37</v>
      </c>
    </row>
    <row r="13" spans="1:51" ht="28.9" customHeight="1" x14ac:dyDescent="0.25">
      <c r="I13" s="162">
        <v>1</v>
      </c>
      <c r="J13" s="162" t="s">
        <v>38</v>
      </c>
      <c r="K13" s="162" t="s">
        <v>39</v>
      </c>
      <c r="L13" s="162" t="s">
        <v>40</v>
      </c>
      <c r="M13" s="162" t="s">
        <v>41</v>
      </c>
      <c r="N13" s="162" t="s">
        <v>42</v>
      </c>
      <c r="O13" s="162" t="s">
        <v>43</v>
      </c>
    </row>
    <row r="14" spans="1:51" ht="28.9" customHeight="1" x14ac:dyDescent="0.25">
      <c r="I14" s="162">
        <f>I13+1</f>
        <v>2</v>
      </c>
      <c r="J14" s="162" t="s">
        <v>44</v>
      </c>
      <c r="K14" s="162" t="s">
        <v>45</v>
      </c>
      <c r="L14" s="162" t="s">
        <v>40</v>
      </c>
      <c r="M14" s="162" t="s">
        <v>46</v>
      </c>
      <c r="N14" s="162" t="s">
        <v>47</v>
      </c>
      <c r="O14" s="162" t="s">
        <v>48</v>
      </c>
    </row>
    <row r="15" spans="1:51" ht="28.9" customHeight="1" x14ac:dyDescent="0.25">
      <c r="I15" s="162">
        <f t="shared" ref="I15:I32" si="0">I14+1</f>
        <v>3</v>
      </c>
      <c r="J15" s="162" t="s">
        <v>49</v>
      </c>
      <c r="K15" s="162" t="s">
        <v>50</v>
      </c>
      <c r="L15" s="162" t="s">
        <v>51</v>
      </c>
      <c r="M15" s="162" t="s">
        <v>52</v>
      </c>
      <c r="N15" s="162" t="s">
        <v>53</v>
      </c>
      <c r="O15" s="162" t="s">
        <v>54</v>
      </c>
    </row>
    <row r="16" spans="1:51" ht="28.9" customHeight="1" x14ac:dyDescent="0.25">
      <c r="I16" s="162">
        <f t="shared" si="0"/>
        <v>4</v>
      </c>
      <c r="J16" s="162" t="s">
        <v>55</v>
      </c>
      <c r="K16" s="162" t="s">
        <v>56</v>
      </c>
      <c r="L16" s="162" t="s">
        <v>57</v>
      </c>
      <c r="M16" s="162" t="s">
        <v>58</v>
      </c>
      <c r="N16" s="162" t="s">
        <v>59</v>
      </c>
      <c r="O16" s="162" t="s">
        <v>60</v>
      </c>
    </row>
    <row r="17" spans="9:15" ht="28.9" customHeight="1" x14ac:dyDescent="0.3">
      <c r="I17" s="162">
        <f t="shared" si="0"/>
        <v>5</v>
      </c>
      <c r="J17" s="162" t="s">
        <v>61</v>
      </c>
      <c r="K17" s="162" t="s">
        <v>62</v>
      </c>
      <c r="L17" s="162" t="s">
        <v>63</v>
      </c>
      <c r="M17" s="162" t="s">
        <v>64</v>
      </c>
      <c r="N17" s="162" t="s">
        <v>65</v>
      </c>
      <c r="O17" s="162" t="s">
        <v>66</v>
      </c>
    </row>
    <row r="18" spans="9:15" ht="28.9" customHeight="1" x14ac:dyDescent="0.3">
      <c r="I18" s="162">
        <f t="shared" si="0"/>
        <v>6</v>
      </c>
      <c r="J18" s="162" t="s">
        <v>67</v>
      </c>
      <c r="K18" s="162" t="s">
        <v>68</v>
      </c>
      <c r="L18" s="162" t="s">
        <v>69</v>
      </c>
      <c r="M18" s="162" t="s">
        <v>70</v>
      </c>
      <c r="N18" s="162" t="s">
        <v>71</v>
      </c>
      <c r="O18" s="162" t="s">
        <v>72</v>
      </c>
    </row>
    <row r="19" spans="9:15" ht="28.9" customHeight="1" x14ac:dyDescent="0.3">
      <c r="I19" s="162">
        <f t="shared" si="0"/>
        <v>7</v>
      </c>
      <c r="J19" s="162" t="s">
        <v>73</v>
      </c>
      <c r="K19" s="162" t="s">
        <v>74</v>
      </c>
      <c r="L19" s="162" t="s">
        <v>75</v>
      </c>
      <c r="M19" s="162" t="s">
        <v>76</v>
      </c>
      <c r="N19" s="162" t="s">
        <v>77</v>
      </c>
      <c r="O19" s="162" t="s">
        <v>78</v>
      </c>
    </row>
    <row r="20" spans="9:15" ht="28.9" customHeight="1" x14ac:dyDescent="0.25">
      <c r="I20" s="162">
        <f t="shared" si="0"/>
        <v>8</v>
      </c>
      <c r="J20" s="162" t="s">
        <v>79</v>
      </c>
      <c r="K20" s="162" t="s">
        <v>80</v>
      </c>
      <c r="L20" s="162" t="s">
        <v>81</v>
      </c>
      <c r="M20" s="162" t="s">
        <v>82</v>
      </c>
      <c r="N20" s="162" t="s">
        <v>83</v>
      </c>
      <c r="O20" s="162" t="s">
        <v>84</v>
      </c>
    </row>
    <row r="21" spans="9:15" ht="28.9" customHeight="1" x14ac:dyDescent="0.25">
      <c r="I21" s="162">
        <f t="shared" si="0"/>
        <v>9</v>
      </c>
      <c r="J21" s="162" t="s">
        <v>85</v>
      </c>
      <c r="K21" s="162" t="s">
        <v>86</v>
      </c>
      <c r="L21" s="162" t="s">
        <v>87</v>
      </c>
      <c r="M21" s="162" t="s">
        <v>88</v>
      </c>
      <c r="N21" s="162" t="s">
        <v>89</v>
      </c>
      <c r="O21" s="162" t="s">
        <v>90</v>
      </c>
    </row>
    <row r="22" spans="9:15" ht="28.9" customHeight="1" x14ac:dyDescent="0.25">
      <c r="I22" s="162">
        <f t="shared" si="0"/>
        <v>10</v>
      </c>
      <c r="J22" s="162" t="s">
        <v>91</v>
      </c>
      <c r="K22" s="162" t="s">
        <v>92</v>
      </c>
      <c r="L22" s="162" t="s">
        <v>93</v>
      </c>
      <c r="M22" s="162" t="s">
        <v>94</v>
      </c>
      <c r="N22" s="162" t="s">
        <v>95</v>
      </c>
      <c r="O22" s="162" t="s">
        <v>96</v>
      </c>
    </row>
    <row r="23" spans="9:15" ht="28.9" customHeight="1" x14ac:dyDescent="0.25">
      <c r="I23" s="162">
        <f t="shared" si="0"/>
        <v>11</v>
      </c>
      <c r="J23" s="162" t="s">
        <v>97</v>
      </c>
      <c r="K23" s="162" t="s">
        <v>98</v>
      </c>
      <c r="L23" s="162" t="s">
        <v>99</v>
      </c>
      <c r="M23" s="162" t="s">
        <v>100</v>
      </c>
      <c r="N23" s="162" t="s">
        <v>101</v>
      </c>
      <c r="O23" s="162" t="s">
        <v>102</v>
      </c>
    </row>
    <row r="24" spans="9:15" ht="28.9" customHeight="1" x14ac:dyDescent="0.25">
      <c r="I24" s="162">
        <f t="shared" si="0"/>
        <v>12</v>
      </c>
      <c r="J24" s="162" t="s">
        <v>103</v>
      </c>
      <c r="K24" s="162" t="s">
        <v>104</v>
      </c>
      <c r="L24" s="162" t="s">
        <v>105</v>
      </c>
      <c r="M24" s="162" t="s">
        <v>106</v>
      </c>
      <c r="N24" s="162" t="s">
        <v>107</v>
      </c>
      <c r="O24" s="162" t="s">
        <v>108</v>
      </c>
    </row>
    <row r="25" spans="9:15" ht="28.9" customHeight="1" x14ac:dyDescent="0.25">
      <c r="I25" s="162">
        <f t="shared" si="0"/>
        <v>13</v>
      </c>
      <c r="J25" s="162" t="s">
        <v>109</v>
      </c>
      <c r="K25" s="162" t="s">
        <v>110</v>
      </c>
      <c r="L25" s="162" t="s">
        <v>111</v>
      </c>
      <c r="M25" s="162" t="s">
        <v>112</v>
      </c>
      <c r="N25" s="162" t="s">
        <v>113</v>
      </c>
      <c r="O25" s="162" t="s">
        <v>114</v>
      </c>
    </row>
    <row r="26" spans="9:15" ht="28.9" customHeight="1" x14ac:dyDescent="0.25">
      <c r="I26" s="162">
        <f t="shared" si="0"/>
        <v>14</v>
      </c>
      <c r="J26" s="162" t="s">
        <v>115</v>
      </c>
      <c r="K26" s="162" t="s">
        <v>116</v>
      </c>
      <c r="L26" s="162" t="s">
        <v>117</v>
      </c>
      <c r="M26" s="162" t="s">
        <v>118</v>
      </c>
      <c r="N26" s="162" t="s">
        <v>119</v>
      </c>
      <c r="O26" s="162" t="s">
        <v>120</v>
      </c>
    </row>
    <row r="27" spans="9:15" ht="28.9" customHeight="1" x14ac:dyDescent="0.25">
      <c r="I27" s="162">
        <f t="shared" si="0"/>
        <v>15</v>
      </c>
      <c r="J27" s="162" t="s">
        <v>121</v>
      </c>
      <c r="K27" s="162" t="s">
        <v>122</v>
      </c>
      <c r="L27" s="162" t="s">
        <v>123</v>
      </c>
      <c r="M27" s="162" t="s">
        <v>124</v>
      </c>
      <c r="N27" s="162" t="s">
        <v>125</v>
      </c>
      <c r="O27" s="162" t="s">
        <v>126</v>
      </c>
    </row>
    <row r="28" spans="9:15" ht="28.9" customHeight="1" x14ac:dyDescent="0.25">
      <c r="I28" s="162">
        <f t="shared" si="0"/>
        <v>16</v>
      </c>
      <c r="J28" s="162" t="s">
        <v>127</v>
      </c>
      <c r="K28" s="162" t="s">
        <v>128</v>
      </c>
      <c r="L28" s="162" t="s">
        <v>129</v>
      </c>
      <c r="M28" s="162" t="s">
        <v>130</v>
      </c>
      <c r="N28" s="162" t="s">
        <v>131</v>
      </c>
      <c r="O28" s="162" t="s">
        <v>102</v>
      </c>
    </row>
    <row r="29" spans="9:15" ht="28.9" customHeight="1" x14ac:dyDescent="0.25">
      <c r="I29" s="162">
        <f t="shared" si="0"/>
        <v>17</v>
      </c>
      <c r="J29" s="162" t="s">
        <v>132</v>
      </c>
      <c r="K29" s="162" t="s">
        <v>133</v>
      </c>
      <c r="L29" s="162" t="s">
        <v>134</v>
      </c>
      <c r="M29" s="162" t="s">
        <v>135</v>
      </c>
      <c r="N29" s="162" t="s">
        <v>136</v>
      </c>
      <c r="O29" s="162" t="s">
        <v>108</v>
      </c>
    </row>
    <row r="30" spans="9:15" ht="28.9" customHeight="1" x14ac:dyDescent="0.25">
      <c r="I30" s="162">
        <f t="shared" si="0"/>
        <v>18</v>
      </c>
      <c r="J30" s="162" t="s">
        <v>137</v>
      </c>
      <c r="K30" s="162" t="s">
        <v>138</v>
      </c>
      <c r="L30" s="162" t="s">
        <v>139</v>
      </c>
      <c r="M30" s="162" t="s">
        <v>140</v>
      </c>
      <c r="N30" s="162" t="s">
        <v>141</v>
      </c>
      <c r="O30" s="162" t="s">
        <v>142</v>
      </c>
    </row>
    <row r="31" spans="9:15" ht="28.9" customHeight="1" x14ac:dyDescent="0.25">
      <c r="I31" s="162">
        <f t="shared" si="0"/>
        <v>19</v>
      </c>
      <c r="J31" s="162" t="s">
        <v>143</v>
      </c>
      <c r="K31" s="162" t="s">
        <v>144</v>
      </c>
      <c r="L31" s="162" t="s">
        <v>145</v>
      </c>
      <c r="M31" s="162" t="s">
        <v>146</v>
      </c>
      <c r="N31" s="162" t="s">
        <v>147</v>
      </c>
      <c r="O31" s="162" t="s">
        <v>96</v>
      </c>
    </row>
    <row r="32" spans="9:15" ht="28.9" customHeight="1" x14ac:dyDescent="0.3">
      <c r="I32" s="162">
        <f t="shared" si="0"/>
        <v>20</v>
      </c>
      <c r="J32" s="162" t="s">
        <v>148</v>
      </c>
      <c r="K32" s="162" t="s">
        <v>149</v>
      </c>
      <c r="L32" s="162" t="s">
        <v>150</v>
      </c>
      <c r="M32" s="162" t="s">
        <v>151</v>
      </c>
      <c r="N32" s="162" t="s">
        <v>152</v>
      </c>
      <c r="O32" s="162" t="s">
        <v>78</v>
      </c>
    </row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>
    <tabColor rgb="FFFFC000"/>
  </sheetPr>
  <dimension ref="A1:AY66"/>
  <sheetViews>
    <sheetView zoomScale="40" zoomScaleNormal="40" workbookViewId="0">
      <selection activeCell="R11" sqref="R11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5.7109375" style="109" bestFit="1" customWidth="1"/>
    <col min="12" max="12" width="31.7109375" style="109" bestFit="1" customWidth="1"/>
    <col min="13" max="13" width="26.5703125" style="109" bestFit="1" customWidth="1"/>
    <col min="14" max="14" width="44.28515625" style="109" bestFit="1" customWidth="1"/>
    <col min="15" max="15" width="28.7109375" style="109" bestFit="1" customWidth="1"/>
    <col min="16" max="16" width="32.7109375" style="109" bestFit="1" customWidth="1"/>
    <col min="17" max="17" width="37.28515625" style="109" bestFit="1" customWidth="1"/>
    <col min="18" max="18" width="30.42578125" style="109" bestFit="1" customWidth="1"/>
    <col min="19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61" t="s">
        <v>31</v>
      </c>
      <c r="L13" s="164" t="s">
        <v>153</v>
      </c>
      <c r="M13" s="164" t="s">
        <v>154</v>
      </c>
      <c r="N13" s="165" t="s">
        <v>155</v>
      </c>
      <c r="O13" s="164" t="s">
        <v>156</v>
      </c>
      <c r="P13" s="164" t="s">
        <v>157</v>
      </c>
      <c r="Q13" s="164" t="s">
        <v>158</v>
      </c>
      <c r="R13" s="164" t="s">
        <v>159</v>
      </c>
    </row>
    <row r="14" spans="1:51" ht="28.9" customHeight="1" x14ac:dyDescent="0.25">
      <c r="K14" s="162">
        <v>1</v>
      </c>
      <c r="L14" s="162" t="s">
        <v>160</v>
      </c>
      <c r="M14" s="162" t="s">
        <v>161</v>
      </c>
      <c r="N14" s="163">
        <v>10000</v>
      </c>
      <c r="O14" s="162" t="s">
        <v>162</v>
      </c>
      <c r="P14" s="162" t="s">
        <v>163</v>
      </c>
      <c r="Q14" s="162" t="s">
        <v>41</v>
      </c>
      <c r="R14" s="162" t="s">
        <v>164</v>
      </c>
    </row>
    <row r="15" spans="1:51" ht="28.9" customHeight="1" x14ac:dyDescent="0.25">
      <c r="K15" s="162">
        <f>K14+1</f>
        <v>2</v>
      </c>
      <c r="L15" s="162" t="s">
        <v>165</v>
      </c>
      <c r="M15" s="162" t="s">
        <v>166</v>
      </c>
      <c r="N15" s="163">
        <v>2000</v>
      </c>
      <c r="O15" s="162" t="s">
        <v>167</v>
      </c>
      <c r="P15" s="162" t="s">
        <v>168</v>
      </c>
      <c r="Q15" s="162" t="s">
        <v>169</v>
      </c>
      <c r="R15" s="162" t="s">
        <v>170</v>
      </c>
    </row>
    <row r="16" spans="1:51" ht="28.9" customHeight="1" x14ac:dyDescent="0.25">
      <c r="K16" s="162">
        <f t="shared" ref="K16:K33" si="0">K15+1</f>
        <v>3</v>
      </c>
      <c r="L16" s="162" t="s">
        <v>171</v>
      </c>
      <c r="M16" s="162" t="s">
        <v>161</v>
      </c>
      <c r="N16" s="163">
        <v>15000</v>
      </c>
      <c r="O16" s="162" t="s">
        <v>172</v>
      </c>
      <c r="P16" s="162" t="s">
        <v>173</v>
      </c>
      <c r="Q16" s="162" t="s">
        <v>174</v>
      </c>
      <c r="R16" s="162" t="s">
        <v>175</v>
      </c>
    </row>
    <row r="17" spans="11:18" ht="28.9" customHeight="1" x14ac:dyDescent="0.25">
      <c r="K17" s="162">
        <f t="shared" si="0"/>
        <v>4</v>
      </c>
      <c r="L17" s="162" t="s">
        <v>176</v>
      </c>
      <c r="M17" s="162" t="s">
        <v>177</v>
      </c>
      <c r="N17" s="163">
        <v>1200</v>
      </c>
      <c r="O17" s="162" t="s">
        <v>178</v>
      </c>
      <c r="P17" s="162" t="s">
        <v>179</v>
      </c>
      <c r="Q17" s="162" t="s">
        <v>58</v>
      </c>
      <c r="R17" s="162" t="s">
        <v>164</v>
      </c>
    </row>
    <row r="18" spans="11:18" ht="28.9" customHeight="1" x14ac:dyDescent="0.25">
      <c r="K18" s="162">
        <f t="shared" si="0"/>
        <v>5</v>
      </c>
      <c r="L18" s="162" t="s">
        <v>180</v>
      </c>
      <c r="M18" s="162" t="s">
        <v>161</v>
      </c>
      <c r="N18" s="163">
        <v>12500</v>
      </c>
      <c r="O18" s="162" t="s">
        <v>181</v>
      </c>
      <c r="P18" s="162" t="s">
        <v>61</v>
      </c>
      <c r="Q18" s="162" t="s">
        <v>182</v>
      </c>
      <c r="R18" s="162" t="s">
        <v>164</v>
      </c>
    </row>
    <row r="19" spans="11:18" ht="28.9" customHeight="1" x14ac:dyDescent="0.25">
      <c r="K19" s="162">
        <f t="shared" si="0"/>
        <v>6</v>
      </c>
      <c r="L19" s="162" t="s">
        <v>183</v>
      </c>
      <c r="M19" s="162" t="s">
        <v>161</v>
      </c>
      <c r="N19" s="163">
        <v>8000</v>
      </c>
      <c r="O19" s="162" t="s">
        <v>184</v>
      </c>
      <c r="P19" s="162" t="s">
        <v>185</v>
      </c>
      <c r="Q19" s="162" t="s">
        <v>186</v>
      </c>
      <c r="R19" s="162" t="s">
        <v>175</v>
      </c>
    </row>
    <row r="20" spans="11:18" ht="28.9" customHeight="1" x14ac:dyDescent="0.25">
      <c r="K20" s="162">
        <f t="shared" si="0"/>
        <v>7</v>
      </c>
      <c r="L20" s="162" t="s">
        <v>187</v>
      </c>
      <c r="M20" s="162" t="s">
        <v>166</v>
      </c>
      <c r="N20" s="163">
        <v>2500</v>
      </c>
      <c r="O20" s="162" t="s">
        <v>188</v>
      </c>
      <c r="P20" s="162" t="s">
        <v>189</v>
      </c>
      <c r="Q20" s="162" t="s">
        <v>190</v>
      </c>
      <c r="R20" s="162" t="s">
        <v>170</v>
      </c>
    </row>
    <row r="21" spans="11:18" ht="28.9" customHeight="1" x14ac:dyDescent="0.25">
      <c r="K21" s="162">
        <f t="shared" si="0"/>
        <v>8</v>
      </c>
      <c r="L21" s="162" t="s">
        <v>191</v>
      </c>
      <c r="M21" s="162" t="s">
        <v>177</v>
      </c>
      <c r="N21" s="163">
        <v>1800</v>
      </c>
      <c r="O21" s="162" t="s">
        <v>192</v>
      </c>
      <c r="P21" s="162" t="s">
        <v>193</v>
      </c>
      <c r="Q21" s="162" t="s">
        <v>82</v>
      </c>
      <c r="R21" s="162" t="s">
        <v>164</v>
      </c>
    </row>
    <row r="22" spans="11:18" ht="28.9" customHeight="1" x14ac:dyDescent="0.25">
      <c r="K22" s="162">
        <f t="shared" si="0"/>
        <v>9</v>
      </c>
      <c r="L22" s="162" t="s">
        <v>194</v>
      </c>
      <c r="M22" s="162" t="s">
        <v>161</v>
      </c>
      <c r="N22" s="163">
        <v>10500</v>
      </c>
      <c r="O22" s="162" t="s">
        <v>195</v>
      </c>
      <c r="P22" s="162" t="s">
        <v>85</v>
      </c>
      <c r="Q22" s="162" t="s">
        <v>88</v>
      </c>
      <c r="R22" s="162" t="s">
        <v>164</v>
      </c>
    </row>
    <row r="23" spans="11:18" ht="28.9" customHeight="1" x14ac:dyDescent="0.25">
      <c r="K23" s="162">
        <f t="shared" si="0"/>
        <v>10</v>
      </c>
      <c r="L23" s="162" t="s">
        <v>196</v>
      </c>
      <c r="M23" s="162" t="s">
        <v>166</v>
      </c>
      <c r="N23" s="163">
        <v>2200</v>
      </c>
      <c r="O23" s="162" t="s">
        <v>197</v>
      </c>
      <c r="P23" s="162" t="s">
        <v>198</v>
      </c>
      <c r="Q23" s="162" t="s">
        <v>94</v>
      </c>
      <c r="R23" s="162" t="s">
        <v>170</v>
      </c>
    </row>
    <row r="24" spans="11:18" ht="28.9" customHeight="1" x14ac:dyDescent="0.25">
      <c r="K24" s="162">
        <f t="shared" si="0"/>
        <v>11</v>
      </c>
      <c r="L24" s="162" t="s">
        <v>199</v>
      </c>
      <c r="M24" s="162" t="s">
        <v>161</v>
      </c>
      <c r="N24" s="163">
        <v>14000</v>
      </c>
      <c r="O24" s="162" t="s">
        <v>200</v>
      </c>
      <c r="P24" s="162" t="s">
        <v>97</v>
      </c>
      <c r="Q24" s="162" t="s">
        <v>100</v>
      </c>
      <c r="R24" s="162" t="s">
        <v>164</v>
      </c>
    </row>
    <row r="25" spans="11:18" ht="28.9" customHeight="1" x14ac:dyDescent="0.25">
      <c r="K25" s="162">
        <f t="shared" si="0"/>
        <v>12</v>
      </c>
      <c r="L25" s="162" t="s">
        <v>201</v>
      </c>
      <c r="M25" s="162" t="s">
        <v>177</v>
      </c>
      <c r="N25" s="163">
        <v>1000</v>
      </c>
      <c r="O25" s="162" t="s">
        <v>202</v>
      </c>
      <c r="P25" s="162" t="s">
        <v>203</v>
      </c>
      <c r="Q25" s="162" t="s">
        <v>106</v>
      </c>
      <c r="R25" s="162" t="s">
        <v>175</v>
      </c>
    </row>
    <row r="26" spans="11:18" ht="28.9" customHeight="1" x14ac:dyDescent="0.25">
      <c r="K26" s="162">
        <f t="shared" si="0"/>
        <v>13</v>
      </c>
      <c r="L26" s="162" t="s">
        <v>204</v>
      </c>
      <c r="M26" s="162" t="s">
        <v>161</v>
      </c>
      <c r="N26" s="163">
        <v>13000</v>
      </c>
      <c r="O26" s="162" t="s">
        <v>205</v>
      </c>
      <c r="P26" s="162" t="s">
        <v>109</v>
      </c>
      <c r="Q26" s="162" t="s">
        <v>112</v>
      </c>
      <c r="R26" s="162" t="s">
        <v>164</v>
      </c>
    </row>
    <row r="27" spans="11:18" ht="28.9" customHeight="1" x14ac:dyDescent="0.25">
      <c r="K27" s="162">
        <f t="shared" si="0"/>
        <v>14</v>
      </c>
      <c r="L27" s="162" t="s">
        <v>206</v>
      </c>
      <c r="M27" s="162" t="s">
        <v>166</v>
      </c>
      <c r="N27" s="163">
        <v>1900</v>
      </c>
      <c r="O27" s="162" t="s">
        <v>207</v>
      </c>
      <c r="P27" s="162" t="s">
        <v>115</v>
      </c>
      <c r="Q27" s="162" t="s">
        <v>118</v>
      </c>
      <c r="R27" s="162" t="s">
        <v>170</v>
      </c>
    </row>
    <row r="28" spans="11:18" ht="28.9" customHeight="1" x14ac:dyDescent="0.25">
      <c r="K28" s="162">
        <f t="shared" si="0"/>
        <v>15</v>
      </c>
      <c r="L28" s="162" t="s">
        <v>208</v>
      </c>
      <c r="M28" s="162" t="s">
        <v>161</v>
      </c>
      <c r="N28" s="163">
        <v>16000</v>
      </c>
      <c r="O28" s="162" t="s">
        <v>209</v>
      </c>
      <c r="P28" s="162" t="s">
        <v>121</v>
      </c>
      <c r="Q28" s="162" t="s">
        <v>124</v>
      </c>
      <c r="R28" s="162" t="s">
        <v>164</v>
      </c>
    </row>
    <row r="29" spans="11:18" ht="28.9" customHeight="1" x14ac:dyDescent="0.25">
      <c r="K29" s="162">
        <f t="shared" si="0"/>
        <v>16</v>
      </c>
      <c r="L29" s="162" t="s">
        <v>210</v>
      </c>
      <c r="M29" s="162" t="s">
        <v>177</v>
      </c>
      <c r="N29" s="163">
        <v>1500</v>
      </c>
      <c r="O29" s="162" t="s">
        <v>211</v>
      </c>
      <c r="P29" s="162" t="s">
        <v>127</v>
      </c>
      <c r="Q29" s="162" t="s">
        <v>130</v>
      </c>
      <c r="R29" s="162" t="s">
        <v>164</v>
      </c>
    </row>
    <row r="30" spans="11:18" ht="28.9" customHeight="1" x14ac:dyDescent="0.25">
      <c r="K30" s="162">
        <f t="shared" si="0"/>
        <v>17</v>
      </c>
      <c r="L30" s="162" t="s">
        <v>212</v>
      </c>
      <c r="M30" s="162" t="s">
        <v>166</v>
      </c>
      <c r="N30" s="163">
        <v>2300</v>
      </c>
      <c r="O30" s="162" t="s">
        <v>213</v>
      </c>
      <c r="P30" s="162" t="s">
        <v>132</v>
      </c>
      <c r="Q30" s="162" t="s">
        <v>135</v>
      </c>
      <c r="R30" s="162" t="s">
        <v>175</v>
      </c>
    </row>
    <row r="31" spans="11:18" ht="28.9" customHeight="1" x14ac:dyDescent="0.25">
      <c r="K31" s="162">
        <f t="shared" si="0"/>
        <v>18</v>
      </c>
      <c r="L31" s="162" t="s">
        <v>214</v>
      </c>
      <c r="M31" s="162" t="s">
        <v>161</v>
      </c>
      <c r="N31" s="163">
        <v>11000</v>
      </c>
      <c r="O31" s="162" t="s">
        <v>215</v>
      </c>
      <c r="P31" s="162" t="s">
        <v>137</v>
      </c>
      <c r="Q31" s="162" t="s">
        <v>140</v>
      </c>
      <c r="R31" s="162" t="s">
        <v>164</v>
      </c>
    </row>
    <row r="32" spans="11:18" ht="28.9" customHeight="1" x14ac:dyDescent="0.25">
      <c r="K32" s="162">
        <f t="shared" si="0"/>
        <v>19</v>
      </c>
      <c r="L32" s="162" t="s">
        <v>216</v>
      </c>
      <c r="M32" s="162" t="s">
        <v>166</v>
      </c>
      <c r="N32" s="163">
        <v>1700</v>
      </c>
      <c r="O32" s="162" t="s">
        <v>217</v>
      </c>
      <c r="P32" s="162" t="s">
        <v>143</v>
      </c>
      <c r="Q32" s="162" t="s">
        <v>146</v>
      </c>
      <c r="R32" s="162" t="s">
        <v>170</v>
      </c>
    </row>
    <row r="33" spans="11:18" ht="28.9" customHeight="1" x14ac:dyDescent="0.25">
      <c r="K33" s="162">
        <f t="shared" si="0"/>
        <v>20</v>
      </c>
      <c r="L33" s="162" t="s">
        <v>218</v>
      </c>
      <c r="M33" s="162" t="s">
        <v>177</v>
      </c>
      <c r="N33" s="163">
        <v>1300</v>
      </c>
      <c r="O33" s="162" t="s">
        <v>219</v>
      </c>
      <c r="P33" s="162" t="s">
        <v>148</v>
      </c>
      <c r="Q33" s="162" t="s">
        <v>151</v>
      </c>
      <c r="R33" s="162" t="s">
        <v>164</v>
      </c>
    </row>
    <row r="34" spans="11:18" ht="28.9" customHeight="1" x14ac:dyDescent="0.3"/>
    <row r="35" spans="11:18" ht="28.9" customHeight="1" x14ac:dyDescent="0.3"/>
    <row r="36" spans="11:18" ht="28.9" customHeight="1" x14ac:dyDescent="0.3"/>
    <row r="37" spans="11:18" ht="28.9" customHeight="1" x14ac:dyDescent="0.3"/>
    <row r="38" spans="11:18" ht="28.9" customHeight="1" x14ac:dyDescent="0.3"/>
    <row r="39" spans="11:18" ht="28.9" customHeight="1" x14ac:dyDescent="0.3"/>
    <row r="40" spans="11:18" ht="28.9" customHeight="1" x14ac:dyDescent="0.3"/>
    <row r="41" spans="11:18" ht="28.9" customHeight="1" x14ac:dyDescent="0.3"/>
    <row r="42" spans="11:18" ht="28.9" customHeight="1" x14ac:dyDescent="0.3"/>
    <row r="43" spans="11:18" ht="28.9" customHeight="1" x14ac:dyDescent="0.3"/>
    <row r="44" spans="11:18" ht="28.9" customHeight="1" x14ac:dyDescent="0.3"/>
    <row r="45" spans="11:18" ht="28.9" customHeight="1" x14ac:dyDescent="0.3"/>
    <row r="46" spans="11:18" ht="28.9" customHeight="1" x14ac:dyDescent="0.3"/>
    <row r="47" spans="11:18" ht="28.9" customHeight="1" x14ac:dyDescent="0.3"/>
    <row r="48" spans="11:1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5.140625" style="109" bestFit="1" customWidth="1"/>
    <col min="12" max="12" width="27.7109375" style="109" bestFit="1" customWidth="1"/>
    <col min="13" max="13" width="24.28515625" style="109" bestFit="1" customWidth="1"/>
    <col min="14" max="14" width="29.85546875" style="109" bestFit="1" customWidth="1"/>
    <col min="15" max="15" width="52.28515625" style="109" bestFit="1" customWidth="1"/>
    <col min="16" max="16" width="27.7109375" style="109" bestFit="1" customWidth="1"/>
    <col min="17" max="17" width="20.42578125" style="109" bestFit="1" customWidth="1"/>
    <col min="18" max="18" width="36" style="109" bestFit="1" customWidth="1"/>
    <col min="19" max="19" width="31.5703125" style="109" bestFit="1" customWidth="1"/>
    <col min="20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61" t="s">
        <v>220</v>
      </c>
      <c r="L13" s="161" t="s">
        <v>221</v>
      </c>
      <c r="M13" s="165" t="s">
        <v>222</v>
      </c>
      <c r="N13" s="161" t="s">
        <v>32</v>
      </c>
      <c r="O13" s="161" t="s">
        <v>223</v>
      </c>
      <c r="P13" s="161" t="s">
        <v>224</v>
      </c>
      <c r="Q13" s="161" t="s">
        <v>225</v>
      </c>
      <c r="R13" s="161" t="s">
        <v>226</v>
      </c>
      <c r="S13" s="161" t="s">
        <v>227</v>
      </c>
    </row>
    <row r="14" spans="1:51" ht="28.9" customHeight="1" x14ac:dyDescent="0.25">
      <c r="K14" s="162">
        <v>1</v>
      </c>
      <c r="L14" s="166">
        <v>45604</v>
      </c>
      <c r="M14" s="167">
        <v>0.33333333333333331</v>
      </c>
      <c r="N14" s="162" t="s">
        <v>38</v>
      </c>
      <c r="O14" s="162" t="s">
        <v>228</v>
      </c>
      <c r="P14" s="162" t="s">
        <v>229</v>
      </c>
      <c r="Q14" s="162">
        <v>10</v>
      </c>
      <c r="R14" s="162" t="s">
        <v>161</v>
      </c>
      <c r="S14" s="162" t="s">
        <v>230</v>
      </c>
    </row>
    <row r="15" spans="1:51" ht="28.9" customHeight="1" x14ac:dyDescent="0.25">
      <c r="K15" s="162">
        <f>K14+1</f>
        <v>2</v>
      </c>
      <c r="L15" s="166">
        <v>45604</v>
      </c>
      <c r="M15" s="167">
        <v>0.39583333333333331</v>
      </c>
      <c r="N15" s="162" t="s">
        <v>44</v>
      </c>
      <c r="O15" s="162" t="s">
        <v>231</v>
      </c>
      <c r="P15" s="162" t="s">
        <v>232</v>
      </c>
      <c r="Q15" s="162">
        <v>2</v>
      </c>
      <c r="R15" s="162" t="s">
        <v>166</v>
      </c>
      <c r="S15" s="162" t="s">
        <v>233</v>
      </c>
    </row>
    <row r="16" spans="1:51" ht="28.9" customHeight="1" x14ac:dyDescent="0.25">
      <c r="K16" s="162">
        <f t="shared" ref="K16:K33" si="0">K15+1</f>
        <v>3</v>
      </c>
      <c r="L16" s="166">
        <v>45604</v>
      </c>
      <c r="M16" s="167">
        <v>0.32291666666666669</v>
      </c>
      <c r="N16" s="162" t="s">
        <v>49</v>
      </c>
      <c r="O16" s="162" t="s">
        <v>234</v>
      </c>
      <c r="P16" s="162" t="s">
        <v>235</v>
      </c>
      <c r="Q16" s="162">
        <v>50</v>
      </c>
      <c r="R16" s="162" t="s">
        <v>177</v>
      </c>
      <c r="S16" s="162" t="s">
        <v>230</v>
      </c>
    </row>
    <row r="17" spans="11:19" ht="28.9" customHeight="1" x14ac:dyDescent="0.25">
      <c r="K17" s="162">
        <f t="shared" si="0"/>
        <v>4</v>
      </c>
      <c r="L17" s="166">
        <v>45604</v>
      </c>
      <c r="M17" s="167">
        <v>0.41666666666666669</v>
      </c>
      <c r="N17" s="162" t="s">
        <v>55</v>
      </c>
      <c r="O17" s="162" t="s">
        <v>236</v>
      </c>
      <c r="P17" s="162" t="s">
        <v>237</v>
      </c>
      <c r="Q17" s="162">
        <v>15</v>
      </c>
      <c r="R17" s="162" t="s">
        <v>161</v>
      </c>
      <c r="S17" s="162" t="s">
        <v>230</v>
      </c>
    </row>
    <row r="18" spans="11:19" ht="28.9" customHeight="1" x14ac:dyDescent="0.25">
      <c r="K18" s="162">
        <f t="shared" si="0"/>
        <v>5</v>
      </c>
      <c r="L18" s="166">
        <v>45604</v>
      </c>
      <c r="M18" s="167">
        <v>0.34375</v>
      </c>
      <c r="N18" s="162" t="s">
        <v>61</v>
      </c>
      <c r="O18" s="162" t="s">
        <v>238</v>
      </c>
      <c r="P18" s="162" t="s">
        <v>229</v>
      </c>
      <c r="Q18" s="162">
        <v>100</v>
      </c>
      <c r="R18" s="162" t="s">
        <v>161</v>
      </c>
      <c r="S18" s="162" t="s">
        <v>239</v>
      </c>
    </row>
    <row r="19" spans="11:19" ht="28.9" customHeight="1" x14ac:dyDescent="0.25">
      <c r="K19" s="162">
        <f t="shared" si="0"/>
        <v>6</v>
      </c>
      <c r="L19" s="166">
        <v>45604</v>
      </c>
      <c r="M19" s="167">
        <v>0.375</v>
      </c>
      <c r="N19" s="162" t="s">
        <v>67</v>
      </c>
      <c r="O19" s="162" t="s">
        <v>240</v>
      </c>
      <c r="P19" s="162" t="s">
        <v>232</v>
      </c>
      <c r="Q19" s="162">
        <v>200</v>
      </c>
      <c r="R19" s="162" t="s">
        <v>166</v>
      </c>
      <c r="S19" s="162" t="s">
        <v>230</v>
      </c>
    </row>
    <row r="20" spans="11:19" ht="28.9" customHeight="1" x14ac:dyDescent="0.25">
      <c r="K20" s="162">
        <f t="shared" si="0"/>
        <v>7</v>
      </c>
      <c r="L20" s="166">
        <v>45604</v>
      </c>
      <c r="M20" s="167">
        <v>0.45833333333333331</v>
      </c>
      <c r="N20" s="162" t="s">
        <v>73</v>
      </c>
      <c r="O20" s="162" t="s">
        <v>241</v>
      </c>
      <c r="P20" s="162" t="s">
        <v>235</v>
      </c>
      <c r="Q20" s="162">
        <v>30</v>
      </c>
      <c r="R20" s="162" t="s">
        <v>177</v>
      </c>
      <c r="S20" s="162" t="s">
        <v>233</v>
      </c>
    </row>
    <row r="21" spans="11:19" ht="28.9" customHeight="1" x14ac:dyDescent="0.25">
      <c r="K21" s="162">
        <f t="shared" si="0"/>
        <v>8</v>
      </c>
      <c r="L21" s="166">
        <v>45604</v>
      </c>
      <c r="M21" s="167">
        <v>0.3125</v>
      </c>
      <c r="N21" s="162" t="s">
        <v>79</v>
      </c>
      <c r="O21" s="162" t="s">
        <v>242</v>
      </c>
      <c r="P21" s="162" t="s">
        <v>237</v>
      </c>
      <c r="Q21" s="162">
        <v>20</v>
      </c>
      <c r="R21" s="162" t="s">
        <v>161</v>
      </c>
      <c r="S21" s="162" t="s">
        <v>230</v>
      </c>
    </row>
    <row r="22" spans="11:19" ht="28.9" customHeight="1" x14ac:dyDescent="0.25">
      <c r="K22" s="162">
        <f t="shared" si="0"/>
        <v>9</v>
      </c>
      <c r="L22" s="166">
        <v>45604</v>
      </c>
      <c r="M22" s="167">
        <v>0.40625</v>
      </c>
      <c r="N22" s="162" t="s">
        <v>85</v>
      </c>
      <c r="O22" s="162" t="s">
        <v>243</v>
      </c>
      <c r="P22" s="162" t="s">
        <v>229</v>
      </c>
      <c r="Q22" s="162">
        <v>500</v>
      </c>
      <c r="R22" s="162" t="s">
        <v>161</v>
      </c>
      <c r="S22" s="162" t="s">
        <v>230</v>
      </c>
    </row>
    <row r="23" spans="11:19" ht="28.9" customHeight="1" x14ac:dyDescent="0.3">
      <c r="K23" s="162">
        <f t="shared" si="0"/>
        <v>10</v>
      </c>
      <c r="L23" s="166">
        <v>45604</v>
      </c>
      <c r="M23" s="167">
        <v>0.42708333333333331</v>
      </c>
      <c r="N23" s="162" t="s">
        <v>91</v>
      </c>
      <c r="O23" s="162" t="s">
        <v>244</v>
      </c>
      <c r="P23" s="162" t="s">
        <v>232</v>
      </c>
      <c r="Q23" s="162">
        <v>5</v>
      </c>
      <c r="R23" s="162" t="s">
        <v>166</v>
      </c>
      <c r="S23" s="162" t="s">
        <v>239</v>
      </c>
    </row>
    <row r="24" spans="11:19" ht="28.9" customHeight="1" x14ac:dyDescent="0.25">
      <c r="K24" s="162">
        <f t="shared" si="0"/>
        <v>11</v>
      </c>
      <c r="L24" s="166">
        <v>45604</v>
      </c>
      <c r="M24" s="167">
        <v>0.47916666666666669</v>
      </c>
      <c r="N24" s="162" t="s">
        <v>97</v>
      </c>
      <c r="O24" s="162" t="s">
        <v>245</v>
      </c>
      <c r="P24" s="162" t="s">
        <v>235</v>
      </c>
      <c r="Q24" s="162">
        <v>40</v>
      </c>
      <c r="R24" s="162" t="s">
        <v>161</v>
      </c>
      <c r="S24" s="162" t="s">
        <v>230</v>
      </c>
    </row>
    <row r="25" spans="11:19" ht="28.9" customHeight="1" x14ac:dyDescent="0.25">
      <c r="K25" s="162">
        <f t="shared" si="0"/>
        <v>12</v>
      </c>
      <c r="L25" s="166">
        <v>45604</v>
      </c>
      <c r="M25" s="167">
        <v>0.36458333333333331</v>
      </c>
      <c r="N25" s="162" t="s">
        <v>103</v>
      </c>
      <c r="O25" s="162" t="s">
        <v>246</v>
      </c>
      <c r="P25" s="162" t="s">
        <v>237</v>
      </c>
      <c r="Q25" s="162">
        <v>80</v>
      </c>
      <c r="R25" s="162" t="s">
        <v>177</v>
      </c>
      <c r="S25" s="162" t="s">
        <v>233</v>
      </c>
    </row>
    <row r="26" spans="11:19" ht="28.9" customHeight="1" x14ac:dyDescent="0.25">
      <c r="K26" s="162">
        <f t="shared" si="0"/>
        <v>13</v>
      </c>
      <c r="L26" s="166">
        <v>45604</v>
      </c>
      <c r="M26" s="167">
        <v>0.38541666666666669</v>
      </c>
      <c r="N26" s="162" t="s">
        <v>109</v>
      </c>
      <c r="O26" s="162" t="s">
        <v>247</v>
      </c>
      <c r="P26" s="162" t="s">
        <v>229</v>
      </c>
      <c r="Q26" s="162">
        <v>20</v>
      </c>
      <c r="R26" s="162" t="s">
        <v>161</v>
      </c>
      <c r="S26" s="162" t="s">
        <v>230</v>
      </c>
    </row>
    <row r="27" spans="11:19" ht="28.9" customHeight="1" x14ac:dyDescent="0.25">
      <c r="K27" s="162">
        <f t="shared" si="0"/>
        <v>14</v>
      </c>
      <c r="L27" s="166">
        <v>45604</v>
      </c>
      <c r="M27" s="167">
        <v>0.29166666666666669</v>
      </c>
      <c r="N27" s="162" t="s">
        <v>115</v>
      </c>
      <c r="O27" s="162" t="s">
        <v>248</v>
      </c>
      <c r="P27" s="162" t="s">
        <v>232</v>
      </c>
      <c r="Q27" s="162">
        <v>35</v>
      </c>
      <c r="R27" s="162" t="s">
        <v>166</v>
      </c>
      <c r="S27" s="162" t="s">
        <v>230</v>
      </c>
    </row>
    <row r="28" spans="11:19" ht="28.9" customHeight="1" x14ac:dyDescent="0.25">
      <c r="K28" s="162">
        <f t="shared" si="0"/>
        <v>15</v>
      </c>
      <c r="L28" s="166">
        <v>45604</v>
      </c>
      <c r="M28" s="167">
        <v>0.4375</v>
      </c>
      <c r="N28" s="162" t="s">
        <v>121</v>
      </c>
      <c r="O28" s="162" t="s">
        <v>249</v>
      </c>
      <c r="P28" s="162" t="s">
        <v>235</v>
      </c>
      <c r="Q28" s="162">
        <v>300</v>
      </c>
      <c r="R28" s="162" t="s">
        <v>161</v>
      </c>
      <c r="S28" s="162" t="s">
        <v>239</v>
      </c>
    </row>
    <row r="29" spans="11:19" ht="28.9" customHeight="1" x14ac:dyDescent="0.25">
      <c r="K29" s="162">
        <f t="shared" si="0"/>
        <v>16</v>
      </c>
      <c r="L29" s="166">
        <v>45604</v>
      </c>
      <c r="M29" s="167">
        <v>0.40972222222222221</v>
      </c>
      <c r="N29" s="162" t="s">
        <v>127</v>
      </c>
      <c r="O29" s="162" t="s">
        <v>250</v>
      </c>
      <c r="P29" s="162" t="s">
        <v>237</v>
      </c>
      <c r="Q29" s="162">
        <v>60</v>
      </c>
      <c r="R29" s="162" t="s">
        <v>177</v>
      </c>
      <c r="S29" s="162" t="s">
        <v>230</v>
      </c>
    </row>
    <row r="30" spans="11:19" ht="28.9" customHeight="1" x14ac:dyDescent="0.3">
      <c r="K30" s="162">
        <f t="shared" si="0"/>
        <v>17</v>
      </c>
      <c r="L30" s="166">
        <v>45604</v>
      </c>
      <c r="M30" s="167">
        <v>0.34722222222222221</v>
      </c>
      <c r="N30" s="162" t="s">
        <v>132</v>
      </c>
      <c r="O30" s="162" t="s">
        <v>251</v>
      </c>
      <c r="P30" s="162" t="s">
        <v>229</v>
      </c>
      <c r="Q30" s="162">
        <v>15</v>
      </c>
      <c r="R30" s="162" t="s">
        <v>166</v>
      </c>
      <c r="S30" s="162" t="s">
        <v>233</v>
      </c>
    </row>
    <row r="31" spans="11:19" ht="28.9" customHeight="1" x14ac:dyDescent="0.25">
      <c r="K31" s="162">
        <f t="shared" si="0"/>
        <v>18</v>
      </c>
      <c r="L31" s="166">
        <v>45604</v>
      </c>
      <c r="M31" s="167">
        <v>0.48958333333333331</v>
      </c>
      <c r="N31" s="162" t="s">
        <v>137</v>
      </c>
      <c r="O31" s="162" t="s">
        <v>252</v>
      </c>
      <c r="P31" s="162" t="s">
        <v>232</v>
      </c>
      <c r="Q31" s="162">
        <v>70</v>
      </c>
      <c r="R31" s="162" t="s">
        <v>161</v>
      </c>
      <c r="S31" s="162" t="s">
        <v>230</v>
      </c>
    </row>
    <row r="32" spans="11:19" ht="28.9" customHeight="1" x14ac:dyDescent="0.25">
      <c r="K32" s="162">
        <f t="shared" si="0"/>
        <v>19</v>
      </c>
      <c r="L32" s="166">
        <v>45604</v>
      </c>
      <c r="M32" s="167">
        <v>0.38194444444444442</v>
      </c>
      <c r="N32" s="162" t="s">
        <v>143</v>
      </c>
      <c r="O32" s="162" t="s">
        <v>253</v>
      </c>
      <c r="P32" s="162" t="s">
        <v>235</v>
      </c>
      <c r="Q32" s="162">
        <v>120</v>
      </c>
      <c r="R32" s="162" t="s">
        <v>166</v>
      </c>
      <c r="S32" s="162" t="s">
        <v>230</v>
      </c>
    </row>
    <row r="33" spans="11:19" ht="28.9" customHeight="1" x14ac:dyDescent="0.25">
      <c r="K33" s="162">
        <f t="shared" si="0"/>
        <v>20</v>
      </c>
      <c r="L33" s="166">
        <v>45604</v>
      </c>
      <c r="M33" s="167">
        <v>0.44444444444444442</v>
      </c>
      <c r="N33" s="162" t="s">
        <v>148</v>
      </c>
      <c r="O33" s="162" t="s">
        <v>254</v>
      </c>
      <c r="P33" s="162" t="s">
        <v>237</v>
      </c>
      <c r="Q33" s="162">
        <v>25</v>
      </c>
      <c r="R33" s="162" t="s">
        <v>177</v>
      </c>
      <c r="S33" s="162" t="s">
        <v>230</v>
      </c>
    </row>
    <row r="34" spans="11:19" ht="28.9" customHeight="1" x14ac:dyDescent="0.3"/>
    <row r="35" spans="11:19" ht="28.9" customHeight="1" x14ac:dyDescent="0.3"/>
    <row r="36" spans="11:19" ht="28.9" customHeight="1" x14ac:dyDescent="0.3"/>
    <row r="37" spans="11:19" ht="28.9" customHeight="1" x14ac:dyDescent="0.3"/>
    <row r="38" spans="11:19" ht="28.9" customHeight="1" x14ac:dyDescent="0.3"/>
    <row r="39" spans="11:19" ht="28.9" customHeight="1" x14ac:dyDescent="0.3"/>
    <row r="40" spans="11:19" ht="28.9" customHeight="1" x14ac:dyDescent="0.3"/>
    <row r="41" spans="11:19" ht="28.9" customHeight="1" x14ac:dyDescent="0.3"/>
    <row r="42" spans="11:19" ht="28.9" customHeight="1" x14ac:dyDescent="0.3"/>
    <row r="43" spans="11:19" ht="28.9" customHeight="1" x14ac:dyDescent="0.3"/>
    <row r="44" spans="11:19" ht="28.9" customHeight="1" x14ac:dyDescent="0.3"/>
    <row r="45" spans="11:19" ht="28.9" customHeight="1" x14ac:dyDescent="0.3"/>
    <row r="46" spans="11:19" ht="28.9" customHeight="1" x14ac:dyDescent="0.3"/>
    <row r="47" spans="11:19" ht="28.9" customHeight="1" x14ac:dyDescent="0.3"/>
    <row r="48" spans="11:19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5.42578125" style="109" bestFit="1" customWidth="1"/>
    <col min="12" max="12" width="25.42578125" style="109" customWidth="1"/>
    <col min="13" max="13" width="26.28515625" style="109" customWidth="1"/>
    <col min="14" max="14" width="25.42578125" style="109" customWidth="1"/>
    <col min="15" max="15" width="24.28515625" style="109" customWidth="1"/>
    <col min="16" max="16" width="45.42578125" style="109" bestFit="1" customWidth="1"/>
    <col min="17" max="17" width="20.42578125" style="109" bestFit="1" customWidth="1"/>
    <col min="18" max="18" width="36" style="109" bestFit="1" customWidth="1"/>
    <col min="19" max="19" width="31.5703125" style="109" bestFit="1" customWidth="1"/>
    <col min="20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64" t="s">
        <v>220</v>
      </c>
      <c r="L13" s="164" t="s">
        <v>255</v>
      </c>
      <c r="M13" s="164" t="s">
        <v>256</v>
      </c>
      <c r="N13" s="164" t="s">
        <v>257</v>
      </c>
      <c r="O13" s="164" t="s">
        <v>258</v>
      </c>
      <c r="P13" s="164" t="s">
        <v>259</v>
      </c>
    </row>
    <row r="14" spans="1:51" ht="28.9" customHeight="1" x14ac:dyDescent="0.25">
      <c r="K14" s="162">
        <v>1</v>
      </c>
      <c r="L14" s="168">
        <v>50</v>
      </c>
      <c r="M14" s="163">
        <v>1000</v>
      </c>
      <c r="N14" s="169">
        <f>L14*M14</f>
        <v>50000</v>
      </c>
      <c r="O14" s="169">
        <f>L14*M14+N14</f>
        <v>100000</v>
      </c>
      <c r="P14" s="162" t="s">
        <v>260</v>
      </c>
    </row>
    <row r="15" spans="1:51" ht="28.9" customHeight="1" x14ac:dyDescent="0.3">
      <c r="K15" s="162">
        <f>K14+1</f>
        <v>2</v>
      </c>
      <c r="L15" s="168">
        <v>120</v>
      </c>
      <c r="M15" s="162">
        <v>800</v>
      </c>
      <c r="N15" s="169">
        <v>400</v>
      </c>
      <c r="O15" s="169">
        <v>600</v>
      </c>
      <c r="P15" s="162" t="s">
        <v>261</v>
      </c>
    </row>
    <row r="16" spans="1:51" ht="28.9" customHeight="1" x14ac:dyDescent="0.3">
      <c r="K16" s="162">
        <f t="shared" ref="K16:K33" si="0">K15+1</f>
        <v>3</v>
      </c>
      <c r="L16" s="168">
        <v>30</v>
      </c>
      <c r="M16" s="162">
        <v>500</v>
      </c>
      <c r="N16" s="169">
        <v>250</v>
      </c>
      <c r="O16" s="169">
        <v>400</v>
      </c>
      <c r="P16" s="162" t="s">
        <v>262</v>
      </c>
    </row>
    <row r="17" spans="11:16" ht="28.9" customHeight="1" x14ac:dyDescent="0.3">
      <c r="K17" s="162">
        <f t="shared" si="0"/>
        <v>4</v>
      </c>
      <c r="L17" s="168">
        <v>200</v>
      </c>
      <c r="M17" s="163">
        <v>1200</v>
      </c>
      <c r="N17" s="169">
        <v>600</v>
      </c>
      <c r="O17" s="169">
        <v>900</v>
      </c>
      <c r="P17" s="162" t="s">
        <v>263</v>
      </c>
    </row>
    <row r="18" spans="11:16" ht="28.9" customHeight="1" x14ac:dyDescent="0.25">
      <c r="K18" s="162">
        <f t="shared" si="0"/>
        <v>5</v>
      </c>
      <c r="L18" s="168">
        <v>15</v>
      </c>
      <c r="M18" s="163">
        <v>2000</v>
      </c>
      <c r="N18" s="169">
        <v>700</v>
      </c>
      <c r="O18" s="169">
        <v>1000</v>
      </c>
      <c r="P18" s="162" t="s">
        <v>264</v>
      </c>
    </row>
    <row r="19" spans="11:16" ht="28.9" customHeight="1" x14ac:dyDescent="0.3">
      <c r="K19" s="162">
        <f t="shared" si="0"/>
        <v>6</v>
      </c>
      <c r="L19" s="168">
        <v>80</v>
      </c>
      <c r="M19" s="163">
        <v>1500</v>
      </c>
      <c r="N19" s="169">
        <v>500</v>
      </c>
      <c r="O19" s="169">
        <v>800</v>
      </c>
      <c r="P19" s="162" t="s">
        <v>265</v>
      </c>
    </row>
    <row r="20" spans="11:16" ht="28.9" customHeight="1" x14ac:dyDescent="0.3">
      <c r="K20" s="162">
        <f t="shared" si="0"/>
        <v>7</v>
      </c>
      <c r="L20" s="168">
        <v>60</v>
      </c>
      <c r="M20" s="162">
        <v>400</v>
      </c>
      <c r="N20" s="169">
        <v>200</v>
      </c>
      <c r="O20" s="169">
        <v>300</v>
      </c>
      <c r="P20" s="162" t="s">
        <v>266</v>
      </c>
    </row>
    <row r="21" spans="11:16" ht="28.9" customHeight="1" x14ac:dyDescent="0.25">
      <c r="K21" s="162">
        <f t="shared" si="0"/>
        <v>8</v>
      </c>
      <c r="L21" s="168">
        <v>180</v>
      </c>
      <c r="M21" s="163">
        <v>2500</v>
      </c>
      <c r="N21" s="169">
        <v>800</v>
      </c>
      <c r="O21" s="169">
        <v>1200</v>
      </c>
      <c r="P21" s="162" t="s">
        <v>267</v>
      </c>
    </row>
    <row r="22" spans="11:16" ht="28.9" customHeight="1" x14ac:dyDescent="0.3">
      <c r="K22" s="162">
        <f t="shared" si="0"/>
        <v>9</v>
      </c>
      <c r="L22" s="168">
        <v>90</v>
      </c>
      <c r="M22" s="163">
        <v>1800</v>
      </c>
      <c r="N22" s="169">
        <v>550</v>
      </c>
      <c r="O22" s="169">
        <v>850</v>
      </c>
      <c r="P22" s="162" t="s">
        <v>268</v>
      </c>
    </row>
    <row r="23" spans="11:16" ht="28.9" customHeight="1" x14ac:dyDescent="0.3">
      <c r="K23" s="162">
        <f t="shared" si="0"/>
        <v>10</v>
      </c>
      <c r="L23" s="168">
        <v>40</v>
      </c>
      <c r="M23" s="162">
        <v>600</v>
      </c>
      <c r="N23" s="169">
        <v>300</v>
      </c>
      <c r="O23" s="169">
        <v>500</v>
      </c>
      <c r="P23" s="162" t="s">
        <v>269</v>
      </c>
    </row>
    <row r="24" spans="11:16" ht="28.9" customHeight="1" x14ac:dyDescent="0.25">
      <c r="K24" s="162">
        <f t="shared" si="0"/>
        <v>11</v>
      </c>
      <c r="L24" s="168">
        <v>150</v>
      </c>
      <c r="M24" s="163">
        <v>1000</v>
      </c>
      <c r="N24" s="169">
        <v>600</v>
      </c>
      <c r="O24" s="169">
        <v>950</v>
      </c>
      <c r="P24" s="162" t="s">
        <v>270</v>
      </c>
    </row>
    <row r="25" spans="11:16" ht="28.9" customHeight="1" x14ac:dyDescent="0.3">
      <c r="K25" s="162">
        <f t="shared" si="0"/>
        <v>12</v>
      </c>
      <c r="L25" s="168">
        <v>20</v>
      </c>
      <c r="M25" s="162">
        <v>700</v>
      </c>
      <c r="N25" s="169">
        <v>250</v>
      </c>
      <c r="O25" s="169">
        <v>400</v>
      </c>
      <c r="P25" s="162" t="s">
        <v>271</v>
      </c>
    </row>
    <row r="26" spans="11:16" ht="28.9" customHeight="1" x14ac:dyDescent="0.3">
      <c r="K26" s="162">
        <f t="shared" si="0"/>
        <v>13</v>
      </c>
      <c r="L26" s="168">
        <v>170</v>
      </c>
      <c r="M26" s="163">
        <v>2000</v>
      </c>
      <c r="N26" s="169">
        <v>750</v>
      </c>
      <c r="O26" s="169">
        <v>1150</v>
      </c>
      <c r="P26" s="162" t="s">
        <v>272</v>
      </c>
    </row>
    <row r="27" spans="11:16" ht="28.9" customHeight="1" x14ac:dyDescent="0.25">
      <c r="K27" s="162">
        <f t="shared" si="0"/>
        <v>14</v>
      </c>
      <c r="L27" s="168">
        <v>35</v>
      </c>
      <c r="M27" s="162">
        <v>900</v>
      </c>
      <c r="N27" s="169">
        <v>350</v>
      </c>
      <c r="O27" s="169">
        <v>550</v>
      </c>
      <c r="P27" s="162" t="s">
        <v>273</v>
      </c>
    </row>
    <row r="28" spans="11:16" ht="28.9" customHeight="1" x14ac:dyDescent="0.25">
      <c r="K28" s="162">
        <f t="shared" si="0"/>
        <v>15</v>
      </c>
      <c r="L28" s="168">
        <v>220</v>
      </c>
      <c r="M28" s="163">
        <v>2500</v>
      </c>
      <c r="N28" s="169">
        <v>900</v>
      </c>
      <c r="O28" s="169">
        <v>1400</v>
      </c>
      <c r="P28" s="162" t="s">
        <v>274</v>
      </c>
    </row>
    <row r="29" spans="11:16" ht="28.9" customHeight="1" x14ac:dyDescent="0.25">
      <c r="K29" s="162">
        <f t="shared" si="0"/>
        <v>16</v>
      </c>
      <c r="L29" s="168">
        <v>110</v>
      </c>
      <c r="M29" s="163">
        <v>1100</v>
      </c>
      <c r="N29" s="169">
        <v>450</v>
      </c>
      <c r="O29" s="169">
        <v>700</v>
      </c>
      <c r="P29" s="162" t="s">
        <v>275</v>
      </c>
    </row>
    <row r="30" spans="11:16" ht="28.9" customHeight="1" x14ac:dyDescent="0.25">
      <c r="K30" s="162">
        <f t="shared" si="0"/>
        <v>17</v>
      </c>
      <c r="L30" s="168">
        <v>75</v>
      </c>
      <c r="M30" s="163">
        <v>1300</v>
      </c>
      <c r="N30" s="169">
        <v>500</v>
      </c>
      <c r="O30" s="169">
        <v>750</v>
      </c>
      <c r="P30" s="162" t="s">
        <v>276</v>
      </c>
    </row>
    <row r="31" spans="11:16" ht="28.9" customHeight="1" x14ac:dyDescent="0.25">
      <c r="K31" s="162">
        <f t="shared" si="0"/>
        <v>18</v>
      </c>
      <c r="L31" s="168">
        <v>25</v>
      </c>
      <c r="M31" s="162">
        <v>950</v>
      </c>
      <c r="N31" s="169">
        <v>300</v>
      </c>
      <c r="O31" s="169">
        <v>450</v>
      </c>
      <c r="P31" s="162" t="s">
        <v>277</v>
      </c>
    </row>
    <row r="32" spans="11:16" ht="28.9" customHeight="1" x14ac:dyDescent="0.25">
      <c r="K32" s="162">
        <f t="shared" si="0"/>
        <v>19</v>
      </c>
      <c r="L32" s="168">
        <v>140</v>
      </c>
      <c r="M32" s="163">
        <v>1600</v>
      </c>
      <c r="N32" s="169">
        <v>650</v>
      </c>
      <c r="O32" s="169">
        <v>1000</v>
      </c>
      <c r="P32" s="162" t="s">
        <v>278</v>
      </c>
    </row>
    <row r="33" spans="11:16" ht="28.9" customHeight="1" x14ac:dyDescent="0.3">
      <c r="K33" s="162">
        <f t="shared" si="0"/>
        <v>20</v>
      </c>
      <c r="L33" s="168">
        <v>50</v>
      </c>
      <c r="M33" s="162">
        <v>850</v>
      </c>
      <c r="N33" s="169">
        <v>350</v>
      </c>
      <c r="O33" s="169">
        <v>550</v>
      </c>
      <c r="P33" s="162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5.140625" style="109" bestFit="1" customWidth="1"/>
    <col min="12" max="12" width="25.42578125" style="109" customWidth="1"/>
    <col min="13" max="13" width="26.28515625" style="109" customWidth="1"/>
    <col min="14" max="14" width="25.42578125" style="109" customWidth="1"/>
    <col min="15" max="15" width="24.28515625" style="109" customWidth="1"/>
    <col min="16" max="16" width="45.42578125" style="109" bestFit="1" customWidth="1"/>
    <col min="17" max="17" width="20.42578125" style="109" bestFit="1" customWidth="1"/>
    <col min="18" max="18" width="36" style="109" bestFit="1" customWidth="1"/>
    <col min="19" max="19" width="31.5703125" style="109" bestFit="1" customWidth="1"/>
    <col min="20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64" t="s">
        <v>220</v>
      </c>
      <c r="L13" s="164" t="s">
        <v>255</v>
      </c>
      <c r="M13" s="164" t="s">
        <v>256</v>
      </c>
      <c r="N13" s="164" t="s">
        <v>257</v>
      </c>
      <c r="O13" s="164" t="s">
        <v>258</v>
      </c>
      <c r="P13" s="164" t="s">
        <v>259</v>
      </c>
    </row>
    <row r="14" spans="1:51" ht="28.9" customHeight="1" x14ac:dyDescent="0.25">
      <c r="K14" s="162">
        <v>1</v>
      </c>
      <c r="L14" s="168">
        <v>50</v>
      </c>
      <c r="M14" s="163">
        <v>1000</v>
      </c>
      <c r="N14" s="169">
        <f>L14*M14</f>
        <v>50000</v>
      </c>
      <c r="O14" s="169">
        <f>L14*M14+N14</f>
        <v>100000</v>
      </c>
      <c r="P14" s="162" t="s">
        <v>260</v>
      </c>
    </row>
    <row r="15" spans="1:51" ht="28.9" customHeight="1" x14ac:dyDescent="0.3">
      <c r="K15" s="162">
        <f>K14+1</f>
        <v>2</v>
      </c>
      <c r="L15" s="168">
        <v>120</v>
      </c>
      <c r="M15" s="162">
        <v>800</v>
      </c>
      <c r="N15" s="169">
        <v>400</v>
      </c>
      <c r="O15" s="169">
        <v>600</v>
      </c>
      <c r="P15" s="162" t="s">
        <v>261</v>
      </c>
    </row>
    <row r="16" spans="1:51" ht="28.9" customHeight="1" x14ac:dyDescent="0.3">
      <c r="K16" s="162">
        <f t="shared" ref="K16:K33" si="0">K15+1</f>
        <v>3</v>
      </c>
      <c r="L16" s="168">
        <v>30</v>
      </c>
      <c r="M16" s="162">
        <v>500</v>
      </c>
      <c r="N16" s="169">
        <v>250</v>
      </c>
      <c r="O16" s="169">
        <v>400</v>
      </c>
      <c r="P16" s="162" t="s">
        <v>262</v>
      </c>
    </row>
    <row r="17" spans="11:16" ht="28.9" customHeight="1" x14ac:dyDescent="0.3">
      <c r="K17" s="162">
        <f t="shared" si="0"/>
        <v>4</v>
      </c>
      <c r="L17" s="168">
        <v>200</v>
      </c>
      <c r="M17" s="163">
        <v>1200</v>
      </c>
      <c r="N17" s="169">
        <v>600</v>
      </c>
      <c r="O17" s="169">
        <v>900</v>
      </c>
      <c r="P17" s="162" t="s">
        <v>263</v>
      </c>
    </row>
    <row r="18" spans="11:16" ht="28.9" customHeight="1" x14ac:dyDescent="0.25">
      <c r="K18" s="162">
        <f t="shared" si="0"/>
        <v>5</v>
      </c>
      <c r="L18" s="168">
        <v>15</v>
      </c>
      <c r="M18" s="163">
        <v>2000</v>
      </c>
      <c r="N18" s="169">
        <v>700</v>
      </c>
      <c r="O18" s="169">
        <v>1000</v>
      </c>
      <c r="P18" s="162" t="s">
        <v>264</v>
      </c>
    </row>
    <row r="19" spans="11:16" ht="28.9" customHeight="1" x14ac:dyDescent="0.3">
      <c r="K19" s="162">
        <f t="shared" si="0"/>
        <v>6</v>
      </c>
      <c r="L19" s="168">
        <v>80</v>
      </c>
      <c r="M19" s="163">
        <v>1500</v>
      </c>
      <c r="N19" s="169">
        <v>500</v>
      </c>
      <c r="O19" s="169">
        <v>800</v>
      </c>
      <c r="P19" s="162" t="s">
        <v>265</v>
      </c>
    </row>
    <row r="20" spans="11:16" ht="28.9" customHeight="1" x14ac:dyDescent="0.3">
      <c r="K20" s="162">
        <f t="shared" si="0"/>
        <v>7</v>
      </c>
      <c r="L20" s="168">
        <v>60</v>
      </c>
      <c r="M20" s="162">
        <v>400</v>
      </c>
      <c r="N20" s="169">
        <v>200</v>
      </c>
      <c r="O20" s="169">
        <v>300</v>
      </c>
      <c r="P20" s="162" t="s">
        <v>266</v>
      </c>
    </row>
    <row r="21" spans="11:16" ht="28.9" customHeight="1" x14ac:dyDescent="0.25">
      <c r="K21" s="162">
        <f t="shared" si="0"/>
        <v>8</v>
      </c>
      <c r="L21" s="168">
        <v>180</v>
      </c>
      <c r="M21" s="163">
        <v>2500</v>
      </c>
      <c r="N21" s="169">
        <v>800</v>
      </c>
      <c r="O21" s="169">
        <v>1200</v>
      </c>
      <c r="P21" s="162" t="s">
        <v>267</v>
      </c>
    </row>
    <row r="22" spans="11:16" ht="28.9" customHeight="1" x14ac:dyDescent="0.3">
      <c r="K22" s="162">
        <f t="shared" si="0"/>
        <v>9</v>
      </c>
      <c r="L22" s="168">
        <v>90</v>
      </c>
      <c r="M22" s="163">
        <v>1800</v>
      </c>
      <c r="N22" s="169">
        <v>550</v>
      </c>
      <c r="O22" s="169">
        <v>850</v>
      </c>
      <c r="P22" s="162" t="s">
        <v>268</v>
      </c>
    </row>
    <row r="23" spans="11:16" ht="28.9" customHeight="1" x14ac:dyDescent="0.3">
      <c r="K23" s="162">
        <f t="shared" si="0"/>
        <v>10</v>
      </c>
      <c r="L23" s="168">
        <v>40</v>
      </c>
      <c r="M23" s="162">
        <v>600</v>
      </c>
      <c r="N23" s="169">
        <v>300</v>
      </c>
      <c r="O23" s="169">
        <v>500</v>
      </c>
      <c r="P23" s="162" t="s">
        <v>269</v>
      </c>
    </row>
    <row r="24" spans="11:16" ht="28.9" customHeight="1" x14ac:dyDescent="0.25">
      <c r="K24" s="162">
        <f t="shared" si="0"/>
        <v>11</v>
      </c>
      <c r="L24" s="168">
        <v>150</v>
      </c>
      <c r="M24" s="163">
        <v>1000</v>
      </c>
      <c r="N24" s="169">
        <v>600</v>
      </c>
      <c r="O24" s="169">
        <v>950</v>
      </c>
      <c r="P24" s="162" t="s">
        <v>270</v>
      </c>
    </row>
    <row r="25" spans="11:16" ht="28.9" customHeight="1" x14ac:dyDescent="0.3">
      <c r="K25" s="162">
        <f t="shared" si="0"/>
        <v>12</v>
      </c>
      <c r="L25" s="168">
        <v>20</v>
      </c>
      <c r="M25" s="162">
        <v>700</v>
      </c>
      <c r="N25" s="169">
        <v>250</v>
      </c>
      <c r="O25" s="169">
        <v>400</v>
      </c>
      <c r="P25" s="162" t="s">
        <v>271</v>
      </c>
    </row>
    <row r="26" spans="11:16" ht="28.9" customHeight="1" x14ac:dyDescent="0.3">
      <c r="K26" s="162">
        <f t="shared" si="0"/>
        <v>13</v>
      </c>
      <c r="L26" s="168">
        <v>170</v>
      </c>
      <c r="M26" s="163">
        <v>2000</v>
      </c>
      <c r="N26" s="169">
        <v>750</v>
      </c>
      <c r="O26" s="169">
        <v>1150</v>
      </c>
      <c r="P26" s="162" t="s">
        <v>272</v>
      </c>
    </row>
    <row r="27" spans="11:16" ht="28.9" customHeight="1" x14ac:dyDescent="0.25">
      <c r="K27" s="162">
        <f t="shared" si="0"/>
        <v>14</v>
      </c>
      <c r="L27" s="168">
        <v>35</v>
      </c>
      <c r="M27" s="162">
        <v>900</v>
      </c>
      <c r="N27" s="169">
        <v>350</v>
      </c>
      <c r="O27" s="169">
        <v>550</v>
      </c>
      <c r="P27" s="162" t="s">
        <v>273</v>
      </c>
    </row>
    <row r="28" spans="11:16" ht="28.9" customHeight="1" x14ac:dyDescent="0.25">
      <c r="K28" s="162">
        <f t="shared" si="0"/>
        <v>15</v>
      </c>
      <c r="L28" s="168">
        <v>220</v>
      </c>
      <c r="M28" s="163">
        <v>2500</v>
      </c>
      <c r="N28" s="169">
        <v>900</v>
      </c>
      <c r="O28" s="169">
        <v>1400</v>
      </c>
      <c r="P28" s="162" t="s">
        <v>274</v>
      </c>
    </row>
    <row r="29" spans="11:16" ht="28.9" customHeight="1" x14ac:dyDescent="0.25">
      <c r="K29" s="162">
        <f t="shared" si="0"/>
        <v>16</v>
      </c>
      <c r="L29" s="168">
        <v>110</v>
      </c>
      <c r="M29" s="163">
        <v>1100</v>
      </c>
      <c r="N29" s="169">
        <v>450</v>
      </c>
      <c r="O29" s="169">
        <v>700</v>
      </c>
      <c r="P29" s="162" t="s">
        <v>275</v>
      </c>
    </row>
    <row r="30" spans="11:16" ht="28.9" customHeight="1" x14ac:dyDescent="0.25">
      <c r="K30" s="162">
        <f t="shared" si="0"/>
        <v>17</v>
      </c>
      <c r="L30" s="168">
        <v>75</v>
      </c>
      <c r="M30" s="163">
        <v>1300</v>
      </c>
      <c r="N30" s="169">
        <v>500</v>
      </c>
      <c r="O30" s="169">
        <v>750</v>
      </c>
      <c r="P30" s="162" t="s">
        <v>276</v>
      </c>
    </row>
    <row r="31" spans="11:16" ht="28.9" customHeight="1" x14ac:dyDescent="0.25">
      <c r="K31" s="162">
        <f t="shared" si="0"/>
        <v>18</v>
      </c>
      <c r="L31" s="168">
        <v>25</v>
      </c>
      <c r="M31" s="162">
        <v>950</v>
      </c>
      <c r="N31" s="169">
        <v>300</v>
      </c>
      <c r="O31" s="169">
        <v>450</v>
      </c>
      <c r="P31" s="162" t="s">
        <v>277</v>
      </c>
    </row>
    <row r="32" spans="11:16" ht="28.9" customHeight="1" x14ac:dyDescent="0.25">
      <c r="K32" s="162">
        <f t="shared" si="0"/>
        <v>19</v>
      </c>
      <c r="L32" s="168">
        <v>140</v>
      </c>
      <c r="M32" s="163">
        <v>1600</v>
      </c>
      <c r="N32" s="169">
        <v>650</v>
      </c>
      <c r="O32" s="169">
        <v>1000</v>
      </c>
      <c r="P32" s="162" t="s">
        <v>278</v>
      </c>
    </row>
    <row r="33" spans="11:16" ht="28.9" customHeight="1" x14ac:dyDescent="0.3">
      <c r="K33" s="162">
        <f t="shared" si="0"/>
        <v>20</v>
      </c>
      <c r="L33" s="168">
        <v>50</v>
      </c>
      <c r="M33" s="162">
        <v>850</v>
      </c>
      <c r="N33" s="169">
        <v>350</v>
      </c>
      <c r="O33" s="169">
        <v>550</v>
      </c>
      <c r="P33" s="162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4.5703125" style="109" customWidth="1"/>
    <col min="12" max="12" width="25.42578125" style="109" customWidth="1"/>
    <col min="13" max="13" width="26.28515625" style="109" customWidth="1"/>
    <col min="14" max="14" width="25.42578125" style="109" customWidth="1"/>
    <col min="15" max="15" width="24.28515625" style="109" customWidth="1"/>
    <col min="16" max="16" width="45.42578125" style="109" customWidth="1"/>
    <col min="17" max="17" width="20.42578125" style="109" bestFit="1" customWidth="1"/>
    <col min="18" max="18" width="36" style="109" bestFit="1" customWidth="1"/>
    <col min="19" max="19" width="31.5703125" style="109" bestFit="1" customWidth="1"/>
    <col min="20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64" t="s">
        <v>220</v>
      </c>
      <c r="L13" s="164" t="s">
        <v>255</v>
      </c>
      <c r="M13" s="164" t="s">
        <v>256</v>
      </c>
      <c r="N13" s="164" t="s">
        <v>257</v>
      </c>
      <c r="O13" s="164" t="s">
        <v>258</v>
      </c>
      <c r="P13" s="164" t="s">
        <v>259</v>
      </c>
    </row>
    <row r="14" spans="1:51" ht="28.9" customHeight="1" x14ac:dyDescent="0.25">
      <c r="K14" s="162">
        <v>1</v>
      </c>
      <c r="L14" s="168">
        <v>50</v>
      </c>
      <c r="M14" s="163">
        <v>1000</v>
      </c>
      <c r="N14" s="169">
        <f>L14*M14</f>
        <v>50000</v>
      </c>
      <c r="O14" s="169">
        <f>L14*M14+N14</f>
        <v>100000</v>
      </c>
      <c r="P14" s="162" t="s">
        <v>260</v>
      </c>
    </row>
    <row r="15" spans="1:51" ht="28.9" customHeight="1" x14ac:dyDescent="0.3">
      <c r="K15" s="162">
        <f>K14+1</f>
        <v>2</v>
      </c>
      <c r="L15" s="168">
        <v>120</v>
      </c>
      <c r="M15" s="162">
        <v>800</v>
      </c>
      <c r="N15" s="169">
        <v>400</v>
      </c>
      <c r="O15" s="169">
        <v>600</v>
      </c>
      <c r="P15" s="162" t="s">
        <v>261</v>
      </c>
    </row>
    <row r="16" spans="1:51" ht="28.9" customHeight="1" x14ac:dyDescent="0.3">
      <c r="K16" s="162">
        <f t="shared" ref="K16:K33" si="0">K15+1</f>
        <v>3</v>
      </c>
      <c r="L16" s="168">
        <v>30</v>
      </c>
      <c r="M16" s="162">
        <v>500</v>
      </c>
      <c r="N16" s="169">
        <v>250</v>
      </c>
      <c r="O16" s="169">
        <v>400</v>
      </c>
      <c r="P16" s="162" t="s">
        <v>262</v>
      </c>
    </row>
    <row r="17" spans="11:16" ht="28.9" customHeight="1" x14ac:dyDescent="0.3">
      <c r="K17" s="162">
        <f t="shared" si="0"/>
        <v>4</v>
      </c>
      <c r="L17" s="168">
        <v>200</v>
      </c>
      <c r="M17" s="163">
        <v>1200</v>
      </c>
      <c r="N17" s="169">
        <v>600</v>
      </c>
      <c r="O17" s="169">
        <v>900</v>
      </c>
      <c r="P17" s="162" t="s">
        <v>263</v>
      </c>
    </row>
    <row r="18" spans="11:16" ht="28.9" customHeight="1" x14ac:dyDescent="0.25">
      <c r="K18" s="162">
        <f t="shared" si="0"/>
        <v>5</v>
      </c>
      <c r="L18" s="168">
        <v>15</v>
      </c>
      <c r="M18" s="163">
        <v>2000</v>
      </c>
      <c r="N18" s="169">
        <v>700</v>
      </c>
      <c r="O18" s="169">
        <v>1000</v>
      </c>
      <c r="P18" s="162" t="s">
        <v>264</v>
      </c>
    </row>
    <row r="19" spans="11:16" ht="28.9" customHeight="1" x14ac:dyDescent="0.3">
      <c r="K19" s="162">
        <f t="shared" si="0"/>
        <v>6</v>
      </c>
      <c r="L19" s="168">
        <v>80</v>
      </c>
      <c r="M19" s="163">
        <v>1500</v>
      </c>
      <c r="N19" s="169">
        <v>500</v>
      </c>
      <c r="O19" s="169">
        <v>800</v>
      </c>
      <c r="P19" s="162" t="s">
        <v>265</v>
      </c>
    </row>
    <row r="20" spans="11:16" ht="28.9" customHeight="1" x14ac:dyDescent="0.3">
      <c r="K20" s="162">
        <f t="shared" si="0"/>
        <v>7</v>
      </c>
      <c r="L20" s="168">
        <v>60</v>
      </c>
      <c r="M20" s="162">
        <v>400</v>
      </c>
      <c r="N20" s="169">
        <v>200</v>
      </c>
      <c r="O20" s="169">
        <v>300</v>
      </c>
      <c r="P20" s="162" t="s">
        <v>266</v>
      </c>
    </row>
    <row r="21" spans="11:16" ht="28.9" customHeight="1" x14ac:dyDescent="0.25">
      <c r="K21" s="162">
        <f t="shared" si="0"/>
        <v>8</v>
      </c>
      <c r="L21" s="168">
        <v>180</v>
      </c>
      <c r="M21" s="163">
        <v>2500</v>
      </c>
      <c r="N21" s="169">
        <v>800</v>
      </c>
      <c r="O21" s="169">
        <v>1200</v>
      </c>
      <c r="P21" s="162" t="s">
        <v>267</v>
      </c>
    </row>
    <row r="22" spans="11:16" ht="28.9" customHeight="1" x14ac:dyDescent="0.3">
      <c r="K22" s="162">
        <f t="shared" si="0"/>
        <v>9</v>
      </c>
      <c r="L22" s="168">
        <v>90</v>
      </c>
      <c r="M22" s="163">
        <v>1800</v>
      </c>
      <c r="N22" s="169">
        <v>550</v>
      </c>
      <c r="O22" s="169">
        <v>850</v>
      </c>
      <c r="P22" s="162" t="s">
        <v>268</v>
      </c>
    </row>
    <row r="23" spans="11:16" ht="28.9" customHeight="1" x14ac:dyDescent="0.3">
      <c r="K23" s="162">
        <f t="shared" si="0"/>
        <v>10</v>
      </c>
      <c r="L23" s="168">
        <v>40</v>
      </c>
      <c r="M23" s="162">
        <v>600</v>
      </c>
      <c r="N23" s="169">
        <v>300</v>
      </c>
      <c r="O23" s="169">
        <v>500</v>
      </c>
      <c r="P23" s="162" t="s">
        <v>269</v>
      </c>
    </row>
    <row r="24" spans="11:16" ht="28.9" customHeight="1" x14ac:dyDescent="0.25">
      <c r="K24" s="162">
        <f t="shared" si="0"/>
        <v>11</v>
      </c>
      <c r="L24" s="168">
        <v>150</v>
      </c>
      <c r="M24" s="163">
        <v>1000</v>
      </c>
      <c r="N24" s="169">
        <v>600</v>
      </c>
      <c r="O24" s="169">
        <v>950</v>
      </c>
      <c r="P24" s="162" t="s">
        <v>270</v>
      </c>
    </row>
    <row r="25" spans="11:16" ht="28.9" customHeight="1" x14ac:dyDescent="0.3">
      <c r="K25" s="162">
        <f t="shared" si="0"/>
        <v>12</v>
      </c>
      <c r="L25" s="168">
        <v>20</v>
      </c>
      <c r="M25" s="162">
        <v>700</v>
      </c>
      <c r="N25" s="169">
        <v>250</v>
      </c>
      <c r="O25" s="169">
        <v>400</v>
      </c>
      <c r="P25" s="162" t="s">
        <v>271</v>
      </c>
    </row>
    <row r="26" spans="11:16" ht="28.9" customHeight="1" x14ac:dyDescent="0.3">
      <c r="K26" s="162">
        <f t="shared" si="0"/>
        <v>13</v>
      </c>
      <c r="L26" s="168">
        <v>170</v>
      </c>
      <c r="M26" s="163">
        <v>2000</v>
      </c>
      <c r="N26" s="169">
        <v>750</v>
      </c>
      <c r="O26" s="169">
        <v>1150</v>
      </c>
      <c r="P26" s="162" t="s">
        <v>272</v>
      </c>
    </row>
    <row r="27" spans="11:16" ht="28.9" customHeight="1" x14ac:dyDescent="0.25">
      <c r="K27" s="162">
        <f t="shared" si="0"/>
        <v>14</v>
      </c>
      <c r="L27" s="168">
        <v>35</v>
      </c>
      <c r="M27" s="162">
        <v>900</v>
      </c>
      <c r="N27" s="169">
        <v>350</v>
      </c>
      <c r="O27" s="169">
        <v>550</v>
      </c>
      <c r="P27" s="162" t="s">
        <v>273</v>
      </c>
    </row>
    <row r="28" spans="11:16" ht="28.9" customHeight="1" x14ac:dyDescent="0.25">
      <c r="K28" s="162">
        <f t="shared" si="0"/>
        <v>15</v>
      </c>
      <c r="L28" s="168">
        <v>220</v>
      </c>
      <c r="M28" s="163">
        <v>2500</v>
      </c>
      <c r="N28" s="169">
        <v>900</v>
      </c>
      <c r="O28" s="169">
        <v>1400</v>
      </c>
      <c r="P28" s="162" t="s">
        <v>274</v>
      </c>
    </row>
    <row r="29" spans="11:16" ht="28.9" customHeight="1" x14ac:dyDescent="0.25">
      <c r="K29" s="162">
        <f t="shared" si="0"/>
        <v>16</v>
      </c>
      <c r="L29" s="168">
        <v>110</v>
      </c>
      <c r="M29" s="163">
        <v>1100</v>
      </c>
      <c r="N29" s="169">
        <v>450</v>
      </c>
      <c r="O29" s="169">
        <v>700</v>
      </c>
      <c r="P29" s="162" t="s">
        <v>275</v>
      </c>
    </row>
    <row r="30" spans="11:16" ht="28.9" customHeight="1" x14ac:dyDescent="0.25">
      <c r="K30" s="162">
        <f t="shared" si="0"/>
        <v>17</v>
      </c>
      <c r="L30" s="168">
        <v>75</v>
      </c>
      <c r="M30" s="163">
        <v>1300</v>
      </c>
      <c r="N30" s="169">
        <v>500</v>
      </c>
      <c r="O30" s="169">
        <v>750</v>
      </c>
      <c r="P30" s="162" t="s">
        <v>276</v>
      </c>
    </row>
    <row r="31" spans="11:16" ht="28.9" customHeight="1" x14ac:dyDescent="0.25">
      <c r="K31" s="162">
        <f t="shared" si="0"/>
        <v>18</v>
      </c>
      <c r="L31" s="168">
        <v>25</v>
      </c>
      <c r="M31" s="162">
        <v>950</v>
      </c>
      <c r="N31" s="169">
        <v>300</v>
      </c>
      <c r="O31" s="169">
        <v>450</v>
      </c>
      <c r="P31" s="162" t="s">
        <v>277</v>
      </c>
    </row>
    <row r="32" spans="11:16" ht="28.9" customHeight="1" x14ac:dyDescent="0.25">
      <c r="K32" s="162">
        <f t="shared" si="0"/>
        <v>19</v>
      </c>
      <c r="L32" s="168">
        <v>140</v>
      </c>
      <c r="M32" s="163">
        <v>1600</v>
      </c>
      <c r="N32" s="169">
        <v>650</v>
      </c>
      <c r="O32" s="169">
        <v>1000</v>
      </c>
      <c r="P32" s="162" t="s">
        <v>278</v>
      </c>
    </row>
    <row r="33" spans="11:16" ht="28.9" customHeight="1" x14ac:dyDescent="0.3">
      <c r="K33" s="162">
        <f t="shared" si="0"/>
        <v>20</v>
      </c>
      <c r="L33" s="168">
        <v>50</v>
      </c>
      <c r="M33" s="162">
        <v>850</v>
      </c>
      <c r="N33" s="169">
        <v>350</v>
      </c>
      <c r="O33" s="169">
        <v>550</v>
      </c>
      <c r="P33" s="162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4.5703125" style="109" customWidth="1"/>
    <col min="12" max="12" width="25.42578125" style="109" customWidth="1"/>
    <col min="13" max="13" width="26.28515625" style="109" customWidth="1"/>
    <col min="14" max="14" width="25.42578125" style="109" customWidth="1"/>
    <col min="15" max="15" width="24.28515625" style="109" customWidth="1"/>
    <col min="16" max="16" width="45.42578125" style="109" customWidth="1"/>
    <col min="17" max="17" width="20.42578125" style="109" bestFit="1" customWidth="1"/>
    <col min="18" max="18" width="36" style="109" bestFit="1" customWidth="1"/>
    <col min="19" max="19" width="31.5703125" style="109" bestFit="1" customWidth="1"/>
    <col min="20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64" t="s">
        <v>220</v>
      </c>
      <c r="L13" s="164" t="s">
        <v>255</v>
      </c>
      <c r="M13" s="164" t="s">
        <v>256</v>
      </c>
      <c r="N13" s="164" t="s">
        <v>257</v>
      </c>
      <c r="O13" s="164" t="s">
        <v>258</v>
      </c>
      <c r="P13" s="164" t="s">
        <v>259</v>
      </c>
    </row>
    <row r="14" spans="1:51" ht="28.9" customHeight="1" x14ac:dyDescent="0.25">
      <c r="K14" s="162">
        <v>1</v>
      </c>
      <c r="L14" s="168">
        <v>50</v>
      </c>
      <c r="M14" s="163">
        <v>1000</v>
      </c>
      <c r="N14" s="169">
        <f>L14*M14</f>
        <v>50000</v>
      </c>
      <c r="O14" s="169">
        <f>L14*M14+N14</f>
        <v>100000</v>
      </c>
      <c r="P14" s="162" t="s">
        <v>260</v>
      </c>
    </row>
    <row r="15" spans="1:51" ht="28.9" customHeight="1" x14ac:dyDescent="0.3">
      <c r="K15" s="162">
        <f>K14+1</f>
        <v>2</v>
      </c>
      <c r="L15" s="168">
        <v>120</v>
      </c>
      <c r="M15" s="162">
        <v>800</v>
      </c>
      <c r="N15" s="169">
        <v>400</v>
      </c>
      <c r="O15" s="169">
        <v>600</v>
      </c>
      <c r="P15" s="162" t="s">
        <v>261</v>
      </c>
    </row>
    <row r="16" spans="1:51" ht="28.9" customHeight="1" x14ac:dyDescent="0.3">
      <c r="K16" s="162">
        <f t="shared" ref="K16:K33" si="0">K15+1</f>
        <v>3</v>
      </c>
      <c r="L16" s="168">
        <v>30</v>
      </c>
      <c r="M16" s="162">
        <v>500</v>
      </c>
      <c r="N16" s="169">
        <v>250</v>
      </c>
      <c r="O16" s="169">
        <v>400</v>
      </c>
      <c r="P16" s="162" t="s">
        <v>262</v>
      </c>
    </row>
    <row r="17" spans="11:16" ht="28.9" customHeight="1" x14ac:dyDescent="0.3">
      <c r="K17" s="162">
        <f t="shared" si="0"/>
        <v>4</v>
      </c>
      <c r="L17" s="168">
        <v>200</v>
      </c>
      <c r="M17" s="163">
        <v>1200</v>
      </c>
      <c r="N17" s="169">
        <v>600</v>
      </c>
      <c r="O17" s="169">
        <v>900</v>
      </c>
      <c r="P17" s="162" t="s">
        <v>263</v>
      </c>
    </row>
    <row r="18" spans="11:16" ht="28.9" customHeight="1" x14ac:dyDescent="0.25">
      <c r="K18" s="162">
        <f t="shared" si="0"/>
        <v>5</v>
      </c>
      <c r="L18" s="168">
        <v>15</v>
      </c>
      <c r="M18" s="163">
        <v>2000</v>
      </c>
      <c r="N18" s="169">
        <v>700</v>
      </c>
      <c r="O18" s="169">
        <v>1000</v>
      </c>
      <c r="P18" s="162" t="s">
        <v>264</v>
      </c>
    </row>
    <row r="19" spans="11:16" ht="28.9" customHeight="1" x14ac:dyDescent="0.3">
      <c r="K19" s="162">
        <f t="shared" si="0"/>
        <v>6</v>
      </c>
      <c r="L19" s="168">
        <v>80</v>
      </c>
      <c r="M19" s="163">
        <v>1500</v>
      </c>
      <c r="N19" s="169">
        <v>500</v>
      </c>
      <c r="O19" s="169">
        <v>800</v>
      </c>
      <c r="P19" s="162" t="s">
        <v>265</v>
      </c>
    </row>
    <row r="20" spans="11:16" ht="28.9" customHeight="1" x14ac:dyDescent="0.3">
      <c r="K20" s="162">
        <f t="shared" si="0"/>
        <v>7</v>
      </c>
      <c r="L20" s="168">
        <v>60</v>
      </c>
      <c r="M20" s="162">
        <v>400</v>
      </c>
      <c r="N20" s="169">
        <v>200</v>
      </c>
      <c r="O20" s="169">
        <v>300</v>
      </c>
      <c r="P20" s="162" t="s">
        <v>266</v>
      </c>
    </row>
    <row r="21" spans="11:16" ht="28.9" customHeight="1" x14ac:dyDescent="0.25">
      <c r="K21" s="162">
        <f t="shared" si="0"/>
        <v>8</v>
      </c>
      <c r="L21" s="168">
        <v>180</v>
      </c>
      <c r="M21" s="163">
        <v>2500</v>
      </c>
      <c r="N21" s="169">
        <v>800</v>
      </c>
      <c r="O21" s="169">
        <v>1200</v>
      </c>
      <c r="P21" s="162" t="s">
        <v>267</v>
      </c>
    </row>
    <row r="22" spans="11:16" ht="28.9" customHeight="1" x14ac:dyDescent="0.3">
      <c r="K22" s="162">
        <f t="shared" si="0"/>
        <v>9</v>
      </c>
      <c r="L22" s="168">
        <v>90</v>
      </c>
      <c r="M22" s="163">
        <v>1800</v>
      </c>
      <c r="N22" s="169">
        <v>550</v>
      </c>
      <c r="O22" s="169">
        <v>850</v>
      </c>
      <c r="P22" s="162" t="s">
        <v>268</v>
      </c>
    </row>
    <row r="23" spans="11:16" ht="28.9" customHeight="1" x14ac:dyDescent="0.3">
      <c r="K23" s="162">
        <f t="shared" si="0"/>
        <v>10</v>
      </c>
      <c r="L23" s="168">
        <v>40</v>
      </c>
      <c r="M23" s="162">
        <v>600</v>
      </c>
      <c r="N23" s="169">
        <v>300</v>
      </c>
      <c r="O23" s="169">
        <v>500</v>
      </c>
      <c r="P23" s="162" t="s">
        <v>269</v>
      </c>
    </row>
    <row r="24" spans="11:16" ht="28.9" customHeight="1" x14ac:dyDescent="0.25">
      <c r="K24" s="162">
        <f t="shared" si="0"/>
        <v>11</v>
      </c>
      <c r="L24" s="168">
        <v>150</v>
      </c>
      <c r="M24" s="163">
        <v>1000</v>
      </c>
      <c r="N24" s="169">
        <v>600</v>
      </c>
      <c r="O24" s="169">
        <v>950</v>
      </c>
      <c r="P24" s="162" t="s">
        <v>270</v>
      </c>
    </row>
    <row r="25" spans="11:16" ht="28.9" customHeight="1" x14ac:dyDescent="0.3">
      <c r="K25" s="162">
        <f t="shared" si="0"/>
        <v>12</v>
      </c>
      <c r="L25" s="168">
        <v>20</v>
      </c>
      <c r="M25" s="162">
        <v>700</v>
      </c>
      <c r="N25" s="169">
        <v>250</v>
      </c>
      <c r="O25" s="169">
        <v>400</v>
      </c>
      <c r="P25" s="162" t="s">
        <v>271</v>
      </c>
    </row>
    <row r="26" spans="11:16" ht="28.9" customHeight="1" x14ac:dyDescent="0.3">
      <c r="K26" s="162">
        <f t="shared" si="0"/>
        <v>13</v>
      </c>
      <c r="L26" s="168">
        <v>170</v>
      </c>
      <c r="M26" s="163">
        <v>2000</v>
      </c>
      <c r="N26" s="169">
        <v>750</v>
      </c>
      <c r="O26" s="169">
        <v>1150</v>
      </c>
      <c r="P26" s="162" t="s">
        <v>272</v>
      </c>
    </row>
    <row r="27" spans="11:16" ht="28.9" customHeight="1" x14ac:dyDescent="0.25">
      <c r="K27" s="162">
        <f t="shared" si="0"/>
        <v>14</v>
      </c>
      <c r="L27" s="168">
        <v>35</v>
      </c>
      <c r="M27" s="162">
        <v>900</v>
      </c>
      <c r="N27" s="169">
        <v>350</v>
      </c>
      <c r="O27" s="169">
        <v>550</v>
      </c>
      <c r="P27" s="162" t="s">
        <v>273</v>
      </c>
    </row>
    <row r="28" spans="11:16" ht="28.9" customHeight="1" x14ac:dyDescent="0.25">
      <c r="K28" s="162">
        <f t="shared" si="0"/>
        <v>15</v>
      </c>
      <c r="L28" s="168">
        <v>220</v>
      </c>
      <c r="M28" s="163">
        <v>2500</v>
      </c>
      <c r="N28" s="169">
        <v>900</v>
      </c>
      <c r="O28" s="169">
        <v>1400</v>
      </c>
      <c r="P28" s="162" t="s">
        <v>274</v>
      </c>
    </row>
    <row r="29" spans="11:16" ht="28.9" customHeight="1" x14ac:dyDescent="0.25">
      <c r="K29" s="162">
        <f t="shared" si="0"/>
        <v>16</v>
      </c>
      <c r="L29" s="168">
        <v>110</v>
      </c>
      <c r="M29" s="163">
        <v>1100</v>
      </c>
      <c r="N29" s="169">
        <v>450</v>
      </c>
      <c r="O29" s="169">
        <v>700</v>
      </c>
      <c r="P29" s="162" t="s">
        <v>275</v>
      </c>
    </row>
    <row r="30" spans="11:16" ht="28.9" customHeight="1" x14ac:dyDescent="0.25">
      <c r="K30" s="162">
        <f t="shared" si="0"/>
        <v>17</v>
      </c>
      <c r="L30" s="168">
        <v>75</v>
      </c>
      <c r="M30" s="163">
        <v>1300</v>
      </c>
      <c r="N30" s="169">
        <v>500</v>
      </c>
      <c r="O30" s="169">
        <v>750</v>
      </c>
      <c r="P30" s="162" t="s">
        <v>276</v>
      </c>
    </row>
    <row r="31" spans="11:16" ht="28.9" customHeight="1" x14ac:dyDescent="0.25">
      <c r="K31" s="162">
        <f t="shared" si="0"/>
        <v>18</v>
      </c>
      <c r="L31" s="168">
        <v>25</v>
      </c>
      <c r="M31" s="162">
        <v>950</v>
      </c>
      <c r="N31" s="169">
        <v>300</v>
      </c>
      <c r="O31" s="169">
        <v>450</v>
      </c>
      <c r="P31" s="162" t="s">
        <v>277</v>
      </c>
    </row>
    <row r="32" spans="11:16" ht="28.9" customHeight="1" x14ac:dyDescent="0.25">
      <c r="K32" s="162">
        <f t="shared" si="0"/>
        <v>19</v>
      </c>
      <c r="L32" s="168">
        <v>140</v>
      </c>
      <c r="M32" s="163">
        <v>1600</v>
      </c>
      <c r="N32" s="169">
        <v>650</v>
      </c>
      <c r="O32" s="169">
        <v>1000</v>
      </c>
      <c r="P32" s="162" t="s">
        <v>278</v>
      </c>
    </row>
    <row r="33" spans="11:16" ht="28.9" customHeight="1" x14ac:dyDescent="0.3">
      <c r="K33" s="162">
        <f t="shared" si="0"/>
        <v>20</v>
      </c>
      <c r="L33" s="168">
        <v>50</v>
      </c>
      <c r="M33" s="162">
        <v>850</v>
      </c>
      <c r="N33" s="169">
        <v>350</v>
      </c>
      <c r="O33" s="169">
        <v>550</v>
      </c>
      <c r="P33" s="162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>
    <tabColor rgb="FFC00000"/>
  </sheetPr>
  <dimension ref="A1:AY66"/>
  <sheetViews>
    <sheetView zoomScale="40" zoomScaleNormal="40" workbookViewId="0">
      <selection activeCell="A19" sqref="A19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4.5703125" style="109" customWidth="1"/>
    <col min="12" max="12" width="25.42578125" style="109" customWidth="1"/>
    <col min="13" max="13" width="26.28515625" style="109" customWidth="1"/>
    <col min="14" max="14" width="2.7109375" style="109" bestFit="1" customWidth="1"/>
    <col min="15" max="15" width="47.7109375" style="109" customWidth="1"/>
    <col min="16" max="16" width="2.7109375" style="109" bestFit="1" customWidth="1"/>
    <col min="17" max="17" width="20.42578125" style="109" bestFit="1" customWidth="1"/>
    <col min="18" max="18" width="2.7109375" style="109" bestFit="1" customWidth="1"/>
    <col min="19" max="19" width="46.85546875" style="109" customWidth="1"/>
    <col min="20" max="23" width="8.85546875" style="109"/>
    <col min="24" max="24" width="23.42578125" style="109" bestFit="1" customWidth="1"/>
    <col min="25" max="25" width="2.7109375" style="109" bestFit="1" customWidth="1"/>
    <col min="26" max="26" width="51.140625" style="109" customWidth="1"/>
    <col min="27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thickBot="1" x14ac:dyDescent="0.35"/>
    <row r="14" spans="1:51" ht="28.9" customHeight="1" x14ac:dyDescent="0.25">
      <c r="N14" s="453" t="s">
        <v>280</v>
      </c>
      <c r="O14" s="454"/>
      <c r="P14" s="454"/>
      <c r="Q14" s="454"/>
      <c r="R14" s="454"/>
      <c r="S14" s="454"/>
      <c r="T14" s="455"/>
      <c r="W14" s="475" t="s">
        <v>281</v>
      </c>
      <c r="X14" s="476"/>
      <c r="Y14" s="476"/>
      <c r="Z14" s="476"/>
      <c r="AA14" s="477"/>
    </row>
    <row r="15" spans="1:51" ht="28.9" customHeight="1" x14ac:dyDescent="0.25">
      <c r="N15" s="456"/>
      <c r="O15" s="457"/>
      <c r="P15" s="457"/>
      <c r="Q15" s="457"/>
      <c r="R15" s="457"/>
      <c r="S15" s="457"/>
      <c r="T15" s="458"/>
      <c r="W15" s="478"/>
      <c r="X15" s="479"/>
      <c r="Y15" s="479"/>
      <c r="Z15" s="479"/>
      <c r="AA15" s="480"/>
    </row>
    <row r="16" spans="1:51" ht="28.9" customHeight="1" x14ac:dyDescent="0.25">
      <c r="N16" s="456"/>
      <c r="O16" s="457"/>
      <c r="P16" s="457"/>
      <c r="Q16" s="457"/>
      <c r="R16" s="457"/>
      <c r="S16" s="457"/>
      <c r="T16" s="458"/>
      <c r="W16" s="478"/>
      <c r="X16" s="479"/>
      <c r="Y16" s="479"/>
      <c r="Z16" s="479"/>
      <c r="AA16" s="480"/>
    </row>
    <row r="17" spans="14:27" ht="28.9" customHeight="1" x14ac:dyDescent="0.45">
      <c r="N17" s="17" t="s">
        <v>13</v>
      </c>
      <c r="O17" s="55" t="s">
        <v>13</v>
      </c>
      <c r="P17" s="55" t="s">
        <v>13</v>
      </c>
      <c r="Q17" s="55" t="s">
        <v>13</v>
      </c>
      <c r="R17" s="55" t="s">
        <v>13</v>
      </c>
      <c r="S17" s="57" t="s">
        <v>13</v>
      </c>
      <c r="T17" s="137" t="s">
        <v>13</v>
      </c>
      <c r="W17" s="42" t="s">
        <v>13</v>
      </c>
      <c r="X17" s="39" t="s">
        <v>13</v>
      </c>
      <c r="Y17" s="40" t="s">
        <v>13</v>
      </c>
      <c r="Z17" s="40" t="s">
        <v>13</v>
      </c>
      <c r="AA17" s="43" t="s">
        <v>13</v>
      </c>
    </row>
    <row r="18" spans="14:27" ht="28.9" customHeight="1" x14ac:dyDescent="0.45">
      <c r="N18" s="17" t="s">
        <v>13</v>
      </c>
      <c r="O18" s="147" t="s">
        <v>3</v>
      </c>
      <c r="P18" s="56"/>
      <c r="Q18" s="55" t="s">
        <v>13</v>
      </c>
      <c r="R18" s="55" t="s">
        <v>13</v>
      </c>
      <c r="S18" s="132"/>
      <c r="T18" s="137" t="s">
        <v>13</v>
      </c>
      <c r="W18" s="42" t="s">
        <v>13</v>
      </c>
      <c r="X18" s="174" t="s">
        <v>282</v>
      </c>
      <c r="Y18" s="41"/>
      <c r="Z18" s="111"/>
      <c r="AA18" s="44" t="s">
        <v>13</v>
      </c>
    </row>
    <row r="19" spans="14:27" ht="28.9" customHeight="1" x14ac:dyDescent="0.45">
      <c r="N19" s="17" t="s">
        <v>13</v>
      </c>
      <c r="O19" s="55" t="s">
        <v>13</v>
      </c>
      <c r="P19" s="55" t="s">
        <v>13</v>
      </c>
      <c r="Q19" s="55" t="s">
        <v>13</v>
      </c>
      <c r="R19" s="55" t="s">
        <v>13</v>
      </c>
      <c r="S19" s="57" t="s">
        <v>13</v>
      </c>
      <c r="T19" s="13" t="s">
        <v>13</v>
      </c>
      <c r="W19" s="42" t="s">
        <v>13</v>
      </c>
      <c r="X19" s="80"/>
      <c r="Y19" s="40"/>
      <c r="Z19" s="40"/>
      <c r="AA19" s="43" t="s">
        <v>13</v>
      </c>
    </row>
    <row r="20" spans="14:27" ht="28.9" customHeight="1" x14ac:dyDescent="0.45">
      <c r="N20" s="17" t="s">
        <v>13</v>
      </c>
      <c r="O20" s="170" t="s">
        <v>4</v>
      </c>
      <c r="P20" s="56"/>
      <c r="Q20" s="55" t="s">
        <v>13</v>
      </c>
      <c r="R20" s="55" t="s">
        <v>13</v>
      </c>
      <c r="S20" s="132"/>
      <c r="T20" s="137" t="s">
        <v>13</v>
      </c>
      <c r="W20" s="42" t="s">
        <v>13</v>
      </c>
      <c r="X20" s="174" t="s">
        <v>283</v>
      </c>
      <c r="Y20" s="41"/>
      <c r="Z20" s="111"/>
      <c r="AA20" s="44" t="s">
        <v>13</v>
      </c>
    </row>
    <row r="21" spans="14:27" ht="28.9" customHeight="1" x14ac:dyDescent="0.45">
      <c r="N21" s="17" t="s">
        <v>13</v>
      </c>
      <c r="O21" s="171"/>
      <c r="P21" s="55" t="s">
        <v>13</v>
      </c>
      <c r="Q21" s="55" t="s">
        <v>13</v>
      </c>
      <c r="R21" s="55" t="s">
        <v>13</v>
      </c>
      <c r="S21" s="146" t="s">
        <v>13</v>
      </c>
      <c r="T21" s="137" t="s">
        <v>13</v>
      </c>
      <c r="W21" s="42" t="s">
        <v>13</v>
      </c>
      <c r="X21" s="41"/>
      <c r="Y21" s="40"/>
      <c r="Z21" s="40"/>
      <c r="AA21" s="43" t="s">
        <v>13</v>
      </c>
    </row>
    <row r="22" spans="14:27" ht="28.9" customHeight="1" x14ac:dyDescent="0.45">
      <c r="N22" s="17" t="s">
        <v>13</v>
      </c>
      <c r="O22" s="170" t="s">
        <v>5</v>
      </c>
      <c r="P22" s="55" t="s">
        <v>13</v>
      </c>
      <c r="Q22" s="55" t="s">
        <v>13</v>
      </c>
      <c r="R22" s="55" t="s">
        <v>13</v>
      </c>
      <c r="S22" s="172" t="s">
        <v>13</v>
      </c>
      <c r="T22" s="137" t="s">
        <v>13</v>
      </c>
      <c r="W22" s="42" t="s">
        <v>13</v>
      </c>
      <c r="X22" s="41"/>
      <c r="Y22" s="41"/>
      <c r="Z22" s="41"/>
      <c r="AA22" s="44" t="s">
        <v>13</v>
      </c>
    </row>
    <row r="23" spans="14:27" ht="28.9" customHeight="1" x14ac:dyDescent="0.45">
      <c r="N23" s="17" t="s">
        <v>13</v>
      </c>
      <c r="O23" s="171"/>
      <c r="P23" s="55" t="s">
        <v>13</v>
      </c>
      <c r="Q23" s="55" t="s">
        <v>13</v>
      </c>
      <c r="R23" s="55" t="s">
        <v>13</v>
      </c>
      <c r="S23" s="146" t="s">
        <v>13</v>
      </c>
      <c r="T23" s="137" t="s">
        <v>13</v>
      </c>
      <c r="W23" s="42" t="s">
        <v>13</v>
      </c>
      <c r="X23" s="41"/>
      <c r="Y23" s="40"/>
      <c r="Z23" s="40"/>
      <c r="AA23" s="43" t="s">
        <v>13</v>
      </c>
    </row>
    <row r="24" spans="14:27" ht="28.9" customHeight="1" x14ac:dyDescent="0.45">
      <c r="N24" s="17" t="s">
        <v>13</v>
      </c>
      <c r="O24" s="170" t="s">
        <v>6</v>
      </c>
      <c r="P24" s="55" t="s">
        <v>13</v>
      </c>
      <c r="Q24" s="55" t="s">
        <v>13</v>
      </c>
      <c r="R24" s="55" t="s">
        <v>13</v>
      </c>
      <c r="S24" s="172" t="s">
        <v>13</v>
      </c>
      <c r="T24" s="137" t="s">
        <v>13</v>
      </c>
      <c r="W24" s="42" t="s">
        <v>13</v>
      </c>
      <c r="X24" s="41"/>
      <c r="Y24" s="41"/>
      <c r="Z24" s="41"/>
      <c r="AA24" s="43" t="s">
        <v>13</v>
      </c>
    </row>
    <row r="25" spans="14:27" ht="28.9" customHeight="1" x14ac:dyDescent="0.45">
      <c r="N25" s="17" t="s">
        <v>13</v>
      </c>
      <c r="O25" s="171"/>
      <c r="P25" s="55" t="s">
        <v>13</v>
      </c>
      <c r="Q25" s="55" t="s">
        <v>13</v>
      </c>
      <c r="R25" s="55" t="s">
        <v>13</v>
      </c>
      <c r="S25" s="146" t="s">
        <v>13</v>
      </c>
      <c r="T25" s="137" t="s">
        <v>13</v>
      </c>
      <c r="W25" s="42" t="s">
        <v>13</v>
      </c>
      <c r="X25" s="41"/>
      <c r="Y25" s="41"/>
      <c r="Z25" s="40"/>
      <c r="AA25" s="43" t="s">
        <v>13</v>
      </c>
    </row>
    <row r="26" spans="14:27" ht="28.9" customHeight="1" x14ac:dyDescent="0.45">
      <c r="N26" s="68"/>
      <c r="O26" s="170" t="s">
        <v>7</v>
      </c>
      <c r="P26" s="69"/>
      <c r="Q26" s="69"/>
      <c r="R26" s="69"/>
      <c r="S26" s="173"/>
      <c r="T26" s="7"/>
      <c r="W26" s="42" t="s">
        <v>13</v>
      </c>
      <c r="X26" s="41"/>
      <c r="Y26" s="41"/>
      <c r="Z26" s="41"/>
      <c r="AA26" s="43" t="s">
        <v>13</v>
      </c>
    </row>
    <row r="27" spans="14:27" ht="28.9" customHeight="1" thickBot="1" x14ac:dyDescent="0.5">
      <c r="N27" s="68"/>
      <c r="O27" s="69"/>
      <c r="P27" s="69"/>
      <c r="Q27" s="69"/>
      <c r="R27" s="69"/>
      <c r="S27" s="69"/>
      <c r="T27" s="7"/>
      <c r="W27" s="45" t="s">
        <v>13</v>
      </c>
      <c r="X27" s="47" t="s">
        <v>13</v>
      </c>
      <c r="Y27" s="48" t="s">
        <v>13</v>
      </c>
      <c r="Z27" s="46" t="s">
        <v>13</v>
      </c>
      <c r="AA27" s="49" t="s">
        <v>13</v>
      </c>
    </row>
    <row r="28" spans="14:27" ht="28.9" customHeight="1" x14ac:dyDescent="0.3">
      <c r="N28" s="68"/>
      <c r="O28" s="69"/>
      <c r="P28" s="69"/>
      <c r="Q28" s="69"/>
      <c r="R28" s="69"/>
      <c r="S28" s="69"/>
      <c r="T28" s="7"/>
    </row>
    <row r="29" spans="14:27" ht="28.9" customHeight="1" x14ac:dyDescent="0.3">
      <c r="N29" s="68"/>
      <c r="O29" s="69"/>
      <c r="P29" s="69"/>
      <c r="Q29" s="69"/>
      <c r="R29" s="69"/>
      <c r="S29" s="69"/>
      <c r="T29" s="7"/>
    </row>
    <row r="30" spans="14:27" ht="28.9" customHeight="1" x14ac:dyDescent="0.3">
      <c r="N30" s="68"/>
      <c r="O30" s="69"/>
      <c r="P30" s="69"/>
      <c r="Q30" s="69"/>
      <c r="R30" s="69"/>
      <c r="S30" s="69"/>
      <c r="T30" s="7"/>
    </row>
    <row r="31" spans="14:27" ht="28.9" customHeight="1" thickBot="1" x14ac:dyDescent="0.35">
      <c r="N31" s="70"/>
      <c r="O31" s="71"/>
      <c r="P31" s="71"/>
      <c r="Q31" s="71"/>
      <c r="R31" s="71"/>
      <c r="S31" s="71"/>
      <c r="T31" s="72"/>
    </row>
    <row r="32" spans="14:27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6">
    <tabColor rgb="FFC00000"/>
  </sheetPr>
  <dimension ref="A1:AY66"/>
  <sheetViews>
    <sheetView zoomScale="40" zoomScaleNormal="40" workbookViewId="0">
      <selection activeCell="G36" sqref="G36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4.5703125" style="109" customWidth="1"/>
    <col min="12" max="12" width="25.42578125" style="109" customWidth="1"/>
    <col min="13" max="13" width="26.28515625" style="109" customWidth="1"/>
    <col min="14" max="14" width="2.7109375" style="109" bestFit="1" customWidth="1"/>
    <col min="15" max="15" width="47.7109375" style="109" customWidth="1"/>
    <col min="16" max="16" width="2.7109375" style="109" bestFit="1" customWidth="1"/>
    <col min="17" max="17" width="20.42578125" style="109" bestFit="1" customWidth="1"/>
    <col min="18" max="18" width="2.7109375" style="109" bestFit="1" customWidth="1"/>
    <col min="19" max="19" width="31.28515625" style="109" customWidth="1"/>
    <col min="20" max="23" width="8.85546875" style="109"/>
    <col min="24" max="24" width="23.42578125" style="109" bestFit="1" customWidth="1"/>
    <col min="25" max="25" width="2.7109375" style="109" bestFit="1" customWidth="1"/>
    <col min="26" max="26" width="51.140625" style="109" customWidth="1"/>
    <col min="27" max="16384" width="8.85546875" style="109"/>
  </cols>
  <sheetData>
    <row r="1" spans="1:51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1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</row>
    <row r="3" spans="1:51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10"/>
    </row>
    <row r="4" spans="1:51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</row>
    <row r="5" spans="1:51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</row>
    <row r="6" spans="1:51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</row>
    <row r="7" spans="1:51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thickBot="1" x14ac:dyDescent="0.35"/>
    <row r="14" spans="1:51" ht="28.9" customHeight="1" x14ac:dyDescent="0.25">
      <c r="N14" s="453" t="s">
        <v>280</v>
      </c>
      <c r="O14" s="454"/>
      <c r="P14" s="454"/>
      <c r="Q14" s="454"/>
      <c r="R14" s="454"/>
      <c r="S14" s="454"/>
      <c r="T14" s="455"/>
    </row>
    <row r="15" spans="1:51" ht="28.9" customHeight="1" x14ac:dyDescent="0.25">
      <c r="N15" s="456"/>
      <c r="O15" s="457"/>
      <c r="P15" s="457"/>
      <c r="Q15" s="457"/>
      <c r="R15" s="457"/>
      <c r="S15" s="457"/>
      <c r="T15" s="458"/>
    </row>
    <row r="16" spans="1:51" ht="28.9" customHeight="1" x14ac:dyDescent="0.25">
      <c r="N16" s="456"/>
      <c r="O16" s="457"/>
      <c r="P16" s="457"/>
      <c r="Q16" s="457"/>
      <c r="R16" s="457"/>
      <c r="S16" s="457"/>
      <c r="T16" s="458"/>
    </row>
    <row r="17" spans="14:20" ht="28.9" customHeight="1" x14ac:dyDescent="0.45">
      <c r="N17" s="17" t="s">
        <v>13</v>
      </c>
      <c r="O17" s="55" t="s">
        <v>13</v>
      </c>
      <c r="P17" s="55" t="s">
        <v>13</v>
      </c>
      <c r="Q17" s="55" t="s">
        <v>13</v>
      </c>
      <c r="R17" s="55" t="s">
        <v>13</v>
      </c>
      <c r="S17" s="57" t="s">
        <v>13</v>
      </c>
      <c r="T17" s="137" t="s">
        <v>13</v>
      </c>
    </row>
    <row r="18" spans="14:20" ht="28.9" customHeight="1" x14ac:dyDescent="0.45">
      <c r="N18" s="17" t="s">
        <v>13</v>
      </c>
      <c r="O18" s="147" t="s">
        <v>3</v>
      </c>
      <c r="P18" s="56"/>
      <c r="Q18" s="55" t="s">
        <v>13</v>
      </c>
      <c r="R18" s="55" t="s">
        <v>13</v>
      </c>
      <c r="S18" s="132"/>
      <c r="T18" s="137" t="s">
        <v>13</v>
      </c>
    </row>
    <row r="19" spans="14:20" ht="28.9" customHeight="1" x14ac:dyDescent="0.45">
      <c r="N19" s="17" t="s">
        <v>13</v>
      </c>
      <c r="O19" s="55" t="s">
        <v>13</v>
      </c>
      <c r="P19" s="55" t="s">
        <v>13</v>
      </c>
      <c r="Q19" s="55" t="s">
        <v>13</v>
      </c>
      <c r="R19" s="55" t="s">
        <v>13</v>
      </c>
      <c r="S19" s="57" t="s">
        <v>13</v>
      </c>
      <c r="T19" s="13" t="s">
        <v>13</v>
      </c>
    </row>
    <row r="20" spans="14:20" ht="28.9" customHeight="1" x14ac:dyDescent="0.45">
      <c r="N20" s="17" t="s">
        <v>13</v>
      </c>
      <c r="O20" s="170" t="s">
        <v>4</v>
      </c>
      <c r="P20" s="56"/>
      <c r="Q20" s="55" t="s">
        <v>13</v>
      </c>
      <c r="R20" s="55" t="s">
        <v>13</v>
      </c>
      <c r="S20" s="132"/>
      <c r="T20" s="137" t="s">
        <v>13</v>
      </c>
    </row>
    <row r="21" spans="14:20" ht="28.9" customHeight="1" x14ac:dyDescent="0.45">
      <c r="N21" s="17" t="s">
        <v>13</v>
      </c>
      <c r="O21" s="171"/>
      <c r="P21" s="55" t="s">
        <v>13</v>
      </c>
      <c r="Q21" s="55" t="s">
        <v>13</v>
      </c>
      <c r="R21" s="55" t="s">
        <v>13</v>
      </c>
      <c r="S21" s="146" t="s">
        <v>13</v>
      </c>
      <c r="T21" s="137" t="s">
        <v>13</v>
      </c>
    </row>
    <row r="22" spans="14:20" ht="28.9" customHeight="1" x14ac:dyDescent="0.45">
      <c r="N22" s="17" t="s">
        <v>13</v>
      </c>
      <c r="O22" s="170" t="s">
        <v>5</v>
      </c>
      <c r="P22" s="55" t="s">
        <v>13</v>
      </c>
      <c r="Q22" s="55" t="s">
        <v>13</v>
      </c>
      <c r="R22" s="55" t="s">
        <v>13</v>
      </c>
      <c r="S22" s="172" t="s">
        <v>13</v>
      </c>
      <c r="T22" s="137" t="s">
        <v>13</v>
      </c>
    </row>
    <row r="23" spans="14:20" ht="28.9" customHeight="1" x14ac:dyDescent="0.45">
      <c r="N23" s="17" t="s">
        <v>13</v>
      </c>
      <c r="O23" s="171"/>
      <c r="P23" s="55" t="s">
        <v>13</v>
      </c>
      <c r="Q23" s="55" t="s">
        <v>13</v>
      </c>
      <c r="R23" s="55" t="s">
        <v>13</v>
      </c>
      <c r="S23" s="146" t="s">
        <v>13</v>
      </c>
      <c r="T23" s="137" t="s">
        <v>13</v>
      </c>
    </row>
    <row r="24" spans="14:20" ht="28.9" customHeight="1" x14ac:dyDescent="0.45">
      <c r="N24" s="17" t="s">
        <v>13</v>
      </c>
      <c r="O24" s="170" t="s">
        <v>6</v>
      </c>
      <c r="P24" s="55" t="s">
        <v>13</v>
      </c>
      <c r="Q24" s="55" t="s">
        <v>13</v>
      </c>
      <c r="R24" s="55" t="s">
        <v>13</v>
      </c>
      <c r="S24" s="172" t="s">
        <v>13</v>
      </c>
      <c r="T24" s="137" t="s">
        <v>13</v>
      </c>
    </row>
    <row r="25" spans="14:20" ht="28.9" customHeight="1" x14ac:dyDescent="0.45">
      <c r="N25" s="17" t="s">
        <v>13</v>
      </c>
      <c r="O25" s="171"/>
      <c r="P25" s="55" t="s">
        <v>13</v>
      </c>
      <c r="Q25" s="55" t="s">
        <v>13</v>
      </c>
      <c r="R25" s="55" t="s">
        <v>13</v>
      </c>
      <c r="S25" s="146" t="s">
        <v>13</v>
      </c>
      <c r="T25" s="137" t="s">
        <v>13</v>
      </c>
    </row>
    <row r="26" spans="14:20" ht="28.9" customHeight="1" x14ac:dyDescent="0.3">
      <c r="N26" s="68"/>
      <c r="O26" s="170" t="s">
        <v>7</v>
      </c>
      <c r="P26" s="69"/>
      <c r="Q26" s="69"/>
      <c r="R26" s="69"/>
      <c r="S26" s="173"/>
      <c r="T26" s="7"/>
    </row>
    <row r="27" spans="14:20" ht="28.9" customHeight="1" x14ac:dyDescent="0.3">
      <c r="N27" s="68"/>
      <c r="O27" s="69"/>
      <c r="P27" s="69"/>
      <c r="Q27" s="69"/>
      <c r="R27" s="69"/>
      <c r="S27" s="69"/>
      <c r="T27" s="7"/>
    </row>
    <row r="28" spans="14:20" ht="28.9" customHeight="1" x14ac:dyDescent="0.3">
      <c r="N28" s="68"/>
      <c r="O28" s="69"/>
      <c r="P28" s="69"/>
      <c r="Q28" s="69"/>
      <c r="R28" s="69"/>
      <c r="S28" s="69"/>
      <c r="T28" s="7"/>
    </row>
    <row r="29" spans="14:20" ht="28.9" customHeight="1" x14ac:dyDescent="0.3">
      <c r="N29" s="68"/>
      <c r="O29" s="69"/>
      <c r="P29" s="69"/>
      <c r="Q29" s="69"/>
      <c r="R29" s="69"/>
      <c r="S29" s="69"/>
      <c r="T29" s="7"/>
    </row>
    <row r="30" spans="14:20" ht="28.9" customHeight="1" x14ac:dyDescent="0.3">
      <c r="N30" s="68"/>
      <c r="O30" s="69"/>
      <c r="P30" s="69"/>
      <c r="Q30" s="69"/>
      <c r="R30" s="69"/>
      <c r="S30" s="69"/>
      <c r="T30" s="7"/>
    </row>
    <row r="31" spans="14:20" ht="28.9" customHeight="1" thickBot="1" x14ac:dyDescent="0.35">
      <c r="N31" s="70"/>
      <c r="O31" s="71"/>
      <c r="P31" s="71"/>
      <c r="Q31" s="71"/>
      <c r="R31" s="71"/>
      <c r="S31" s="71"/>
      <c r="T31" s="72"/>
    </row>
    <row r="32" spans="14:20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>
    <tabColor rgb="FF00B050"/>
  </sheetPr>
  <dimension ref="A1:AW66"/>
  <sheetViews>
    <sheetView topLeftCell="J13" zoomScale="70" zoomScaleNormal="70" workbookViewId="0">
      <selection activeCell="Q32" sqref="Q32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4.5703125" style="109" customWidth="1"/>
    <col min="12" max="12" width="25.42578125" style="109" customWidth="1"/>
    <col min="13" max="13" width="26.28515625" style="109" customWidth="1"/>
    <col min="14" max="14" width="2.7109375" style="109" bestFit="1" customWidth="1"/>
    <col min="15" max="15" width="99.28515625" style="109" bestFit="1" customWidth="1"/>
    <col min="16" max="16" width="11.28515625" style="109" customWidth="1"/>
    <col min="17" max="17" width="56.1406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3"/>
    <row r="12" spans="1:49" ht="28.9" customHeight="1" x14ac:dyDescent="0.3"/>
    <row r="13" spans="1:49" ht="28.9" customHeight="1" thickBot="1" x14ac:dyDescent="0.35"/>
    <row r="14" spans="1:49" ht="28.9" customHeight="1" x14ac:dyDescent="0.25">
      <c r="N14" s="453" t="s">
        <v>641</v>
      </c>
      <c r="O14" s="454"/>
      <c r="P14" s="454"/>
      <c r="Q14" s="454"/>
      <c r="R14" s="455"/>
    </row>
    <row r="15" spans="1:49" ht="28.9" customHeight="1" x14ac:dyDescent="0.25">
      <c r="N15" s="456"/>
      <c r="O15" s="457"/>
      <c r="P15" s="457"/>
      <c r="Q15" s="457"/>
      <c r="R15" s="458"/>
    </row>
    <row r="16" spans="1:49" ht="28.9" customHeight="1" x14ac:dyDescent="0.25">
      <c r="N16" s="456"/>
      <c r="O16" s="457"/>
      <c r="P16" s="457"/>
      <c r="Q16" s="457"/>
      <c r="R16" s="458"/>
    </row>
    <row r="17" spans="14:18" ht="28.9" customHeight="1" x14ac:dyDescent="0.45">
      <c r="N17" s="17" t="s">
        <v>13</v>
      </c>
      <c r="O17" s="55" t="s">
        <v>13</v>
      </c>
      <c r="P17" s="55" t="s">
        <v>13</v>
      </c>
      <c r="Q17" s="57" t="s">
        <v>13</v>
      </c>
      <c r="R17" s="137" t="s">
        <v>13</v>
      </c>
    </row>
    <row r="18" spans="14:18" ht="28.9" customHeight="1" x14ac:dyDescent="0.45">
      <c r="N18" s="17" t="s">
        <v>13</v>
      </c>
      <c r="O18" s="147" t="s">
        <v>643</v>
      </c>
      <c r="P18" s="55" t="s">
        <v>13</v>
      </c>
      <c r="Q18" s="175"/>
      <c r="R18" s="137" t="s">
        <v>13</v>
      </c>
    </row>
    <row r="19" spans="14:18" ht="28.9" customHeight="1" x14ac:dyDescent="0.45">
      <c r="N19" s="17" t="s">
        <v>13</v>
      </c>
      <c r="O19" s="55" t="s">
        <v>13</v>
      </c>
      <c r="P19" s="55" t="s">
        <v>13</v>
      </c>
      <c r="Q19" s="57" t="s">
        <v>13</v>
      </c>
      <c r="R19" s="13" t="s">
        <v>13</v>
      </c>
    </row>
    <row r="20" spans="14:18" ht="28.9" customHeight="1" x14ac:dyDescent="0.45">
      <c r="N20" s="17" t="s">
        <v>13</v>
      </c>
      <c r="O20" s="170" t="s">
        <v>642</v>
      </c>
      <c r="P20" s="55" t="s">
        <v>13</v>
      </c>
      <c r="Q20" s="175"/>
      <c r="R20" s="137" t="s">
        <v>13</v>
      </c>
    </row>
    <row r="21" spans="14:18" ht="28.9" customHeight="1" x14ac:dyDescent="0.45">
      <c r="N21" s="17" t="s">
        <v>13</v>
      </c>
      <c r="O21" s="171"/>
      <c r="P21" s="55" t="s">
        <v>13</v>
      </c>
      <c r="Q21" s="146" t="s">
        <v>13</v>
      </c>
      <c r="R21" s="137" t="s">
        <v>13</v>
      </c>
    </row>
    <row r="22" spans="14:18" ht="28.9" customHeight="1" x14ac:dyDescent="0.45">
      <c r="N22" s="17" t="s">
        <v>13</v>
      </c>
      <c r="O22" s="69"/>
      <c r="P22" s="69"/>
      <c r="Q22" s="69"/>
      <c r="R22" s="137" t="s">
        <v>13</v>
      </c>
    </row>
    <row r="23" spans="14:18" ht="28.9" customHeight="1" x14ac:dyDescent="0.45">
      <c r="N23" s="17" t="s">
        <v>13</v>
      </c>
      <c r="O23" s="69"/>
      <c r="P23" s="69"/>
      <c r="Q23" s="69"/>
      <c r="R23" s="137" t="s">
        <v>13</v>
      </c>
    </row>
    <row r="24" spans="14:18" ht="28.9" customHeight="1" x14ac:dyDescent="0.45">
      <c r="N24" s="17" t="s">
        <v>13</v>
      </c>
      <c r="O24" s="69"/>
      <c r="P24" s="69"/>
      <c r="Q24" s="69"/>
      <c r="R24" s="137" t="s">
        <v>13</v>
      </c>
    </row>
    <row r="25" spans="14:18" ht="28.9" customHeight="1" x14ac:dyDescent="0.45">
      <c r="N25" s="17" t="s">
        <v>13</v>
      </c>
      <c r="O25" s="69"/>
      <c r="P25" s="69"/>
      <c r="Q25" s="69"/>
      <c r="R25" s="137" t="s">
        <v>13</v>
      </c>
    </row>
    <row r="26" spans="14:18" ht="28.9" customHeight="1" thickBot="1" x14ac:dyDescent="0.35">
      <c r="N26" s="70"/>
      <c r="O26" s="71"/>
      <c r="P26" s="71"/>
      <c r="Q26" s="71"/>
      <c r="R26" s="72"/>
    </row>
    <row r="27" spans="14:18" ht="28.9" customHeight="1" thickBot="1" x14ac:dyDescent="0.3"/>
    <row r="28" spans="14:18" ht="28.9" customHeight="1" x14ac:dyDescent="0.25">
      <c r="N28" s="453" t="s">
        <v>644</v>
      </c>
      <c r="O28" s="454"/>
      <c r="P28" s="454"/>
      <c r="Q28" s="454"/>
      <c r="R28" s="455"/>
    </row>
    <row r="29" spans="14:18" ht="28.9" customHeight="1" x14ac:dyDescent="0.25">
      <c r="N29" s="456"/>
      <c r="O29" s="457"/>
      <c r="P29" s="457"/>
      <c r="Q29" s="457"/>
      <c r="R29" s="458"/>
    </row>
    <row r="30" spans="14:18" ht="28.9" customHeight="1" x14ac:dyDescent="0.25">
      <c r="N30" s="456"/>
      <c r="O30" s="457"/>
      <c r="P30" s="457"/>
      <c r="Q30" s="457"/>
      <c r="R30" s="458"/>
    </row>
    <row r="31" spans="14:18" ht="28.9" customHeight="1" x14ac:dyDescent="0.45">
      <c r="N31" s="17" t="s">
        <v>13</v>
      </c>
      <c r="O31" s="55" t="s">
        <v>13</v>
      </c>
      <c r="P31" s="55" t="s">
        <v>13</v>
      </c>
      <c r="Q31" s="57" t="s">
        <v>13</v>
      </c>
      <c r="R31" s="137" t="s">
        <v>13</v>
      </c>
    </row>
    <row r="32" spans="14:18" ht="28.9" customHeight="1" x14ac:dyDescent="0.45">
      <c r="N32" s="17" t="s">
        <v>13</v>
      </c>
      <c r="O32" s="147" t="s">
        <v>674</v>
      </c>
      <c r="P32" s="55" t="s">
        <v>13</v>
      </c>
      <c r="Q32" s="175"/>
      <c r="R32" s="137" t="s">
        <v>13</v>
      </c>
    </row>
    <row r="33" spans="14:18" ht="28.9" customHeight="1" x14ac:dyDescent="0.45">
      <c r="N33" s="17" t="s">
        <v>13</v>
      </c>
      <c r="O33" s="55" t="s">
        <v>13</v>
      </c>
      <c r="P33" s="55" t="s">
        <v>13</v>
      </c>
      <c r="Q33" s="57" t="s">
        <v>13</v>
      </c>
      <c r="R33" s="13" t="s">
        <v>13</v>
      </c>
    </row>
    <row r="34" spans="14:18" ht="28.9" customHeight="1" x14ac:dyDescent="0.45">
      <c r="N34" s="17" t="s">
        <v>13</v>
      </c>
      <c r="O34" s="170" t="s">
        <v>676</v>
      </c>
      <c r="P34" s="55" t="s">
        <v>13</v>
      </c>
      <c r="Q34" s="175"/>
      <c r="R34" s="137" t="s">
        <v>13</v>
      </c>
    </row>
    <row r="35" spans="14:18" ht="28.9" customHeight="1" x14ac:dyDescent="0.45">
      <c r="N35" s="17" t="s">
        <v>13</v>
      </c>
      <c r="O35" s="171"/>
      <c r="P35" s="55" t="s">
        <v>13</v>
      </c>
      <c r="Q35" s="146" t="s">
        <v>13</v>
      </c>
      <c r="R35" s="137" t="s">
        <v>13</v>
      </c>
    </row>
    <row r="36" spans="14:18" ht="28.9" customHeight="1" x14ac:dyDescent="0.45">
      <c r="N36" s="17" t="s">
        <v>13</v>
      </c>
      <c r="O36" s="69"/>
      <c r="P36" s="69"/>
      <c r="Q36" s="69"/>
      <c r="R36" s="137" t="s">
        <v>13</v>
      </c>
    </row>
    <row r="37" spans="14:18" ht="28.9" customHeight="1" x14ac:dyDescent="0.45">
      <c r="N37" s="17" t="s">
        <v>13</v>
      </c>
      <c r="O37" s="69"/>
      <c r="P37" s="69"/>
      <c r="Q37" s="69"/>
      <c r="R37" s="137" t="s">
        <v>13</v>
      </c>
    </row>
    <row r="38" spans="14:18" ht="28.9" customHeight="1" x14ac:dyDescent="0.45">
      <c r="N38" s="17" t="s">
        <v>13</v>
      </c>
      <c r="O38" s="69"/>
      <c r="P38" s="69"/>
      <c r="Q38" s="69"/>
      <c r="R38" s="137" t="s">
        <v>13</v>
      </c>
    </row>
    <row r="39" spans="14:18" ht="28.9" customHeight="1" x14ac:dyDescent="0.45">
      <c r="N39" s="17" t="s">
        <v>13</v>
      </c>
      <c r="O39" s="69"/>
      <c r="P39" s="69"/>
      <c r="Q39" s="69"/>
      <c r="R39" s="137" t="s">
        <v>13</v>
      </c>
    </row>
    <row r="40" spans="14:18" ht="28.9" customHeight="1" thickBot="1" x14ac:dyDescent="0.3">
      <c r="N40" s="70"/>
      <c r="O40" s="71"/>
      <c r="P40" s="71"/>
      <c r="Q40" s="71"/>
      <c r="R40" s="72"/>
    </row>
    <row r="41" spans="14:18" ht="28.9" customHeight="1" x14ac:dyDescent="0.25"/>
    <row r="42" spans="14:18" ht="28.9" customHeight="1" x14ac:dyDescent="0.25"/>
    <row r="43" spans="14:18" ht="28.9" customHeight="1" x14ac:dyDescent="0.3"/>
    <row r="44" spans="14:18" ht="28.9" customHeight="1" x14ac:dyDescent="0.3"/>
    <row r="45" spans="14:18" ht="28.9" customHeight="1" x14ac:dyDescent="0.3"/>
    <row r="46" spans="14:18" ht="28.9" customHeight="1" x14ac:dyDescent="0.3"/>
    <row r="47" spans="14:18" ht="28.9" customHeight="1" x14ac:dyDescent="0.3"/>
    <row r="48" spans="14:1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R16"/>
    <mergeCell ref="N28:R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'N_RHREF '!$E$11:$E$31</xm:f>
          </x14:formula1>
          <xm:sqref>Q18</xm:sqref>
        </x14:dataValidation>
        <x14:dataValidation type="list" allowBlank="1" showInputMessage="1" showErrorMessage="1">
          <x14:formula1>
            <xm:f>'N_RHREF '!$N$11:$N$17</xm:f>
          </x14:formula1>
          <xm:sqref>Q34</xm:sqref>
        </x14:dataValidation>
        <x14:dataValidation type="list" allowBlank="1" showInputMessage="1" showErrorMessage="1">
          <x14:formula1>
            <xm:f>'BANCO DE DADOS (2)'!$B$38:$B$41</xm:f>
          </x14:formula1>
          <xm:sqref>Q32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8">
    <tabColor rgb="FF00B050"/>
  </sheetPr>
  <dimension ref="A1:AW66"/>
  <sheetViews>
    <sheetView topLeftCell="B1" zoomScale="40" zoomScaleNormal="40" workbookViewId="0">
      <selection activeCell="P16" sqref="P16"/>
    </sheetView>
  </sheetViews>
  <sheetFormatPr defaultColWidth="8.85546875" defaultRowHeight="15" x14ac:dyDescent="0.25"/>
  <cols>
    <col min="1" max="4" width="8.85546875" style="109"/>
    <col min="5" max="5" width="4.5703125" style="109" bestFit="1" customWidth="1"/>
    <col min="6" max="6" width="21.85546875" style="109" bestFit="1" customWidth="1"/>
    <col min="7" max="7" width="26" style="109" bestFit="1" customWidth="1"/>
    <col min="8" max="8" width="19.42578125" style="109" bestFit="1" customWidth="1"/>
    <col min="9" max="9" width="12.140625" style="109" bestFit="1" customWidth="1"/>
    <col min="10" max="10" width="12.7109375" style="109" bestFit="1" customWidth="1"/>
    <col min="11" max="11" width="4.5703125" style="109" customWidth="1"/>
    <col min="12" max="12" width="25.42578125" style="109" customWidth="1"/>
    <col min="13" max="13" width="9" style="109" customWidth="1"/>
    <col min="14" max="14" width="30.71093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3"/>
    <row r="12" spans="1:49" ht="28.9" customHeight="1" thickBot="1" x14ac:dyDescent="0.35"/>
    <row r="13" spans="1:49" ht="28.9" customHeight="1" x14ac:dyDescent="0.25">
      <c r="M13" s="481" t="s">
        <v>284</v>
      </c>
      <c r="N13" s="482"/>
      <c r="O13" s="482"/>
      <c r="P13" s="482"/>
      <c r="Q13" s="483"/>
    </row>
    <row r="14" spans="1:49" ht="28.9" customHeight="1" thickBot="1" x14ac:dyDescent="0.3">
      <c r="M14" s="484"/>
      <c r="N14" s="485"/>
      <c r="O14" s="485"/>
      <c r="P14" s="485"/>
      <c r="Q14" s="486"/>
    </row>
    <row r="15" spans="1:49" ht="28.9" customHeight="1" thickBot="1" x14ac:dyDescent="0.35">
      <c r="M15" s="8"/>
      <c r="N15" s="61"/>
      <c r="O15" s="61"/>
      <c r="P15" s="61"/>
      <c r="Q15" s="62"/>
    </row>
    <row r="16" spans="1:49" ht="28.9" customHeight="1" thickBot="1" x14ac:dyDescent="0.35">
      <c r="M16" s="8"/>
      <c r="N16" s="176" t="s">
        <v>285</v>
      </c>
      <c r="O16" s="61"/>
      <c r="P16" s="59"/>
      <c r="Q16" s="62"/>
    </row>
    <row r="17" spans="13:17" ht="28.9" customHeight="1" thickBot="1" x14ac:dyDescent="0.35">
      <c r="M17" s="8"/>
      <c r="N17" s="176"/>
      <c r="O17" s="61"/>
      <c r="P17" s="61"/>
      <c r="Q17" s="62"/>
    </row>
    <row r="18" spans="13:17" ht="28.9" customHeight="1" thickBot="1" x14ac:dyDescent="0.35">
      <c r="M18" s="8"/>
      <c r="N18" s="176" t="s">
        <v>286</v>
      </c>
      <c r="O18" s="61"/>
      <c r="P18" s="59"/>
      <c r="Q18" s="62"/>
    </row>
    <row r="19" spans="13:17" ht="28.9" customHeight="1" thickBot="1" x14ac:dyDescent="0.35">
      <c r="M19" s="8"/>
      <c r="N19" s="176"/>
      <c r="O19" s="61"/>
      <c r="P19" s="61"/>
      <c r="Q19" s="62"/>
    </row>
    <row r="20" spans="13:17" ht="28.9" customHeight="1" thickBot="1" x14ac:dyDescent="0.35">
      <c r="M20" s="8"/>
      <c r="N20" s="176" t="s">
        <v>287</v>
      </c>
      <c r="O20" s="61"/>
      <c r="P20" s="59"/>
      <c r="Q20" s="62"/>
    </row>
    <row r="21" spans="13:17" ht="28.9" customHeight="1" thickBot="1" x14ac:dyDescent="0.35">
      <c r="M21" s="8"/>
      <c r="N21" s="176"/>
      <c r="O21" s="61"/>
      <c r="P21" s="61"/>
      <c r="Q21" s="62"/>
    </row>
    <row r="22" spans="13:17" ht="28.9" customHeight="1" thickBot="1" x14ac:dyDescent="0.3">
      <c r="M22" s="8"/>
      <c r="N22" s="176" t="s">
        <v>288</v>
      </c>
      <c r="O22" s="61"/>
      <c r="P22" s="59"/>
      <c r="Q22" s="62"/>
    </row>
    <row r="23" spans="13:17" ht="28.9" customHeight="1" thickBot="1" x14ac:dyDescent="0.35">
      <c r="M23" s="8"/>
      <c r="N23" s="176"/>
      <c r="O23" s="61"/>
      <c r="P23" s="61"/>
      <c r="Q23" s="62"/>
    </row>
    <row r="24" spans="13:17" ht="28.9" customHeight="1" thickBot="1" x14ac:dyDescent="0.35">
      <c r="M24" s="8"/>
      <c r="N24" s="176" t="s">
        <v>289</v>
      </c>
      <c r="O24" s="61"/>
      <c r="P24" s="59"/>
      <c r="Q24" s="62"/>
    </row>
    <row r="25" spans="13:17" ht="28.9" customHeight="1" thickBot="1" x14ac:dyDescent="0.35">
      <c r="M25" s="8"/>
      <c r="N25" s="176"/>
      <c r="O25" s="61"/>
      <c r="P25" s="61"/>
      <c r="Q25" s="62"/>
    </row>
    <row r="26" spans="13:17" ht="28.9" customHeight="1" thickBot="1" x14ac:dyDescent="0.35">
      <c r="M26" s="8"/>
      <c r="N26" s="176" t="s">
        <v>290</v>
      </c>
      <c r="O26" s="61"/>
      <c r="P26" s="59"/>
      <c r="Q26" s="62"/>
    </row>
    <row r="27" spans="13:17" ht="28.9" customHeight="1" thickBot="1" x14ac:dyDescent="0.35">
      <c r="M27" s="8"/>
      <c r="N27" s="176"/>
      <c r="O27" s="61"/>
      <c r="P27" s="61"/>
      <c r="Q27" s="62"/>
    </row>
    <row r="28" spans="13:17" ht="28.9" customHeight="1" thickBot="1" x14ac:dyDescent="0.3">
      <c r="M28" s="8"/>
      <c r="N28" s="176" t="s">
        <v>291</v>
      </c>
      <c r="O28" s="61"/>
      <c r="P28" s="59"/>
      <c r="Q28" s="62"/>
    </row>
    <row r="29" spans="13:17" ht="28.9" customHeight="1" thickBot="1" x14ac:dyDescent="0.35">
      <c r="M29" s="8"/>
      <c r="N29" s="176"/>
      <c r="O29" s="61"/>
      <c r="P29" s="61"/>
      <c r="Q29" s="62"/>
    </row>
    <row r="30" spans="13:17" ht="28.9" customHeight="1" thickBot="1" x14ac:dyDescent="0.35">
      <c r="M30" s="8"/>
      <c r="N30" s="176" t="s">
        <v>292</v>
      </c>
      <c r="O30" s="61"/>
      <c r="P30" s="59"/>
      <c r="Q30" s="62"/>
    </row>
    <row r="31" spans="13:17" ht="28.9" customHeight="1" thickBot="1" x14ac:dyDescent="0.35">
      <c r="M31" s="8"/>
      <c r="N31" s="176"/>
      <c r="O31" s="61"/>
      <c r="P31" s="61"/>
      <c r="Q31" s="62"/>
    </row>
    <row r="32" spans="13:17" ht="28.9" customHeight="1" thickBot="1" x14ac:dyDescent="0.35">
      <c r="M32" s="8"/>
      <c r="N32" s="176" t="s">
        <v>293</v>
      </c>
      <c r="O32" s="61"/>
      <c r="P32" s="59"/>
      <c r="Q32" s="62"/>
    </row>
    <row r="33" spans="13:17" ht="28.9" customHeight="1" thickBot="1" x14ac:dyDescent="0.35">
      <c r="M33" s="8"/>
      <c r="N33" s="177"/>
      <c r="O33" s="61"/>
      <c r="P33" s="61"/>
      <c r="Q33" s="62"/>
    </row>
    <row r="34" spans="13:17" ht="28.9" customHeight="1" thickBot="1" x14ac:dyDescent="0.35">
      <c r="M34" s="8"/>
      <c r="N34" s="176" t="s">
        <v>673</v>
      </c>
      <c r="O34" s="61"/>
      <c r="P34" s="59"/>
      <c r="Q34" s="62"/>
    </row>
    <row r="35" spans="13:17" ht="28.9" customHeight="1" thickBot="1" x14ac:dyDescent="0.35">
      <c r="M35" s="8"/>
      <c r="N35" s="177"/>
      <c r="O35" s="61"/>
      <c r="P35" s="61"/>
      <c r="Q35" s="62"/>
    </row>
    <row r="36" spans="13:17" ht="28.9" customHeight="1" thickBot="1" x14ac:dyDescent="0.3">
      <c r="M36" s="8"/>
      <c r="N36" s="176" t="s">
        <v>294</v>
      </c>
      <c r="O36" s="61"/>
      <c r="P36" s="60"/>
      <c r="Q36" s="62"/>
    </row>
    <row r="37" spans="13:17" ht="28.9" customHeight="1" thickBot="1" x14ac:dyDescent="0.35">
      <c r="M37" s="8"/>
      <c r="N37" s="177"/>
      <c r="O37" s="61"/>
      <c r="P37" s="61"/>
      <c r="Q37" s="62"/>
    </row>
    <row r="38" spans="13:17" ht="28.9" customHeight="1" thickBot="1" x14ac:dyDescent="0.35">
      <c r="M38" s="8"/>
      <c r="N38" s="176" t="s">
        <v>295</v>
      </c>
      <c r="O38" s="61"/>
      <c r="P38" s="178" t="s">
        <v>297</v>
      </c>
      <c r="Q38" s="62"/>
    </row>
    <row r="39" spans="13:17" ht="28.9" customHeight="1" thickBot="1" x14ac:dyDescent="0.35">
      <c r="M39" s="8"/>
      <c r="N39" s="177"/>
      <c r="O39" s="61"/>
      <c r="P39" s="61"/>
      <c r="Q39" s="62"/>
    </row>
    <row r="40" spans="13:17" ht="28.9" customHeight="1" thickBot="1" x14ac:dyDescent="0.3">
      <c r="M40" s="8"/>
      <c r="N40" s="176" t="s">
        <v>296</v>
      </c>
      <c r="O40" s="61"/>
      <c r="P40" s="551"/>
      <c r="Q40" s="62"/>
    </row>
    <row r="41" spans="13:17" ht="28.9" customHeight="1" x14ac:dyDescent="0.3">
      <c r="M41" s="8"/>
      <c r="N41" s="61"/>
      <c r="O41" s="61"/>
      <c r="P41" s="61"/>
      <c r="Q41" s="62"/>
    </row>
    <row r="42" spans="13:17" ht="28.9" customHeight="1" x14ac:dyDescent="0.3">
      <c r="M42" s="8"/>
      <c r="N42" s="61"/>
      <c r="O42" s="61"/>
      <c r="P42" s="61"/>
      <c r="Q42" s="62"/>
    </row>
    <row r="43" spans="13:17" ht="28.9" customHeight="1" x14ac:dyDescent="0.3">
      <c r="M43" s="8"/>
      <c r="N43" s="61"/>
      <c r="O43" s="61"/>
      <c r="P43" s="61"/>
      <c r="Q43" s="62"/>
    </row>
    <row r="44" spans="13:17" ht="28.9" customHeight="1" x14ac:dyDescent="0.3">
      <c r="M44" s="8"/>
      <c r="N44" s="61"/>
      <c r="O44" s="61"/>
      <c r="P44" s="61"/>
      <c r="Q44" s="62"/>
    </row>
    <row r="45" spans="13:17" ht="28.9" customHeight="1" x14ac:dyDescent="0.3">
      <c r="M45" s="8"/>
      <c r="N45" s="61"/>
      <c r="O45" s="61"/>
      <c r="P45" s="61"/>
      <c r="Q45" s="62"/>
    </row>
    <row r="46" spans="13:17" ht="28.9" customHeight="1" thickBot="1" x14ac:dyDescent="0.35">
      <c r="M46" s="63"/>
      <c r="N46" s="64"/>
      <c r="O46" s="64"/>
      <c r="P46" s="64"/>
      <c r="Q46" s="65"/>
    </row>
    <row r="47" spans="13:17" ht="28.9" customHeight="1" x14ac:dyDescent="0.3"/>
    <row r="48" spans="13:17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9">
    <tabColor rgb="FF00B050"/>
  </sheetPr>
  <dimension ref="A1:AW67"/>
  <sheetViews>
    <sheetView tabSelected="1" topLeftCell="F1" zoomScale="55" zoomScaleNormal="55" workbookViewId="0">
      <selection activeCell="R18" sqref="R18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11.28515625" style="109" customWidth="1"/>
    <col min="7" max="7" width="26" style="109" bestFit="1" customWidth="1"/>
    <col min="8" max="8" width="19.42578125" style="109" bestFit="1" customWidth="1"/>
    <col min="9" max="9" width="104.28515625" style="109" bestFit="1" customWidth="1"/>
    <col min="10" max="10" width="23.28515625" style="109" bestFit="1" customWidth="1"/>
    <col min="11" max="11" width="4.5703125" style="109" customWidth="1"/>
    <col min="12" max="12" width="27.5703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25"/>
    <row r="10" spans="1:49" ht="28.9" customHeight="1" x14ac:dyDescent="0.25">
      <c r="D10"/>
      <c r="E10"/>
      <c r="F10"/>
      <c r="H10" s="182"/>
      <c r="I10" s="183"/>
      <c r="J10" s="183"/>
      <c r="K10" s="183"/>
      <c r="L10" s="183"/>
      <c r="M10" s="183"/>
      <c r="N10" s="183"/>
      <c r="O10" s="183"/>
      <c r="P10" s="184"/>
    </row>
    <row r="11" spans="1:49" ht="28.9" customHeight="1" x14ac:dyDescent="0.25">
      <c r="D11"/>
      <c r="E11"/>
      <c r="F11"/>
      <c r="H11" s="185"/>
      <c r="I11" s="179" t="s">
        <v>389</v>
      </c>
      <c r="J11" s="186"/>
      <c r="K11" s="186"/>
      <c r="L11" s="186"/>
      <c r="M11" s="186"/>
      <c r="N11" s="187" t="s">
        <v>298</v>
      </c>
      <c r="O11" s="186"/>
      <c r="P11" s="188"/>
    </row>
    <row r="12" spans="1:49" ht="28.9" customHeight="1" x14ac:dyDescent="0.4">
      <c r="D12"/>
      <c r="E12"/>
      <c r="F12"/>
      <c r="H12" s="185"/>
      <c r="I12" s="189" t="s">
        <v>299</v>
      </c>
      <c r="J12" s="186"/>
      <c r="K12" s="186"/>
      <c r="L12" s="186"/>
      <c r="M12" s="186"/>
      <c r="N12" s="181" t="s">
        <v>300</v>
      </c>
      <c r="O12" s="186"/>
      <c r="P12" s="188"/>
    </row>
    <row r="13" spans="1:49" ht="28.9" customHeight="1" x14ac:dyDescent="0.3">
      <c r="D13"/>
      <c r="E13"/>
      <c r="F13"/>
      <c r="H13" s="185"/>
      <c r="I13" s="189" t="s">
        <v>301</v>
      </c>
      <c r="J13" s="186"/>
      <c r="K13" s="186"/>
      <c r="L13" s="186"/>
      <c r="M13" s="186"/>
      <c r="N13" s="190"/>
      <c r="O13" s="186"/>
      <c r="P13" s="188"/>
    </row>
    <row r="14" spans="1:49" ht="28.9" customHeight="1" x14ac:dyDescent="0.25">
      <c r="D14"/>
      <c r="E14"/>
      <c r="F14"/>
      <c r="H14" s="191"/>
      <c r="I14" s="192"/>
      <c r="J14" s="192"/>
      <c r="K14" s="192"/>
      <c r="L14" s="192"/>
      <c r="M14" s="192"/>
      <c r="N14" s="192"/>
      <c r="O14" s="192"/>
      <c r="P14" s="193"/>
    </row>
    <row r="15" spans="1:49" ht="28.9" customHeight="1" x14ac:dyDescent="0.25">
      <c r="D15"/>
      <c r="E15"/>
      <c r="F15"/>
      <c r="H15" s="194"/>
      <c r="I15" s="195"/>
      <c r="J15" s="195"/>
      <c r="K15" s="195"/>
      <c r="L15" s="195"/>
      <c r="M15" s="195"/>
      <c r="N15" s="195"/>
      <c r="O15" s="195"/>
      <c r="P15" s="196"/>
    </row>
    <row r="16" spans="1:49" ht="28.9" customHeight="1" x14ac:dyDescent="0.4">
      <c r="D16"/>
      <c r="E16"/>
      <c r="F16"/>
      <c r="H16" s="197"/>
      <c r="I16" s="215" t="s">
        <v>302</v>
      </c>
      <c r="J16" s="198"/>
      <c r="K16" s="198"/>
      <c r="L16" s="198"/>
      <c r="M16" s="198"/>
      <c r="N16" s="180" t="s">
        <v>303</v>
      </c>
      <c r="O16" s="198"/>
      <c r="P16" s="199"/>
    </row>
    <row r="17" spans="4:16" ht="28.9" customHeight="1" x14ac:dyDescent="0.35">
      <c r="D17"/>
      <c r="E17"/>
      <c r="F17"/>
      <c r="H17" s="197"/>
      <c r="I17" s="540" t="s">
        <v>548</v>
      </c>
      <c r="J17" s="198"/>
      <c r="K17" s="198"/>
      <c r="L17" s="198"/>
      <c r="M17" s="198"/>
      <c r="N17" s="541" t="str">
        <f>INDEX('BANCO DE DADOS (2)'!B37:L39,MATCH(N_RHFOLHA!I17,'BANCO DE DADOS (2)'!B38:B41,0),10)</f>
        <v>Auxiliar de Compras</v>
      </c>
      <c r="O17" s="198"/>
      <c r="P17" s="199"/>
    </row>
    <row r="18" spans="4:16" ht="28.9" customHeight="1" x14ac:dyDescent="0.25">
      <c r="D18"/>
      <c r="E18"/>
      <c r="F18"/>
      <c r="H18" s="197"/>
      <c r="I18" s="200"/>
      <c r="J18" s="200"/>
      <c r="K18" s="200"/>
      <c r="L18" s="200"/>
      <c r="M18" s="200"/>
      <c r="N18" s="200"/>
      <c r="O18" s="200"/>
      <c r="P18" s="201"/>
    </row>
    <row r="19" spans="4:16" ht="28.9" customHeight="1" x14ac:dyDescent="0.4">
      <c r="D19"/>
      <c r="E19"/>
      <c r="F19"/>
      <c r="H19" s="202"/>
      <c r="I19" s="216" t="s">
        <v>304</v>
      </c>
      <c r="J19" s="203"/>
      <c r="K19" s="203"/>
      <c r="L19" s="219" t="s">
        <v>305</v>
      </c>
      <c r="M19" s="219" t="s">
        <v>306</v>
      </c>
      <c r="N19" s="204"/>
      <c r="O19" s="216" t="s">
        <v>307</v>
      </c>
      <c r="P19" s="204"/>
    </row>
    <row r="20" spans="4:16" ht="28.9" customHeight="1" x14ac:dyDescent="0.35">
      <c r="D20"/>
      <c r="E20"/>
      <c r="F20"/>
      <c r="H20" s="205"/>
      <c r="I20" s="217" t="s">
        <v>308</v>
      </c>
      <c r="J20" s="203"/>
      <c r="K20" s="203"/>
      <c r="L20" s="539"/>
      <c r="M20" s="552">
        <f>INDEX('BANCO DE DADOS (2)'!B37:L39,MATCH(N_RHFOLHA!I17,'BANCO DE DADOS (2)'!B38:B41,0),11)</f>
        <v>2000</v>
      </c>
      <c r="N20" s="553"/>
      <c r="O20" s="552"/>
      <c r="P20" s="553"/>
    </row>
    <row r="21" spans="4:16" ht="28.9" customHeight="1" x14ac:dyDescent="0.35">
      <c r="D21"/>
      <c r="E21"/>
      <c r="F21"/>
      <c r="H21" s="205"/>
      <c r="I21" s="218" t="s">
        <v>309</v>
      </c>
      <c r="J21" s="206"/>
      <c r="K21" s="206"/>
      <c r="L21" s="542"/>
      <c r="M21" s="552">
        <f>M20/220*L21</f>
        <v>0</v>
      </c>
      <c r="N21" s="553"/>
      <c r="O21" s="552"/>
      <c r="P21" s="553"/>
    </row>
    <row r="22" spans="4:16" ht="28.9" customHeight="1" x14ac:dyDescent="0.35">
      <c r="D22"/>
      <c r="E22"/>
      <c r="F22"/>
      <c r="H22" s="205"/>
      <c r="I22" s="217" t="s">
        <v>310</v>
      </c>
      <c r="J22" s="203"/>
      <c r="K22" s="203"/>
      <c r="L22" s="543"/>
      <c r="M22" s="552"/>
      <c r="N22" s="553"/>
      <c r="O22" s="552">
        <f>M20/30*L22</f>
        <v>0</v>
      </c>
      <c r="P22" s="553"/>
    </row>
    <row r="23" spans="4:16" ht="28.9" customHeight="1" x14ac:dyDescent="0.35">
      <c r="D23"/>
      <c r="E23"/>
      <c r="F23"/>
      <c r="H23" s="205"/>
      <c r="I23" s="218" t="s">
        <v>311</v>
      </c>
      <c r="J23" s="206"/>
      <c r="K23" s="206"/>
      <c r="L23" s="538"/>
      <c r="M23" s="552"/>
      <c r="N23" s="553"/>
      <c r="O23" s="552">
        <f>(M20+M21)*'N_RHREF '!I19</f>
        <v>220</v>
      </c>
      <c r="P23" s="553"/>
    </row>
    <row r="24" spans="4:16" ht="28.9" customHeight="1" x14ac:dyDescent="0.35">
      <c r="D24"/>
      <c r="E24"/>
      <c r="F24"/>
      <c r="H24" s="205"/>
      <c r="I24" s="217" t="s">
        <v>312</v>
      </c>
      <c r="J24" s="203"/>
      <c r="K24" s="203"/>
      <c r="L24" s="539"/>
      <c r="M24" s="552"/>
      <c r="N24" s="553"/>
      <c r="O24" s="552">
        <f>IF(J33&lt;='N_RHREF '!I12,J33*'N_RHREF '!J12-'N_RHREF '!K12,IF(J33&lt;='N_RHREF '!I13,J33*'N_RHREF '!J13-'N_RHREF '!K13,IF(J33&lt;='N_RHREF '!I14,J33*'N_RHREF '!J14-'N_RHREF '!K14,IF(J33&lt;='N_RHREF '!I15,J33*'N_RHREF '!J15-'N_RHREF '!K15,IF(J33&gt;'N_RHREF '!I16,J33*'N_RHREF '!J16-'N_RHREF '!K16)))))</f>
        <v>0</v>
      </c>
      <c r="P24" s="553"/>
    </row>
    <row r="25" spans="4:16" ht="28.9" customHeight="1" x14ac:dyDescent="0.25">
      <c r="D25"/>
      <c r="E25"/>
      <c r="F25"/>
      <c r="H25" s="208"/>
      <c r="I25" s="208"/>
      <c r="J25" s="209"/>
      <c r="K25" s="209"/>
      <c r="L25" s="208"/>
      <c r="M25" s="536"/>
      <c r="N25" s="537"/>
      <c r="O25" s="536"/>
      <c r="P25" s="537"/>
    </row>
    <row r="26" spans="4:16" ht="28.9" customHeight="1" x14ac:dyDescent="0.4">
      <c r="D26"/>
      <c r="E26"/>
      <c r="F26"/>
      <c r="H26" s="205"/>
      <c r="I26" s="220" t="s">
        <v>313</v>
      </c>
      <c r="J26" s="206"/>
      <c r="K26" s="206"/>
      <c r="L26" s="206"/>
      <c r="M26" s="564" t="s">
        <v>314</v>
      </c>
      <c r="N26" s="214"/>
      <c r="O26" s="223" t="s">
        <v>315</v>
      </c>
      <c r="P26" s="207"/>
    </row>
    <row r="27" spans="4:16" ht="28.9" customHeight="1" x14ac:dyDescent="0.25">
      <c r="D27"/>
      <c r="E27"/>
      <c r="F27"/>
      <c r="H27" s="205"/>
      <c r="I27" s="205"/>
      <c r="J27" s="206"/>
      <c r="K27" s="206"/>
      <c r="L27" s="206"/>
      <c r="M27" s="565"/>
      <c r="N27" s="561"/>
      <c r="O27"/>
      <c r="P27" s="561"/>
    </row>
    <row r="28" spans="4:16" ht="28.9" customHeight="1" x14ac:dyDescent="0.25">
      <c r="D28"/>
      <c r="E28"/>
      <c r="F28"/>
      <c r="H28" s="205"/>
      <c r="I28" s="205"/>
      <c r="J28" s="206"/>
      <c r="K28" s="206"/>
      <c r="L28" s="206"/>
      <c r="M28" s="560"/>
      <c r="N28" s="561">
        <f>M20+M21</f>
        <v>2000</v>
      </c>
      <c r="O28" s="560"/>
      <c r="P28" s="561">
        <f>O22+O23+O24</f>
        <v>220</v>
      </c>
    </row>
    <row r="29" spans="4:16" ht="28.9" customHeight="1" x14ac:dyDescent="0.25">
      <c r="D29"/>
      <c r="E29"/>
      <c r="F29"/>
      <c r="H29" s="205"/>
      <c r="I29" s="205"/>
      <c r="J29" s="206"/>
      <c r="K29" s="206"/>
      <c r="L29" s="206"/>
      <c r="M29" s="560"/>
      <c r="N29" s="561"/>
      <c r="O29" s="560"/>
      <c r="P29" s="561"/>
    </row>
    <row r="30" spans="4:16" ht="28.9" customHeight="1" x14ac:dyDescent="0.25">
      <c r="D30"/>
      <c r="E30"/>
      <c r="F30"/>
      <c r="H30" s="205"/>
      <c r="I30" s="208"/>
      <c r="J30" s="209"/>
      <c r="K30" s="209"/>
      <c r="L30" s="209"/>
      <c r="M30" s="562"/>
      <c r="N30" s="563"/>
      <c r="O30" s="562"/>
      <c r="P30" s="563"/>
    </row>
    <row r="31" spans="4:16" ht="28.9" customHeight="1" x14ac:dyDescent="0.25">
      <c r="D31"/>
      <c r="E31"/>
      <c r="F31"/>
      <c r="H31" s="194"/>
      <c r="I31" s="195"/>
      <c r="J31" s="195"/>
      <c r="K31" s="195"/>
      <c r="L31" s="195"/>
      <c r="M31" s="195"/>
      <c r="N31" s="195"/>
      <c r="O31" s="195"/>
      <c r="P31" s="196"/>
    </row>
    <row r="32" spans="4:16" ht="28.9" customHeight="1" x14ac:dyDescent="0.4">
      <c r="D32"/>
      <c r="E32"/>
      <c r="F32"/>
      <c r="H32" s="197"/>
      <c r="I32" s="224" t="s">
        <v>648</v>
      </c>
      <c r="J32" s="558"/>
      <c r="K32" s="558"/>
      <c r="L32" s="558"/>
      <c r="M32" s="558"/>
      <c r="N32" s="558"/>
      <c r="O32" s="559">
        <f>M20+M21-O22-O23-O24</f>
        <v>1780</v>
      </c>
      <c r="P32" s="199"/>
    </row>
    <row r="33" spans="4:16" ht="28.9" customHeight="1" x14ac:dyDescent="0.35">
      <c r="D33"/>
      <c r="E33"/>
      <c r="F33"/>
      <c r="H33" s="197"/>
      <c r="I33" s="224" t="s">
        <v>649</v>
      </c>
      <c r="J33" s="554"/>
      <c r="K33" s="554"/>
      <c r="L33" s="554"/>
      <c r="M33" s="554"/>
      <c r="N33" s="554"/>
      <c r="O33" s="553">
        <f>M20+M21-O23</f>
        <v>1780</v>
      </c>
      <c r="P33" s="199"/>
    </row>
    <row r="34" spans="4:16" ht="28.9" customHeight="1" x14ac:dyDescent="0.35">
      <c r="D34"/>
      <c r="E34"/>
      <c r="F34"/>
      <c r="H34" s="197"/>
      <c r="I34" s="224" t="s">
        <v>316</v>
      </c>
      <c r="J34" s="554"/>
      <c r="K34" s="554"/>
      <c r="L34" s="554"/>
      <c r="M34" s="554"/>
      <c r="N34" s="554"/>
      <c r="O34" s="553">
        <f>M20+M21-O22</f>
        <v>2000</v>
      </c>
      <c r="P34" s="199"/>
    </row>
    <row r="35" spans="4:16" ht="28.9" customHeight="1" x14ac:dyDescent="0.35">
      <c r="D35"/>
      <c r="E35"/>
      <c r="F35"/>
      <c r="H35" s="197"/>
      <c r="I35" s="224" t="s">
        <v>317</v>
      </c>
      <c r="J35" s="554"/>
      <c r="K35" s="554"/>
      <c r="L35" s="554"/>
      <c r="M35" s="554"/>
      <c r="N35" s="554"/>
      <c r="O35" s="553">
        <f>O34*'N_RHREF '!K19</f>
        <v>160</v>
      </c>
      <c r="P35" s="199"/>
    </row>
    <row r="36" spans="4:16" ht="28.9" customHeight="1" x14ac:dyDescent="0.35">
      <c r="H36" s="197"/>
      <c r="I36" s="224" t="s">
        <v>318</v>
      </c>
      <c r="J36" s="554"/>
      <c r="K36" s="554"/>
      <c r="L36" s="554"/>
      <c r="M36" s="554"/>
      <c r="N36" s="554"/>
      <c r="O36" s="553">
        <f>M20+M21-O22</f>
        <v>2000</v>
      </c>
      <c r="P36" s="199"/>
    </row>
    <row r="37" spans="4:16" ht="28.9" customHeight="1" x14ac:dyDescent="0.25">
      <c r="H37" s="211"/>
      <c r="I37" s="200"/>
      <c r="J37" s="200"/>
      <c r="K37" s="200"/>
      <c r="L37" s="200"/>
      <c r="M37" s="200"/>
      <c r="N37" s="200"/>
      <c r="O37" s="200"/>
      <c r="P37" s="201"/>
    </row>
    <row r="38" spans="4:16" ht="28.9" customHeight="1" x14ac:dyDescent="0.3">
      <c r="H38" s="212"/>
      <c r="I38" s="213"/>
      <c r="J38" s="213"/>
      <c r="K38" s="213"/>
      <c r="L38" s="213"/>
      <c r="M38" s="213"/>
      <c r="N38" s="213"/>
      <c r="O38" s="213"/>
      <c r="P38" s="214"/>
    </row>
    <row r="39" spans="4:16" ht="28.9" customHeight="1" x14ac:dyDescent="0.35">
      <c r="H39" s="205"/>
      <c r="I39" s="222" t="s">
        <v>319</v>
      </c>
      <c r="J39" s="206"/>
      <c r="K39" s="206"/>
      <c r="L39" s="206"/>
      <c r="M39" s="206"/>
      <c r="N39" s="206"/>
      <c r="O39" s="206"/>
      <c r="P39" s="207"/>
    </row>
    <row r="40" spans="4:16" ht="28.9" customHeight="1" x14ac:dyDescent="0.3">
      <c r="H40" s="205"/>
      <c r="I40" s="206"/>
      <c r="J40" s="206"/>
      <c r="K40" s="206"/>
      <c r="L40" s="206"/>
      <c r="M40" s="206"/>
      <c r="N40" s="206"/>
      <c r="O40" s="206"/>
      <c r="P40" s="207"/>
    </row>
    <row r="41" spans="4:16" ht="28.9" customHeight="1" x14ac:dyDescent="0.3">
      <c r="H41" s="205"/>
      <c r="I41" s="209"/>
      <c r="J41" s="209"/>
      <c r="K41" s="209"/>
      <c r="L41" s="206"/>
      <c r="M41" s="209"/>
      <c r="N41" s="209"/>
      <c r="O41" s="209"/>
      <c r="P41" s="207"/>
    </row>
    <row r="42" spans="4:16" ht="28.9" customHeight="1" x14ac:dyDescent="0.3">
      <c r="H42" s="205"/>
      <c r="I42" s="221" t="s">
        <v>320</v>
      </c>
      <c r="J42" s="206"/>
      <c r="K42" s="206"/>
      <c r="L42" s="206"/>
      <c r="M42" s="221" t="s">
        <v>321</v>
      </c>
      <c r="N42" s="206"/>
      <c r="O42" s="206"/>
      <c r="P42" s="207"/>
    </row>
    <row r="43" spans="4:16" ht="28.9" customHeight="1" x14ac:dyDescent="0.3">
      <c r="H43" s="208"/>
      <c r="I43" s="209"/>
      <c r="J43" s="209"/>
      <c r="K43" s="209"/>
      <c r="L43" s="209"/>
      <c r="M43" s="209"/>
      <c r="N43" s="209"/>
      <c r="O43" s="209"/>
      <c r="P43" s="210"/>
    </row>
    <row r="44" spans="4:16" ht="28.9" customHeight="1" x14ac:dyDescent="0.3"/>
    <row r="45" spans="4:16" ht="28.9" customHeight="1" x14ac:dyDescent="0.3"/>
    <row r="46" spans="4:16" ht="28.9" customHeight="1" x14ac:dyDescent="0.3"/>
    <row r="47" spans="4:16" ht="28.9" customHeight="1" x14ac:dyDescent="0.3"/>
    <row r="48" spans="4:16" ht="28.9" customHeight="1" x14ac:dyDescent="0.3"/>
    <row r="49" spans="1:1" ht="28.9" customHeight="1" x14ac:dyDescent="0.3">
      <c r="A49" s="109" t="s">
        <v>390</v>
      </c>
    </row>
    <row r="50" spans="1:1" ht="28.9" customHeight="1" x14ac:dyDescent="0.3"/>
    <row r="51" spans="1:1" ht="28.9" customHeight="1" x14ac:dyDescent="0.3"/>
    <row r="52" spans="1:1" ht="28.9" customHeight="1" x14ac:dyDescent="0.3"/>
    <row r="53" spans="1:1" ht="28.9" customHeight="1" x14ac:dyDescent="0.3"/>
    <row r="54" spans="1:1" ht="28.9" customHeight="1" x14ac:dyDescent="0.25"/>
    <row r="55" spans="1:1" ht="28.9" customHeight="1" x14ac:dyDescent="0.25"/>
    <row r="56" spans="1:1" ht="28.9" customHeight="1" x14ac:dyDescent="0.25"/>
    <row r="57" spans="1:1" ht="28.9" customHeight="1" x14ac:dyDescent="0.25"/>
    <row r="58" spans="1:1" ht="28.9" customHeight="1" x14ac:dyDescent="0.25"/>
    <row r="59" spans="1:1" ht="28.9" customHeight="1" x14ac:dyDescent="0.25"/>
    <row r="60" spans="1:1" ht="28.9" customHeight="1" x14ac:dyDescent="0.25"/>
    <row r="61" spans="1:1" ht="28.9" customHeight="1" x14ac:dyDescent="0.25"/>
    <row r="62" spans="1:1" ht="28.9" customHeight="1" x14ac:dyDescent="0.25"/>
    <row r="63" spans="1:1" ht="28.9" customHeight="1" x14ac:dyDescent="0.25"/>
    <row r="64" spans="1:1" ht="28.9" customHeight="1" x14ac:dyDescent="0.25"/>
    <row r="65" ht="28.9" customHeight="1" x14ac:dyDescent="0.25"/>
    <row r="66" ht="28.9" customHeight="1" x14ac:dyDescent="0.25"/>
    <row r="67" ht="28.9" customHeight="1" x14ac:dyDescent="0.25"/>
  </sheetData>
  <mergeCells count="2">
    <mergeCell ref="O25:P25"/>
    <mergeCell ref="M25:N2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 (2)'!$B$38:$B$41</xm:f>
          </x14:formula1>
          <xm:sqref>I17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0">
    <tabColor rgb="FF00B050"/>
  </sheetPr>
  <dimension ref="A1:AW66"/>
  <sheetViews>
    <sheetView zoomScale="40" zoomScaleNormal="40" workbookViewId="0">
      <selection activeCell="N22" sqref="N22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bestFit="1" customWidth="1"/>
    <col min="8" max="8" width="25.7109375" style="109" bestFit="1" customWidth="1"/>
    <col min="9" max="9" width="22.85546875" style="109" bestFit="1" customWidth="1"/>
    <col min="10" max="10" width="27.85546875" style="109" bestFit="1" customWidth="1"/>
    <col min="11" max="11" width="36.7109375" style="109" bestFit="1" customWidth="1"/>
    <col min="12" max="12" width="25.42578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thickBot="1" x14ac:dyDescent="0.3"/>
    <row r="10" spans="1:49" ht="28.9" customHeight="1" x14ac:dyDescent="0.35">
      <c r="E10" s="227" t="s">
        <v>322</v>
      </c>
      <c r="F10" s="228" t="s">
        <v>294</v>
      </c>
      <c r="H10" s="490" t="s">
        <v>343</v>
      </c>
      <c r="I10" s="491"/>
      <c r="J10" s="491"/>
      <c r="K10" s="492"/>
      <c r="N10" s="227" t="s">
        <v>677</v>
      </c>
    </row>
    <row r="11" spans="1:49" ht="28.9" customHeight="1" x14ac:dyDescent="0.25">
      <c r="E11" s="225" t="s">
        <v>323</v>
      </c>
      <c r="F11" s="229">
        <v>5000</v>
      </c>
      <c r="H11" s="493" t="s">
        <v>344</v>
      </c>
      <c r="I11" s="494"/>
      <c r="J11" s="231" t="s">
        <v>345</v>
      </c>
      <c r="K11" s="232" t="s">
        <v>346</v>
      </c>
      <c r="N11" s="225" t="s">
        <v>323</v>
      </c>
    </row>
    <row r="12" spans="1:49" ht="28.9" customHeight="1" x14ac:dyDescent="0.3">
      <c r="E12" s="225" t="s">
        <v>324</v>
      </c>
      <c r="F12" s="229">
        <v>3000</v>
      </c>
      <c r="H12" s="234" t="s">
        <v>347</v>
      </c>
      <c r="I12" s="233">
        <v>2259.1999999999998</v>
      </c>
      <c r="J12" s="235">
        <v>0</v>
      </c>
      <c r="K12" s="236">
        <v>0</v>
      </c>
      <c r="N12" s="225" t="s">
        <v>326</v>
      </c>
    </row>
    <row r="13" spans="1:49" ht="28.9" customHeight="1" x14ac:dyDescent="0.3">
      <c r="E13" s="225" t="s">
        <v>325</v>
      </c>
      <c r="F13" s="229">
        <v>2000</v>
      </c>
      <c r="H13" s="237">
        <f>I12</f>
        <v>2259.1999999999998</v>
      </c>
      <c r="I13" s="233">
        <v>2826.65</v>
      </c>
      <c r="J13" s="238">
        <v>7.4999999999999997E-2</v>
      </c>
      <c r="K13" s="236">
        <v>164.44</v>
      </c>
      <c r="N13" s="225" t="s">
        <v>329</v>
      </c>
    </row>
    <row r="14" spans="1:49" ht="28.9" customHeight="1" x14ac:dyDescent="0.3">
      <c r="E14" s="225" t="s">
        <v>326</v>
      </c>
      <c r="F14" s="229">
        <v>5000</v>
      </c>
      <c r="H14" s="237">
        <f>I13</f>
        <v>2826.65</v>
      </c>
      <c r="I14" s="233">
        <v>3751.05</v>
      </c>
      <c r="J14" s="238">
        <v>0.15</v>
      </c>
      <c r="K14" s="236">
        <v>381.44</v>
      </c>
      <c r="N14" s="225" t="s">
        <v>14</v>
      </c>
    </row>
    <row r="15" spans="1:49" ht="28.9" customHeight="1" x14ac:dyDescent="0.3">
      <c r="E15" s="225" t="s">
        <v>327</v>
      </c>
      <c r="F15" s="229">
        <v>3000</v>
      </c>
      <c r="H15" s="237">
        <f>I14</f>
        <v>3751.05</v>
      </c>
      <c r="I15" s="233">
        <v>4664.68</v>
      </c>
      <c r="J15" s="238">
        <v>0.22500000000000001</v>
      </c>
      <c r="K15" s="236">
        <v>662.77</v>
      </c>
      <c r="N15" s="225" t="s">
        <v>333</v>
      </c>
    </row>
    <row r="16" spans="1:49" ht="28.9" customHeight="1" thickBot="1" x14ac:dyDescent="0.35">
      <c r="E16" s="225" t="s">
        <v>328</v>
      </c>
      <c r="F16" s="229">
        <v>2000</v>
      </c>
      <c r="H16" s="239" t="s">
        <v>348</v>
      </c>
      <c r="I16" s="240">
        <f>I15</f>
        <v>4664.68</v>
      </c>
      <c r="J16" s="241">
        <v>0.27500000000000002</v>
      </c>
      <c r="K16" s="242">
        <v>896</v>
      </c>
      <c r="N16" s="225" t="s">
        <v>336</v>
      </c>
    </row>
    <row r="17" spans="5:14" ht="28.9" customHeight="1" thickBot="1" x14ac:dyDescent="0.3">
      <c r="E17" s="225" t="s">
        <v>329</v>
      </c>
      <c r="F17" s="229">
        <v>5000</v>
      </c>
      <c r="N17" s="225" t="s">
        <v>340</v>
      </c>
    </row>
    <row r="18" spans="5:14" ht="28.9" customHeight="1" x14ac:dyDescent="0.3">
      <c r="E18" s="225" t="s">
        <v>330</v>
      </c>
      <c r="F18" s="229">
        <v>3000</v>
      </c>
      <c r="H18" s="490" t="s">
        <v>307</v>
      </c>
      <c r="I18" s="491"/>
      <c r="J18" s="491"/>
      <c r="K18" s="492"/>
    </row>
    <row r="19" spans="5:14" ht="28.9" customHeight="1" x14ac:dyDescent="0.25">
      <c r="E19" s="225" t="s">
        <v>14</v>
      </c>
      <c r="F19" s="229">
        <v>5000</v>
      </c>
      <c r="H19" s="225" t="s">
        <v>311</v>
      </c>
      <c r="I19" s="235">
        <v>0.11</v>
      </c>
      <c r="J19" s="243" t="s">
        <v>352</v>
      </c>
      <c r="K19" s="244">
        <v>0.08</v>
      </c>
    </row>
    <row r="20" spans="5:14" ht="28.9" customHeight="1" x14ac:dyDescent="0.25">
      <c r="E20" s="225" t="s">
        <v>331</v>
      </c>
      <c r="F20" s="229">
        <v>3000</v>
      </c>
      <c r="H20" s="225" t="s">
        <v>349</v>
      </c>
      <c r="I20" s="243" t="s">
        <v>350</v>
      </c>
      <c r="J20" s="243" t="s">
        <v>349</v>
      </c>
      <c r="K20" s="245" t="s">
        <v>350</v>
      </c>
    </row>
    <row r="21" spans="5:14" ht="28.9" customHeight="1" thickBot="1" x14ac:dyDescent="0.3">
      <c r="E21" s="225" t="s">
        <v>332</v>
      </c>
      <c r="F21" s="229">
        <v>2000</v>
      </c>
      <c r="H21" s="226" t="s">
        <v>351</v>
      </c>
      <c r="I21" s="241">
        <v>1.4999999999999999E-2</v>
      </c>
      <c r="J21" s="246" t="s">
        <v>351</v>
      </c>
      <c r="K21" s="247">
        <v>1.4999999999999999E-2</v>
      </c>
    </row>
    <row r="22" spans="5:14" ht="28.9" customHeight="1" thickBot="1" x14ac:dyDescent="0.35">
      <c r="E22" s="225" t="s">
        <v>333</v>
      </c>
      <c r="F22" s="229">
        <v>5000</v>
      </c>
    </row>
    <row r="23" spans="5:14" ht="28.9" customHeight="1" x14ac:dyDescent="0.4">
      <c r="E23" s="225" t="s">
        <v>334</v>
      </c>
      <c r="F23" s="229">
        <v>3000</v>
      </c>
      <c r="H23" s="248" t="s">
        <v>352</v>
      </c>
    </row>
    <row r="24" spans="5:14" ht="28.9" customHeight="1" thickBot="1" x14ac:dyDescent="0.4">
      <c r="E24" s="225" t="s">
        <v>335</v>
      </c>
      <c r="F24" s="229">
        <v>2000</v>
      </c>
      <c r="H24" s="249">
        <v>0.08</v>
      </c>
    </row>
    <row r="25" spans="5:14" ht="28.9" customHeight="1" x14ac:dyDescent="0.25">
      <c r="E25" s="225" t="s">
        <v>336</v>
      </c>
      <c r="F25" s="229">
        <v>5000</v>
      </c>
    </row>
    <row r="26" spans="5:14" ht="28.9" customHeight="1" x14ac:dyDescent="0.25">
      <c r="E26" s="225" t="s">
        <v>337</v>
      </c>
      <c r="F26" s="229">
        <v>4000</v>
      </c>
    </row>
    <row r="27" spans="5:14" ht="28.9" customHeight="1" x14ac:dyDescent="0.25">
      <c r="E27" s="225" t="s">
        <v>338</v>
      </c>
      <c r="F27" s="229">
        <v>3000</v>
      </c>
    </row>
    <row r="28" spans="5:14" ht="28.9" customHeight="1" x14ac:dyDescent="0.25">
      <c r="E28" s="225" t="s">
        <v>339</v>
      </c>
      <c r="F28" s="229">
        <v>2000</v>
      </c>
    </row>
    <row r="29" spans="5:14" ht="28.9" customHeight="1" x14ac:dyDescent="0.3">
      <c r="E29" s="225" t="s">
        <v>340</v>
      </c>
      <c r="F29" s="229">
        <v>5000</v>
      </c>
    </row>
    <row r="30" spans="5:14" ht="28.9" customHeight="1" x14ac:dyDescent="0.3">
      <c r="E30" s="225" t="s">
        <v>341</v>
      </c>
      <c r="F30" s="229">
        <v>3000</v>
      </c>
    </row>
    <row r="31" spans="5:14" ht="28.9" customHeight="1" thickBot="1" x14ac:dyDescent="0.35">
      <c r="E31" s="226" t="s">
        <v>342</v>
      </c>
      <c r="F31" s="230">
        <v>2000</v>
      </c>
    </row>
    <row r="32" spans="5:14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1">
    <tabColor rgb="FF7030A0"/>
  </sheetPr>
  <dimension ref="A1:AW66"/>
  <sheetViews>
    <sheetView topLeftCell="A4" zoomScale="40" zoomScaleNormal="40" workbookViewId="0">
      <selection activeCell="I36" sqref="I36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bestFit="1" customWidth="1"/>
    <col min="8" max="8" width="25.7109375" style="109" bestFit="1" customWidth="1"/>
    <col min="9" max="9" width="22.85546875" style="109" bestFit="1" customWidth="1"/>
    <col min="10" max="10" width="27.85546875" style="109" bestFit="1" customWidth="1"/>
    <col min="11" max="11" width="36.7109375" style="109" bestFit="1" customWidth="1"/>
    <col min="12" max="12" width="25.42578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392</v>
      </c>
      <c r="I12" s="482"/>
      <c r="J12" s="482"/>
      <c r="K12" s="482"/>
      <c r="L12" s="483"/>
    </row>
    <row r="13" spans="1:49" ht="28.9" customHeight="1" thickBot="1" x14ac:dyDescent="0.3">
      <c r="H13" s="484"/>
      <c r="I13" s="485"/>
      <c r="J13" s="485"/>
      <c r="K13" s="485"/>
      <c r="L13" s="486"/>
    </row>
    <row r="14" spans="1:49" ht="28.9" customHeight="1" thickBot="1" x14ac:dyDescent="0.35">
      <c r="H14" s="8"/>
      <c r="I14" s="61"/>
      <c r="J14" s="61"/>
      <c r="K14" s="61"/>
      <c r="L14" s="62"/>
    </row>
    <row r="15" spans="1:49" ht="28.9" customHeight="1" thickBot="1" x14ac:dyDescent="0.35">
      <c r="H15" s="8"/>
      <c r="I15" s="176" t="s">
        <v>353</v>
      </c>
      <c r="J15" s="61"/>
      <c r="K15" s="59"/>
      <c r="L15" s="62"/>
    </row>
    <row r="16" spans="1:49" ht="28.9" customHeight="1" thickBot="1" x14ac:dyDescent="0.35">
      <c r="H16" s="8"/>
      <c r="I16" s="176"/>
      <c r="J16" s="61"/>
      <c r="K16" s="61"/>
      <c r="L16" s="62"/>
    </row>
    <row r="17" spans="8:12" ht="28.9" customHeight="1" thickBot="1" x14ac:dyDescent="0.35">
      <c r="H17" s="8"/>
      <c r="I17" s="176" t="s">
        <v>357</v>
      </c>
      <c r="J17" s="61"/>
      <c r="K17" s="59"/>
      <c r="L17" s="62"/>
    </row>
    <row r="18" spans="8:12" ht="28.9" customHeight="1" thickBot="1" x14ac:dyDescent="0.35">
      <c r="H18" s="8"/>
      <c r="I18" s="176"/>
      <c r="J18" s="61"/>
      <c r="K18" s="61"/>
      <c r="L18" s="62"/>
    </row>
    <row r="19" spans="8:12" ht="28.9" customHeight="1" thickBot="1" x14ac:dyDescent="0.35">
      <c r="H19" s="8"/>
      <c r="I19" s="176" t="s">
        <v>354</v>
      </c>
      <c r="J19" s="61"/>
      <c r="K19" s="59"/>
      <c r="L19" s="62"/>
    </row>
    <row r="20" spans="8:12" ht="28.9" customHeight="1" thickBot="1" x14ac:dyDescent="0.35">
      <c r="H20" s="8"/>
      <c r="I20" s="176"/>
      <c r="J20" s="61"/>
      <c r="K20" s="61"/>
      <c r="L20" s="62"/>
    </row>
    <row r="21" spans="8:12" ht="28.9" customHeight="1" thickBot="1" x14ac:dyDescent="0.3">
      <c r="H21" s="8"/>
      <c r="I21" s="176" t="s">
        <v>291</v>
      </c>
      <c r="J21" s="61"/>
      <c r="K21" s="59"/>
      <c r="L21" s="62"/>
    </row>
    <row r="22" spans="8:12" ht="28.9" customHeight="1" thickBot="1" x14ac:dyDescent="0.35">
      <c r="H22" s="8"/>
      <c r="I22" s="176"/>
      <c r="J22" s="61"/>
      <c r="K22" s="61"/>
      <c r="L22" s="62"/>
    </row>
    <row r="23" spans="8:12" ht="28.9" customHeight="1" thickBot="1" x14ac:dyDescent="0.35">
      <c r="H23" s="8"/>
      <c r="I23" s="176" t="s">
        <v>391</v>
      </c>
      <c r="J23" s="61"/>
      <c r="K23" s="59"/>
      <c r="L23" s="62"/>
    </row>
    <row r="24" spans="8:12" ht="28.9" customHeight="1" thickBot="1" x14ac:dyDescent="0.35">
      <c r="H24" s="8"/>
      <c r="I24" s="176"/>
      <c r="J24" s="61"/>
      <c r="K24" s="61"/>
      <c r="L24" s="62"/>
    </row>
    <row r="25" spans="8:12" ht="28.9" customHeight="1" thickBot="1" x14ac:dyDescent="0.35">
      <c r="H25" s="8"/>
      <c r="I25" s="176" t="s">
        <v>355</v>
      </c>
      <c r="J25" s="61"/>
      <c r="K25" s="59"/>
      <c r="L25" s="62"/>
    </row>
    <row r="26" spans="8:12" ht="28.9" customHeight="1" thickBot="1" x14ac:dyDescent="0.35">
      <c r="H26" s="8"/>
      <c r="I26" s="176"/>
      <c r="J26" s="61"/>
      <c r="K26" s="61"/>
      <c r="L26" s="62"/>
    </row>
    <row r="27" spans="8:12" ht="28.9" customHeight="1" thickBot="1" x14ac:dyDescent="0.35">
      <c r="H27" s="8"/>
      <c r="I27" s="176" t="s">
        <v>292</v>
      </c>
      <c r="J27" s="61"/>
      <c r="K27" s="59"/>
      <c r="L27" s="62"/>
    </row>
    <row r="28" spans="8:12" ht="28.9" customHeight="1" x14ac:dyDescent="0.3">
      <c r="H28" s="68"/>
      <c r="I28" s="69"/>
      <c r="J28" s="69"/>
      <c r="K28" s="69"/>
      <c r="L28" s="7"/>
    </row>
    <row r="29" spans="8:12" ht="28.9" customHeight="1" x14ac:dyDescent="0.3">
      <c r="H29" s="68"/>
      <c r="I29" s="69"/>
      <c r="J29" s="69"/>
      <c r="K29" s="69"/>
      <c r="L29" s="7"/>
    </row>
    <row r="30" spans="8:12" ht="28.9" customHeight="1" x14ac:dyDescent="0.3">
      <c r="H30" s="68"/>
      <c r="I30" s="69"/>
      <c r="J30" s="69"/>
      <c r="K30" s="69"/>
      <c r="L30" s="7"/>
    </row>
    <row r="31" spans="8:12" ht="28.9" customHeight="1" x14ac:dyDescent="0.3">
      <c r="H31" s="68"/>
      <c r="I31" s="69"/>
      <c r="J31" s="69"/>
      <c r="K31" s="69"/>
      <c r="L31" s="7"/>
    </row>
    <row r="32" spans="8:12" ht="28.9" customHeight="1" x14ac:dyDescent="0.3">
      <c r="H32" s="68"/>
      <c r="I32" s="69"/>
      <c r="J32" s="69"/>
      <c r="K32" s="69"/>
      <c r="L32" s="7"/>
    </row>
    <row r="33" spans="8:12" ht="28.9" customHeight="1" x14ac:dyDescent="0.3">
      <c r="H33" s="68"/>
      <c r="I33" s="69"/>
      <c r="J33" s="69"/>
      <c r="K33" s="69"/>
      <c r="L33" s="7"/>
    </row>
    <row r="34" spans="8:12" ht="28.9" customHeight="1" thickBot="1" x14ac:dyDescent="0.35">
      <c r="H34" s="70"/>
      <c r="I34" s="71"/>
      <c r="J34" s="71"/>
      <c r="K34" s="71"/>
      <c r="L34" s="72"/>
    </row>
    <row r="35" spans="8:12" ht="28.9" customHeight="1" x14ac:dyDescent="0.3"/>
    <row r="36" spans="8:12" ht="28.9" customHeight="1" x14ac:dyDescent="0.3"/>
    <row r="37" spans="8:12" ht="28.9" customHeight="1" x14ac:dyDescent="0.3"/>
    <row r="38" spans="8:12" ht="28.9" customHeight="1" x14ac:dyDescent="0.3"/>
    <row r="39" spans="8:12" ht="28.9" customHeight="1" x14ac:dyDescent="0.3"/>
    <row r="40" spans="8:12" ht="28.9" customHeight="1" x14ac:dyDescent="0.3"/>
    <row r="41" spans="8:12" ht="28.9" customHeight="1" x14ac:dyDescent="0.3"/>
    <row r="42" spans="8:12" ht="28.9" customHeight="1" x14ac:dyDescent="0.3"/>
    <row r="43" spans="8:12" ht="28.9" customHeight="1" x14ac:dyDescent="0.3"/>
    <row r="44" spans="8:12" ht="28.9" customHeight="1" x14ac:dyDescent="0.3"/>
    <row r="45" spans="8:12" ht="28.9" customHeight="1" x14ac:dyDescent="0.3"/>
    <row r="46" spans="8:12" ht="28.9" customHeight="1" x14ac:dyDescent="0.3"/>
    <row r="47" spans="8:12" ht="28.9" customHeight="1" x14ac:dyDescent="0.3"/>
    <row r="48" spans="8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3"/>
    <row r="54" ht="28.9" customHeight="1" x14ac:dyDescent="0.3"/>
    <row r="55" ht="28.9" customHeight="1" x14ac:dyDescent="0.3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2">
    <tabColor rgb="FF7030A0"/>
  </sheetPr>
  <dimension ref="A1:AW66"/>
  <sheetViews>
    <sheetView zoomScale="40" zoomScaleNormal="40" workbookViewId="0">
      <selection activeCell="K17" sqref="K17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bestFit="1" customWidth="1"/>
    <col min="8" max="8" width="25.7109375" style="109" bestFit="1" customWidth="1"/>
    <col min="9" max="9" width="22.85546875" style="109" bestFit="1" customWidth="1"/>
    <col min="10" max="10" width="27.85546875" style="109" bestFit="1" customWidth="1"/>
    <col min="11" max="11" width="36.7109375" style="109" bestFit="1" customWidth="1"/>
    <col min="12" max="12" width="25.42578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363</v>
      </c>
      <c r="I12" s="482"/>
      <c r="J12" s="482"/>
      <c r="K12" s="482"/>
      <c r="L12" s="483"/>
    </row>
    <row r="13" spans="1:49" ht="28.9" customHeight="1" thickBot="1" x14ac:dyDescent="0.3">
      <c r="H13" s="484"/>
      <c r="I13" s="485"/>
      <c r="J13" s="485"/>
      <c r="K13" s="485"/>
      <c r="L13" s="486"/>
    </row>
    <row r="14" spans="1:49" ht="28.9" customHeight="1" thickBot="1" x14ac:dyDescent="0.35">
      <c r="H14" s="8"/>
      <c r="I14" s="61"/>
      <c r="J14" s="61"/>
      <c r="K14" s="61"/>
      <c r="L14" s="62"/>
    </row>
    <row r="15" spans="1:49" ht="28.9" customHeight="1" thickBot="1" x14ac:dyDescent="0.35">
      <c r="H15" s="8"/>
      <c r="I15" s="250" t="s">
        <v>357</v>
      </c>
      <c r="J15" s="61"/>
      <c r="K15" s="59"/>
      <c r="L15" s="62"/>
    </row>
    <row r="16" spans="1:49" ht="28.9" customHeight="1" thickBot="1" x14ac:dyDescent="0.3">
      <c r="H16" s="8"/>
      <c r="I16" s="75" t="s">
        <v>13</v>
      </c>
      <c r="J16" s="61"/>
      <c r="K16" s="61"/>
      <c r="L16" s="62"/>
    </row>
    <row r="17" spans="8:12" ht="28.9" customHeight="1" thickBot="1" x14ac:dyDescent="0.35">
      <c r="H17" s="8"/>
      <c r="I17" s="250" t="s">
        <v>358</v>
      </c>
      <c r="J17" s="61"/>
      <c r="K17" s="59"/>
      <c r="L17" s="62"/>
    </row>
    <row r="18" spans="8:12" ht="28.9" customHeight="1" thickBot="1" x14ac:dyDescent="0.3">
      <c r="H18" s="8"/>
      <c r="I18" s="75" t="s">
        <v>13</v>
      </c>
      <c r="J18" s="61"/>
      <c r="K18" s="61"/>
      <c r="L18" s="62"/>
    </row>
    <row r="19" spans="8:12" ht="28.9" customHeight="1" thickBot="1" x14ac:dyDescent="0.3">
      <c r="H19" s="8"/>
      <c r="I19" s="250" t="s">
        <v>291</v>
      </c>
      <c r="J19" s="61"/>
      <c r="K19" s="59"/>
      <c r="L19" s="62"/>
    </row>
    <row r="20" spans="8:12" ht="28.9" customHeight="1" thickBot="1" x14ac:dyDescent="0.3">
      <c r="H20" s="8"/>
      <c r="I20" s="75" t="s">
        <v>13</v>
      </c>
      <c r="J20" s="61"/>
      <c r="K20" s="61"/>
      <c r="L20" s="62"/>
    </row>
    <row r="21" spans="8:12" ht="28.9" customHeight="1" thickBot="1" x14ac:dyDescent="0.35">
      <c r="H21" s="8"/>
      <c r="I21" s="250" t="s">
        <v>282</v>
      </c>
      <c r="J21" s="61"/>
      <c r="K21" s="59"/>
      <c r="L21" s="62"/>
    </row>
    <row r="22" spans="8:12" ht="28.9" customHeight="1" thickBot="1" x14ac:dyDescent="0.3">
      <c r="H22" s="8"/>
      <c r="I22" s="75" t="s">
        <v>13</v>
      </c>
      <c r="J22" s="61"/>
      <c r="K22" s="61"/>
      <c r="L22" s="62"/>
    </row>
    <row r="23" spans="8:12" ht="28.9" customHeight="1" thickBot="1" x14ac:dyDescent="0.35">
      <c r="H23" s="8"/>
      <c r="I23" s="250" t="s">
        <v>283</v>
      </c>
      <c r="J23" s="61"/>
      <c r="K23" s="59"/>
      <c r="L23" s="62"/>
    </row>
    <row r="24" spans="8:12" ht="28.9" customHeight="1" thickBot="1" x14ac:dyDescent="0.3">
      <c r="H24" s="8"/>
      <c r="I24" s="75" t="s">
        <v>13</v>
      </c>
      <c r="J24" s="61"/>
      <c r="K24" s="61"/>
      <c r="L24" s="62"/>
    </row>
    <row r="25" spans="8:12" ht="28.9" customHeight="1" thickBot="1" x14ac:dyDescent="0.3">
      <c r="H25" s="8"/>
      <c r="I25" s="250" t="s">
        <v>359</v>
      </c>
      <c r="J25" s="61"/>
      <c r="K25" s="59"/>
      <c r="L25" s="62"/>
    </row>
    <row r="26" spans="8:12" ht="28.9" customHeight="1" thickBot="1" x14ac:dyDescent="0.3">
      <c r="H26" s="8"/>
      <c r="I26" s="75" t="s">
        <v>13</v>
      </c>
      <c r="J26" s="61"/>
      <c r="K26" s="61"/>
      <c r="L26" s="62"/>
    </row>
    <row r="27" spans="8:12" ht="28.9" customHeight="1" thickBot="1" x14ac:dyDescent="0.35">
      <c r="H27" s="8"/>
      <c r="I27" s="250" t="s">
        <v>360</v>
      </c>
      <c r="J27" s="61"/>
      <c r="K27" s="59"/>
      <c r="L27" s="62"/>
    </row>
    <row r="28" spans="8:12" ht="28.9" customHeight="1" thickBot="1" x14ac:dyDescent="0.35">
      <c r="H28" s="68"/>
      <c r="I28" s="75"/>
      <c r="J28" s="69"/>
      <c r="K28" s="69"/>
      <c r="L28" s="7"/>
    </row>
    <row r="29" spans="8:12" ht="28.9" customHeight="1" thickBot="1" x14ac:dyDescent="0.35">
      <c r="H29" s="68"/>
      <c r="I29" s="250" t="s">
        <v>361</v>
      </c>
      <c r="J29" s="69"/>
      <c r="K29" s="50"/>
      <c r="L29" s="7"/>
    </row>
    <row r="30" spans="8:12" ht="28.9" customHeight="1" thickBot="1" x14ac:dyDescent="0.35">
      <c r="H30" s="68"/>
      <c r="I30" s="75"/>
      <c r="J30" s="69"/>
      <c r="K30" s="69"/>
      <c r="L30" s="7"/>
    </row>
    <row r="31" spans="8:12" ht="28.9" customHeight="1" thickBot="1" x14ac:dyDescent="0.35">
      <c r="H31" s="68"/>
      <c r="I31" s="250" t="s">
        <v>362</v>
      </c>
      <c r="J31" s="69"/>
      <c r="K31" s="50"/>
      <c r="L31" s="7"/>
    </row>
    <row r="32" spans="8:12" ht="28.9" customHeight="1" x14ac:dyDescent="0.3">
      <c r="H32" s="68"/>
      <c r="I32" s="67"/>
      <c r="J32" s="69"/>
      <c r="K32" s="69"/>
      <c r="L32" s="7"/>
    </row>
    <row r="33" spans="8:12" ht="28.9" customHeight="1" x14ac:dyDescent="0.3">
      <c r="H33" s="68"/>
      <c r="I33" s="69"/>
      <c r="J33" s="69"/>
      <c r="K33" s="69"/>
      <c r="L33" s="7"/>
    </row>
    <row r="34" spans="8:12" ht="28.9" customHeight="1" x14ac:dyDescent="0.3">
      <c r="H34" s="68"/>
      <c r="I34" s="69"/>
      <c r="J34" s="69"/>
      <c r="K34" s="69"/>
      <c r="L34" s="7"/>
    </row>
    <row r="35" spans="8:12" ht="28.9" customHeight="1" x14ac:dyDescent="0.3">
      <c r="H35" s="68"/>
      <c r="I35" s="69"/>
      <c r="J35" s="69"/>
      <c r="K35" s="69"/>
      <c r="L35" s="7"/>
    </row>
    <row r="36" spans="8:12" ht="28.9" customHeight="1" x14ac:dyDescent="0.3">
      <c r="H36" s="68"/>
      <c r="I36" s="69"/>
      <c r="J36" s="69"/>
      <c r="K36" s="69"/>
      <c r="L36" s="7"/>
    </row>
    <row r="37" spans="8:12" ht="28.9" customHeight="1" x14ac:dyDescent="0.3">
      <c r="H37" s="68"/>
      <c r="I37" s="69"/>
      <c r="J37" s="69"/>
      <c r="K37" s="69"/>
      <c r="L37" s="7"/>
    </row>
    <row r="38" spans="8:12" ht="28.9" customHeight="1" thickBot="1" x14ac:dyDescent="0.35">
      <c r="H38" s="70"/>
      <c r="I38" s="71"/>
      <c r="J38" s="71"/>
      <c r="K38" s="71"/>
      <c r="L38" s="72"/>
    </row>
    <row r="39" spans="8:12" ht="28.9" customHeight="1" x14ac:dyDescent="0.3"/>
    <row r="40" spans="8:12" ht="28.9" customHeight="1" x14ac:dyDescent="0.3"/>
    <row r="41" spans="8:12" ht="28.9" customHeight="1" x14ac:dyDescent="0.3"/>
    <row r="42" spans="8:12" ht="28.9" customHeight="1" x14ac:dyDescent="0.3"/>
    <row r="43" spans="8:12" ht="28.9" customHeight="1" x14ac:dyDescent="0.3"/>
    <row r="44" spans="8:12" ht="28.9" customHeight="1" x14ac:dyDescent="0.3"/>
    <row r="45" spans="8:12" ht="28.9" customHeight="1" x14ac:dyDescent="0.3"/>
    <row r="46" spans="8:12" ht="28.9" customHeight="1" x14ac:dyDescent="0.3"/>
    <row r="47" spans="8:12" ht="28.9" customHeight="1" x14ac:dyDescent="0.3"/>
    <row r="48" spans="8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BD_CADAS!$D$8:$D$28</xm:f>
          </x14:formula1>
          <xm:sqref>K15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3">
    <tabColor rgb="FF7030A0"/>
  </sheetPr>
  <dimension ref="A1:AW66"/>
  <sheetViews>
    <sheetView zoomScale="40" zoomScaleNormal="40" workbookViewId="0">
      <selection activeCell="M25" sqref="M25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bestFit="1" customWidth="1"/>
    <col min="8" max="8" width="25.7109375" style="109" bestFit="1" customWidth="1"/>
    <col min="9" max="9" width="22.85546875" style="109" bestFit="1" customWidth="1"/>
    <col min="10" max="10" width="27.85546875" style="109" bestFit="1" customWidth="1"/>
    <col min="11" max="11" width="36.7109375" style="109" bestFit="1" customWidth="1"/>
    <col min="12" max="12" width="25.42578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4">
      <c r="H12" s="481" t="s">
        <v>364</v>
      </c>
      <c r="I12" s="482"/>
      <c r="J12" s="482"/>
      <c r="K12" s="482"/>
      <c r="L12" s="483"/>
      <c r="N12" s="253" t="s">
        <v>366</v>
      </c>
      <c r="O12" s="253" t="s">
        <v>283</v>
      </c>
    </row>
    <row r="13" spans="1:49" ht="28.9" customHeight="1" thickBot="1" x14ac:dyDescent="0.35">
      <c r="H13" s="484"/>
      <c r="I13" s="485"/>
      <c r="J13" s="485"/>
      <c r="K13" s="485"/>
      <c r="L13" s="486"/>
      <c r="N13" s="254" t="s">
        <v>393</v>
      </c>
      <c r="O13" s="255">
        <v>16700</v>
      </c>
    </row>
    <row r="14" spans="1:49" ht="28.9" customHeight="1" thickBot="1" x14ac:dyDescent="0.35">
      <c r="H14" s="8"/>
      <c r="I14" s="61"/>
      <c r="J14" s="61"/>
      <c r="K14" s="61"/>
      <c r="L14" s="62"/>
      <c r="N14" s="66"/>
    </row>
    <row r="15" spans="1:49" ht="28.9" customHeight="1" thickBot="1" x14ac:dyDescent="0.35">
      <c r="H15" s="8"/>
      <c r="I15" s="250" t="s">
        <v>357</v>
      </c>
      <c r="J15" s="61"/>
      <c r="K15" s="59"/>
      <c r="L15" s="62"/>
      <c r="N15" s="66"/>
    </row>
    <row r="16" spans="1:49" ht="28.9" customHeight="1" thickBot="1" x14ac:dyDescent="0.45">
      <c r="H16" s="8"/>
      <c r="I16" s="75" t="s">
        <v>13</v>
      </c>
      <c r="J16" s="61"/>
      <c r="K16" s="61"/>
      <c r="L16" s="62"/>
      <c r="N16" s="253" t="s">
        <v>394</v>
      </c>
    </row>
    <row r="17" spans="8:15" ht="28.9" customHeight="1" thickBot="1" x14ac:dyDescent="0.4">
      <c r="H17" s="8"/>
      <c r="I17" s="250" t="s">
        <v>358</v>
      </c>
      <c r="J17" s="61"/>
      <c r="K17" s="59"/>
      <c r="L17" s="62"/>
      <c r="N17" s="256">
        <v>20</v>
      </c>
      <c r="O17" s="1"/>
    </row>
    <row r="18" spans="8:15" ht="28.9" customHeight="1" thickBot="1" x14ac:dyDescent="0.3">
      <c r="H18" s="8"/>
      <c r="I18" s="75" t="s">
        <v>13</v>
      </c>
      <c r="J18" s="61"/>
      <c r="K18" s="61"/>
      <c r="L18" s="62"/>
    </row>
    <row r="19" spans="8:15" ht="28.9" customHeight="1" thickBot="1" x14ac:dyDescent="0.3">
      <c r="H19" s="8"/>
      <c r="I19" s="250" t="s">
        <v>291</v>
      </c>
      <c r="J19" s="61"/>
      <c r="K19" s="59"/>
      <c r="L19" s="62"/>
    </row>
    <row r="20" spans="8:15" ht="28.9" customHeight="1" thickBot="1" x14ac:dyDescent="0.3">
      <c r="H20" s="8"/>
      <c r="I20" s="75" t="s">
        <v>13</v>
      </c>
      <c r="J20" s="61"/>
      <c r="K20" s="61"/>
      <c r="L20" s="62"/>
    </row>
    <row r="21" spans="8:15" ht="28.9" customHeight="1" thickBot="1" x14ac:dyDescent="0.35">
      <c r="H21" s="8"/>
      <c r="I21" s="250" t="s">
        <v>282</v>
      </c>
      <c r="J21" s="61"/>
      <c r="K21" s="59"/>
      <c r="L21" s="62"/>
    </row>
    <row r="22" spans="8:15" ht="28.9" customHeight="1" x14ac:dyDescent="0.3">
      <c r="H22" s="8"/>
      <c r="I22" s="67"/>
      <c r="J22" s="61"/>
      <c r="K22" s="61"/>
      <c r="L22" s="62"/>
    </row>
    <row r="23" spans="8:15" ht="28.9" customHeight="1" x14ac:dyDescent="0.3">
      <c r="H23" s="8"/>
      <c r="I23" s="69"/>
      <c r="J23" s="61"/>
      <c r="K23" s="251"/>
      <c r="L23" s="62"/>
    </row>
    <row r="24" spans="8:15" ht="28.9" customHeight="1" x14ac:dyDescent="0.3">
      <c r="H24" s="8"/>
      <c r="I24" s="69"/>
      <c r="J24" s="61"/>
      <c r="K24" s="61"/>
      <c r="L24" s="62"/>
    </row>
    <row r="25" spans="8:15" ht="28.9" customHeight="1" x14ac:dyDescent="0.3">
      <c r="H25" s="8"/>
      <c r="I25" s="69"/>
      <c r="J25" s="61"/>
      <c r="K25" s="61"/>
      <c r="L25" s="62"/>
    </row>
    <row r="26" spans="8:15" ht="28.9" customHeight="1" x14ac:dyDescent="0.3">
      <c r="H26" s="8"/>
      <c r="I26" s="69"/>
      <c r="J26" s="61"/>
      <c r="K26" s="61"/>
      <c r="L26" s="62"/>
    </row>
    <row r="27" spans="8:15" ht="28.9" customHeight="1" thickBot="1" x14ac:dyDescent="0.35">
      <c r="H27" s="63"/>
      <c r="I27" s="71"/>
      <c r="J27" s="64"/>
      <c r="K27" s="252"/>
      <c r="L27" s="65"/>
    </row>
    <row r="28" spans="8:15" ht="28.9" customHeight="1" x14ac:dyDescent="0.3"/>
    <row r="29" spans="8:15" ht="28.9" customHeight="1" x14ac:dyDescent="0.3"/>
    <row r="30" spans="8:15" ht="28.9" customHeight="1" x14ac:dyDescent="0.3"/>
    <row r="31" spans="8:15" ht="28.9" customHeight="1" x14ac:dyDescent="0.3"/>
    <row r="32" spans="8:1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5">
    <tabColor rgb="FF7030A0"/>
  </sheetPr>
  <dimension ref="A1:AW66"/>
  <sheetViews>
    <sheetView zoomScale="40" zoomScaleNormal="40" workbookViewId="0">
      <selection activeCell="H25" sqref="H25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bestFit="1" customWidth="1"/>
    <col min="8" max="8" width="25.7109375" style="109" bestFit="1" customWidth="1"/>
    <col min="9" max="9" width="22.85546875" style="109" bestFit="1" customWidth="1"/>
    <col min="10" max="10" width="27.85546875" style="109" bestFit="1" customWidth="1"/>
    <col min="11" max="11" width="36.7109375" style="109" bestFit="1" customWidth="1"/>
    <col min="12" max="12" width="25.42578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3"/>
    <row r="12" spans="1:49" ht="28.9" customHeight="1" x14ac:dyDescent="0.3"/>
    <row r="13" spans="1:49" ht="28.9" customHeight="1" x14ac:dyDescent="0.3"/>
    <row r="14" spans="1:49" ht="28.9" customHeight="1" thickBot="1" x14ac:dyDescent="0.35"/>
    <row r="15" spans="1:49" ht="28.9" customHeight="1" x14ac:dyDescent="0.25">
      <c r="I15" s="481" t="s">
        <v>363</v>
      </c>
      <c r="J15" s="482"/>
      <c r="K15" s="482"/>
      <c r="L15" s="482"/>
      <c r="M15" s="483"/>
    </row>
    <row r="16" spans="1:49" ht="28.9" customHeight="1" thickBot="1" x14ac:dyDescent="0.3">
      <c r="I16" s="484"/>
      <c r="J16" s="485"/>
      <c r="K16" s="485"/>
      <c r="L16" s="485"/>
      <c r="M16" s="486"/>
    </row>
    <row r="17" spans="9:13" ht="28.9" customHeight="1" thickBot="1" x14ac:dyDescent="0.35">
      <c r="I17" s="8"/>
      <c r="J17" s="61"/>
      <c r="K17" s="61"/>
      <c r="L17" s="61"/>
      <c r="M17" s="62"/>
    </row>
    <row r="18" spans="9:13" ht="28.9" customHeight="1" thickBot="1" x14ac:dyDescent="0.35">
      <c r="I18" s="8"/>
      <c r="J18" s="250" t="s">
        <v>357</v>
      </c>
      <c r="K18" s="61"/>
      <c r="L18" s="59"/>
      <c r="M18" s="62"/>
    </row>
    <row r="19" spans="9:13" ht="28.9" customHeight="1" thickBot="1" x14ac:dyDescent="0.3">
      <c r="I19" s="8"/>
      <c r="J19" s="75" t="s">
        <v>13</v>
      </c>
      <c r="K19" s="61"/>
      <c r="L19" s="61"/>
      <c r="M19" s="62"/>
    </row>
    <row r="20" spans="9:13" ht="28.9" customHeight="1" thickBot="1" x14ac:dyDescent="0.35">
      <c r="I20" s="8"/>
      <c r="J20" s="250" t="s">
        <v>358</v>
      </c>
      <c r="K20" s="61"/>
      <c r="L20" s="59"/>
      <c r="M20" s="62"/>
    </row>
    <row r="21" spans="9:13" ht="28.9" customHeight="1" thickBot="1" x14ac:dyDescent="0.3">
      <c r="I21" s="8"/>
      <c r="J21" s="75" t="s">
        <v>13</v>
      </c>
      <c r="K21" s="61"/>
      <c r="L21" s="61"/>
      <c r="M21" s="62"/>
    </row>
    <row r="22" spans="9:13" ht="28.9" customHeight="1" thickBot="1" x14ac:dyDescent="0.3">
      <c r="I22" s="8"/>
      <c r="J22" s="250" t="s">
        <v>291</v>
      </c>
      <c r="K22" s="61"/>
      <c r="L22" s="59"/>
      <c r="M22" s="62"/>
    </row>
    <row r="23" spans="9:13" ht="28.9" customHeight="1" thickBot="1" x14ac:dyDescent="0.3">
      <c r="I23" s="8"/>
      <c r="J23" s="75" t="s">
        <v>13</v>
      </c>
      <c r="K23" s="61"/>
      <c r="L23" s="61"/>
      <c r="M23" s="62"/>
    </row>
    <row r="24" spans="9:13" ht="28.9" customHeight="1" thickBot="1" x14ac:dyDescent="0.35">
      <c r="I24" s="8"/>
      <c r="J24" s="250" t="s">
        <v>282</v>
      </c>
      <c r="K24" s="61"/>
      <c r="L24" s="59"/>
      <c r="M24" s="62"/>
    </row>
    <row r="25" spans="9:13" ht="28.9" customHeight="1" thickBot="1" x14ac:dyDescent="0.3">
      <c r="I25" s="8"/>
      <c r="J25" s="75" t="s">
        <v>13</v>
      </c>
      <c r="K25" s="61"/>
      <c r="L25" s="61"/>
      <c r="M25" s="62"/>
    </row>
    <row r="26" spans="9:13" ht="28.9" customHeight="1" thickBot="1" x14ac:dyDescent="0.35">
      <c r="I26" s="8"/>
      <c r="J26" s="250" t="s">
        <v>283</v>
      </c>
      <c r="K26" s="61"/>
      <c r="L26" s="59"/>
      <c r="M26" s="62"/>
    </row>
    <row r="27" spans="9:13" ht="28.9" customHeight="1" thickBot="1" x14ac:dyDescent="0.3">
      <c r="I27" s="8"/>
      <c r="J27" s="75" t="s">
        <v>13</v>
      </c>
      <c r="K27" s="61"/>
      <c r="L27" s="61"/>
      <c r="M27" s="62"/>
    </row>
    <row r="28" spans="9:13" ht="28.9" customHeight="1" thickBot="1" x14ac:dyDescent="0.3">
      <c r="I28" s="8"/>
      <c r="J28" s="250" t="s">
        <v>359</v>
      </c>
      <c r="K28" s="61"/>
      <c r="L28" s="59"/>
      <c r="M28" s="62"/>
    </row>
    <row r="29" spans="9:13" ht="28.9" customHeight="1" thickBot="1" x14ac:dyDescent="0.3">
      <c r="I29" s="8"/>
      <c r="J29" s="75" t="s">
        <v>13</v>
      </c>
      <c r="K29" s="61"/>
      <c r="L29" s="61"/>
      <c r="M29" s="62"/>
    </row>
    <row r="30" spans="9:13" ht="28.9" customHeight="1" thickBot="1" x14ac:dyDescent="0.35">
      <c r="I30" s="8"/>
      <c r="J30" s="250" t="s">
        <v>360</v>
      </c>
      <c r="K30" s="61"/>
      <c r="L30" s="59"/>
      <c r="M30" s="62"/>
    </row>
    <row r="31" spans="9:13" ht="28.9" customHeight="1" thickBot="1" x14ac:dyDescent="0.35">
      <c r="I31" s="68"/>
      <c r="J31" s="75"/>
      <c r="K31" s="69"/>
      <c r="L31" s="69"/>
      <c r="M31" s="7"/>
    </row>
    <row r="32" spans="9:13" ht="28.9" customHeight="1" thickBot="1" x14ac:dyDescent="0.35">
      <c r="I32" s="68"/>
      <c r="J32" s="250" t="s">
        <v>361</v>
      </c>
      <c r="K32" s="69"/>
      <c r="L32" s="50"/>
      <c r="M32" s="7"/>
    </row>
    <row r="33" spans="9:13" ht="28.9" customHeight="1" thickBot="1" x14ac:dyDescent="0.35">
      <c r="I33" s="68"/>
      <c r="J33" s="75"/>
      <c r="K33" s="69"/>
      <c r="L33" s="69"/>
      <c r="M33" s="7"/>
    </row>
    <row r="34" spans="9:13" ht="28.9" customHeight="1" thickBot="1" x14ac:dyDescent="0.35">
      <c r="I34" s="68"/>
      <c r="J34" s="250" t="s">
        <v>362</v>
      </c>
      <c r="K34" s="69"/>
      <c r="L34" s="50"/>
      <c r="M34" s="7"/>
    </row>
    <row r="35" spans="9:13" ht="28.9" customHeight="1" x14ac:dyDescent="0.3">
      <c r="I35" s="68"/>
      <c r="J35" s="67"/>
      <c r="K35" s="69"/>
      <c r="L35" s="69"/>
      <c r="M35" s="7"/>
    </row>
    <row r="36" spans="9:13" ht="28.9" customHeight="1" thickBot="1" x14ac:dyDescent="0.35">
      <c r="I36" s="70"/>
      <c r="J36" s="71"/>
      <c r="K36" s="71"/>
      <c r="L36" s="71"/>
      <c r="M36" s="72"/>
    </row>
    <row r="37" spans="9:13" ht="28.9" customHeight="1" x14ac:dyDescent="0.3">
      <c r="I37" s="73"/>
      <c r="J37" s="73"/>
      <c r="K37" s="73"/>
      <c r="L37" s="73"/>
      <c r="M37" s="73"/>
    </row>
    <row r="38" spans="9:13" ht="28.9" customHeight="1" x14ac:dyDescent="0.3">
      <c r="I38" s="73"/>
      <c r="J38" s="73"/>
      <c r="K38" s="73"/>
      <c r="L38" s="73"/>
      <c r="M38" s="73"/>
    </row>
    <row r="39" spans="9:13" ht="28.9" customHeight="1" x14ac:dyDescent="0.3">
      <c r="I39" s="73"/>
      <c r="J39" s="73"/>
      <c r="K39" s="73"/>
      <c r="L39" s="73"/>
      <c r="M39" s="73"/>
    </row>
    <row r="40" spans="9:13" ht="28.9" customHeight="1" x14ac:dyDescent="0.3">
      <c r="I40" s="73"/>
      <c r="J40" s="73"/>
      <c r="K40" s="73"/>
      <c r="L40" s="73"/>
      <c r="M40" s="73"/>
    </row>
    <row r="41" spans="9:13" ht="28.9" customHeight="1" x14ac:dyDescent="0.3">
      <c r="I41" s="73"/>
      <c r="J41" s="73"/>
      <c r="K41" s="73"/>
      <c r="L41" s="73"/>
      <c r="M41" s="73"/>
    </row>
    <row r="42" spans="9:13" ht="28.9" customHeight="1" x14ac:dyDescent="0.3"/>
    <row r="43" spans="9:13" ht="28.9" customHeight="1" x14ac:dyDescent="0.3"/>
    <row r="44" spans="9:13" ht="28.9" customHeight="1" x14ac:dyDescent="0.3"/>
    <row r="45" spans="9:13" ht="28.9" customHeight="1" x14ac:dyDescent="0.3"/>
    <row r="46" spans="9:13" ht="28.9" customHeight="1" x14ac:dyDescent="0.3"/>
    <row r="47" spans="9:13" ht="28.9" customHeight="1" x14ac:dyDescent="0.3"/>
    <row r="48" spans="9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I15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4">
    <tabColor rgb="FF7030A0"/>
  </sheetPr>
  <dimension ref="A1:AW66"/>
  <sheetViews>
    <sheetView zoomScale="40" zoomScaleNormal="40" workbookViewId="0">
      <selection activeCell="E35" sqref="E35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bestFit="1" customWidth="1"/>
    <col min="8" max="8" width="25.7109375" style="109" bestFit="1" customWidth="1"/>
    <col min="9" max="9" width="22.85546875" style="109" bestFit="1" customWidth="1"/>
    <col min="10" max="10" width="27.85546875" style="109" bestFit="1" customWidth="1"/>
    <col min="11" max="11" width="36.7109375" style="109" bestFit="1" customWidth="1"/>
    <col min="12" max="12" width="25.42578125" style="109" bestFit="1" customWidth="1"/>
    <col min="13" max="13" width="29" style="109" bestFit="1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4">
      <c r="H12" s="481" t="s">
        <v>364</v>
      </c>
      <c r="I12" s="482"/>
      <c r="J12" s="482"/>
      <c r="K12" s="482"/>
      <c r="L12" s="483"/>
      <c r="N12" s="253" t="s">
        <v>366</v>
      </c>
      <c r="O12" s="253" t="s">
        <v>283</v>
      </c>
    </row>
    <row r="13" spans="1:49" ht="28.9" customHeight="1" thickBot="1" x14ac:dyDescent="0.35">
      <c r="H13" s="484"/>
      <c r="I13" s="485"/>
      <c r="J13" s="485"/>
      <c r="K13" s="485"/>
      <c r="L13" s="486"/>
      <c r="N13" s="254" t="s">
        <v>393</v>
      </c>
      <c r="O13" s="255">
        <v>16700</v>
      </c>
    </row>
    <row r="14" spans="1:49" ht="28.9" customHeight="1" thickBot="1" x14ac:dyDescent="0.35">
      <c r="H14" s="8"/>
      <c r="I14" s="61"/>
      <c r="J14" s="61"/>
      <c r="K14" s="61"/>
      <c r="L14" s="62"/>
      <c r="N14" s="66"/>
    </row>
    <row r="15" spans="1:49" ht="28.9" customHeight="1" thickBot="1" x14ac:dyDescent="0.4">
      <c r="H15" s="8"/>
      <c r="I15" s="257" t="s">
        <v>367</v>
      </c>
      <c r="J15" s="61"/>
      <c r="K15" s="59"/>
      <c r="L15" s="62"/>
      <c r="N15" s="66"/>
    </row>
    <row r="16" spans="1:49" ht="28.9" customHeight="1" thickBot="1" x14ac:dyDescent="0.45">
      <c r="H16" s="8"/>
      <c r="I16" s="257" t="s">
        <v>13</v>
      </c>
      <c r="J16" s="61"/>
      <c r="K16" s="61"/>
      <c r="L16" s="62"/>
      <c r="N16" s="253" t="s">
        <v>394</v>
      </c>
    </row>
    <row r="17" spans="8:15" ht="28.9" customHeight="1" thickBot="1" x14ac:dyDescent="0.4">
      <c r="H17" s="8"/>
      <c r="I17" s="257" t="s">
        <v>282</v>
      </c>
      <c r="J17" s="61"/>
      <c r="K17" s="59"/>
      <c r="L17" s="62"/>
      <c r="N17" s="256">
        <v>20</v>
      </c>
      <c r="O17" s="1"/>
    </row>
    <row r="18" spans="8:15" ht="28.9" customHeight="1" thickBot="1" x14ac:dyDescent="0.35">
      <c r="H18" s="8"/>
      <c r="I18" s="257" t="s">
        <v>13</v>
      </c>
      <c r="J18" s="61"/>
      <c r="K18" s="61"/>
      <c r="L18" s="62"/>
    </row>
    <row r="19" spans="8:15" ht="28.9" customHeight="1" thickBot="1" x14ac:dyDescent="0.35">
      <c r="H19" s="8"/>
      <c r="I19" s="257" t="s">
        <v>365</v>
      </c>
      <c r="J19" s="61"/>
      <c r="K19" s="59"/>
      <c r="L19" s="62"/>
    </row>
    <row r="20" spans="8:15" ht="28.9" customHeight="1" thickBot="1" x14ac:dyDescent="0.35">
      <c r="H20" s="8"/>
      <c r="I20" s="257" t="s">
        <v>13</v>
      </c>
      <c r="J20" s="61"/>
      <c r="K20" s="61"/>
      <c r="L20" s="62"/>
    </row>
    <row r="21" spans="8:15" ht="28.9" customHeight="1" thickBot="1" x14ac:dyDescent="0.35">
      <c r="H21" s="8"/>
      <c r="I21" s="257" t="s">
        <v>395</v>
      </c>
      <c r="J21" s="61"/>
      <c r="K21" s="59"/>
      <c r="L21" s="62"/>
    </row>
    <row r="22" spans="8:15" ht="28.9" customHeight="1" x14ac:dyDescent="0.3">
      <c r="H22" s="8"/>
      <c r="I22" s="67"/>
      <c r="J22" s="61"/>
      <c r="K22" s="61"/>
      <c r="L22" s="62"/>
    </row>
    <row r="23" spans="8:15" ht="28.9" customHeight="1" x14ac:dyDescent="0.3">
      <c r="H23" s="8"/>
      <c r="I23" s="69"/>
      <c r="J23" s="61"/>
      <c r="K23" s="251"/>
      <c r="L23" s="62"/>
    </row>
    <row r="24" spans="8:15" ht="28.9" customHeight="1" x14ac:dyDescent="0.3">
      <c r="H24" s="8"/>
      <c r="I24" s="69"/>
      <c r="J24" s="61"/>
      <c r="K24" s="61"/>
      <c r="L24" s="62"/>
    </row>
    <row r="25" spans="8:15" ht="28.9" customHeight="1" x14ac:dyDescent="0.3">
      <c r="H25" s="8"/>
      <c r="I25" s="69"/>
      <c r="J25" s="61"/>
      <c r="K25" s="61"/>
      <c r="L25" s="62"/>
    </row>
    <row r="26" spans="8:15" ht="28.9" customHeight="1" x14ac:dyDescent="0.3">
      <c r="H26" s="8"/>
      <c r="I26" s="69"/>
      <c r="J26" s="61"/>
      <c r="K26" s="61"/>
      <c r="L26" s="62"/>
    </row>
    <row r="27" spans="8:15" ht="28.9" customHeight="1" thickBot="1" x14ac:dyDescent="0.35">
      <c r="H27" s="63"/>
      <c r="I27" s="71"/>
      <c r="J27" s="64"/>
      <c r="K27" s="252"/>
      <c r="L27" s="65"/>
    </row>
    <row r="28" spans="8:15" ht="28.9" customHeight="1" x14ac:dyDescent="0.3"/>
    <row r="29" spans="8:15" ht="28.9" customHeight="1" x14ac:dyDescent="0.3"/>
    <row r="30" spans="8:15" ht="28.9" customHeight="1" x14ac:dyDescent="0.3"/>
    <row r="31" spans="8:15" ht="28.9" customHeight="1" x14ac:dyDescent="0.3"/>
    <row r="32" spans="8:1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8">
    <tabColor rgb="FFFF0000"/>
  </sheetPr>
  <dimension ref="A1:AW66"/>
  <sheetViews>
    <sheetView zoomScale="40" zoomScaleNormal="40" workbookViewId="0">
      <selection activeCell="N29" sqref="N29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27.85546875" style="109" bestFit="1" customWidth="1"/>
    <col min="11" max="11" width="29.5703125" style="109" customWidth="1"/>
    <col min="12" max="12" width="43.7109375" style="109" customWidth="1"/>
    <col min="13" max="13" width="19.28515625" style="109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569</v>
      </c>
      <c r="I12" s="482"/>
      <c r="J12" s="482"/>
      <c r="K12" s="482"/>
      <c r="L12" s="482"/>
      <c r="M12" s="483"/>
    </row>
    <row r="13" spans="1:49" ht="28.9" customHeight="1" x14ac:dyDescent="0.25">
      <c r="H13" s="487"/>
      <c r="I13" s="488"/>
      <c r="J13" s="488"/>
      <c r="K13" s="488"/>
      <c r="L13" s="488"/>
      <c r="M13" s="489"/>
    </row>
    <row r="14" spans="1:49" ht="28.9" customHeight="1" x14ac:dyDescent="0.3">
      <c r="H14" s="92"/>
      <c r="I14" s="81"/>
      <c r="J14" s="81"/>
      <c r="K14" s="81"/>
      <c r="L14" s="81"/>
      <c r="M14" s="93"/>
    </row>
    <row r="15" spans="1:49" ht="28.9" customHeight="1" x14ac:dyDescent="0.4">
      <c r="H15" s="94"/>
      <c r="I15" s="321" t="s">
        <v>368</v>
      </c>
      <c r="J15" s="82"/>
      <c r="K15" s="82"/>
      <c r="L15" s="83"/>
      <c r="M15" s="95"/>
    </row>
    <row r="16" spans="1:49" ht="28.9" customHeight="1" x14ac:dyDescent="0.4">
      <c r="H16" s="94"/>
      <c r="I16" s="322"/>
      <c r="J16" s="82"/>
      <c r="K16" s="82"/>
      <c r="L16" s="84"/>
      <c r="M16" s="95"/>
    </row>
    <row r="17" spans="8:13" ht="28.9" customHeight="1" x14ac:dyDescent="0.4">
      <c r="H17" s="96"/>
      <c r="I17" s="323" t="s">
        <v>369</v>
      </c>
      <c r="J17" s="85"/>
      <c r="K17" s="86"/>
      <c r="L17" s="87"/>
      <c r="M17" s="97"/>
    </row>
    <row r="18" spans="8:13" ht="28.9" customHeight="1" x14ac:dyDescent="0.4">
      <c r="H18" s="96"/>
      <c r="I18" s="323"/>
      <c r="J18" s="85"/>
      <c r="K18" s="86"/>
      <c r="L18" s="86"/>
      <c r="M18" s="97"/>
    </row>
    <row r="19" spans="8:13" ht="28.9" customHeight="1" x14ac:dyDescent="0.4">
      <c r="H19" s="96"/>
      <c r="I19" s="323" t="s">
        <v>357</v>
      </c>
      <c r="J19" s="85"/>
      <c r="K19" s="86"/>
      <c r="L19" s="88"/>
      <c r="M19" s="97"/>
    </row>
    <row r="20" spans="8:13" ht="28.9" customHeight="1" x14ac:dyDescent="0.35">
      <c r="H20" s="96"/>
      <c r="I20" s="324"/>
      <c r="J20" s="86"/>
      <c r="K20" s="86"/>
      <c r="L20" s="86"/>
      <c r="M20" s="97"/>
    </row>
    <row r="21" spans="8:13" ht="28.9" customHeight="1" x14ac:dyDescent="0.4">
      <c r="H21" s="96"/>
      <c r="I21" s="323" t="s">
        <v>36</v>
      </c>
      <c r="J21" s="86"/>
      <c r="K21" s="86"/>
      <c r="L21" s="89"/>
      <c r="M21" s="97"/>
    </row>
    <row r="22" spans="8:13" ht="28.9" customHeight="1" x14ac:dyDescent="0.35">
      <c r="H22" s="96"/>
      <c r="I22" s="324"/>
      <c r="J22" s="86"/>
      <c r="K22" s="86"/>
      <c r="L22" s="86"/>
      <c r="M22" s="97"/>
    </row>
    <row r="23" spans="8:13" ht="28.9" customHeight="1" x14ac:dyDescent="0.4">
      <c r="H23" s="96"/>
      <c r="I23" s="323" t="s">
        <v>35</v>
      </c>
      <c r="J23" s="86"/>
      <c r="K23" s="86"/>
      <c r="L23" s="87"/>
      <c r="M23" s="97"/>
    </row>
    <row r="24" spans="8:13" ht="28.9" customHeight="1" x14ac:dyDescent="0.35">
      <c r="H24" s="96"/>
      <c r="I24" s="324"/>
      <c r="J24" s="86"/>
      <c r="K24" s="86"/>
      <c r="L24" s="86"/>
      <c r="M24" s="97"/>
    </row>
    <row r="25" spans="8:13" ht="28.9" customHeight="1" x14ac:dyDescent="0.3">
      <c r="H25" s="96"/>
      <c r="I25" s="323" t="s">
        <v>370</v>
      </c>
      <c r="J25" s="86"/>
      <c r="K25" s="86"/>
      <c r="L25" s="87"/>
      <c r="M25" s="97"/>
    </row>
    <row r="26" spans="8:13" ht="28.9" customHeight="1" x14ac:dyDescent="0.35">
      <c r="H26" s="96"/>
      <c r="I26" s="324"/>
      <c r="J26" s="86"/>
      <c r="K26" s="90"/>
      <c r="L26" s="90"/>
      <c r="M26" s="98"/>
    </row>
    <row r="27" spans="8:13" ht="28.9" customHeight="1" x14ac:dyDescent="0.3">
      <c r="H27" s="96"/>
      <c r="I27" s="323" t="s">
        <v>371</v>
      </c>
      <c r="J27" s="86"/>
      <c r="K27" s="90"/>
      <c r="L27" s="91"/>
      <c r="M27" s="98"/>
    </row>
    <row r="28" spans="8:13" ht="28.9" customHeight="1" x14ac:dyDescent="0.4">
      <c r="H28" s="94"/>
      <c r="I28" s="322"/>
      <c r="J28" s="82"/>
      <c r="K28" s="82"/>
      <c r="L28" s="84"/>
      <c r="M28" s="95"/>
    </row>
    <row r="29" spans="8:13" ht="28.9" customHeight="1" x14ac:dyDescent="0.4">
      <c r="H29" s="96"/>
      <c r="I29" s="323" t="s">
        <v>372</v>
      </c>
      <c r="J29" s="86"/>
      <c r="K29" s="90"/>
      <c r="L29" s="91"/>
      <c r="M29" s="98"/>
    </row>
    <row r="30" spans="8:13" ht="28.9" customHeight="1" x14ac:dyDescent="0.35">
      <c r="H30" s="96"/>
      <c r="I30" s="324"/>
      <c r="J30" s="86"/>
      <c r="K30" s="90"/>
      <c r="L30" s="90"/>
      <c r="M30" s="98"/>
    </row>
    <row r="31" spans="8:13" ht="28.9" customHeight="1" x14ac:dyDescent="0.4">
      <c r="H31" s="96"/>
      <c r="I31" s="323" t="s">
        <v>373</v>
      </c>
      <c r="J31" s="86"/>
      <c r="K31" s="90"/>
      <c r="L31" s="103"/>
      <c r="M31" s="98"/>
    </row>
    <row r="32" spans="8:13" ht="28.9" customHeight="1" x14ac:dyDescent="0.3">
      <c r="H32" s="96"/>
      <c r="I32" s="86"/>
      <c r="J32" s="86"/>
      <c r="K32" s="90"/>
      <c r="L32" s="90"/>
      <c r="M32" s="98"/>
    </row>
    <row r="33" spans="8:13" ht="28.9" customHeight="1" x14ac:dyDescent="0.3">
      <c r="H33" s="96"/>
      <c r="I33" s="86"/>
      <c r="J33" s="86"/>
      <c r="K33" s="90"/>
      <c r="L33" s="90"/>
      <c r="M33" s="98"/>
    </row>
    <row r="34" spans="8:13" ht="28.9" customHeight="1" x14ac:dyDescent="0.3">
      <c r="H34" s="96"/>
      <c r="I34" s="86"/>
      <c r="J34" s="86"/>
      <c r="K34" s="90"/>
      <c r="L34" s="90"/>
      <c r="M34" s="98"/>
    </row>
    <row r="35" spans="8:13" ht="28.9" customHeight="1" x14ac:dyDescent="0.3">
      <c r="H35" s="96"/>
      <c r="I35" s="86"/>
      <c r="J35" s="86"/>
      <c r="K35" s="90"/>
      <c r="L35" s="90"/>
      <c r="M35" s="98"/>
    </row>
    <row r="36" spans="8:13" ht="28.9" customHeight="1" thickBot="1" x14ac:dyDescent="0.35">
      <c r="H36" s="99"/>
      <c r="I36" s="100"/>
      <c r="J36" s="100"/>
      <c r="K36" s="101"/>
      <c r="L36" s="101"/>
      <c r="M36" s="102"/>
    </row>
    <row r="37" spans="8:13" ht="28.9" customHeight="1" x14ac:dyDescent="0.3"/>
    <row r="38" spans="8:13" ht="28.9" customHeight="1" x14ac:dyDescent="0.3"/>
    <row r="39" spans="8:13" ht="28.9" customHeight="1" x14ac:dyDescent="0.3"/>
    <row r="40" spans="8:13" ht="28.9" customHeight="1" x14ac:dyDescent="0.3"/>
    <row r="41" spans="8:13" ht="28.9" customHeight="1" x14ac:dyDescent="0.3"/>
    <row r="42" spans="8:13" ht="28.9" customHeight="1" x14ac:dyDescent="0.3"/>
    <row r="43" spans="8:13" ht="28.9" customHeight="1" x14ac:dyDescent="0.3"/>
    <row r="44" spans="8:13" ht="28.9" customHeight="1" x14ac:dyDescent="0.3"/>
    <row r="45" spans="8:13" ht="28.9" customHeight="1" x14ac:dyDescent="0.3"/>
    <row r="46" spans="8:13" ht="28.9" customHeight="1" x14ac:dyDescent="0.3"/>
    <row r="47" spans="8:13" ht="28.9" customHeight="1" x14ac:dyDescent="0.3"/>
    <row r="48" spans="8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9">
    <tabColor rgb="FFFF0000"/>
  </sheetPr>
  <dimension ref="A1:AW66"/>
  <sheetViews>
    <sheetView zoomScale="40" zoomScaleNormal="40" workbookViewId="0">
      <selection activeCell="O24" sqref="O24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27.85546875" style="109" bestFit="1" customWidth="1"/>
    <col min="11" max="11" width="29.5703125" style="109" customWidth="1"/>
    <col min="12" max="12" width="40.42578125" style="109" customWidth="1"/>
    <col min="13" max="13" width="19.28515625" style="109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374</v>
      </c>
      <c r="I12" s="482"/>
      <c r="J12" s="482"/>
      <c r="K12" s="482"/>
      <c r="L12" s="482"/>
      <c r="M12" s="483"/>
    </row>
    <row r="13" spans="1:49" ht="28.9" customHeight="1" x14ac:dyDescent="0.25">
      <c r="H13" s="487"/>
      <c r="I13" s="488"/>
      <c r="J13" s="488"/>
      <c r="K13" s="488"/>
      <c r="L13" s="488"/>
      <c r="M13" s="489"/>
    </row>
    <row r="14" spans="1:49" ht="28.9" customHeight="1" x14ac:dyDescent="0.3">
      <c r="H14" s="92"/>
      <c r="I14" s="81"/>
      <c r="J14" s="81"/>
      <c r="K14" s="81"/>
      <c r="L14" s="81"/>
      <c r="M14" s="93"/>
    </row>
    <row r="15" spans="1:49" ht="28.9" customHeight="1" x14ac:dyDescent="0.4">
      <c r="H15" s="94"/>
      <c r="I15" s="321" t="s">
        <v>368</v>
      </c>
      <c r="J15" s="82"/>
      <c r="K15" s="82"/>
      <c r="L15" s="83"/>
      <c r="M15" s="95"/>
    </row>
    <row r="16" spans="1:49" ht="28.9" customHeight="1" x14ac:dyDescent="0.4">
      <c r="H16" s="94"/>
      <c r="I16" s="322"/>
      <c r="J16" s="82"/>
      <c r="K16" s="82"/>
      <c r="L16" s="84"/>
      <c r="M16" s="95"/>
    </row>
    <row r="17" spans="8:13" ht="28.9" customHeight="1" x14ac:dyDescent="0.4">
      <c r="H17" s="96"/>
      <c r="I17" s="323" t="s">
        <v>369</v>
      </c>
      <c r="J17" s="85"/>
      <c r="K17" s="86"/>
      <c r="L17" s="87"/>
      <c r="M17" s="97"/>
    </row>
    <row r="18" spans="8:13" ht="28.9" customHeight="1" x14ac:dyDescent="0.4">
      <c r="H18" s="96"/>
      <c r="I18" s="323"/>
      <c r="J18" s="85"/>
      <c r="K18" s="86"/>
      <c r="L18" s="86"/>
      <c r="M18" s="97"/>
    </row>
    <row r="19" spans="8:13" ht="28.9" customHeight="1" x14ac:dyDescent="0.4">
      <c r="H19" s="96"/>
      <c r="I19" s="323" t="s">
        <v>357</v>
      </c>
      <c r="J19" s="85"/>
      <c r="K19" s="86"/>
      <c r="L19" s="88"/>
      <c r="M19" s="97"/>
    </row>
    <row r="20" spans="8:13" ht="28.9" customHeight="1" x14ac:dyDescent="0.35">
      <c r="H20" s="96"/>
      <c r="I20" s="324"/>
      <c r="J20" s="86"/>
      <c r="K20" s="86"/>
      <c r="L20" s="86"/>
      <c r="M20" s="97"/>
    </row>
    <row r="21" spans="8:13" ht="28.9" customHeight="1" x14ac:dyDescent="0.4">
      <c r="H21" s="96"/>
      <c r="I21" s="323" t="s">
        <v>36</v>
      </c>
      <c r="J21" s="86"/>
      <c r="K21" s="86"/>
      <c r="L21" s="89"/>
      <c r="M21" s="97"/>
    </row>
    <row r="22" spans="8:13" ht="28.9" customHeight="1" x14ac:dyDescent="0.35">
      <c r="H22" s="96"/>
      <c r="I22" s="324"/>
      <c r="J22" s="86"/>
      <c r="K22" s="86"/>
      <c r="L22" s="86"/>
      <c r="M22" s="97"/>
    </row>
    <row r="23" spans="8:13" ht="28.9" customHeight="1" x14ac:dyDescent="0.4">
      <c r="H23" s="96"/>
      <c r="I23" s="323" t="s">
        <v>35</v>
      </c>
      <c r="J23" s="86"/>
      <c r="K23" s="86"/>
      <c r="L23" s="87"/>
      <c r="M23" s="97"/>
    </row>
    <row r="24" spans="8:13" ht="28.9" customHeight="1" x14ac:dyDescent="0.35">
      <c r="H24" s="96"/>
      <c r="I24" s="324"/>
      <c r="J24" s="86"/>
      <c r="K24" s="86"/>
      <c r="L24" s="86"/>
      <c r="M24" s="97"/>
    </row>
    <row r="25" spans="8:13" ht="28.9" customHeight="1" x14ac:dyDescent="0.3">
      <c r="H25" s="96"/>
      <c r="I25" s="323" t="s">
        <v>370</v>
      </c>
      <c r="J25" s="86"/>
      <c r="K25" s="86"/>
      <c r="L25" s="87"/>
      <c r="M25" s="97"/>
    </row>
    <row r="26" spans="8:13" ht="28.9" customHeight="1" x14ac:dyDescent="0.35">
      <c r="H26" s="96"/>
      <c r="I26" s="324"/>
      <c r="J26" s="86"/>
      <c r="K26" s="90"/>
      <c r="L26" s="90"/>
      <c r="M26" s="98"/>
    </row>
    <row r="27" spans="8:13" ht="28.9" customHeight="1" x14ac:dyDescent="0.3">
      <c r="H27" s="96"/>
      <c r="I27" s="323" t="s">
        <v>371</v>
      </c>
      <c r="J27" s="86"/>
      <c r="K27" s="90"/>
      <c r="L27" s="91"/>
      <c r="M27" s="98"/>
    </row>
    <row r="28" spans="8:13" ht="28.9" customHeight="1" x14ac:dyDescent="0.4">
      <c r="H28" s="94"/>
      <c r="I28" s="322"/>
      <c r="J28" s="82"/>
      <c r="K28" s="82"/>
      <c r="L28" s="84"/>
      <c r="M28" s="95"/>
    </row>
    <row r="29" spans="8:13" ht="28.9" customHeight="1" x14ac:dyDescent="0.4">
      <c r="H29" s="96"/>
      <c r="I29" s="323" t="s">
        <v>372</v>
      </c>
      <c r="J29" s="86"/>
      <c r="K29" s="90"/>
      <c r="L29" s="91"/>
      <c r="M29" s="98"/>
    </row>
    <row r="30" spans="8:13" ht="28.9" customHeight="1" x14ac:dyDescent="0.35">
      <c r="H30" s="96"/>
      <c r="I30" s="324"/>
      <c r="J30" s="86"/>
      <c r="K30" s="90"/>
      <c r="L30" s="90"/>
      <c r="M30" s="98"/>
    </row>
    <row r="31" spans="8:13" ht="28.9" customHeight="1" x14ac:dyDescent="0.4">
      <c r="H31" s="96"/>
      <c r="I31" s="323" t="s">
        <v>373</v>
      </c>
      <c r="J31" s="86"/>
      <c r="K31" s="90"/>
      <c r="L31" s="103"/>
      <c r="M31" s="98"/>
    </row>
    <row r="32" spans="8:13" ht="28.9" customHeight="1" x14ac:dyDescent="0.3">
      <c r="H32" s="96"/>
      <c r="I32" s="86"/>
      <c r="J32" s="86"/>
      <c r="K32" s="90"/>
      <c r="L32" s="90"/>
      <c r="M32" s="98"/>
    </row>
    <row r="33" spans="8:13" ht="28.9" customHeight="1" thickBot="1" x14ac:dyDescent="0.35">
      <c r="H33" s="99"/>
      <c r="I33" s="100"/>
      <c r="J33" s="100"/>
      <c r="K33" s="101"/>
      <c r="L33" s="101"/>
      <c r="M33" s="102"/>
    </row>
    <row r="34" spans="8:13" ht="28.9" customHeight="1" x14ac:dyDescent="0.3"/>
    <row r="35" spans="8:13" ht="28.9" customHeight="1" x14ac:dyDescent="0.3"/>
    <row r="36" spans="8:13" ht="28.9" customHeight="1" x14ac:dyDescent="0.3"/>
    <row r="37" spans="8:13" ht="28.9" customHeight="1" x14ac:dyDescent="0.3"/>
    <row r="38" spans="8:13" ht="28.9" customHeight="1" x14ac:dyDescent="0.3"/>
    <row r="39" spans="8:13" ht="28.9" customHeight="1" x14ac:dyDescent="0.3"/>
    <row r="40" spans="8:13" ht="28.9" customHeight="1" x14ac:dyDescent="0.3"/>
    <row r="41" spans="8:13" ht="28.9" customHeight="1" x14ac:dyDescent="0.3"/>
    <row r="42" spans="8:13" ht="28.9" customHeight="1" x14ac:dyDescent="0.3"/>
    <row r="43" spans="8:13" ht="28.9" customHeight="1" x14ac:dyDescent="0.3"/>
    <row r="44" spans="8:13" ht="28.9" customHeight="1" x14ac:dyDescent="0.3"/>
    <row r="45" spans="8:13" ht="28.9" customHeight="1" x14ac:dyDescent="0.3"/>
    <row r="46" spans="8:13" ht="28.9" customHeight="1" x14ac:dyDescent="0.3"/>
    <row r="47" spans="8:13" ht="28.9" customHeight="1" x14ac:dyDescent="0.3"/>
    <row r="48" spans="8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0">
    <tabColor rgb="FFFF0000"/>
  </sheetPr>
  <dimension ref="A1:AW66"/>
  <sheetViews>
    <sheetView zoomScale="40" zoomScaleNormal="40" workbookViewId="0">
      <selection activeCell="I15" sqref="I15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27.85546875" style="109" bestFit="1" customWidth="1"/>
    <col min="11" max="11" width="29.5703125" style="109" customWidth="1"/>
    <col min="12" max="12" width="40.42578125" style="109" customWidth="1"/>
    <col min="13" max="13" width="19.28515625" style="109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570</v>
      </c>
      <c r="I12" s="482"/>
      <c r="J12" s="482"/>
      <c r="K12" s="482"/>
      <c r="L12" s="482"/>
      <c r="M12" s="483"/>
    </row>
    <row r="13" spans="1:49" ht="28.9" customHeight="1" x14ac:dyDescent="0.25">
      <c r="H13" s="487"/>
      <c r="I13" s="488"/>
      <c r="J13" s="488"/>
      <c r="K13" s="488"/>
      <c r="L13" s="488"/>
      <c r="M13" s="489"/>
    </row>
    <row r="14" spans="1:49" ht="28.9" customHeight="1" x14ac:dyDescent="0.3">
      <c r="H14" s="92"/>
      <c r="I14" s="81"/>
      <c r="J14" s="81"/>
      <c r="K14" s="81"/>
      <c r="L14" s="81"/>
      <c r="M14" s="93"/>
    </row>
    <row r="15" spans="1:49" ht="28.9" customHeight="1" x14ac:dyDescent="0.4">
      <c r="H15" s="94"/>
      <c r="I15" s="321" t="s">
        <v>375</v>
      </c>
      <c r="J15" s="322"/>
      <c r="K15" s="82"/>
      <c r="L15" s="83"/>
      <c r="M15" s="95"/>
    </row>
    <row r="16" spans="1:49" ht="28.9" customHeight="1" x14ac:dyDescent="0.4">
      <c r="H16" s="94"/>
      <c r="I16" s="321"/>
      <c r="J16" s="322"/>
      <c r="K16" s="82"/>
      <c r="L16" s="84"/>
      <c r="M16" s="95"/>
    </row>
    <row r="17" spans="8:13" ht="28.9" customHeight="1" x14ac:dyDescent="0.4">
      <c r="H17" s="96"/>
      <c r="I17" s="321" t="s">
        <v>376</v>
      </c>
      <c r="J17" s="323"/>
      <c r="K17" s="86"/>
      <c r="L17" s="87"/>
      <c r="M17" s="97"/>
    </row>
    <row r="18" spans="8:13" ht="28.9" customHeight="1" x14ac:dyDescent="0.4">
      <c r="H18" s="96"/>
      <c r="I18" s="321"/>
      <c r="J18" s="323"/>
      <c r="K18" s="86"/>
      <c r="L18" s="86"/>
      <c r="M18" s="97"/>
    </row>
    <row r="19" spans="8:13" ht="28.9" customHeight="1" x14ac:dyDescent="0.4">
      <c r="H19" s="96"/>
      <c r="I19" s="321" t="s">
        <v>377</v>
      </c>
      <c r="J19" s="323"/>
      <c r="K19" s="86"/>
      <c r="L19" s="88"/>
      <c r="M19" s="97"/>
    </row>
    <row r="20" spans="8:13" ht="28.9" customHeight="1" x14ac:dyDescent="0.4">
      <c r="H20" s="96"/>
      <c r="I20" s="321"/>
      <c r="J20" s="324"/>
      <c r="K20" s="86"/>
      <c r="L20" s="86"/>
      <c r="M20" s="97"/>
    </row>
    <row r="21" spans="8:13" ht="28.9" customHeight="1" x14ac:dyDescent="0.3">
      <c r="H21" s="96"/>
      <c r="I21" s="321" t="s">
        <v>378</v>
      </c>
      <c r="J21" s="324"/>
      <c r="K21" s="86"/>
      <c r="L21" s="89"/>
      <c r="M21" s="97"/>
    </row>
    <row r="22" spans="8:13" ht="28.9" customHeight="1" x14ac:dyDescent="0.35">
      <c r="H22" s="96"/>
      <c r="I22" s="325"/>
      <c r="J22" s="324"/>
      <c r="K22" s="86"/>
      <c r="L22" s="86"/>
      <c r="M22" s="97"/>
    </row>
    <row r="23" spans="8:13" ht="28.9" customHeight="1" x14ac:dyDescent="0.4">
      <c r="H23" s="96"/>
      <c r="I23" s="321" t="s">
        <v>379</v>
      </c>
      <c r="J23" s="324"/>
      <c r="K23" s="86"/>
      <c r="L23" s="87"/>
      <c r="M23" s="97"/>
    </row>
    <row r="24" spans="8:13" ht="28.9" customHeight="1" x14ac:dyDescent="0.35">
      <c r="H24" s="96"/>
      <c r="I24" s="324"/>
      <c r="J24" s="324"/>
      <c r="K24" s="86"/>
      <c r="L24" s="86"/>
      <c r="M24" s="97"/>
    </row>
    <row r="25" spans="8:13" ht="28.9" customHeight="1" x14ac:dyDescent="0.4">
      <c r="H25" s="96"/>
      <c r="I25" s="323"/>
      <c r="J25" s="324"/>
      <c r="K25" s="86"/>
      <c r="L25" s="86"/>
      <c r="M25" s="97"/>
    </row>
    <row r="26" spans="8:13" ht="28.9" customHeight="1" x14ac:dyDescent="0.35">
      <c r="H26" s="96"/>
      <c r="I26" s="324"/>
      <c r="J26" s="324"/>
      <c r="K26" s="90"/>
      <c r="L26" s="90"/>
      <c r="M26" s="98"/>
    </row>
    <row r="27" spans="8:13" ht="28.9" customHeight="1" x14ac:dyDescent="0.4">
      <c r="H27" s="96"/>
      <c r="I27" s="323"/>
      <c r="J27" s="324"/>
      <c r="K27" s="90"/>
      <c r="L27" s="90"/>
      <c r="M27" s="98"/>
    </row>
    <row r="28" spans="8:13" ht="28.9" customHeight="1" thickBot="1" x14ac:dyDescent="0.45">
      <c r="H28" s="326"/>
      <c r="I28" s="327"/>
      <c r="J28" s="328"/>
      <c r="K28" s="328"/>
      <c r="L28" s="329"/>
      <c r="M28" s="330"/>
    </row>
    <row r="29" spans="8:13" ht="28.9" customHeight="1" x14ac:dyDescent="0.3"/>
    <row r="30" spans="8:13" ht="28.9" customHeight="1" x14ac:dyDescent="0.3"/>
    <row r="31" spans="8:13" ht="28.9" customHeight="1" x14ac:dyDescent="0.3"/>
    <row r="32" spans="8:13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1">
    <tabColor rgb="FFFF0000"/>
  </sheetPr>
  <dimension ref="A1:AW66"/>
  <sheetViews>
    <sheetView zoomScale="40" zoomScaleNormal="40" workbookViewId="0">
      <selection activeCell="I22" sqref="I22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27.85546875" style="109" bestFit="1" customWidth="1"/>
    <col min="11" max="11" width="29.5703125" style="109" customWidth="1"/>
    <col min="12" max="12" width="40.42578125" style="109" customWidth="1"/>
    <col min="13" max="13" width="19.28515625" style="109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382</v>
      </c>
      <c r="I12" s="482"/>
      <c r="J12" s="482"/>
      <c r="K12" s="482"/>
      <c r="L12" s="482"/>
      <c r="M12" s="483"/>
    </row>
    <row r="13" spans="1:49" ht="28.9" customHeight="1" x14ac:dyDescent="0.25">
      <c r="H13" s="487"/>
      <c r="I13" s="488"/>
      <c r="J13" s="488"/>
      <c r="K13" s="488"/>
      <c r="L13" s="488"/>
      <c r="M13" s="489"/>
    </row>
    <row r="14" spans="1:49" ht="28.9" customHeight="1" x14ac:dyDescent="0.3">
      <c r="H14" s="92"/>
      <c r="I14" s="81"/>
      <c r="J14" s="81"/>
      <c r="K14" s="81"/>
      <c r="L14" s="81"/>
      <c r="M14" s="93"/>
    </row>
    <row r="15" spans="1:49" ht="28.9" customHeight="1" x14ac:dyDescent="0.35">
      <c r="H15" s="94"/>
      <c r="I15" s="331" t="s">
        <v>380</v>
      </c>
      <c r="J15" s="322"/>
      <c r="K15" s="82"/>
      <c r="L15" s="83"/>
      <c r="M15" s="95"/>
    </row>
    <row r="16" spans="1:49" ht="28.9" customHeight="1" x14ac:dyDescent="0.4">
      <c r="H16" s="94"/>
      <c r="I16" s="332"/>
      <c r="J16" s="322"/>
      <c r="K16" s="82"/>
      <c r="L16" s="84"/>
      <c r="M16" s="95"/>
    </row>
    <row r="17" spans="8:13" ht="28.9" customHeight="1" x14ac:dyDescent="0.4">
      <c r="H17" s="96"/>
      <c r="I17" s="331" t="s">
        <v>381</v>
      </c>
      <c r="J17" s="323"/>
      <c r="K17" s="86"/>
      <c r="L17" s="87"/>
      <c r="M17" s="97"/>
    </row>
    <row r="18" spans="8:13" ht="28.9" customHeight="1" x14ac:dyDescent="0.4">
      <c r="H18" s="96"/>
      <c r="I18" s="333"/>
      <c r="J18" s="323"/>
      <c r="K18" s="86"/>
      <c r="L18" s="86"/>
      <c r="M18" s="97"/>
    </row>
    <row r="19" spans="8:13" ht="28.9" customHeight="1" x14ac:dyDescent="0.4">
      <c r="H19" s="96"/>
      <c r="I19" s="331" t="s">
        <v>372</v>
      </c>
      <c r="J19" s="323"/>
      <c r="K19" s="86"/>
      <c r="L19" s="88"/>
      <c r="M19" s="97"/>
    </row>
    <row r="20" spans="8:13" ht="28.9" customHeight="1" x14ac:dyDescent="0.35">
      <c r="H20" s="96"/>
      <c r="I20" s="333"/>
      <c r="J20" s="324"/>
      <c r="K20" s="86"/>
      <c r="L20" s="86"/>
      <c r="M20" s="97"/>
    </row>
    <row r="21" spans="8:13" ht="28.9" customHeight="1" x14ac:dyDescent="0.35">
      <c r="H21" s="96"/>
      <c r="I21" s="331" t="s">
        <v>225</v>
      </c>
      <c r="J21" s="324"/>
      <c r="K21" s="86"/>
      <c r="L21" s="89"/>
      <c r="M21" s="97"/>
    </row>
    <row r="22" spans="8:13" ht="28.9" customHeight="1" x14ac:dyDescent="0.35">
      <c r="H22" s="96"/>
      <c r="I22" s="325"/>
      <c r="J22" s="324"/>
      <c r="K22" s="86"/>
      <c r="L22" s="86"/>
      <c r="M22" s="97"/>
    </row>
    <row r="23" spans="8:13" ht="28.9" customHeight="1" x14ac:dyDescent="0.4">
      <c r="H23" s="96"/>
      <c r="I23" s="321"/>
      <c r="J23" s="324"/>
      <c r="K23" s="86"/>
      <c r="L23" s="86"/>
      <c r="M23" s="97"/>
    </row>
    <row r="24" spans="8:13" ht="28.9" customHeight="1" x14ac:dyDescent="0.35">
      <c r="H24" s="96"/>
      <c r="I24" s="324"/>
      <c r="J24" s="324"/>
      <c r="K24" s="86"/>
      <c r="L24" s="86"/>
      <c r="M24" s="97"/>
    </row>
    <row r="25" spans="8:13" ht="28.9" customHeight="1" x14ac:dyDescent="0.4">
      <c r="H25" s="96"/>
      <c r="I25" s="323"/>
      <c r="J25" s="324"/>
      <c r="K25" s="86"/>
      <c r="L25" s="86"/>
      <c r="M25" s="97"/>
    </row>
    <row r="26" spans="8:13" ht="28.9" customHeight="1" x14ac:dyDescent="0.35">
      <c r="H26" s="96"/>
      <c r="I26" s="324"/>
      <c r="J26" s="324"/>
      <c r="K26" s="90"/>
      <c r="L26" s="90"/>
      <c r="M26" s="98"/>
    </row>
    <row r="27" spans="8:13" ht="28.9" customHeight="1" thickBot="1" x14ac:dyDescent="0.45">
      <c r="H27" s="99"/>
      <c r="I27" s="335"/>
      <c r="J27" s="336"/>
      <c r="K27" s="101"/>
      <c r="L27" s="101"/>
      <c r="M27" s="102"/>
    </row>
    <row r="28" spans="8:13" ht="28.9" customHeight="1" x14ac:dyDescent="0.4">
      <c r="H28" s="104"/>
      <c r="I28" s="334"/>
      <c r="J28" s="104"/>
      <c r="K28" s="104"/>
      <c r="L28" s="105"/>
      <c r="M28" s="104"/>
    </row>
    <row r="29" spans="8:13" ht="28.9" customHeight="1" x14ac:dyDescent="0.3"/>
    <row r="30" spans="8:13" ht="28.9" customHeight="1" x14ac:dyDescent="0.3"/>
    <row r="31" spans="8:13" ht="28.9" customHeight="1" x14ac:dyDescent="0.3"/>
    <row r="32" spans="8:13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2">
    <tabColor rgb="FFFF0000"/>
  </sheetPr>
  <dimension ref="A1:AW66"/>
  <sheetViews>
    <sheetView zoomScale="40" zoomScaleNormal="40" workbookViewId="0">
      <selection activeCell="I22" sqref="I22"/>
    </sheetView>
  </sheetViews>
  <sheetFormatPr defaultColWidth="8.85546875" defaultRowHeight="15" x14ac:dyDescent="0.25"/>
  <cols>
    <col min="1" max="4" width="8.85546875" style="109"/>
    <col min="5" max="5" width="32.85546875" style="109" customWidth="1"/>
    <col min="6" max="6" width="10.42578125" style="109" bestFit="1" customWidth="1"/>
    <col min="7" max="7" width="14.28515625" style="109" bestFit="1" customWidth="1"/>
    <col min="8" max="8" width="20.42578125" style="109" bestFit="1" customWidth="1"/>
    <col min="9" max="9" width="22.85546875" style="109" bestFit="1" customWidth="1"/>
    <col min="10" max="10" width="27.85546875" style="109" bestFit="1" customWidth="1"/>
    <col min="11" max="11" width="29.5703125" style="109" customWidth="1"/>
    <col min="12" max="12" width="40.42578125" style="109" customWidth="1"/>
    <col min="13" max="13" width="19.28515625" style="109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25">
      <c r="E11" s="161" t="s">
        <v>380</v>
      </c>
      <c r="F11" s="161" t="s">
        <v>381</v>
      </c>
      <c r="G11" s="161" t="s">
        <v>372</v>
      </c>
      <c r="H11" s="161" t="s">
        <v>225</v>
      </c>
    </row>
    <row r="12" spans="1:49" ht="28.9" customHeight="1" x14ac:dyDescent="0.4">
      <c r="H12" s="104"/>
      <c r="I12" s="334"/>
      <c r="J12" s="104"/>
      <c r="K12" s="104"/>
      <c r="L12" s="105"/>
      <c r="M12" s="104"/>
    </row>
    <row r="13" spans="1:49" ht="28.9" customHeight="1" x14ac:dyDescent="0.3"/>
    <row r="14" spans="1:49" ht="28.9" customHeight="1" x14ac:dyDescent="0.3"/>
    <row r="15" spans="1:49" ht="28.9" customHeight="1" x14ac:dyDescent="0.3"/>
    <row r="16" spans="1:49" ht="28.9" customHeight="1" x14ac:dyDescent="0.3"/>
    <row r="17" ht="28.9" customHeight="1" x14ac:dyDescent="0.3"/>
    <row r="18" ht="28.9" customHeight="1" x14ac:dyDescent="0.3"/>
    <row r="19" ht="28.9" customHeight="1" x14ac:dyDescent="0.3"/>
    <row r="20" ht="28.9" customHeight="1" x14ac:dyDescent="0.3"/>
    <row r="21" ht="28.9" customHeight="1" x14ac:dyDescent="0.3"/>
    <row r="22" ht="28.9" customHeight="1" x14ac:dyDescent="0.3"/>
    <row r="23" ht="28.9" customHeight="1" x14ac:dyDescent="0.3"/>
    <row r="24" ht="28.9" customHeight="1" x14ac:dyDescent="0.3"/>
    <row r="25" ht="28.9" customHeight="1" x14ac:dyDescent="0.3"/>
    <row r="26" ht="28.9" customHeight="1" x14ac:dyDescent="0.3"/>
    <row r="27" ht="28.9" customHeight="1" x14ac:dyDescent="0.3"/>
    <row r="28" ht="28.9" customHeight="1" x14ac:dyDescent="0.3"/>
    <row r="29" ht="28.9" customHeight="1" x14ac:dyDescent="0.3"/>
    <row r="30" ht="28.9" customHeight="1" x14ac:dyDescent="0.3"/>
    <row r="31" ht="28.9" customHeight="1" x14ac:dyDescent="0.3"/>
    <row r="32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3">
    <tabColor rgb="FFFF0000"/>
  </sheetPr>
  <dimension ref="A1:AW66"/>
  <sheetViews>
    <sheetView zoomScale="40" zoomScaleNormal="40" workbookViewId="0">
      <selection activeCell="E17" sqref="E17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27.85546875" style="109" bestFit="1" customWidth="1"/>
    <col min="11" max="11" width="29.5703125" style="109" customWidth="1"/>
    <col min="12" max="12" width="43.7109375" style="109" customWidth="1"/>
    <col min="13" max="13" width="19.28515625" style="109" customWidth="1"/>
    <col min="14" max="14" width="47.85546875" style="109" bestFit="1" customWidth="1"/>
    <col min="15" max="15" width="29.28515625" style="109" customWidth="1"/>
    <col min="16" max="16" width="73.425781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481" t="s">
        <v>387</v>
      </c>
      <c r="I12" s="482"/>
      <c r="J12" s="482"/>
      <c r="K12" s="482"/>
      <c r="L12" s="482"/>
      <c r="M12" s="483"/>
    </row>
    <row r="13" spans="1:49" ht="28.9" customHeight="1" x14ac:dyDescent="0.25">
      <c r="H13" s="487"/>
      <c r="I13" s="488"/>
      <c r="J13" s="488"/>
      <c r="K13" s="488"/>
      <c r="L13" s="488"/>
      <c r="M13" s="489"/>
    </row>
    <row r="14" spans="1:49" ht="28.9" customHeight="1" x14ac:dyDescent="0.3">
      <c r="H14" s="92"/>
      <c r="I14" s="81"/>
      <c r="J14" s="81"/>
      <c r="K14" s="81"/>
      <c r="L14" s="81"/>
      <c r="M14" s="93"/>
    </row>
    <row r="15" spans="1:49" ht="28.9" customHeight="1" x14ac:dyDescent="0.3">
      <c r="H15" s="94"/>
      <c r="I15" s="176" t="s">
        <v>383</v>
      </c>
      <c r="J15" s="82"/>
      <c r="K15" s="82"/>
      <c r="L15" s="83"/>
      <c r="M15" s="95"/>
    </row>
    <row r="16" spans="1:49" ht="28.9" customHeight="1" x14ac:dyDescent="0.3">
      <c r="H16" s="94"/>
      <c r="I16" s="176"/>
      <c r="J16" s="82"/>
      <c r="K16" s="82"/>
      <c r="L16" s="84"/>
      <c r="M16" s="95"/>
    </row>
    <row r="17" spans="8:13" ht="28.9" customHeight="1" x14ac:dyDescent="0.3">
      <c r="H17" s="96"/>
      <c r="I17" s="176" t="s">
        <v>368</v>
      </c>
      <c r="J17" s="85"/>
      <c r="K17" s="86"/>
      <c r="L17" s="87"/>
      <c r="M17" s="97"/>
    </row>
    <row r="18" spans="8:13" ht="28.9" customHeight="1" x14ac:dyDescent="0.3">
      <c r="H18" s="96"/>
      <c r="I18" s="176"/>
      <c r="J18" s="85"/>
      <c r="K18" s="86"/>
      <c r="L18" s="86"/>
      <c r="M18" s="97"/>
    </row>
    <row r="19" spans="8:13" ht="28.9" customHeight="1" x14ac:dyDescent="0.3">
      <c r="H19" s="96"/>
      <c r="I19" s="176" t="s">
        <v>384</v>
      </c>
      <c r="J19" s="85"/>
      <c r="K19" s="86"/>
      <c r="L19" s="88"/>
      <c r="M19" s="97"/>
    </row>
    <row r="20" spans="8:13" ht="28.9" customHeight="1" x14ac:dyDescent="0.3">
      <c r="H20" s="96"/>
      <c r="I20" s="176"/>
      <c r="J20" s="86"/>
      <c r="K20" s="86"/>
      <c r="L20" s="86"/>
      <c r="M20" s="97"/>
    </row>
    <row r="21" spans="8:13" ht="28.9" customHeight="1" x14ac:dyDescent="0.3">
      <c r="H21" s="96"/>
      <c r="I21" s="176" t="s">
        <v>35</v>
      </c>
      <c r="J21" s="86"/>
      <c r="K21" s="86"/>
      <c r="L21" s="89"/>
      <c r="M21" s="97"/>
    </row>
    <row r="22" spans="8:13" ht="28.9" customHeight="1" x14ac:dyDescent="0.3">
      <c r="H22" s="96"/>
      <c r="I22" s="176"/>
      <c r="J22" s="86"/>
      <c r="K22" s="86"/>
      <c r="L22" s="86"/>
      <c r="M22" s="97"/>
    </row>
    <row r="23" spans="8:13" ht="28.9" customHeight="1" x14ac:dyDescent="0.3">
      <c r="H23" s="96"/>
      <c r="I23" s="176" t="s">
        <v>372</v>
      </c>
      <c r="J23" s="86"/>
      <c r="K23" s="86"/>
      <c r="L23" s="87"/>
      <c r="M23" s="97"/>
    </row>
    <row r="24" spans="8:13" ht="28.9" customHeight="1" x14ac:dyDescent="0.3">
      <c r="H24" s="96"/>
      <c r="I24" s="338"/>
      <c r="J24" s="86"/>
      <c r="K24" s="86"/>
      <c r="L24" s="86"/>
      <c r="M24" s="97"/>
    </row>
    <row r="25" spans="8:13" ht="28.9" customHeight="1" x14ac:dyDescent="0.3">
      <c r="H25" s="96"/>
      <c r="I25" s="176" t="s">
        <v>385</v>
      </c>
      <c r="J25" s="86"/>
      <c r="K25" s="86"/>
      <c r="L25" s="87"/>
      <c r="M25" s="97"/>
    </row>
    <row r="26" spans="8:13" ht="28.9" customHeight="1" x14ac:dyDescent="0.3">
      <c r="H26" s="96"/>
      <c r="I26" s="176"/>
      <c r="J26" s="86"/>
      <c r="K26" s="90"/>
      <c r="L26" s="90"/>
      <c r="M26" s="98"/>
    </row>
    <row r="27" spans="8:13" ht="28.9" customHeight="1" x14ac:dyDescent="0.3">
      <c r="H27" s="96"/>
      <c r="I27" s="176" t="s">
        <v>225</v>
      </c>
      <c r="J27" s="86"/>
      <c r="K27" s="90"/>
      <c r="L27" s="91"/>
      <c r="M27" s="98"/>
    </row>
    <row r="28" spans="8:13" ht="28.9" customHeight="1" x14ac:dyDescent="0.3">
      <c r="H28" s="94"/>
      <c r="I28" s="176"/>
      <c r="J28" s="82"/>
      <c r="K28" s="82"/>
      <c r="L28" s="84"/>
      <c r="M28" s="95"/>
    </row>
    <row r="29" spans="8:13" ht="28.9" customHeight="1" x14ac:dyDescent="0.3">
      <c r="H29" s="96"/>
      <c r="I29" s="176" t="s">
        <v>386</v>
      </c>
      <c r="J29" s="86"/>
      <c r="K29" s="90"/>
      <c r="L29" s="91"/>
      <c r="M29" s="98"/>
    </row>
    <row r="30" spans="8:13" ht="28.9" customHeight="1" x14ac:dyDescent="0.35">
      <c r="H30" s="96"/>
      <c r="I30" s="324"/>
      <c r="J30" s="86"/>
      <c r="K30" s="90"/>
      <c r="L30" s="90"/>
      <c r="M30" s="98"/>
    </row>
    <row r="31" spans="8:13" ht="28.9" customHeight="1" x14ac:dyDescent="0.4">
      <c r="H31" s="96"/>
      <c r="I31" s="323"/>
      <c r="J31" s="86"/>
      <c r="K31" s="90"/>
      <c r="L31" s="337"/>
      <c r="M31" s="98"/>
    </row>
    <row r="32" spans="8:13" ht="28.9" customHeight="1" x14ac:dyDescent="0.3">
      <c r="H32" s="96"/>
      <c r="I32" s="86"/>
      <c r="J32" s="86"/>
      <c r="K32" s="90"/>
      <c r="L32" s="90"/>
      <c r="M32" s="98"/>
    </row>
    <row r="33" spans="8:13" ht="28.9" customHeight="1" x14ac:dyDescent="0.3">
      <c r="H33" s="96"/>
      <c r="I33" s="86"/>
      <c r="J33" s="86"/>
      <c r="K33" s="90"/>
      <c r="L33" s="90"/>
      <c r="M33" s="98"/>
    </row>
    <row r="34" spans="8:13" ht="28.9" customHeight="1" x14ac:dyDescent="0.3">
      <c r="H34" s="96"/>
      <c r="I34" s="86"/>
      <c r="J34" s="86"/>
      <c r="K34" s="90"/>
      <c r="L34" s="90"/>
      <c r="M34" s="98"/>
    </row>
    <row r="35" spans="8:13" ht="28.9" customHeight="1" thickBot="1" x14ac:dyDescent="0.35">
      <c r="H35" s="99"/>
      <c r="I35" s="100"/>
      <c r="J35" s="100"/>
      <c r="K35" s="101"/>
      <c r="L35" s="101"/>
      <c r="M35" s="102"/>
    </row>
    <row r="36" spans="8:13" ht="28.9" customHeight="1" x14ac:dyDescent="0.3">
      <c r="H36" s="106"/>
      <c r="I36" s="106"/>
      <c r="J36" s="106"/>
      <c r="K36" s="107"/>
      <c r="L36" s="107"/>
      <c r="M36" s="107"/>
    </row>
    <row r="37" spans="8:13" ht="28.9" customHeight="1" x14ac:dyDescent="0.3"/>
    <row r="38" spans="8:13" ht="28.9" customHeight="1" x14ac:dyDescent="0.3"/>
    <row r="39" spans="8:13" ht="28.9" customHeight="1" x14ac:dyDescent="0.3"/>
    <row r="40" spans="8:13" ht="28.9" customHeight="1" x14ac:dyDescent="0.3"/>
    <row r="41" spans="8:13" ht="28.9" customHeight="1" x14ac:dyDescent="0.3"/>
    <row r="42" spans="8:13" ht="28.9" customHeight="1" x14ac:dyDescent="0.3"/>
    <row r="43" spans="8:13" ht="28.9" customHeight="1" x14ac:dyDescent="0.3"/>
    <row r="44" spans="8:13" ht="28.9" customHeight="1" x14ac:dyDescent="0.3"/>
    <row r="45" spans="8:13" ht="28.9" customHeight="1" x14ac:dyDescent="0.3"/>
    <row r="46" spans="8:13" ht="28.9" customHeight="1" x14ac:dyDescent="0.3"/>
    <row r="47" spans="8:13" ht="28.9" customHeight="1" x14ac:dyDescent="0.3"/>
    <row r="48" spans="8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4">
    <tabColor rgb="FFF13FF5"/>
  </sheetPr>
  <dimension ref="A1:AW66"/>
  <sheetViews>
    <sheetView zoomScale="40" zoomScaleNormal="40" workbookViewId="0">
      <selection activeCell="G17" sqref="G17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10.140625" style="109" bestFit="1" customWidth="1"/>
    <col min="11" max="11" width="22.42578125" style="109" customWidth="1"/>
    <col min="12" max="12" width="15.28515625" style="109" customWidth="1"/>
    <col min="13" max="13" width="21" style="109" bestFit="1" customWidth="1"/>
    <col min="14" max="14" width="10.140625" style="109" bestFit="1" customWidth="1"/>
    <col min="15" max="15" width="21" style="109" bestFit="1" customWidth="1"/>
    <col min="16" max="16" width="25.1406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25">
      <c r="C10" s="497" t="s">
        <v>571</v>
      </c>
      <c r="D10" s="498"/>
      <c r="E10" s="498"/>
      <c r="F10" s="498"/>
      <c r="G10" s="499"/>
      <c r="I10" s="349" t="s">
        <v>586</v>
      </c>
      <c r="J10" s="161" t="s">
        <v>587</v>
      </c>
      <c r="K10" s="161" t="s">
        <v>588</v>
      </c>
      <c r="M10" s="350" t="s">
        <v>596</v>
      </c>
      <c r="N10" s="350" t="s">
        <v>587</v>
      </c>
      <c r="O10" s="161" t="s">
        <v>588</v>
      </c>
      <c r="Q10" s="502" t="s">
        <v>601</v>
      </c>
      <c r="R10" s="502"/>
      <c r="S10" s="502"/>
      <c r="T10" s="502"/>
      <c r="U10" s="502"/>
      <c r="V10" s="502"/>
      <c r="W10" s="502"/>
      <c r="X10" s="502"/>
    </row>
    <row r="11" spans="1:49" ht="28.9" customHeight="1" x14ac:dyDescent="0.4">
      <c r="C11" s="496" t="s">
        <v>572</v>
      </c>
      <c r="D11" s="496"/>
      <c r="E11" s="496"/>
      <c r="F11" s="496"/>
      <c r="G11" s="341" t="s">
        <v>573</v>
      </c>
      <c r="I11" s="345" t="s">
        <v>589</v>
      </c>
      <c r="J11" s="346">
        <v>1</v>
      </c>
      <c r="K11" s="347" t="e">
        <f>('[3]N_RHREF '!#REF!-'[3]N_RHREF '!#REF!-'[3]N_RHREF '!#REF!-'[3]N_RHREF '!#REF!-'[3]N_RHREF '!#REF!)</f>
        <v>#REF!</v>
      </c>
      <c r="M11" s="351" t="s">
        <v>589</v>
      </c>
      <c r="N11" s="351"/>
      <c r="O11" s="352" t="e">
        <f>'[3]N_RHREF '!#REF!</f>
        <v>#REF!</v>
      </c>
      <c r="Q11" s="500" t="s">
        <v>602</v>
      </c>
      <c r="R11" s="500"/>
      <c r="S11" s="500"/>
      <c r="T11" s="500"/>
      <c r="U11" s="500"/>
      <c r="V11" s="500"/>
      <c r="W11" s="503"/>
      <c r="X11" s="504"/>
    </row>
    <row r="12" spans="1:49" ht="28.9" customHeight="1" x14ac:dyDescent="0.3">
      <c r="C12" s="495" t="s">
        <v>574</v>
      </c>
      <c r="D12" s="495"/>
      <c r="E12" s="495"/>
      <c r="F12" s="495"/>
      <c r="G12" s="340">
        <v>450</v>
      </c>
      <c r="I12" s="345" t="s">
        <v>590</v>
      </c>
      <c r="J12" s="346">
        <v>4</v>
      </c>
      <c r="K12" s="347" t="e">
        <f>'[3]N_RHREF '!#REF!</f>
        <v>#REF!</v>
      </c>
      <c r="M12" s="351" t="s">
        <v>596</v>
      </c>
      <c r="N12" s="351"/>
      <c r="O12" s="352" t="e">
        <f>'[3]N_RHREF '!#REF!</f>
        <v>#REF!</v>
      </c>
      <c r="Q12" s="500" t="s">
        <v>603</v>
      </c>
      <c r="R12" s="500"/>
      <c r="S12" s="500"/>
      <c r="T12" s="500"/>
      <c r="U12" s="500"/>
      <c r="V12" s="500"/>
      <c r="W12" s="501">
        <f>(K29*L29)+(K30*L30)+(K31*L31)</f>
        <v>0</v>
      </c>
      <c r="X12" s="501"/>
    </row>
    <row r="13" spans="1:49" ht="28.9" customHeight="1" x14ac:dyDescent="0.3">
      <c r="C13" s="495" t="s">
        <v>575</v>
      </c>
      <c r="D13" s="495"/>
      <c r="E13" s="495"/>
      <c r="F13" s="495"/>
      <c r="G13" s="340">
        <v>4500</v>
      </c>
      <c r="I13" s="345" t="s">
        <v>591</v>
      </c>
      <c r="J13" s="346">
        <v>4</v>
      </c>
      <c r="K13" s="347" t="e">
        <f>'[3]N_RHREF '!#REF!</f>
        <v>#REF!</v>
      </c>
      <c r="Q13" s="500" t="s">
        <v>604</v>
      </c>
      <c r="R13" s="500"/>
      <c r="S13" s="500"/>
      <c r="T13" s="500"/>
      <c r="U13" s="500"/>
      <c r="V13" s="500"/>
      <c r="W13" s="501"/>
      <c r="X13" s="501"/>
    </row>
    <row r="14" spans="1:49" ht="28.9" customHeight="1" x14ac:dyDescent="0.3">
      <c r="C14" s="495" t="s">
        <v>576</v>
      </c>
      <c r="D14" s="495"/>
      <c r="E14" s="495"/>
      <c r="F14" s="495"/>
      <c r="G14" s="340">
        <v>37500</v>
      </c>
      <c r="J14" s="342"/>
      <c r="K14" s="343"/>
      <c r="M14" s="349" t="s">
        <v>597</v>
      </c>
      <c r="N14" s="161" t="s">
        <v>587</v>
      </c>
      <c r="O14" s="161" t="s">
        <v>588</v>
      </c>
      <c r="Q14" s="500" t="s">
        <v>605</v>
      </c>
      <c r="R14" s="500"/>
      <c r="S14" s="500"/>
      <c r="T14" s="500"/>
      <c r="U14" s="500"/>
      <c r="V14" s="500"/>
      <c r="W14" s="501"/>
      <c r="X14" s="501"/>
    </row>
    <row r="15" spans="1:49" ht="28.9" customHeight="1" x14ac:dyDescent="0.35">
      <c r="C15" s="495" t="s">
        <v>577</v>
      </c>
      <c r="D15" s="495"/>
      <c r="E15" s="495"/>
      <c r="F15" s="495"/>
      <c r="G15" s="340"/>
      <c r="I15" s="350" t="s">
        <v>592</v>
      </c>
      <c r="J15" s="350" t="s">
        <v>587</v>
      </c>
      <c r="K15" s="161" t="s">
        <v>588</v>
      </c>
      <c r="M15" s="345" t="s">
        <v>589</v>
      </c>
      <c r="N15" s="346"/>
      <c r="O15" s="347" t="e">
        <f>'[3]N_RHREF '!#REF!</f>
        <v>#REF!</v>
      </c>
    </row>
    <row r="16" spans="1:49" ht="28.9" customHeight="1" x14ac:dyDescent="0.35">
      <c r="C16" s="495" t="s">
        <v>578</v>
      </c>
      <c r="D16" s="495"/>
      <c r="E16" s="495"/>
      <c r="F16" s="495"/>
      <c r="G16" s="340"/>
      <c r="I16" s="351" t="s">
        <v>589</v>
      </c>
      <c r="J16" s="351"/>
      <c r="K16" s="352" t="e">
        <f>'[3]N_RHREF '!#REF!</f>
        <v>#REF!</v>
      </c>
      <c r="M16" s="345" t="s">
        <v>593</v>
      </c>
      <c r="N16" s="346"/>
      <c r="O16" s="347">
        <f>'[3]N_RHREF '!J1</f>
        <v>0</v>
      </c>
    </row>
    <row r="17" spans="3:15" ht="28.9" customHeight="1" x14ac:dyDescent="0.35">
      <c r="C17" s="495" t="s">
        <v>293</v>
      </c>
      <c r="D17" s="495"/>
      <c r="E17" s="495"/>
      <c r="F17" s="495"/>
      <c r="G17" s="340"/>
      <c r="I17" s="351" t="s">
        <v>593</v>
      </c>
      <c r="J17" s="351"/>
      <c r="K17" s="352" t="e">
        <f>'[3]N_RHREF '!#REF!</f>
        <v>#REF!</v>
      </c>
      <c r="M17" s="345" t="s">
        <v>591</v>
      </c>
      <c r="N17" s="346"/>
      <c r="O17" s="347">
        <f>'[3]N_RHREF '!J2</f>
        <v>0</v>
      </c>
    </row>
    <row r="18" spans="3:15" ht="28.9" customHeight="1" x14ac:dyDescent="0.35">
      <c r="C18" s="495" t="s">
        <v>579</v>
      </c>
      <c r="D18" s="495"/>
      <c r="E18" s="495"/>
      <c r="F18" s="495"/>
      <c r="G18" s="340">
        <v>130</v>
      </c>
      <c r="I18" s="351" t="s">
        <v>594</v>
      </c>
      <c r="J18" s="351"/>
      <c r="K18" s="352" t="e">
        <f>'[3]N_RHREF '!#REF!</f>
        <v>#REF!</v>
      </c>
    </row>
    <row r="19" spans="3:15" ht="28.9" customHeight="1" x14ac:dyDescent="0.3">
      <c r="C19" s="495" t="s">
        <v>580</v>
      </c>
      <c r="D19" s="495"/>
      <c r="E19" s="495"/>
      <c r="F19" s="495"/>
      <c r="G19" s="340">
        <v>45000</v>
      </c>
      <c r="J19" s="307"/>
      <c r="K19" s="344"/>
      <c r="M19" s="349" t="s">
        <v>598</v>
      </c>
      <c r="N19" s="161" t="s">
        <v>587</v>
      </c>
      <c r="O19" s="161" t="s">
        <v>588</v>
      </c>
    </row>
    <row r="20" spans="3:15" ht="28.9" customHeight="1" x14ac:dyDescent="0.3">
      <c r="C20" s="495" t="s">
        <v>581</v>
      </c>
      <c r="D20" s="495"/>
      <c r="E20" s="495"/>
      <c r="F20" s="495"/>
      <c r="G20" s="340"/>
      <c r="I20" s="350" t="s">
        <v>595</v>
      </c>
      <c r="J20" s="350" t="s">
        <v>587</v>
      </c>
      <c r="K20" s="161" t="s">
        <v>588</v>
      </c>
      <c r="M20" s="345" t="s">
        <v>589</v>
      </c>
      <c r="N20" s="346"/>
      <c r="O20" s="347">
        <f>'[3]N_RHREF '!J3</f>
        <v>0</v>
      </c>
    </row>
    <row r="21" spans="3:15" ht="28.9" customHeight="1" x14ac:dyDescent="0.35">
      <c r="C21" s="495" t="s">
        <v>582</v>
      </c>
      <c r="D21" s="495"/>
      <c r="E21" s="495"/>
      <c r="F21" s="495"/>
      <c r="G21" s="340"/>
      <c r="I21" s="351" t="s">
        <v>589</v>
      </c>
      <c r="J21" s="351"/>
      <c r="K21" s="352" t="e">
        <f>'[3]N_RHREF '!#REF!</f>
        <v>#REF!</v>
      </c>
      <c r="M21" s="345" t="s">
        <v>599</v>
      </c>
      <c r="N21" s="346"/>
      <c r="O21" s="347">
        <f>'[3]N_RHREF '!J4</f>
        <v>0</v>
      </c>
    </row>
    <row r="22" spans="3:15" ht="28.9" customHeight="1" x14ac:dyDescent="0.35">
      <c r="C22" s="495" t="s">
        <v>583</v>
      </c>
      <c r="D22" s="495"/>
      <c r="E22" s="495"/>
      <c r="F22" s="495"/>
      <c r="G22" s="340">
        <v>2500</v>
      </c>
      <c r="I22" s="351" t="s">
        <v>593</v>
      </c>
      <c r="J22" s="351"/>
      <c r="K22" s="352" t="e">
        <f>'[3]N_RHREF '!#REF!</f>
        <v>#REF!</v>
      </c>
      <c r="M22" s="345" t="s">
        <v>593</v>
      </c>
      <c r="N22" s="346"/>
      <c r="O22" s="347">
        <f>'[3]N_RHREF '!J5</f>
        <v>0</v>
      </c>
    </row>
    <row r="23" spans="3:15" ht="28.9" customHeight="1" x14ac:dyDescent="0.3">
      <c r="C23" s="495" t="s">
        <v>584</v>
      </c>
      <c r="D23" s="495"/>
      <c r="E23" s="495"/>
      <c r="F23" s="495"/>
      <c r="G23" s="340">
        <v>6000</v>
      </c>
      <c r="I23" s="351" t="s">
        <v>594</v>
      </c>
      <c r="J23" s="351"/>
      <c r="K23" s="352" t="e">
        <f>'[3]N_RHREF '!#REF!</f>
        <v>#REF!</v>
      </c>
      <c r="M23" s="351" t="s">
        <v>594</v>
      </c>
      <c r="N23" s="353"/>
      <c r="O23" s="354">
        <f>'[3]N_RHREF '!J6</f>
        <v>0</v>
      </c>
    </row>
    <row r="24" spans="3:15" ht="28.9" customHeight="1" x14ac:dyDescent="0.35">
      <c r="C24" s="495" t="s">
        <v>563</v>
      </c>
      <c r="D24" s="495"/>
      <c r="E24" s="495"/>
      <c r="F24" s="495"/>
      <c r="G24" s="340"/>
    </row>
    <row r="25" spans="3:15" ht="28.9" customHeight="1" x14ac:dyDescent="0.35">
      <c r="C25" s="495" t="s">
        <v>585</v>
      </c>
      <c r="D25" s="495"/>
      <c r="E25" s="495"/>
      <c r="F25" s="495"/>
      <c r="G25" s="340"/>
      <c r="M25" s="349" t="s">
        <v>600</v>
      </c>
      <c r="N25" s="161" t="s">
        <v>587</v>
      </c>
      <c r="O25" s="161" t="s">
        <v>588</v>
      </c>
    </row>
    <row r="26" spans="3:15" ht="28.9" customHeight="1" x14ac:dyDescent="0.35">
      <c r="M26" s="345" t="s">
        <v>589</v>
      </c>
      <c r="N26" s="346"/>
      <c r="O26" s="347">
        <f>'[3]N_RHREF '!J7</f>
        <v>0</v>
      </c>
    </row>
    <row r="27" spans="3:15" ht="28.9" customHeight="1" x14ac:dyDescent="0.35">
      <c r="M27" s="345" t="s">
        <v>599</v>
      </c>
      <c r="N27" s="346"/>
      <c r="O27" s="347">
        <f>'[3]N_RHREF '!J8</f>
        <v>0</v>
      </c>
    </row>
    <row r="28" spans="3:15" ht="28.9" customHeight="1" x14ac:dyDescent="0.35">
      <c r="M28" s="345" t="s">
        <v>591</v>
      </c>
      <c r="N28" s="346"/>
      <c r="O28" s="347">
        <f>'[3]N_RHREF '!J9</f>
        <v>2259.1999999999998</v>
      </c>
    </row>
    <row r="29" spans="3:15" ht="28.9" customHeight="1" x14ac:dyDescent="0.3"/>
    <row r="30" spans="3:15" ht="28.9" customHeight="1" x14ac:dyDescent="0.3"/>
    <row r="31" spans="3:15" ht="28.9" customHeight="1" x14ac:dyDescent="0.3"/>
    <row r="32" spans="3:1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5"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  <mergeCell ref="C21:F21"/>
    <mergeCell ref="C22:F22"/>
    <mergeCell ref="C23:F23"/>
    <mergeCell ref="C24:F24"/>
    <mergeCell ref="C25:F25"/>
    <mergeCell ref="C10:G10"/>
    <mergeCell ref="C15:F15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5">
    <tabColor rgb="FFF13FF5"/>
  </sheetPr>
  <dimension ref="A1:AW66"/>
  <sheetViews>
    <sheetView zoomScale="40" zoomScaleNormal="40" workbookViewId="0">
      <selection activeCell="P35" sqref="P35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15.28515625" style="109" customWidth="1"/>
    <col min="9" max="9" width="22.85546875" style="109" bestFit="1" customWidth="1"/>
    <col min="10" max="10" width="81.7109375" style="109" bestFit="1" customWidth="1"/>
    <col min="11" max="11" width="22.42578125" style="109" customWidth="1"/>
    <col min="12" max="12" width="16.7109375" style="109" bestFit="1" customWidth="1"/>
    <col min="13" max="13" width="21" style="109" bestFit="1" customWidth="1"/>
    <col min="14" max="14" width="10.140625" style="109" bestFit="1" customWidth="1"/>
    <col min="15" max="15" width="21" style="109" bestFit="1" customWidth="1"/>
    <col min="16" max="16" width="25.140625" style="109" customWidth="1"/>
    <col min="17" max="17" width="15.5703125" style="109" customWidth="1"/>
    <col min="18" max="21" width="8.85546875" style="109"/>
    <col min="22" max="22" width="23.42578125" style="109" bestFit="1" customWidth="1"/>
    <col min="23" max="23" width="2.7109375" style="109" bestFit="1" customWidth="1"/>
    <col min="24" max="24" width="51.140625" style="109" customWidth="1"/>
    <col min="25" max="16384" width="8.85546875" style="109"/>
  </cols>
  <sheetData>
    <row r="1" spans="1:49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</row>
    <row r="2" spans="1:49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</row>
    <row r="3" spans="1:49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</row>
    <row r="5" spans="1:49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</row>
    <row r="6" spans="1:49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</row>
    <row r="7" spans="1:49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</row>
    <row r="8" spans="1:49" ht="28.9" customHeight="1" x14ac:dyDescent="0.3"/>
    <row r="9" spans="1:49" ht="28.9" customHeight="1" x14ac:dyDescent="0.3"/>
    <row r="10" spans="1:49" ht="28.9" customHeight="1" x14ac:dyDescent="0.3">
      <c r="J10" s="349" t="s">
        <v>606</v>
      </c>
      <c r="K10" s="161" t="s">
        <v>607</v>
      </c>
      <c r="L10" s="161" t="s">
        <v>608</v>
      </c>
    </row>
    <row r="11" spans="1:49" ht="28.9" customHeight="1" x14ac:dyDescent="0.4">
      <c r="J11" s="351"/>
      <c r="K11" s="367"/>
      <c r="L11" s="368"/>
    </row>
    <row r="12" spans="1:49" ht="28.9" customHeight="1" x14ac:dyDescent="0.4">
      <c r="J12" s="369" t="s">
        <v>609</v>
      </c>
      <c r="K12" s="370"/>
      <c r="L12" s="371"/>
    </row>
    <row r="13" spans="1:49" ht="28.9" customHeight="1" x14ac:dyDescent="0.3">
      <c r="J13" s="356"/>
      <c r="K13" s="357"/>
      <c r="L13" s="358"/>
    </row>
    <row r="14" spans="1:49" ht="28.9" customHeight="1" x14ac:dyDescent="0.3">
      <c r="J14" s="359"/>
      <c r="K14" s="360"/>
      <c r="L14" s="361"/>
    </row>
    <row r="15" spans="1:49" ht="28.9" customHeight="1" x14ac:dyDescent="0.4">
      <c r="J15" s="372" t="s">
        <v>610</v>
      </c>
      <c r="K15" s="355"/>
      <c r="L15" s="339"/>
    </row>
    <row r="16" spans="1:49" ht="28.9" customHeight="1" x14ac:dyDescent="0.4">
      <c r="J16" s="372" t="s">
        <v>611</v>
      </c>
      <c r="K16" s="355"/>
      <c r="L16" s="339"/>
    </row>
    <row r="17" spans="10:12" ht="28.9" customHeight="1" x14ac:dyDescent="0.4">
      <c r="J17" s="373" t="s">
        <v>612</v>
      </c>
      <c r="K17" s="362"/>
      <c r="L17" s="363"/>
    </row>
    <row r="18" spans="10:12" ht="28.9" customHeight="1" x14ac:dyDescent="0.3">
      <c r="J18" s="364"/>
      <c r="K18" s="365"/>
      <c r="L18" s="366"/>
    </row>
    <row r="19" spans="10:12" ht="28.9" customHeight="1" x14ac:dyDescent="0.3">
      <c r="J19" s="505" t="s">
        <v>613</v>
      </c>
      <c r="K19" s="506"/>
      <c r="L19" s="507"/>
    </row>
    <row r="20" spans="10:12" ht="28.9" customHeight="1" x14ac:dyDescent="0.3">
      <c r="J20" s="351" t="s">
        <v>614</v>
      </c>
      <c r="K20" s="367">
        <f>[3]N_CUSTOFIXOEVARIAVEL!Q20</f>
        <v>0</v>
      </c>
      <c r="L20" s="367"/>
    </row>
    <row r="21" spans="10:12" ht="28.9" customHeight="1" x14ac:dyDescent="0.3">
      <c r="J21" s="351" t="s">
        <v>615</v>
      </c>
      <c r="K21" s="367">
        <f>[3]N_CUSTOFIXOEVARIAVEL!Q21</f>
        <v>0</v>
      </c>
      <c r="L21" s="367"/>
    </row>
    <row r="22" spans="10:12" ht="28.9" customHeight="1" x14ac:dyDescent="0.4">
      <c r="J22" s="351" t="s">
        <v>576</v>
      </c>
      <c r="K22" s="367">
        <f>[3]N_CUSTOFIXOEVARIAVEL!Q22</f>
        <v>0</v>
      </c>
      <c r="L22" s="368"/>
    </row>
    <row r="23" spans="10:12" ht="28.9" customHeight="1" x14ac:dyDescent="0.4">
      <c r="J23" s="351" t="s">
        <v>616</v>
      </c>
      <c r="K23" s="367"/>
      <c r="L23" s="368"/>
    </row>
    <row r="24" spans="10:12" ht="28.9" customHeight="1" x14ac:dyDescent="0.35">
      <c r="J24" s="351" t="s">
        <v>617</v>
      </c>
      <c r="K24" s="367"/>
      <c r="L24" s="368"/>
    </row>
    <row r="25" spans="10:12" ht="28.9" customHeight="1" x14ac:dyDescent="0.35">
      <c r="J25" s="351" t="s">
        <v>618</v>
      </c>
      <c r="K25" s="367"/>
      <c r="L25" s="367"/>
    </row>
    <row r="26" spans="10:12" ht="28.9" customHeight="1" x14ac:dyDescent="0.35">
      <c r="J26" s="351" t="s">
        <v>619</v>
      </c>
      <c r="K26" s="374">
        <f>[3]N_CUSTOFIXOEVARIAVEL!Q26</f>
        <v>0</v>
      </c>
      <c r="L26" s="367"/>
    </row>
    <row r="27" spans="10:12" ht="28.9" customHeight="1" x14ac:dyDescent="0.3">
      <c r="J27" s="351" t="s">
        <v>620</v>
      </c>
      <c r="K27" s="367">
        <f>[3]N_CUSTOFIXOEVARIAVEL!Q27</f>
        <v>0</v>
      </c>
      <c r="L27" s="367"/>
    </row>
    <row r="28" spans="10:12" ht="28.9" customHeight="1" x14ac:dyDescent="0.35">
      <c r="J28" s="351" t="s">
        <v>621</v>
      </c>
      <c r="K28" s="367"/>
      <c r="L28" s="367"/>
    </row>
    <row r="29" spans="10:12" ht="28.9" customHeight="1" x14ac:dyDescent="0.35">
      <c r="J29" s="351" t="s">
        <v>622</v>
      </c>
      <c r="K29" s="367"/>
      <c r="L29" s="367"/>
    </row>
    <row r="30" spans="10:12" ht="28.9" customHeight="1" x14ac:dyDescent="0.3">
      <c r="J30" s="351" t="s">
        <v>623</v>
      </c>
      <c r="K30" s="367">
        <f>[3]N_CUSTOFIXOEVARIAVEL!Q30</f>
        <v>0</v>
      </c>
      <c r="L30" s="367"/>
    </row>
    <row r="31" spans="10:12" ht="28.9" customHeight="1" x14ac:dyDescent="0.3">
      <c r="J31" s="351" t="s">
        <v>624</v>
      </c>
      <c r="K31" s="367">
        <f>[3]N_CUSTOFIXOEVARIAVEL!Q31</f>
        <v>0</v>
      </c>
      <c r="L31" s="367"/>
    </row>
    <row r="32" spans="10:12" ht="28.9" customHeight="1" x14ac:dyDescent="0.35">
      <c r="J32" s="351" t="s">
        <v>625</v>
      </c>
      <c r="K32" s="367"/>
      <c r="L32" s="367"/>
    </row>
    <row r="33" spans="10:12" ht="28.9" customHeight="1" x14ac:dyDescent="0.35">
      <c r="J33" s="351" t="s">
        <v>626</v>
      </c>
      <c r="K33" s="367"/>
      <c r="L33" s="367"/>
    </row>
    <row r="34" spans="10:12" ht="28.9" customHeight="1" x14ac:dyDescent="0.3">
      <c r="J34" s="351" t="s">
        <v>627</v>
      </c>
      <c r="K34" s="367"/>
      <c r="L34" s="367"/>
    </row>
    <row r="35" spans="10:12" ht="28.9" customHeight="1" x14ac:dyDescent="0.35">
      <c r="J35" s="351" t="s">
        <v>628</v>
      </c>
      <c r="K35" s="367"/>
      <c r="L35" s="367"/>
    </row>
    <row r="36" spans="10:12" ht="28.9" customHeight="1" x14ac:dyDescent="0.3">
      <c r="J36" s="351" t="s">
        <v>629</v>
      </c>
      <c r="K36" s="367"/>
      <c r="L36" s="367"/>
    </row>
    <row r="37" spans="10:12" ht="28.9" customHeight="1" x14ac:dyDescent="0.35">
      <c r="J37" s="351" t="s">
        <v>630</v>
      </c>
      <c r="K37" s="367"/>
      <c r="L37" s="367"/>
    </row>
    <row r="38" spans="10:12" ht="28.9" customHeight="1" x14ac:dyDescent="0.3">
      <c r="J38" s="351" t="s">
        <v>631</v>
      </c>
      <c r="K38" s="367"/>
      <c r="L38" s="367"/>
    </row>
    <row r="39" spans="10:12" ht="28.9" customHeight="1" x14ac:dyDescent="0.35">
      <c r="J39" s="351" t="s">
        <v>632</v>
      </c>
      <c r="K39" s="367"/>
      <c r="L39" s="367"/>
    </row>
    <row r="40" spans="10:12" ht="28.9" customHeight="1" x14ac:dyDescent="0.3"/>
    <row r="41" spans="10:12" ht="28.9" customHeight="1" x14ac:dyDescent="0.3"/>
    <row r="42" spans="10:12" ht="28.9" customHeight="1" x14ac:dyDescent="0.3"/>
    <row r="43" spans="10:12" ht="28.9" customHeight="1" x14ac:dyDescent="0.3"/>
    <row r="44" spans="10:12" ht="28.9" customHeight="1" x14ac:dyDescent="0.3"/>
    <row r="45" spans="10:12" ht="28.9" customHeight="1" x14ac:dyDescent="0.3"/>
    <row r="46" spans="10:12" ht="28.9" customHeight="1" x14ac:dyDescent="0.3"/>
    <row r="47" spans="10:12" ht="28.9" customHeight="1" x14ac:dyDescent="0.3"/>
    <row r="48" spans="10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>
    <tabColor rgb="FFF13FF5"/>
  </sheetPr>
  <dimension ref="A1:AU66"/>
  <sheetViews>
    <sheetView zoomScale="40" zoomScaleNormal="40" workbookViewId="0">
      <selection activeCell="H29" sqref="H29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23.28515625" style="109" bestFit="1" customWidth="1"/>
    <col min="7" max="7" width="26" style="109" customWidth="1"/>
    <col min="8" max="8" width="32.28515625" style="109" bestFit="1" customWidth="1"/>
    <col min="9" max="9" width="22.85546875" style="109" bestFit="1" customWidth="1"/>
    <col min="10" max="10" width="49.5703125" style="109" customWidth="1"/>
    <col min="11" max="11" width="22.42578125" style="109" customWidth="1"/>
    <col min="12" max="12" width="36.5703125" style="109" bestFit="1" customWidth="1"/>
    <col min="13" max="13" width="21" style="109" bestFit="1" customWidth="1"/>
    <col min="14" max="14" width="25.140625" style="109" customWidth="1"/>
    <col min="15" max="15" width="15.5703125" style="109" customWidth="1"/>
    <col min="16" max="19" width="8.85546875" style="109"/>
    <col min="20" max="20" width="23.42578125" style="109" bestFit="1" customWidth="1"/>
    <col min="21" max="21" width="2.7109375" style="109" bestFit="1" customWidth="1"/>
    <col min="22" max="22" width="51.140625" style="109" customWidth="1"/>
    <col min="23" max="16384" width="8.85546875" style="109"/>
  </cols>
  <sheetData>
    <row r="1" spans="1:47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</row>
    <row r="2" spans="1:47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</row>
    <row r="3" spans="1:47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</row>
    <row r="4" spans="1:47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</row>
    <row r="5" spans="1:47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</row>
    <row r="6" spans="1:47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</row>
    <row r="7" spans="1:47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</row>
    <row r="8" spans="1:47" ht="28.9" customHeight="1" x14ac:dyDescent="0.3"/>
    <row r="9" spans="1:47" ht="28.9" customHeight="1" x14ac:dyDescent="0.3"/>
    <row r="10" spans="1:47" ht="28.9" customHeight="1" x14ac:dyDescent="0.3"/>
    <row r="11" spans="1:47" ht="28.9" customHeight="1" x14ac:dyDescent="0.3">
      <c r="H11" s="349" t="s">
        <v>9</v>
      </c>
      <c r="I11" s="161" t="s">
        <v>587</v>
      </c>
      <c r="J11" s="350" t="s">
        <v>633</v>
      </c>
      <c r="K11" s="376"/>
      <c r="L11" s="349" t="s">
        <v>11</v>
      </c>
      <c r="M11" s="161" t="s">
        <v>587</v>
      </c>
      <c r="N11" s="350" t="s">
        <v>633</v>
      </c>
    </row>
    <row r="12" spans="1:47" ht="28.9" customHeight="1" x14ac:dyDescent="0.4">
      <c r="H12" s="351" t="s">
        <v>3</v>
      </c>
      <c r="I12" s="377">
        <f>[3]N_PRODREQ!N31</f>
        <v>0</v>
      </c>
      <c r="J12" s="367"/>
      <c r="L12" s="351" t="s">
        <v>3</v>
      </c>
      <c r="M12" s="377"/>
      <c r="N12" s="367"/>
    </row>
    <row r="13" spans="1:47" ht="28.9" customHeight="1" x14ac:dyDescent="0.4">
      <c r="H13" s="351" t="s">
        <v>4</v>
      </c>
      <c r="I13" s="377">
        <f>[3]N_PRODREQ!N33</f>
        <v>0</v>
      </c>
      <c r="J13" s="367"/>
      <c r="L13" s="351" t="s">
        <v>4</v>
      </c>
      <c r="M13" s="377"/>
      <c r="N13" s="367"/>
    </row>
    <row r="14" spans="1:47" ht="28.9" customHeight="1" x14ac:dyDescent="0.4">
      <c r="H14" s="351" t="s">
        <v>634</v>
      </c>
      <c r="I14" s="377">
        <f>[3]N_PRODREQ!N35</f>
        <v>0</v>
      </c>
      <c r="J14" s="368"/>
      <c r="L14" s="351" t="s">
        <v>634</v>
      </c>
      <c r="M14" s="377"/>
      <c r="N14" s="368"/>
    </row>
    <row r="15" spans="1:47" ht="28.9" customHeight="1" x14ac:dyDescent="0.4">
      <c r="H15" s="351" t="s">
        <v>635</v>
      </c>
      <c r="I15" s="377">
        <f>[3]N_PRODREQ!N37</f>
        <v>0</v>
      </c>
      <c r="J15" s="368"/>
      <c r="L15" s="351" t="s">
        <v>635</v>
      </c>
      <c r="M15" s="377"/>
      <c r="N15" s="368"/>
    </row>
    <row r="16" spans="1:47" ht="28.9" customHeight="1" x14ac:dyDescent="0.4">
      <c r="H16" s="351" t="s">
        <v>636</v>
      </c>
      <c r="I16" s="377">
        <f>[3]N_PRODREQ!N39</f>
        <v>0</v>
      </c>
      <c r="J16" s="368"/>
      <c r="L16" s="351" t="s">
        <v>636</v>
      </c>
      <c r="M16" s="377"/>
      <c r="N16" s="368"/>
    </row>
    <row r="17" spans="8:14" ht="28.9" customHeight="1" x14ac:dyDescent="0.3"/>
    <row r="18" spans="8:14" ht="28.9" customHeight="1" x14ac:dyDescent="0.3"/>
    <row r="19" spans="8:14" ht="28.9" customHeight="1" x14ac:dyDescent="0.3">
      <c r="H19" s="349" t="s">
        <v>637</v>
      </c>
      <c r="I19" s="161" t="s">
        <v>587</v>
      </c>
      <c r="J19" s="350" t="s">
        <v>633</v>
      </c>
      <c r="K19" s="376"/>
      <c r="L19" s="349" t="s">
        <v>10</v>
      </c>
      <c r="M19" s="161" t="s">
        <v>587</v>
      </c>
      <c r="N19" s="350" t="s">
        <v>633</v>
      </c>
    </row>
    <row r="20" spans="8:14" ht="28.9" customHeight="1" x14ac:dyDescent="0.4">
      <c r="H20" s="351" t="s">
        <v>3</v>
      </c>
      <c r="I20" s="377"/>
      <c r="J20" s="367"/>
      <c r="L20" s="351" t="s">
        <v>3</v>
      </c>
      <c r="M20" s="377"/>
      <c r="N20" s="367"/>
    </row>
    <row r="21" spans="8:14" ht="28.9" customHeight="1" x14ac:dyDescent="0.4">
      <c r="H21" s="351" t="s">
        <v>4</v>
      </c>
      <c r="I21" s="377"/>
      <c r="J21" s="367"/>
      <c r="L21" s="351" t="s">
        <v>4</v>
      </c>
      <c r="M21" s="377"/>
      <c r="N21" s="367"/>
    </row>
    <row r="22" spans="8:14" ht="28.9" customHeight="1" x14ac:dyDescent="0.4">
      <c r="H22" s="351" t="s">
        <v>634</v>
      </c>
      <c r="I22" s="377"/>
      <c r="J22" s="368"/>
      <c r="L22" s="351" t="s">
        <v>634</v>
      </c>
      <c r="M22" s="377"/>
      <c r="N22" s="368"/>
    </row>
    <row r="23" spans="8:14" ht="28.9" customHeight="1" x14ac:dyDescent="0.4">
      <c r="H23" s="351" t="s">
        <v>635</v>
      </c>
      <c r="I23" s="377"/>
      <c r="J23" s="368"/>
      <c r="L23" s="351" t="s">
        <v>635</v>
      </c>
      <c r="M23" s="377"/>
      <c r="N23" s="368"/>
    </row>
    <row r="24" spans="8:14" ht="28.9" customHeight="1" x14ac:dyDescent="0.4">
      <c r="H24" s="351" t="s">
        <v>636</v>
      </c>
      <c r="I24" s="377"/>
      <c r="J24" s="368"/>
      <c r="L24" s="351" t="s">
        <v>636</v>
      </c>
      <c r="M24" s="377"/>
      <c r="N24" s="368"/>
    </row>
    <row r="25" spans="8:14" ht="28.9" customHeight="1" x14ac:dyDescent="0.3"/>
    <row r="26" spans="8:14" ht="28.9" customHeight="1" x14ac:dyDescent="0.3"/>
    <row r="27" spans="8:14" ht="28.9" customHeight="1" x14ac:dyDescent="0.3"/>
    <row r="28" spans="8:14" ht="28.9" customHeight="1" x14ac:dyDescent="0.3"/>
    <row r="29" spans="8:14" ht="28.9" customHeight="1" x14ac:dyDescent="0.3"/>
    <row r="30" spans="8:14" ht="28.9" customHeight="1" x14ac:dyDescent="0.3"/>
    <row r="31" spans="8:14" ht="28.9" customHeight="1" x14ac:dyDescent="0.3"/>
    <row r="32" spans="8:14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7">
    <tabColor rgb="FF171717"/>
  </sheetPr>
  <dimension ref="A1:AU66"/>
  <sheetViews>
    <sheetView zoomScale="40" zoomScaleNormal="40" workbookViewId="0">
      <selection activeCell="G56" sqref="G56"/>
    </sheetView>
  </sheetViews>
  <sheetFormatPr defaultColWidth="8.85546875" defaultRowHeight="15" x14ac:dyDescent="0.25"/>
  <cols>
    <col min="1" max="4" width="8.85546875" style="109"/>
    <col min="5" max="5" width="72.28515625" style="109" bestFit="1" customWidth="1"/>
    <col min="6" max="6" width="41.5703125" style="109" bestFit="1" customWidth="1"/>
    <col min="7" max="7" width="26" style="109" customWidth="1"/>
    <col min="8" max="8" width="32.28515625" style="109" bestFit="1" customWidth="1"/>
    <col min="9" max="9" width="22.85546875" style="109" bestFit="1" customWidth="1"/>
    <col min="10" max="10" width="26.7109375" style="109" customWidth="1"/>
    <col min="11" max="11" width="32.140625" style="109" bestFit="1" customWidth="1"/>
    <col min="12" max="12" width="36.5703125" style="109" bestFit="1" customWidth="1"/>
    <col min="13" max="13" width="21" style="109" bestFit="1" customWidth="1"/>
    <col min="14" max="14" width="25.140625" style="109" customWidth="1"/>
    <col min="15" max="15" width="15.5703125" style="109" customWidth="1"/>
    <col min="16" max="19" width="8.85546875" style="109"/>
    <col min="20" max="20" width="23.42578125" style="109" bestFit="1" customWidth="1"/>
    <col min="21" max="21" width="2.7109375" style="109" bestFit="1" customWidth="1"/>
    <col min="22" max="22" width="51.140625" style="109" customWidth="1"/>
    <col min="23" max="16384" width="8.85546875" style="109"/>
  </cols>
  <sheetData>
    <row r="1" spans="1:47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</row>
    <row r="2" spans="1:47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</row>
    <row r="3" spans="1:47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</row>
    <row r="4" spans="1:47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</row>
    <row r="5" spans="1:47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</row>
    <row r="6" spans="1:47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</row>
    <row r="7" spans="1:47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</row>
    <row r="8" spans="1:47" ht="28.9" customHeight="1" x14ac:dyDescent="0.3"/>
    <row r="9" spans="1:47" ht="28.9" customHeight="1" x14ac:dyDescent="0.3"/>
    <row r="10" spans="1:47" ht="28.9" customHeight="1" x14ac:dyDescent="0.3"/>
    <row r="11" spans="1:47" ht="28.9" customHeight="1" x14ac:dyDescent="0.3"/>
    <row r="12" spans="1:47" ht="28.9" customHeight="1" x14ac:dyDescent="0.3">
      <c r="F12" s="378"/>
      <c r="G12" s="508" t="s">
        <v>283</v>
      </c>
      <c r="H12" s="508"/>
      <c r="K12" s="378"/>
      <c r="L12" s="508" t="s">
        <v>283</v>
      </c>
      <c r="M12" s="508"/>
    </row>
    <row r="13" spans="1:47" ht="28.9" customHeight="1" x14ac:dyDescent="0.25">
      <c r="F13" s="381" t="s">
        <v>282</v>
      </c>
      <c r="G13" s="382" t="s">
        <v>638</v>
      </c>
      <c r="H13" s="382" t="s">
        <v>639</v>
      </c>
      <c r="K13" s="381" t="s">
        <v>640</v>
      </c>
      <c r="L13" s="382" t="s">
        <v>638</v>
      </c>
      <c r="M13" s="382" t="s">
        <v>639</v>
      </c>
    </row>
    <row r="14" spans="1:47" ht="28.9" customHeight="1" x14ac:dyDescent="0.3">
      <c r="F14" s="380" t="s">
        <v>637</v>
      </c>
      <c r="G14" s="383">
        <v>100</v>
      </c>
      <c r="H14" s="384"/>
      <c r="K14" s="380" t="s">
        <v>3</v>
      </c>
      <c r="L14" s="379"/>
      <c r="M14" s="379"/>
    </row>
    <row r="15" spans="1:47" ht="28.9" customHeight="1" x14ac:dyDescent="0.3">
      <c r="F15" s="380" t="s">
        <v>9</v>
      </c>
      <c r="G15" s="384">
        <v>200</v>
      </c>
      <c r="H15" s="384"/>
      <c r="K15" s="380" t="s">
        <v>4</v>
      </c>
      <c r="L15" s="379"/>
      <c r="M15" s="379"/>
    </row>
    <row r="16" spans="1:47" ht="28.9" customHeight="1" x14ac:dyDescent="0.3">
      <c r="F16" s="380" t="s">
        <v>10</v>
      </c>
      <c r="G16" s="384">
        <v>300</v>
      </c>
      <c r="H16" s="384"/>
      <c r="K16" s="380" t="s">
        <v>5</v>
      </c>
      <c r="L16" s="379"/>
      <c r="M16" s="379"/>
    </row>
    <row r="17" spans="6:13" ht="28.9" customHeight="1" x14ac:dyDescent="0.3">
      <c r="F17" s="380" t="s">
        <v>11</v>
      </c>
      <c r="G17" s="384">
        <v>400</v>
      </c>
      <c r="H17" s="384"/>
      <c r="K17" s="380" t="s">
        <v>6</v>
      </c>
      <c r="L17" s="379"/>
      <c r="M17" s="379"/>
    </row>
    <row r="18" spans="6:13" ht="28.9" customHeight="1" x14ac:dyDescent="0.3">
      <c r="K18" s="380" t="s">
        <v>7</v>
      </c>
      <c r="L18" s="273"/>
      <c r="M18" s="273"/>
    </row>
    <row r="19" spans="6:13" ht="28.9" customHeight="1" x14ac:dyDescent="0.3"/>
    <row r="20" spans="6:13" ht="28.9" customHeight="1" x14ac:dyDescent="0.3"/>
    <row r="21" spans="6:13" ht="28.9" customHeight="1" x14ac:dyDescent="0.3"/>
    <row r="22" spans="6:13" ht="28.9" customHeight="1" x14ac:dyDescent="0.3"/>
    <row r="23" spans="6:13" ht="28.9" customHeight="1" x14ac:dyDescent="0.3"/>
    <row r="24" spans="6:13" ht="28.9" customHeight="1" x14ac:dyDescent="0.3"/>
    <row r="25" spans="6:13" ht="28.9" customHeight="1" x14ac:dyDescent="0.3"/>
    <row r="26" spans="6:13" ht="28.9" customHeight="1" x14ac:dyDescent="0.3"/>
    <row r="27" spans="6:13" ht="28.9" customHeight="1" x14ac:dyDescent="0.3"/>
    <row r="28" spans="6:13" ht="28.9" customHeight="1" x14ac:dyDescent="0.3"/>
    <row r="29" spans="6:13" ht="28.9" customHeight="1" x14ac:dyDescent="0.3"/>
    <row r="30" spans="6:13" ht="28.9" customHeight="1" x14ac:dyDescent="0.3"/>
    <row r="31" spans="6:13" ht="28.9" customHeight="1" x14ac:dyDescent="0.3"/>
    <row r="32" spans="6:13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8">
    <tabColor rgb="FF171717"/>
  </sheetPr>
  <dimension ref="A1:AU66"/>
  <sheetViews>
    <sheetView topLeftCell="A29" zoomScale="55" zoomScaleNormal="55" workbookViewId="0">
      <selection activeCell="K38" sqref="K38"/>
    </sheetView>
  </sheetViews>
  <sheetFormatPr defaultColWidth="8.85546875" defaultRowHeight="15" x14ac:dyDescent="0.25"/>
  <cols>
    <col min="1" max="1" width="8.85546875" style="109"/>
    <col min="2" max="2" width="14.28515625" style="109" bestFit="1" customWidth="1"/>
    <col min="3" max="3" width="36.140625" style="109" customWidth="1"/>
    <col min="4" max="4" width="30.28515625" style="109" customWidth="1"/>
    <col min="5" max="5" width="47.7109375" style="109" customWidth="1"/>
    <col min="6" max="6" width="32.140625" style="109" bestFit="1" customWidth="1"/>
    <col min="7" max="7" width="26" style="109" customWidth="1"/>
    <col min="8" max="8" width="49" style="109" customWidth="1"/>
    <col min="9" max="9" width="25.42578125" style="109" bestFit="1" customWidth="1"/>
    <col min="10" max="10" width="21.42578125" style="109" bestFit="1" customWidth="1"/>
    <col min="11" max="11" width="51.7109375" style="109" customWidth="1"/>
    <col min="12" max="12" width="34.7109375" style="109" bestFit="1" customWidth="1"/>
    <col min="13" max="13" width="49.42578125" style="109" customWidth="1"/>
    <col min="14" max="14" width="56.42578125" style="109" customWidth="1"/>
    <col min="15" max="15" width="37" style="109" bestFit="1" customWidth="1"/>
    <col min="16" max="16" width="33" style="109" bestFit="1" customWidth="1"/>
    <col min="17" max="17" width="62.28515625" style="109" bestFit="1" customWidth="1"/>
    <col min="18" max="18" width="21.140625" style="109" bestFit="1" customWidth="1"/>
    <col min="19" max="19" width="8.85546875" style="109"/>
    <col min="20" max="20" width="53" style="109" bestFit="1" customWidth="1"/>
    <col min="21" max="21" width="37" style="109" bestFit="1" customWidth="1"/>
    <col min="22" max="22" width="51.140625" style="109" customWidth="1"/>
    <col min="23" max="16384" width="8.85546875" style="109"/>
  </cols>
  <sheetData>
    <row r="1" spans="1:47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</row>
    <row r="2" spans="1:47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</row>
    <row r="3" spans="1:47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</row>
    <row r="4" spans="1:47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</row>
    <row r="5" spans="1:47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</row>
    <row r="6" spans="1:47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</row>
    <row r="7" spans="1:47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</row>
    <row r="8" spans="1:47" ht="28.9" customHeight="1" x14ac:dyDescent="0.3"/>
    <row r="9" spans="1:47" ht="28.9" customHeight="1" thickBot="1" x14ac:dyDescent="0.35"/>
    <row r="10" spans="1:47" ht="28.9" customHeight="1" thickBot="1" x14ac:dyDescent="0.45">
      <c r="E10" s="509" t="s">
        <v>356</v>
      </c>
      <c r="F10" s="510"/>
      <c r="G10" s="510"/>
      <c r="H10" s="510"/>
      <c r="I10" s="510"/>
      <c r="J10" s="510"/>
      <c r="K10" s="511"/>
      <c r="L10" s="385"/>
      <c r="M10" s="512" t="s">
        <v>396</v>
      </c>
      <c r="N10" s="513"/>
      <c r="O10" s="513"/>
      <c r="P10" s="514"/>
      <c r="Q10" s="260"/>
    </row>
    <row r="11" spans="1:47" ht="28.9" customHeight="1" x14ac:dyDescent="0.3">
      <c r="E11" s="386" t="s">
        <v>285</v>
      </c>
      <c r="F11" s="387" t="s">
        <v>357</v>
      </c>
      <c r="G11" s="387" t="s">
        <v>397</v>
      </c>
      <c r="H11" s="387" t="s">
        <v>291</v>
      </c>
      <c r="I11" s="387" t="s">
        <v>391</v>
      </c>
      <c r="J11" s="387" t="s">
        <v>398</v>
      </c>
      <c r="K11" s="388" t="s">
        <v>399</v>
      </c>
      <c r="L11" s="258"/>
      <c r="M11" s="401" t="s">
        <v>400</v>
      </c>
      <c r="N11" s="375" t="s">
        <v>357</v>
      </c>
      <c r="O11" s="375" t="s">
        <v>292</v>
      </c>
      <c r="P11" s="402" t="s">
        <v>397</v>
      </c>
      <c r="Q11" s="267"/>
    </row>
    <row r="12" spans="1:47" ht="28.9" customHeight="1" x14ac:dyDescent="0.35">
      <c r="E12" s="389" t="s">
        <v>401</v>
      </c>
      <c r="F12" s="390" t="s">
        <v>402</v>
      </c>
      <c r="G12" s="390" t="s">
        <v>403</v>
      </c>
      <c r="H12" s="391" t="s">
        <v>404</v>
      </c>
      <c r="I12" s="390" t="s">
        <v>405</v>
      </c>
      <c r="J12" s="390" t="s">
        <v>406</v>
      </c>
      <c r="K12" s="392" t="s">
        <v>407</v>
      </c>
      <c r="L12" s="258"/>
      <c r="M12" s="403"/>
      <c r="N12" s="404"/>
      <c r="O12" s="404"/>
      <c r="P12" s="405"/>
      <c r="Q12" s="267"/>
    </row>
    <row r="13" spans="1:47" ht="28.9" customHeight="1" x14ac:dyDescent="0.35">
      <c r="E13" s="389" t="s">
        <v>408</v>
      </c>
      <c r="F13" s="390" t="s">
        <v>409</v>
      </c>
      <c r="G13" s="390" t="s">
        <v>410</v>
      </c>
      <c r="H13" s="391" t="s">
        <v>411</v>
      </c>
      <c r="I13" s="390" t="s">
        <v>412</v>
      </c>
      <c r="J13" s="390" t="s">
        <v>406</v>
      </c>
      <c r="K13" s="393" t="s">
        <v>413</v>
      </c>
      <c r="L13" s="258"/>
      <c r="M13" s="403"/>
      <c r="N13" s="404"/>
      <c r="O13" s="404"/>
      <c r="P13" s="405"/>
      <c r="Q13" s="267"/>
    </row>
    <row r="14" spans="1:47" ht="28.9" customHeight="1" x14ac:dyDescent="0.35">
      <c r="E14" s="389" t="s">
        <v>414</v>
      </c>
      <c r="F14" s="390" t="s">
        <v>415</v>
      </c>
      <c r="G14" s="390" t="s">
        <v>416</v>
      </c>
      <c r="H14" s="391" t="s">
        <v>417</v>
      </c>
      <c r="I14" s="390" t="s">
        <v>418</v>
      </c>
      <c r="J14" s="390" t="s">
        <v>406</v>
      </c>
      <c r="K14" s="392" t="s">
        <v>419</v>
      </c>
      <c r="L14" s="258"/>
      <c r="M14" s="403"/>
      <c r="N14" s="404"/>
      <c r="O14" s="404"/>
      <c r="P14" s="405"/>
      <c r="Q14" s="267"/>
    </row>
    <row r="15" spans="1:47" ht="28.9" customHeight="1" x14ac:dyDescent="0.35">
      <c r="E15" s="389" t="s">
        <v>420</v>
      </c>
      <c r="F15" s="390" t="s">
        <v>421</v>
      </c>
      <c r="G15" s="390" t="s">
        <v>422</v>
      </c>
      <c r="H15" s="391" t="s">
        <v>423</v>
      </c>
      <c r="I15" s="390" t="s">
        <v>406</v>
      </c>
      <c r="J15" s="390" t="s">
        <v>406</v>
      </c>
      <c r="K15" s="394" t="s">
        <v>424</v>
      </c>
      <c r="L15" s="1"/>
      <c r="M15" s="403"/>
      <c r="N15" s="404"/>
      <c r="O15" s="404"/>
      <c r="P15" s="405"/>
      <c r="Q15" s="267"/>
    </row>
    <row r="16" spans="1:47" ht="28.9" customHeight="1" x14ac:dyDescent="0.35">
      <c r="E16" s="389" t="s">
        <v>425</v>
      </c>
      <c r="F16" s="390" t="s">
        <v>426</v>
      </c>
      <c r="G16" s="390" t="s">
        <v>427</v>
      </c>
      <c r="H16" s="391" t="s">
        <v>428</v>
      </c>
      <c r="I16" s="390" t="s">
        <v>429</v>
      </c>
      <c r="J16" s="390" t="s">
        <v>406</v>
      </c>
      <c r="K16" s="393" t="s">
        <v>430</v>
      </c>
      <c r="L16" s="1"/>
      <c r="M16" s="403"/>
      <c r="N16" s="404"/>
      <c r="O16" s="404"/>
      <c r="P16" s="405"/>
      <c r="Q16" s="267"/>
    </row>
    <row r="17" spans="5:20" ht="28.9" customHeight="1" x14ac:dyDescent="0.35">
      <c r="E17" s="389" t="s">
        <v>431</v>
      </c>
      <c r="F17" s="390" t="s">
        <v>432</v>
      </c>
      <c r="G17" s="390" t="s">
        <v>433</v>
      </c>
      <c r="H17" s="391" t="s">
        <v>434</v>
      </c>
      <c r="I17" s="390" t="s">
        <v>435</v>
      </c>
      <c r="J17" s="390" t="s">
        <v>406</v>
      </c>
      <c r="K17" s="392" t="s">
        <v>436</v>
      </c>
      <c r="L17" s="1"/>
      <c r="M17" s="403"/>
      <c r="N17" s="404"/>
      <c r="O17" s="404"/>
      <c r="P17" s="405"/>
      <c r="Q17" s="267"/>
    </row>
    <row r="18" spans="5:20" ht="28.9" customHeight="1" x14ac:dyDescent="0.35">
      <c r="E18" s="389" t="s">
        <v>437</v>
      </c>
      <c r="F18" s="390" t="s">
        <v>438</v>
      </c>
      <c r="G18" s="390" t="s">
        <v>439</v>
      </c>
      <c r="H18" s="391" t="s">
        <v>440</v>
      </c>
      <c r="I18" s="390" t="s">
        <v>441</v>
      </c>
      <c r="J18" s="390" t="s">
        <v>406</v>
      </c>
      <c r="K18" s="392" t="s">
        <v>442</v>
      </c>
      <c r="M18" s="403"/>
      <c r="N18" s="404"/>
      <c r="O18" s="404"/>
      <c r="P18" s="405"/>
      <c r="Q18" s="267"/>
    </row>
    <row r="19" spans="5:20" ht="28.9" customHeight="1" x14ac:dyDescent="0.35">
      <c r="E19" s="389" t="s">
        <v>443</v>
      </c>
      <c r="F19" s="390" t="s">
        <v>444</v>
      </c>
      <c r="G19" s="390" t="s">
        <v>445</v>
      </c>
      <c r="H19" s="391" t="s">
        <v>446</v>
      </c>
      <c r="I19" s="390" t="s">
        <v>447</v>
      </c>
      <c r="J19" s="390" t="s">
        <v>406</v>
      </c>
      <c r="K19" s="395" t="s">
        <v>448</v>
      </c>
      <c r="M19" s="403"/>
      <c r="N19" s="404"/>
      <c r="O19" s="404"/>
      <c r="P19" s="405"/>
      <c r="Q19" s="267"/>
    </row>
    <row r="20" spans="5:20" ht="28.9" customHeight="1" x14ac:dyDescent="0.4">
      <c r="E20" s="389" t="s">
        <v>449</v>
      </c>
      <c r="F20" s="390" t="s">
        <v>450</v>
      </c>
      <c r="G20" s="390" t="s">
        <v>451</v>
      </c>
      <c r="H20" s="391" t="s">
        <v>452</v>
      </c>
      <c r="I20" s="390" t="s">
        <v>453</v>
      </c>
      <c r="J20" s="390" t="s">
        <v>454</v>
      </c>
      <c r="K20" s="392" t="s">
        <v>455</v>
      </c>
      <c r="M20" s="403"/>
      <c r="N20" s="404"/>
      <c r="O20" s="404"/>
      <c r="P20" s="405"/>
      <c r="Q20" s="267"/>
    </row>
    <row r="21" spans="5:20" ht="28.9" customHeight="1" x14ac:dyDescent="0.35">
      <c r="E21" s="389" t="s">
        <v>456</v>
      </c>
      <c r="F21" s="390" t="s">
        <v>457</v>
      </c>
      <c r="G21" s="390" t="s">
        <v>458</v>
      </c>
      <c r="H21" s="391" t="s">
        <v>459</v>
      </c>
      <c r="I21" s="390" t="s">
        <v>460</v>
      </c>
      <c r="J21" s="390" t="s">
        <v>454</v>
      </c>
      <c r="K21" s="393" t="s">
        <v>461</v>
      </c>
      <c r="M21" s="403"/>
      <c r="N21" s="404"/>
      <c r="O21" s="404"/>
      <c r="P21" s="405"/>
      <c r="Q21" s="267"/>
    </row>
    <row r="22" spans="5:20" ht="28.9" customHeight="1" x14ac:dyDescent="0.35">
      <c r="E22" s="389" t="s">
        <v>462</v>
      </c>
      <c r="F22" s="390" t="s">
        <v>463</v>
      </c>
      <c r="G22" s="390" t="s">
        <v>464</v>
      </c>
      <c r="H22" s="391" t="s">
        <v>465</v>
      </c>
      <c r="I22" s="390" t="s">
        <v>466</v>
      </c>
      <c r="J22" s="390" t="s">
        <v>454</v>
      </c>
      <c r="K22" s="393" t="s">
        <v>467</v>
      </c>
      <c r="M22" s="403"/>
      <c r="N22" s="404"/>
      <c r="O22" s="404"/>
      <c r="P22" s="405"/>
      <c r="Q22" s="267"/>
    </row>
    <row r="23" spans="5:20" ht="28.9" customHeight="1" x14ac:dyDescent="0.4">
      <c r="E23" s="389" t="s">
        <v>468</v>
      </c>
      <c r="F23" s="390" t="s">
        <v>469</v>
      </c>
      <c r="G23" s="390" t="s">
        <v>470</v>
      </c>
      <c r="H23" s="391" t="s">
        <v>471</v>
      </c>
      <c r="I23" s="390" t="s">
        <v>472</v>
      </c>
      <c r="J23" s="390" t="s">
        <v>454</v>
      </c>
      <c r="K23" s="396" t="s">
        <v>473</v>
      </c>
      <c r="M23" s="403"/>
      <c r="N23" s="404"/>
      <c r="O23" s="404"/>
      <c r="P23" s="405"/>
      <c r="Q23" s="267"/>
    </row>
    <row r="24" spans="5:20" ht="28.9" customHeight="1" thickBot="1" x14ac:dyDescent="0.45">
      <c r="E24" s="389" t="s">
        <v>474</v>
      </c>
      <c r="F24" s="390" t="s">
        <v>475</v>
      </c>
      <c r="G24" s="390" t="s">
        <v>476</v>
      </c>
      <c r="H24" s="391" t="s">
        <v>477</v>
      </c>
      <c r="I24" s="390" t="s">
        <v>460</v>
      </c>
      <c r="J24" s="390" t="s">
        <v>454</v>
      </c>
      <c r="K24" s="392" t="s">
        <v>478</v>
      </c>
      <c r="L24" s="279"/>
      <c r="M24" s="406"/>
      <c r="N24" s="407"/>
      <c r="O24" s="407"/>
      <c r="P24" s="408"/>
    </row>
    <row r="25" spans="5:20" ht="28.9" customHeight="1" x14ac:dyDescent="0.3">
      <c r="E25" s="389" t="s">
        <v>479</v>
      </c>
      <c r="F25" s="390" t="s">
        <v>480</v>
      </c>
      <c r="G25" s="390" t="s">
        <v>481</v>
      </c>
      <c r="H25" s="391" t="s">
        <v>482</v>
      </c>
      <c r="I25" s="390" t="s">
        <v>483</v>
      </c>
      <c r="J25" s="390" t="s">
        <v>454</v>
      </c>
      <c r="K25" s="392" t="s">
        <v>484</v>
      </c>
    </row>
    <row r="26" spans="5:20" ht="28.9" customHeight="1" x14ac:dyDescent="0.3">
      <c r="E26" s="389" t="s">
        <v>485</v>
      </c>
      <c r="F26" s="390" t="s">
        <v>486</v>
      </c>
      <c r="G26" s="390" t="s">
        <v>487</v>
      </c>
      <c r="H26" s="391" t="s">
        <v>488</v>
      </c>
      <c r="I26" s="390" t="s">
        <v>489</v>
      </c>
      <c r="J26" s="390" t="s">
        <v>454</v>
      </c>
      <c r="K26" s="394" t="s">
        <v>490</v>
      </c>
    </row>
    <row r="27" spans="5:20" ht="28.9" customHeight="1" x14ac:dyDescent="0.35">
      <c r="E27" s="389" t="s">
        <v>491</v>
      </c>
      <c r="F27" s="390" t="s">
        <v>492</v>
      </c>
      <c r="G27" s="390" t="s">
        <v>493</v>
      </c>
      <c r="H27" s="391" t="s">
        <v>494</v>
      </c>
      <c r="I27" s="390" t="s">
        <v>495</v>
      </c>
      <c r="J27" s="390" t="s">
        <v>454</v>
      </c>
      <c r="K27" s="392" t="s">
        <v>496</v>
      </c>
    </row>
    <row r="28" spans="5:20" ht="28.9" customHeight="1" x14ac:dyDescent="0.3">
      <c r="E28" s="389" t="s">
        <v>497</v>
      </c>
      <c r="F28" s="390" t="s">
        <v>498</v>
      </c>
      <c r="G28" s="390" t="s">
        <v>499</v>
      </c>
      <c r="H28" s="391" t="s">
        <v>500</v>
      </c>
      <c r="I28" s="390" t="s">
        <v>501</v>
      </c>
      <c r="J28" s="390" t="s">
        <v>502</v>
      </c>
      <c r="K28" s="392" t="s">
        <v>503</v>
      </c>
    </row>
    <row r="29" spans="5:20" ht="28.9" customHeight="1" x14ac:dyDescent="0.35">
      <c r="E29" s="389" t="s">
        <v>504</v>
      </c>
      <c r="F29" s="390" t="s">
        <v>505</v>
      </c>
      <c r="G29" s="390" t="s">
        <v>506</v>
      </c>
      <c r="H29" s="391" t="s">
        <v>507</v>
      </c>
      <c r="I29" s="390" t="s">
        <v>508</v>
      </c>
      <c r="J29" s="390" t="s">
        <v>502</v>
      </c>
      <c r="K29" s="392" t="s">
        <v>509</v>
      </c>
    </row>
    <row r="30" spans="5:20" ht="28.9" customHeight="1" x14ac:dyDescent="0.35">
      <c r="E30" s="389" t="s">
        <v>510</v>
      </c>
      <c r="F30" s="390" t="s">
        <v>511</v>
      </c>
      <c r="G30" s="390" t="s">
        <v>512</v>
      </c>
      <c r="H30" s="391" t="s">
        <v>513</v>
      </c>
      <c r="I30" s="390" t="s">
        <v>514</v>
      </c>
      <c r="J30" s="390" t="s">
        <v>502</v>
      </c>
      <c r="K30" s="392" t="s">
        <v>515</v>
      </c>
    </row>
    <row r="31" spans="5:20" ht="28.9" customHeight="1" x14ac:dyDescent="0.3">
      <c r="E31" s="389" t="s">
        <v>516</v>
      </c>
      <c r="F31" s="390" t="s">
        <v>517</v>
      </c>
      <c r="G31" s="390" t="s">
        <v>518</v>
      </c>
      <c r="H31" s="391" t="s">
        <v>519</v>
      </c>
      <c r="I31" s="390" t="s">
        <v>520</v>
      </c>
      <c r="J31" s="390" t="s">
        <v>502</v>
      </c>
      <c r="K31" s="392" t="s">
        <v>521</v>
      </c>
    </row>
    <row r="32" spans="5:20" ht="28.9" customHeight="1" thickBot="1" x14ac:dyDescent="0.35">
      <c r="E32" s="397" t="s">
        <v>522</v>
      </c>
      <c r="F32" s="398" t="s">
        <v>523</v>
      </c>
      <c r="G32" s="398" t="s">
        <v>524</v>
      </c>
      <c r="H32" s="399" t="s">
        <v>525</v>
      </c>
      <c r="I32" s="398" t="s">
        <v>526</v>
      </c>
      <c r="J32" s="398" t="s">
        <v>502</v>
      </c>
      <c r="K32" s="400" t="s">
        <v>527</v>
      </c>
      <c r="O32"/>
      <c r="P32"/>
      <c r="Q32"/>
      <c r="R32"/>
      <c r="S32"/>
      <c r="T32"/>
    </row>
    <row r="33" spans="2:21" ht="28.9" customHeight="1" x14ac:dyDescent="0.25">
      <c r="O33"/>
      <c r="P33"/>
      <c r="Q33"/>
      <c r="R33"/>
      <c r="S33"/>
      <c r="T33"/>
    </row>
    <row r="34" spans="2:21" ht="28.9" customHeight="1" thickBot="1" x14ac:dyDescent="0.3">
      <c r="O34"/>
      <c r="P34"/>
      <c r="Q34"/>
      <c r="R34"/>
      <c r="S34"/>
      <c r="T34"/>
    </row>
    <row r="35" spans="2:21" ht="28.9" customHeight="1" thickBot="1" x14ac:dyDescent="0.4">
      <c r="B35" s="544" t="s">
        <v>528</v>
      </c>
      <c r="C35" s="545"/>
      <c r="D35" s="545"/>
      <c r="E35" s="545"/>
      <c r="F35" s="545"/>
      <c r="G35" s="545"/>
      <c r="H35" s="545"/>
      <c r="I35" s="545"/>
      <c r="J35" s="545"/>
      <c r="K35" s="545"/>
      <c r="L35" s="545"/>
      <c r="M35" s="545"/>
      <c r="N35" s="545"/>
      <c r="O35"/>
      <c r="P35"/>
      <c r="Q35"/>
      <c r="R35"/>
      <c r="S35"/>
      <c r="T35"/>
    </row>
    <row r="36" spans="2:21" ht="28.9" customHeight="1" thickBot="1" x14ac:dyDescent="0.35">
      <c r="B36" s="409" t="s">
        <v>285</v>
      </c>
      <c r="C36" s="410" t="s">
        <v>286</v>
      </c>
      <c r="D36" s="410" t="s">
        <v>287</v>
      </c>
      <c r="E36" s="410" t="s">
        <v>288</v>
      </c>
      <c r="F36" s="410" t="s">
        <v>289</v>
      </c>
      <c r="G36" s="410" t="s">
        <v>290</v>
      </c>
      <c r="H36" s="410" t="s">
        <v>291</v>
      </c>
      <c r="I36" s="410" t="s">
        <v>292</v>
      </c>
      <c r="J36" s="410" t="s">
        <v>293</v>
      </c>
      <c r="K36" s="410" t="s">
        <v>303</v>
      </c>
      <c r="L36" s="411" t="s">
        <v>529</v>
      </c>
      <c r="M36" s="411" t="s">
        <v>295</v>
      </c>
      <c r="N36" s="411" t="s">
        <v>530</v>
      </c>
      <c r="O36"/>
      <c r="P36"/>
      <c r="Q36"/>
      <c r="R36"/>
      <c r="S36"/>
      <c r="T36"/>
    </row>
    <row r="37" spans="2:21" ht="28.9" customHeight="1" thickBot="1" x14ac:dyDescent="0.35"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60"/>
      <c r="M37" s="178" t="s">
        <v>297</v>
      </c>
      <c r="N37" s="59"/>
      <c r="O37"/>
      <c r="P37"/>
      <c r="Q37"/>
      <c r="R37"/>
      <c r="S37"/>
      <c r="T37"/>
    </row>
    <row r="38" spans="2:21" ht="28.9" customHeight="1" x14ac:dyDescent="0.25">
      <c r="B38" s="291" t="s">
        <v>542</v>
      </c>
      <c r="C38" s="273" t="s">
        <v>535</v>
      </c>
      <c r="D38" s="273" t="s">
        <v>543</v>
      </c>
      <c r="E38" s="273" t="s">
        <v>594</v>
      </c>
      <c r="F38" s="273">
        <v>3336859865</v>
      </c>
      <c r="G38" s="273" t="s">
        <v>545</v>
      </c>
      <c r="H38" s="292" t="s">
        <v>440</v>
      </c>
      <c r="I38" s="293" t="s">
        <v>546</v>
      </c>
      <c r="J38" s="273" t="s">
        <v>547</v>
      </c>
      <c r="K38" s="273" t="s">
        <v>670</v>
      </c>
      <c r="L38" s="294">
        <v>2000</v>
      </c>
      <c r="M38" s="294" t="s">
        <v>297</v>
      </c>
      <c r="N38" s="546">
        <v>45622</v>
      </c>
      <c r="O38"/>
      <c r="P38"/>
      <c r="Q38"/>
      <c r="R38"/>
      <c r="S38"/>
      <c r="T38"/>
    </row>
    <row r="39" spans="2:21" ht="28.9" customHeight="1" x14ac:dyDescent="0.25">
      <c r="B39" s="291" t="s">
        <v>548</v>
      </c>
      <c r="C39" s="273" t="s">
        <v>535</v>
      </c>
      <c r="D39" s="273" t="s">
        <v>536</v>
      </c>
      <c r="E39" s="273" t="s">
        <v>589</v>
      </c>
      <c r="F39" s="273">
        <v>3336859865</v>
      </c>
      <c r="G39" s="273" t="s">
        <v>549</v>
      </c>
      <c r="H39" s="292" t="s">
        <v>446</v>
      </c>
      <c r="I39" s="293" t="s">
        <v>550</v>
      </c>
      <c r="J39" s="273" t="s">
        <v>551</v>
      </c>
      <c r="K39" s="273" t="s">
        <v>671</v>
      </c>
      <c r="L39" s="294">
        <v>3000</v>
      </c>
      <c r="M39" s="294" t="s">
        <v>297</v>
      </c>
      <c r="N39" s="546">
        <v>45622</v>
      </c>
      <c r="O39"/>
      <c r="P39"/>
      <c r="Q39"/>
      <c r="R39"/>
      <c r="S39"/>
      <c r="T39"/>
    </row>
    <row r="40" spans="2:21" ht="28.9" customHeight="1" x14ac:dyDescent="0.25">
      <c r="B40" s="291" t="s">
        <v>552</v>
      </c>
      <c r="C40" s="273" t="s">
        <v>535</v>
      </c>
      <c r="D40" s="273" t="s">
        <v>553</v>
      </c>
      <c r="E40" s="273" t="s">
        <v>594</v>
      </c>
      <c r="F40" s="273">
        <v>3336859865</v>
      </c>
      <c r="G40" s="273" t="s">
        <v>554</v>
      </c>
      <c r="H40" s="292" t="s">
        <v>452</v>
      </c>
      <c r="I40" s="293" t="s">
        <v>555</v>
      </c>
      <c r="J40" s="273" t="s">
        <v>556</v>
      </c>
      <c r="K40" s="273" t="s">
        <v>672</v>
      </c>
      <c r="L40" s="294">
        <v>3000</v>
      </c>
      <c r="M40" s="294" t="s">
        <v>297</v>
      </c>
      <c r="N40" s="546">
        <v>45622</v>
      </c>
      <c r="O40"/>
      <c r="P40"/>
      <c r="Q40"/>
      <c r="R40"/>
      <c r="S40"/>
      <c r="T40"/>
    </row>
    <row r="41" spans="2:21" ht="28.9" customHeight="1" thickBot="1" x14ac:dyDescent="0.3">
      <c r="B41" s="280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94"/>
      <c r="N41" s="546"/>
      <c r="O41"/>
      <c r="P41"/>
      <c r="Q41"/>
      <c r="R41"/>
      <c r="S41"/>
      <c r="T41"/>
    </row>
    <row r="42" spans="2:21" ht="28.9" customHeight="1" thickBot="1" x14ac:dyDescent="0.4">
      <c r="P42"/>
      <c r="Q42" s="549" t="s">
        <v>678</v>
      </c>
      <c r="R42" s="550"/>
      <c r="S42"/>
      <c r="T42" s="421" t="s">
        <v>679</v>
      </c>
      <c r="U42" s="422"/>
    </row>
    <row r="43" spans="2:21" ht="28.9" customHeight="1" thickBot="1" x14ac:dyDescent="0.35">
      <c r="P43"/>
      <c r="Q43" s="547" t="s">
        <v>673</v>
      </c>
      <c r="R43" s="548" t="s">
        <v>283</v>
      </c>
      <c r="T43" s="547" t="s">
        <v>680</v>
      </c>
      <c r="U43" s="548" t="s">
        <v>675</v>
      </c>
    </row>
    <row r="44" spans="2:21" ht="28.9" customHeight="1" thickBot="1" x14ac:dyDescent="0.4">
      <c r="B44" s="421" t="s">
        <v>645</v>
      </c>
      <c r="C44" s="422"/>
      <c r="D44" s="422"/>
      <c r="E44" s="422"/>
      <c r="F44" s="422"/>
      <c r="G44" s="422"/>
      <c r="H44" s="422"/>
      <c r="I44" s="422"/>
      <c r="J44" s="422"/>
      <c r="K44" s="422"/>
      <c r="L44" s="422"/>
      <c r="M44"/>
      <c r="P44"/>
      <c r="Q44" s="175"/>
      <c r="R44" s="175"/>
      <c r="T44" s="175"/>
      <c r="U44" s="175"/>
    </row>
    <row r="45" spans="2:21" ht="28.9" customHeight="1" x14ac:dyDescent="0.3">
      <c r="B45" s="409" t="s">
        <v>285</v>
      </c>
      <c r="C45" s="410" t="s">
        <v>286</v>
      </c>
      <c r="D45" s="410" t="s">
        <v>287</v>
      </c>
      <c r="E45" s="410" t="s">
        <v>288</v>
      </c>
      <c r="F45" s="410" t="s">
        <v>289</v>
      </c>
      <c r="G45" s="410" t="s">
        <v>290</v>
      </c>
      <c r="H45" s="410" t="s">
        <v>291</v>
      </c>
      <c r="I45" s="410" t="s">
        <v>292</v>
      </c>
      <c r="J45" s="410" t="s">
        <v>293</v>
      </c>
      <c r="K45" s="410" t="s">
        <v>303</v>
      </c>
      <c r="L45" s="411" t="s">
        <v>529</v>
      </c>
      <c r="M45"/>
      <c r="P45"/>
      <c r="Q45" s="175"/>
      <c r="R45" s="175"/>
      <c r="T45" s="175"/>
      <c r="U45" s="175"/>
    </row>
    <row r="46" spans="2:21" ht="28.9" customHeight="1" x14ac:dyDescent="0.25">
      <c r="B46" s="291" t="s">
        <v>650</v>
      </c>
      <c r="C46" s="273" t="s">
        <v>535</v>
      </c>
      <c r="D46" s="273" t="s">
        <v>655</v>
      </c>
      <c r="E46" s="273" t="s">
        <v>656</v>
      </c>
      <c r="F46" s="273">
        <v>32434345435</v>
      </c>
      <c r="G46" s="273">
        <v>324324</v>
      </c>
      <c r="H46" s="292" t="s">
        <v>657</v>
      </c>
      <c r="I46" s="293" t="s">
        <v>661</v>
      </c>
      <c r="J46" s="273" t="s">
        <v>665</v>
      </c>
      <c r="K46" s="273" t="s">
        <v>669</v>
      </c>
      <c r="L46" s="294">
        <v>5000</v>
      </c>
      <c r="M46"/>
      <c r="P46"/>
      <c r="Q46" s="272"/>
      <c r="R46" s="274"/>
      <c r="T46" s="272"/>
      <c r="U46" s="274"/>
    </row>
    <row r="47" spans="2:21" ht="28.9" customHeight="1" x14ac:dyDescent="0.25">
      <c r="B47" s="291" t="s">
        <v>651</v>
      </c>
      <c r="C47" s="273" t="s">
        <v>535</v>
      </c>
      <c r="D47" s="273" t="s">
        <v>654</v>
      </c>
      <c r="E47" s="273" t="s">
        <v>594</v>
      </c>
      <c r="F47" s="273">
        <v>454432435</v>
      </c>
      <c r="G47" s="273">
        <v>234234234</v>
      </c>
      <c r="H47" s="292" t="s">
        <v>658</v>
      </c>
      <c r="I47" s="293" t="s">
        <v>662</v>
      </c>
      <c r="J47" s="273" t="s">
        <v>666</v>
      </c>
      <c r="K47" s="273" t="s">
        <v>670</v>
      </c>
      <c r="L47" s="294">
        <v>2000</v>
      </c>
      <c r="M47"/>
      <c r="P47"/>
      <c r="Q47" s="272"/>
      <c r="R47" s="274"/>
      <c r="T47" s="272"/>
      <c r="U47" s="274"/>
    </row>
    <row r="48" spans="2:21" ht="28.9" customHeight="1" x14ac:dyDescent="0.25">
      <c r="B48" s="291" t="s">
        <v>652</v>
      </c>
      <c r="C48" s="273" t="s">
        <v>535</v>
      </c>
      <c r="D48" s="273" t="s">
        <v>655</v>
      </c>
      <c r="E48" s="273" t="s">
        <v>589</v>
      </c>
      <c r="F48" s="273">
        <v>34543534543</v>
      </c>
      <c r="G48" s="273">
        <v>2342343244</v>
      </c>
      <c r="H48" s="292" t="s">
        <v>659</v>
      </c>
      <c r="I48" s="293" t="s">
        <v>663</v>
      </c>
      <c r="J48" s="273" t="s">
        <v>667</v>
      </c>
      <c r="K48" s="273" t="s">
        <v>671</v>
      </c>
      <c r="L48" s="294">
        <v>3000</v>
      </c>
      <c r="M48"/>
      <c r="P48"/>
      <c r="Q48" s="272"/>
      <c r="R48" s="274"/>
      <c r="T48" s="272"/>
      <c r="U48" s="274"/>
    </row>
    <row r="49" spans="2:21" ht="28.9" customHeight="1" x14ac:dyDescent="0.25">
      <c r="B49" s="291" t="s">
        <v>653</v>
      </c>
      <c r="C49" s="273" t="s">
        <v>535</v>
      </c>
      <c r="D49" s="273" t="s">
        <v>654</v>
      </c>
      <c r="E49" s="273" t="s">
        <v>594</v>
      </c>
      <c r="F49" s="273">
        <v>67676445433</v>
      </c>
      <c r="G49" s="273">
        <v>68768546546</v>
      </c>
      <c r="H49" s="292" t="s">
        <v>660</v>
      </c>
      <c r="I49" s="293" t="s">
        <v>664</v>
      </c>
      <c r="J49" s="273" t="s">
        <v>668</v>
      </c>
      <c r="K49" s="273" t="s">
        <v>672</v>
      </c>
      <c r="L49" s="294">
        <v>3000</v>
      </c>
      <c r="M49"/>
      <c r="Q49" s="272"/>
      <c r="R49" s="274"/>
      <c r="T49" s="272"/>
      <c r="U49" s="274"/>
    </row>
    <row r="50" spans="2:21" ht="28.9" customHeight="1" thickBot="1" x14ac:dyDescent="0.3">
      <c r="B50" s="280"/>
      <c r="C50" s="281"/>
      <c r="D50" s="281"/>
      <c r="E50" s="281"/>
      <c r="F50" s="281"/>
      <c r="G50" s="281"/>
      <c r="H50" s="281"/>
      <c r="I50" s="281"/>
      <c r="J50" s="281"/>
      <c r="K50" s="281"/>
      <c r="L50" s="281"/>
      <c r="M50"/>
      <c r="Q50" s="280"/>
      <c r="R50" s="282"/>
      <c r="T50" s="280"/>
      <c r="U50" s="282"/>
    </row>
    <row r="51" spans="2:21" ht="28.9" customHeight="1" x14ac:dyDescent="0.25"/>
    <row r="52" spans="2:21" ht="28.9" customHeight="1" x14ac:dyDescent="0.25">
      <c r="P52"/>
    </row>
    <row r="53" spans="2:21" ht="28.9" customHeight="1" thickBot="1" x14ac:dyDescent="0.3">
      <c r="P53"/>
    </row>
    <row r="54" spans="2:21" ht="28.9" customHeight="1" thickBot="1" x14ac:dyDescent="0.4">
      <c r="B54" s="515" t="s">
        <v>646</v>
      </c>
      <c r="C54" s="516"/>
      <c r="D54" s="516"/>
      <c r="E54" s="516"/>
      <c r="F54" s="516"/>
      <c r="G54" s="516"/>
      <c r="H54" s="516"/>
      <c r="I54" s="516"/>
      <c r="J54" s="516"/>
      <c r="K54" s="516"/>
      <c r="L54" s="516"/>
      <c r="M54"/>
      <c r="P54"/>
      <c r="Q54"/>
      <c r="R54"/>
    </row>
    <row r="55" spans="2:21" ht="28.9" customHeight="1" x14ac:dyDescent="0.3">
      <c r="B55" s="555" t="s">
        <v>285</v>
      </c>
      <c r="C55" s="556" t="s">
        <v>303</v>
      </c>
      <c r="D55" s="556" t="s">
        <v>647</v>
      </c>
      <c r="E55" s="556" t="s">
        <v>308</v>
      </c>
      <c r="F55" s="556" t="s">
        <v>309</v>
      </c>
      <c r="G55" s="556" t="s">
        <v>310</v>
      </c>
      <c r="H55" s="556" t="s">
        <v>311</v>
      </c>
      <c r="I55" s="556" t="s">
        <v>312</v>
      </c>
      <c r="J55" s="556" t="s">
        <v>311</v>
      </c>
      <c r="K55" s="556" t="s">
        <v>352</v>
      </c>
      <c r="L55" s="557" t="s">
        <v>648</v>
      </c>
      <c r="M55"/>
      <c r="P55"/>
      <c r="Q55"/>
      <c r="R55"/>
    </row>
    <row r="56" spans="2:21" ht="28.9" customHeight="1" x14ac:dyDescent="0.25"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/>
      <c r="N56"/>
      <c r="O56"/>
      <c r="P56"/>
      <c r="Q56"/>
      <c r="R56"/>
    </row>
    <row r="57" spans="2:21" ht="28.9" customHeight="1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2:21" ht="28.9" customHeight="1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2:21" ht="28.9" customHeight="1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2:21" ht="28.9" customHeigh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2:21" ht="28.9" customHeight="1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21" ht="28.9" customHeight="1" x14ac:dyDescent="0.25">
      <c r="B62"/>
      <c r="C62"/>
      <c r="D62"/>
      <c r="E62"/>
      <c r="F62"/>
      <c r="G62"/>
      <c r="H62"/>
      <c r="I62"/>
      <c r="J62"/>
      <c r="K62"/>
      <c r="L62"/>
      <c r="M62"/>
      <c r="P62"/>
      <c r="Q62"/>
    </row>
    <row r="63" spans="2:21" ht="28.9" customHeight="1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21" ht="28.9" customHeight="1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x14ac:dyDescent="0.25">
      <c r="B65"/>
      <c r="C65"/>
      <c r="D65"/>
      <c r="E65"/>
      <c r="F65"/>
      <c r="G65"/>
      <c r="H65"/>
      <c r="I65"/>
      <c r="J65"/>
      <c r="K65"/>
      <c r="L65"/>
      <c r="M65"/>
    </row>
    <row r="66" spans="2:13" x14ac:dyDescent="0.25">
      <c r="B66"/>
      <c r="C66"/>
      <c r="D66"/>
      <c r="E66"/>
      <c r="F66"/>
      <c r="G66"/>
      <c r="H66"/>
      <c r="I66"/>
      <c r="J66"/>
      <c r="K66"/>
      <c r="L66"/>
      <c r="M66"/>
    </row>
  </sheetData>
  <mergeCells count="3">
    <mergeCell ref="B54:L54"/>
    <mergeCell ref="E10:K10"/>
    <mergeCell ref="M10:P10"/>
  </mergeCells>
  <dataValidations count="1">
    <dataValidation type="list" allowBlank="1" showInputMessage="1" showErrorMessage="1" sqref="T44:T45">
      <formula1>$B$38:$B$41</formula1>
    </dataValidation>
  </dataValidations>
  <hyperlinks>
    <hyperlink ref="M28" r:id="rId1" display="andréa.melo29@email.com"/>
    <hyperlink ref="K15" r:id="rId2"/>
    <hyperlink ref="K26" r:id="rId3"/>
    <hyperlink ref="K19" r:id="rId4"/>
    <hyperlink ref="I38" r:id="rId5"/>
    <hyperlink ref="I39" r:id="rId6"/>
    <hyperlink ref="I40" r:id="rId7"/>
    <hyperlink ref="I46" r:id="rId8"/>
    <hyperlink ref="I47" r:id="rId9"/>
    <hyperlink ref="I48" r:id="rId10"/>
    <hyperlink ref="I49" r:id="rId11"/>
  </hyperlinks>
  <pageMargins left="0.511811024" right="0.511811024" top="0.78740157499999996" bottom="0.78740157499999996" header="0.31496062000000002" footer="0.31496062000000002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'N_RHREF '!$E$11:$E$31</xm:f>
          </x14:formula1>
          <xm:sqref>Q44:Q45</xm:sqref>
        </x14:dataValidation>
        <x14:dataValidation type="list" allowBlank="1" showInputMessage="1" showErrorMessage="1">
          <x14:formula1>
            <xm:f>'N_RHREF '!$N$11:$N$17</xm:f>
          </x14:formula1>
          <xm:sqref>U44:U45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9">
    <tabColor rgb="FF171717"/>
  </sheetPr>
  <dimension ref="A1:AU66"/>
  <sheetViews>
    <sheetView zoomScale="40" zoomScaleNormal="40" workbookViewId="0">
      <selection activeCell="C19" sqref="C19"/>
    </sheetView>
  </sheetViews>
  <sheetFormatPr defaultColWidth="8.85546875" defaultRowHeight="15" x14ac:dyDescent="0.25"/>
  <cols>
    <col min="1" max="1" width="8.85546875" style="109"/>
    <col min="2" max="2" width="14.28515625" style="109" bestFit="1" customWidth="1"/>
    <col min="3" max="3" width="36.140625" style="109" customWidth="1"/>
    <col min="4" max="4" width="30.28515625" style="109" customWidth="1"/>
    <col min="5" max="5" width="21" style="109" bestFit="1" customWidth="1"/>
    <col min="6" max="6" width="45.42578125" style="109" bestFit="1" customWidth="1"/>
    <col min="7" max="7" width="34" style="109" bestFit="1" customWidth="1"/>
    <col min="8" max="8" width="50.42578125" style="109" bestFit="1" customWidth="1"/>
    <col min="9" max="9" width="46.28515625" style="109" bestFit="1" customWidth="1"/>
    <col min="10" max="10" width="35.7109375" style="109" bestFit="1" customWidth="1"/>
    <col min="11" max="11" width="36.28515625" style="109" bestFit="1" customWidth="1"/>
    <col min="12" max="12" width="36" style="109" bestFit="1" customWidth="1"/>
    <col min="13" max="13" width="49.42578125" style="109" customWidth="1"/>
    <col min="14" max="14" width="28.140625" style="109" bestFit="1" customWidth="1"/>
    <col min="15" max="15" width="17" style="109" bestFit="1" customWidth="1"/>
    <col min="16" max="16" width="33" style="109" bestFit="1" customWidth="1"/>
    <col min="17" max="17" width="12.5703125" style="109" bestFit="1" customWidth="1"/>
    <col min="18" max="18" width="13" style="109" bestFit="1" customWidth="1"/>
    <col min="19" max="19" width="8.85546875" style="109"/>
    <col min="20" max="20" width="23.42578125" style="109" bestFit="1" customWidth="1"/>
    <col min="21" max="21" width="2.7109375" style="109" bestFit="1" customWidth="1"/>
    <col min="22" max="22" width="51.140625" style="109" customWidth="1"/>
    <col min="23" max="16384" width="8.85546875" style="109"/>
  </cols>
  <sheetData>
    <row r="1" spans="1:47" ht="14.45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</row>
    <row r="2" spans="1:47" ht="14.45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</row>
    <row r="3" spans="1:47" ht="61.15" customHeight="1" x14ac:dyDescent="0.3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</row>
    <row r="4" spans="1:47" ht="46.15" customHeight="1" x14ac:dyDescent="0.3">
      <c r="A4" s="160"/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</row>
    <row r="5" spans="1:47" ht="14.45" x14ac:dyDescent="0.3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</row>
    <row r="6" spans="1:47" ht="14.45" x14ac:dyDescent="0.3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</row>
    <row r="7" spans="1:47" ht="14.45" x14ac:dyDescent="0.3">
      <c r="A7" s="160"/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</row>
    <row r="8" spans="1:47" ht="28.9" customHeight="1" x14ac:dyDescent="0.3"/>
    <row r="9" spans="1:47" ht="28.9" customHeight="1" x14ac:dyDescent="0.3"/>
    <row r="10" spans="1:47" ht="28.9" customHeight="1" x14ac:dyDescent="0.3"/>
    <row r="11" spans="1:47" ht="28.9" customHeight="1" x14ac:dyDescent="0.3">
      <c r="E11" s="517" t="s">
        <v>557</v>
      </c>
      <c r="F11" s="517"/>
      <c r="G11" s="517"/>
      <c r="H11" s="517"/>
      <c r="I11" s="517"/>
      <c r="J11" s="296"/>
      <c r="K11" s="296"/>
      <c r="L11" s="259"/>
    </row>
    <row r="12" spans="1:47" ht="28.9" customHeight="1" x14ac:dyDescent="0.3">
      <c r="E12" s="412" t="s">
        <v>282</v>
      </c>
      <c r="F12" s="412" t="s">
        <v>558</v>
      </c>
      <c r="G12" s="413" t="s">
        <v>359</v>
      </c>
      <c r="H12" s="412" t="s">
        <v>360</v>
      </c>
      <c r="I12" s="412" t="s">
        <v>559</v>
      </c>
      <c r="J12" s="299"/>
      <c r="K12" s="299"/>
      <c r="L12" s="258"/>
    </row>
    <row r="13" spans="1:47" ht="28.9" customHeight="1" x14ac:dyDescent="0.4">
      <c r="E13" s="414"/>
      <c r="F13" s="414"/>
      <c r="G13" s="415">
        <v>20</v>
      </c>
      <c r="H13" s="414"/>
      <c r="I13" s="414" t="s">
        <v>560</v>
      </c>
      <c r="J13" s="78"/>
      <c r="K13" s="302"/>
      <c r="L13" s="258"/>
    </row>
    <row r="14" spans="1:47" ht="28.9" customHeight="1" x14ac:dyDescent="0.35">
      <c r="E14" s="414"/>
      <c r="F14" s="416"/>
      <c r="G14" s="417">
        <v>30</v>
      </c>
      <c r="H14" s="414"/>
      <c r="I14" s="414" t="s">
        <v>560</v>
      </c>
      <c r="J14" s="78"/>
      <c r="K14" s="267"/>
      <c r="L14" s="258"/>
    </row>
    <row r="15" spans="1:47" ht="28.9" customHeight="1" x14ac:dyDescent="0.35">
      <c r="E15" s="414"/>
      <c r="F15" s="414"/>
      <c r="G15" s="417">
        <v>23</v>
      </c>
      <c r="H15" s="414"/>
      <c r="I15" s="414" t="s">
        <v>560</v>
      </c>
      <c r="J15" s="78"/>
      <c r="K15" s="302"/>
      <c r="L15" s="258"/>
    </row>
    <row r="16" spans="1:47" ht="28.9" customHeight="1" x14ac:dyDescent="0.35">
      <c r="E16" s="414"/>
      <c r="F16" s="414"/>
      <c r="G16" s="417">
        <v>50</v>
      </c>
      <c r="H16" s="414"/>
      <c r="I16" s="414" t="s">
        <v>560</v>
      </c>
      <c r="J16" s="78"/>
      <c r="K16" s="305"/>
      <c r="L16" s="1"/>
    </row>
    <row r="17" spans="5:12" ht="28.9" customHeight="1" x14ac:dyDescent="0.35">
      <c r="E17" s="414"/>
      <c r="F17" s="414"/>
      <c r="G17" s="417">
        <v>77</v>
      </c>
      <c r="H17" s="414"/>
      <c r="I17" s="414" t="s">
        <v>560</v>
      </c>
      <c r="J17" s="78"/>
      <c r="K17" s="267"/>
      <c r="L17" s="1"/>
    </row>
    <row r="18" spans="5:12" ht="28.9" customHeight="1" x14ac:dyDescent="0.35">
      <c r="E18" s="414"/>
      <c r="F18" s="414"/>
      <c r="G18" s="417">
        <v>55</v>
      </c>
      <c r="H18" s="414"/>
      <c r="I18" s="414" t="s">
        <v>560</v>
      </c>
      <c r="J18" s="78"/>
      <c r="K18" s="302"/>
      <c r="L18" s="1"/>
    </row>
    <row r="19" spans="5:12" ht="28.9" customHeight="1" x14ac:dyDescent="0.35">
      <c r="E19" s="414"/>
      <c r="F19" s="414"/>
      <c r="G19" s="417">
        <v>130</v>
      </c>
      <c r="H19" s="414"/>
      <c r="I19" s="414" t="s">
        <v>560</v>
      </c>
      <c r="J19" s="78"/>
      <c r="K19" s="302"/>
    </row>
    <row r="20" spans="5:12" ht="28.9" customHeight="1" x14ac:dyDescent="0.35">
      <c r="E20" s="414"/>
      <c r="F20" s="414"/>
      <c r="G20" s="417">
        <v>62</v>
      </c>
      <c r="H20" s="414"/>
      <c r="I20" s="414" t="s">
        <v>560</v>
      </c>
      <c r="J20" s="78"/>
      <c r="K20" s="306"/>
    </row>
    <row r="21" spans="5:12" ht="28.9" customHeight="1" x14ac:dyDescent="0.35">
      <c r="E21" s="414"/>
      <c r="F21" s="414"/>
      <c r="G21" s="417">
        <v>8</v>
      </c>
      <c r="H21" s="414"/>
      <c r="I21" s="414" t="s">
        <v>560</v>
      </c>
      <c r="J21" s="78"/>
      <c r="K21" s="302"/>
    </row>
    <row r="22" spans="5:12" ht="28.9" customHeight="1" x14ac:dyDescent="0.35">
      <c r="E22" s="414"/>
      <c r="F22" s="414"/>
      <c r="G22" s="417">
        <v>54</v>
      </c>
      <c r="H22" s="414"/>
      <c r="I22" s="414" t="s">
        <v>560</v>
      </c>
      <c r="J22" s="78"/>
      <c r="K22" s="267"/>
    </row>
    <row r="23" spans="5:12" ht="28.9" customHeight="1" x14ac:dyDescent="0.35">
      <c r="E23" s="414"/>
      <c r="F23" s="414"/>
      <c r="G23" s="417">
        <v>4</v>
      </c>
      <c r="H23" s="414"/>
      <c r="I23" s="414" t="s">
        <v>560</v>
      </c>
      <c r="J23" s="78"/>
      <c r="K23" s="267"/>
    </row>
    <row r="24" spans="5:12" ht="28.9" customHeight="1" x14ac:dyDescent="0.35">
      <c r="E24" s="414"/>
      <c r="F24" s="414"/>
      <c r="G24" s="417">
        <v>64</v>
      </c>
      <c r="H24" s="414"/>
      <c r="I24" s="414" t="s">
        <v>560</v>
      </c>
      <c r="J24" s="78"/>
      <c r="K24" s="307"/>
    </row>
    <row r="25" spans="5:12" ht="28.9" customHeight="1" x14ac:dyDescent="0.35">
      <c r="E25" s="414"/>
      <c r="F25" s="414"/>
      <c r="G25" s="417">
        <v>78</v>
      </c>
      <c r="H25" s="414"/>
      <c r="I25" s="414" t="s">
        <v>560</v>
      </c>
      <c r="J25" s="78"/>
      <c r="K25" s="302"/>
      <c r="L25" s="279"/>
    </row>
    <row r="26" spans="5:12" ht="28.9" customHeight="1" thickBot="1" x14ac:dyDescent="0.35">
      <c r="E26" s="78"/>
      <c r="F26" s="78"/>
      <c r="G26" s="78"/>
      <c r="H26" s="302"/>
      <c r="I26" s="78"/>
      <c r="J26" s="78"/>
      <c r="K26" s="302"/>
    </row>
    <row r="27" spans="5:12" ht="28.9" customHeight="1" x14ac:dyDescent="0.4">
      <c r="E27" s="518" t="s">
        <v>561</v>
      </c>
      <c r="F27" s="519"/>
      <c r="G27" s="519"/>
      <c r="H27" s="519"/>
      <c r="I27" s="519"/>
      <c r="J27" s="519"/>
      <c r="K27" s="519"/>
      <c r="L27" s="520"/>
    </row>
    <row r="28" spans="5:12" ht="28.9" customHeight="1" x14ac:dyDescent="0.25">
      <c r="E28" s="418" t="s">
        <v>220</v>
      </c>
      <c r="F28" s="348" t="s">
        <v>562</v>
      </c>
      <c r="G28" s="348" t="s">
        <v>563</v>
      </c>
      <c r="H28" s="348" t="s">
        <v>564</v>
      </c>
      <c r="I28" s="348" t="s">
        <v>565</v>
      </c>
      <c r="J28" s="348" t="s">
        <v>566</v>
      </c>
      <c r="K28" s="348" t="s">
        <v>567</v>
      </c>
      <c r="L28" s="419" t="s">
        <v>568</v>
      </c>
    </row>
    <row r="29" spans="5:12" ht="28.9" customHeight="1" x14ac:dyDescent="0.4">
      <c r="E29" s="420"/>
      <c r="F29" s="384"/>
      <c r="G29" s="384"/>
      <c r="H29" s="384"/>
      <c r="I29" s="384"/>
      <c r="J29" s="404"/>
      <c r="K29" s="404"/>
      <c r="L29" s="405"/>
    </row>
    <row r="30" spans="5:12" ht="28.9" customHeight="1" x14ac:dyDescent="0.4">
      <c r="E30" s="420"/>
      <c r="F30" s="384"/>
      <c r="G30" s="384"/>
      <c r="H30" s="384"/>
      <c r="I30" s="384"/>
      <c r="J30" s="404"/>
      <c r="K30" s="404"/>
      <c r="L30" s="405"/>
    </row>
    <row r="31" spans="5:12" ht="28.9" customHeight="1" x14ac:dyDescent="0.4">
      <c r="E31" s="403"/>
      <c r="F31" s="404"/>
      <c r="G31" s="404"/>
      <c r="H31" s="404"/>
      <c r="I31" s="404"/>
      <c r="J31" s="404"/>
      <c r="K31" s="404"/>
      <c r="L31" s="405"/>
    </row>
    <row r="32" spans="5:12" ht="28.9" customHeight="1" x14ac:dyDescent="0.4">
      <c r="E32" s="403"/>
      <c r="F32" s="404"/>
      <c r="G32" s="404"/>
      <c r="H32" s="404"/>
      <c r="I32" s="404"/>
      <c r="J32" s="404"/>
      <c r="K32" s="404"/>
      <c r="L32" s="405"/>
    </row>
    <row r="33" spans="5:12" ht="28.9" customHeight="1" x14ac:dyDescent="0.4">
      <c r="E33" s="403"/>
      <c r="F33" s="404"/>
      <c r="G33" s="404"/>
      <c r="H33" s="404"/>
      <c r="I33" s="404"/>
      <c r="J33" s="404"/>
      <c r="K33" s="404"/>
      <c r="L33" s="405"/>
    </row>
    <row r="34" spans="5:12" ht="28.9" customHeight="1" thickBot="1" x14ac:dyDescent="0.45">
      <c r="E34" s="406"/>
      <c r="F34" s="407"/>
      <c r="G34" s="407"/>
      <c r="H34" s="407"/>
      <c r="I34" s="407"/>
      <c r="J34" s="407"/>
      <c r="K34" s="407"/>
      <c r="L34" s="408"/>
    </row>
    <row r="35" spans="5:12" ht="28.9" customHeight="1" x14ac:dyDescent="0.3"/>
    <row r="36" spans="5:12" ht="28.9" customHeight="1" x14ac:dyDescent="0.3"/>
    <row r="37" spans="5:12" ht="28.9" customHeight="1" x14ac:dyDescent="0.3"/>
    <row r="38" spans="5:12" ht="28.9" customHeight="1" x14ac:dyDescent="0.3"/>
    <row r="39" spans="5:12" ht="28.9" customHeight="1" x14ac:dyDescent="0.3"/>
    <row r="40" spans="5:12" ht="28.9" customHeight="1" x14ac:dyDescent="0.3"/>
    <row r="41" spans="5:12" ht="28.9" customHeight="1" x14ac:dyDescent="0.3"/>
    <row r="42" spans="5:12" ht="28.9" customHeight="1" x14ac:dyDescent="0.3"/>
    <row r="43" spans="5:12" ht="28.9" customHeight="1" x14ac:dyDescent="0.3"/>
    <row r="44" spans="5:12" ht="28.9" customHeight="1" x14ac:dyDescent="0.3"/>
    <row r="45" spans="5:12" ht="28.9" customHeight="1" x14ac:dyDescent="0.3"/>
    <row r="46" spans="5:12" ht="28.9" customHeight="1" x14ac:dyDescent="0.3"/>
    <row r="47" spans="5:12" ht="28.9" customHeight="1" x14ac:dyDescent="0.3"/>
    <row r="48" spans="5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6">
    <tabColor rgb="FFFF0000"/>
  </sheetPr>
  <dimension ref="A1:AE37"/>
  <sheetViews>
    <sheetView showGridLines="0" zoomScale="55" zoomScaleNormal="55" workbookViewId="0">
      <selection activeCell="D8" sqref="D8"/>
    </sheetView>
  </sheetViews>
  <sheetFormatPr defaultColWidth="8.85546875" defaultRowHeight="15" x14ac:dyDescent="0.25"/>
  <cols>
    <col min="1" max="2" width="8.85546875" style="109"/>
    <col min="3" max="3" width="30.5703125" style="109" bestFit="1" customWidth="1"/>
    <col min="4" max="4" width="21.140625" style="109" bestFit="1" customWidth="1"/>
    <col min="5" max="5" width="17.85546875" style="109" bestFit="1" customWidth="1"/>
    <col min="6" max="6" width="31.7109375" style="109" bestFit="1" customWidth="1"/>
    <col min="7" max="7" width="16.140625" style="109" bestFit="1" customWidth="1"/>
    <col min="8" max="8" width="13.28515625" style="109" bestFit="1" customWidth="1"/>
    <col min="9" max="9" width="32.28515625" style="109" bestFit="1" customWidth="1"/>
    <col min="10" max="10" width="19.28515625" style="109" customWidth="1"/>
    <col min="11" max="11" width="29.5703125" style="109" bestFit="1" customWidth="1"/>
    <col min="12" max="12" width="28" style="109" bestFit="1" customWidth="1"/>
    <col min="13" max="13" width="21.28515625" style="109" bestFit="1" customWidth="1"/>
    <col min="14" max="14" width="31" style="109" bestFit="1" customWidth="1"/>
    <col min="15" max="16384" width="8.85546875" style="109"/>
  </cols>
  <sheetData>
    <row r="1" spans="1:31" ht="61.5" customHeight="1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</row>
    <row r="2" spans="1:31" ht="46.15" customHeight="1" x14ac:dyDescent="0.3">
      <c r="A2" s="524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524"/>
      <c r="AD2" s="524"/>
      <c r="AE2" s="524"/>
    </row>
    <row r="4" spans="1:31" ht="14.45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8" thickBot="1" x14ac:dyDescent="0.35">
      <c r="B5" s="1"/>
      <c r="C5" s="258"/>
      <c r="D5" s="525"/>
      <c r="E5" s="525"/>
      <c r="F5" s="1"/>
      <c r="G5" s="1"/>
      <c r="H5" s="258"/>
      <c r="I5" s="525"/>
      <c r="J5" s="525"/>
      <c r="K5" s="1"/>
    </row>
    <row r="6" spans="1:31" ht="18" thickBot="1" x14ac:dyDescent="0.35">
      <c r="B6" s="1"/>
      <c r="C6" s="526" t="s">
        <v>356</v>
      </c>
      <c r="D6" s="527"/>
      <c r="E6" s="527"/>
      <c r="F6" s="527"/>
      <c r="G6" s="527"/>
      <c r="H6" s="527"/>
      <c r="I6" s="528"/>
      <c r="J6" s="259"/>
      <c r="K6" s="529" t="s">
        <v>396</v>
      </c>
      <c r="L6" s="530"/>
      <c r="M6" s="530"/>
      <c r="N6" s="531"/>
      <c r="O6" s="260"/>
    </row>
    <row r="7" spans="1:31" x14ac:dyDescent="0.25">
      <c r="B7" s="1"/>
      <c r="C7" s="261" t="s">
        <v>285</v>
      </c>
      <c r="D7" s="262" t="s">
        <v>357</v>
      </c>
      <c r="E7" s="262" t="s">
        <v>397</v>
      </c>
      <c r="F7" s="262" t="s">
        <v>291</v>
      </c>
      <c r="G7" s="262" t="s">
        <v>391</v>
      </c>
      <c r="H7" s="262" t="s">
        <v>398</v>
      </c>
      <c r="I7" s="263" t="s">
        <v>399</v>
      </c>
      <c r="J7" s="258"/>
      <c r="K7" s="264" t="s">
        <v>400</v>
      </c>
      <c r="L7" s="265" t="s">
        <v>357</v>
      </c>
      <c r="M7" s="265" t="s">
        <v>292</v>
      </c>
      <c r="N7" s="266" t="s">
        <v>397</v>
      </c>
      <c r="O7" s="267"/>
    </row>
    <row r="8" spans="1:31" x14ac:dyDescent="0.25">
      <c r="B8" s="1"/>
      <c r="C8" s="268" t="s">
        <v>401</v>
      </c>
      <c r="D8" s="269" t="s">
        <v>402</v>
      </c>
      <c r="E8" s="269" t="s">
        <v>403</v>
      </c>
      <c r="F8" s="270" t="s">
        <v>404</v>
      </c>
      <c r="G8" s="269" t="s">
        <v>405</v>
      </c>
      <c r="H8" s="269" t="s">
        <v>406</v>
      </c>
      <c r="I8" s="271" t="s">
        <v>407</v>
      </c>
      <c r="J8" s="258"/>
      <c r="K8" s="272"/>
      <c r="L8" s="273"/>
      <c r="M8" s="273"/>
      <c r="N8" s="274"/>
      <c r="O8" s="267"/>
    </row>
    <row r="9" spans="1:31" x14ac:dyDescent="0.25">
      <c r="B9" s="1"/>
      <c r="C9" s="268" t="s">
        <v>408</v>
      </c>
      <c r="D9" s="269" t="s">
        <v>409</v>
      </c>
      <c r="E9" s="269" t="s">
        <v>410</v>
      </c>
      <c r="F9" s="270" t="s">
        <v>411</v>
      </c>
      <c r="G9" s="269" t="s">
        <v>412</v>
      </c>
      <c r="H9" s="269" t="s">
        <v>406</v>
      </c>
      <c r="I9" s="275" t="s">
        <v>413</v>
      </c>
      <c r="J9" s="258"/>
      <c r="K9" s="272"/>
      <c r="L9" s="273"/>
      <c r="M9" s="273"/>
      <c r="N9" s="274"/>
      <c r="O9" s="267"/>
    </row>
    <row r="10" spans="1:31" x14ac:dyDescent="0.25">
      <c r="B10" s="1"/>
      <c r="C10" s="268" t="s">
        <v>414</v>
      </c>
      <c r="D10" s="269" t="s">
        <v>415</v>
      </c>
      <c r="E10" s="269" t="s">
        <v>416</v>
      </c>
      <c r="F10" s="270" t="s">
        <v>417</v>
      </c>
      <c r="G10" s="269" t="s">
        <v>418</v>
      </c>
      <c r="H10" s="269" t="s">
        <v>406</v>
      </c>
      <c r="I10" s="271" t="s">
        <v>419</v>
      </c>
      <c r="J10" s="258"/>
      <c r="K10" s="272"/>
      <c r="L10" s="273"/>
      <c r="M10" s="273"/>
      <c r="N10" s="274"/>
      <c r="O10" s="267"/>
    </row>
    <row r="11" spans="1:31" x14ac:dyDescent="0.25">
      <c r="B11" s="1"/>
      <c r="C11" s="268" t="s">
        <v>420</v>
      </c>
      <c r="D11" s="269" t="s">
        <v>421</v>
      </c>
      <c r="E11" s="269" t="s">
        <v>422</v>
      </c>
      <c r="F11" s="270" t="s">
        <v>423</v>
      </c>
      <c r="G11" s="269" t="s">
        <v>406</v>
      </c>
      <c r="H11" s="269" t="s">
        <v>406</v>
      </c>
      <c r="I11" s="276" t="s">
        <v>424</v>
      </c>
      <c r="J11" s="1"/>
      <c r="K11" s="272"/>
      <c r="L11" s="273"/>
      <c r="M11" s="273"/>
      <c r="N11" s="274"/>
      <c r="O11" s="267"/>
    </row>
    <row r="12" spans="1:31" x14ac:dyDescent="0.25">
      <c r="B12" s="1"/>
      <c r="C12" s="268" t="s">
        <v>425</v>
      </c>
      <c r="D12" s="269" t="s">
        <v>426</v>
      </c>
      <c r="E12" s="269" t="s">
        <v>427</v>
      </c>
      <c r="F12" s="270" t="s">
        <v>428</v>
      </c>
      <c r="G12" s="269" t="s">
        <v>429</v>
      </c>
      <c r="H12" s="269" t="s">
        <v>406</v>
      </c>
      <c r="I12" s="275" t="s">
        <v>430</v>
      </c>
      <c r="J12" s="1"/>
      <c r="K12" s="272"/>
      <c r="L12" s="273"/>
      <c r="M12" s="273"/>
      <c r="N12" s="274"/>
      <c r="O12" s="267"/>
    </row>
    <row r="13" spans="1:31" x14ac:dyDescent="0.25">
      <c r="B13" s="1"/>
      <c r="C13" s="268" t="s">
        <v>431</v>
      </c>
      <c r="D13" s="269" t="s">
        <v>432</v>
      </c>
      <c r="E13" s="269" t="s">
        <v>433</v>
      </c>
      <c r="F13" s="270" t="s">
        <v>434</v>
      </c>
      <c r="G13" s="269" t="s">
        <v>435</v>
      </c>
      <c r="H13" s="269" t="s">
        <v>406</v>
      </c>
      <c r="I13" s="271" t="s">
        <v>436</v>
      </c>
      <c r="J13" s="1"/>
      <c r="K13" s="272"/>
      <c r="L13" s="273"/>
      <c r="M13" s="273"/>
      <c r="N13" s="274"/>
      <c r="O13" s="267"/>
    </row>
    <row r="14" spans="1:31" x14ac:dyDescent="0.25">
      <c r="C14" s="268" t="s">
        <v>437</v>
      </c>
      <c r="D14" s="269" t="s">
        <v>438</v>
      </c>
      <c r="E14" s="269" t="s">
        <v>439</v>
      </c>
      <c r="F14" s="270" t="s">
        <v>440</v>
      </c>
      <c r="G14" s="269" t="s">
        <v>441</v>
      </c>
      <c r="H14" s="269" t="s">
        <v>406</v>
      </c>
      <c r="I14" s="271" t="s">
        <v>442</v>
      </c>
      <c r="K14" s="272"/>
      <c r="L14" s="273"/>
      <c r="M14" s="273"/>
      <c r="N14" s="274"/>
      <c r="O14" s="267"/>
    </row>
    <row r="15" spans="1:31" x14ac:dyDescent="0.25">
      <c r="C15" s="268" t="s">
        <v>443</v>
      </c>
      <c r="D15" s="269" t="s">
        <v>444</v>
      </c>
      <c r="E15" s="269" t="s">
        <v>445</v>
      </c>
      <c r="F15" s="270" t="s">
        <v>446</v>
      </c>
      <c r="G15" s="269" t="s">
        <v>447</v>
      </c>
      <c r="H15" s="269" t="s">
        <v>406</v>
      </c>
      <c r="I15" s="277" t="s">
        <v>448</v>
      </c>
      <c r="K15" s="272"/>
      <c r="L15" s="273"/>
      <c r="M15" s="273"/>
      <c r="N15" s="274"/>
      <c r="O15" s="267"/>
    </row>
    <row r="16" spans="1:31" ht="14.45" x14ac:dyDescent="0.3">
      <c r="C16" s="268" t="s">
        <v>449</v>
      </c>
      <c r="D16" s="269" t="s">
        <v>450</v>
      </c>
      <c r="E16" s="269" t="s">
        <v>451</v>
      </c>
      <c r="F16" s="270" t="s">
        <v>452</v>
      </c>
      <c r="G16" s="269" t="s">
        <v>453</v>
      </c>
      <c r="H16" s="269" t="s">
        <v>454</v>
      </c>
      <c r="I16" s="271" t="s">
        <v>455</v>
      </c>
      <c r="K16" s="272"/>
      <c r="L16" s="273"/>
      <c r="M16" s="273"/>
      <c r="N16" s="274"/>
      <c r="O16" s="267"/>
    </row>
    <row r="17" spans="3:19" x14ac:dyDescent="0.25">
      <c r="C17" s="268" t="s">
        <v>456</v>
      </c>
      <c r="D17" s="269" t="s">
        <v>457</v>
      </c>
      <c r="E17" s="269" t="s">
        <v>458</v>
      </c>
      <c r="F17" s="270" t="s">
        <v>459</v>
      </c>
      <c r="G17" s="269" t="s">
        <v>460</v>
      </c>
      <c r="H17" s="269" t="s">
        <v>454</v>
      </c>
      <c r="I17" s="275" t="s">
        <v>461</v>
      </c>
      <c r="K17" s="272"/>
      <c r="L17" s="273"/>
      <c r="M17" s="273"/>
      <c r="N17" s="274"/>
      <c r="O17" s="267"/>
    </row>
    <row r="18" spans="3:19" x14ac:dyDescent="0.25">
      <c r="C18" s="268" t="s">
        <v>462</v>
      </c>
      <c r="D18" s="269" t="s">
        <v>463</v>
      </c>
      <c r="E18" s="269" t="s">
        <v>464</v>
      </c>
      <c r="F18" s="270" t="s">
        <v>465</v>
      </c>
      <c r="G18" s="269" t="s">
        <v>466</v>
      </c>
      <c r="H18" s="269" t="s">
        <v>454</v>
      </c>
      <c r="I18" s="275" t="s">
        <v>467</v>
      </c>
      <c r="K18" s="272"/>
      <c r="L18" s="273"/>
      <c r="M18" s="273"/>
      <c r="N18" s="274"/>
      <c r="O18" s="267"/>
    </row>
    <row r="19" spans="3:19" ht="14.45" x14ac:dyDescent="0.3">
      <c r="C19" s="268" t="s">
        <v>468</v>
      </c>
      <c r="D19" s="269" t="s">
        <v>469</v>
      </c>
      <c r="E19" s="269" t="s">
        <v>470</v>
      </c>
      <c r="F19" s="270" t="s">
        <v>471</v>
      </c>
      <c r="G19" s="269" t="s">
        <v>472</v>
      </c>
      <c r="H19" s="269" t="s">
        <v>454</v>
      </c>
      <c r="I19" s="278" t="s">
        <v>473</v>
      </c>
      <c r="K19" s="272"/>
      <c r="L19" s="273"/>
      <c r="M19" s="273"/>
      <c r="N19" s="274"/>
      <c r="O19" s="267"/>
    </row>
    <row r="20" spans="3:19" thickBot="1" x14ac:dyDescent="0.35">
      <c r="C20" s="268" t="s">
        <v>474</v>
      </c>
      <c r="D20" s="269" t="s">
        <v>475</v>
      </c>
      <c r="E20" s="269" t="s">
        <v>476</v>
      </c>
      <c r="F20" s="270" t="s">
        <v>477</v>
      </c>
      <c r="G20" s="269" t="s">
        <v>460</v>
      </c>
      <c r="H20" s="269" t="s">
        <v>454</v>
      </c>
      <c r="I20" s="271" t="s">
        <v>478</v>
      </c>
      <c r="J20" s="279"/>
      <c r="K20" s="280"/>
      <c r="L20" s="281"/>
      <c r="M20" s="281"/>
      <c r="N20" s="282"/>
    </row>
    <row r="21" spans="3:19" x14ac:dyDescent="0.25">
      <c r="C21" s="268" t="s">
        <v>479</v>
      </c>
      <c r="D21" s="269" t="s">
        <v>480</v>
      </c>
      <c r="E21" s="269" t="s">
        <v>481</v>
      </c>
      <c r="F21" s="270" t="s">
        <v>482</v>
      </c>
      <c r="G21" s="269" t="s">
        <v>483</v>
      </c>
      <c r="H21" s="269" t="s">
        <v>454</v>
      </c>
      <c r="I21" s="271" t="s">
        <v>484</v>
      </c>
    </row>
    <row r="22" spans="3:19" x14ac:dyDescent="0.25">
      <c r="C22" s="268" t="s">
        <v>485</v>
      </c>
      <c r="D22" s="269" t="s">
        <v>486</v>
      </c>
      <c r="E22" s="269" t="s">
        <v>487</v>
      </c>
      <c r="F22" s="270" t="s">
        <v>488</v>
      </c>
      <c r="G22" s="269" t="s">
        <v>489</v>
      </c>
      <c r="H22" s="269" t="s">
        <v>454</v>
      </c>
      <c r="I22" s="276" t="s">
        <v>490</v>
      </c>
    </row>
    <row r="23" spans="3:19" ht="14.45" x14ac:dyDescent="0.3">
      <c r="C23" s="268" t="s">
        <v>491</v>
      </c>
      <c r="D23" s="269" t="s">
        <v>492</v>
      </c>
      <c r="E23" s="269" t="s">
        <v>493</v>
      </c>
      <c r="F23" s="270" t="s">
        <v>494</v>
      </c>
      <c r="G23" s="269" t="s">
        <v>495</v>
      </c>
      <c r="H23" s="269" t="s">
        <v>454</v>
      </c>
      <c r="I23" s="271" t="s">
        <v>496</v>
      </c>
    </row>
    <row r="24" spans="3:19" x14ac:dyDescent="0.25">
      <c r="C24" s="268" t="s">
        <v>497</v>
      </c>
      <c r="D24" s="269" t="s">
        <v>498</v>
      </c>
      <c r="E24" s="269" t="s">
        <v>499</v>
      </c>
      <c r="F24" s="270" t="s">
        <v>500</v>
      </c>
      <c r="G24" s="269" t="s">
        <v>501</v>
      </c>
      <c r="H24" s="269" t="s">
        <v>502</v>
      </c>
      <c r="I24" s="271" t="s">
        <v>503</v>
      </c>
    </row>
    <row r="25" spans="3:19" ht="14.45" x14ac:dyDescent="0.3">
      <c r="C25" s="268" t="s">
        <v>504</v>
      </c>
      <c r="D25" s="269" t="s">
        <v>505</v>
      </c>
      <c r="E25" s="269" t="s">
        <v>506</v>
      </c>
      <c r="F25" s="270" t="s">
        <v>507</v>
      </c>
      <c r="G25" s="269" t="s">
        <v>508</v>
      </c>
      <c r="H25" s="269" t="s">
        <v>502</v>
      </c>
      <c r="I25" s="271" t="s">
        <v>509</v>
      </c>
    </row>
    <row r="26" spans="3:19" ht="14.45" x14ac:dyDescent="0.3">
      <c r="C26" s="268" t="s">
        <v>510</v>
      </c>
      <c r="D26" s="269" t="s">
        <v>511</v>
      </c>
      <c r="E26" s="269" t="s">
        <v>512</v>
      </c>
      <c r="F26" s="270" t="s">
        <v>513</v>
      </c>
      <c r="G26" s="269" t="s">
        <v>514</v>
      </c>
      <c r="H26" s="269" t="s">
        <v>502</v>
      </c>
      <c r="I26" s="271" t="s">
        <v>515</v>
      </c>
    </row>
    <row r="27" spans="3:19" x14ac:dyDescent="0.25">
      <c r="C27" s="268" t="s">
        <v>516</v>
      </c>
      <c r="D27" s="269" t="s">
        <v>517</v>
      </c>
      <c r="E27" s="269" t="s">
        <v>518</v>
      </c>
      <c r="F27" s="270" t="s">
        <v>519</v>
      </c>
      <c r="G27" s="269" t="s">
        <v>520</v>
      </c>
      <c r="H27" s="269" t="s">
        <v>502</v>
      </c>
      <c r="I27" s="271" t="s">
        <v>521</v>
      </c>
    </row>
    <row r="28" spans="3:19" thickBot="1" x14ac:dyDescent="0.35">
      <c r="C28" s="283" t="s">
        <v>522</v>
      </c>
      <c r="D28" s="284" t="s">
        <v>523</v>
      </c>
      <c r="E28" s="284" t="s">
        <v>524</v>
      </c>
      <c r="F28" s="285" t="s">
        <v>525</v>
      </c>
      <c r="G28" s="284" t="s">
        <v>526</v>
      </c>
      <c r="H28" s="284" t="s">
        <v>502</v>
      </c>
      <c r="I28" s="286" t="s">
        <v>527</v>
      </c>
    </row>
    <row r="30" spans="3:19" thickBot="1" x14ac:dyDescent="0.35"/>
    <row r="31" spans="3:19" ht="15.75" thickBot="1" x14ac:dyDescent="0.3">
      <c r="C31" s="521" t="s">
        <v>528</v>
      </c>
      <c r="D31" s="522"/>
      <c r="E31" s="522"/>
      <c r="F31" s="522"/>
      <c r="G31" s="522"/>
      <c r="H31" s="522"/>
      <c r="I31" s="522"/>
      <c r="J31" s="522"/>
      <c r="K31" s="522"/>
      <c r="L31" s="522"/>
      <c r="M31" s="522"/>
      <c r="N31" s="522"/>
      <c r="O31" s="522"/>
      <c r="P31" s="522"/>
      <c r="Q31" s="522"/>
      <c r="R31" s="522"/>
      <c r="S31" s="523"/>
    </row>
    <row r="32" spans="3:19" x14ac:dyDescent="0.25">
      <c r="C32" s="287" t="s">
        <v>285</v>
      </c>
      <c r="D32" s="288" t="s">
        <v>286</v>
      </c>
      <c r="E32" s="288" t="s">
        <v>287</v>
      </c>
      <c r="F32" s="288" t="s">
        <v>288</v>
      </c>
      <c r="G32" s="288" t="s">
        <v>289</v>
      </c>
      <c r="H32" s="288" t="s">
        <v>290</v>
      </c>
      <c r="I32" s="288" t="s">
        <v>291</v>
      </c>
      <c r="J32" s="288" t="s">
        <v>292</v>
      </c>
      <c r="K32" s="288" t="s">
        <v>293</v>
      </c>
      <c r="L32" s="288" t="s">
        <v>303</v>
      </c>
      <c r="M32" s="289" t="s">
        <v>529</v>
      </c>
      <c r="N32" s="289" t="s">
        <v>530</v>
      </c>
      <c r="O32" s="289" t="s">
        <v>531</v>
      </c>
      <c r="P32" s="289" t="s">
        <v>352</v>
      </c>
      <c r="Q32" s="289" t="s">
        <v>532</v>
      </c>
      <c r="R32" s="289" t="s">
        <v>533</v>
      </c>
      <c r="S32" s="290" t="s">
        <v>311</v>
      </c>
    </row>
    <row r="33" spans="3:19" x14ac:dyDescent="0.25">
      <c r="C33" s="291" t="s">
        <v>534</v>
      </c>
      <c r="D33" s="273" t="s">
        <v>535</v>
      </c>
      <c r="E33" s="273" t="s">
        <v>536</v>
      </c>
      <c r="F33" s="273" t="s">
        <v>537</v>
      </c>
      <c r="G33" s="273">
        <v>3336859865</v>
      </c>
      <c r="H33" s="273" t="s">
        <v>538</v>
      </c>
      <c r="I33" s="292" t="s">
        <v>434</v>
      </c>
      <c r="J33" s="293" t="s">
        <v>539</v>
      </c>
      <c r="K33" s="273" t="s">
        <v>540</v>
      </c>
      <c r="L33" s="273" t="s">
        <v>541</v>
      </c>
      <c r="M33" s="294">
        <v>3000</v>
      </c>
      <c r="N33" s="294"/>
      <c r="O33" s="294"/>
      <c r="P33" s="294"/>
      <c r="Q33" s="294"/>
      <c r="R33" s="294"/>
      <c r="S33" s="295"/>
    </row>
    <row r="34" spans="3:19" x14ac:dyDescent="0.25">
      <c r="C34" s="291" t="s">
        <v>542</v>
      </c>
      <c r="D34" s="273" t="s">
        <v>535</v>
      </c>
      <c r="E34" s="273" t="s">
        <v>543</v>
      </c>
      <c r="F34" s="273" t="s">
        <v>544</v>
      </c>
      <c r="G34" s="273">
        <v>3336859865</v>
      </c>
      <c r="H34" s="273" t="s">
        <v>545</v>
      </c>
      <c r="I34" s="292" t="s">
        <v>440</v>
      </c>
      <c r="J34" s="293" t="s">
        <v>546</v>
      </c>
      <c r="K34" s="273" t="s">
        <v>547</v>
      </c>
      <c r="L34" s="273" t="s">
        <v>541</v>
      </c>
      <c r="M34" s="294">
        <v>3000</v>
      </c>
      <c r="N34" s="294"/>
      <c r="O34" s="294"/>
      <c r="P34" s="294"/>
      <c r="Q34" s="294"/>
      <c r="R34" s="294"/>
      <c r="S34" s="295"/>
    </row>
    <row r="35" spans="3:19" x14ac:dyDescent="0.25">
      <c r="C35" s="291" t="s">
        <v>548</v>
      </c>
      <c r="D35" s="273" t="s">
        <v>535</v>
      </c>
      <c r="E35" s="273" t="s">
        <v>536</v>
      </c>
      <c r="F35" s="273" t="s">
        <v>537</v>
      </c>
      <c r="G35" s="273">
        <v>3336859865</v>
      </c>
      <c r="H35" s="273" t="s">
        <v>549</v>
      </c>
      <c r="I35" s="292" t="s">
        <v>446</v>
      </c>
      <c r="J35" s="293" t="s">
        <v>550</v>
      </c>
      <c r="K35" s="273" t="s">
        <v>551</v>
      </c>
      <c r="L35" s="273" t="s">
        <v>541</v>
      </c>
      <c r="M35" s="294">
        <v>3000</v>
      </c>
      <c r="N35" s="294"/>
      <c r="O35" s="294"/>
      <c r="P35" s="294"/>
      <c r="Q35" s="294"/>
      <c r="R35" s="294"/>
      <c r="S35" s="295"/>
    </row>
    <row r="36" spans="3:19" ht="14.45" x14ac:dyDescent="0.3">
      <c r="C36" s="291" t="s">
        <v>552</v>
      </c>
      <c r="D36" s="273" t="s">
        <v>535</v>
      </c>
      <c r="E36" s="273" t="s">
        <v>553</v>
      </c>
      <c r="F36" s="273" t="s">
        <v>544</v>
      </c>
      <c r="G36" s="273">
        <v>3336859865</v>
      </c>
      <c r="H36" s="273" t="s">
        <v>554</v>
      </c>
      <c r="I36" s="292" t="s">
        <v>452</v>
      </c>
      <c r="J36" s="293" t="s">
        <v>555</v>
      </c>
      <c r="K36" s="273" t="s">
        <v>556</v>
      </c>
      <c r="L36" s="273" t="s">
        <v>541</v>
      </c>
      <c r="M36" s="294">
        <v>3000</v>
      </c>
      <c r="N36" s="294"/>
      <c r="O36" s="294"/>
      <c r="P36" s="294"/>
      <c r="Q36" s="294"/>
      <c r="R36" s="294"/>
      <c r="S36" s="295"/>
    </row>
    <row r="37" spans="3:19" thickBot="1" x14ac:dyDescent="0.35">
      <c r="C37" s="280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2"/>
    </row>
  </sheetData>
  <mergeCells count="6">
    <mergeCell ref="C31:S31"/>
    <mergeCell ref="A2:AE2"/>
    <mergeCell ref="D5:E5"/>
    <mergeCell ref="I5:J5"/>
    <mergeCell ref="C6:I6"/>
    <mergeCell ref="K6:N6"/>
  </mergeCells>
  <hyperlinks>
    <hyperlink ref="K24" r:id="rId1" display="andréa.melo29@email.com"/>
    <hyperlink ref="I11" r:id="rId2"/>
    <hyperlink ref="I22" r:id="rId3"/>
    <hyperlink ref="I15" r:id="rId4"/>
    <hyperlink ref="J33" r:id="rId5"/>
    <hyperlink ref="J34" r:id="rId6"/>
    <hyperlink ref="J35" r:id="rId7"/>
    <hyperlink ref="J36" r:id="rId8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7">
    <tabColor rgb="FFFF0000"/>
  </sheetPr>
  <dimension ref="A1:AE37"/>
  <sheetViews>
    <sheetView showGridLines="0" zoomScale="55" zoomScaleNormal="55" workbookViewId="0">
      <selection activeCell="L35" sqref="L35"/>
    </sheetView>
  </sheetViews>
  <sheetFormatPr defaultColWidth="8.85546875" defaultRowHeight="15" x14ac:dyDescent="0.25"/>
  <cols>
    <col min="1" max="2" width="8.85546875" style="109"/>
    <col min="3" max="3" width="20.85546875" style="109" customWidth="1"/>
    <col min="4" max="4" width="28" style="109" bestFit="1" customWidth="1"/>
    <col min="5" max="5" width="21.28515625" style="109" customWidth="1"/>
    <col min="6" max="6" width="31" style="109" customWidth="1"/>
    <col min="7" max="7" width="32.7109375" style="109" bestFit="1" customWidth="1"/>
    <col min="8" max="8" width="24" style="109" bestFit="1" customWidth="1"/>
    <col min="9" max="10" width="24.5703125" style="109" bestFit="1" customWidth="1"/>
    <col min="11" max="11" width="17.85546875" style="109" bestFit="1" customWidth="1"/>
    <col min="12" max="12" width="28" style="109" bestFit="1" customWidth="1"/>
    <col min="13" max="13" width="21.28515625" style="109" bestFit="1" customWidth="1"/>
    <col min="14" max="14" width="31" style="109" bestFit="1" customWidth="1"/>
    <col min="15" max="16384" width="8.85546875" style="109"/>
  </cols>
  <sheetData>
    <row r="1" spans="1:31" ht="61.5" customHeight="1" x14ac:dyDescent="0.3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</row>
    <row r="2" spans="1:31" ht="46.15" customHeight="1" x14ac:dyDescent="0.3">
      <c r="A2" s="524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524"/>
      <c r="AD2" s="524"/>
      <c r="AE2" s="524"/>
    </row>
    <row r="4" spans="1:31" ht="14.45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7.45" x14ac:dyDescent="0.3">
      <c r="B5" s="1"/>
      <c r="C5" s="258"/>
      <c r="D5" s="525"/>
      <c r="E5" s="525"/>
      <c r="F5" s="1"/>
      <c r="G5" s="1"/>
      <c r="H5" s="258"/>
      <c r="I5" s="525"/>
      <c r="J5" s="525"/>
      <c r="K5" s="1"/>
    </row>
    <row r="6" spans="1:31" ht="17.45" x14ac:dyDescent="0.3">
      <c r="B6" s="1"/>
      <c r="C6" s="532" t="s">
        <v>557</v>
      </c>
      <c r="D6" s="532"/>
      <c r="E6" s="532"/>
      <c r="F6" s="532"/>
      <c r="G6" s="532"/>
      <c r="H6" s="296"/>
      <c r="I6" s="296"/>
      <c r="J6" s="259"/>
    </row>
    <row r="7" spans="1:31" x14ac:dyDescent="0.25">
      <c r="B7" s="1"/>
      <c r="C7" s="297" t="s">
        <v>282</v>
      </c>
      <c r="D7" s="297" t="s">
        <v>558</v>
      </c>
      <c r="E7" s="298" t="s">
        <v>359</v>
      </c>
      <c r="F7" s="297" t="s">
        <v>360</v>
      </c>
      <c r="G7" s="297" t="s">
        <v>559</v>
      </c>
      <c r="H7" s="299"/>
      <c r="I7" s="299"/>
      <c r="J7" s="258"/>
    </row>
    <row r="8" spans="1:31" ht="14.45" x14ac:dyDescent="0.3">
      <c r="B8" s="1"/>
      <c r="C8" s="300"/>
      <c r="D8" s="300"/>
      <c r="E8" s="301">
        <v>20</v>
      </c>
      <c r="F8" s="300"/>
      <c r="G8" s="300" t="s">
        <v>560</v>
      </c>
      <c r="H8" s="78"/>
      <c r="I8" s="302"/>
      <c r="J8" s="258"/>
    </row>
    <row r="9" spans="1:31" ht="14.45" x14ac:dyDescent="0.3">
      <c r="B9" s="1"/>
      <c r="C9" s="300"/>
      <c r="D9" s="303"/>
      <c r="E9" s="304">
        <v>30</v>
      </c>
      <c r="F9" s="300"/>
      <c r="G9" s="300" t="s">
        <v>560</v>
      </c>
      <c r="H9" s="78"/>
      <c r="I9" s="267"/>
      <c r="J9" s="258"/>
    </row>
    <row r="10" spans="1:31" ht="14.45" x14ac:dyDescent="0.3">
      <c r="B10" s="1"/>
      <c r="C10" s="300"/>
      <c r="D10" s="300"/>
      <c r="E10" s="304">
        <v>23</v>
      </c>
      <c r="F10" s="300"/>
      <c r="G10" s="300" t="s">
        <v>560</v>
      </c>
      <c r="H10" s="78"/>
      <c r="I10" s="302"/>
      <c r="J10" s="258"/>
    </row>
    <row r="11" spans="1:31" ht="14.45" x14ac:dyDescent="0.3">
      <c r="B11" s="1"/>
      <c r="C11" s="300"/>
      <c r="D11" s="300"/>
      <c r="E11" s="304">
        <v>50</v>
      </c>
      <c r="F11" s="300"/>
      <c r="G11" s="300" t="s">
        <v>560</v>
      </c>
      <c r="H11" s="78"/>
      <c r="I11" s="305"/>
      <c r="J11" s="1"/>
    </row>
    <row r="12" spans="1:31" ht="14.45" x14ac:dyDescent="0.3">
      <c r="B12" s="1"/>
      <c r="C12" s="300"/>
      <c r="D12" s="300"/>
      <c r="E12" s="304">
        <v>77</v>
      </c>
      <c r="F12" s="300"/>
      <c r="G12" s="300" t="s">
        <v>560</v>
      </c>
      <c r="H12" s="78"/>
      <c r="I12" s="267"/>
      <c r="J12" s="1"/>
    </row>
    <row r="13" spans="1:31" ht="14.45" x14ac:dyDescent="0.3">
      <c r="B13" s="1"/>
      <c r="C13" s="300"/>
      <c r="D13" s="300"/>
      <c r="E13" s="304">
        <v>55</v>
      </c>
      <c r="F13" s="300"/>
      <c r="G13" s="300" t="s">
        <v>560</v>
      </c>
      <c r="H13" s="78"/>
      <c r="I13" s="302"/>
      <c r="J13" s="1"/>
    </row>
    <row r="14" spans="1:31" ht="14.45" x14ac:dyDescent="0.3">
      <c r="C14" s="300"/>
      <c r="D14" s="300"/>
      <c r="E14" s="304">
        <v>130</v>
      </c>
      <c r="F14" s="300"/>
      <c r="G14" s="300" t="s">
        <v>560</v>
      </c>
      <c r="H14" s="78"/>
      <c r="I14" s="302"/>
    </row>
    <row r="15" spans="1:31" ht="14.45" x14ac:dyDescent="0.3">
      <c r="C15" s="300"/>
      <c r="D15" s="300"/>
      <c r="E15" s="304">
        <v>62</v>
      </c>
      <c r="F15" s="300"/>
      <c r="G15" s="300" t="s">
        <v>560</v>
      </c>
      <c r="H15" s="78"/>
      <c r="I15" s="306"/>
    </row>
    <row r="16" spans="1:31" ht="14.45" x14ac:dyDescent="0.3">
      <c r="C16" s="300"/>
      <c r="D16" s="300"/>
      <c r="E16" s="304">
        <v>8</v>
      </c>
      <c r="F16" s="300"/>
      <c r="G16" s="300" t="s">
        <v>560</v>
      </c>
      <c r="H16" s="78"/>
      <c r="I16" s="302"/>
    </row>
    <row r="17" spans="3:19" ht="14.45" x14ac:dyDescent="0.3">
      <c r="C17" s="300"/>
      <c r="D17" s="300"/>
      <c r="E17" s="304">
        <v>54</v>
      </c>
      <c r="F17" s="300"/>
      <c r="G17" s="300" t="s">
        <v>560</v>
      </c>
      <c r="H17" s="78"/>
      <c r="I17" s="267"/>
    </row>
    <row r="18" spans="3:19" ht="14.45" x14ac:dyDescent="0.3">
      <c r="C18" s="300"/>
      <c r="D18" s="300"/>
      <c r="E18" s="304">
        <v>4</v>
      </c>
      <c r="F18" s="300"/>
      <c r="G18" s="300" t="s">
        <v>560</v>
      </c>
      <c r="H18" s="78"/>
      <c r="I18" s="267"/>
    </row>
    <row r="19" spans="3:19" ht="14.45" x14ac:dyDescent="0.3">
      <c r="C19" s="300"/>
      <c r="D19" s="300"/>
      <c r="E19" s="304">
        <v>64</v>
      </c>
      <c r="F19" s="300"/>
      <c r="G19" s="300" t="s">
        <v>560</v>
      </c>
      <c r="H19" s="78"/>
      <c r="I19" s="307"/>
    </row>
    <row r="20" spans="3:19" ht="14.45" x14ac:dyDescent="0.3">
      <c r="C20" s="300"/>
      <c r="D20" s="300"/>
      <c r="E20" s="304">
        <v>78</v>
      </c>
      <c r="F20" s="300"/>
      <c r="G20" s="300" t="s">
        <v>560</v>
      </c>
      <c r="H20" s="78"/>
      <c r="I20" s="302"/>
      <c r="J20" s="279"/>
      <c r="K20" s="279"/>
      <c r="L20" s="1"/>
    </row>
    <row r="21" spans="3:19" thickBot="1" x14ac:dyDescent="0.35">
      <c r="C21" s="78"/>
      <c r="D21" s="78"/>
      <c r="E21" s="78"/>
      <c r="F21" s="302"/>
      <c r="G21" s="78"/>
      <c r="H21" s="78"/>
      <c r="I21" s="302"/>
    </row>
    <row r="22" spans="3:19" ht="17.45" x14ac:dyDescent="0.3">
      <c r="C22" s="533" t="s">
        <v>561</v>
      </c>
      <c r="D22" s="534"/>
      <c r="E22" s="534"/>
      <c r="F22" s="534"/>
      <c r="G22" s="534"/>
      <c r="H22" s="534"/>
      <c r="I22" s="534"/>
      <c r="J22" s="535"/>
      <c r="K22" s="308"/>
    </row>
    <row r="23" spans="3:19" ht="18" x14ac:dyDescent="0.25">
      <c r="C23" s="309" t="s">
        <v>220</v>
      </c>
      <c r="D23" s="310" t="s">
        <v>562</v>
      </c>
      <c r="E23" s="310" t="s">
        <v>563</v>
      </c>
      <c r="F23" s="310" t="s">
        <v>564</v>
      </c>
      <c r="G23" s="310" t="s">
        <v>565</v>
      </c>
      <c r="H23" s="310" t="s">
        <v>566</v>
      </c>
      <c r="I23" s="310" t="s">
        <v>567</v>
      </c>
      <c r="J23" s="311" t="s">
        <v>568</v>
      </c>
      <c r="K23" s="312" t="s">
        <v>259</v>
      </c>
    </row>
    <row r="24" spans="3:19" ht="18" x14ac:dyDescent="0.3">
      <c r="C24" s="313"/>
      <c r="D24" s="314"/>
      <c r="E24" s="314"/>
      <c r="F24" s="314"/>
      <c r="G24" s="314"/>
      <c r="H24" s="273"/>
      <c r="I24" s="273"/>
      <c r="J24" s="274"/>
      <c r="K24" s="1"/>
    </row>
    <row r="25" spans="3:19" ht="18" x14ac:dyDescent="0.3">
      <c r="C25" s="313"/>
      <c r="D25" s="314"/>
      <c r="E25" s="314"/>
      <c r="F25" s="314"/>
      <c r="G25" s="314"/>
      <c r="H25" s="273"/>
      <c r="I25" s="273"/>
      <c r="J25" s="274"/>
      <c r="K25" s="1"/>
    </row>
    <row r="26" spans="3:19" ht="14.45" x14ac:dyDescent="0.3">
      <c r="C26" s="272"/>
      <c r="D26" s="273"/>
      <c r="E26" s="273"/>
      <c r="F26" s="273"/>
      <c r="G26" s="273"/>
      <c r="H26" s="273"/>
      <c r="I26" s="273"/>
      <c r="J26" s="274"/>
      <c r="K26" s="1"/>
    </row>
    <row r="27" spans="3:19" ht="14.45" x14ac:dyDescent="0.3">
      <c r="C27" s="272"/>
      <c r="D27" s="273"/>
      <c r="E27" s="273"/>
      <c r="F27" s="273"/>
      <c r="G27" s="273"/>
      <c r="H27" s="273"/>
      <c r="I27" s="273"/>
      <c r="J27" s="274"/>
      <c r="K27" s="1"/>
    </row>
    <row r="28" spans="3:19" ht="14.45" x14ac:dyDescent="0.3">
      <c r="C28" s="272"/>
      <c r="D28" s="273"/>
      <c r="E28" s="273"/>
      <c r="F28" s="273"/>
      <c r="G28" s="273"/>
      <c r="H28" s="273"/>
      <c r="I28" s="273"/>
      <c r="J28" s="274"/>
      <c r="K28" s="1"/>
    </row>
    <row r="29" spans="3:19" thickBot="1" x14ac:dyDescent="0.35">
      <c r="C29" s="280"/>
      <c r="D29" s="281"/>
      <c r="E29" s="281"/>
      <c r="F29" s="281"/>
      <c r="G29" s="281"/>
      <c r="H29" s="281"/>
      <c r="I29" s="281"/>
      <c r="J29" s="282"/>
      <c r="K29" s="1"/>
    </row>
    <row r="31" spans="3:19" ht="14.45" x14ac:dyDescent="0.3">
      <c r="C31" s="315"/>
      <c r="D31" s="315"/>
      <c r="E31" s="315"/>
      <c r="F31" s="315"/>
      <c r="G31" s="315"/>
      <c r="H31" s="315"/>
      <c r="I31" s="315"/>
      <c r="J31" s="315"/>
      <c r="K31" s="315"/>
      <c r="L31" s="315"/>
      <c r="M31" s="315"/>
      <c r="N31" s="315"/>
      <c r="O31" s="315"/>
      <c r="P31" s="315"/>
      <c r="Q31" s="315"/>
      <c r="R31" s="315"/>
      <c r="S31" s="315"/>
    </row>
    <row r="32" spans="3:19" ht="14.45" x14ac:dyDescent="0.3"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7"/>
      <c r="N32" s="317"/>
      <c r="O32" s="317"/>
      <c r="P32" s="317"/>
      <c r="Q32" s="317"/>
      <c r="R32" s="317"/>
      <c r="S32" s="317"/>
    </row>
    <row r="33" spans="3:19" ht="14.45" x14ac:dyDescent="0.3">
      <c r="C33" s="258"/>
      <c r="D33" s="1"/>
      <c r="E33" s="1"/>
      <c r="F33" s="1"/>
      <c r="G33" s="1"/>
      <c r="H33" s="1"/>
      <c r="I33" s="302"/>
      <c r="J33" s="318"/>
      <c r="K33" s="1"/>
      <c r="L33" s="1"/>
      <c r="M33" s="319"/>
      <c r="N33" s="319"/>
      <c r="O33" s="319"/>
      <c r="P33" s="319"/>
      <c r="Q33" s="319"/>
      <c r="R33" s="319"/>
      <c r="S33" s="319"/>
    </row>
    <row r="34" spans="3:19" ht="14.45" x14ac:dyDescent="0.3">
      <c r="C34" s="258"/>
      <c r="D34" s="1"/>
      <c r="E34" s="1"/>
      <c r="F34" s="1"/>
      <c r="G34" s="1"/>
      <c r="H34" s="1"/>
      <c r="I34" s="302"/>
      <c r="J34" s="318"/>
      <c r="K34" s="1"/>
      <c r="L34" s="1"/>
      <c r="M34" s="319"/>
      <c r="N34" s="319"/>
      <c r="O34" s="319"/>
      <c r="P34" s="319"/>
      <c r="Q34" s="319"/>
      <c r="R34" s="319"/>
      <c r="S34" s="319"/>
    </row>
    <row r="35" spans="3:19" ht="14.45" x14ac:dyDescent="0.3">
      <c r="C35" s="258"/>
      <c r="D35" s="1"/>
      <c r="E35" s="1"/>
      <c r="F35" s="1"/>
      <c r="G35" s="1"/>
      <c r="H35" s="1"/>
      <c r="I35" s="302"/>
      <c r="J35" s="318"/>
      <c r="K35" s="1"/>
      <c r="L35" s="320"/>
      <c r="M35" s="319"/>
      <c r="N35" s="319"/>
      <c r="O35" s="319"/>
      <c r="P35" s="319"/>
      <c r="Q35" s="319"/>
      <c r="R35" s="319"/>
      <c r="S35" s="319"/>
    </row>
    <row r="36" spans="3:19" ht="14.45" x14ac:dyDescent="0.3">
      <c r="C36" s="258"/>
      <c r="D36" s="1"/>
      <c r="E36" s="1"/>
      <c r="F36" s="1"/>
      <c r="G36" s="1"/>
      <c r="H36" s="1"/>
      <c r="I36" s="302"/>
      <c r="J36" s="318"/>
      <c r="K36" s="1"/>
      <c r="L36" s="1"/>
      <c r="M36" s="319"/>
      <c r="N36" s="319"/>
      <c r="O36" s="319"/>
      <c r="P36" s="319"/>
      <c r="Q36" s="319"/>
      <c r="R36" s="319"/>
      <c r="S36" s="319"/>
    </row>
    <row r="37" spans="3:19" ht="14.45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</sheetData>
  <mergeCells count="5">
    <mergeCell ref="A2:AE2"/>
    <mergeCell ref="D5:E5"/>
    <mergeCell ref="I5:J5"/>
    <mergeCell ref="C6:G6"/>
    <mergeCell ref="C22:J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38</vt:i4>
      </vt:variant>
    </vt:vector>
  </HeadingPairs>
  <TitlesOfParts>
    <vt:vector size="38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N_VCINTRL</vt:lpstr>
      <vt:lpstr>N_VMETAS</vt:lpstr>
      <vt:lpstr>N_VRELCOM</vt:lpstr>
      <vt:lpstr>N_VRELMET</vt:lpstr>
      <vt:lpstr>N_CCADASTROF</vt:lpstr>
      <vt:lpstr>N_PROCFOR</vt:lpstr>
      <vt:lpstr>N_CMP</vt:lpstr>
      <vt:lpstr>N_CSOLICITAR</vt:lpstr>
      <vt:lpstr>SOLICITAÇÕES</vt:lpstr>
      <vt:lpstr>N_CREALIZARP</vt:lpstr>
      <vt:lpstr>N_FINANÇAS</vt:lpstr>
      <vt:lpstr>N_FINANÇAS (2)</vt:lpstr>
      <vt:lpstr>N_FINANÇAS (3)</vt:lpstr>
      <vt:lpstr>BANCO DE DADOS</vt:lpstr>
      <vt:lpstr>BANCO DE DADOS (2)</vt:lpstr>
      <vt:lpstr>BANCO DE DADOS (3)</vt:lpstr>
      <vt:lpstr>BD_CADAS</vt:lpstr>
      <vt:lpstr>BD_CADAS (2)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Samuel Doratiotto</cp:lastModifiedBy>
  <cp:revision/>
  <dcterms:created xsi:type="dcterms:W3CDTF">2024-10-25T18:08:44Z</dcterms:created>
  <dcterms:modified xsi:type="dcterms:W3CDTF">2024-11-27T03:18:07Z</dcterms:modified>
  <cp:category/>
  <cp:contentStatus/>
</cp:coreProperties>
</file>