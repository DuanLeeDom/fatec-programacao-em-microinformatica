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ownloads\"/>
    </mc:Choice>
  </mc:AlternateContent>
  <xr:revisionPtr revIDLastSave="0" documentId="13_ncr:1_{462DE0E6-17DD-4E9A-B035-EF10C74B4F8E}" xr6:coauthVersionLast="47" xr6:coauthVersionMax="47" xr10:uidLastSave="{00000000-0000-0000-0000-000000000000}"/>
  <bookViews>
    <workbookView xWindow="-108" yWindow="-108" windowWidth="23256" windowHeight="12456" tabRatio="902" firstSheet="22" activeTab="22" xr2:uid="{00000000-000D-0000-FFFF-FFFF00000000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93" r:id="rId8"/>
    <sheet name="N_LOGCRON" sheetId="94" r:id="rId9"/>
    <sheet name="N_LOGFRETE" sheetId="95" r:id="rId10"/>
    <sheet name="N_LOGRELAT" sheetId="96" r:id="rId11"/>
    <sheet name="N_LOGRAST" sheetId="97" r:id="rId12"/>
    <sheet name="N_LOGCAD" sheetId="98" r:id="rId13"/>
    <sheet name="N_ESTQSAÍDAS" sheetId="99" r:id="rId14"/>
    <sheet name="N_ESTQENTRAD" sheetId="100" r:id="rId15"/>
    <sheet name="N_RHCONTRATAÇÃO" sheetId="101" r:id="rId16"/>
    <sheet name="N_CADASTRAR" sheetId="102" r:id="rId17"/>
    <sheet name="N_RHFOLHA" sheetId="103" r:id="rId18"/>
    <sheet name="N_RHREF " sheetId="104" r:id="rId19"/>
    <sheet name="N_VCLIENTES" sheetId="105" r:id="rId20"/>
    <sheet name="N_VCINTRL" sheetId="106" r:id="rId21"/>
    <sheet name="N_VMETAS" sheetId="107" r:id="rId22"/>
    <sheet name="N_VRELCOM" sheetId="109" r:id="rId23"/>
    <sheet name="N_VRELMET" sheetId="108" r:id="rId24"/>
    <sheet name="N_CCADASTROF" sheetId="70" r:id="rId25"/>
    <sheet name="N_PROCFOR" sheetId="89" r:id="rId26"/>
    <sheet name="N_CMP" sheetId="88" r:id="rId27"/>
    <sheet name="N_CSOLICITAR" sheetId="90" r:id="rId28"/>
    <sheet name="N_CREALIZARP" sheetId="91" r:id="rId29"/>
    <sheet name="N_FINANÇAS" sheetId="69" r:id="rId30"/>
    <sheet name="BANCO DE DADOS" sheetId="92" r:id="rId31"/>
    <sheet name="BD_CADAS (2)" sheetId="111" r:id="rId32"/>
  </sheets>
  <externalReferences>
    <externalReference r:id="rId33"/>
    <externalReference r:id="rId34"/>
    <externalReference r:id="rId35"/>
  </externalReferences>
  <definedNames>
    <definedName name="QUEIJOS">#REF!</definedName>
    <definedName name="QUEIJOS_OF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107" l="1"/>
  <c r="K25" i="106"/>
  <c r="K27" i="106" s="1"/>
  <c r="K19" i="106"/>
  <c r="K17" i="106"/>
  <c r="K17" i="107" l="1"/>
  <c r="K19" i="107" s="1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<sst xmlns="http://schemas.openxmlformats.org/spreadsheetml/2006/main" count="1186" uniqueCount="435">
  <si>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</si>
  <si>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</si>
  <si>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</si>
  <si>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</si>
  <si>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</si>
  <si>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</si>
  <si>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</si>
  <si>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</si>
  <si>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</si>
  <si>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</si>
  <si>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</si>
  <si>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</si>
  <si>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</si>
  <si>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</si>
  <si>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</si>
  <si>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</si>
  <si>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</si>
  <si>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</si>
  <si>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</si>
  <si>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</si>
  <si>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</si>
  <si>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</si>
  <si>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</si>
  <si>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</si>
  <si>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</si>
  <si>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</si>
  <si>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</si>
  <si>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</si>
  <si>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</si>
  <si>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</si>
  <si>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</si>
  <si>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</si>
  <si>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</si>
  <si>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</si>
  <si>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</si>
  <si>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</si>
  <si>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</si>
  <si>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</si>
  <si>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</si>
  <si>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</si>
  <si>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</si>
  <si>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</si>
  <si>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</si>
  <si>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</si>
  <si>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</si>
  <si>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</si>
  <si>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</si>
  <si>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</si>
  <si>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</si>
  <si>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</si>
  <si>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</si>
  <si>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</si>
  <si>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</si>
  <si>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</si>
  <si>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</si>
  <si>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</si>
  <si>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</si>
  <si>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</si>
  <si>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</si>
  <si>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</si>
  <si>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</si>
  <si>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</si>
  <si>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</si>
  <si>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</si>
  <si>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</si>
  <si>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</si>
  <si>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</si>
  <si>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</si>
  <si>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</si>
  <si>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</si>
  <si>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</si>
  <si>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</si>
  <si>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</si>
  <si>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</si>
  <si>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</si>
  <si>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</si>
  <si>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</si>
  <si>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</si>
  <si>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</si>
  <si>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</si>
  <si>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</si>
  <si>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</si>
  <si>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</si>
  <si>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</si>
  <si>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</si>
  <si>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</si>
  <si>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</si>
  <si>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</si>
  <si>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</si>
  <si>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</si>
  <si>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</si>
  <si>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</si>
  <si>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</si>
  <si>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</si>
  <si>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</si>
  <si>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</si>
  <si>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</si>
  <si>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</si>
  <si>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</si>
  <si>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</si>
  <si>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</si>
  <si>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</si>
  <si>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</si>
  <si>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</si>
  <si>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</si>
  <si>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</si>
  <si>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</si>
  <si>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</si>
  <si>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</si>
  <si>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</si>
  <si>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</si>
  <si>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</si>
  <si>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</si>
  <si>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</si>
  <si>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</si>
  <si>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</si>
  <si>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</si>
  <si>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</si>
  <si>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</si>
  <si>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</si>
  <si>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</si>
  <si>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</si>
  <si>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</si>
  <si>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</si>
  <si>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</si>
  <si>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</si>
  <si>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</si>
  <si>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</si>
  <si>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</si>
  <si>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</si>
  <si>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</si>
  <si>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</si>
  <si>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</si>
  <si>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</si>
  <si>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</si>
  <si>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</si>
  <si>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</si>
  <si>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</si>
  <si>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</si>
  <si>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</si>
  <si>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</si>
  <si>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</si>
  <si>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</si>
  <si>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</si>
  <si>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</si>
  <si>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</si>
  <si>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</si>
  <si>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</si>
  <si>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</si>
  <si>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</si>
  <si>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</si>
  <si>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</si>
  <si>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</si>
  <si>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</si>
  <si>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</si>
  <si>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</si>
  <si>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</si>
  <si>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</si>
  <si>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</si>
  <si>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</si>
  <si>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</si>
  <si>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</si>
  <si>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</si>
  <si>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</si>
  <si>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</si>
  <si>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</si>
  <si>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</si>
  <si>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</si>
  <si>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</si>
  <si>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</si>
  <si>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</si>
  <si>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</si>
  <si>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</si>
  <si>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</si>
  <si>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</si>
  <si>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</si>
  <si>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</si>
  <si>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</si>
  <si>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</si>
  <si>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</si>
  <si>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</si>
  <si>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</si>
  <si>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</si>
  <si>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</si>
  <si>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</si>
  <si>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</si>
  <si>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</si>
  <si>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</si>
  <si>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</si>
  <si>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</si>
  <si>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</si>
  <si>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</si>
  <si>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</si>
  <si>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</si>
  <si>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</si>
  <si>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</si>
  <si>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</si>
  <si>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</si>
  <si>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</si>
  <si>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</si>
  <si>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</si>
  <si>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</si>
  <si>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</si>
  <si>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</si>
  <si>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</si>
  <si>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</si>
  <si>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</si>
  <si>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</si>
  <si>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</si>
  <si>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</si>
  <si>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</si>
  <si>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</si>
  <si>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</si>
  <si>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</si>
  <si>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</si>
  <si>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</si>
  <si>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</si>
  <si>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</si>
  <si>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</si>
  <si>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</si>
  <si>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</si>
  <si>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</si>
  <si>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</si>
  <si>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</si>
  <si>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</si>
  <si>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</si>
  <si>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</si>
  <si>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</si>
  <si>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</si>
  <si>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</si>
  <si>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</si>
  <si>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</si>
  <si>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</si>
  <si>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</si>
  <si>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</si>
  <si>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</si>
  <si>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</si>
  <si>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</si>
  <si>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</si>
  <si>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</si>
  <si>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</si>
  <si>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</si>
  <si>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</si>
  <si>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</si>
  <si>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</si>
  <si>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</si>
  <si>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</si>
  <si>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</si>
  <si>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</si>
  <si>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</si>
  <si>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</si>
  <si>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</si>
  <si>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</si>
  <si>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</si>
  <si>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</si>
  <si>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</si>
  <si>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</si>
  <si>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</si>
  <si>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</si>
  <si>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</si>
  <si>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</si>
  <si>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</si>
  <si>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</si>
  <si>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</si>
  <si>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</si>
  <si>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</si>
  <si>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</si>
  <si>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</si>
  <si>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</si>
  <si>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</si>
  <si>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</si>
  <si>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</si>
  <si>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</si>
  <si>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</si>
  <si>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</si>
  <si>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</si>
  <si>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</si>
  <si>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</si>
  <si>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</si>
  <si>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</si>
  <si>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</si>
  <si>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</si>
  <si>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</si>
  <si>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</si>
  <si>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</si>
  <si>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</si>
  <si>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</si>
  <si>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</si>
  <si>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</si>
  <si>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</si>
  <si>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</si>
  <si>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</si>
  <si>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</si>
  <si>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</si>
  <si>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</si>
  <si>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</si>
  <si>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</si>
  <si>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</si>
  <si>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</si>
  <si>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</si>
  <si>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</si>
  <si>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</si>
  <si>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</si>
  <si>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</si>
  <si>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</si>
  <si>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</si>
  <si>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</si>
  <si>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</si>
  <si>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</si>
  <si>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</si>
  <si>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</si>
  <si>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</si>
  <si>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</si>
  <si>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</si>
  <si>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</si>
  <si>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</si>
  <si>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</si>
  <si>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</si>
  <si>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</si>
  <si>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</si>
  <si>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</si>
  <si>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</si>
  <si>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</si>
  <si>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</si>
  <si>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</si>
  <si>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</si>
  <si>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</si>
  <si>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</si>
  <si>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</si>
  <si>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</si>
  <si>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</si>
  <si>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</si>
  <si>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</si>
  <si>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</si>
  <si>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</si>
  <si>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</si>
  <si>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</si>
  <si>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</si>
  <si>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</si>
  <si>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</si>
  <si>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</si>
  <si>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</si>
  <si>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</si>
  <si>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</si>
  <si>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</si>
  <si>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</si>
  <si>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</si>
  <si>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</si>
  <si>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</si>
  <si>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</si>
  <si>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</si>
  <si>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</si>
  <si>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</si>
  <si>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</si>
  <si>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</si>
  <si>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</si>
  <si>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</si>
  <si>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</si>
  <si>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</si>
  <si>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</si>
  <si>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</si>
  <si>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</si>
  <si>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</si>
  <si>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</si>
  <si>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</si>
  <si>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</si>
  <si>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</si>
  <si>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</si>
  <si>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</si>
  <si>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</si>
  <si>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</si>
  <si>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</si>
  <si>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</si>
  <si>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</si>
  <si>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</si>
  <si>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</si>
  <si>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</si>
  <si>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</si>
  <si>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</si>
  <si>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</si>
  <si>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</si>
  <si>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</si>
  <si>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</si>
  <si>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</si>
  <si>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PROCURAR FORNECEDOR</t>
  </si>
  <si>
    <t>CONTROLE DE MATÉRIA-PRIMA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</si>
  <si>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</si>
  <si>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</si>
  <si>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</si>
  <si>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</si>
  <si>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</si>
  <si>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</si>
  <si>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</si>
  <si>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</si>
  <si>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</si>
  <si>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</si>
  <si>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</si>
  <si>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</si>
  <si>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</si>
  <si>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</si>
  <si>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</si>
  <si>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</si>
  <si>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</si>
  <si>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</si>
  <si>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</si>
  <si>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TELEFONE</t>
  </si>
  <si>
    <t>ESTADO</t>
  </si>
  <si>
    <t>17.389.690/0001-15</t>
  </si>
  <si>
    <t>Cantinho do Doce</t>
  </si>
  <si>
    <t>66.501.356/0001-17</t>
  </si>
  <si>
    <t>Rua do Comércio, 11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</si>
  <si>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</si>
  <si>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</si>
  <si>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</si>
  <si>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</si>
  <si>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</si>
  <si>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</si>
  <si>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</si>
  <si>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</si>
  <si>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</si>
  <si>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</si>
  <si>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</si>
  <si>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</si>
  <si>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TIPO DE QUEIJOS</t>
  </si>
  <si>
    <t xml:space="preserve">Queijo Meia Cura </t>
  </si>
  <si>
    <t>Queijo Minas</t>
  </si>
  <si>
    <t>Queijo Mussarela</t>
  </si>
  <si>
    <t>Queijos</t>
  </si>
  <si>
    <t>Ana</t>
  </si>
  <si>
    <t>Carlos</t>
  </si>
  <si>
    <t>META ATINGIDA</t>
  </si>
  <si>
    <t>META</t>
  </si>
  <si>
    <t>TOTAL DAS VENDAS</t>
  </si>
  <si>
    <t>TOTAL DA VENDAS</t>
  </si>
  <si>
    <t>META NÃO ATINGIDA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</si>
</sst>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u/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  <font>
      <u/>
      <sz val="11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521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8" fillId="17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9" fillId="17" borderId="0" xfId="0" applyFont="1" applyFill="1"/>
    <xf numFmtId="0" fontId="10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vertical="center"/>
    </xf>
    <xf numFmtId="0" fontId="6" fillId="17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3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3" fillId="13" borderId="46" xfId="0" applyFont="1" applyFill="1" applyBorder="1" applyAlignment="1"/>
    <xf numFmtId="0" fontId="2" fillId="13" borderId="47" xfId="0" applyFont="1" applyFill="1" applyBorder="1" applyAlignment="1"/>
    <xf numFmtId="0" fontId="14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2" xfId="0" applyFont="1" applyFill="1" applyBorder="1"/>
    <xf numFmtId="0" fontId="9" fillId="2" borderId="52" xfId="0" applyFont="1" applyFill="1" applyBorder="1" applyAlignment="1">
      <alignment horizontal="center"/>
    </xf>
    <xf numFmtId="0" fontId="9" fillId="10" borderId="0" xfId="0" applyFont="1" applyFill="1" applyBorder="1"/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21" fillId="2" borderId="52" xfId="0" applyFont="1" applyFill="1" applyBorder="1" applyAlignment="1">
      <alignment horizontal="center" vertical="center"/>
    </xf>
    <xf numFmtId="0" fontId="21" fillId="10" borderId="7" xfId="0" applyFont="1" applyFill="1" applyBorder="1" applyAlignment="1">
      <alignment horizontal="left" vertical="center"/>
    </xf>
    <xf numFmtId="0" fontId="21" fillId="10" borderId="0" xfId="0" applyFont="1" applyFill="1" applyBorder="1" applyAlignment="1">
      <alignment vertical="center"/>
    </xf>
    <xf numFmtId="0" fontId="21" fillId="10" borderId="8" xfId="0" applyFont="1" applyFill="1" applyBorder="1" applyAlignment="1">
      <alignment vertical="center"/>
    </xf>
    <xf numFmtId="0" fontId="21" fillId="10" borderId="9" xfId="0" applyFont="1" applyFill="1" applyBorder="1" applyAlignment="1">
      <alignment horizontal="left" vertical="center"/>
    </xf>
    <xf numFmtId="0" fontId="21" fillId="10" borderId="10" xfId="0" applyFont="1" applyFill="1" applyBorder="1" applyAlignment="1">
      <alignment vertical="center"/>
    </xf>
    <xf numFmtId="0" fontId="21" fillId="10" borderId="11" xfId="0" applyFont="1" applyFill="1" applyBorder="1" applyAlignment="1">
      <alignment vertical="center"/>
    </xf>
    <xf numFmtId="0" fontId="0" fillId="10" borderId="7" xfId="0" applyFill="1" applyBorder="1"/>
    <xf numFmtId="0" fontId="21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2" fillId="10" borderId="7" xfId="0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30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5" fillId="3" borderId="0" xfId="0" applyFont="1" applyFill="1"/>
    <xf numFmtId="0" fontId="0" fillId="0" borderId="0" xfId="0"/>
    <xf numFmtId="0" fontId="31" fillId="13" borderId="0" xfId="0" applyFont="1" applyFill="1" applyBorder="1" applyAlignment="1"/>
    <xf numFmtId="0" fontId="0" fillId="0" borderId="0" xfId="0"/>
    <xf numFmtId="0" fontId="0" fillId="7" borderId="0" xfId="0" applyFill="1"/>
    <xf numFmtId="0" fontId="33" fillId="10" borderId="0" xfId="0" applyFont="1" applyFill="1" applyBorder="1"/>
    <xf numFmtId="0" fontId="20" fillId="10" borderId="0" xfId="0" applyFont="1" applyFill="1" applyBorder="1" applyAlignment="1">
      <alignment horizontal="left"/>
    </xf>
    <xf numFmtId="0" fontId="33" fillId="10" borderId="0" xfId="0" applyFont="1" applyFill="1" applyBorder="1" applyAlignment="1">
      <alignment horizontal="left"/>
    </xf>
    <xf numFmtId="0" fontId="20" fillId="10" borderId="0" xfId="0" applyFont="1" applyFill="1" applyBorder="1"/>
    <xf numFmtId="0" fontId="0" fillId="10" borderId="0" xfId="0" applyFont="1" applyFill="1" applyBorder="1"/>
    <xf numFmtId="0" fontId="33" fillId="11" borderId="0" xfId="0" applyFont="1" applyFill="1" applyBorder="1" applyAlignment="1">
      <alignment horizontal="left"/>
    </xf>
    <xf numFmtId="0" fontId="33" fillId="2" borderId="1" xfId="0" applyFont="1" applyFill="1" applyBorder="1" applyAlignment="1">
      <alignment horizontal="left"/>
    </xf>
    <xf numFmtId="0" fontId="33" fillId="2" borderId="1" xfId="0" applyNumberFormat="1" applyFont="1" applyFill="1" applyBorder="1" applyAlignment="1">
      <alignment horizontal="left"/>
    </xf>
    <xf numFmtId="0" fontId="36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24" fillId="10" borderId="0" xfId="0" applyFont="1" applyFill="1" applyBorder="1"/>
    <xf numFmtId="0" fontId="27" fillId="10" borderId="0" xfId="0" applyFont="1" applyFill="1" applyBorder="1" applyAlignment="1">
      <alignment vertical="center"/>
    </xf>
    <xf numFmtId="0" fontId="37" fillId="10" borderId="0" xfId="0" applyFont="1" applyFill="1" applyBorder="1"/>
    <xf numFmtId="0" fontId="26" fillId="2" borderId="1" xfId="0" applyFont="1" applyFill="1" applyBorder="1"/>
    <xf numFmtId="0" fontId="26" fillId="10" borderId="0" xfId="0" applyFont="1" applyFill="1" applyBorder="1"/>
    <xf numFmtId="0" fontId="24" fillId="10" borderId="0" xfId="0" applyFont="1" applyFill="1" applyBorder="1" applyAlignment="1">
      <alignment horizontal="left"/>
    </xf>
    <xf numFmtId="0" fontId="26" fillId="10" borderId="0" xfId="0" applyFont="1" applyFill="1" applyBorder="1" applyAlignment="1">
      <alignment horizontal="left"/>
    </xf>
    <xf numFmtId="0" fontId="26" fillId="2" borderId="1" xfId="0" applyFont="1" applyFill="1" applyBorder="1" applyAlignment="1">
      <alignment horizontal="left"/>
    </xf>
    <xf numFmtId="0" fontId="26" fillId="2" borderId="1" xfId="0" applyNumberFormat="1" applyFont="1" applyFill="1" applyBorder="1" applyAlignment="1">
      <alignment horizontal="left"/>
    </xf>
    <xf numFmtId="0" fontId="38" fillId="2" borderId="1" xfId="2" applyFont="1" applyFill="1" applyBorder="1" applyAlignment="1">
      <alignment horizontal="left"/>
    </xf>
    <xf numFmtId="0" fontId="26" fillId="11" borderId="0" xfId="0" applyFont="1" applyFill="1" applyBorder="1" applyAlignment="1">
      <alignment horizontal="left"/>
    </xf>
    <xf numFmtId="0" fontId="26" fillId="3" borderId="1" xfId="0" applyFont="1" applyFill="1" applyBorder="1" applyAlignment="1">
      <alignment horizontal="left"/>
    </xf>
    <xf numFmtId="0" fontId="27" fillId="10" borderId="7" xfId="0" applyFont="1" applyFill="1" applyBorder="1" applyAlignment="1">
      <alignment vertical="center"/>
    </xf>
    <xf numFmtId="0" fontId="27" fillId="10" borderId="8" xfId="0" applyFont="1" applyFill="1" applyBorder="1" applyAlignment="1">
      <alignment vertical="center"/>
    </xf>
    <xf numFmtId="0" fontId="37" fillId="10" borderId="7" xfId="0" applyFont="1" applyFill="1" applyBorder="1"/>
    <xf numFmtId="0" fontId="37" fillId="10" borderId="8" xfId="0" applyFont="1" applyFill="1" applyBorder="1"/>
    <xf numFmtId="0" fontId="26" fillId="10" borderId="7" xfId="0" applyFont="1" applyFill="1" applyBorder="1" applyAlignment="1">
      <alignment horizontal="left"/>
    </xf>
    <xf numFmtId="0" fontId="26" fillId="10" borderId="8" xfId="0" applyFont="1" applyFill="1" applyBorder="1" applyAlignment="1">
      <alignment horizontal="left"/>
    </xf>
    <xf numFmtId="0" fontId="26" fillId="11" borderId="8" xfId="0" applyFont="1" applyFill="1" applyBorder="1" applyAlignment="1">
      <alignment horizontal="left"/>
    </xf>
    <xf numFmtId="0" fontId="26" fillId="10" borderId="9" xfId="0" applyFont="1" applyFill="1" applyBorder="1" applyAlignment="1">
      <alignment horizontal="left"/>
    </xf>
    <xf numFmtId="0" fontId="26" fillId="10" borderId="10" xfId="0" applyFont="1" applyFill="1" applyBorder="1" applyAlignment="1">
      <alignment horizontal="left"/>
    </xf>
    <xf numFmtId="0" fontId="26" fillId="11" borderId="10" xfId="0" applyFont="1" applyFill="1" applyBorder="1" applyAlignment="1">
      <alignment horizontal="left"/>
    </xf>
    <xf numFmtId="0" fontId="26" fillId="11" borderId="11" xfId="0" applyFont="1" applyFill="1" applyBorder="1" applyAlignment="1">
      <alignment horizontal="left"/>
    </xf>
    <xf numFmtId="165" fontId="26" fillId="3" borderId="1" xfId="0" applyNumberFormat="1" applyFont="1" applyFill="1" applyBorder="1" applyAlignment="1">
      <alignment horizontal="left"/>
    </xf>
    <xf numFmtId="0" fontId="37" fillId="2" borderId="0" xfId="0" applyFont="1" applyFill="1" applyBorder="1"/>
    <xf numFmtId="0" fontId="26" fillId="2" borderId="0" xfId="0" applyFont="1" applyFill="1" applyBorder="1"/>
    <xf numFmtId="0" fontId="24" fillId="2" borderId="0" xfId="0" applyFont="1" applyFill="1" applyBorder="1" applyAlignment="1">
      <alignment horizontal="left"/>
    </xf>
    <xf numFmtId="0" fontId="26" fillId="2" borderId="0" xfId="0" applyFont="1" applyFill="1" applyBorder="1" applyAlignment="1">
      <alignment horizontal="left"/>
    </xf>
    <xf numFmtId="0" fontId="26" fillId="3" borderId="0" xfId="0" applyFont="1" applyFill="1" applyBorder="1" applyAlignment="1">
      <alignment horizontal="left"/>
    </xf>
    <xf numFmtId="165" fontId="26" fillId="3" borderId="0" xfId="0" applyNumberFormat="1" applyFont="1" applyFill="1" applyBorder="1" applyAlignment="1">
      <alignment horizontal="left"/>
    </xf>
    <xf numFmtId="0" fontId="0" fillId="0" borderId="0" xfId="0"/>
    <xf numFmtId="0" fontId="0" fillId="7" borderId="0" xfId="0" applyFill="1"/>
    <xf numFmtId="0" fontId="34" fillId="2" borderId="1" xfId="0" applyFont="1" applyFill="1" applyBorder="1"/>
    <xf numFmtId="0" fontId="33" fillId="2" borderId="1" xfId="0" applyFont="1" applyFill="1" applyBorder="1"/>
    <xf numFmtId="0" fontId="32" fillId="2" borderId="0" xfId="0" applyFont="1" applyFill="1" applyBorder="1" applyAlignment="1"/>
    <xf numFmtId="0" fontId="33" fillId="2" borderId="0" xfId="0" applyFont="1" applyFill="1" applyBorder="1"/>
    <xf numFmtId="0" fontId="33" fillId="10" borderId="7" xfId="0" applyFont="1" applyFill="1" applyBorder="1"/>
    <xf numFmtId="0" fontId="33" fillId="10" borderId="8" xfId="0" applyFont="1" applyFill="1" applyBorder="1"/>
    <xf numFmtId="0" fontId="33" fillId="10" borderId="9" xfId="0" applyFont="1" applyFill="1" applyBorder="1"/>
    <xf numFmtId="0" fontId="33" fillId="10" borderId="10" xfId="0" applyFont="1" applyFill="1" applyBorder="1"/>
    <xf numFmtId="0" fontId="33" fillId="10" borderId="11" xfId="0" applyFont="1" applyFill="1" applyBorder="1"/>
    <xf numFmtId="0" fontId="0" fillId="0" borderId="0" xfId="0"/>
    <xf numFmtId="0" fontId="0" fillId="7" borderId="0" xfId="0" applyFill="1"/>
    <xf numFmtId="0" fontId="33" fillId="2" borderId="1" xfId="0" applyFont="1" applyFill="1" applyBorder="1"/>
    <xf numFmtId="0" fontId="33" fillId="10" borderId="7" xfId="0" applyFont="1" applyFill="1" applyBorder="1" applyAlignment="1">
      <alignment horizontal="left"/>
    </xf>
    <xf numFmtId="0" fontId="33" fillId="10" borderId="8" xfId="0" applyFont="1" applyFill="1" applyBorder="1" applyAlignment="1">
      <alignment horizontal="left"/>
    </xf>
    <xf numFmtId="0" fontId="0" fillId="10" borderId="7" xfId="0" applyFont="1" applyFill="1" applyBorder="1"/>
    <xf numFmtId="0" fontId="0" fillId="10" borderId="8" xfId="0" applyFont="1" applyFill="1" applyBorder="1"/>
    <xf numFmtId="0" fontId="33" fillId="11" borderId="8" xfId="0" applyFont="1" applyFill="1" applyBorder="1" applyAlignment="1">
      <alignment horizontal="left"/>
    </xf>
    <xf numFmtId="0" fontId="33" fillId="10" borderId="9" xfId="0" applyFont="1" applyFill="1" applyBorder="1" applyAlignment="1">
      <alignment horizontal="left"/>
    </xf>
    <xf numFmtId="0" fontId="33" fillId="10" borderId="10" xfId="0" applyFont="1" applyFill="1" applyBorder="1" applyAlignment="1">
      <alignment horizontal="left"/>
    </xf>
    <xf numFmtId="0" fontId="33" fillId="11" borderId="10" xfId="0" applyFont="1" applyFill="1" applyBorder="1" applyAlignment="1">
      <alignment horizontal="left"/>
    </xf>
    <xf numFmtId="0" fontId="33" fillId="11" borderId="11" xfId="0" applyFont="1" applyFill="1" applyBorder="1" applyAlignment="1">
      <alignment horizontal="left"/>
    </xf>
    <xf numFmtId="0" fontId="33" fillId="2" borderId="0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165" fontId="33" fillId="3" borderId="0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0" fillId="0" borderId="0" xfId="0"/>
    <xf numFmtId="0" fontId="0" fillId="7" borderId="0" xfId="0" applyFill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35" fillId="2" borderId="0" xfId="0" applyFont="1" applyFill="1" applyBorder="1" applyAlignment="1">
      <alignment horizontal="left" vertical="center"/>
    </xf>
    <xf numFmtId="0" fontId="34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0" borderId="0" xfId="0"/>
    <xf numFmtId="0" fontId="33" fillId="2" borderId="1" xfId="0" applyFont="1" applyFill="1" applyBorder="1" applyAlignment="1">
      <alignment horizontal="left" vertical="center"/>
    </xf>
    <xf numFmtId="14" fontId="33" fillId="2" borderId="1" xfId="0" applyNumberFormat="1" applyFont="1" applyFill="1" applyBorder="1" applyAlignment="1">
      <alignment horizontal="left" vertical="center"/>
    </xf>
    <xf numFmtId="1" fontId="33" fillId="2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7" fillId="2" borderId="0" xfId="0" applyFont="1" applyFill="1" applyBorder="1" applyAlignment="1">
      <alignment vertical="center"/>
    </xf>
    <xf numFmtId="165" fontId="33" fillId="3" borderId="1" xfId="0" applyNumberFormat="1" applyFont="1" applyFill="1" applyBorder="1" applyAlignment="1">
      <alignment horizontal="lef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30" fillId="3" borderId="0" xfId="0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left" vertical="center"/>
    </xf>
    <xf numFmtId="0" fontId="34" fillId="10" borderId="0" xfId="0" applyFont="1" applyFill="1" applyBorder="1" applyAlignment="1">
      <alignment horizontal="left" vertical="center"/>
    </xf>
    <xf numFmtId="0" fontId="20" fillId="10" borderId="0" xfId="0" applyFont="1" applyFill="1" applyBorder="1" applyAlignment="1">
      <alignment horizontal="left" vertical="center"/>
    </xf>
    <xf numFmtId="0" fontId="33" fillId="10" borderId="0" xfId="0" applyFont="1" applyFill="1" applyBorder="1" applyAlignment="1">
      <alignment horizontal="left" vertical="center"/>
    </xf>
    <xf numFmtId="0" fontId="20" fillId="10" borderId="50" xfId="0" applyFont="1" applyFill="1" applyBorder="1" applyAlignment="1">
      <alignment horizontal="left" vertical="center"/>
    </xf>
    <xf numFmtId="0" fontId="34" fillId="10" borderId="7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0" fontId="34" fillId="10" borderId="8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left" vertical="center"/>
    </xf>
    <xf numFmtId="0" fontId="34" fillId="10" borderId="9" xfId="0" applyFont="1" applyFill="1" applyBorder="1" applyAlignment="1">
      <alignment horizontal="left" vertical="center"/>
    </xf>
    <xf numFmtId="0" fontId="34" fillId="10" borderId="10" xfId="0" applyFont="1" applyFill="1" applyBorder="1" applyAlignment="1">
      <alignment horizontal="left" vertical="center"/>
    </xf>
    <xf numFmtId="0" fontId="7" fillId="11" borderId="11" xfId="0" applyFont="1" applyFill="1" applyBorder="1" applyAlignment="1">
      <alignment horizontal="left" vertical="center"/>
    </xf>
    <xf numFmtId="0" fontId="33" fillId="10" borderId="31" xfId="0" applyFont="1" applyFill="1" applyBorder="1" applyAlignment="1">
      <alignment horizontal="left" vertical="center"/>
    </xf>
    <xf numFmtId="0" fontId="20" fillId="10" borderId="63" xfId="0" applyFont="1" applyFill="1" applyBorder="1" applyAlignment="1">
      <alignment horizontal="left" vertical="center"/>
    </xf>
    <xf numFmtId="0" fontId="33" fillId="10" borderId="7" xfId="0" applyFont="1" applyFill="1" applyBorder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33" fillId="10" borderId="8" xfId="0" applyFont="1" applyFill="1" applyBorder="1" applyAlignment="1">
      <alignment horizontal="left" vertical="center"/>
    </xf>
    <xf numFmtId="0" fontId="0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0" fillId="10" borderId="8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33" fillId="10" borderId="9" xfId="0" applyFont="1" applyFill="1" applyBorder="1" applyAlignment="1">
      <alignment vertical="center"/>
    </xf>
    <xf numFmtId="0" fontId="33" fillId="10" borderId="10" xfId="0" applyFont="1" applyFill="1" applyBorder="1" applyAlignment="1">
      <alignment vertical="center"/>
    </xf>
    <xf numFmtId="0" fontId="33" fillId="10" borderId="10" xfId="0" applyFont="1" applyFill="1" applyBorder="1" applyAlignment="1">
      <alignment horizontal="left" vertical="center"/>
    </xf>
    <xf numFmtId="0" fontId="20" fillId="11" borderId="11" xfId="0" applyFont="1" applyFill="1" applyBorder="1" applyAlignment="1">
      <alignment horizontal="left" vertical="center"/>
    </xf>
    <xf numFmtId="0" fontId="33" fillId="10" borderId="0" xfId="0" applyFont="1" applyFill="1" applyBorder="1" applyAlignment="1">
      <alignment vertical="center"/>
    </xf>
    <xf numFmtId="0" fontId="33" fillId="10" borderId="7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33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1" fillId="2" borderId="12" xfId="0" applyFont="1" applyFill="1" applyBorder="1" applyAlignment="1"/>
    <xf numFmtId="0" fontId="20" fillId="8" borderId="23" xfId="0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center" vertical="center"/>
    </xf>
    <xf numFmtId="0" fontId="20" fillId="8" borderId="16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horizontal="center" vertical="center"/>
    </xf>
    <xf numFmtId="0" fontId="39" fillId="2" borderId="17" xfId="0" applyFont="1" applyFill="1" applyBorder="1" applyAlignment="1">
      <alignment horizontal="center" vertical="center"/>
    </xf>
    <xf numFmtId="0" fontId="39" fillId="2" borderId="19" xfId="0" applyFont="1" applyFill="1" applyBorder="1" applyAlignment="1">
      <alignment horizontal="center" vertical="center"/>
    </xf>
    <xf numFmtId="0" fontId="39" fillId="2" borderId="24" xfId="0" applyFont="1" applyFill="1" applyBorder="1" applyAlignment="1">
      <alignment horizontal="center" vertical="center"/>
    </xf>
    <xf numFmtId="0" fontId="39" fillId="2" borderId="18" xfId="0" applyFont="1" applyFill="1" applyBorder="1" applyAlignment="1">
      <alignment horizontal="center" vertical="center"/>
    </xf>
    <xf numFmtId="0" fontId="39" fillId="2" borderId="12" xfId="0" applyFont="1" applyFill="1" applyBorder="1" applyAlignment="1">
      <alignment horizontal="center" vertical="center"/>
    </xf>
    <xf numFmtId="0" fontId="39" fillId="2" borderId="26" xfId="0" applyFont="1" applyFill="1" applyBorder="1" applyAlignment="1">
      <alignment horizontal="center" vertical="center"/>
    </xf>
    <xf numFmtId="0" fontId="39" fillId="2" borderId="28" xfId="0" applyFont="1" applyFill="1" applyBorder="1" applyAlignment="1">
      <alignment horizontal="center" vertical="center"/>
    </xf>
    <xf numFmtId="0" fontId="39" fillId="2" borderId="29" xfId="0" applyFont="1" applyFill="1" applyBorder="1" applyAlignment="1">
      <alignment horizontal="center" vertical="center"/>
    </xf>
    <xf numFmtId="0" fontId="39" fillId="2" borderId="30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20" fillId="8" borderId="2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0" fillId="10" borderId="7" xfId="0" applyFont="1" applyFill="1" applyBorder="1"/>
    <xf numFmtId="0" fontId="41" fillId="10" borderId="0" xfId="0" applyFont="1" applyFill="1" applyAlignment="1">
      <alignment horizontal="center" vertical="center"/>
    </xf>
    <xf numFmtId="0" fontId="41" fillId="10" borderId="7" xfId="0" applyFont="1" applyFill="1" applyBorder="1" applyAlignment="1">
      <alignment vertical="center"/>
    </xf>
    <xf numFmtId="0" fontId="6" fillId="11" borderId="0" xfId="0" applyFont="1" applyFill="1" applyAlignment="1">
      <alignment horizontal="left" vertical="center"/>
    </xf>
    <xf numFmtId="0" fontId="30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9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9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9" fillId="11" borderId="0" xfId="0" applyFont="1" applyFill="1" applyBorder="1" applyAlignment="1">
      <alignment horizontal="left" vertical="center"/>
    </xf>
    <xf numFmtId="0" fontId="29" fillId="11" borderId="0" xfId="0" applyFont="1" applyFill="1" applyBorder="1" applyAlignment="1">
      <alignment vertical="center"/>
    </xf>
    <xf numFmtId="0" fontId="32" fillId="3" borderId="0" xfId="0" applyFont="1" applyFill="1" applyBorder="1" applyAlignment="1">
      <alignment vertical="center"/>
    </xf>
    <xf numFmtId="0" fontId="23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9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9" fillId="3" borderId="0" xfId="0" applyFont="1" applyFill="1" applyBorder="1" applyAlignment="1">
      <alignment vertical="center"/>
    </xf>
    <xf numFmtId="0" fontId="30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43" fillId="11" borderId="0" xfId="0" applyFont="1" applyFill="1" applyBorder="1" applyAlignment="1">
      <alignment horizontal="left" vertical="center"/>
    </xf>
    <xf numFmtId="0" fontId="30" fillId="9" borderId="0" xfId="0" applyFont="1" applyFill="1" applyBorder="1" applyAlignment="1">
      <alignment horizontal="center" vertical="center"/>
    </xf>
    <xf numFmtId="0" fontId="0" fillId="16" borderId="0" xfId="0" applyFill="1" applyAlignment="1"/>
    <xf numFmtId="0" fontId="44" fillId="17" borderId="1" xfId="0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left" vertical="center" wrapText="1"/>
    </xf>
    <xf numFmtId="3" fontId="39" fillId="13" borderId="1" xfId="0" applyNumberFormat="1" applyFont="1" applyFill="1" applyBorder="1" applyAlignment="1">
      <alignment horizontal="left" vertical="center" wrapText="1"/>
    </xf>
    <xf numFmtId="0" fontId="44" fillId="17" borderId="1" xfId="0" applyFont="1" applyFill="1" applyBorder="1" applyAlignment="1">
      <alignment horizontal="left" vertical="center"/>
    </xf>
    <xf numFmtId="0" fontId="44" fillId="17" borderId="1" xfId="0" applyFont="1" applyFill="1" applyBorder="1" applyAlignment="1">
      <alignment horizontal="right" vertical="center"/>
    </xf>
    <xf numFmtId="14" fontId="39" fillId="13" borderId="1" xfId="0" applyNumberFormat="1" applyFont="1" applyFill="1" applyBorder="1" applyAlignment="1">
      <alignment horizontal="left" vertical="center" wrapText="1"/>
    </xf>
    <xf numFmtId="20" fontId="39" fillId="13" borderId="1" xfId="0" applyNumberFormat="1" applyFont="1" applyFill="1" applyBorder="1" applyAlignment="1">
      <alignment horizontal="left" vertical="center" wrapText="1"/>
    </xf>
    <xf numFmtId="2" fontId="39" fillId="13" borderId="1" xfId="0" applyNumberFormat="1" applyFont="1" applyFill="1" applyBorder="1" applyAlignment="1">
      <alignment horizontal="left" vertical="center" wrapText="1"/>
    </xf>
    <xf numFmtId="8" fontId="39" fillId="13" borderId="1" xfId="0" applyNumberFormat="1" applyFont="1" applyFill="1" applyBorder="1" applyAlignment="1">
      <alignment horizontal="left" vertical="center" wrapText="1"/>
    </xf>
    <xf numFmtId="0" fontId="29" fillId="10" borderId="0" xfId="0" applyFont="1" applyFill="1" applyBorder="1" applyAlignment="1">
      <alignment vertical="center"/>
    </xf>
    <xf numFmtId="0" fontId="25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9" fillId="13" borderId="0" xfId="0" applyFont="1" applyFill="1" applyBorder="1" applyAlignment="1"/>
    <xf numFmtId="0" fontId="30" fillId="3" borderId="1" xfId="0" applyFont="1" applyFill="1" applyBorder="1" applyAlignment="1">
      <alignment horizontal="center" vertical="center"/>
    </xf>
    <xf numFmtId="0" fontId="43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43" fillId="19" borderId="52" xfId="0" applyFont="1" applyFill="1" applyBorder="1" applyAlignment="1">
      <alignment horizontal="center"/>
    </xf>
    <xf numFmtId="0" fontId="43" fillId="10" borderId="0" xfId="0" applyFont="1" applyFill="1" applyBorder="1" applyAlignment="1">
      <alignment horizontal="center" vertical="center"/>
    </xf>
    <xf numFmtId="0" fontId="46" fillId="20" borderId="0" xfId="0" applyFont="1" applyFill="1" applyAlignment="1">
      <alignment vertical="center"/>
    </xf>
    <xf numFmtId="0" fontId="8" fillId="21" borderId="0" xfId="0" applyFont="1" applyFill="1"/>
    <xf numFmtId="0" fontId="12" fillId="20" borderId="0" xfId="0" applyFont="1" applyFill="1"/>
    <xf numFmtId="0" fontId="9" fillId="20" borderId="49" xfId="0" applyFont="1" applyFill="1" applyBorder="1"/>
    <xf numFmtId="0" fontId="9" fillId="20" borderId="50" xfId="0" applyFont="1" applyFill="1" applyBorder="1"/>
    <xf numFmtId="0" fontId="9" fillId="20" borderId="15" xfId="0" applyFont="1" applyFill="1" applyBorder="1"/>
    <xf numFmtId="0" fontId="9" fillId="20" borderId="51" xfId="0" applyFont="1" applyFill="1" applyBorder="1"/>
    <xf numFmtId="0" fontId="9" fillId="20" borderId="0" xfId="0" applyFont="1" applyFill="1"/>
    <xf numFmtId="0" fontId="12" fillId="20" borderId="0" xfId="0" applyFont="1" applyFill="1" applyAlignment="1">
      <alignment horizontal="left" vertical="center"/>
    </xf>
    <xf numFmtId="0" fontId="9" fillId="20" borderId="20" xfId="0" applyFont="1" applyFill="1" applyBorder="1"/>
    <xf numFmtId="0" fontId="39" fillId="20" borderId="0" xfId="0" applyFont="1" applyFill="1"/>
    <xf numFmtId="0" fontId="47" fillId="2" borderId="1" xfId="0" applyFont="1" applyFill="1" applyBorder="1"/>
    <xf numFmtId="0" fontId="9" fillId="20" borderId="53" xfId="0" applyFont="1" applyFill="1" applyBorder="1"/>
    <xf numFmtId="0" fontId="9" fillId="20" borderId="14" xfId="0" applyFont="1" applyFill="1" applyBorder="1"/>
    <xf numFmtId="0" fontId="9" fillId="20" borderId="3" xfId="0" applyFont="1" applyFill="1" applyBorder="1"/>
    <xf numFmtId="0" fontId="9" fillId="21" borderId="49" xfId="0" applyFont="1" applyFill="1" applyBorder="1"/>
    <xf numFmtId="0" fontId="9" fillId="21" borderId="50" xfId="0" applyFont="1" applyFill="1" applyBorder="1"/>
    <xf numFmtId="0" fontId="9" fillId="21" borderId="15" xfId="0" applyFont="1" applyFill="1" applyBorder="1"/>
    <xf numFmtId="0" fontId="9" fillId="21" borderId="51" xfId="0" applyFont="1" applyFill="1" applyBorder="1"/>
    <xf numFmtId="0" fontId="9" fillId="21" borderId="0" xfId="0" applyFont="1" applyFill="1"/>
    <xf numFmtId="0" fontId="9" fillId="21" borderId="20" xfId="0" applyFont="1" applyFill="1" applyBorder="1"/>
    <xf numFmtId="0" fontId="9" fillId="2" borderId="1" xfId="0" applyFont="1" applyFill="1" applyBorder="1"/>
    <xf numFmtId="0" fontId="9" fillId="21" borderId="14" xfId="0" applyFont="1" applyFill="1" applyBorder="1"/>
    <xf numFmtId="0" fontId="9" fillId="21" borderId="3" xfId="0" applyFont="1" applyFill="1" applyBorder="1"/>
    <xf numFmtId="0" fontId="9" fillId="22" borderId="13" xfId="0" applyFont="1" applyFill="1" applyBorder="1"/>
    <xf numFmtId="0" fontId="9" fillId="22" borderId="54" xfId="0" applyFont="1" applyFill="1" applyBorder="1"/>
    <xf numFmtId="0" fontId="9" fillId="22" borderId="56" xfId="0" applyFont="1" applyFill="1" applyBorder="1"/>
    <xf numFmtId="0" fontId="9" fillId="22" borderId="51" xfId="0" applyFont="1" applyFill="1" applyBorder="1"/>
    <xf numFmtId="0" fontId="9" fillId="22" borderId="55" xfId="0" applyFont="1" applyFill="1" applyBorder="1"/>
    <xf numFmtId="0" fontId="9" fillId="22" borderId="0" xfId="0" applyFont="1" applyFill="1"/>
    <xf numFmtId="0" fontId="9" fillId="22" borderId="20" xfId="0" applyFont="1" applyFill="1" applyBorder="1"/>
    <xf numFmtId="0" fontId="9" fillId="22" borderId="53" xfId="0" applyFont="1" applyFill="1" applyBorder="1"/>
    <xf numFmtId="0" fontId="9" fillId="22" borderId="14" xfId="0" applyFont="1" applyFill="1" applyBorder="1"/>
    <xf numFmtId="0" fontId="9" fillId="22" borderId="3" xfId="0" applyFont="1" applyFill="1" applyBorder="1"/>
    <xf numFmtId="0" fontId="9" fillId="21" borderId="55" xfId="0" applyFont="1" applyFill="1" applyBorder="1"/>
    <xf numFmtId="0" fontId="9" fillId="21" borderId="54" xfId="0" applyFont="1" applyFill="1" applyBorder="1"/>
    <xf numFmtId="0" fontId="9" fillId="21" borderId="56" xfId="0" applyFont="1" applyFill="1" applyBorder="1"/>
    <xf numFmtId="0" fontId="9" fillId="21" borderId="53" xfId="0" applyFont="1" applyFill="1" applyBorder="1"/>
    <xf numFmtId="0" fontId="9" fillId="22" borderId="49" xfId="0" applyFont="1" applyFill="1" applyBorder="1"/>
    <xf numFmtId="0" fontId="9" fillId="22" borderId="50" xfId="0" applyFont="1" applyFill="1" applyBorder="1"/>
    <xf numFmtId="0" fontId="9" fillId="22" borderId="15" xfId="0" applyFont="1" applyFill="1" applyBorder="1"/>
    <xf numFmtId="0" fontId="12" fillId="21" borderId="0" xfId="0" applyFont="1" applyFill="1"/>
    <xf numFmtId="0" fontId="45" fillId="22" borderId="54" xfId="0" applyFont="1" applyFill="1" applyBorder="1"/>
    <xf numFmtId="0" fontId="33" fillId="22" borderId="55" xfId="0" applyFont="1" applyFill="1" applyBorder="1"/>
    <xf numFmtId="0" fontId="33" fillId="22" borderId="51" xfId="0" applyFont="1" applyFill="1" applyBorder="1"/>
    <xf numFmtId="0" fontId="45" fillId="22" borderId="55" xfId="0" applyFont="1" applyFill="1" applyBorder="1"/>
    <xf numFmtId="0" fontId="45" fillId="22" borderId="51" xfId="0" applyFont="1" applyFill="1" applyBorder="1"/>
    <xf numFmtId="0" fontId="43" fillId="22" borderId="0" xfId="0" applyFont="1" applyFill="1"/>
    <xf numFmtId="0" fontId="42" fillId="22" borderId="0" xfId="0" applyFont="1" applyFill="1"/>
    <xf numFmtId="0" fontId="45" fillId="22" borderId="0" xfId="0" applyFont="1" applyFill="1"/>
    <xf numFmtId="0" fontId="43" fillId="21" borderId="1" xfId="0" applyFont="1" applyFill="1" applyBorder="1"/>
    <xf numFmtId="0" fontId="39" fillId="22" borderId="0" xfId="0" applyFont="1" applyFill="1"/>
    <xf numFmtId="0" fontId="39" fillId="10" borderId="36" xfId="0" applyFont="1" applyFill="1" applyBorder="1" applyAlignment="1">
      <alignment horizontal="left" vertical="center"/>
    </xf>
    <xf numFmtId="0" fontId="39" fillId="10" borderId="38" xfId="0" applyFont="1" applyFill="1" applyBorder="1" applyAlignment="1">
      <alignment horizontal="left" vertical="center"/>
    </xf>
    <xf numFmtId="0" fontId="44" fillId="17" borderId="34" xfId="0" applyFont="1" applyFill="1" applyBorder="1" applyAlignment="1">
      <alignment horizontal="center"/>
    </xf>
    <xf numFmtId="0" fontId="44" fillId="17" borderId="35" xfId="0" applyFont="1" applyFill="1" applyBorder="1" applyAlignment="1">
      <alignment horizontal="center"/>
    </xf>
    <xf numFmtId="44" fontId="39" fillId="10" borderId="37" xfId="0" applyNumberFormat="1" applyFont="1" applyFill="1" applyBorder="1" applyAlignment="1">
      <alignment horizontal="left" vertical="center"/>
    </xf>
    <xf numFmtId="44" fontId="39" fillId="10" borderId="40" xfId="0" applyNumberFormat="1" applyFont="1" applyFill="1" applyBorder="1" applyAlignment="1">
      <alignment horizontal="left" vertical="center"/>
    </xf>
    <xf numFmtId="0" fontId="43" fillId="19" borderId="1" xfId="0" applyFont="1" applyFill="1" applyBorder="1" applyAlignment="1">
      <alignment horizontal="center" vertical="center"/>
    </xf>
    <xf numFmtId="0" fontId="43" fillId="19" borderId="37" xfId="0" applyFont="1" applyFill="1" applyBorder="1" applyAlignment="1">
      <alignment vertical="center"/>
    </xf>
    <xf numFmtId="44" fontId="39" fillId="10" borderId="1" xfId="0" applyNumberFormat="1" applyFont="1" applyFill="1" applyBorder="1" applyAlignment="1">
      <alignment horizontal="left"/>
    </xf>
    <xf numFmtId="0" fontId="39" fillId="10" borderId="36" xfId="0" applyFont="1" applyFill="1" applyBorder="1" applyAlignment="1">
      <alignment horizontal="left"/>
    </xf>
    <xf numFmtId="9" fontId="39" fillId="10" borderId="1" xfId="0" applyNumberFormat="1" applyFont="1" applyFill="1" applyBorder="1" applyAlignment="1">
      <alignment horizontal="left" vertical="center"/>
    </xf>
    <xf numFmtId="164" fontId="39" fillId="10" borderId="37" xfId="0" applyNumberFormat="1" applyFont="1" applyFill="1" applyBorder="1" applyAlignment="1">
      <alignment horizontal="left" vertical="center"/>
    </xf>
    <xf numFmtId="44" fontId="39" fillId="10" borderId="36" xfId="0" applyNumberFormat="1" applyFont="1" applyFill="1" applyBorder="1" applyAlignment="1">
      <alignment horizontal="left"/>
    </xf>
    <xf numFmtId="10" fontId="39" fillId="10" borderId="1" xfId="0" applyNumberFormat="1" applyFont="1" applyFill="1" applyBorder="1" applyAlignment="1">
      <alignment horizontal="left" vertical="center"/>
    </xf>
    <xf numFmtId="0" fontId="39" fillId="10" borderId="38" xfId="0" applyFont="1" applyFill="1" applyBorder="1" applyAlignment="1">
      <alignment horizontal="left"/>
    </xf>
    <xf numFmtId="44" fontId="39" fillId="10" borderId="39" xfId="0" applyNumberFormat="1" applyFont="1" applyFill="1" applyBorder="1" applyAlignment="1">
      <alignment horizontal="left"/>
    </xf>
    <xf numFmtId="10" fontId="39" fillId="10" borderId="39" xfId="0" applyNumberFormat="1" applyFont="1" applyFill="1" applyBorder="1" applyAlignment="1">
      <alignment horizontal="left" vertical="center"/>
    </xf>
    <xf numFmtId="164" fontId="39" fillId="10" borderId="40" xfId="0" applyNumberFormat="1" applyFont="1" applyFill="1" applyBorder="1" applyAlignment="1">
      <alignment horizontal="left" vertical="center"/>
    </xf>
    <xf numFmtId="0" fontId="39" fillId="10" borderId="1" xfId="0" applyFont="1" applyFill="1" applyBorder="1" applyAlignment="1">
      <alignment horizontal="left" vertical="center"/>
    </xf>
    <xf numFmtId="9" fontId="39" fillId="10" borderId="37" xfId="0" applyNumberFormat="1" applyFont="1" applyFill="1" applyBorder="1" applyAlignment="1">
      <alignment horizontal="left" vertical="center"/>
    </xf>
    <xf numFmtId="0" fontId="39" fillId="10" borderId="37" xfId="0" applyFont="1" applyFill="1" applyBorder="1" applyAlignment="1">
      <alignment horizontal="left" vertical="center"/>
    </xf>
    <xf numFmtId="0" fontId="39" fillId="10" borderId="39" xfId="0" applyFont="1" applyFill="1" applyBorder="1" applyAlignment="1">
      <alignment horizontal="left" vertical="center"/>
    </xf>
    <xf numFmtId="10" fontId="39" fillId="10" borderId="40" xfId="0" applyNumberFormat="1" applyFont="1" applyFill="1" applyBorder="1" applyAlignment="1">
      <alignment horizontal="left" vertical="center"/>
    </xf>
    <xf numFmtId="0" fontId="48" fillId="17" borderId="60" xfId="0" applyFont="1" applyFill="1" applyBorder="1"/>
    <xf numFmtId="9" fontId="39" fillId="10" borderId="61" xfId="0" applyNumberFormat="1" applyFont="1" applyFill="1" applyBorder="1" applyAlignment="1">
      <alignment horizontal="left"/>
    </xf>
    <xf numFmtId="0" fontId="6" fillId="11" borderId="0" xfId="0" applyFont="1" applyFill="1" applyBorder="1" applyAlignment="1">
      <alignment vertical="center"/>
    </xf>
    <xf numFmtId="0" fontId="9" fillId="13" borderId="10" xfId="0" applyFont="1" applyFill="1" applyBorder="1"/>
    <xf numFmtId="0" fontId="23" fillId="17" borderId="1" xfId="0" applyFont="1" applyFill="1" applyBorder="1"/>
    <xf numFmtId="0" fontId="39" fillId="10" borderId="62" xfId="0" applyFont="1" applyFill="1" applyBorder="1" applyAlignment="1">
      <alignment horizontal="left"/>
    </xf>
    <xf numFmtId="0" fontId="39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0" fillId="0" borderId="36" xfId="0" applyBorder="1"/>
    <xf numFmtId="0" fontId="0" fillId="0" borderId="1" xfId="0" applyBorder="1"/>
    <xf numFmtId="0" fontId="0" fillId="0" borderId="37" xfId="0" applyBorder="1"/>
    <xf numFmtId="0" fontId="8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2" borderId="0" xfId="0" applyFont="1" applyFill="1" applyAlignment="1">
      <alignment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left"/>
    </xf>
    <xf numFmtId="0" fontId="8" fillId="2" borderId="18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50" fillId="2" borderId="1" xfId="0" applyFont="1" applyFill="1" applyBorder="1" applyAlignment="1">
      <alignment horizontal="left"/>
    </xf>
    <xf numFmtId="0" fontId="9" fillId="2" borderId="18" xfId="0" applyFont="1" applyFill="1" applyBorder="1" applyAlignment="1">
      <alignment horizontal="left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9" fillId="2" borderId="0" xfId="0" applyFont="1" applyFill="1"/>
    <xf numFmtId="0" fontId="7" fillId="3" borderId="0" xfId="0" applyFont="1" applyFill="1"/>
    <xf numFmtId="0" fontId="7" fillId="17" borderId="36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7" borderId="3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51" fillId="0" borderId="36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49" fillId="2" borderId="0" xfId="0" applyFont="1" applyFill="1"/>
    <xf numFmtId="0" fontId="28" fillId="2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1" fillId="2" borderId="0" xfId="2" applyFill="1" applyBorder="1"/>
    <xf numFmtId="44" fontId="0" fillId="2" borderId="0" xfId="4" applyFont="1" applyFill="1" applyBorder="1"/>
    <xf numFmtId="0" fontId="52" fillId="2" borderId="0" xfId="0" applyFont="1" applyFill="1"/>
    <xf numFmtId="0" fontId="6" fillId="11" borderId="1" xfId="0" applyFont="1" applyFill="1" applyBorder="1" applyAlignment="1">
      <alignment vertical="center"/>
    </xf>
    <xf numFmtId="0" fontId="39" fillId="0" borderId="1" xfId="0" applyFont="1" applyBorder="1"/>
    <xf numFmtId="0" fontId="39" fillId="10" borderId="0" xfId="0" applyFont="1" applyFill="1" applyBorder="1"/>
    <xf numFmtId="0" fontId="43" fillId="8" borderId="25" xfId="0" applyFont="1" applyFill="1" applyBorder="1" applyAlignment="1">
      <alignment horizontal="center" vertical="center"/>
    </xf>
    <xf numFmtId="0" fontId="43" fillId="8" borderId="27" xfId="0" applyFont="1" applyFill="1" applyBorder="1" applyAlignment="1">
      <alignment horizontal="center" vertical="center"/>
    </xf>
    <xf numFmtId="0" fontId="39" fillId="10" borderId="0" xfId="0" applyFont="1" applyFill="1" applyBorder="1" applyAlignment="1">
      <alignment horizontal="left"/>
    </xf>
    <xf numFmtId="0" fontId="23" fillId="10" borderId="7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23" fillId="10" borderId="10" xfId="0" applyFont="1" applyFill="1" applyBorder="1" applyAlignment="1">
      <alignment horizontal="center" vertical="center"/>
    </xf>
    <xf numFmtId="0" fontId="23" fillId="10" borderId="8" xfId="0" applyFont="1" applyFill="1" applyBorder="1" applyAlignment="1">
      <alignment horizontal="center" vertical="center"/>
    </xf>
    <xf numFmtId="0" fontId="39" fillId="2" borderId="52" xfId="0" applyFont="1" applyFill="1" applyBorder="1" applyAlignment="1">
      <alignment horizontal="left"/>
    </xf>
    <xf numFmtId="0" fontId="9" fillId="10" borderId="0" xfId="0" applyFont="1" applyFill="1" applyBorder="1" applyAlignment="1">
      <alignment horizontal="left"/>
    </xf>
    <xf numFmtId="164" fontId="6" fillId="11" borderId="1" xfId="0" applyNumberFormat="1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39" fillId="2" borderId="0" xfId="0" applyFont="1" applyFill="1" applyBorder="1" applyAlignment="1">
      <alignment horizontal="left"/>
    </xf>
    <xf numFmtId="14" fontId="39" fillId="2" borderId="52" xfId="0" applyNumberFormat="1" applyFont="1" applyFill="1" applyBorder="1" applyAlignment="1">
      <alignment horizontal="left"/>
    </xf>
    <xf numFmtId="164" fontId="39" fillId="2" borderId="52" xfId="0" applyNumberFormat="1" applyFont="1" applyFill="1" applyBorder="1" applyAlignment="1">
      <alignment horizontal="left"/>
    </xf>
    <xf numFmtId="0" fontId="6" fillId="11" borderId="13" xfId="0" applyFont="1" applyFill="1" applyBorder="1" applyAlignment="1">
      <alignment horizontal="center" vertical="center"/>
    </xf>
    <xf numFmtId="0" fontId="0" fillId="0" borderId="0" xfId="0" applyBorder="1"/>
    <xf numFmtId="0" fontId="12" fillId="2" borderId="0" xfId="0" applyFont="1" applyFill="1" applyAlignment="1">
      <alignment horizontal="center"/>
    </xf>
    <xf numFmtId="0" fontId="8" fillId="1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7" fillId="17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42" fillId="10" borderId="7" xfId="0" applyFont="1" applyFill="1" applyBorder="1" applyAlignment="1">
      <alignment horizontal="center" vertical="center"/>
    </xf>
    <xf numFmtId="0" fontId="42" fillId="10" borderId="20" xfId="0" applyFont="1" applyFill="1" applyBorder="1" applyAlignment="1">
      <alignment horizontal="center" vertical="center"/>
    </xf>
    <xf numFmtId="0" fontId="32" fillId="5" borderId="4" xfId="0" applyFont="1" applyFill="1" applyBorder="1" applyAlignment="1">
      <alignment horizontal="center" vertical="center"/>
    </xf>
    <xf numFmtId="0" fontId="32" fillId="5" borderId="5" xfId="0" applyFont="1" applyFill="1" applyBorder="1" applyAlignment="1">
      <alignment horizontal="center" vertical="center"/>
    </xf>
    <xf numFmtId="0" fontId="32" fillId="5" borderId="6" xfId="0" applyFont="1" applyFill="1" applyBorder="1" applyAlignment="1">
      <alignment horizontal="center" vertical="center"/>
    </xf>
    <xf numFmtId="0" fontId="32" fillId="5" borderId="21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22" xfId="0" applyFont="1" applyFill="1" applyBorder="1" applyAlignment="1">
      <alignment horizontal="center" vertical="center"/>
    </xf>
    <xf numFmtId="0" fontId="32" fillId="4" borderId="4" xfId="0" applyFont="1" applyFill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14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0" fontId="29" fillId="9" borderId="31" xfId="0" applyFont="1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29" fillId="9" borderId="21" xfId="0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41" fillId="3" borderId="13" xfId="0" applyFont="1" applyFill="1" applyBorder="1" applyAlignment="1">
      <alignment horizontal="center" vertical="center"/>
    </xf>
    <xf numFmtId="0" fontId="41" fillId="3" borderId="2" xfId="0" applyFont="1" applyFill="1" applyBorder="1" applyAlignment="1">
      <alignment horizontal="center" vertical="center"/>
    </xf>
    <xf numFmtId="0" fontId="23" fillId="12" borderId="4" xfId="0" applyFont="1" applyFill="1" applyBorder="1" applyAlignment="1">
      <alignment horizontal="center" vertical="center"/>
    </xf>
    <xf numFmtId="0" fontId="23" fillId="12" borderId="5" xfId="0" applyFont="1" applyFill="1" applyBorder="1" applyAlignment="1">
      <alignment horizontal="center" vertical="center"/>
    </xf>
    <xf numFmtId="0" fontId="23" fillId="12" borderId="6" xfId="0" applyFont="1" applyFill="1" applyBorder="1" applyAlignment="1">
      <alignment horizontal="center" vertical="center"/>
    </xf>
    <xf numFmtId="0" fontId="23" fillId="12" borderId="7" xfId="0" applyFont="1" applyFill="1" applyBorder="1" applyAlignment="1">
      <alignment horizontal="center" vertical="center"/>
    </xf>
    <xf numFmtId="0" fontId="23" fillId="12" borderId="0" xfId="0" applyFont="1" applyFill="1" applyBorder="1" applyAlignment="1">
      <alignment horizontal="center" vertical="center"/>
    </xf>
    <xf numFmtId="0" fontId="23" fillId="12" borderId="8" xfId="0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0" fontId="23" fillId="12" borderId="10" xfId="0" applyFont="1" applyFill="1" applyBorder="1" applyAlignment="1">
      <alignment horizontal="center" vertical="center"/>
    </xf>
    <xf numFmtId="0" fontId="23" fillId="12" borderId="11" xfId="0" applyFont="1" applyFill="1" applyBorder="1" applyAlignment="1">
      <alignment horizontal="center" vertical="center"/>
    </xf>
    <xf numFmtId="0" fontId="23" fillId="6" borderId="4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/>
    </xf>
    <xf numFmtId="0" fontId="23" fillId="6" borderId="6" xfId="0" applyFont="1" applyFill="1" applyBorder="1" applyAlignment="1">
      <alignment horizontal="center" vertical="center"/>
    </xf>
    <xf numFmtId="0" fontId="23" fillId="6" borderId="21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22" xfId="0" applyFont="1" applyFill="1" applyBorder="1" applyAlignment="1">
      <alignment horizontal="center" vertical="center"/>
    </xf>
    <xf numFmtId="0" fontId="20" fillId="8" borderId="31" xfId="0" applyFont="1" applyFill="1" applyBorder="1" applyAlignment="1">
      <alignment horizontal="center" vertical="center"/>
    </xf>
    <xf numFmtId="0" fontId="20" fillId="8" borderId="50" xfId="0" applyFont="1" applyFill="1" applyBorder="1" applyAlignment="1">
      <alignment horizontal="center" vertical="center"/>
    </xf>
    <xf numFmtId="0" fontId="20" fillId="8" borderId="63" xfId="0" applyFont="1" applyFill="1" applyBorder="1" applyAlignment="1">
      <alignment horizontal="center" vertical="center"/>
    </xf>
    <xf numFmtId="0" fontId="20" fillId="8" borderId="9" xfId="0" applyFont="1" applyFill="1" applyBorder="1" applyAlignment="1">
      <alignment horizontal="center" vertical="center"/>
    </xf>
    <xf numFmtId="0" fontId="20" fillId="8" borderId="10" xfId="0" applyFont="1" applyFill="1" applyBorder="1" applyAlignment="1">
      <alignment horizontal="center" vertical="center"/>
    </xf>
    <xf numFmtId="0" fontId="20" fillId="8" borderId="11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2" fillId="17" borderId="41" xfId="0" applyFont="1" applyFill="1" applyBorder="1" applyAlignment="1">
      <alignment horizontal="center" vertical="center"/>
    </xf>
    <xf numFmtId="0" fontId="32" fillId="17" borderId="42" xfId="0" applyFont="1" applyFill="1" applyBorder="1" applyAlignment="1">
      <alignment horizontal="center" vertical="center"/>
    </xf>
    <xf numFmtId="0" fontId="32" fillId="17" borderId="43" xfId="0" applyFont="1" applyFill="1" applyBorder="1" applyAlignment="1">
      <alignment horizontal="center" vertical="center"/>
    </xf>
    <xf numFmtId="0" fontId="32" fillId="17" borderId="44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2" fillId="17" borderId="45" xfId="0" applyFont="1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 vertical="center"/>
    </xf>
    <xf numFmtId="0" fontId="23" fillId="17" borderId="5" xfId="0" applyFont="1" applyFill="1" applyBorder="1" applyAlignment="1">
      <alignment horizontal="center" vertical="center"/>
    </xf>
    <xf numFmtId="0" fontId="23" fillId="17" borderId="6" xfId="0" applyFont="1" applyFill="1" applyBorder="1" applyAlignment="1">
      <alignment horizontal="center" vertical="center"/>
    </xf>
    <xf numFmtId="0" fontId="23" fillId="17" borderId="9" xfId="0" applyFont="1" applyFill="1" applyBorder="1" applyAlignment="1">
      <alignment horizontal="center" vertical="center"/>
    </xf>
    <xf numFmtId="0" fontId="23" fillId="17" borderId="10" xfId="0" applyFont="1" applyFill="1" applyBorder="1" applyAlignment="1">
      <alignment horizontal="center" vertical="center"/>
    </xf>
    <xf numFmtId="0" fontId="23" fillId="17" borderId="11" xfId="0" applyFont="1" applyFill="1" applyBorder="1" applyAlignment="1">
      <alignment horizontal="center" vertical="center"/>
    </xf>
    <xf numFmtId="0" fontId="23" fillId="17" borderId="7" xfId="0" applyFont="1" applyFill="1" applyBorder="1" applyAlignment="1">
      <alignment horizontal="center" vertical="center"/>
    </xf>
    <xf numFmtId="0" fontId="23" fillId="17" borderId="0" xfId="0" applyFont="1" applyFill="1" applyBorder="1" applyAlignment="1">
      <alignment horizontal="center" vertical="center"/>
    </xf>
    <xf numFmtId="0" fontId="23" fillId="17" borderId="8" xfId="0" applyFont="1" applyFill="1" applyBorder="1" applyAlignment="1">
      <alignment horizontal="center" vertical="center"/>
    </xf>
    <xf numFmtId="0" fontId="44" fillId="17" borderId="57" xfId="0" applyFont="1" applyFill="1" applyBorder="1" applyAlignment="1">
      <alignment horizontal="center" vertical="center"/>
    </xf>
    <xf numFmtId="0" fontId="44" fillId="17" borderId="58" xfId="0" applyFont="1" applyFill="1" applyBorder="1" applyAlignment="1">
      <alignment horizontal="center" vertical="center"/>
    </xf>
    <xf numFmtId="0" fontId="44" fillId="17" borderId="59" xfId="0" applyFont="1" applyFill="1" applyBorder="1" applyAlignment="1">
      <alignment horizontal="center" vertical="center"/>
    </xf>
    <xf numFmtId="0" fontId="43" fillId="19" borderId="36" xfId="0" applyFont="1" applyFill="1" applyBorder="1" applyAlignment="1">
      <alignment horizontal="center" vertical="center"/>
    </xf>
    <xf numFmtId="0" fontId="43" fillId="1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7" fillId="17" borderId="4" xfId="0" applyFont="1" applyFill="1" applyBorder="1" applyAlignment="1">
      <alignment horizontal="center" vertical="center"/>
    </xf>
    <xf numFmtId="0" fontId="7" fillId="17" borderId="5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/>
    </xf>
    <xf numFmtId="0" fontId="7" fillId="17" borderId="0" xfId="0" applyFont="1" applyFill="1" applyBorder="1" applyAlignment="1">
      <alignment horizontal="center" vertical="center"/>
    </xf>
    <xf numFmtId="0" fontId="7" fillId="17" borderId="8" xfId="0" applyFont="1" applyFill="1" applyBorder="1" applyAlignment="1">
      <alignment horizontal="center" vertical="center"/>
    </xf>
    <xf numFmtId="0" fontId="20" fillId="17" borderId="4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6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0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17" borderId="5" xfId="0" applyFont="1" applyFill="1" applyBorder="1" applyAlignment="1">
      <alignment horizontal="center" vertical="center"/>
    </xf>
    <xf numFmtId="0" fontId="32" fillId="17" borderId="6" xfId="0" applyFont="1" applyFill="1" applyBorder="1" applyAlignment="1">
      <alignment horizontal="center" vertical="center"/>
    </xf>
    <xf numFmtId="0" fontId="32" fillId="17" borderId="7" xfId="0" applyFont="1" applyFill="1" applyBorder="1" applyAlignment="1">
      <alignment horizontal="center" vertical="center"/>
    </xf>
    <xf numFmtId="0" fontId="32" fillId="17" borderId="8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4" xfId="0" applyFont="1" applyFill="1" applyBorder="1" applyAlignment="1">
      <alignment horizontal="center" vertical="center"/>
    </xf>
    <xf numFmtId="0" fontId="7" fillId="17" borderId="2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7" fillId="23" borderId="57" xfId="0" applyFont="1" applyFill="1" applyBorder="1" applyAlignment="1">
      <alignment horizontal="center"/>
    </xf>
    <xf numFmtId="0" fontId="7" fillId="23" borderId="58" xfId="0" applyFont="1" applyFill="1" applyBorder="1" applyAlignment="1">
      <alignment horizontal="center"/>
    </xf>
    <xf numFmtId="0" fontId="7" fillId="23" borderId="59" xfId="0" applyFont="1" applyFill="1" applyBorder="1" applyAlignment="1">
      <alignment horizontal="center"/>
    </xf>
  </cellXfs>
  <cellStyles count="5">
    <cellStyle name="Hiperlink" xfId="2" builtinId="8"/>
    <cellStyle name="Hyperlink" xfId="1" xr:uid="{00000000-0005-0000-0000-000001000000}"/>
    <cellStyle name="Moeda 2" xfId="3" xr:uid="{00000000-0005-0000-0000-000002000000}"/>
    <cellStyle name="Moeda 3" xfId="4" xr:uid="{00000000-0005-0000-0000-000003000000}"/>
    <cellStyle name="Normal" xfId="0" builtinId="0"/>
  </cellStyles>
  <dxfs count="0"/>
  <tableStyles count="0" defaultTableStyle="TableStyleMedium2" defaultPivotStyle="PivotStyleLight16"/>
  <colors>
    <mruColors>
      <color rgb="FF3D5B7A"/>
      <color rgb="FF3A5775"/>
      <color rgb="FF8EA9DB"/>
      <color rgb="FF212121"/>
      <color rgb="FF3D597A"/>
      <color rgb="FF202020"/>
      <color rgb="FF1C1C1C"/>
      <color rgb="FF171717"/>
      <color rgb="FFD0CECE"/>
      <color rgb="FFF13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02352"/>
        <c:axId val="55087120"/>
      </c:barChart>
      <c:catAx>
        <c:axId val="5510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5087120"/>
        <c:crosses val="autoZero"/>
        <c:auto val="1"/>
        <c:lblAlgn val="ctr"/>
        <c:lblOffset val="100"/>
        <c:noMultiLvlLbl val="0"/>
      </c:catAx>
      <c:valAx>
        <c:axId val="5508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5102352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8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9.png"/><Relationship Id="rId22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2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microsoft.com/office/2007/relationships/hdphoto" Target="../media/hdphoto15.wdp"/><Relationship Id="rId13" Type="http://schemas.openxmlformats.org/officeDocument/2006/relationships/image" Target="../media/image27.png"/><Relationship Id="rId18" Type="http://schemas.microsoft.com/office/2007/relationships/hdphoto" Target="../media/hdphoto19.wdp"/><Relationship Id="rId3" Type="http://schemas.openxmlformats.org/officeDocument/2006/relationships/hyperlink" Target="#Home!A1"/><Relationship Id="rId7" Type="http://schemas.openxmlformats.org/officeDocument/2006/relationships/image" Target="../media/image23.png"/><Relationship Id="rId12" Type="http://schemas.openxmlformats.org/officeDocument/2006/relationships/image" Target="../media/image26.png"/><Relationship Id="rId17" Type="http://schemas.openxmlformats.org/officeDocument/2006/relationships/image" Target="../media/image29.png"/><Relationship Id="rId2" Type="http://schemas.microsoft.com/office/2007/relationships/hdphoto" Target="../media/hdphoto13.wdp"/><Relationship Id="rId16" Type="http://schemas.microsoft.com/office/2007/relationships/hdphoto" Target="../media/hdphoto18.wdp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openxmlformats.org/officeDocument/2006/relationships/image" Target="../media/image25.png"/><Relationship Id="rId5" Type="http://schemas.microsoft.com/office/2007/relationships/hdphoto" Target="../media/hdphoto14.wdp"/><Relationship Id="rId15" Type="http://schemas.openxmlformats.org/officeDocument/2006/relationships/image" Target="../media/image28.png"/><Relationship Id="rId10" Type="http://schemas.microsoft.com/office/2007/relationships/hdphoto" Target="../media/hdphoto16.wdp"/><Relationship Id="rId19" Type="http://schemas.openxmlformats.org/officeDocument/2006/relationships/image" Target="../media/image11.png"/><Relationship Id="rId4" Type="http://schemas.openxmlformats.org/officeDocument/2006/relationships/image" Target="../media/image22.png"/><Relationship Id="rId9" Type="http://schemas.openxmlformats.org/officeDocument/2006/relationships/image" Target="../media/image24.png"/><Relationship Id="rId14" Type="http://schemas.microsoft.com/office/2007/relationships/hdphoto" Target="../media/hdphoto17.wdp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32.png"/><Relationship Id="rId3" Type="http://schemas.openxmlformats.org/officeDocument/2006/relationships/hyperlink" Target="#Home!A1"/><Relationship Id="rId7" Type="http://schemas.openxmlformats.org/officeDocument/2006/relationships/image" Target="../media/image23.png"/><Relationship Id="rId12" Type="http://schemas.openxmlformats.org/officeDocument/2006/relationships/image" Target="../media/image31.png"/><Relationship Id="rId2" Type="http://schemas.microsoft.com/office/2007/relationships/hdphoto" Target="../media/hdphoto13.wdp"/><Relationship Id="rId16" Type="http://schemas.openxmlformats.org/officeDocument/2006/relationships/image" Target="../media/image11.png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openxmlformats.org/officeDocument/2006/relationships/image" Target="../media/image26.png"/><Relationship Id="rId5" Type="http://schemas.microsoft.com/office/2007/relationships/hdphoto" Target="../media/hdphoto20.wdp"/><Relationship Id="rId15" Type="http://schemas.microsoft.com/office/2007/relationships/hdphoto" Target="../media/hdphoto19.wdp"/><Relationship Id="rId10" Type="http://schemas.openxmlformats.org/officeDocument/2006/relationships/image" Target="../media/image25.png"/><Relationship Id="rId4" Type="http://schemas.openxmlformats.org/officeDocument/2006/relationships/image" Target="../media/image30.png"/><Relationship Id="rId9" Type="http://schemas.microsoft.com/office/2007/relationships/hdphoto" Target="../media/hdphoto16.wdp"/><Relationship Id="rId14" Type="http://schemas.openxmlformats.org/officeDocument/2006/relationships/image" Target="../media/image29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32.png"/><Relationship Id="rId3" Type="http://schemas.openxmlformats.org/officeDocument/2006/relationships/hyperlink" Target="#Home!A1"/><Relationship Id="rId7" Type="http://schemas.openxmlformats.org/officeDocument/2006/relationships/image" Target="../media/image23.png"/><Relationship Id="rId12" Type="http://schemas.openxmlformats.org/officeDocument/2006/relationships/image" Target="../media/image31.png"/><Relationship Id="rId2" Type="http://schemas.microsoft.com/office/2007/relationships/hdphoto" Target="../media/hdphoto13.wdp"/><Relationship Id="rId16" Type="http://schemas.openxmlformats.org/officeDocument/2006/relationships/image" Target="../media/image11.png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openxmlformats.org/officeDocument/2006/relationships/image" Target="../media/image34.png"/><Relationship Id="rId5" Type="http://schemas.microsoft.com/office/2007/relationships/hdphoto" Target="../media/hdphoto20.wdp"/><Relationship Id="rId15" Type="http://schemas.microsoft.com/office/2007/relationships/hdphoto" Target="../media/hdphoto19.wdp"/><Relationship Id="rId10" Type="http://schemas.openxmlformats.org/officeDocument/2006/relationships/image" Target="../media/image33.png"/><Relationship Id="rId4" Type="http://schemas.openxmlformats.org/officeDocument/2006/relationships/image" Target="../media/image30.png"/><Relationship Id="rId9" Type="http://schemas.microsoft.com/office/2007/relationships/hdphoto" Target="../media/hdphoto16.wdp"/><Relationship Id="rId14" Type="http://schemas.openxmlformats.org/officeDocument/2006/relationships/image" Target="../media/image29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32.png"/><Relationship Id="rId3" Type="http://schemas.openxmlformats.org/officeDocument/2006/relationships/hyperlink" Target="#Home!A1"/><Relationship Id="rId7" Type="http://schemas.openxmlformats.org/officeDocument/2006/relationships/image" Target="../media/image23.png"/><Relationship Id="rId12" Type="http://schemas.openxmlformats.org/officeDocument/2006/relationships/image" Target="../media/image37.png"/><Relationship Id="rId2" Type="http://schemas.microsoft.com/office/2007/relationships/hdphoto" Target="../media/hdphoto13.wdp"/><Relationship Id="rId16" Type="http://schemas.openxmlformats.org/officeDocument/2006/relationships/image" Target="../media/image11.png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openxmlformats.org/officeDocument/2006/relationships/image" Target="../media/image36.png"/><Relationship Id="rId5" Type="http://schemas.microsoft.com/office/2007/relationships/hdphoto" Target="../media/hdphoto20.wdp"/><Relationship Id="rId15" Type="http://schemas.microsoft.com/office/2007/relationships/hdphoto" Target="../media/hdphoto19.wdp"/><Relationship Id="rId10" Type="http://schemas.openxmlformats.org/officeDocument/2006/relationships/image" Target="../media/image35.png"/><Relationship Id="rId4" Type="http://schemas.openxmlformats.org/officeDocument/2006/relationships/image" Target="../media/image30.png"/><Relationship Id="rId9" Type="http://schemas.microsoft.com/office/2007/relationships/hdphoto" Target="../media/hdphoto16.wdp"/><Relationship Id="rId14" Type="http://schemas.openxmlformats.org/officeDocument/2006/relationships/image" Target="../media/image29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microsoft.com/office/2007/relationships/hdphoto" Target="../media/hdphoto22.wdp"/><Relationship Id="rId3" Type="http://schemas.openxmlformats.org/officeDocument/2006/relationships/hyperlink" Target="#Home!A1"/><Relationship Id="rId7" Type="http://schemas.openxmlformats.org/officeDocument/2006/relationships/image" Target="../media/image39.png"/><Relationship Id="rId12" Type="http://schemas.openxmlformats.org/officeDocument/2006/relationships/image" Target="../media/image41.png"/><Relationship Id="rId17" Type="http://schemas.openxmlformats.org/officeDocument/2006/relationships/image" Target="../media/image11.png"/><Relationship Id="rId2" Type="http://schemas.microsoft.com/office/2007/relationships/hdphoto" Target="../media/hdphoto13.wdp"/><Relationship Id="rId16" Type="http://schemas.openxmlformats.org/officeDocument/2006/relationships/image" Target="../media/image44.png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microsoft.com/office/2007/relationships/hdphoto" Target="../media/hdphoto21.wdp"/><Relationship Id="rId5" Type="http://schemas.microsoft.com/office/2007/relationships/hdphoto" Target="../media/hdphoto20.wdp"/><Relationship Id="rId15" Type="http://schemas.openxmlformats.org/officeDocument/2006/relationships/image" Target="../media/image43.png"/><Relationship Id="rId10" Type="http://schemas.openxmlformats.org/officeDocument/2006/relationships/image" Target="../media/image40.png"/><Relationship Id="rId4" Type="http://schemas.openxmlformats.org/officeDocument/2006/relationships/image" Target="../media/image38.png"/><Relationship Id="rId9" Type="http://schemas.microsoft.com/office/2007/relationships/hdphoto" Target="../media/hdphoto16.wdp"/><Relationship Id="rId14" Type="http://schemas.openxmlformats.org/officeDocument/2006/relationships/image" Target="../media/image42.png"/></Relationships>
</file>

<file path=xl/drawings/_rels/drawing30.xml.rels><?xml version="1.0" encoding="UTF-8" standalone="yes"?>
<Relationships xmlns="http://schemas.openxmlformats.org/package/2006/relationships"><Relationship Id="rId8" Type="http://schemas.microsoft.com/office/2007/relationships/hdphoto" Target="../media/hdphoto12.wdp"/><Relationship Id="rId13" Type="http://schemas.openxmlformats.org/officeDocument/2006/relationships/image" Target="../media/image47.png"/><Relationship Id="rId18" Type="http://schemas.microsoft.com/office/2007/relationships/hdphoto" Target="../media/hdphoto18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5.png"/><Relationship Id="rId12" Type="http://schemas.microsoft.com/office/2007/relationships/hdphoto" Target="../media/hdphoto23.wdp"/><Relationship Id="rId17" Type="http://schemas.openxmlformats.org/officeDocument/2006/relationships/image" Target="../media/image28.png"/><Relationship Id="rId2" Type="http://schemas.microsoft.com/office/2007/relationships/hdphoto" Target="../media/hdphoto13.wdp"/><Relationship Id="rId16" Type="http://schemas.microsoft.com/office/2007/relationships/hdphoto" Target="../media/hdphoto17.wdp"/><Relationship Id="rId20" Type="http://schemas.microsoft.com/office/2007/relationships/hdphoto" Target="../media/hdphoto25.wdp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openxmlformats.org/officeDocument/2006/relationships/image" Target="../media/image46.png"/><Relationship Id="rId5" Type="http://schemas.microsoft.com/office/2007/relationships/hdphoto" Target="../media/hdphoto14.wdp"/><Relationship Id="rId15" Type="http://schemas.openxmlformats.org/officeDocument/2006/relationships/image" Target="../media/image48.png"/><Relationship Id="rId10" Type="http://schemas.microsoft.com/office/2007/relationships/hdphoto" Target="../media/hdphoto16.wdp"/><Relationship Id="rId19" Type="http://schemas.openxmlformats.org/officeDocument/2006/relationships/image" Target="../media/image49.png"/><Relationship Id="rId4" Type="http://schemas.openxmlformats.org/officeDocument/2006/relationships/image" Target="../media/image22.png"/><Relationship Id="rId9" Type="http://schemas.openxmlformats.org/officeDocument/2006/relationships/image" Target="../media/image24.png"/><Relationship Id="rId14" Type="http://schemas.microsoft.com/office/2007/relationships/hdphoto" Target="../media/hdphoto24.wdp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32.png"/><Relationship Id="rId3" Type="http://schemas.openxmlformats.org/officeDocument/2006/relationships/hyperlink" Target="#Home!A1"/><Relationship Id="rId7" Type="http://schemas.openxmlformats.org/officeDocument/2006/relationships/image" Target="../media/image50.png"/><Relationship Id="rId12" Type="http://schemas.openxmlformats.org/officeDocument/2006/relationships/image" Target="../media/image53.png"/><Relationship Id="rId2" Type="http://schemas.microsoft.com/office/2007/relationships/hdphoto" Target="../media/hdphoto13.wdp"/><Relationship Id="rId16" Type="http://schemas.openxmlformats.org/officeDocument/2006/relationships/image" Target="../media/image55.png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openxmlformats.org/officeDocument/2006/relationships/image" Target="../media/image52.png"/><Relationship Id="rId5" Type="http://schemas.microsoft.com/office/2007/relationships/hdphoto" Target="../media/hdphoto20.wdp"/><Relationship Id="rId15" Type="http://schemas.openxmlformats.org/officeDocument/2006/relationships/image" Target="../media/image11.png"/><Relationship Id="rId10" Type="http://schemas.openxmlformats.org/officeDocument/2006/relationships/image" Target="../media/image51.png"/><Relationship Id="rId4" Type="http://schemas.openxmlformats.org/officeDocument/2006/relationships/image" Target="../media/image30.png"/><Relationship Id="rId9" Type="http://schemas.microsoft.com/office/2007/relationships/hdphoto" Target="../media/hdphoto16.wdp"/><Relationship Id="rId14" Type="http://schemas.openxmlformats.org/officeDocument/2006/relationships/image" Target="../media/image54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microsoft.com/office/2007/relationships/hdphoto" Target="../media/hdphoto24.wdp"/><Relationship Id="rId18" Type="http://schemas.openxmlformats.org/officeDocument/2006/relationships/image" Target="../media/image60.png"/><Relationship Id="rId3" Type="http://schemas.openxmlformats.org/officeDocument/2006/relationships/hyperlink" Target="#Home!A1"/><Relationship Id="rId7" Type="http://schemas.openxmlformats.org/officeDocument/2006/relationships/image" Target="../media/image39.png"/><Relationship Id="rId12" Type="http://schemas.openxmlformats.org/officeDocument/2006/relationships/image" Target="../media/image57.png"/><Relationship Id="rId17" Type="http://schemas.openxmlformats.org/officeDocument/2006/relationships/image" Target="../media/image11.png"/><Relationship Id="rId2" Type="http://schemas.microsoft.com/office/2007/relationships/hdphoto" Target="../media/hdphoto13.wdp"/><Relationship Id="rId16" Type="http://schemas.openxmlformats.org/officeDocument/2006/relationships/image" Target="../media/image44.png"/><Relationship Id="rId1" Type="http://schemas.openxmlformats.org/officeDocument/2006/relationships/image" Target="../media/image21.png"/><Relationship Id="rId6" Type="http://schemas.openxmlformats.org/officeDocument/2006/relationships/hyperlink" Target="#Produ&#231;&#227;o!A1"/><Relationship Id="rId11" Type="http://schemas.microsoft.com/office/2007/relationships/hdphoto" Target="../media/hdphoto23.wdp"/><Relationship Id="rId5" Type="http://schemas.microsoft.com/office/2007/relationships/hdphoto" Target="../media/hdphoto26.wdp"/><Relationship Id="rId15" Type="http://schemas.openxmlformats.org/officeDocument/2006/relationships/image" Target="../media/image59.png"/><Relationship Id="rId10" Type="http://schemas.openxmlformats.org/officeDocument/2006/relationships/image" Target="../media/image46.png"/><Relationship Id="rId19" Type="http://schemas.openxmlformats.org/officeDocument/2006/relationships/image" Target="../media/image61.png"/><Relationship Id="rId4" Type="http://schemas.openxmlformats.org/officeDocument/2006/relationships/image" Target="../media/image56.png"/><Relationship Id="rId9" Type="http://schemas.microsoft.com/office/2007/relationships/hdphoto" Target="../media/hdphoto16.wdp"/><Relationship Id="rId14" Type="http://schemas.openxmlformats.org/officeDocument/2006/relationships/image" Target="../media/image5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0</xdr:col>
      <xdr:colOff>55420</xdr:colOff>
      <xdr:row>1</xdr:row>
      <xdr:rowOff>55420</xdr:rowOff>
    </xdr:from>
    <xdr:to>
      <xdr:col>0</xdr:col>
      <xdr:colOff>512620</xdr:colOff>
      <xdr:row>1</xdr:row>
      <xdr:rowOff>512620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55420" y="831275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  <xdr:twoCellAnchor editAs="absolute">
    <xdr:from>
      <xdr:col>15</xdr:col>
      <xdr:colOff>400050</xdr:colOff>
      <xdr:row>1</xdr:row>
      <xdr:rowOff>57150</xdr:rowOff>
    </xdr:from>
    <xdr:to>
      <xdr:col>16</xdr:col>
      <xdr:colOff>247650</xdr:colOff>
      <xdr:row>1</xdr:row>
      <xdr:rowOff>514350</xdr:rowOff>
    </xdr:to>
    <xdr:sp macro="[0]!BotaoComLogin" textlink="">
      <xdr:nvSpPr>
        <xdr:cNvPr id="40" name="Círculo: Vazio 39">
          <a:extLst>
            <a:ext uri="{FF2B5EF4-FFF2-40B4-BE49-F238E27FC236}">
              <a16:creationId xmlns:a16="http://schemas.microsoft.com/office/drawing/2014/main" id="{BEE4D8CC-DE1C-4AB1-9932-0BC116B83D3D}"/>
            </a:ext>
          </a:extLst>
        </xdr:cNvPr>
        <xdr:cNvSpPr/>
      </xdr:nvSpPr>
      <xdr:spPr>
        <a:xfrm>
          <a:off x="14058900" y="8382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708568</xdr:colOff>
      <xdr:row>0</xdr:row>
      <xdr:rowOff>0</xdr:rowOff>
    </xdr:from>
    <xdr:to>
      <xdr:col>8</xdr:col>
      <xdr:colOff>90242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966368" y="0"/>
          <a:ext cx="1591474" cy="1162050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9596894" y="0"/>
          <a:ext cx="1598566" cy="1162050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13234512" y="0"/>
          <a:ext cx="1591491" cy="1162050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6865055" y="0"/>
          <a:ext cx="1612288" cy="1162050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20535445" y="0"/>
          <a:ext cx="1592907" cy="1162050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4167404" y="0"/>
          <a:ext cx="1590058" cy="1162050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7796514" y="0"/>
          <a:ext cx="1598568" cy="1162050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230232</xdr:colOff>
      <xdr:row>0</xdr:row>
      <xdr:rowOff>0</xdr:rowOff>
    </xdr:from>
    <xdr:to>
      <xdr:col>38</xdr:col>
      <xdr:colOff>0</xdr:colOff>
      <xdr:row>3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4BF345-5BA1-42CE-B6A1-FF46A8AFDACD}"/>
            </a:ext>
          </a:extLst>
        </xdr:cNvPr>
        <xdr:cNvGrpSpPr/>
      </xdr:nvGrpSpPr>
      <xdr:grpSpPr>
        <a:xfrm>
          <a:off x="31434132" y="0"/>
          <a:ext cx="1598568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9" name="Imagem 48" descr="Ícone do banco de dados (símbolo png) preto">
            <a:extLst>
              <a:ext uri="{FF2B5EF4-FFF2-40B4-BE49-F238E27FC236}">
                <a16:creationId xmlns:a16="http://schemas.microsoft.com/office/drawing/2014/main" id="{F2B3580B-7D1F-46B1-832E-F7B561C22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9</xdr:col>
      <xdr:colOff>533400</xdr:colOff>
      <xdr:row>10</xdr:row>
      <xdr:rowOff>0</xdr:rowOff>
    </xdr:from>
    <xdr:to>
      <xdr:col>9</xdr:col>
      <xdr:colOff>990600</xdr:colOff>
      <xdr:row>11</xdr:row>
      <xdr:rowOff>133350</xdr:rowOff>
    </xdr:to>
    <xdr:sp macro="[0]!BotaoComLogin" textlink="">
      <xdr:nvSpPr>
        <xdr:cNvPr id="45" name="Círculo: Vazio 44">
          <a:extLst>
            <a:ext uri="{FF2B5EF4-FFF2-40B4-BE49-F238E27FC236}">
              <a16:creationId xmlns:a16="http://schemas.microsoft.com/office/drawing/2014/main" id="{6E142909-A74A-4D01-B03D-5B89DDB07F93}"/>
            </a:ext>
          </a:extLst>
        </xdr:cNvPr>
        <xdr:cNvSpPr/>
      </xdr:nvSpPr>
      <xdr:spPr>
        <a:xfrm>
          <a:off x="8705850" y="2895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32</xdr:col>
      <xdr:colOff>2002158</xdr:colOff>
      <xdr:row>3</xdr:row>
      <xdr:rowOff>0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id="{1C824415-D25E-4C49-9A3F-F1BB86BA63DF}"/>
            </a:ext>
          </a:extLst>
        </xdr:cNvPr>
        <xdr:cNvGrpSpPr/>
      </xdr:nvGrpSpPr>
      <xdr:grpSpPr>
        <a:xfrm>
          <a:off x="2457450" y="0"/>
          <a:ext cx="30558108" cy="1162050"/>
          <a:chOff x="2419350" y="0"/>
          <a:chExt cx="30546678" cy="1162050"/>
        </a:xfrm>
      </xdr:grpSpPr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589C5E3B-0210-4312-8F84-3C19C230E2B1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D561E60B-0AE3-4DF0-AC58-08ECE6B88B04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4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33E6DC5B-0213-42D1-935C-FA54DEAE5E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5" name="CaixaDeTexto 84">
              <a:extLst>
                <a:ext uri="{FF2B5EF4-FFF2-40B4-BE49-F238E27FC236}">
                  <a16:creationId xmlns:a16="http://schemas.microsoft.com/office/drawing/2014/main" id="{B9483C08-6B73-4343-BEB9-85E0AF3666F7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B1002987-3E6C-4D5F-B59E-A4CC79289F16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id="{90619BF4-3616-40F4-80EB-7CC2AC1994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CaixaDeTexto 87">
              <a:extLst>
                <a:ext uri="{FF2B5EF4-FFF2-40B4-BE49-F238E27FC236}">
                  <a16:creationId xmlns:a16="http://schemas.microsoft.com/office/drawing/2014/main" id="{4F3813B2-4073-4C9B-A291-27692851523B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5980F89-0F4A-4661-A3FD-4F7F3E69B5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0" name="Agrupar 89">
            <a:extLst>
              <a:ext uri="{FF2B5EF4-FFF2-40B4-BE49-F238E27FC236}">
                <a16:creationId xmlns:a16="http://schemas.microsoft.com/office/drawing/2014/main" id="{5A287940-66C6-4E30-880A-4457D2C94C2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477C8117-517F-444F-923E-E1622CC1267A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1D04AB98-DFE2-4DFD-B98E-8E20BE2773E0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7C01576-EFB7-41CE-BCCF-86B84C82AC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1717D999-06D0-43C0-9F5A-9586747A54DA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95" name="Retângulo 94">
              <a:extLst>
                <a:ext uri="{FF2B5EF4-FFF2-40B4-BE49-F238E27FC236}">
                  <a16:creationId xmlns:a16="http://schemas.microsoft.com/office/drawing/2014/main" id="{6E40C190-452B-47D9-BD38-09E250DFC34A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6" name="CaixaDeTexto 95">
              <a:extLst>
                <a:ext uri="{FF2B5EF4-FFF2-40B4-BE49-F238E27FC236}">
                  <a16:creationId xmlns:a16="http://schemas.microsoft.com/office/drawing/2014/main" id="{910073FF-A866-4D21-8C25-FC7E981A84DE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9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7C84530-2434-4565-AB10-9FAD7F68E3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5DCB2429-04C7-4F24-A616-0A2CA27BAA75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99" name="Retângulo 98">
              <a:extLst>
                <a:ext uri="{FF2B5EF4-FFF2-40B4-BE49-F238E27FC236}">
                  <a16:creationId xmlns:a16="http://schemas.microsoft.com/office/drawing/2014/main" id="{28E9A8F6-4979-49AB-90DE-8544C9300A44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CaixaDeTexto 99">
              <a:extLst>
                <a:ext uri="{FF2B5EF4-FFF2-40B4-BE49-F238E27FC236}">
                  <a16:creationId xmlns:a16="http://schemas.microsoft.com/office/drawing/2014/main" id="{CFFFC0FA-663B-4507-AA1B-35E8CE49FE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D9EB963-EF7C-47A3-AE4F-64CE0AADE0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02" name="Agrupar 101">
            <a:extLst>
              <a:ext uri="{FF2B5EF4-FFF2-40B4-BE49-F238E27FC236}">
                <a16:creationId xmlns:a16="http://schemas.microsoft.com/office/drawing/2014/main" id="{CF6E804E-4AA5-4A41-B1DA-F5770B7EE137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8BBB1D6A-C7DB-4C4C-A41F-3B1A0D279754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1275F4A-808D-4684-81A8-118E6B1D6573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FA3DB30-2C9D-4CF1-A3B5-CCF1987DBD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id="{2354A111-05F6-4A34-826B-4EBDCA249D8E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107" name="Retângulo 106">
              <a:extLst>
                <a:ext uri="{FF2B5EF4-FFF2-40B4-BE49-F238E27FC236}">
                  <a16:creationId xmlns:a16="http://schemas.microsoft.com/office/drawing/2014/main" id="{D0B29A8F-C30E-4D44-8DE5-4DBF46D1964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CaixaDeTexto 107">
              <a:extLst>
                <a:ext uri="{FF2B5EF4-FFF2-40B4-BE49-F238E27FC236}">
                  <a16:creationId xmlns:a16="http://schemas.microsoft.com/office/drawing/2014/main" id="{E1A9F1F9-62A9-4542-992F-FA5992FBA7A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D792FF3-9567-4CFD-A9D1-DCF64C2B71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110" name="Agrupar 109">
            <a:extLst>
              <a:ext uri="{FF2B5EF4-FFF2-40B4-BE49-F238E27FC236}">
                <a16:creationId xmlns:a16="http://schemas.microsoft.com/office/drawing/2014/main" id="{3DD06C74-ED99-41DB-876C-B0B0051B16F2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111" name="Retângulo 110">
              <a:extLst>
                <a:ext uri="{FF2B5EF4-FFF2-40B4-BE49-F238E27FC236}">
                  <a16:creationId xmlns:a16="http://schemas.microsoft.com/office/drawing/2014/main" id="{22EDE107-0B14-4E02-83AF-E018D5B36EC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CaixaDeTexto 111">
              <a:extLst>
                <a:ext uri="{FF2B5EF4-FFF2-40B4-BE49-F238E27FC236}">
                  <a16:creationId xmlns:a16="http://schemas.microsoft.com/office/drawing/2014/main" id="{3CDAF0F0-1914-4C3A-93D6-1BBA48CFB9C9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1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E743116-B503-41BC-8D2D-FA2BCE40F8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114" name="Agrupar 113">
            <a:extLst>
              <a:ext uri="{FF2B5EF4-FFF2-40B4-BE49-F238E27FC236}">
                <a16:creationId xmlns:a16="http://schemas.microsoft.com/office/drawing/2014/main" id="{27A6B33B-FBCF-44A6-915C-CF8F7AD798F7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BC884020-F4C9-4A36-8D69-15F1B5E49ACD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D82FA2FE-7866-46CC-A026-D80329A7B65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17" name="Imagem 116" descr="Ícone do banco de dados (símbolo png) preto">
              <a:extLst>
                <a:ext uri="{FF2B5EF4-FFF2-40B4-BE49-F238E27FC236}">
                  <a16:creationId xmlns:a16="http://schemas.microsoft.com/office/drawing/2014/main" id="{398BF405-59FB-479E-A299-3EE8D145E01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10</xdr:col>
      <xdr:colOff>228600</xdr:colOff>
      <xdr:row>11</xdr:row>
      <xdr:rowOff>266700</xdr:rowOff>
    </xdr:from>
    <xdr:to>
      <xdr:col>11</xdr:col>
      <xdr:colOff>76200</xdr:colOff>
      <xdr:row>13</xdr:row>
      <xdr:rowOff>0</xdr:rowOff>
    </xdr:to>
    <xdr:sp macro="[0]!BotaoComLogin" textlink="">
      <xdr:nvSpPr>
        <xdr:cNvPr id="155" name="Círculo: Vazio 154">
          <a:extLst>
            <a:ext uri="{FF2B5EF4-FFF2-40B4-BE49-F238E27FC236}">
              <a16:creationId xmlns:a16="http://schemas.microsoft.com/office/drawing/2014/main" id="{04326554-713E-405A-8100-28B8158D2B40}"/>
            </a:ext>
          </a:extLst>
        </xdr:cNvPr>
        <xdr:cNvSpPr/>
      </xdr:nvSpPr>
      <xdr:spPr>
        <a:xfrm>
          <a:off x="8153400" y="4038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1601931</xdr:colOff>
      <xdr:row>10</xdr:row>
      <xdr:rowOff>39831</xdr:rowOff>
    </xdr:from>
    <xdr:to>
      <xdr:col>18</xdr:col>
      <xdr:colOff>2059131</xdr:colOff>
      <xdr:row>11</xdr:row>
      <xdr:rowOff>135081</xdr:rowOff>
    </xdr:to>
    <xdr:sp macro="[0]!BotaoComLogin" textlink="">
      <xdr:nvSpPr>
        <xdr:cNvPr id="42" name="Círculo: Vazio 41">
          <a:extLst>
            <a:ext uri="{FF2B5EF4-FFF2-40B4-BE49-F238E27FC236}">
              <a16:creationId xmlns:a16="http://schemas.microsoft.com/office/drawing/2014/main" id="{4C408212-5FF6-4E4B-AA73-D17CA46703CB}"/>
            </a:ext>
          </a:extLst>
        </xdr:cNvPr>
        <xdr:cNvSpPr/>
      </xdr:nvSpPr>
      <xdr:spPr>
        <a:xfrm>
          <a:off x="15356031" y="3449781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1339A0B-5DB3-41E3-BBE0-E3F639E8901D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EA84ECBA-852C-4371-85E3-B393A6FD67E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97B5C298-5186-45F9-ACE4-6F589EA46488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9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3C98B25-D54B-4D2C-A4A7-7CBE11F438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0" name="CaixaDeTexto 79">
              <a:extLst>
                <a:ext uri="{FF2B5EF4-FFF2-40B4-BE49-F238E27FC236}">
                  <a16:creationId xmlns:a16="http://schemas.microsoft.com/office/drawing/2014/main" id="{13F43AEB-3135-4367-8C65-9E5830A2898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9B9FA6EF-0857-4BB7-82D8-DE8F5B4FD774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C80BA942-1F5A-48F9-BD25-8AA0F756AD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4F0708C-5F88-4E95-B1D4-28D81FA683B9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A44F4329-3612-4FFF-84E5-0F30FC13059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8154EC42-2C46-4267-ACCC-BC9E865C6C4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id="{D6869E5D-9A2E-4B0A-9888-5B3ED68AD70F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6C6BF8DA-D17B-4DD5-92D9-EE2A570787F3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19CA871-8EB2-4584-B12B-EBF5444023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57550321-A8E6-4279-BB4E-239A29FEF233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id="{3653972E-F014-4B36-AA65-70541A461D3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53060750-9EB6-4011-9168-E1FBDAC49EA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342FB37-CCAD-4CA5-9C10-E6C55086A9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6EFEE672-8949-478D-8AC8-A907C0A6EBC8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id="{84474232-E6BB-4A99-A467-6AD9C49B41F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72B7B358-80D9-4E9A-BB85-ECE5178EFFB0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8DEBA7F-C3D2-4FDE-8DA7-DCD1DB2187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27D7277-9A75-480B-BBFA-FA4CBD7C1776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86FF84ED-7681-46B1-8D54-EB8235BB1066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4E129A8C-6006-42CF-A3AD-66FB78E41F41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BA6CF66-B019-4092-BFB8-9F92B4E54C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A6B30270-44C9-43C9-A115-D7E66F508BF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36A14DD1-E547-4F7F-8A0B-BC3441B2E1F4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B6DDBD23-9A0E-4431-B7E8-66A194D3BF2E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AF074B2-3913-4F3E-B6C9-F2A26D9037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FD8EC3E9-2447-4C4E-9E31-735BB021337A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46E21FDE-18B0-45EE-87B4-638ED06E102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A4A45D96-43F8-483C-B31A-48F7A4F72B24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7CC0839-E4C0-4789-BDF6-1867D344B7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2B6EC1C1-CC3C-4C57-86FA-B388B12A0312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394F6C32-7F16-42C2-849D-5544A663B698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" name="CaixaDeTexto 54">
              <a:extLst>
                <a:ext uri="{FF2B5EF4-FFF2-40B4-BE49-F238E27FC236}">
                  <a16:creationId xmlns:a16="http://schemas.microsoft.com/office/drawing/2014/main" id="{C8B2D1DA-3908-4422-9015-842A5E972543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6" name="Imagem 55" descr="Ícone do banco de dados (símbolo png) preto">
              <a:extLst>
                <a:ext uri="{FF2B5EF4-FFF2-40B4-BE49-F238E27FC236}">
                  <a16:creationId xmlns:a16="http://schemas.microsoft.com/office/drawing/2014/main" id="{8EEC6813-92F0-4CCE-B0FA-DD2284EC1C9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323850</xdr:colOff>
      <xdr:row>14</xdr:row>
      <xdr:rowOff>95250</xdr:rowOff>
    </xdr:from>
    <xdr:to>
      <xdr:col>16</xdr:col>
      <xdr:colOff>171450</xdr:colOff>
      <xdr:row>15</xdr:row>
      <xdr:rowOff>190500</xdr:rowOff>
    </xdr:to>
    <xdr:sp macro="[0]!BotaoComLogin" textlink="">
      <xdr:nvSpPr>
        <xdr:cNvPr id="41" name="Círculo: Vazio 40">
          <a:extLst>
            <a:ext uri="{FF2B5EF4-FFF2-40B4-BE49-F238E27FC236}">
              <a16:creationId xmlns:a16="http://schemas.microsoft.com/office/drawing/2014/main" id="{D14E04D5-E4E6-4221-9E22-0D887BD73EF1}"/>
            </a:ext>
          </a:extLst>
        </xdr:cNvPr>
        <xdr:cNvSpPr/>
      </xdr:nvSpPr>
      <xdr:spPr>
        <a:xfrm>
          <a:off x="12249150" y="49530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9DD942D4-A0DF-44DF-B452-A80B9E90C63B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6EA6089A-F1F9-4853-B6D8-3691AF020D7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1" name="Retângulo 80">
              <a:extLst>
                <a:ext uri="{FF2B5EF4-FFF2-40B4-BE49-F238E27FC236}">
                  <a16:creationId xmlns:a16="http://schemas.microsoft.com/office/drawing/2014/main" id="{CB30D25D-7CCE-4FA5-AC51-CB30B467841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2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9800F053-F9A9-4570-9854-7EE20CBDCA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3" name="CaixaDeTexto 82">
              <a:extLst>
                <a:ext uri="{FF2B5EF4-FFF2-40B4-BE49-F238E27FC236}">
                  <a16:creationId xmlns:a16="http://schemas.microsoft.com/office/drawing/2014/main" id="{8D75AC37-7679-43C8-84CC-679EBDE196A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26D03E39-FF55-4941-A7A5-736199C22D5B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CF439F70-A3DB-4723-AE38-3F965F8E2B7A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:a16="http://schemas.microsoft.com/office/drawing/2014/main" id="{806456FC-733C-4CFF-B5FE-C79CD84A2704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0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838929F4-9FF3-4897-A41A-42389AB24E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2E7615D5-9E64-4710-8717-890100F8CAB1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1CFF52B5-AE6C-4F6C-A9D2-2C428556A11C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FE1C33C8-8CD2-4FE9-8BC3-92749EA7FC2F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5FE926F-585D-4EDD-9995-ED0B082A64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2EF98064-FA72-423F-9F98-ADD0505109BB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id="{E61C47F2-7926-4CB3-99FD-56E50C660C9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CC27FFB1-EDDB-4347-A02E-2274B915A9F9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61E476E-270C-49CD-AE42-7AF6E3CB5E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A2D11322-21F3-4500-BB5A-C0CCD052DF34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id="{B202A55B-5D26-48A8-817D-06ADAEFF99E0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2C131DB3-64F6-47B3-BE4E-3D982123243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6A357B8-0416-4E1F-9BC6-8FB90AB28E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0B50F937-C807-4750-8955-5278DD09BD1C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id="{DCD824C7-4F39-433F-82AF-64FFD8016AE8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7DE81D56-6DB0-4F06-8132-D77B2FB11DBA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9A5B157-0809-4A9B-A203-5FCBF7694F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DC40C0BA-9C64-4278-911B-6F56DD9C597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344A1167-6E09-44B1-A32D-9F86783285E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0E7F3FBE-DDF4-4407-9AB0-32853E8116D4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CBEA583-8831-4E96-88FA-8A4CBCB046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53A7A20F-D388-4793-A7E1-BDCF210B3A99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7A0C6223-7917-4436-9F13-877E05B8A7F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40B84F6E-E2D0-42BF-8F44-08AE1400FBEB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3D324D3-8D5B-4F3E-B0E9-5DF0120400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51BC4476-75F2-4E1A-8C63-A9F67D811DA5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19D1D1C4-D618-4042-92DB-677368CA1897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5731EBED-3714-4FF8-A64D-4E41FD4D5B2D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9" name="Imagem 58" descr="Ícone do banco de dados (símbolo png) preto">
              <a:extLst>
                <a:ext uri="{FF2B5EF4-FFF2-40B4-BE49-F238E27FC236}">
                  <a16:creationId xmlns:a16="http://schemas.microsoft.com/office/drawing/2014/main" id="{A7F5EE73-D215-4EEB-AB8E-A24E25A4BE3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16</xdr:col>
      <xdr:colOff>571500</xdr:colOff>
      <xdr:row>3</xdr:row>
      <xdr:rowOff>342900</xdr:rowOff>
    </xdr:from>
    <xdr:to>
      <xdr:col>17</xdr:col>
      <xdr:colOff>419100</xdr:colOff>
      <xdr:row>5</xdr:row>
      <xdr:rowOff>29936</xdr:rowOff>
    </xdr:to>
    <xdr:sp macro="[0]!BotaoComLogin" textlink="">
      <xdr:nvSpPr>
        <xdr:cNvPr id="46" name="Círculo: Vazio 45">
          <a:extLst>
            <a:ext uri="{FF2B5EF4-FFF2-40B4-BE49-F238E27FC236}">
              <a16:creationId xmlns:a16="http://schemas.microsoft.com/office/drawing/2014/main" id="{51ED14EE-DF5E-4F05-B1D7-0071555AB6C6}"/>
            </a:ext>
          </a:extLst>
        </xdr:cNvPr>
        <xdr:cNvSpPr/>
      </xdr:nvSpPr>
      <xdr:spPr>
        <a:xfrm>
          <a:off x="30270450" y="1504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5810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23</xdr:col>
      <xdr:colOff>304800</xdr:colOff>
      <xdr:row>11</xdr:row>
      <xdr:rowOff>19050</xdr:rowOff>
    </xdr:from>
    <xdr:to>
      <xdr:col>24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52F9F7B1-4E38-4F63-8945-DB11E75453DB}"/>
            </a:ext>
          </a:extLst>
        </xdr:cNvPr>
        <xdr:cNvSpPr/>
      </xdr:nvSpPr>
      <xdr:spPr>
        <a:xfrm>
          <a:off x="28746450" y="3790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2000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22</xdr:col>
      <xdr:colOff>304800</xdr:colOff>
      <xdr:row>11</xdr:row>
      <xdr:rowOff>19050</xdr:rowOff>
    </xdr:from>
    <xdr:to>
      <xdr:col>23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612F9E51-33F1-4314-846A-F0972518AA87}"/>
            </a:ext>
          </a:extLst>
        </xdr:cNvPr>
        <xdr:cNvSpPr/>
      </xdr:nvSpPr>
      <xdr:spPr>
        <a:xfrm>
          <a:off x="287121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76200</xdr:colOff>
      <xdr:row>11</xdr:row>
      <xdr:rowOff>19050</xdr:rowOff>
    </xdr:from>
    <xdr:to>
      <xdr:col>24</xdr:col>
      <xdr:colOff>533400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31688FC5-51E8-4955-A59E-84C23CB6FFD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5810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114300</xdr:colOff>
      <xdr:row>11</xdr:row>
      <xdr:rowOff>19050</xdr:rowOff>
    </xdr:from>
    <xdr:to>
      <xdr:col>24</xdr:col>
      <xdr:colOff>571500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39857E04-A25D-4762-8F4B-5B51308490CF}"/>
            </a:ext>
          </a:extLst>
        </xdr:cNvPr>
        <xdr:cNvSpPr/>
      </xdr:nvSpPr>
      <xdr:spPr>
        <a:xfrm>
          <a:off x="286740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5810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A2C19ED0-2EBC-47BD-B467-F8FF0A8A7F2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5810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EE73FE17-8B42-4C13-9807-D55142A0B12D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438400" y="0"/>
          <a:ext cx="3055810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1BE500F5-1A0D-4796-9C08-8E44D1E41E29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B6CD4612-7F5B-4547-99F3-8533094CFAAF}"/>
            </a:ext>
          </a:extLst>
        </xdr:cNvPr>
        <xdr:cNvSpPr/>
      </xdr:nvSpPr>
      <xdr:spPr>
        <a:xfrm>
          <a:off x="8020050" y="27241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5194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50237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3342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6162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9833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id="{82008787-EB4E-4FAF-A4F9-83E87DB0D97D}"/>
            </a:ext>
          </a:extLst>
        </xdr:cNvPr>
        <xdr:cNvSpPr/>
      </xdr:nvSpPr>
      <xdr:spPr>
        <a:xfrm>
          <a:off x="8016240" y="2682240"/>
          <a:ext cx="44958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2230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5194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50237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3342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6162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9833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6268700" y="9669780"/>
          <a:ext cx="1950720" cy="11655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381000</xdr:colOff>
      <xdr:row>3</xdr:row>
      <xdr:rowOff>266700</xdr:rowOff>
    </xdr:from>
    <xdr:to>
      <xdr:col>16</xdr:col>
      <xdr:colOff>76200</xdr:colOff>
      <xdr:row>4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id="{F02BE0B2-D231-4147-98F5-64B5A1EE59AA}"/>
            </a:ext>
          </a:extLst>
        </xdr:cNvPr>
        <xdr:cNvSpPr/>
      </xdr:nvSpPr>
      <xdr:spPr>
        <a:xfrm>
          <a:off x="20326350" y="14287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20502370" y="0"/>
          <a:ext cx="161156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41524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7806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14173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4457700</xdr:colOff>
      <xdr:row>3</xdr:row>
      <xdr:rowOff>266700</xdr:rowOff>
    </xdr:from>
    <xdr:to>
      <xdr:col>15</xdr:col>
      <xdr:colOff>4914900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B56C4BFF-1A12-45F2-B004-D5A89FB90B11}"/>
            </a:ext>
          </a:extLst>
        </xdr:cNvPr>
        <xdr:cNvSpPr/>
      </xdr:nvSpPr>
      <xdr:spPr>
        <a:xfrm>
          <a:off x="20299680" y="140970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5824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925493" y="0"/>
          <a:ext cx="1606317" cy="115824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464270" y="0"/>
          <a:ext cx="1592510" cy="115824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4095323" y="0"/>
          <a:ext cx="1589661" cy="115824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731148" y="0"/>
          <a:ext cx="1598169" cy="115824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1367859" y="0"/>
          <a:ext cx="1598169" cy="115824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704850</xdr:colOff>
      <xdr:row>3</xdr:row>
      <xdr:rowOff>266700</xdr:rowOff>
    </xdr:from>
    <xdr:to>
      <xdr:col>11</xdr:col>
      <xdr:colOff>1162050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3EF6E76E-2E94-4282-85EB-C58D0B50025F}"/>
            </a:ext>
          </a:extLst>
        </xdr:cNvPr>
        <xdr:cNvSpPr/>
      </xdr:nvSpPr>
      <xdr:spPr>
        <a:xfrm>
          <a:off x="2031492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2050237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413342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76162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139833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12</xdr:col>
      <xdr:colOff>57150</xdr:colOff>
      <xdr:row>3</xdr:row>
      <xdr:rowOff>266700</xdr:rowOff>
    </xdr:from>
    <xdr:to>
      <xdr:col>12</xdr:col>
      <xdr:colOff>514350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184B24F9-C087-4657-B2FB-CB64374465E8}"/>
            </a:ext>
          </a:extLst>
        </xdr:cNvPr>
        <xdr:cNvSpPr/>
      </xdr:nvSpPr>
      <xdr:spPr>
        <a:xfrm>
          <a:off x="2032635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F70DCB7-0164-4460-A80D-4430C26BBCB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3EFC35-133C-40CB-B266-1269CEF4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F69802CF-D570-4D93-86F3-07E17A7552ED}"/>
            </a:ext>
          </a:extLst>
        </xdr:cNvPr>
        <xdr:cNvSpPr/>
      </xdr:nvSpPr>
      <xdr:spPr>
        <a:xfrm>
          <a:off x="25203150" y="140970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27B7593-91A5-4067-973D-BD9BB1E4FDB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FB818A7-394D-4B29-ABCC-6F6EB9B2254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5A0A260E-9325-4A2E-A98A-B76719C8F2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E104897-45C2-4B8B-9124-ED76C2E63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8DE30A5-44BD-4919-87F7-979799074B3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057F514-4B36-40AE-ABB4-B732655500AA}"/>
            </a:ext>
          </a:extLst>
        </xdr:cNvPr>
        <xdr:cNvGrpSpPr/>
      </xdr:nvGrpSpPr>
      <xdr:grpSpPr>
        <a:xfrm>
          <a:off x="5936923" y="0"/>
          <a:ext cx="1598004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C791C49A-FCB4-4D81-B99F-107FF136E3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1C290481-7D3F-4598-AB96-2B3E109A4F8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70E502B-474A-4589-B0B9-5723FF4CBF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9E72012-AD37-42BD-B509-37F4B0A06F3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C2F23ED-2792-4156-808E-D7C524AEC89C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D365A-BA0A-4597-91AA-E4417230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13D8B86-CE8A-415D-8AEB-8BED29BA45B8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CDC212D2-C371-48AF-B48B-E8CA19F84F40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19C3FA-300B-4DDD-B964-3A47200B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296941F-046D-4723-9142-8298EE877259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E6A96873-541B-4DF4-9843-83A27F2ECACA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7D55B3-953E-4FEF-AB84-4A8A75771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94EA2BB-F51C-48A8-817A-AD39FF593319}"/>
            </a:ext>
          </a:extLst>
        </xdr:cNvPr>
        <xdr:cNvGrpSpPr/>
      </xdr:nvGrpSpPr>
      <xdr:grpSpPr>
        <a:xfrm>
          <a:off x="20511029" y="0"/>
          <a:ext cx="1592510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1ABA6884-32FD-4286-8781-61272EA24FA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A027D37-A64E-4F6E-808D-751E805AE1F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6A6C73-B9D6-48E1-A8F3-7687EF7F0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5FA165C-1AE7-4943-9196-38E96BAE15E9}"/>
            </a:ext>
          </a:extLst>
        </xdr:cNvPr>
        <xdr:cNvGrpSpPr/>
      </xdr:nvGrpSpPr>
      <xdr:grpSpPr>
        <a:xfrm>
          <a:off x="24155937" y="0"/>
          <a:ext cx="1596588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BA7593F-9DAC-49BC-B750-D00F6C257D41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F738A34-CA06-41BE-AE7D-EE525376630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717E1F-6C10-422A-97F2-64C6B0B57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3A0401DA-6E24-4818-B030-F9DEF92E2CA5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44720A25-5AEE-4BD3-8FD4-64E057EBC708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DC78B4-188B-47F3-A52A-80B47F3AC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CE9CC11-F371-4214-A54E-5E5EF10705AC}"/>
            </a:ext>
          </a:extLst>
        </xdr:cNvPr>
        <xdr:cNvGrpSpPr/>
      </xdr:nvGrpSpPr>
      <xdr:grpSpPr>
        <a:xfrm>
          <a:off x="31417389" y="0"/>
          <a:ext cx="1612024" cy="1136073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4DFD0DDC-9F82-44E1-A05A-59FBB825DF1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947699F7-CECD-46A7-B4DB-144490F3C59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35787F8-A08D-494F-963D-DD62F99D9F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1DEA15F-405C-4A2F-8621-6925D1D27A2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27F62E6-7E3F-492A-B702-127209BF7C4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9399AF5B-7278-4C54-99D3-A6064B37187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1875DB0-E6C4-4785-8CCC-CE532FAEC2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5864EAE-F899-4D36-AF94-9C8E7E231575}"/>
            </a:ext>
          </a:extLst>
        </xdr:cNvPr>
        <xdr:cNvSpPr/>
      </xdr:nvSpPr>
      <xdr:spPr>
        <a:xfrm>
          <a:off x="20943912" y="1295400"/>
          <a:ext cx="3398400" cy="81196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D5B652F-FAFE-4AD6-AFDB-C03FD45D41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6983" y="5269775"/>
          <a:ext cx="1452153" cy="5613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0]!cadastro_clientes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91CD3AD3-B1F8-4FCD-AC78-9EFF6801FE3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103441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1BC3912-F65D-4384-9090-48AC9FE48F7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7B5195-A0BB-4E9C-B03A-5DEB6E37F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1762125</xdr:colOff>
      <xdr:row>3</xdr:row>
      <xdr:rowOff>247650</xdr:rowOff>
    </xdr:from>
    <xdr:to>
      <xdr:col>13</xdr:col>
      <xdr:colOff>2133600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EC034556-3995-4675-9A7F-4F9E51F789AC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3E383EF-43B0-4151-B1E5-B5DABF9CB0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8B93F9B2-613E-4979-B664-A66E15448D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AE0C65FD-70D2-472A-85BF-EA2EFAEDED9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1DF8404-6287-42EE-8D0C-FBAA36C99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7066DCA-3817-4EC0-B58A-2B1904ECCA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CB7A36F-4BED-4A41-81DA-D048A5B30202}"/>
            </a:ext>
          </a:extLst>
        </xdr:cNvPr>
        <xdr:cNvGrpSpPr/>
      </xdr:nvGrpSpPr>
      <xdr:grpSpPr>
        <a:xfrm>
          <a:off x="5936923" y="0"/>
          <a:ext cx="1598004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746ADC6-4136-4A43-9AC9-BD0591333E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450ABEF-B03B-469D-94DC-28B0971275E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FD0EC9F-12A2-4B36-9354-D0B6C8B3D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115E1E0-CC9E-4812-94E6-573D682A2E7A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7236CF4-DB6F-4D20-B842-CB29C4C5250D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C33ADC-7D39-492D-B191-3D043D49F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E01365F9-AA7A-4385-8418-6220AB9779A5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115E2B8-8238-45D6-A7EE-20C5D532EDBA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273698-77FD-4860-B083-B5A39A852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DF91854-3F74-45C8-BBCA-D574B8646C5A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F8F293E-17EC-4FF2-90D9-EDC65B893539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60FC26-1B73-4FC9-A152-A217B1384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A79830-6ECC-4943-8822-926033A582C9}"/>
            </a:ext>
          </a:extLst>
        </xdr:cNvPr>
        <xdr:cNvGrpSpPr/>
      </xdr:nvGrpSpPr>
      <xdr:grpSpPr>
        <a:xfrm>
          <a:off x="20498473" y="0"/>
          <a:ext cx="1647496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B73A05-D220-4CC0-837D-D36D1150EFF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789E8DE-31D2-4AD9-9CE7-684825796B3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7F6360F-B236-41FB-AFA7-B95AB1642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DA00BF5-EB96-4059-A3B6-A9A5971B2DB2}"/>
            </a:ext>
          </a:extLst>
        </xdr:cNvPr>
        <xdr:cNvGrpSpPr/>
      </xdr:nvGrpSpPr>
      <xdr:grpSpPr>
        <a:xfrm>
          <a:off x="24198366" y="0"/>
          <a:ext cx="1503936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2323973-777C-480C-B833-7E21062A009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63AF80E-3D58-4CF1-B611-4D49849F226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704DD5-F097-414C-8464-E145B1ABA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270EEB1D-2589-4A5D-B216-1A193083193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4C810C3-5604-472B-B49F-8C259B932840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8569A8-4B5C-4B5E-B31C-4C663933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D58AA317-260D-44FF-AE05-DC7957926C75}"/>
            </a:ext>
          </a:extLst>
        </xdr:cNvPr>
        <xdr:cNvGrpSpPr/>
      </xdr:nvGrpSpPr>
      <xdr:grpSpPr>
        <a:xfrm>
          <a:off x="31459819" y="0"/>
          <a:ext cx="1462438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24285C2-91CB-4BB5-B913-C7A05F9BB02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6626A27-83D8-491B-80AD-5C630ABBCD2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B3673C8-2175-49CF-B8A7-3E75EFE0F43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DC130A7-D36F-45F5-9A13-8B15F898E43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5CD9C35-114C-4433-8745-CE915B52280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BA28A6E-5B55-48E1-9103-65353E3324B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351412F-58BE-4453-B3B3-DBE50191C8B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CB3CC48-C85A-48C3-B454-4D5C45768493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403E624-4072-4F49-82A3-F460263B4FA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[0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ACC235BB-1958-44AB-ABFB-1BEDCD616C2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9636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DFACFC2-9831-47FD-8968-80C00FF4B3C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C007C-810D-44B0-A1F2-99E499E0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2571750</xdr:colOff>
      <xdr:row>3</xdr:row>
      <xdr:rowOff>247650</xdr:rowOff>
    </xdr:from>
    <xdr:to>
      <xdr:col>13</xdr:col>
      <xdr:colOff>2943225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F066C66-B58E-45DA-B54C-0EE2B4731327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E5FF1AF-2953-4B1B-86D2-322D2710084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019F2CF-7866-47F8-8DF3-0ABE2B84136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14037C0A-C5C0-4153-A1AC-CCDEC54739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4747959-ACE5-4091-A0EE-74F181EFD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1B2B600-4913-4C16-9FE9-38820185CB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651545D-1264-4A9B-BCFF-46073DE14BAE}"/>
            </a:ext>
          </a:extLst>
        </xdr:cNvPr>
        <xdr:cNvGrpSpPr/>
      </xdr:nvGrpSpPr>
      <xdr:grpSpPr>
        <a:xfrm>
          <a:off x="5936923" y="0"/>
          <a:ext cx="1598004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7A7A93F-E8A6-4AAC-83F0-A7E525E8799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C0E52A6-6CDA-4FE9-B9BC-10660846EBB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50234C5-468D-4BBA-A5FD-EFEFAB0B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263B8A5-70E3-4B0A-A584-0A5F353109B7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162293E-5A73-4BA6-B870-D4299435AC08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9D631-50B2-4A9D-A707-0CCC87246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E13D135-322D-4023-A95D-17ADEB34BD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8461B4F-8A6C-49B5-9DFD-4CF1E1653FC3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8E115-045D-4039-8EA1-0DF863BF8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AA0ED215-A32C-4E02-9D93-453E815E42F7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63CF618D-67D8-49F6-A180-4BFE6C734766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A026D8-3CDA-44D8-9352-ADBF3A46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9EDF868-6E0E-4DB0-8768-D95808FC27BB}"/>
            </a:ext>
          </a:extLst>
        </xdr:cNvPr>
        <xdr:cNvGrpSpPr/>
      </xdr:nvGrpSpPr>
      <xdr:grpSpPr>
        <a:xfrm>
          <a:off x="20465617" y="0"/>
          <a:ext cx="1644849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0191617-A0EB-4A79-8F62-7E2152CAD8E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DC321FF-0380-4396-9DEB-3E500CD826C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7A96C8-897B-42A6-9BC6-46B3C78DE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4FF8D43-9CB7-4CB0-9DFE-08C90B7DA324}"/>
            </a:ext>
          </a:extLst>
        </xdr:cNvPr>
        <xdr:cNvGrpSpPr/>
      </xdr:nvGrpSpPr>
      <xdr:grpSpPr>
        <a:xfrm>
          <a:off x="24162864" y="0"/>
          <a:ext cx="1503936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9FAF08E-3274-4C71-AE04-FC5E1D630D9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F231A2C-0E2C-43A5-8AA5-6423320E264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88307B0-8677-4FA4-AB0F-893D359D99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425C3C3B-95FD-414D-B3EA-0D9E36C74B74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E6F0368-1779-4BBD-A2E2-75B1BCB9A9B4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702381-9E3B-40ED-B415-4DE4E497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914A014-70EA-4C7D-BBB4-2A91B0E89497}"/>
            </a:ext>
          </a:extLst>
        </xdr:cNvPr>
        <xdr:cNvGrpSpPr/>
      </xdr:nvGrpSpPr>
      <xdr:grpSpPr>
        <a:xfrm>
          <a:off x="31465014" y="0"/>
          <a:ext cx="1474344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64A925F-BA41-4B97-8465-2B979C10CF6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E436ADAB-95C6-4E88-95F7-56D3652607D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C2030D42-196E-4714-98F4-5B29F48025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DDE0A04-B36E-415A-95BC-8503D258C8B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CD54AAE-9E42-4CC8-98FC-348940506E2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F07989-1805-4F70-B7B9-82AC9D4D66F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D5BA933-E109-4805-BDA2-8C700330B91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26572A1A-A4F4-4B1B-B80B-DA17740ECCEA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BE0F5A65-D7AC-4622-896A-B330E8CCCE1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0]!meta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28138847-677E-4CF9-99C8-0840A0CB471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4860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2D35D9C-A72A-492A-9775-C710F270BE9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6996FA-18CA-4D74-A930-8D70B2E5A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9</xdr:col>
      <xdr:colOff>476250</xdr:colOff>
      <xdr:row>3</xdr:row>
      <xdr:rowOff>247650</xdr:rowOff>
    </xdr:from>
    <xdr:to>
      <xdr:col>9</xdr:col>
      <xdr:colOff>847725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C7D34660-8190-4FA3-B52A-E8F022F51B71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424830E-C3EB-4952-BF0C-ABE2C0D47AD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B5C5B7F-E245-4AC3-A6B9-D0C1201AA33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23625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A690E8B-022E-439F-AD21-3E0B255A727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9924F49-95F3-4E08-AB3F-26303BECD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ABFE2E8-7A34-4253-A8EA-533FA05199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606C0A9-C4C5-4BB9-82F7-BDBCA470E30A}"/>
            </a:ext>
          </a:extLst>
        </xdr:cNvPr>
        <xdr:cNvGrpSpPr/>
      </xdr:nvGrpSpPr>
      <xdr:grpSpPr>
        <a:xfrm>
          <a:off x="6038234" y="0"/>
          <a:ext cx="1448202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3AFA651-8CC0-4F72-9D35-CEE2165E22B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342AEB43-44B2-4EB2-B6C6-B2950897A9C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E0006A-B28F-452B-8959-989B08D02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E6257CE-6214-4BE3-B45C-890328FB251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374FB05-2FAE-41C5-8706-2E99304FDB15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BF4B33-51FE-485C-AB17-8EAAC8958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57555A4-2FB3-4B46-939F-95F5BE7A588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FD0D207-3428-41DC-8119-97E6EB93581E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9EF35-EEEF-46FD-9668-86B88DFD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8E06D166-1471-4B1E-A55F-439FB8111D0C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5724CC6-7242-49A0-85C9-7E49282685E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861A45-0D10-4BF3-90E8-FCF9BA7E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0C7B253-1D9A-4249-BED8-0CC5FF7C4DF4}"/>
            </a:ext>
          </a:extLst>
        </xdr:cNvPr>
        <xdr:cNvGrpSpPr/>
      </xdr:nvGrpSpPr>
      <xdr:grpSpPr>
        <a:xfrm>
          <a:off x="20432231" y="0"/>
          <a:ext cx="1685163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916D578-259C-4241-9C4A-B0885B4B20E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2491708-010A-4D83-9412-A4FC6A314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117DA20-D114-40C6-830A-8BA0E135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F8E1943-BE81-48AF-93F3-B090952F6626}"/>
            </a:ext>
          </a:extLst>
        </xdr:cNvPr>
        <xdr:cNvGrpSpPr/>
      </xdr:nvGrpSpPr>
      <xdr:grpSpPr>
        <a:xfrm>
          <a:off x="24103550" y="0"/>
          <a:ext cx="1601350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3AB47941-7795-4428-9393-A074FDCEC09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28960F0F-F4FC-48F0-A787-F14F457FCC5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491DCBA-0E8E-421A-9A30-DD9D03CDFF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C7E6D566-2997-41E5-AEB0-B95B0E1657B2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E7033FF8-785C-4C5A-B87B-C9689A01AE79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2A151D-CD3F-41E4-9878-A09E0F25D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BDE650B-3333-46B2-BAE0-96049919B412}"/>
            </a:ext>
          </a:extLst>
        </xdr:cNvPr>
        <xdr:cNvGrpSpPr/>
      </xdr:nvGrpSpPr>
      <xdr:grpSpPr>
        <a:xfrm>
          <a:off x="31462416" y="0"/>
          <a:ext cx="1464819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617CB094-3093-4C4D-ACE4-FA53362769A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DF2E14E-B3F8-4E55-A8D1-32DC2A6B0C6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FC7E9A4-3598-4FED-BCAD-8CF729EFB8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0EAAA-1C37-4839-BEB6-35137823ED0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49D1FDF-DAEB-4C96-AE78-E3517F326D9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B9B5F0F-4993-487D-ABB1-7363667F22C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EA42F58-97CF-4983-879B-32A20895539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3460650D-B88A-4D1C-AFFC-657CAF60945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66A803-0D95-4F7D-8738-06D475D8942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F576AD4-1C54-46B2-8A69-30D8FB03BB79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40983-00A1-4FC1-B7CB-5531B7E6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37420</xdr:colOff>
      <xdr:row>3</xdr:row>
      <xdr:rowOff>247650</xdr:rowOff>
    </xdr:from>
    <xdr:to>
      <xdr:col>20</xdr:col>
      <xdr:colOff>415699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2026EE70-CEC1-46D5-AA0D-1E41F51613DF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67F3B17-A181-4FAA-9F80-3293A71B33A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AF9929C-FF49-47DF-A134-7B392071ECE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33706" cy="1136073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7161733-A7B2-4745-BEA7-9CE31BD31D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00A088-6B6F-4F84-A06E-8641FED2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A2E4560-EE13-4CB2-A61C-6FCB700B4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0EDABDD-4F06-4EA2-B0DE-CDB3A3DB1B00}"/>
            </a:ext>
          </a:extLst>
        </xdr:cNvPr>
        <xdr:cNvGrpSpPr/>
      </xdr:nvGrpSpPr>
      <xdr:grpSpPr>
        <a:xfrm>
          <a:off x="6044481" y="0"/>
          <a:ext cx="1455006" cy="1136073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DE8F09C-922D-4487-8288-54019CF5E49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1D29699-7061-4627-A2A9-BD424A7F9A0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F14BD8-BA85-4DCA-8363-4F10796D2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E3BC41-784D-4E71-B159-3A8B1FEAB5BC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382226B-243A-4887-8040-6A06014150DB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C72575-30A9-4E31-B7AA-032EE238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4CBFC3CD-889A-4838-AE50-7FF4AEE485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5406BBA-9865-40C6-8B98-F72ADBE812D2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0AB4D-EF26-4B75-AAA4-B25BFE0E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F9FFF05F-9E72-4205-970C-0E517DDAB87D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FB89511C-C7A4-4BEB-979E-C4606851F617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ABBC8-F1CE-479F-BDF5-7F8B4975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F0B5132-86CE-4153-B4AF-2711DE539249}"/>
            </a:ext>
          </a:extLst>
        </xdr:cNvPr>
        <xdr:cNvGrpSpPr/>
      </xdr:nvGrpSpPr>
      <xdr:grpSpPr>
        <a:xfrm>
          <a:off x="20487279" y="0"/>
          <a:ext cx="1682317" cy="1136073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A52B53B-9CFF-48AC-9CB0-4B4AB19897D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AB8D531-A41E-4821-92CF-B93071BB6C1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7769FBE-BF3C-4DC3-B1F1-734891706C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118857</xdr:colOff>
      <xdr:row>0</xdr:row>
      <xdr:rowOff>0</xdr:rowOff>
    </xdr:from>
    <xdr:to>
      <xdr:col>20</xdr:col>
      <xdr:colOff>459383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EA6DDE9-B50B-44DB-A744-4890E67900A4}"/>
            </a:ext>
          </a:extLst>
        </xdr:cNvPr>
        <xdr:cNvGrpSpPr/>
      </xdr:nvGrpSpPr>
      <xdr:grpSpPr>
        <a:xfrm>
          <a:off x="24267330" y="0"/>
          <a:ext cx="1559726" cy="1136073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017C11D-0D49-4B6F-BC1A-8D4B2302CFB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AB4584E-AA91-47AD-A7F5-A5DED05357A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4ED208D-1C5B-4B8F-AB72-552F32231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C9ADE8F0-4C34-46E9-9740-E527ED65FFF9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826B72F-49FB-4448-954B-008A193B6F43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3045-5F69-42A2-B42A-6E63621FE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52EEDA1D-C9C7-4E75-B13E-AA396B81F608}"/>
            </a:ext>
          </a:extLst>
        </xdr:cNvPr>
        <xdr:cNvGrpSpPr/>
      </xdr:nvGrpSpPr>
      <xdr:grpSpPr>
        <a:xfrm>
          <a:off x="31697572" y="0"/>
          <a:ext cx="1513125" cy="1136073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E332AA6-FB88-44ED-A512-8CF3F1A5137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F69FBD0-3C94-4C4F-BC06-59B3B9F75CF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BCF1F156-42AB-42BD-A519-58E4176A8D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13E58DE-1CC2-452C-89DD-57616D3528A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3F5B259-E4C2-4CE8-80FB-42D01D2575A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4475A7A-C32E-4034-A23F-C666544B41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FD0FA18-D22E-487B-A259-CF11A4D16F0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4CE4EFA9-2796-4BCD-AFFE-F2683A41E742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B58CD7-25B9-4E96-B5C4-3586D4D0E7B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4388833-DF22-4066-96BD-26159EB38924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EBB02CD-F04C-4263-ADCC-024710CEE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E950EE4-BBE9-4338-9533-1C8EE5A75E2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1EF9506-72C3-4999-95B3-E2D217BEABF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F2B6A1-8558-48AF-B419-E947ACCB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3D361B7-2AA5-4FE6-BDF2-5E84305725F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05B76A-8B19-4E18-B766-83D49C353E2D}"/>
            </a:ext>
          </a:extLst>
        </xdr:cNvPr>
        <xdr:cNvGrpSpPr/>
      </xdr:nvGrpSpPr>
      <xdr:grpSpPr>
        <a:xfrm>
          <a:off x="4435518" y="0"/>
          <a:ext cx="1100984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CE88040-87E8-4DAF-90A0-1DF546A5CDE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EC502B7-BB7C-489F-9600-43E462EC40B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C032B3-1A13-490B-A1FC-44590E0A8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077138C-8F22-4A2B-B9FB-D3FD6E729A69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B98E175-6F43-41F2-BC71-5FECC7CE01A8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0632FE-88F5-44A9-82DB-DE87E481B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5BE56DF-7483-40F7-987C-81E7C1EA5837}"/>
            </a:ext>
          </a:extLst>
        </xdr:cNvPr>
        <xdr:cNvGrpSpPr/>
      </xdr:nvGrpSpPr>
      <xdr:grpSpPr>
        <a:xfrm>
          <a:off x="7078379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279268-CAA1-46FF-8F21-60BDD09DA71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BAAF908-749C-45DD-B974-E611C09B10C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6B8279-1398-4FC0-B75E-BC0ACB2A1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600A15D-01DD-4E40-A20D-D63FA63B2FA4}"/>
            </a:ext>
          </a:extLst>
        </xdr:cNvPr>
        <xdr:cNvGrpSpPr/>
      </xdr:nvGrpSpPr>
      <xdr:grpSpPr>
        <a:xfrm>
          <a:off x="8399672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63CEAE1-C831-409F-AEE9-72727A655D67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45D8B18-B83F-4E3F-B859-6BB27E778374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33C26C-9539-4BBA-A39D-DC3436EFF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F90E033-79B5-401F-AE09-B65085F00906}"/>
            </a:ext>
          </a:extLst>
        </xdr:cNvPr>
        <xdr:cNvGrpSpPr/>
      </xdr:nvGrpSpPr>
      <xdr:grpSpPr>
        <a:xfrm>
          <a:off x="9712174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177B353D-A55D-4AB9-B520-12255F61CEC5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9B67C2E2-0D53-4B37-8C8F-D783EC626DAD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B13319-B0F1-47C1-941E-91EB8AABC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A28C241-7359-4FEF-B209-B65C70DC161E}"/>
            </a:ext>
          </a:extLst>
        </xdr:cNvPr>
        <xdr:cNvGrpSpPr/>
      </xdr:nvGrpSpPr>
      <xdr:grpSpPr>
        <a:xfrm>
          <a:off x="11041275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D9839BE-3330-40E4-B487-09D49C203E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1B9643A-E1F6-4424-9C43-EF3A4E48012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C5D7F6-44DD-4137-8CBF-E01D49864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31EC7D4-0907-4A01-8798-58D7A7D179E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AA7F2729-937E-43D1-B6C6-D4CA017A9F6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4FEA53-ED83-468E-8751-D73B22A179CB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17FAD-DE62-4BD7-B0EC-8455F1E9C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67888B7-12B5-41AD-8589-F5062E67E0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80C80C4-26FB-4111-805B-79C38B534E41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C928AEE1-EF7C-4D2E-8C81-ACBC7C358506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1306285</xdr:colOff>
      <xdr:row>1</xdr:row>
      <xdr:rowOff>68383</xdr:rowOff>
    </xdr:from>
    <xdr:to>
      <xdr:col>9</xdr:col>
      <xdr:colOff>402700</xdr:colOff>
      <xdr:row>1</xdr:row>
      <xdr:rowOff>496783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F0B4974-1AFF-4F35-A945-212EFBF8E5F6}"/>
            </a:ext>
          </a:extLst>
        </xdr:cNvPr>
        <xdr:cNvSpPr/>
      </xdr:nvSpPr>
      <xdr:spPr>
        <a:xfrm>
          <a:off x="7892142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F9552A9-D006-4B9B-9319-EB49D04D788B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2198076</xdr:colOff>
      <xdr:row>27</xdr:row>
      <xdr:rowOff>9769</xdr:rowOff>
    </xdr:from>
    <xdr:to>
      <xdr:col>8</xdr:col>
      <xdr:colOff>119181</xdr:colOff>
      <xdr:row>30</xdr:row>
      <xdr:rowOff>20817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A74F841E-459B-430F-8DC7-89566DEDBC1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226538" y="6017846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105786</xdr:colOff>
      <xdr:row>1</xdr:row>
      <xdr:rowOff>68383</xdr:rowOff>
    </xdr:from>
    <xdr:to>
      <xdr:col>8</xdr:col>
      <xdr:colOff>790678</xdr:colOff>
      <xdr:row>1</xdr:row>
      <xdr:rowOff>496783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FBD81A27-1E42-469E-8E36-7209ACE62B8E}"/>
            </a:ext>
          </a:extLst>
        </xdr:cNvPr>
        <xdr:cNvSpPr/>
      </xdr:nvSpPr>
      <xdr:spPr>
        <a:xfrm>
          <a:off x="5472443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BBF7D61-1ACA-4E10-81BF-77324BB8043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D580BE3-FEB5-4C26-A54C-415E6DC2842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D3A623A-E2F6-4BCD-B455-49A030A791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C1D24D9-7537-4B51-8582-B30DAF5998B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45362C8-CDAA-435D-A51E-85499FA21C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9F31DF-E7CA-4431-A103-7CC3F973C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C38C42D-6EF5-4D8A-884B-31FF93D0DE5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A651857-F82F-4D5C-8181-1CFF77AA1D49}"/>
            </a:ext>
          </a:extLst>
        </xdr:cNvPr>
        <xdr:cNvGrpSpPr/>
      </xdr:nvGrpSpPr>
      <xdr:grpSpPr>
        <a:xfrm>
          <a:off x="4435518" y="0"/>
          <a:ext cx="1100984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B475002-0FD5-4B93-A5A5-31F3E09E442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80BB4B5-FD53-4A27-9771-95FD37F88B5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C861F7A-D265-4261-B05D-E1B7B0E7C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919F40-B5F0-4DFA-9DB0-D2AA2619BF6D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8087CCE-63B9-46F4-AF9D-7F43CA164925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F0C17-FD84-4129-9AD8-3E685853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F4B78C9-54DB-4DE1-ABDE-8ABA00F15776}"/>
            </a:ext>
          </a:extLst>
        </xdr:cNvPr>
        <xdr:cNvGrpSpPr/>
      </xdr:nvGrpSpPr>
      <xdr:grpSpPr>
        <a:xfrm>
          <a:off x="7078379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79FF9F-0704-4C37-856C-05AF12AFCCE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F0C1551-23B4-4FDB-90DA-E5C1BDEDDA2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ED0C54-B666-4CC0-867C-571C3E1BB7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B4F205C-91FA-46CF-96F1-A3B607286424}"/>
            </a:ext>
          </a:extLst>
        </xdr:cNvPr>
        <xdr:cNvGrpSpPr/>
      </xdr:nvGrpSpPr>
      <xdr:grpSpPr>
        <a:xfrm>
          <a:off x="8399672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72C4B3-28D3-480E-84AC-7C9E9ED84695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61AE0B7-08D2-4F9A-AC1B-DE2345C373C6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CCD9A21-4AB1-47E8-A5F2-5F18334FA8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C9C5CF4-EC73-4315-AF14-F8A8DA5364F4}"/>
            </a:ext>
          </a:extLst>
        </xdr:cNvPr>
        <xdr:cNvGrpSpPr/>
      </xdr:nvGrpSpPr>
      <xdr:grpSpPr>
        <a:xfrm>
          <a:off x="9712174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3006D2A-6276-46F2-B776-8478F8A23B3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ABD5BB3-58D6-42A3-9224-E284EFE76F2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8712C7A-1F7B-41E5-898B-12B41F46E3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189BF8-FD2C-4952-B835-B19CCBC58122}"/>
            </a:ext>
          </a:extLst>
        </xdr:cNvPr>
        <xdr:cNvGrpSpPr/>
      </xdr:nvGrpSpPr>
      <xdr:grpSpPr>
        <a:xfrm>
          <a:off x="11041275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D993417-6FCA-450E-9220-578C6A42F6CF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9CCC979-A988-44E0-A955-3B5276E007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A95CED-CAF7-445C-8F30-B226E9D7C7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0B0DA0-1D74-4AE7-966A-DC19AEEC6554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C152EBC-513E-4469-8384-E58047CAC85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F5F175C-C67B-48D5-AE3B-2267AE96723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E413FD-B884-47B5-8A55-31480EF84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1E04473-B643-4CD5-89E7-2E080CCF6A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63F1F9-91FA-4F64-88E4-5176BB09EBDA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0104C76-428B-4214-A632-C7551A6D66B1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8</xdr:col>
      <xdr:colOff>790677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B79C07B-F6FD-4223-8BAA-88C0F1C51780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1306283</xdr:colOff>
      <xdr:row>1</xdr:row>
      <xdr:rowOff>68383</xdr:rowOff>
    </xdr:from>
    <xdr:to>
      <xdr:col>9</xdr:col>
      <xdr:colOff>402698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D13F507-1166-4925-B6BA-D565A2AB58E7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454F4CB-96E1-49BB-AA08-C72168E1D60A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B41B17C-CF4E-4E46-83D9-1A8D86C6357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610D335-F039-43AA-BD74-489E82DE21F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554A3D-E5E6-4E04-B44E-010A39A0335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688D141-932A-4061-98BF-8249A4F62EB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F7D4E51-7332-4574-9EAD-057A54DC574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9A2A387-9BBC-4EC0-84C9-0C8F24733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516C1FE-5FC9-4FD5-8C50-4B41A2565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B561700-B70D-48DD-8FBF-7B42C3140D1A}"/>
            </a:ext>
          </a:extLst>
        </xdr:cNvPr>
        <xdr:cNvGrpSpPr/>
      </xdr:nvGrpSpPr>
      <xdr:grpSpPr>
        <a:xfrm>
          <a:off x="4435518" y="0"/>
          <a:ext cx="1100984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18D22CA-B52E-4D1D-8330-10B314B7508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F95F96B-6009-4F4D-9A80-42B68EEEF0F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6626B98-D9DD-4A2B-945A-8708D2873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7</xdr:col>
      <xdr:colOff>839706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CABAD3A-011C-44B6-9CF1-663C3D4BABC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7</xdr:col>
      <xdr:colOff>900233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F734EEB-13D3-4C0A-82EC-8F9DA29D2A18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C3124A-2E7D-4A6D-AAF7-96885459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1113008</xdr:colOff>
      <xdr:row>0</xdr:row>
      <xdr:rowOff>0</xdr:rowOff>
    </xdr:from>
    <xdr:to>
      <xdr:col>8</xdr:col>
      <xdr:colOff>22614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C48775D-88F8-4125-8C7D-CD83E3F06514}"/>
            </a:ext>
          </a:extLst>
        </xdr:cNvPr>
        <xdr:cNvGrpSpPr/>
      </xdr:nvGrpSpPr>
      <xdr:grpSpPr>
        <a:xfrm>
          <a:off x="7078379" y="0"/>
          <a:ext cx="1108521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DF2A68C-E3D5-43D1-9831-A7E99F80A8B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18C6C35-3FD7-49C1-94A6-537BEEE81C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8A26A7-7213-4329-B399-55321529E3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235387</xdr:colOff>
      <xdr:row>0</xdr:row>
      <xdr:rowOff>0</xdr:rowOff>
    </xdr:from>
    <xdr:to>
      <xdr:col>10</xdr:col>
      <xdr:colOff>120799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616DBE3-46A2-47CE-A050-9CCF44DE7C12}"/>
            </a:ext>
          </a:extLst>
        </xdr:cNvPr>
        <xdr:cNvGrpSpPr/>
      </xdr:nvGrpSpPr>
      <xdr:grpSpPr>
        <a:xfrm>
          <a:off x="8399673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97BDF6-776F-4BDE-95C8-AEDCBBB08CCB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F7DBB171-5D70-4A56-A5D1-843C23FAE44A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D255A8-11CC-4A83-8E0A-ECE57FB8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328689</xdr:colOff>
      <xdr:row>0</xdr:row>
      <xdr:rowOff>0</xdr:rowOff>
    </xdr:from>
    <xdr:to>
      <xdr:col>12</xdr:col>
      <xdr:colOff>230709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532E00E-A3BD-4F75-86F7-28652565CD31}"/>
            </a:ext>
          </a:extLst>
        </xdr:cNvPr>
        <xdr:cNvGrpSpPr/>
      </xdr:nvGrpSpPr>
      <xdr:grpSpPr>
        <a:xfrm>
          <a:off x="9712175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3DF950B-7A7D-485A-8D06-492FAE944428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B7CEF2FA-15AD-4778-A4B7-04B32D5D37DE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959824C-C2C1-48BC-9160-E05E44692D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438590</xdr:colOff>
      <xdr:row>0</xdr:row>
      <xdr:rowOff>0</xdr:rowOff>
    </xdr:from>
    <xdr:to>
      <xdr:col>14</xdr:col>
      <xdr:colOff>335725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379192D-D60A-4801-8AE8-0BF3F68252E3}"/>
            </a:ext>
          </a:extLst>
        </xdr:cNvPr>
        <xdr:cNvGrpSpPr/>
      </xdr:nvGrpSpPr>
      <xdr:grpSpPr>
        <a:xfrm>
          <a:off x="11041276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ED7E6AF-C7E5-49A7-9432-BC050D81188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5B2CF8D-E62F-4067-A8DB-FDD45614124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538B0F-03B6-484F-BAE9-0BB082BC5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11B1520-3D0D-455A-9178-87600DE96E9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E3273E5-CA79-4428-8386-0EB63D0B130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DD9DE27-A284-4718-9696-D1F8BAA8DC6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F7F937-2BED-4527-8222-65F9D0D96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34194C1-CF0B-4B96-B76C-E87D128DA98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7FB893B9-2E61-4BDE-B63B-3B564A2619CE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EC2CF2-255E-42EC-8EE6-666FDE7772B7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1400277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FAA3AEE-FF7B-4204-9861-4C51845D47CC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1915883</xdr:colOff>
      <xdr:row>1</xdr:row>
      <xdr:rowOff>68383</xdr:rowOff>
    </xdr:from>
    <xdr:to>
      <xdr:col>10</xdr:col>
      <xdr:colOff>413584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EA7E8E1-7F2B-4672-83AB-7F7B2AEEBB15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319591</xdr:colOff>
      <xdr:row>1</xdr:row>
      <xdr:rowOff>68383</xdr:rowOff>
    </xdr:from>
    <xdr:to>
      <xdr:col>14</xdr:col>
      <xdr:colOff>410514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C2685B7-C303-46E1-A802-9F3A88AEA270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1763485</xdr:colOff>
      <xdr:row>19</xdr:row>
      <xdr:rowOff>54429</xdr:rowOff>
    </xdr:from>
    <xdr:to>
      <xdr:col>7</xdr:col>
      <xdr:colOff>294190</xdr:colOff>
      <xdr:row>22</xdr:row>
      <xdr:rowOff>65477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28A335A-1495-4D0F-8124-A947A4662B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811485" y="456111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0AD2A1E-6437-4060-926F-B04123BF7F4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A9A1703-F4D5-4FD0-8561-B23FF84C7A2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2D1CC18-1DE8-4D6B-AAB1-9CB427642C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FD0B0C-3137-493E-95F0-B1E6722B552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1E013DA-21D1-4154-8EBD-6D2ADF448DF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E8887C-2AA2-4C5A-AF15-DB15F68AE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2830BC8-1E2C-440A-B434-8EFAA34CA7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013303D-B456-43DF-AFE5-AE7704043039}"/>
            </a:ext>
          </a:extLst>
        </xdr:cNvPr>
        <xdr:cNvGrpSpPr/>
      </xdr:nvGrpSpPr>
      <xdr:grpSpPr>
        <a:xfrm>
          <a:off x="4435518" y="0"/>
          <a:ext cx="1100984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F22827-770E-4981-8A78-D754CF377DE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14B055B-DD26-4DEF-8BC8-08720A2BA1B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F9D1FE-7926-444E-B649-5A7963BB0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DFFF9B0-0846-455C-A41E-9EAA32453531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2CE296C-B2F1-49BB-B5E6-8E334ECF4B46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A61368-A557-43C3-BA80-3FA45A2D1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1722608</xdr:colOff>
      <xdr:row>0</xdr:row>
      <xdr:rowOff>0</xdr:rowOff>
    </xdr:from>
    <xdr:to>
      <xdr:col>8</xdr:col>
      <xdr:colOff>490699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7250137-00A6-470B-AFD7-E26C819309D1}"/>
            </a:ext>
          </a:extLst>
        </xdr:cNvPr>
        <xdr:cNvGrpSpPr/>
      </xdr:nvGrpSpPr>
      <xdr:grpSpPr>
        <a:xfrm>
          <a:off x="7078379" y="0"/>
          <a:ext cx="1119406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6758487-C639-4529-A347-1B38E6E510A9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9544566-33B0-4CCA-BB4C-1FB57DBC27C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0035DC-A4FD-48A0-8A8B-4104D0AD1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703472</xdr:colOff>
      <xdr:row>0</xdr:row>
      <xdr:rowOff>0</xdr:rowOff>
    </xdr:from>
    <xdr:to>
      <xdr:col>8</xdr:col>
      <xdr:colOff>1808084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5D11A53-B515-4067-BCAD-8761167C5A4E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868EC99-CCDA-4851-930D-0F22F44063FE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1193230-B91F-4414-90D3-9E0298EB19D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C256634-3020-4C36-B0F2-75F191A03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2015974</xdr:colOff>
      <xdr:row>0</xdr:row>
      <xdr:rowOff>0</xdr:rowOff>
    </xdr:from>
    <xdr:to>
      <xdr:col>9</xdr:col>
      <xdr:colOff>317794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2E34EBF-8EE5-4158-AA51-60C89B926ED8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B47ED3E6-F850-4986-B34F-B3CC903FEEF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1D872AE-9AD7-4071-BFEE-FA9B5830537A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485FF8D-CF1F-41D2-B88C-8774AF00C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525675</xdr:colOff>
      <xdr:row>0</xdr:row>
      <xdr:rowOff>0</xdr:rowOff>
    </xdr:from>
    <xdr:to>
      <xdr:col>11</xdr:col>
      <xdr:colOff>422810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D9E6924-F538-49EB-97AA-1C17EE8F5A0C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6021374-D775-4C1B-9BB7-86B7C071C4B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4F19C67-C34D-42F7-A3C4-8E54AFB6081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F29CD92-7A07-42E9-AF09-B5EF6DD93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7F7102C-84EB-4F4E-BB22-72476B8E30D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42313F9-1937-41D8-91AB-D9843937DBD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7157322-635E-4232-B419-7ADCAB0AF34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E3B4B9-AA30-49D8-A5FE-5B3118D97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9DB13918-6C1C-411C-ACA4-641EEA39DE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5A7B69A-857E-45E2-A344-AE8F4663D484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6D126CC-A07C-49B1-96FB-F4F26706D599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279048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CE1990-2D10-4837-9984-49FD33C06371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185055</xdr:colOff>
      <xdr:row>1</xdr:row>
      <xdr:rowOff>68383</xdr:rowOff>
    </xdr:from>
    <xdr:to>
      <xdr:col>8</xdr:col>
      <xdr:colOff>2100870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2B44F7-0EBB-42C4-AA89-D3ADE8C68200}"/>
            </a:ext>
          </a:extLst>
        </xdr:cNvPr>
        <xdr:cNvSpPr/>
      </xdr:nvSpPr>
      <xdr:spPr>
        <a:xfrm>
          <a:off x="7892141" y="841269"/>
          <a:ext cx="1915815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2616476</xdr:colOff>
      <xdr:row>1</xdr:row>
      <xdr:rowOff>68383</xdr:rowOff>
    </xdr:from>
    <xdr:to>
      <xdr:col>11</xdr:col>
      <xdr:colOff>497599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CF3F-364A-4C06-B131-BC34971C6299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1240972</xdr:colOff>
      <xdr:row>18</xdr:row>
      <xdr:rowOff>32656</xdr:rowOff>
    </xdr:from>
    <xdr:to>
      <xdr:col>6</xdr:col>
      <xdr:colOff>381277</xdr:colOff>
      <xdr:row>21</xdr:row>
      <xdr:rowOff>43704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35FE4108-FD6A-43E7-B111-D704E31E069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288972" y="435428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D28702-DE07-44F7-B2C5-CFAD73562A67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E594F69-784E-4183-93DD-25CC108E7991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63658ED-7F82-4951-89DF-F12D3F628A3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CC79808-0D55-418C-8F54-4C9977DAD2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19491A4-06CD-44E3-B849-D82148B97C6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827EDF-CD96-43EB-AFD2-34F9C5555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E6F984-21EE-4EA2-BB47-D5BF8E62A6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6857ED-AB25-4561-BB47-BA5EC7E13660}"/>
            </a:ext>
          </a:extLst>
        </xdr:cNvPr>
        <xdr:cNvGrpSpPr/>
      </xdr:nvGrpSpPr>
      <xdr:grpSpPr>
        <a:xfrm>
          <a:off x="4435518" y="0"/>
          <a:ext cx="1106922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B0738F8-7DA6-4AB5-854E-7A837A82284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C062126-9C7F-4503-9614-AF56403E096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4176B09-A6C9-4B5C-813D-5A3BDE5D6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2C206F-057F-4721-8EB7-905C7673EAF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838EE59-1563-4633-8092-B2456906C630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631B73-AF7E-4B6A-A2C7-6EB0C8A32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155065</xdr:colOff>
      <xdr:row>0</xdr:row>
      <xdr:rowOff>0</xdr:rowOff>
    </xdr:from>
    <xdr:to>
      <xdr:col>9</xdr:col>
      <xdr:colOff>55271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B394168-C13F-4D41-9B3D-658E257943E9}"/>
            </a:ext>
          </a:extLst>
        </xdr:cNvPr>
        <xdr:cNvGrpSpPr/>
      </xdr:nvGrpSpPr>
      <xdr:grpSpPr>
        <a:xfrm>
          <a:off x="7068483" y="0"/>
          <a:ext cx="1105552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2485F59-A5B6-4ABB-A224-6AAAB6E46B5B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AEB6545-8D09-48E9-8006-AEB796CCCF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6C16CC0-7B7F-41DF-A086-63C1A885B4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268044</xdr:colOff>
      <xdr:row>0</xdr:row>
      <xdr:rowOff>0</xdr:rowOff>
    </xdr:from>
    <xdr:to>
      <xdr:col>11</xdr:col>
      <xdr:colOff>153456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8C0961C-BD92-4C52-9F28-9F564E193EED}"/>
            </a:ext>
          </a:extLst>
        </xdr:cNvPr>
        <xdr:cNvGrpSpPr/>
      </xdr:nvGrpSpPr>
      <xdr:grpSpPr>
        <a:xfrm>
          <a:off x="8386808" y="0"/>
          <a:ext cx="1104612" cy="775855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6B7C1BD-2CE2-4100-BFFF-C3AEF2920323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F5B2727-4A23-4F97-94E5-8CA1ADAC775D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9970DD2-F210-4AF3-9979-8DD5C98EB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361346</xdr:colOff>
      <xdr:row>0</xdr:row>
      <xdr:rowOff>0</xdr:rowOff>
    </xdr:from>
    <xdr:to>
      <xdr:col>13</xdr:col>
      <xdr:colOff>263366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9162A22-88EA-40D5-8AD4-6BCDF2936E97}"/>
            </a:ext>
          </a:extLst>
        </xdr:cNvPr>
        <xdr:cNvGrpSpPr/>
      </xdr:nvGrpSpPr>
      <xdr:grpSpPr>
        <a:xfrm>
          <a:off x="9699310" y="0"/>
          <a:ext cx="1121220" cy="775855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1635918-E23B-447C-A324-DBDFAB6880BD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B2A39BE-1EB4-4DBE-9E48-64962A013832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8D0106-4D06-4906-BBED-55E381C8B3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471247</xdr:colOff>
      <xdr:row>0</xdr:row>
      <xdr:rowOff>0</xdr:rowOff>
    </xdr:from>
    <xdr:to>
      <xdr:col>15</xdr:col>
      <xdr:colOff>368382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F51CCD5-FA4B-41A9-9121-9C31E3C1745B}"/>
            </a:ext>
          </a:extLst>
        </xdr:cNvPr>
        <xdr:cNvGrpSpPr/>
      </xdr:nvGrpSpPr>
      <xdr:grpSpPr>
        <a:xfrm>
          <a:off x="11028411" y="0"/>
          <a:ext cx="1116335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35794250-DE85-4B35-B9F9-DBE4378D5FE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17BC8191-9E11-4987-AC7F-F686BDB9FA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8BA66B2-E840-414A-B648-E929C5A284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C6A5A15-2FD5-4163-B69D-1C419F41A213}"/>
            </a:ext>
          </a:extLst>
        </xdr:cNvPr>
        <xdr:cNvGrpSpPr/>
      </xdr:nvGrpSpPr>
      <xdr:grpSpPr>
        <a:xfrm>
          <a:off x="3126443" y="0"/>
          <a:ext cx="1113404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0716404-1D5D-448E-9847-31CDB19DAC7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FBEA216D-133B-4829-B6AC-DA5D6226F65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72CFB18-99E3-4041-B7A0-16D006B47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2C0D5A30-E14A-4E85-A175-CB765B466D1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CB5F885-C519-4157-9A5C-72027F72B1B4}"/>
            </a:ext>
          </a:extLst>
        </xdr:cNvPr>
        <xdr:cNvSpPr/>
      </xdr:nvSpPr>
      <xdr:spPr>
        <a:xfrm>
          <a:off x="605691" y="845623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B6870B09-1977-40E3-AF53-4A0AE4A6CC47}"/>
            </a:ext>
          </a:extLst>
        </xdr:cNvPr>
        <xdr:cNvSpPr/>
      </xdr:nvSpPr>
      <xdr:spPr>
        <a:xfrm>
          <a:off x="3044929" y="845623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442334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54EFA34-90A3-41F4-B4EB-64F6907867D6}"/>
            </a:ext>
          </a:extLst>
        </xdr:cNvPr>
        <xdr:cNvSpPr/>
      </xdr:nvSpPr>
      <xdr:spPr>
        <a:xfrm>
          <a:off x="5470265" y="845623"/>
          <a:ext cx="190300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348341</xdr:colOff>
      <xdr:row>1</xdr:row>
      <xdr:rowOff>68383</xdr:rowOff>
    </xdr:from>
    <xdr:to>
      <xdr:col>11</xdr:col>
      <xdr:colOff>446242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856600-7B2A-497C-8D7E-CD180670D931}"/>
            </a:ext>
          </a:extLst>
        </xdr:cNvPr>
        <xdr:cNvSpPr/>
      </xdr:nvSpPr>
      <xdr:spPr>
        <a:xfrm>
          <a:off x="7888875" y="845623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12</xdr:col>
      <xdr:colOff>352248</xdr:colOff>
      <xdr:row>1</xdr:row>
      <xdr:rowOff>68383</xdr:rowOff>
    </xdr:from>
    <xdr:to>
      <xdr:col>15</xdr:col>
      <xdr:colOff>443171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480F0A9-1C1D-4990-B057-C847D86F5418}"/>
            </a:ext>
          </a:extLst>
        </xdr:cNvPr>
        <xdr:cNvSpPr/>
      </xdr:nvSpPr>
      <xdr:spPr>
        <a:xfrm>
          <a:off x="10320296" y="845623"/>
          <a:ext cx="1919723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1295398</xdr:colOff>
      <xdr:row>27</xdr:row>
      <xdr:rowOff>0</xdr:rowOff>
    </xdr:from>
    <xdr:to>
      <xdr:col>6</xdr:col>
      <xdr:colOff>435703</xdr:colOff>
      <xdr:row>30</xdr:row>
      <xdr:rowOff>11048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9B9F491A-16FB-4287-9511-47DFC582740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343398" y="5987143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91793E-62A5-43F3-A046-84498335163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B3E0967-FE6C-482A-8543-D111EFCD9BC9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A9E3BD1-48B0-48D2-98C6-70E2F8127D2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E3E7D9F-3BC7-4AFC-8A0D-84DEE51BCE2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A960233-22DB-4FA5-9C7C-877D2EE89BA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94C0AE5-453A-4C39-992A-B8AF2D161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2E6E0FE-384B-48FB-9F46-465C58C3E6F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CC208FC-519D-4C53-8535-306FF2202FB7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B628BFB-B02C-4C82-8F0A-123AC00E342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8281FFB-ECB7-4094-8C38-3B66EB93D13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0A3618E-7651-46A6-90F6-14B65B60C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04A12F2-9AC6-4BE3-997D-BCA30152F7D0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6B8F56E5-6576-4A05-BA12-003512D438A3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ACD7B26-1EDB-4A11-84A1-4D17FB9EF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7F0397A-8E20-4856-AAF2-DB72DA5A381A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CD5CB528-BB85-4D1B-8492-C7C349DD7A32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14474F84-BECD-4BBD-A121-59F4747AF792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FB4B98-CBD2-44FF-A491-CE6000028C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505855</xdr:colOff>
      <xdr:row>0</xdr:row>
      <xdr:rowOff>0</xdr:rowOff>
    </xdr:from>
    <xdr:to>
      <xdr:col>15</xdr:col>
      <xdr:colOff>402990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98C264C-B889-469C-BE8D-74018E528071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6961CE4A-4268-4287-9671-0229F30536B1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413941B0-F63C-492A-936C-A1CB392FBD3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8DF9628-A82C-473E-8612-83D5046D06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EC3D2C3-70B8-42AC-A83F-7AF117E8DDDF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F7D23A8-5DC1-4806-9AAC-A3C147E025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2BC0B71-FEF5-48DF-9021-1ADEC7AADEF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F59C5-D460-4F2B-A91B-5F0ECB3F4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395F58E-C359-46A5-9572-3926E5D88BF7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CB57639-21CF-4BD2-8660-BC2AB7E8052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2D935C5-C24F-4662-95CE-276F4C165A5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A7ECFE-82D8-4556-B1E8-8F7B3F604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114BEF1-CB3A-4F38-BB6F-0F7EB35F4ADA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3723013-4C73-4BF3-B42A-3E512D77A7C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2AF0452-2CC9-430A-9B48-CAD0725884E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EE900F-BFCE-4D5C-AC1A-576020110F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C798FD9F-07CF-448B-815C-615C32C0965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A34464-3690-4193-83C4-33239E6AF05B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0CB22EC-C48B-4929-BC42-55A08474E22A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E95C4BB-EF43-4479-9751-45C45905EC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C34B4C6-4452-4F21-B7C5-B847FE7447E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409FB52A-CA09-422B-80FC-DB946F39413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A8934A-5739-4012-B8AD-CFDEBAC6C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80F1998-BCC6-4EE2-ABFC-C4089AA7F5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47D63D0-9BD6-4110-8836-9E1CF8AF688E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6CDAB2-B097-47F5-A196-7FC2F8028B6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1A66EC3-3BD0-4280-AC01-90092F16B80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BFD277-5DE1-433F-BEFF-895E7D7DF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DA12DE6-FF64-42A3-A248-E90866D4D106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6670679-604A-4F0E-9582-2299D4BBC5D7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ADBBFF-160E-4E36-A38A-54F9024AB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20E110A-3922-4690-BA51-11FAE09717E7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EE75A4E6-C171-4E87-886B-1D2126BBAA1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C8C9552-AEA6-495C-981C-78AA836C0D9A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4FB3FF7-81F4-4807-B7A8-12761F471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540428</xdr:colOff>
      <xdr:row>0</xdr:row>
      <xdr:rowOff>0</xdr:rowOff>
    </xdr:from>
    <xdr:to>
      <xdr:col>15</xdr:col>
      <xdr:colOff>342036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A880A2-1A1F-4225-A283-A7A2773707AB}"/>
            </a:ext>
          </a:extLst>
        </xdr:cNvPr>
        <xdr:cNvSpPr/>
      </xdr:nvSpPr>
      <xdr:spPr>
        <a:xfrm>
          <a:off x="8465228" y="0"/>
          <a:ext cx="1020808" cy="77288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505855</xdr:colOff>
      <xdr:row>0</xdr:row>
      <xdr:rowOff>509194</xdr:rowOff>
    </xdr:from>
    <xdr:to>
      <xdr:col>15</xdr:col>
      <xdr:colOff>402990</xdr:colOff>
      <xdr:row>0</xdr:row>
      <xdr:rowOff>760808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C60B2974-3330-4183-B321-5DC11BD3C8A5}"/>
            </a:ext>
          </a:extLst>
        </xdr:cNvPr>
        <xdr:cNvSpPr txBox="1"/>
      </xdr:nvSpPr>
      <xdr:spPr>
        <a:xfrm rot="10800000" flipH="1" flipV="1">
          <a:off x="84306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14</xdr:col>
      <xdr:colOff>238455</xdr:colOff>
      <xdr:row>0</xdr:row>
      <xdr:rowOff>90636</xdr:rowOff>
    </xdr:from>
    <xdr:to>
      <xdr:col>15</xdr:col>
      <xdr:colOff>34408</xdr:colOff>
      <xdr:row>0</xdr:row>
      <xdr:rowOff>489026</xdr:rowOff>
    </xdr:to>
    <xdr:pic>
      <xdr:nvPicPr>
        <xdr:cNvPr id="23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8B32CC-4B19-4DF8-BCF0-3A17EBB5F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3388C5-3548-4766-9E35-33EC186D7E1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6363E7-B4D0-4B95-8CB0-59B555D30B3A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258382D-1E73-44E9-9C15-D9E480D1F05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D0CCE9-D882-4FC5-A406-27D9EEDC1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BBC806EF-E6C4-47A4-9A7F-1965986B1C8F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FB26D0AE-7361-4003-AAFD-831B3FBD61A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E071703-BE60-495F-A689-AF1EC8E795F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6852645-0578-407E-9140-A311268B0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9E1EB65-CCA9-4660-BB8B-09278929D018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0F35A71-37B0-4475-838E-63958EB6301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34E76145-F0B9-4A16-BDBB-27496977038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D9404C7-2AD1-48A2-8601-2F31DE85F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A3537E8-F3A2-4D6F-AA68-06A58F749D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20</xdr:col>
      <xdr:colOff>119742</xdr:colOff>
      <xdr:row>0</xdr:row>
      <xdr:rowOff>10885</xdr:rowOff>
    </xdr:from>
    <xdr:to>
      <xdr:col>22</xdr:col>
      <xdr:colOff>18858</xdr:colOff>
      <xdr:row>1</xdr:row>
      <xdr:rowOff>10885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BF6B4867-4CE5-4F80-9A92-B2666A9E1CD2}"/>
            </a:ext>
          </a:extLst>
        </xdr:cNvPr>
        <xdr:cNvGrpSpPr/>
      </xdr:nvGrpSpPr>
      <xdr:grpSpPr>
        <a:xfrm>
          <a:off x="12311742" y="10885"/>
          <a:ext cx="1118316" cy="772886"/>
          <a:chOff x="11105473" y="0"/>
          <a:chExt cx="1118289" cy="78153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DE830602-D687-4132-AFC2-698E46A0EF2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07DBDAC-3C76-4097-8E0C-CA705FD5E7E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40" name="Imagem 39" descr="Ícone do banco de dados (símbolo png) preto">
          <a:extLst>
            <a:ext uri="{FF2B5EF4-FFF2-40B4-BE49-F238E27FC236}">
              <a16:creationId xmlns:a16="http://schemas.microsoft.com/office/drawing/2014/main" id="{6F641C1A-7DDA-4D78-8BDC-BD8D1471C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456558F-FC13-4D13-9EFC-541488B4C420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FFE75C7-FB6B-4FC4-8E3B-9AAEF7A5393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0248076-0E84-4314-B12B-05143A8DF3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366123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38EC471-FE5D-4722-A2AD-811864D2C5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C90DAB-9A93-441B-85BD-37B01FD93FF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CE738E1-EECB-4F76-AC13-7E33897867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54CB65FC-B90C-4DF1-BC39-9B0969EA166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1788209</xdr:colOff>
      <xdr:row>0</xdr:row>
      <xdr:rowOff>0</xdr:rowOff>
    </xdr:from>
    <xdr:to>
      <xdr:col>4</xdr:col>
      <xdr:colOff>969856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A3E60AB-1EEE-4C80-8834-2E3678E513EE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0FAAC88-7926-47AF-89DB-994ADD9D2F6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FE107038-55AC-4BED-B007-3BD07F9FBFB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8541983-FB1F-45B4-A2BB-28B3DAB58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1211314</xdr:colOff>
      <xdr:row>0</xdr:row>
      <xdr:rowOff>0</xdr:rowOff>
    </xdr:from>
    <xdr:to>
      <xdr:col>5</xdr:col>
      <xdr:colOff>771829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AEFD873-964C-47D2-A133-A2BCF35F1890}"/>
            </a:ext>
          </a:extLst>
        </xdr:cNvPr>
        <xdr:cNvSpPr/>
      </xdr:nvSpPr>
      <xdr:spPr>
        <a:xfrm>
          <a:off x="5783314" y="0"/>
          <a:ext cx="102355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1184603</xdr:colOff>
      <xdr:row>0</xdr:row>
      <xdr:rowOff>514894</xdr:rowOff>
    </xdr:from>
    <xdr:to>
      <xdr:col>5</xdr:col>
      <xdr:colOff>832356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01945E0-53CB-4A5A-97FF-F28249A51FA0}"/>
            </a:ext>
          </a:extLst>
        </xdr:cNvPr>
        <xdr:cNvSpPr txBox="1"/>
      </xdr:nvSpPr>
      <xdr:spPr>
        <a:xfrm rot="10800000" flipH="1" flipV="1">
          <a:off x="5756603" y="514894"/>
          <a:ext cx="111079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55528</xdr:colOff>
      <xdr:row>0</xdr:row>
      <xdr:rowOff>91651</xdr:rowOff>
    </xdr:from>
    <xdr:to>
      <xdr:col>5</xdr:col>
      <xdr:colOff>466653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99B481A-4EFE-4F09-AE7B-B1C73430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056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1045131</xdr:colOff>
      <xdr:row>0</xdr:row>
      <xdr:rowOff>0</xdr:rowOff>
    </xdr:from>
    <xdr:to>
      <xdr:col>6</xdr:col>
      <xdr:colOff>37762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F48A10A-AB9F-415C-BAD0-D6C29D4D0862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803E59B-DF3F-49E4-95F3-C6E4A4BCFAD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CF038F0-9E87-4A19-A7F2-1820C8A4E8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91C6514-D332-404F-9720-FED0E9D534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285108</xdr:colOff>
      <xdr:row>0</xdr:row>
      <xdr:rowOff>0</xdr:rowOff>
    </xdr:from>
    <xdr:to>
      <xdr:col>6</xdr:col>
      <xdr:colOff>1305916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88EDC41D-E704-4D8E-859A-37BB5BA8726B}"/>
            </a:ext>
          </a:extLst>
        </xdr:cNvPr>
        <xdr:cNvSpPr/>
      </xdr:nvSpPr>
      <xdr:spPr>
        <a:xfrm>
          <a:off x="8446128" y="0"/>
          <a:ext cx="1020808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250535</xdr:colOff>
      <xdr:row>0</xdr:row>
      <xdr:rowOff>509194</xdr:rowOff>
    </xdr:from>
    <xdr:to>
      <xdr:col>6</xdr:col>
      <xdr:colOff>1366870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C4D0D4AB-2679-4BCA-9F1D-7E0E06EA6028}"/>
            </a:ext>
          </a:extLst>
        </xdr:cNvPr>
        <xdr:cNvSpPr txBox="1"/>
      </xdr:nvSpPr>
      <xdr:spPr>
        <a:xfrm rot="10800000" flipH="1" flipV="1">
          <a:off x="84115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592735</xdr:colOff>
      <xdr:row>0</xdr:row>
      <xdr:rowOff>90636</xdr:rowOff>
    </xdr:from>
    <xdr:to>
      <xdr:col>6</xdr:col>
      <xdr:colOff>998288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AAC41CB-E572-483D-8E2E-E46B89F4C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537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6</xdr:col>
      <xdr:colOff>1578668</xdr:colOff>
      <xdr:row>0</xdr:row>
      <xdr:rowOff>0</xdr:rowOff>
    </xdr:from>
    <xdr:to>
      <xdr:col>7</xdr:col>
      <xdr:colOff>451543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56B1873-D9DF-49A3-9B2E-FE29F269954C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7721EF8-3CAF-4453-A01C-1BC229882E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E1D520D-036F-44A7-A12E-0D66D47F98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7AFCF5F-7CDB-4D74-BD61-CA818AAAC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663331</xdr:colOff>
      <xdr:row>0</xdr:row>
      <xdr:rowOff>0</xdr:rowOff>
    </xdr:from>
    <xdr:to>
      <xdr:col>8</xdr:col>
      <xdr:colOff>130976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F24CE22-321B-42BE-8EFA-F0B9267B8D6C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2412243-A2CE-48C1-97EA-C003BB7A6A7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AEFC8E7-03D7-4B78-BF25-2AF17F09888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654FD3-F447-4FF6-877F-D413D8EE75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480225</xdr:colOff>
      <xdr:row>0</xdr:row>
      <xdr:rowOff>0</xdr:rowOff>
    </xdr:from>
    <xdr:to>
      <xdr:col>3</xdr:col>
      <xdr:colOff>1588630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368A891-E816-4FF2-BA22-70E7F55A8AC1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D4F774BF-B59E-4AD3-8B96-3C21275DE1F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1EAD7DB-49DD-40FF-9247-792656087A0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66ED808-8E7C-43BB-B082-46A39232B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3815E429-FE20-4F00-B145-E08B3E4CB17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238494</xdr:colOff>
      <xdr:row>0</xdr:row>
      <xdr:rowOff>10885</xdr:rowOff>
    </xdr:from>
    <xdr:to>
      <xdr:col>8</xdr:col>
      <xdr:colOff>1359780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6FF2387F-CA9C-415A-88B4-12D15590215B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4D221F81-FED6-47E7-B80C-2D50CAEEFB7E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8C815A83-B377-499C-9EC1-FE1F9BB77EE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849C5619-F4B2-4675-9D81-D17070BA1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6614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7964A4F8-D30E-4692-9776-57F6CCE79F28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403112</xdr:colOff>
      <xdr:row>1</xdr:row>
      <xdr:rowOff>76202</xdr:rowOff>
    </xdr:from>
    <xdr:to>
      <xdr:col>4</xdr:col>
      <xdr:colOff>371424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0A0BE1D-ACE7-4E70-92A5-6D89EBBD764B}"/>
            </a:ext>
          </a:extLst>
        </xdr:cNvPr>
        <xdr:cNvSpPr/>
      </xdr:nvSpPr>
      <xdr:spPr>
        <a:xfrm>
          <a:off x="3054872" y="853442"/>
          <a:ext cx="188855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4B25696-E396-429C-B3A8-349F04B36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1205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929087</xdr:colOff>
      <xdr:row>1</xdr:row>
      <xdr:rowOff>76202</xdr:rowOff>
    </xdr:from>
    <xdr:to>
      <xdr:col>5</xdr:col>
      <xdr:colOff>1354599</xdr:colOff>
      <xdr:row>1</xdr:row>
      <xdr:rowOff>504602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A8538D96-A7A8-4C6A-BCD1-BEAA8DFF8F9C}"/>
            </a:ext>
          </a:extLst>
        </xdr:cNvPr>
        <xdr:cNvSpPr/>
      </xdr:nvSpPr>
      <xdr:spPr>
        <a:xfrm>
          <a:off x="5501087" y="853442"/>
          <a:ext cx="188855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581891</xdr:colOff>
      <xdr:row>0</xdr:row>
      <xdr:rowOff>83129</xdr:rowOff>
    </xdr:from>
    <xdr:to>
      <xdr:col>8</xdr:col>
      <xdr:colOff>1016605</xdr:colOff>
      <xdr:row>0</xdr:row>
      <xdr:rowOff>515064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394BD90E-DB27-4CDF-BA4C-0FC385AFC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9111" y="831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esktop/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esktop/26_11_ER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PROD_HOME"/>
      <sheetName val="PRODUÇÃO_REQUISIÇÕES"/>
      <sheetName val="PRODUÇÃO_EQUIPES"/>
      <sheetName val="PRODUÇÃO_LANÇAMENTOS"/>
      <sheetName val="PRODUÇÃO_CONSULTA"/>
      <sheetName val="HOME_LOGISTICA"/>
      <sheetName val="N_LOGCLIENTES"/>
      <sheetName val="N_LOGVEIC"/>
      <sheetName val="N_LOGCRON"/>
      <sheetName val="N_LOGFRETE"/>
      <sheetName val="N_LOGRELAT"/>
      <sheetName val="N_LOGRAST"/>
      <sheetName val="N_LOGCAD"/>
      <sheetName val="HOME_ESTOQUE"/>
      <sheetName val="N_ESTQSAÍDAS"/>
      <sheetName val="N_ESTQENTRAD"/>
      <sheetName val="HOME_RH"/>
      <sheetName val="N_RHCONTRATAÇÃO"/>
      <sheetName val="N_CADASTRAR"/>
      <sheetName val="N_RHFOLHA"/>
      <sheetName val="N_RHREF "/>
      <sheetName val="HOME_VENDAS"/>
      <sheetName val="N_VCLIENTES"/>
      <sheetName val="N_VCINTRL"/>
      <sheetName val="N_VMETAS"/>
      <sheetName val="N_VRELCOM"/>
      <sheetName val="N_VRELMET"/>
      <sheetName val="HOME_COMPRAS"/>
      <sheetName val="N_CCADASTROF"/>
      <sheetName val="N_PROCFOR"/>
      <sheetName val="N_CSOLICITAR"/>
      <sheetName val="N_CMP"/>
      <sheetName val="SOLICITAÇÕES"/>
      <sheetName val="N_CREALIZARP"/>
      <sheetName val="HOME_FINANCAS"/>
      <sheetName val="N_FINANÇAS"/>
      <sheetName val="N_FINANÇAS (2)"/>
      <sheetName val="N_FINANÇAS (3)"/>
      <sheetName val="HOME_BD"/>
      <sheetName val="B1"/>
      <sheetName val="BD_CADAS"/>
      <sheetName val="B2"/>
      <sheetName val="B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8">
          <cell r="C8" t="str">
            <v>12950745/0111-01</v>
          </cell>
          <cell r="D8" t="str">
            <v>Ana</v>
          </cell>
          <cell r="E8" t="str">
            <v>Rua dos Sertoes</v>
          </cell>
        </row>
        <row r="9">
          <cell r="C9" t="str">
            <v>09.091.029/0001-07</v>
          </cell>
          <cell r="D9" t="str">
            <v>joaquim</v>
          </cell>
          <cell r="E9" t="str">
            <v>rua da mbaixadas</v>
          </cell>
        </row>
        <row r="10">
          <cell r="C10" t="str">
            <v>93.946.695/0001-80</v>
          </cell>
          <cell r="D10" t="str">
            <v>Casa de queijo de Monte Verde</v>
          </cell>
          <cell r="E10" t="str">
            <v>Rua das Flores, 123</v>
          </cell>
        </row>
        <row r="11">
          <cell r="C11" t="str">
            <v>21.675.749/0001-09</v>
          </cell>
          <cell r="D11" t="str">
            <v>Queijaria de Minas</v>
          </cell>
          <cell r="E11" t="str">
            <v>Avenida Brasil, 4567</v>
          </cell>
        </row>
        <row r="12">
          <cell r="C12" t="str">
            <v>65.357.706/0001-50</v>
          </cell>
          <cell r="D12" t="str">
            <v>Aqui Queijo</v>
          </cell>
          <cell r="E12" t="str">
            <v>Rua do Sol, 89</v>
          </cell>
        </row>
        <row r="13">
          <cell r="C13" t="str">
            <v>09.091.029/0001-09</v>
          </cell>
          <cell r="D13" t="str">
            <v>Uai Queijo</v>
          </cell>
          <cell r="E13" t="str">
            <v>Travessa da Paz, 12</v>
          </cell>
        </row>
        <row r="14">
          <cell r="C14" t="str">
            <v>09.190.296/0001-25</v>
          </cell>
          <cell r="D14" t="str">
            <v>Cruzilha Queijos</v>
          </cell>
          <cell r="E14" t="str">
            <v>Rua da Esperança, 34</v>
          </cell>
        </row>
        <row r="15">
          <cell r="C15" t="str">
            <v>41.676.392/0001-90</v>
          </cell>
          <cell r="D15" t="str">
            <v>Montana</v>
          </cell>
          <cell r="E15" t="str">
            <v>Avenida das Américas, 567</v>
          </cell>
        </row>
        <row r="16">
          <cell r="C16" t="str">
            <v>31.537.669/0001-40</v>
          </cell>
          <cell r="D16" t="str">
            <v>Chale do Ito</v>
          </cell>
          <cell r="E16" t="str">
            <v>Rua São Jorge, 78</v>
          </cell>
        </row>
        <row r="17">
          <cell r="C17" t="str">
            <v>29.140.170/0001-53</v>
          </cell>
          <cell r="D17" t="str">
            <v>Restaurante So Queijo</v>
          </cell>
          <cell r="E17" t="str">
            <v>Praça da Liberdade, 9</v>
          </cell>
        </row>
        <row r="18">
          <cell r="C18" t="str">
            <v>22.322.380/0001-13</v>
          </cell>
          <cell r="D18" t="str">
            <v>Arcobaleno Frios e Queijos</v>
          </cell>
          <cell r="E18" t="str">
            <v>Rua dos Reis, 101</v>
          </cell>
        </row>
        <row r="19">
          <cell r="C19" t="str">
            <v>05.790.326/0001-83</v>
          </cell>
          <cell r="D19" t="str">
            <v>Restaurante Libertango</v>
          </cell>
          <cell r="E19" t="str">
            <v>Avenida dos Girassóis, 234</v>
          </cell>
        </row>
        <row r="20">
          <cell r="C20" t="str">
            <v>17.389.690/0001-15</v>
          </cell>
          <cell r="D20" t="str">
            <v>Monte Verde Laticinios</v>
          </cell>
          <cell r="E20" t="str">
            <v>Rua das Acácias, 45</v>
          </cell>
        </row>
        <row r="21">
          <cell r="C21" t="str">
            <v>03.044.803/0001-36</v>
          </cell>
          <cell r="D21" t="str">
            <v>Armazem do Queijo</v>
          </cell>
          <cell r="E21" t="str">
            <v>Estrada do Ouro, 678</v>
          </cell>
        </row>
        <row r="22">
          <cell r="C22" t="str">
            <v>49.619.326/0001-90</v>
          </cell>
          <cell r="D22" t="str">
            <v xml:space="preserve">Rancho do Caipira </v>
          </cell>
          <cell r="E22" t="str">
            <v>Rua da Alegria, 23</v>
          </cell>
        </row>
        <row r="23">
          <cell r="C23" t="str">
            <v>76.018.260/0001-56</v>
          </cell>
          <cell r="D23" t="str">
            <v>Queijo e Doces Monte Verde</v>
          </cell>
          <cell r="E23" t="str">
            <v>Avenida da Saúde, 345</v>
          </cell>
        </row>
        <row r="24">
          <cell r="C24" t="str">
            <v>66.501.356/0001-17</v>
          </cell>
          <cell r="D24" t="str">
            <v>Cantinho do Doce</v>
          </cell>
          <cell r="E24" t="str">
            <v>Rua do Comércio, 11</v>
          </cell>
        </row>
        <row r="25">
          <cell r="C25" t="str">
            <v>18.996.600/0001-17</v>
          </cell>
          <cell r="D25" t="str">
            <v>A Pioneira</v>
          </cell>
          <cell r="E25" t="str">
            <v>Rua do Limoeiro, 87</v>
          </cell>
        </row>
        <row r="26">
          <cell r="C26" t="str">
            <v>21.153.490/0001-36</v>
          </cell>
          <cell r="D26" t="str">
            <v>Supermercado du Tato</v>
          </cell>
          <cell r="E26" t="str">
            <v>Avenida da Independência, 456</v>
          </cell>
        </row>
        <row r="27">
          <cell r="C27" t="str">
            <v>24.851.065/0001-09</v>
          </cell>
          <cell r="D27" t="str">
            <v>Queijos Santa Fe</v>
          </cell>
          <cell r="E27" t="str">
            <v>Rua das Palmeiras, 62</v>
          </cell>
        </row>
        <row r="28">
          <cell r="C28" t="str">
            <v>03.531.020/0001-87</v>
          </cell>
          <cell r="D28" t="str">
            <v>Supermercado Avenida</v>
          </cell>
          <cell r="E28" t="str">
            <v>Rua do Conhecimento, 90</v>
          </cell>
        </row>
        <row r="29">
          <cell r="C29" t="str">
            <v>73.027.684/0001-99</v>
          </cell>
          <cell r="D29" t="str">
            <v>Supermercado Bosque</v>
          </cell>
          <cell r="E29" t="str">
            <v>Travessa do Coração, 33</v>
          </cell>
        </row>
        <row r="30">
          <cell r="C30" t="str">
            <v>10.070.973/0001-50</v>
          </cell>
          <cell r="D30" t="str">
            <v>Supermercado Kurihara</v>
          </cell>
          <cell r="E30" t="str">
            <v>Rua do Trabalho, 47</v>
          </cell>
        </row>
      </sheetData>
      <sheetData sheetId="42" refreshError="1"/>
      <sheetData sheetId="4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AW77"/>
  <sheetViews>
    <sheetView zoomScale="40" zoomScaleNormal="40" workbookViewId="0">
      <selection activeCell="AW53" sqref="AW53"/>
    </sheetView>
  </sheetViews>
  <sheetFormatPr defaultColWidth="8.88671875" defaultRowHeight="14.4" zeroHeight="1" x14ac:dyDescent="0.3"/>
  <cols>
    <col min="1" max="25" width="8.88671875" customWidth="1"/>
    <col min="26" max="43" width="8.88671875" style="177" customWidth="1"/>
    <col min="44" max="48" width="8.88671875" customWidth="1"/>
    <col min="49" max="49" width="105.6640625" customWidth="1"/>
    <col min="50" max="16383" width="0" hidden="1" customWidth="1"/>
    <col min="16384" max="16384" width="84.664062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423" t="s">
        <v>0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  <c r="U2" s="423"/>
      <c r="V2" s="423"/>
      <c r="W2" s="423"/>
      <c r="X2" s="423"/>
      <c r="Y2" s="423"/>
      <c r="Z2" s="423"/>
      <c r="AA2" s="423"/>
      <c r="AB2" s="423"/>
      <c r="AC2" s="423"/>
      <c r="AD2" s="423"/>
      <c r="AE2" s="423"/>
      <c r="AF2" s="423"/>
      <c r="AG2" s="423"/>
      <c r="AH2" s="423"/>
      <c r="AI2" s="423"/>
      <c r="AJ2" s="423"/>
      <c r="AK2" s="423"/>
      <c r="AL2" s="423"/>
      <c r="AM2" s="423"/>
      <c r="AN2" s="423"/>
      <c r="AO2" s="423"/>
      <c r="AP2" s="423"/>
      <c r="AQ2" s="423"/>
      <c r="AR2" s="423"/>
      <c r="AS2" s="423"/>
      <c r="AT2" s="423"/>
      <c r="AU2" s="423"/>
      <c r="AV2" s="423"/>
      <c r="AW2" s="423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77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77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77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77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77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77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77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77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77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77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77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77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77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77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77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77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77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77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77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77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77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77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77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77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77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0000"/>
  </sheetPr>
  <dimension ref="A1:AE52"/>
  <sheetViews>
    <sheetView showGridLines="0" zoomScale="40" zoomScaleNormal="40" workbookViewId="0">
      <selection activeCell="H48" sqref="H48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5"/>
      <c r="B2" s="425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  <c r="Y2" s="425"/>
      <c r="Z2" s="425"/>
      <c r="AA2" s="425"/>
      <c r="AB2" s="425"/>
      <c r="AC2" s="425"/>
      <c r="AD2" s="425"/>
      <c r="AE2" s="425"/>
    </row>
    <row r="3" spans="1:3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ht="14.4" customHeight="1" x14ac:dyDescent="0.3">
      <c r="A7" s="25"/>
      <c r="B7" s="25"/>
      <c r="C7" s="25"/>
      <c r="D7" s="25"/>
      <c r="E7" s="426"/>
      <c r="F7" s="426"/>
      <c r="G7" s="426"/>
      <c r="H7" s="426"/>
      <c r="I7" s="426"/>
      <c r="J7" s="426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ht="14.4" customHeight="1" x14ac:dyDescent="0.3">
      <c r="A8" s="25"/>
      <c r="B8" s="25"/>
      <c r="C8" s="25"/>
      <c r="D8" s="25"/>
      <c r="E8" s="426"/>
      <c r="F8" s="426"/>
      <c r="G8" s="426"/>
      <c r="H8" s="426"/>
      <c r="I8" s="426"/>
      <c r="J8" s="426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ht="25.2" customHeight="1" x14ac:dyDescent="0.3">
      <c r="A9" s="25"/>
      <c r="B9" s="25"/>
      <c r="C9" s="25"/>
      <c r="D9" s="25"/>
      <c r="E9" s="26"/>
      <c r="F9" s="26"/>
      <c r="G9" s="26"/>
      <c r="H9" s="26"/>
      <c r="I9" s="26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ht="25.2" customHeight="1" x14ac:dyDescent="0.3">
      <c r="A10" s="25"/>
      <c r="B10" s="25"/>
      <c r="C10" s="25"/>
      <c r="D10" s="25"/>
      <c r="E10" s="26"/>
      <c r="F10" s="27"/>
      <c r="G10" s="27"/>
      <c r="H10" s="27"/>
      <c r="I10" s="27"/>
      <c r="J10" s="27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ht="25.2" customHeight="1" x14ac:dyDescent="0.3">
      <c r="A11" s="25"/>
      <c r="B11" s="25"/>
      <c r="C11" s="25"/>
      <c r="D11" s="25"/>
      <c r="E11" s="26"/>
      <c r="F11" s="27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25.2" customHeight="1" x14ac:dyDescent="0.3">
      <c r="A12" s="25"/>
      <c r="B12" s="25"/>
      <c r="C12" s="25"/>
      <c r="D12" s="25"/>
      <c r="E12" s="26"/>
      <c r="F12" s="27"/>
      <c r="G12" s="27"/>
      <c r="H12" s="27"/>
      <c r="I12" s="27"/>
      <c r="J12" s="27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25.2" customHeight="1" x14ac:dyDescent="0.3">
      <c r="A13" s="25"/>
      <c r="B13" s="25"/>
      <c r="C13" s="25"/>
      <c r="D13" s="25"/>
      <c r="E13" s="26"/>
      <c r="F13" s="27"/>
      <c r="G13" s="27"/>
      <c r="H13" s="27"/>
      <c r="I13" s="27"/>
      <c r="J13" s="27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14.4" customHeight="1" x14ac:dyDescent="0.3">
      <c r="A18" s="25"/>
      <c r="B18" s="25"/>
      <c r="C18" s="25"/>
      <c r="D18" s="25"/>
      <c r="E18" s="25"/>
      <c r="F18" s="427"/>
      <c r="G18" s="427"/>
      <c r="H18" s="427"/>
      <c r="I18" s="427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4.4" customHeight="1" x14ac:dyDescent="0.3">
      <c r="A19" s="25"/>
      <c r="B19" s="25"/>
      <c r="C19" s="25"/>
      <c r="D19" s="25"/>
      <c r="E19" s="25"/>
      <c r="F19" s="427"/>
      <c r="G19" s="427"/>
      <c r="H19" s="427"/>
      <c r="I19" s="427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ht="14.4" customHeight="1" x14ac:dyDescent="0.3">
      <c r="A20" s="25"/>
      <c r="B20" s="25"/>
      <c r="C20" s="25"/>
      <c r="D20" s="25"/>
      <c r="E20" s="25"/>
      <c r="F20" s="428"/>
      <c r="G20" s="428"/>
      <c r="H20" s="429"/>
      <c r="I20" s="430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ht="14.4" customHeight="1" x14ac:dyDescent="0.3">
      <c r="A21" s="25"/>
      <c r="B21" s="25"/>
      <c r="C21" s="25"/>
      <c r="D21" s="25"/>
      <c r="E21" s="25"/>
      <c r="F21" s="428"/>
      <c r="G21" s="428"/>
      <c r="H21" s="429"/>
      <c r="I21" s="430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ht="17.399999999999999" customHeight="1" x14ac:dyDescent="0.3">
      <c r="A22" s="25"/>
      <c r="B22" s="25"/>
      <c r="C22" s="25"/>
      <c r="D22" s="25"/>
      <c r="E22" s="25"/>
      <c r="F22" s="28"/>
      <c r="G22" s="28"/>
      <c r="H22" s="29"/>
      <c r="I22" s="29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ht="17.399999999999999" x14ac:dyDescent="0.3">
      <c r="A23" s="25"/>
      <c r="B23" s="25"/>
      <c r="C23" s="25"/>
      <c r="D23" s="25"/>
      <c r="E23" s="25"/>
      <c r="F23" s="424"/>
      <c r="G23" s="424"/>
      <c r="H23" s="30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ht="28.8" x14ac:dyDescent="0.3">
      <c r="A24" s="25"/>
      <c r="B24" s="25"/>
      <c r="C24" s="25"/>
      <c r="D24" s="25"/>
      <c r="E24" s="25"/>
      <c r="F24" s="31"/>
      <c r="G24" s="32"/>
      <c r="H24" s="29"/>
      <c r="I24" s="29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ht="17.399999999999999" x14ac:dyDescent="0.3">
      <c r="A25" s="25"/>
      <c r="B25" s="25"/>
      <c r="C25" s="25"/>
      <c r="D25" s="25"/>
      <c r="E25" s="25"/>
      <c r="F25" s="424"/>
      <c r="G25" s="424"/>
      <c r="H25" s="30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ht="28.8" x14ac:dyDescent="0.3">
      <c r="A26" s="25"/>
      <c r="B26" s="25"/>
      <c r="C26" s="25"/>
      <c r="D26" s="25"/>
      <c r="E26" s="25"/>
      <c r="F26" s="33"/>
      <c r="G26" s="32"/>
      <c r="H26" s="29"/>
      <c r="I26" s="29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ht="17.399999999999999" x14ac:dyDescent="0.3">
      <c r="A27" s="25"/>
      <c r="B27" s="25"/>
      <c r="C27" s="25"/>
      <c r="D27" s="25"/>
      <c r="E27" s="25"/>
      <c r="F27" s="424"/>
      <c r="G27" s="424"/>
      <c r="H27" s="30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ht="28.8" x14ac:dyDescent="0.3">
      <c r="A28" s="25"/>
      <c r="B28" s="25"/>
      <c r="C28" s="25"/>
      <c r="D28" s="25"/>
      <c r="E28" s="25"/>
      <c r="F28" s="31"/>
      <c r="G28" s="32"/>
      <c r="H28" s="29"/>
      <c r="I28" s="29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ht="17.399999999999999" x14ac:dyDescent="0.3">
      <c r="A29" s="25"/>
      <c r="B29" s="25"/>
      <c r="C29" s="25"/>
      <c r="D29" s="25"/>
      <c r="E29" s="25"/>
      <c r="F29" s="424"/>
      <c r="G29" s="424"/>
      <c r="H29" s="30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ht="28.8" x14ac:dyDescent="0.3">
      <c r="A30" s="25"/>
      <c r="B30" s="25"/>
      <c r="C30" s="25"/>
      <c r="D30" s="25"/>
      <c r="E30" s="25"/>
      <c r="F30" s="33"/>
      <c r="G30" s="34"/>
      <c r="H30" s="35"/>
      <c r="I30" s="29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1:31" ht="17.399999999999999" x14ac:dyDescent="0.3">
      <c r="A31" s="25"/>
      <c r="B31" s="25"/>
      <c r="C31" s="25"/>
      <c r="D31" s="25"/>
      <c r="E31" s="25"/>
      <c r="F31" s="424"/>
      <c r="G31" s="424"/>
      <c r="H31" s="30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1:31" ht="28.8" x14ac:dyDescent="0.3">
      <c r="A32" s="25"/>
      <c r="B32" s="25"/>
      <c r="C32" s="25"/>
      <c r="D32" s="25"/>
      <c r="E32" s="25"/>
      <c r="F32" s="28"/>
      <c r="G32" s="36"/>
      <c r="H32" s="35"/>
      <c r="I32" s="37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  <row r="33" spans="1:31" ht="28.8" x14ac:dyDescent="0.3">
      <c r="A33" s="25"/>
      <c r="B33" s="25"/>
      <c r="C33" s="25"/>
      <c r="D33" s="25"/>
      <c r="E33" s="25"/>
      <c r="F33" s="28"/>
      <c r="G33" s="36"/>
      <c r="H33" s="35"/>
      <c r="I33" s="37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</row>
    <row r="34" spans="1:31" ht="28.8" x14ac:dyDescent="0.55000000000000004">
      <c r="A34" s="25"/>
      <c r="B34" s="25"/>
      <c r="C34" s="25"/>
      <c r="D34" s="25"/>
      <c r="E34" s="25"/>
      <c r="F34" s="28"/>
      <c r="G34" s="38"/>
      <c r="H34" s="38"/>
      <c r="I34" s="38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</row>
    <row r="35" spans="1:31" ht="28.8" x14ac:dyDescent="0.55000000000000004">
      <c r="A35" s="25"/>
      <c r="B35" s="25"/>
      <c r="C35" s="25"/>
      <c r="D35" s="25"/>
      <c r="E35" s="25"/>
      <c r="F35" s="28"/>
      <c r="G35" s="38"/>
      <c r="H35" s="38"/>
      <c r="I35" s="38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</row>
    <row r="36" spans="1:3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1:3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</row>
    <row r="38" spans="1:3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</row>
    <row r="39" spans="1:3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</row>
    <row r="40" spans="1:3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</row>
    <row r="41" spans="1:3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</row>
    <row r="42" spans="1:3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</row>
    <row r="43" spans="1:3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</row>
    <row r="44" spans="1:3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</row>
    <row r="45" spans="1:3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</row>
    <row r="46" spans="1:3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</row>
    <row r="47" spans="1:3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</row>
    <row r="48" spans="1:3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</row>
    <row r="49" spans="1:3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</row>
    <row r="50" spans="1:3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</row>
    <row r="51" spans="1:3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</row>
  </sheetData>
  <mergeCells count="11">
    <mergeCell ref="A2:AE2"/>
    <mergeCell ref="E7:J8"/>
    <mergeCell ref="F18:I19"/>
    <mergeCell ref="F20:G21"/>
    <mergeCell ref="H20:H21"/>
    <mergeCell ref="I20:I21"/>
    <mergeCell ref="F23:G23"/>
    <mergeCell ref="F25:G25"/>
    <mergeCell ref="F27:G27"/>
    <mergeCell ref="F29:G29"/>
    <mergeCell ref="F31:G31"/>
  </mergeCells>
  <dataValidations count="2">
    <dataValidation type="list" allowBlank="1" showInputMessage="1" showErrorMessage="1" sqref="F18" xr:uid="{00000000-0002-0000-0100-000000000000}">
      <formula1>$L$14:$L$17</formula1>
    </dataValidation>
    <dataValidation allowBlank="1" showInputMessage="1" showErrorMessage="1" sqref="E9" xr:uid="{00000000-0002-0000-0100-000001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FF0000"/>
  </sheetPr>
  <dimension ref="A1:BJ40"/>
  <sheetViews>
    <sheetView zoomScale="40" zoomScaleNormal="40" workbookViewId="0">
      <selection activeCell="AF64" sqref="AF64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33203125" customWidth="1"/>
    <col min="20" max="20" width="19.33203125" bestFit="1" customWidth="1"/>
    <col min="21" max="21" width="14.5546875" bestFit="1" customWidth="1"/>
    <col min="22" max="22" width="26.6640625" bestFit="1" customWidth="1"/>
    <col min="52" max="53" width="8.88671875" style="177"/>
  </cols>
  <sheetData>
    <row r="1" spans="1:62" s="181" customFormat="1" x14ac:dyDescent="0.3"/>
    <row r="2" spans="1:62" s="181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</row>
    <row r="4" spans="1:62" ht="46.2" customHeight="1" x14ac:dyDescent="0.3">
      <c r="A4" s="425"/>
      <c r="B4" s="425"/>
      <c r="C4" s="425"/>
      <c r="D4" s="425"/>
      <c r="E4" s="425"/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5"/>
      <c r="AE4" s="425"/>
      <c r="AF4" s="425"/>
      <c r="AG4" s="425"/>
      <c r="AH4" s="425"/>
      <c r="AI4" s="425"/>
      <c r="AJ4" s="425"/>
      <c r="AK4" s="425"/>
      <c r="AL4" s="425"/>
      <c r="AM4" s="425"/>
      <c r="AN4" s="425"/>
      <c r="AO4" s="425"/>
      <c r="AP4" s="425"/>
      <c r="AQ4" s="425"/>
      <c r="AR4" s="425"/>
      <c r="AS4" s="425"/>
      <c r="AT4" s="425"/>
      <c r="AU4" s="425"/>
      <c r="AV4" s="425"/>
      <c r="AW4" s="425"/>
      <c r="AX4" s="425"/>
      <c r="AY4" s="425"/>
      <c r="AZ4" s="425"/>
      <c r="BA4" s="425"/>
      <c r="BB4" s="425"/>
      <c r="BC4" s="425"/>
      <c r="BD4" s="425"/>
      <c r="BE4" s="425"/>
      <c r="BF4" s="425"/>
      <c r="BG4" s="425"/>
      <c r="BH4" s="425"/>
      <c r="BI4" s="425"/>
      <c r="BJ4" s="425"/>
    </row>
    <row r="5" spans="1:62" x14ac:dyDescent="0.3">
      <c r="A5" s="425"/>
      <c r="B5" s="425"/>
      <c r="C5" s="425"/>
      <c r="D5" s="425"/>
      <c r="E5" s="425"/>
      <c r="F5" s="425"/>
      <c r="G5" s="425"/>
      <c r="H5" s="425"/>
      <c r="I5" s="425"/>
      <c r="J5" s="425"/>
      <c r="K5" s="425"/>
      <c r="L5" s="425"/>
      <c r="M5" s="425"/>
      <c r="N5" s="425"/>
      <c r="O5" s="425"/>
      <c r="P5" s="425"/>
      <c r="Q5" s="425"/>
      <c r="R5" s="425"/>
      <c r="S5" s="425"/>
      <c r="T5" s="425"/>
      <c r="U5" s="425"/>
      <c r="V5" s="425"/>
      <c r="W5" s="425"/>
      <c r="X5" s="425"/>
      <c r="Y5" s="425"/>
      <c r="Z5" s="425"/>
      <c r="AA5" s="425"/>
      <c r="AB5" s="425"/>
      <c r="AC5" s="425"/>
      <c r="AD5" s="425"/>
      <c r="AE5" s="425"/>
      <c r="AF5" s="425"/>
      <c r="AG5" s="425"/>
      <c r="AH5" s="425"/>
      <c r="AI5" s="425"/>
      <c r="AJ5" s="425"/>
      <c r="AK5" s="425"/>
      <c r="AL5" s="425"/>
      <c r="AM5" s="425"/>
      <c r="AN5" s="425"/>
      <c r="AO5" s="425"/>
      <c r="AP5" s="425"/>
      <c r="AQ5" s="425"/>
      <c r="AR5" s="425"/>
      <c r="AS5" s="425"/>
      <c r="AT5" s="425"/>
      <c r="AU5" s="425"/>
      <c r="AV5" s="425"/>
      <c r="AW5" s="425"/>
      <c r="AX5" s="425"/>
      <c r="AY5" s="425"/>
      <c r="AZ5" s="425"/>
      <c r="BA5" s="425"/>
      <c r="BB5" s="425"/>
      <c r="BC5" s="425"/>
      <c r="BD5" s="425"/>
      <c r="BE5" s="425"/>
      <c r="BF5" s="425"/>
      <c r="BG5" s="425"/>
      <c r="BH5" s="425"/>
      <c r="BI5" s="425"/>
      <c r="BJ5" s="425"/>
    </row>
    <row r="6" spans="1:62" x14ac:dyDescent="0.3">
      <c r="A6" s="425"/>
      <c r="B6" s="425"/>
      <c r="C6" s="425"/>
      <c r="D6" s="425"/>
      <c r="E6" s="425"/>
      <c r="F6" s="425"/>
      <c r="G6" s="425"/>
      <c r="H6" s="425"/>
      <c r="I6" s="425"/>
      <c r="J6" s="425"/>
      <c r="K6" s="425"/>
      <c r="L6" s="425"/>
      <c r="M6" s="425"/>
      <c r="N6" s="425"/>
      <c r="O6" s="425"/>
      <c r="P6" s="425"/>
      <c r="Q6" s="425"/>
      <c r="R6" s="425"/>
      <c r="S6" s="425"/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425"/>
      <c r="AH6" s="425"/>
      <c r="AI6" s="425"/>
      <c r="AJ6" s="425"/>
      <c r="AK6" s="425"/>
      <c r="AL6" s="425"/>
      <c r="AM6" s="425"/>
      <c r="AN6" s="425"/>
      <c r="AO6" s="425"/>
      <c r="AP6" s="425"/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5"/>
      <c r="BB6" s="425"/>
      <c r="BC6" s="425"/>
      <c r="BD6" s="425"/>
      <c r="BE6" s="425"/>
      <c r="BF6" s="425"/>
      <c r="BG6" s="425"/>
      <c r="BH6" s="425"/>
      <c r="BI6" s="425"/>
      <c r="BJ6" s="425"/>
    </row>
    <row r="7" spans="1:62" x14ac:dyDescent="0.3">
      <c r="A7" s="425"/>
      <c r="B7" s="425"/>
      <c r="C7" s="425"/>
      <c r="D7" s="425"/>
      <c r="E7" s="425"/>
      <c r="F7" s="425"/>
      <c r="G7" s="425"/>
      <c r="H7" s="425"/>
      <c r="I7" s="425"/>
      <c r="J7" s="425"/>
      <c r="K7" s="425"/>
      <c r="L7" s="425"/>
      <c r="M7" s="425"/>
      <c r="N7" s="425"/>
      <c r="O7" s="425"/>
      <c r="P7" s="425"/>
      <c r="Q7" s="425"/>
      <c r="R7" s="425"/>
      <c r="S7" s="425"/>
      <c r="T7" s="425"/>
      <c r="U7" s="425"/>
      <c r="V7" s="425"/>
      <c r="W7" s="425"/>
      <c r="X7" s="425"/>
      <c r="Y7" s="425"/>
      <c r="Z7" s="425"/>
      <c r="AA7" s="425"/>
      <c r="AB7" s="425"/>
      <c r="AC7" s="425"/>
      <c r="AD7" s="425"/>
      <c r="AE7" s="425"/>
      <c r="AF7" s="425"/>
      <c r="AG7" s="425"/>
      <c r="AH7" s="425"/>
      <c r="AI7" s="425"/>
      <c r="AJ7" s="425"/>
      <c r="AK7" s="425"/>
      <c r="AL7" s="425"/>
      <c r="AM7" s="425"/>
      <c r="AN7" s="425"/>
      <c r="AO7" s="425"/>
      <c r="AP7" s="425"/>
      <c r="AQ7" s="425"/>
      <c r="AR7" s="425"/>
      <c r="AS7" s="425"/>
      <c r="AT7" s="425"/>
      <c r="AU7" s="425"/>
      <c r="AV7" s="425"/>
      <c r="AW7" s="425"/>
      <c r="AX7" s="425"/>
      <c r="AY7" s="425"/>
      <c r="AZ7" s="425"/>
      <c r="BA7" s="425"/>
      <c r="BB7" s="425"/>
      <c r="BC7" s="425"/>
      <c r="BD7" s="425"/>
      <c r="BE7" s="425"/>
      <c r="BF7" s="425"/>
      <c r="BG7" s="425"/>
      <c r="BH7" s="425"/>
      <c r="BI7" s="425"/>
      <c r="BJ7" s="425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435" t="s">
        <v>1</v>
      </c>
      <c r="R11" s="436"/>
      <c r="S11" s="436"/>
      <c r="T11" s="436"/>
      <c r="U11" s="436"/>
      <c r="V11" s="437"/>
    </row>
    <row r="12" spans="1:62" ht="25.2" customHeight="1" x14ac:dyDescent="0.3">
      <c r="Q12" s="438"/>
      <c r="R12" s="439"/>
      <c r="S12" s="439"/>
      <c r="T12" s="439"/>
      <c r="U12" s="439"/>
      <c r="V12" s="440"/>
    </row>
    <row r="13" spans="1:62" ht="75" customHeight="1" x14ac:dyDescent="0.3">
      <c r="Q13" s="219" t="s">
        <v>2</v>
      </c>
      <c r="R13" s="220" t="s">
        <v>3</v>
      </c>
      <c r="S13" s="220" t="s">
        <v>4</v>
      </c>
      <c r="T13" s="220" t="s">
        <v>5</v>
      </c>
      <c r="U13" s="221" t="s">
        <v>6</v>
      </c>
      <c r="V13" s="222" t="s">
        <v>7</v>
      </c>
    </row>
    <row r="14" spans="1:62" ht="60" customHeight="1" x14ac:dyDescent="0.3">
      <c r="Q14" s="232" t="s">
        <v>8</v>
      </c>
      <c r="R14" s="223">
        <v>2</v>
      </c>
      <c r="S14" s="224">
        <v>1</v>
      </c>
      <c r="T14" s="224">
        <v>0</v>
      </c>
      <c r="U14" s="224">
        <v>1</v>
      </c>
      <c r="V14" s="225">
        <v>2</v>
      </c>
    </row>
    <row r="15" spans="1:62" ht="60" customHeight="1" x14ac:dyDescent="0.3">
      <c r="Q15" s="232" t="s">
        <v>9</v>
      </c>
      <c r="R15" s="226">
        <v>2</v>
      </c>
      <c r="S15" s="227">
        <v>1</v>
      </c>
      <c r="T15" s="227">
        <v>0</v>
      </c>
      <c r="U15" s="227">
        <v>2</v>
      </c>
      <c r="V15" s="228">
        <v>1</v>
      </c>
    </row>
    <row r="16" spans="1:62" ht="60" customHeight="1" x14ac:dyDescent="0.3">
      <c r="Q16" s="232" t="s">
        <v>10</v>
      </c>
      <c r="R16" s="226">
        <v>1</v>
      </c>
      <c r="S16" s="227">
        <v>1</v>
      </c>
      <c r="T16" s="227">
        <v>5</v>
      </c>
      <c r="U16" s="227">
        <v>3</v>
      </c>
      <c r="V16" s="228">
        <v>2</v>
      </c>
    </row>
    <row r="17" spans="17:22" ht="60" customHeight="1" thickBot="1" x14ac:dyDescent="0.35">
      <c r="Q17" s="233" t="s">
        <v>11</v>
      </c>
      <c r="R17" s="229">
        <v>4</v>
      </c>
      <c r="S17" s="230">
        <v>1</v>
      </c>
      <c r="T17" s="230">
        <v>0</v>
      </c>
      <c r="U17" s="230">
        <v>4</v>
      </c>
      <c r="V17" s="231">
        <v>1</v>
      </c>
    </row>
    <row r="18" spans="17:22" x14ac:dyDescent="0.3">
      <c r="Q18" s="177"/>
      <c r="R18" s="177"/>
      <c r="S18" s="177"/>
      <c r="T18" s="177"/>
      <c r="U18" s="177"/>
      <c r="V18" s="177"/>
    </row>
    <row r="19" spans="17:22" x14ac:dyDescent="0.3">
      <c r="Q19" s="177"/>
      <c r="R19" s="177"/>
      <c r="S19" s="177"/>
      <c r="T19" s="177"/>
      <c r="U19" s="177"/>
      <c r="V19" s="177"/>
    </row>
    <row r="20" spans="17:22" ht="14.4" customHeight="1" x14ac:dyDescent="0.3">
      <c r="Q20" s="177"/>
      <c r="R20" s="177"/>
      <c r="S20" s="177"/>
      <c r="T20" s="177"/>
      <c r="U20" s="177"/>
      <c r="V20" s="177"/>
    </row>
    <row r="21" spans="17:22" ht="14.4" customHeight="1" thickBot="1" x14ac:dyDescent="0.35">
      <c r="Q21" s="177"/>
      <c r="R21" s="177"/>
      <c r="S21" s="177"/>
      <c r="T21" s="177"/>
      <c r="U21" s="177"/>
      <c r="V21" s="177"/>
    </row>
    <row r="22" spans="17:22" ht="25.5" customHeight="1" x14ac:dyDescent="0.3">
      <c r="Q22" s="177"/>
      <c r="R22" s="441"/>
      <c r="S22" s="442"/>
      <c r="T22" s="442"/>
      <c r="U22" s="443"/>
      <c r="V22" s="177"/>
    </row>
    <row r="23" spans="17:22" ht="25.5" customHeight="1" x14ac:dyDescent="0.3">
      <c r="Q23" s="177"/>
      <c r="R23" s="444"/>
      <c r="S23" s="445"/>
      <c r="T23" s="445"/>
      <c r="U23" s="446"/>
      <c r="V23" s="177"/>
    </row>
    <row r="24" spans="17:22" ht="37.5" customHeight="1" x14ac:dyDescent="0.3">
      <c r="Q24" s="177"/>
      <c r="R24" s="447" t="s">
        <v>12</v>
      </c>
      <c r="S24" s="448"/>
      <c r="T24" s="451">
        <v>1</v>
      </c>
      <c r="U24" s="431"/>
      <c r="V24" s="177"/>
    </row>
    <row r="25" spans="17:22" ht="37.5" customHeight="1" x14ac:dyDescent="0.3">
      <c r="Q25" s="177"/>
      <c r="R25" s="449"/>
      <c r="S25" s="450"/>
      <c r="T25" s="452"/>
      <c r="U25" s="432"/>
      <c r="V25" s="177"/>
    </row>
    <row r="26" spans="17:22" ht="15" customHeight="1" x14ac:dyDescent="0.3">
      <c r="Q26" s="177"/>
      <c r="R26" s="3"/>
      <c r="S26" s="4"/>
      <c r="T26" s="5" t="s">
        <v>13</v>
      </c>
      <c r="U26" s="6" t="s">
        <v>13</v>
      </c>
      <c r="V26" s="177"/>
    </row>
    <row r="27" spans="17:22" ht="22.8" x14ac:dyDescent="0.3">
      <c r="Q27" s="177"/>
      <c r="R27" s="433" t="s">
        <v>3</v>
      </c>
      <c r="S27" s="434"/>
      <c r="T27" s="234" t="e">
        <f>VLOOKUP(R22,Q14:V17,2,FALSE)*T24</f>
        <v>#N/A</v>
      </c>
      <c r="U27" s="7"/>
      <c r="V27" s="177"/>
    </row>
    <row r="28" spans="17:22" ht="28.8" x14ac:dyDescent="0.4">
      <c r="Q28" s="177"/>
      <c r="R28" s="235"/>
      <c r="S28" s="236" t="s">
        <v>13</v>
      </c>
      <c r="T28" s="10" t="s">
        <v>13</v>
      </c>
      <c r="U28" s="6" t="s">
        <v>13</v>
      </c>
      <c r="V28" s="177"/>
    </row>
    <row r="29" spans="17:22" ht="22.8" x14ac:dyDescent="0.3">
      <c r="Q29" s="177"/>
      <c r="R29" s="433" t="s">
        <v>4</v>
      </c>
      <c r="S29" s="434"/>
      <c r="T29" s="234" t="e">
        <f>VLOOKUP(R22,Q14:V17,3,FALSE)*T24</f>
        <v>#N/A</v>
      </c>
      <c r="U29" s="7"/>
      <c r="V29" s="177"/>
    </row>
    <row r="30" spans="17:22" ht="28.8" x14ac:dyDescent="0.3">
      <c r="Q30" s="177"/>
      <c r="R30" s="237"/>
      <c r="S30" s="236" t="s">
        <v>13</v>
      </c>
      <c r="T30" s="10" t="s">
        <v>13</v>
      </c>
      <c r="U30" s="6" t="s">
        <v>13</v>
      </c>
      <c r="V30" s="177"/>
    </row>
    <row r="31" spans="17:22" ht="22.8" x14ac:dyDescent="0.3">
      <c r="Q31" s="177"/>
      <c r="R31" s="433" t="s">
        <v>5</v>
      </c>
      <c r="S31" s="434"/>
      <c r="T31" s="234" t="e">
        <f>VLOOKUP(R22,Q14:V17,4,FALSE)*T24</f>
        <v>#N/A</v>
      </c>
      <c r="U31" s="7"/>
      <c r="V31" s="177"/>
    </row>
    <row r="32" spans="17:22" ht="28.8" x14ac:dyDescent="0.4">
      <c r="Q32" s="177"/>
      <c r="R32" s="235"/>
      <c r="S32" s="236" t="s">
        <v>13</v>
      </c>
      <c r="T32" s="10" t="s">
        <v>13</v>
      </c>
      <c r="U32" s="6" t="s">
        <v>13</v>
      </c>
      <c r="V32" s="177"/>
    </row>
    <row r="33" spans="17:22" ht="22.8" x14ac:dyDescent="0.3">
      <c r="Q33" s="177"/>
      <c r="R33" s="433" t="s">
        <v>6</v>
      </c>
      <c r="S33" s="434"/>
      <c r="T33" s="234" t="e">
        <f>VLOOKUP(R22,Q14:V17,5,FALSE)*T24</f>
        <v>#N/A</v>
      </c>
      <c r="U33" s="7"/>
      <c r="V33" s="177"/>
    </row>
    <row r="34" spans="17:22" ht="28.8" x14ac:dyDescent="0.3">
      <c r="Q34" s="177"/>
      <c r="R34" s="237"/>
      <c r="S34" s="236"/>
      <c r="T34" s="238"/>
      <c r="U34" s="6"/>
      <c r="V34" s="177"/>
    </row>
    <row r="35" spans="17:22" ht="22.8" x14ac:dyDescent="0.3">
      <c r="Q35" s="177"/>
      <c r="R35" s="433" t="s">
        <v>7</v>
      </c>
      <c r="S35" s="434"/>
      <c r="T35" s="234" t="e">
        <f>VLOOKUP(R22,Q14:V17,6,FALSE)*T24</f>
        <v>#N/A</v>
      </c>
      <c r="U35" s="7"/>
      <c r="V35" s="177"/>
    </row>
    <row r="36" spans="17:22" ht="28.8" x14ac:dyDescent="0.3">
      <c r="Q36" s="177"/>
      <c r="R36" s="3"/>
      <c r="S36" s="10"/>
      <c r="T36" s="9"/>
      <c r="U36" s="11"/>
      <c r="V36" s="177"/>
    </row>
    <row r="37" spans="17:22" ht="28.8" x14ac:dyDescent="0.3">
      <c r="Q37" s="177"/>
      <c r="R37" s="3"/>
      <c r="S37" s="10"/>
      <c r="T37" s="9"/>
      <c r="U37" s="11"/>
      <c r="V37" s="177"/>
    </row>
    <row r="38" spans="17:22" ht="28.8" x14ac:dyDescent="0.55000000000000004">
      <c r="Q38" s="177"/>
      <c r="R38" s="3"/>
      <c r="S38" s="12"/>
      <c r="T38" s="12"/>
      <c r="U38" s="13"/>
      <c r="V38" s="177"/>
    </row>
    <row r="39" spans="17:22" ht="29.4" thickBot="1" x14ac:dyDescent="0.6">
      <c r="Q39" s="177"/>
      <c r="R39" s="14"/>
      <c r="S39" s="15"/>
      <c r="T39" s="15"/>
      <c r="U39" s="16"/>
      <c r="V39" s="177"/>
    </row>
    <row r="40" spans="17:22" x14ac:dyDescent="0.3">
      <c r="Q40" s="177"/>
      <c r="R40" s="177"/>
      <c r="S40" s="177"/>
      <c r="T40" s="177"/>
      <c r="U40" s="177"/>
      <c r="V40" s="177"/>
    </row>
  </sheetData>
  <mergeCells count="18">
    <mergeCell ref="R31:S31"/>
    <mergeCell ref="R33:S33"/>
    <mergeCell ref="R35:S35"/>
    <mergeCell ref="R24:S25"/>
    <mergeCell ref="T24:T25"/>
    <mergeCell ref="U24:U25"/>
    <mergeCell ref="R27:S27"/>
    <mergeCell ref="R29:S29"/>
    <mergeCell ref="Q11:V12"/>
    <mergeCell ref="R22:U23"/>
    <mergeCell ref="AF4:BJ4"/>
    <mergeCell ref="A5:AE5"/>
    <mergeCell ref="A6:AE6"/>
    <mergeCell ref="A7:AE7"/>
    <mergeCell ref="AF5:BJ5"/>
    <mergeCell ref="AF6:BJ6"/>
    <mergeCell ref="AF7:BJ7"/>
    <mergeCell ref="A4:AE4"/>
  </mergeCells>
  <dataValidations count="2">
    <dataValidation allowBlank="1" showInputMessage="1" showErrorMessage="1" sqref="Q13" xr:uid="{00000000-0002-0000-0200-000000000000}"/>
    <dataValidation type="list" allowBlank="1" showInputMessage="1" showErrorMessage="1" sqref="R22" xr:uid="{00000000-0002-0000-0200-000001000000}">
      <formula1>$L$16:$L$19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0000"/>
  </sheetPr>
  <dimension ref="A1:BA63"/>
  <sheetViews>
    <sheetView topLeftCell="C7" zoomScale="40" zoomScaleNormal="40" workbookViewId="0">
      <selection activeCell="R22" sqref="R22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33203125" customWidth="1"/>
    <col min="25" max="25" width="28.3320312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77" customForma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</row>
    <row r="2" spans="1:53" s="177" customFormat="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</row>
    <row r="3" spans="1:53" ht="61.5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77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95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95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95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95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89"/>
      <c r="P11" s="89"/>
      <c r="Q11" s="89"/>
      <c r="R11" s="89"/>
      <c r="S11" s="252"/>
      <c r="T11" s="256"/>
      <c r="U11" s="256"/>
      <c r="V11" s="256"/>
      <c r="W11" s="256"/>
      <c r="X11" s="256"/>
      <c r="Y11" s="256"/>
      <c r="Z11" s="256"/>
      <c r="AA11" s="256"/>
      <c r="AB11" s="89"/>
      <c r="AC11" s="89"/>
      <c r="AD11" s="89"/>
      <c r="AE11" s="89"/>
      <c r="AF11" s="89"/>
    </row>
    <row r="12" spans="1:53" ht="28.95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240"/>
      <c r="R12" s="462" t="s">
        <v>14</v>
      </c>
      <c r="S12" s="463"/>
      <c r="T12" s="463"/>
      <c r="U12" s="463"/>
      <c r="V12" s="463"/>
      <c r="W12" s="463"/>
      <c r="X12" s="463"/>
      <c r="Y12" s="463"/>
      <c r="Z12" s="463"/>
      <c r="AA12" s="464"/>
      <c r="AB12" s="1"/>
      <c r="AC12" s="1"/>
      <c r="AD12" s="1"/>
      <c r="AE12" s="89"/>
      <c r="AF12" s="89"/>
    </row>
    <row r="13" spans="1:53" ht="28.95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77"/>
      <c r="N13" s="177"/>
      <c r="O13" s="1"/>
      <c r="P13" s="1"/>
      <c r="Q13" s="240"/>
      <c r="R13" s="465"/>
      <c r="S13" s="466"/>
      <c r="T13" s="466"/>
      <c r="U13" s="466"/>
      <c r="V13" s="466"/>
      <c r="W13" s="466"/>
      <c r="X13" s="466"/>
      <c r="Y13" s="466"/>
      <c r="Z13" s="466"/>
      <c r="AA13" s="467"/>
      <c r="AB13" s="177"/>
      <c r="AC13" s="1"/>
      <c r="AD13" s="177"/>
      <c r="AE13" s="89"/>
      <c r="AF13" s="89"/>
    </row>
    <row r="14" spans="1:53" ht="28.95" customHeight="1" x14ac:dyDescent="0.3">
      <c r="A14" s="1"/>
      <c r="B14" s="1"/>
      <c r="C14" s="1"/>
      <c r="D14" s="1"/>
      <c r="M14" s="177"/>
      <c r="N14" s="177"/>
      <c r="O14" s="241"/>
      <c r="P14" s="241"/>
      <c r="Q14" s="240"/>
      <c r="R14" s="468" t="s">
        <v>15</v>
      </c>
      <c r="S14" s="469"/>
      <c r="T14" s="469"/>
      <c r="U14" s="469"/>
      <c r="V14" s="469"/>
      <c r="W14" s="469"/>
      <c r="X14" s="469"/>
      <c r="Y14" s="469"/>
      <c r="Z14" s="469"/>
      <c r="AA14" s="470"/>
      <c r="AB14" s="177"/>
      <c r="AC14" s="1"/>
      <c r="AD14" s="177"/>
      <c r="AE14" s="89"/>
      <c r="AF14" s="89"/>
    </row>
    <row r="15" spans="1:53" ht="28.95" customHeight="1" thickBot="1" x14ac:dyDescent="0.35">
      <c r="A15" s="1"/>
      <c r="B15" s="1"/>
      <c r="C15" s="1"/>
      <c r="D15" s="1"/>
      <c r="M15" s="177"/>
      <c r="N15" s="177"/>
      <c r="O15" s="241"/>
      <c r="P15" s="241"/>
      <c r="Q15" s="240"/>
      <c r="R15" s="471"/>
      <c r="S15" s="472"/>
      <c r="T15" s="472"/>
      <c r="U15" s="472"/>
      <c r="V15" s="472"/>
      <c r="W15" s="472"/>
      <c r="X15" s="472"/>
      <c r="Y15" s="472"/>
      <c r="Z15" s="472"/>
      <c r="AA15" s="473"/>
      <c r="AB15" s="177"/>
      <c r="AC15" s="1"/>
      <c r="AD15" s="177"/>
      <c r="AE15" s="89"/>
      <c r="AF15" s="89"/>
    </row>
    <row r="16" spans="1:53" ht="28.95" customHeight="1" x14ac:dyDescent="0.3">
      <c r="A16" s="1"/>
      <c r="B16" s="1"/>
      <c r="C16" s="1"/>
      <c r="D16" s="1"/>
      <c r="M16" s="177"/>
      <c r="N16" s="177"/>
      <c r="O16" s="241"/>
      <c r="P16" s="241"/>
      <c r="Q16" s="241"/>
      <c r="R16" s="241"/>
      <c r="S16" s="241"/>
      <c r="T16" s="241"/>
      <c r="U16" s="241"/>
      <c r="V16" s="241"/>
      <c r="W16" s="241"/>
      <c r="X16" s="1"/>
      <c r="Y16" s="1"/>
      <c r="Z16" s="1"/>
      <c r="AA16" s="1"/>
      <c r="AB16" s="1"/>
      <c r="AC16" s="1"/>
      <c r="AD16" s="177"/>
      <c r="AE16" s="89"/>
      <c r="AF16" s="89"/>
    </row>
    <row r="17" spans="1:32" ht="28.95" customHeight="1" thickBot="1" x14ac:dyDescent="0.35">
      <c r="A17" s="1"/>
      <c r="B17" s="1"/>
      <c r="C17" s="1"/>
      <c r="D17" s="1"/>
      <c r="M17" s="177"/>
      <c r="N17" s="177"/>
      <c r="O17" s="240"/>
      <c r="P17" s="240"/>
      <c r="Q17" s="240"/>
      <c r="R17" s="240"/>
      <c r="S17" s="240"/>
      <c r="T17" s="240"/>
      <c r="U17" s="241"/>
      <c r="V17" s="241"/>
      <c r="W17" s="241"/>
      <c r="X17" s="241"/>
      <c r="Y17" s="241"/>
      <c r="Z17" s="241"/>
      <c r="AA17" s="241"/>
      <c r="AB17" s="1"/>
      <c r="AC17" s="1"/>
      <c r="AD17" s="177"/>
      <c r="AE17" s="257"/>
      <c r="AF17" s="257"/>
    </row>
    <row r="18" spans="1:32" ht="28.95" customHeight="1" x14ac:dyDescent="0.3">
      <c r="A18" s="1"/>
      <c r="B18" s="1"/>
      <c r="C18" s="1"/>
      <c r="D18" s="1"/>
      <c r="M18" s="453" t="s">
        <v>16</v>
      </c>
      <c r="N18" s="454"/>
      <c r="O18" s="454"/>
      <c r="P18" s="454"/>
      <c r="Q18" s="454"/>
      <c r="R18" s="454"/>
      <c r="S18" s="455"/>
      <c r="T18" s="240"/>
      <c r="U18" s="240"/>
      <c r="V18" s="241"/>
      <c r="W18" s="240"/>
      <c r="X18" s="453" t="s">
        <v>16</v>
      </c>
      <c r="Y18" s="454"/>
      <c r="Z18" s="454"/>
      <c r="AA18" s="454"/>
      <c r="AB18" s="454"/>
      <c r="AC18" s="454"/>
      <c r="AD18" s="455"/>
      <c r="AE18" s="257"/>
      <c r="AF18" s="257"/>
    </row>
    <row r="19" spans="1:32" ht="28.95" customHeight="1" x14ac:dyDescent="0.3">
      <c r="A19" s="1"/>
      <c r="B19" s="1"/>
      <c r="C19" s="1"/>
      <c r="D19" s="1"/>
      <c r="M19" s="456"/>
      <c r="N19" s="457"/>
      <c r="O19" s="457"/>
      <c r="P19" s="457"/>
      <c r="Q19" s="457"/>
      <c r="R19" s="457"/>
      <c r="S19" s="458"/>
      <c r="T19" s="240"/>
      <c r="U19" s="240"/>
      <c r="V19" s="241"/>
      <c r="W19" s="240"/>
      <c r="X19" s="456"/>
      <c r="Y19" s="457"/>
      <c r="Z19" s="457"/>
      <c r="AA19" s="457"/>
      <c r="AB19" s="457"/>
      <c r="AC19" s="457"/>
      <c r="AD19" s="458"/>
      <c r="AE19" s="257"/>
      <c r="AF19" s="257"/>
    </row>
    <row r="20" spans="1:32" ht="28.95" customHeight="1" thickBot="1" x14ac:dyDescent="0.6">
      <c r="A20" s="1"/>
      <c r="B20" s="1"/>
      <c r="C20" s="1"/>
      <c r="D20" s="1"/>
      <c r="M20" s="459"/>
      <c r="N20" s="460"/>
      <c r="O20" s="460"/>
      <c r="P20" s="460"/>
      <c r="Q20" s="460"/>
      <c r="R20" s="460"/>
      <c r="S20" s="461"/>
      <c r="T20" s="240"/>
      <c r="U20" s="240"/>
      <c r="V20" s="241"/>
      <c r="W20" s="240"/>
      <c r="X20" s="459"/>
      <c r="Y20" s="460"/>
      <c r="Z20" s="460"/>
      <c r="AA20" s="460"/>
      <c r="AB20" s="460"/>
      <c r="AC20" s="460"/>
      <c r="AD20" s="461"/>
      <c r="AE20" s="55"/>
      <c r="AF20" s="55"/>
    </row>
    <row r="21" spans="1:32" ht="28.95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244" t="s">
        <v>13</v>
      </c>
      <c r="T21" s="240"/>
      <c r="U21" s="240"/>
      <c r="V21" s="241"/>
      <c r="W21" s="240"/>
      <c r="X21" s="53" t="s">
        <v>13</v>
      </c>
      <c r="Y21" s="243" t="s">
        <v>13</v>
      </c>
      <c r="Z21" s="243" t="s">
        <v>13</v>
      </c>
      <c r="AA21" s="243" t="s">
        <v>13</v>
      </c>
      <c r="AB21" s="243" t="s">
        <v>13</v>
      </c>
      <c r="AC21" s="12" t="s">
        <v>13</v>
      </c>
      <c r="AD21" s="13" t="s">
        <v>13</v>
      </c>
      <c r="AE21" s="90"/>
      <c r="AF21" s="55"/>
    </row>
    <row r="22" spans="1:32" ht="28.95" customHeight="1" x14ac:dyDescent="0.55000000000000004">
      <c r="A22" s="1"/>
      <c r="B22" s="1"/>
      <c r="C22" s="1"/>
      <c r="D22" s="1"/>
      <c r="M22" s="17" t="s">
        <v>13</v>
      </c>
      <c r="N22" s="242" t="s">
        <v>17</v>
      </c>
      <c r="O22" s="18"/>
      <c r="P22" s="19" t="s">
        <v>13</v>
      </c>
      <c r="Q22" s="19" t="s">
        <v>13</v>
      </c>
      <c r="R22" s="239" t="s">
        <v>18</v>
      </c>
      <c r="S22" s="244" t="s">
        <v>13</v>
      </c>
      <c r="T22" s="240"/>
      <c r="U22" s="240"/>
      <c r="V22" s="241"/>
      <c r="W22" s="240"/>
      <c r="X22" s="53" t="s">
        <v>13</v>
      </c>
      <c r="Y22" s="245" t="s">
        <v>17</v>
      </c>
      <c r="Z22" s="246"/>
      <c r="AA22" s="243" t="s">
        <v>13</v>
      </c>
      <c r="AB22" s="243" t="s">
        <v>13</v>
      </c>
      <c r="AC22" s="239" t="s">
        <v>19</v>
      </c>
      <c r="AD22" s="13" t="s">
        <v>13</v>
      </c>
      <c r="AE22" s="55"/>
      <c r="AF22" s="55"/>
    </row>
    <row r="23" spans="1:32" ht="28.95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77"/>
      <c r="U23" s="177"/>
      <c r="V23" s="1"/>
      <c r="W23" s="177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90"/>
      <c r="AF23" s="55"/>
    </row>
    <row r="24" spans="1:32" ht="28.95" customHeight="1" x14ac:dyDescent="0.55000000000000004">
      <c r="A24" s="1"/>
      <c r="B24" s="1"/>
      <c r="C24" s="1"/>
      <c r="D24" s="1"/>
      <c r="M24" s="17" t="s">
        <v>13</v>
      </c>
      <c r="N24" s="242" t="s">
        <v>20</v>
      </c>
      <c r="O24" s="18"/>
      <c r="P24" s="19" t="s">
        <v>13</v>
      </c>
      <c r="Q24" s="19" t="s">
        <v>13</v>
      </c>
      <c r="R24" s="239" t="s">
        <v>21</v>
      </c>
      <c r="S24" s="244" t="s">
        <v>13</v>
      </c>
      <c r="T24" s="240"/>
      <c r="U24" s="240"/>
      <c r="V24" s="241"/>
      <c r="W24" s="240"/>
      <c r="X24" s="53" t="s">
        <v>13</v>
      </c>
      <c r="Y24" s="245" t="s">
        <v>20</v>
      </c>
      <c r="Z24" s="18"/>
      <c r="AA24" s="19" t="s">
        <v>13</v>
      </c>
      <c r="AB24" s="19" t="s">
        <v>13</v>
      </c>
      <c r="AC24" s="239" t="s">
        <v>22</v>
      </c>
      <c r="AD24" s="13" t="s">
        <v>13</v>
      </c>
      <c r="AE24" s="55"/>
      <c r="AF24" s="55"/>
    </row>
    <row r="25" spans="1:32" ht="28.95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247" t="s">
        <v>13</v>
      </c>
      <c r="S25" s="244" t="s">
        <v>13</v>
      </c>
      <c r="T25" s="240"/>
      <c r="U25" s="240"/>
      <c r="V25" s="241"/>
      <c r="W25" s="240"/>
      <c r="X25" s="53" t="s">
        <v>13</v>
      </c>
      <c r="Y25" s="243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55"/>
      <c r="AF25" s="55"/>
    </row>
    <row r="26" spans="1:32" ht="28.95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248" t="s">
        <v>13</v>
      </c>
      <c r="S26" s="249" t="s">
        <v>13</v>
      </c>
      <c r="T26" s="240"/>
      <c r="U26" s="240"/>
      <c r="V26" s="241"/>
      <c r="W26" s="240"/>
      <c r="X26" s="250" t="s">
        <v>13</v>
      </c>
      <c r="Y26" s="251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89"/>
      <c r="AF26" s="89"/>
    </row>
    <row r="27" spans="1:32" ht="28.95" customHeight="1" x14ac:dyDescent="0.3">
      <c r="A27" s="1"/>
      <c r="B27" s="1"/>
      <c r="C27" s="1"/>
      <c r="D27" s="1"/>
      <c r="M27" s="177"/>
      <c r="N27" s="177"/>
      <c r="O27" s="177"/>
      <c r="P27" s="177"/>
      <c r="Q27" s="177"/>
      <c r="R27" s="240"/>
      <c r="S27" s="240"/>
      <c r="T27" s="240"/>
      <c r="U27" s="241"/>
      <c r="V27" s="241"/>
      <c r="W27" s="241"/>
      <c r="X27" s="241"/>
      <c r="Y27" s="241"/>
      <c r="Z27" s="1"/>
      <c r="AA27" s="1"/>
      <c r="AB27" s="1"/>
      <c r="AC27" s="1"/>
      <c r="AD27" s="177"/>
      <c r="AE27" s="89"/>
      <c r="AF27" s="89"/>
    </row>
    <row r="28" spans="1:32" ht="28.95" customHeight="1" thickBot="1" x14ac:dyDescent="0.35">
      <c r="A28" s="1"/>
      <c r="B28" s="1"/>
      <c r="C28" s="1"/>
      <c r="D28" s="1"/>
      <c r="M28" s="177"/>
      <c r="N28" s="177"/>
      <c r="O28" s="1"/>
      <c r="P28" s="1"/>
      <c r="Q28" s="1"/>
      <c r="R28" s="1"/>
      <c r="S28" s="1"/>
      <c r="T28" s="1"/>
      <c r="U28" s="241"/>
      <c r="V28" s="241"/>
      <c r="W28" s="241"/>
      <c r="X28" s="241"/>
      <c r="Y28" s="241"/>
      <c r="Z28" s="241"/>
      <c r="AA28" s="241"/>
      <c r="AB28" s="1"/>
      <c r="AC28" s="1"/>
      <c r="AD28" s="177"/>
      <c r="AE28" s="257"/>
      <c r="AF28" s="257"/>
    </row>
    <row r="29" spans="1:32" ht="28.95" customHeight="1" x14ac:dyDescent="0.3">
      <c r="A29" s="1"/>
      <c r="B29" s="1"/>
      <c r="C29" s="1"/>
      <c r="D29" s="1"/>
      <c r="M29" s="453" t="s">
        <v>16</v>
      </c>
      <c r="N29" s="454"/>
      <c r="O29" s="454"/>
      <c r="P29" s="454"/>
      <c r="Q29" s="454"/>
      <c r="R29" s="454"/>
      <c r="S29" s="455"/>
      <c r="T29" s="177"/>
      <c r="U29" s="240"/>
      <c r="V29" s="241"/>
      <c r="W29" s="240"/>
      <c r="X29" s="453" t="s">
        <v>16</v>
      </c>
      <c r="Y29" s="454"/>
      <c r="Z29" s="454"/>
      <c r="AA29" s="454"/>
      <c r="AB29" s="454"/>
      <c r="AC29" s="454"/>
      <c r="AD29" s="455"/>
      <c r="AE29" s="257"/>
      <c r="AF29" s="257"/>
    </row>
    <row r="30" spans="1:32" ht="28.95" customHeight="1" x14ac:dyDescent="0.3">
      <c r="A30" s="1"/>
      <c r="B30" s="1"/>
      <c r="C30" s="1"/>
      <c r="D30" s="1"/>
      <c r="M30" s="456"/>
      <c r="N30" s="457"/>
      <c r="O30" s="457"/>
      <c r="P30" s="457"/>
      <c r="Q30" s="457"/>
      <c r="R30" s="457"/>
      <c r="S30" s="458"/>
      <c r="T30" s="240"/>
      <c r="U30" s="240"/>
      <c r="V30" s="241"/>
      <c r="W30" s="240"/>
      <c r="X30" s="456"/>
      <c r="Y30" s="457"/>
      <c r="Z30" s="457"/>
      <c r="AA30" s="457"/>
      <c r="AB30" s="457"/>
      <c r="AC30" s="457"/>
      <c r="AD30" s="458"/>
      <c r="AE30" s="257"/>
      <c r="AF30" s="257"/>
    </row>
    <row r="31" spans="1:32" ht="28.95" customHeight="1" thickBot="1" x14ac:dyDescent="0.6">
      <c r="A31" s="1"/>
      <c r="B31" s="1"/>
      <c r="C31" s="1"/>
      <c r="D31" s="1"/>
      <c r="M31" s="459"/>
      <c r="N31" s="460"/>
      <c r="O31" s="460"/>
      <c r="P31" s="460"/>
      <c r="Q31" s="460"/>
      <c r="R31" s="460"/>
      <c r="S31" s="461"/>
      <c r="T31" s="240"/>
      <c r="U31" s="240"/>
      <c r="V31" s="241"/>
      <c r="W31" s="240"/>
      <c r="X31" s="459"/>
      <c r="Y31" s="460"/>
      <c r="Z31" s="460"/>
      <c r="AA31" s="460"/>
      <c r="AB31" s="460"/>
      <c r="AC31" s="460"/>
      <c r="AD31" s="461"/>
      <c r="AE31" s="55"/>
      <c r="AF31" s="55"/>
    </row>
    <row r="32" spans="1:32" ht="28.95" customHeight="1" x14ac:dyDescent="0.55000000000000004">
      <c r="A32" s="1"/>
      <c r="B32" s="1"/>
      <c r="C32" s="1"/>
      <c r="D32" s="1"/>
      <c r="M32" s="17" t="s">
        <v>13</v>
      </c>
      <c r="N32" s="56" t="s">
        <v>13</v>
      </c>
      <c r="O32" s="56" t="s">
        <v>13</v>
      </c>
      <c r="P32" s="56" t="s">
        <v>13</v>
      </c>
      <c r="Q32" s="56" t="s">
        <v>13</v>
      </c>
      <c r="R32" s="58" t="s">
        <v>13</v>
      </c>
      <c r="S32" s="244" t="s">
        <v>13</v>
      </c>
      <c r="T32" s="240"/>
      <c r="U32" s="240"/>
      <c r="V32" s="241"/>
      <c r="W32" s="240"/>
      <c r="X32" s="53" t="s">
        <v>13</v>
      </c>
      <c r="Y32" s="52" t="s">
        <v>13</v>
      </c>
      <c r="Z32" s="52" t="s">
        <v>13</v>
      </c>
      <c r="AA32" s="52" t="s">
        <v>13</v>
      </c>
      <c r="AB32" s="52" t="s">
        <v>13</v>
      </c>
      <c r="AC32" s="58" t="s">
        <v>13</v>
      </c>
      <c r="AD32" s="13" t="s">
        <v>13</v>
      </c>
      <c r="AE32" s="90"/>
      <c r="AF32" s="55"/>
    </row>
    <row r="33" spans="1:32" ht="28.95" customHeight="1" x14ac:dyDescent="0.55000000000000004">
      <c r="A33" s="1"/>
      <c r="B33" s="1"/>
      <c r="C33" s="1"/>
      <c r="D33" s="1"/>
      <c r="M33" s="17" t="s">
        <v>13</v>
      </c>
      <c r="N33" s="254" t="s">
        <v>17</v>
      </c>
      <c r="O33" s="57"/>
      <c r="P33" s="56" t="s">
        <v>13</v>
      </c>
      <c r="Q33" s="56" t="s">
        <v>13</v>
      </c>
      <c r="R33" s="239" t="s">
        <v>23</v>
      </c>
      <c r="S33" s="244" t="s">
        <v>13</v>
      </c>
      <c r="T33" s="240"/>
      <c r="U33" s="240"/>
      <c r="V33" s="241"/>
      <c r="W33" s="240"/>
      <c r="X33" s="53" t="s">
        <v>13</v>
      </c>
      <c r="Y33" s="255" t="s">
        <v>17</v>
      </c>
      <c r="Z33" s="91"/>
      <c r="AA33" s="52" t="s">
        <v>13</v>
      </c>
      <c r="AB33" s="52" t="s">
        <v>13</v>
      </c>
      <c r="AC33" s="239" t="s">
        <v>24</v>
      </c>
      <c r="AD33" s="13" t="s">
        <v>13</v>
      </c>
      <c r="AE33" s="55"/>
      <c r="AF33" s="55"/>
    </row>
    <row r="34" spans="1:32" ht="28.95" customHeight="1" x14ac:dyDescent="0.55000000000000004">
      <c r="A34" s="1"/>
      <c r="B34" s="1"/>
      <c r="C34" s="1"/>
      <c r="D34" s="1"/>
      <c r="M34" s="17" t="s">
        <v>13</v>
      </c>
      <c r="N34" s="56" t="s">
        <v>13</v>
      </c>
      <c r="O34" s="56" t="s">
        <v>13</v>
      </c>
      <c r="P34" s="56" t="s">
        <v>13</v>
      </c>
      <c r="Q34" s="56" t="s">
        <v>13</v>
      </c>
      <c r="R34" s="58" t="s">
        <v>13</v>
      </c>
      <c r="S34" s="13" t="s">
        <v>13</v>
      </c>
      <c r="T34" s="177"/>
      <c r="U34" s="177"/>
      <c r="V34" s="1"/>
      <c r="W34" s="177"/>
      <c r="X34" s="17" t="s">
        <v>13</v>
      </c>
      <c r="Y34" s="56" t="s">
        <v>13</v>
      </c>
      <c r="Z34" s="56" t="s">
        <v>13</v>
      </c>
      <c r="AA34" s="56" t="s">
        <v>13</v>
      </c>
      <c r="AB34" s="56" t="s">
        <v>13</v>
      </c>
      <c r="AC34" s="58" t="s">
        <v>13</v>
      </c>
      <c r="AD34" s="13" t="s">
        <v>13</v>
      </c>
      <c r="AE34" s="90"/>
      <c r="AF34" s="55"/>
    </row>
    <row r="35" spans="1:32" ht="28.95" customHeight="1" x14ac:dyDescent="0.55000000000000004">
      <c r="A35" s="1"/>
      <c r="B35" s="1"/>
      <c r="C35" s="1"/>
      <c r="D35" s="1"/>
      <c r="M35" s="17" t="s">
        <v>13</v>
      </c>
      <c r="N35" s="254" t="s">
        <v>20</v>
      </c>
      <c r="O35" s="57"/>
      <c r="P35" s="56" t="s">
        <v>13</v>
      </c>
      <c r="Q35" s="56" t="s">
        <v>13</v>
      </c>
      <c r="R35" s="239" t="s">
        <v>25</v>
      </c>
      <c r="S35" s="13" t="s">
        <v>13</v>
      </c>
      <c r="T35" s="177"/>
      <c r="U35" s="177"/>
      <c r="V35" s="1"/>
      <c r="W35" s="177"/>
      <c r="X35" s="17" t="s">
        <v>13</v>
      </c>
      <c r="Y35" s="254" t="s">
        <v>20</v>
      </c>
      <c r="Z35" s="57"/>
      <c r="AA35" s="56" t="s">
        <v>13</v>
      </c>
      <c r="AB35" s="56" t="s">
        <v>13</v>
      </c>
      <c r="AC35" s="239" t="s">
        <v>26</v>
      </c>
      <c r="AD35" s="13" t="s">
        <v>13</v>
      </c>
      <c r="AE35" s="55"/>
      <c r="AF35" s="55"/>
    </row>
    <row r="36" spans="1:32" ht="28.95" customHeight="1" x14ac:dyDescent="0.55000000000000004">
      <c r="A36" s="1"/>
      <c r="B36" s="1"/>
      <c r="C36" s="1"/>
      <c r="D36" s="1"/>
      <c r="M36" s="17" t="s">
        <v>13</v>
      </c>
      <c r="N36" s="56" t="s">
        <v>13</v>
      </c>
      <c r="O36" s="56" t="s">
        <v>13</v>
      </c>
      <c r="P36" s="56" t="s">
        <v>13</v>
      </c>
      <c r="Q36" s="56" t="s">
        <v>13</v>
      </c>
      <c r="R36" s="58" t="s">
        <v>13</v>
      </c>
      <c r="S36" s="13" t="s">
        <v>13</v>
      </c>
      <c r="T36" s="177"/>
      <c r="U36" s="177"/>
      <c r="V36" s="1"/>
      <c r="W36" s="177"/>
      <c r="X36" s="17" t="s">
        <v>13</v>
      </c>
      <c r="Y36" s="56" t="s">
        <v>13</v>
      </c>
      <c r="Z36" s="56" t="s">
        <v>13</v>
      </c>
      <c r="AA36" s="56" t="s">
        <v>13</v>
      </c>
      <c r="AB36" s="56" t="s">
        <v>13</v>
      </c>
      <c r="AC36" s="58" t="s">
        <v>13</v>
      </c>
      <c r="AD36" s="13" t="s">
        <v>13</v>
      </c>
      <c r="AE36" s="55"/>
      <c r="AF36" s="55"/>
    </row>
    <row r="37" spans="1:32" ht="28.95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77"/>
      <c r="U37" s="177"/>
      <c r="V37" s="1"/>
      <c r="W37" s="177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95" customHeight="1" x14ac:dyDescent="0.3">
      <c r="A38" s="1"/>
      <c r="B38" s="1"/>
      <c r="C38" s="1"/>
      <c r="D38" s="1"/>
      <c r="O38" s="89"/>
      <c r="P38" s="89"/>
      <c r="Q38" s="89"/>
      <c r="R38" s="89"/>
      <c r="S38" s="252"/>
      <c r="T38" s="256"/>
      <c r="U38" s="256"/>
      <c r="V38" s="256"/>
      <c r="W38" s="256"/>
      <c r="X38" s="256"/>
      <c r="Y38" s="256"/>
      <c r="Z38" s="256"/>
      <c r="AA38" s="256"/>
      <c r="AB38" s="89"/>
      <c r="AC38" s="89"/>
      <c r="AD38" s="89"/>
      <c r="AE38" s="89"/>
      <c r="AF38" s="89"/>
    </row>
    <row r="39" spans="1:32" ht="28.9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89"/>
      <c r="P39" s="89"/>
      <c r="Q39" s="89"/>
      <c r="R39" s="89"/>
      <c r="S39" s="252"/>
      <c r="T39" s="256"/>
      <c r="U39" s="256"/>
      <c r="V39" s="256"/>
      <c r="W39" s="256"/>
      <c r="X39" s="256"/>
      <c r="Y39" s="256"/>
      <c r="Z39" s="256"/>
      <c r="AA39" s="256"/>
      <c r="AB39" s="89"/>
      <c r="AC39" s="89"/>
      <c r="AD39" s="89"/>
      <c r="AE39" s="89"/>
      <c r="AF39" s="89"/>
    </row>
    <row r="40" spans="1:32" ht="28.9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89"/>
      <c r="P40" s="89"/>
      <c r="Q40" s="252"/>
      <c r="R40" s="252"/>
      <c r="S40" s="252"/>
      <c r="T40" s="166"/>
      <c r="U40" s="166"/>
      <c r="V40" s="166"/>
      <c r="W40" s="166"/>
      <c r="X40" s="166"/>
      <c r="Y40" s="166"/>
      <c r="Z40" s="166"/>
      <c r="AA40" s="166"/>
      <c r="AB40" s="89"/>
      <c r="AC40" s="89"/>
      <c r="AD40" s="89"/>
      <c r="AE40" s="89"/>
      <c r="AF40" s="89"/>
    </row>
    <row r="41" spans="1:32" ht="28.9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89"/>
      <c r="P41" s="89"/>
      <c r="Q41" s="252"/>
      <c r="R41" s="252"/>
      <c r="S41" s="252"/>
      <c r="T41" s="166"/>
      <c r="U41" s="166"/>
      <c r="V41" s="166"/>
      <c r="W41" s="166"/>
      <c r="X41" s="166"/>
      <c r="Y41" s="166"/>
      <c r="Z41" s="166"/>
      <c r="AA41" s="166"/>
      <c r="AB41" s="89"/>
      <c r="AC41" s="89"/>
      <c r="AD41" s="89"/>
      <c r="AE41" s="89"/>
      <c r="AF41" s="89"/>
    </row>
    <row r="42" spans="1:32" ht="28.9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89"/>
      <c r="P42" s="89"/>
      <c r="Q42" s="252"/>
      <c r="R42" s="252"/>
      <c r="S42" s="252"/>
      <c r="T42" s="252"/>
      <c r="U42" s="252"/>
      <c r="V42" s="252"/>
      <c r="W42" s="252"/>
      <c r="X42" s="252"/>
      <c r="Y42" s="252"/>
      <c r="Z42" s="89"/>
      <c r="AA42" s="89"/>
      <c r="AB42" s="89"/>
      <c r="AC42" s="89"/>
      <c r="AD42" s="89"/>
      <c r="AE42" s="89"/>
      <c r="AF42" s="89"/>
    </row>
    <row r="43" spans="1:32" ht="28.9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89"/>
      <c r="P43" s="89"/>
      <c r="Q43" s="252"/>
      <c r="R43" s="252"/>
      <c r="S43" s="252"/>
      <c r="T43" s="252"/>
      <c r="U43" s="252"/>
      <c r="V43" s="252"/>
      <c r="W43" s="252"/>
      <c r="X43" s="252"/>
      <c r="Y43" s="252"/>
      <c r="Z43" s="252"/>
      <c r="AA43" s="252"/>
      <c r="AB43" s="252"/>
      <c r="AC43" s="252"/>
      <c r="AD43" s="89"/>
      <c r="AE43" s="89"/>
      <c r="AF43" s="89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257"/>
      <c r="P44" s="257"/>
      <c r="Q44" s="257"/>
      <c r="R44" s="257"/>
      <c r="S44" s="257"/>
      <c r="T44" s="257"/>
      <c r="U44" s="257"/>
      <c r="V44" s="252"/>
      <c r="W44" s="252"/>
      <c r="X44" s="252"/>
      <c r="Y44" s="252"/>
      <c r="Z44" s="257"/>
      <c r="AA44" s="257"/>
      <c r="AB44" s="257"/>
      <c r="AC44" s="257"/>
      <c r="AD44" s="257"/>
      <c r="AE44" s="257"/>
      <c r="AF44" s="257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257"/>
      <c r="P45" s="257"/>
      <c r="Q45" s="257"/>
      <c r="R45" s="257"/>
      <c r="S45" s="257"/>
      <c r="T45" s="257"/>
      <c r="U45" s="257"/>
      <c r="V45" s="252"/>
      <c r="W45" s="252"/>
      <c r="X45" s="252"/>
      <c r="Y45" s="252"/>
      <c r="Z45" s="257"/>
      <c r="AA45" s="257"/>
      <c r="AB45" s="257"/>
      <c r="AC45" s="257"/>
      <c r="AD45" s="257"/>
      <c r="AE45" s="257"/>
      <c r="AF45" s="257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257"/>
      <c r="P46" s="257"/>
      <c r="Q46" s="257"/>
      <c r="R46" s="257"/>
      <c r="S46" s="257"/>
      <c r="T46" s="257"/>
      <c r="U46" s="257"/>
      <c r="V46" s="252"/>
      <c r="W46" s="252"/>
      <c r="X46" s="252"/>
      <c r="Y46" s="252"/>
      <c r="Z46" s="257"/>
      <c r="AA46" s="257"/>
      <c r="AB46" s="257"/>
      <c r="AC46" s="257"/>
      <c r="AD46" s="257"/>
      <c r="AE46" s="257"/>
      <c r="AF46" s="257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258"/>
      <c r="P47" s="258"/>
      <c r="Q47" s="258"/>
      <c r="R47" s="258"/>
      <c r="S47" s="258"/>
      <c r="T47" s="55"/>
      <c r="U47" s="259"/>
      <c r="V47" s="252"/>
      <c r="W47" s="252"/>
      <c r="X47" s="252"/>
      <c r="Y47" s="252"/>
      <c r="Z47" s="92"/>
      <c r="AA47" s="92"/>
      <c r="AB47" s="92"/>
      <c r="AC47" s="92"/>
      <c r="AD47" s="92"/>
      <c r="AE47" s="55"/>
      <c r="AF47" s="55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258"/>
      <c r="P48" s="260"/>
      <c r="Q48" s="261"/>
      <c r="R48" s="258"/>
      <c r="S48" s="258"/>
      <c r="T48" s="90"/>
      <c r="U48" s="259"/>
      <c r="V48" s="252"/>
      <c r="W48" s="252"/>
      <c r="X48" s="252"/>
      <c r="Y48" s="252"/>
      <c r="Z48" s="92"/>
      <c r="AA48" s="262"/>
      <c r="AB48" s="93"/>
      <c r="AC48" s="92"/>
      <c r="AD48" s="92"/>
      <c r="AE48" s="90"/>
      <c r="AF48" s="55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258"/>
      <c r="P49" s="258"/>
      <c r="Q49" s="258"/>
      <c r="R49" s="258"/>
      <c r="S49" s="258"/>
      <c r="T49" s="55"/>
      <c r="U49" s="55"/>
      <c r="V49" s="89"/>
      <c r="W49" s="89"/>
      <c r="X49" s="89"/>
      <c r="Y49" s="89"/>
      <c r="Z49" s="258"/>
      <c r="AA49" s="258"/>
      <c r="AB49" s="258"/>
      <c r="AC49" s="258"/>
      <c r="AD49" s="258"/>
      <c r="AE49" s="55"/>
      <c r="AF49" s="55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258"/>
      <c r="P50" s="260"/>
      <c r="Q50" s="261"/>
      <c r="R50" s="258"/>
      <c r="S50" s="258"/>
      <c r="T50" s="263"/>
      <c r="U50" s="259"/>
      <c r="V50" s="252"/>
      <c r="W50" s="252"/>
      <c r="X50" s="252"/>
      <c r="Y50" s="252"/>
      <c r="Z50" s="92"/>
      <c r="AA50" s="262"/>
      <c r="AB50" s="261"/>
      <c r="AC50" s="258"/>
      <c r="AD50" s="258"/>
      <c r="AE50" s="90"/>
      <c r="AF50" s="55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258"/>
      <c r="P51" s="258"/>
      <c r="Q51" s="258"/>
      <c r="R51" s="258"/>
      <c r="S51" s="258"/>
      <c r="T51" s="259"/>
      <c r="U51" s="259"/>
      <c r="V51" s="252"/>
      <c r="W51" s="252"/>
      <c r="X51" s="252"/>
      <c r="Y51" s="252"/>
      <c r="Z51" s="92"/>
      <c r="AA51" s="92"/>
      <c r="AB51" s="258"/>
      <c r="AC51" s="258"/>
      <c r="AD51" s="258"/>
      <c r="AE51" s="55"/>
      <c r="AF51" s="55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258"/>
      <c r="P52" s="258"/>
      <c r="Q52" s="258"/>
      <c r="R52" s="258"/>
      <c r="S52" s="258"/>
      <c r="T52" s="259"/>
      <c r="U52" s="259"/>
      <c r="V52" s="252"/>
      <c r="W52" s="252"/>
      <c r="X52" s="252"/>
      <c r="Y52" s="252"/>
      <c r="Z52" s="92"/>
      <c r="AA52" s="92"/>
      <c r="AB52" s="258"/>
      <c r="AC52" s="258"/>
      <c r="AD52" s="258"/>
      <c r="AE52" s="55"/>
      <c r="AF52" s="55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89"/>
      <c r="P53" s="89"/>
      <c r="Q53" s="89"/>
      <c r="R53" s="89"/>
      <c r="S53" s="89"/>
      <c r="T53" s="252"/>
      <c r="U53" s="252"/>
      <c r="V53" s="252"/>
      <c r="W53" s="252"/>
      <c r="X53" s="252"/>
      <c r="Y53" s="252"/>
      <c r="Z53" s="252"/>
      <c r="AA53" s="252"/>
      <c r="AB53" s="89"/>
      <c r="AC53" s="89"/>
      <c r="AD53" s="89"/>
      <c r="AE53" s="89"/>
      <c r="AF53" s="89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89"/>
      <c r="P54" s="89"/>
      <c r="Q54" s="89"/>
      <c r="R54" s="89"/>
      <c r="S54" s="89"/>
      <c r="T54" s="89"/>
      <c r="U54" s="89"/>
      <c r="V54" s="89"/>
      <c r="W54" s="252"/>
      <c r="X54" s="252"/>
      <c r="Y54" s="252"/>
      <c r="Z54" s="252"/>
      <c r="AA54" s="252"/>
      <c r="AB54" s="252"/>
      <c r="AC54" s="252"/>
      <c r="AD54" s="89"/>
      <c r="AE54" s="89"/>
      <c r="AF54" s="89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257"/>
      <c r="P55" s="257"/>
      <c r="Q55" s="257"/>
      <c r="R55" s="257"/>
      <c r="S55" s="257"/>
      <c r="T55" s="257"/>
      <c r="U55" s="257"/>
      <c r="V55" s="89"/>
      <c r="W55" s="252"/>
      <c r="X55" s="252"/>
      <c r="Y55" s="252"/>
      <c r="Z55" s="257"/>
      <c r="AA55" s="257"/>
      <c r="AB55" s="257"/>
      <c r="AC55" s="257"/>
      <c r="AD55" s="257"/>
      <c r="AE55" s="257"/>
      <c r="AF55" s="257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257"/>
      <c r="P56" s="257"/>
      <c r="Q56" s="257"/>
      <c r="R56" s="257"/>
      <c r="S56" s="257"/>
      <c r="T56" s="257"/>
      <c r="U56" s="257"/>
      <c r="V56" s="252"/>
      <c r="W56" s="252"/>
      <c r="X56" s="252"/>
      <c r="Y56" s="252"/>
      <c r="Z56" s="257"/>
      <c r="AA56" s="257"/>
      <c r="AB56" s="257"/>
      <c r="AC56" s="257"/>
      <c r="AD56" s="257"/>
      <c r="AE56" s="257"/>
      <c r="AF56" s="257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257"/>
      <c r="P57" s="257"/>
      <c r="Q57" s="257"/>
      <c r="R57" s="257"/>
      <c r="S57" s="257"/>
      <c r="T57" s="257"/>
      <c r="U57" s="257"/>
      <c r="V57" s="252"/>
      <c r="W57" s="252"/>
      <c r="X57" s="252"/>
      <c r="Y57" s="252"/>
      <c r="Z57" s="257"/>
      <c r="AA57" s="257"/>
      <c r="AB57" s="257"/>
      <c r="AC57" s="257"/>
      <c r="AD57" s="257"/>
      <c r="AE57" s="257"/>
      <c r="AF57" s="257"/>
    </row>
    <row r="58" spans="1:32" ht="28.8" x14ac:dyDescent="0.55000000000000004">
      <c r="O58" s="258"/>
      <c r="P58" s="258"/>
      <c r="Q58" s="258"/>
      <c r="R58" s="258"/>
      <c r="S58" s="258"/>
      <c r="T58" s="55"/>
      <c r="U58" s="259"/>
      <c r="V58" s="252"/>
      <c r="W58" s="252"/>
      <c r="X58" s="252"/>
      <c r="Y58" s="252"/>
      <c r="Z58" s="92"/>
      <c r="AA58" s="92"/>
      <c r="AB58" s="92"/>
      <c r="AC58" s="92"/>
      <c r="AD58" s="92"/>
      <c r="AE58" s="55"/>
      <c r="AF58" s="55"/>
    </row>
    <row r="59" spans="1:32" ht="28.8" x14ac:dyDescent="0.55000000000000004">
      <c r="O59" s="258"/>
      <c r="P59" s="260"/>
      <c r="Q59" s="261"/>
      <c r="R59" s="258"/>
      <c r="S59" s="258"/>
      <c r="T59" s="90"/>
      <c r="U59" s="259"/>
      <c r="V59" s="252"/>
      <c r="W59" s="252"/>
      <c r="X59" s="252"/>
      <c r="Y59" s="252"/>
      <c r="Z59" s="92"/>
      <c r="AA59" s="262"/>
      <c r="AB59" s="93"/>
      <c r="AC59" s="92"/>
      <c r="AD59" s="92"/>
      <c r="AE59" s="90"/>
      <c r="AF59" s="55"/>
    </row>
    <row r="60" spans="1:32" ht="28.8" x14ac:dyDescent="0.55000000000000004">
      <c r="O60" s="258"/>
      <c r="P60" s="258"/>
      <c r="Q60" s="258"/>
      <c r="R60" s="258"/>
      <c r="S60" s="258"/>
      <c r="T60" s="55"/>
      <c r="U60" s="55"/>
      <c r="V60" s="89"/>
      <c r="W60" s="89"/>
      <c r="X60" s="89"/>
      <c r="Y60" s="89"/>
      <c r="Z60" s="258"/>
      <c r="AA60" s="258"/>
      <c r="AB60" s="258"/>
      <c r="AC60" s="258"/>
      <c r="AD60" s="258"/>
      <c r="AE60" s="55"/>
      <c r="AF60" s="55"/>
    </row>
    <row r="61" spans="1:32" ht="28.8" x14ac:dyDescent="0.55000000000000004">
      <c r="O61" s="258"/>
      <c r="P61" s="260"/>
      <c r="Q61" s="261"/>
      <c r="R61" s="258"/>
      <c r="S61" s="258"/>
      <c r="T61" s="90"/>
      <c r="U61" s="55"/>
      <c r="V61" s="89"/>
      <c r="W61" s="89"/>
      <c r="X61" s="89"/>
      <c r="Y61" s="89"/>
      <c r="Z61" s="258"/>
      <c r="AA61" s="260"/>
      <c r="AB61" s="261"/>
      <c r="AC61" s="258"/>
      <c r="AD61" s="258"/>
      <c r="AE61" s="90"/>
      <c r="AF61" s="55"/>
    </row>
    <row r="62" spans="1:32" ht="28.8" x14ac:dyDescent="0.55000000000000004">
      <c r="O62" s="258"/>
      <c r="P62" s="258"/>
      <c r="Q62" s="258"/>
      <c r="R62" s="258"/>
      <c r="S62" s="258"/>
      <c r="T62" s="55"/>
      <c r="U62" s="55"/>
      <c r="V62" s="89"/>
      <c r="W62" s="89"/>
      <c r="X62" s="89"/>
      <c r="Y62" s="89"/>
      <c r="Z62" s="258"/>
      <c r="AA62" s="258"/>
      <c r="AB62" s="258"/>
      <c r="AC62" s="258"/>
      <c r="AD62" s="258"/>
      <c r="AE62" s="55"/>
      <c r="AF62" s="55"/>
    </row>
    <row r="63" spans="1:32" ht="28.8" x14ac:dyDescent="0.55000000000000004">
      <c r="O63" s="258"/>
      <c r="P63" s="258"/>
      <c r="Q63" s="258"/>
      <c r="R63" s="258"/>
      <c r="S63" s="258"/>
      <c r="T63" s="55"/>
      <c r="U63" s="55"/>
      <c r="V63" s="89"/>
      <c r="W63" s="89"/>
      <c r="X63" s="89"/>
      <c r="Y63" s="89"/>
      <c r="Z63" s="258"/>
      <c r="AA63" s="258"/>
      <c r="AB63" s="258"/>
      <c r="AC63" s="258"/>
      <c r="AD63" s="258"/>
      <c r="AE63" s="55"/>
      <c r="AF63" s="55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FF0000"/>
  </sheetPr>
  <dimension ref="A1:BB57"/>
  <sheetViews>
    <sheetView showGridLines="0" zoomScale="40" zoomScaleNormal="40" workbookViewId="0">
      <selection activeCell="W20" sqref="W20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77" customForma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</row>
    <row r="2" spans="1:54" s="177" customFormat="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</row>
    <row r="3" spans="1:54" ht="61.5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5" customHeight="1" x14ac:dyDescent="0.3"/>
    <row r="9" spans="1:54" ht="28.95" customHeight="1" x14ac:dyDescent="0.3">
      <c r="E9" s="54"/>
      <c r="F9" s="54"/>
      <c r="G9" s="54"/>
      <c r="H9" s="54"/>
      <c r="I9" s="54"/>
      <c r="J9" s="54"/>
      <c r="K9" s="54"/>
    </row>
    <row r="10" spans="1:54" ht="28.95" customHeight="1" x14ac:dyDescent="0.3">
      <c r="E10" s="54"/>
      <c r="F10" s="54"/>
      <c r="G10" s="54"/>
      <c r="H10" s="54"/>
      <c r="I10" s="54"/>
      <c r="J10" s="54"/>
      <c r="K10" s="54"/>
    </row>
    <row r="11" spans="1:54" ht="28.95" customHeight="1" x14ac:dyDescent="0.3">
      <c r="E11" s="54"/>
      <c r="F11" s="54"/>
      <c r="G11" s="54"/>
      <c r="H11" s="54"/>
      <c r="I11" s="54"/>
      <c r="J11" s="54"/>
      <c r="K11" s="54"/>
    </row>
    <row r="12" spans="1:54" ht="28.95" customHeight="1" x14ac:dyDescent="0.55000000000000004">
      <c r="E12" s="258"/>
      <c r="F12" s="258"/>
      <c r="G12" s="258"/>
      <c r="H12" s="258"/>
      <c r="I12" s="258"/>
      <c r="J12" s="55"/>
      <c r="K12" s="55"/>
      <c r="R12" s="177"/>
      <c r="S12" s="177"/>
      <c r="T12" s="177"/>
      <c r="U12" s="177"/>
      <c r="V12" s="177"/>
      <c r="W12" s="177"/>
      <c r="X12" s="177"/>
    </row>
    <row r="13" spans="1:54" ht="28.95" customHeight="1" x14ac:dyDescent="0.55000000000000004">
      <c r="E13" s="258"/>
      <c r="F13" s="264"/>
      <c r="G13" s="261"/>
      <c r="H13" s="258"/>
      <c r="I13" s="258"/>
      <c r="J13" s="59"/>
      <c r="K13" s="55"/>
      <c r="R13" s="177"/>
      <c r="S13" s="177"/>
      <c r="T13" s="177"/>
      <c r="U13" s="177"/>
      <c r="V13" s="177"/>
      <c r="W13" s="177"/>
      <c r="X13" s="177"/>
    </row>
    <row r="14" spans="1:54" ht="28.95" customHeight="1" x14ac:dyDescent="0.55000000000000004">
      <c r="E14" s="258"/>
      <c r="F14" s="258"/>
      <c r="G14" s="258"/>
      <c r="H14" s="258"/>
      <c r="I14" s="258"/>
      <c r="J14" s="55"/>
      <c r="K14" s="55"/>
      <c r="R14" s="177"/>
      <c r="S14" s="177"/>
      <c r="T14" s="177"/>
      <c r="U14" s="177"/>
      <c r="V14" s="177"/>
      <c r="W14" s="177"/>
      <c r="X14" s="177"/>
    </row>
    <row r="15" spans="1:54" ht="28.95" customHeight="1" thickBot="1" x14ac:dyDescent="0.6">
      <c r="E15" s="258"/>
      <c r="F15" s="264"/>
      <c r="G15" s="261"/>
      <c r="H15" s="258"/>
      <c r="I15" s="258"/>
      <c r="J15" s="59"/>
      <c r="K15" s="55"/>
      <c r="R15" s="177"/>
      <c r="S15" s="177"/>
      <c r="T15" s="177"/>
      <c r="U15" s="177"/>
      <c r="V15" s="177"/>
      <c r="W15" s="177"/>
      <c r="X15" s="177"/>
    </row>
    <row r="16" spans="1:54" ht="28.95" customHeight="1" x14ac:dyDescent="0.55000000000000004">
      <c r="E16" s="258"/>
      <c r="F16" s="258"/>
      <c r="G16" s="258"/>
      <c r="H16" s="258"/>
      <c r="I16" s="258"/>
      <c r="J16" s="55"/>
      <c r="K16" s="55"/>
      <c r="R16" s="453" t="s">
        <v>27</v>
      </c>
      <c r="S16" s="454"/>
      <c r="T16" s="454"/>
      <c r="U16" s="454"/>
      <c r="V16" s="454"/>
      <c r="W16" s="454"/>
      <c r="X16" s="455"/>
    </row>
    <row r="17" spans="5:24" ht="28.95" customHeight="1" x14ac:dyDescent="0.55000000000000004">
      <c r="E17" s="258"/>
      <c r="F17" s="258"/>
      <c r="G17" s="258"/>
      <c r="H17" s="258"/>
      <c r="I17" s="258"/>
      <c r="J17" s="55"/>
      <c r="K17" s="55"/>
      <c r="R17" s="456"/>
      <c r="S17" s="457"/>
      <c r="T17" s="457"/>
      <c r="U17" s="457"/>
      <c r="V17" s="457"/>
      <c r="W17" s="457"/>
      <c r="X17" s="458"/>
    </row>
    <row r="18" spans="5:24" ht="28.95" customHeight="1" thickBot="1" x14ac:dyDescent="0.6">
      <c r="E18" s="55"/>
      <c r="F18" s="55"/>
      <c r="G18" s="55"/>
      <c r="H18" s="55"/>
      <c r="I18" s="55"/>
      <c r="J18" s="55"/>
      <c r="K18" s="55"/>
      <c r="R18" s="459"/>
      <c r="S18" s="460"/>
      <c r="T18" s="460"/>
      <c r="U18" s="460"/>
      <c r="V18" s="460"/>
      <c r="W18" s="460"/>
      <c r="X18" s="461"/>
    </row>
    <row r="19" spans="5:24" ht="28.95" customHeight="1" x14ac:dyDescent="0.55000000000000004">
      <c r="E19" s="55"/>
      <c r="F19" s="55"/>
      <c r="G19" s="55"/>
      <c r="H19" s="55"/>
      <c r="I19" s="55"/>
      <c r="J19" s="55"/>
      <c r="K19" s="55"/>
      <c r="R19" s="17" t="s">
        <v>13</v>
      </c>
      <c r="S19" s="56" t="s">
        <v>13</v>
      </c>
      <c r="T19" s="56" t="s">
        <v>13</v>
      </c>
      <c r="U19" s="56" t="s">
        <v>13</v>
      </c>
      <c r="V19" s="56" t="s">
        <v>13</v>
      </c>
      <c r="W19" s="58" t="s">
        <v>13</v>
      </c>
      <c r="X19" s="244" t="s">
        <v>13</v>
      </c>
    </row>
    <row r="20" spans="5:24" ht="28.95" customHeight="1" x14ac:dyDescent="0.55000000000000004">
      <c r="E20" s="55"/>
      <c r="F20" s="55"/>
      <c r="G20" s="55"/>
      <c r="H20" s="55"/>
      <c r="I20" s="55"/>
      <c r="J20" s="55"/>
      <c r="K20" s="55"/>
      <c r="R20" s="17" t="s">
        <v>13</v>
      </c>
      <c r="S20" s="254" t="s">
        <v>28</v>
      </c>
      <c r="T20" s="57"/>
      <c r="U20" s="56" t="s">
        <v>13</v>
      </c>
      <c r="V20" s="56" t="s">
        <v>13</v>
      </c>
      <c r="W20" s="239" t="s">
        <v>18</v>
      </c>
      <c r="X20" s="244" t="s">
        <v>13</v>
      </c>
    </row>
    <row r="21" spans="5:24" ht="28.95" customHeight="1" x14ac:dyDescent="0.55000000000000004">
      <c r="E21" s="55"/>
      <c r="F21" s="55"/>
      <c r="G21" s="55"/>
      <c r="H21" s="55"/>
      <c r="I21" s="55"/>
      <c r="J21" s="55"/>
      <c r="K21" s="55"/>
      <c r="R21" s="17" t="s">
        <v>13</v>
      </c>
      <c r="S21" s="56" t="s">
        <v>13</v>
      </c>
      <c r="T21" s="56" t="s">
        <v>13</v>
      </c>
      <c r="U21" s="56" t="s">
        <v>13</v>
      </c>
      <c r="V21" s="56" t="s">
        <v>13</v>
      </c>
      <c r="W21" s="58" t="s">
        <v>13</v>
      </c>
      <c r="X21" s="13" t="s">
        <v>13</v>
      </c>
    </row>
    <row r="22" spans="5:24" ht="28.95" customHeight="1" x14ac:dyDescent="0.55000000000000004">
      <c r="R22" s="17" t="s">
        <v>13</v>
      </c>
      <c r="S22" s="254" t="s">
        <v>29</v>
      </c>
      <c r="T22" s="57"/>
      <c r="U22" s="56" t="s">
        <v>13</v>
      </c>
      <c r="V22" s="56" t="s">
        <v>13</v>
      </c>
      <c r="W22" s="239" t="s">
        <v>21</v>
      </c>
      <c r="X22" s="244" t="s">
        <v>13</v>
      </c>
    </row>
    <row r="23" spans="5:24" ht="28.95" customHeight="1" x14ac:dyDescent="0.55000000000000004">
      <c r="R23" s="17" t="s">
        <v>13</v>
      </c>
      <c r="S23" s="56" t="s">
        <v>13</v>
      </c>
      <c r="T23" s="56" t="s">
        <v>13</v>
      </c>
      <c r="U23" s="56" t="s">
        <v>13</v>
      </c>
      <c r="V23" s="56" t="s">
        <v>13</v>
      </c>
      <c r="W23" s="253" t="s">
        <v>13</v>
      </c>
      <c r="X23" s="244" t="s">
        <v>13</v>
      </c>
    </row>
    <row r="24" spans="5:24" ht="28.95" customHeight="1" x14ac:dyDescent="0.55000000000000004">
      <c r="R24" s="17" t="s">
        <v>13</v>
      </c>
      <c r="S24" s="56" t="s">
        <v>13</v>
      </c>
      <c r="T24" s="56" t="s">
        <v>13</v>
      </c>
      <c r="U24" s="56" t="s">
        <v>13</v>
      </c>
      <c r="V24" s="56" t="s">
        <v>13</v>
      </c>
      <c r="W24" s="253" t="s">
        <v>13</v>
      </c>
      <c r="X24" s="244" t="s">
        <v>13</v>
      </c>
    </row>
    <row r="25" spans="5:24" ht="28.95" customHeight="1" x14ac:dyDescent="0.55000000000000004">
      <c r="R25" s="17" t="s">
        <v>13</v>
      </c>
      <c r="S25" s="56" t="s">
        <v>13</v>
      </c>
      <c r="T25" s="56" t="s">
        <v>13</v>
      </c>
      <c r="U25" s="56" t="s">
        <v>13</v>
      </c>
      <c r="V25" s="56" t="s">
        <v>13</v>
      </c>
      <c r="W25" s="253" t="s">
        <v>13</v>
      </c>
      <c r="X25" s="244" t="s">
        <v>13</v>
      </c>
    </row>
    <row r="26" spans="5:24" ht="28.95" customHeight="1" x14ac:dyDescent="0.55000000000000004">
      <c r="R26" s="17" t="s">
        <v>13</v>
      </c>
      <c r="S26" s="56" t="s">
        <v>13</v>
      </c>
      <c r="T26" s="56" t="s">
        <v>13</v>
      </c>
      <c r="U26" s="56" t="s">
        <v>13</v>
      </c>
      <c r="V26" s="56" t="s">
        <v>13</v>
      </c>
      <c r="W26" s="253" t="s">
        <v>13</v>
      </c>
      <c r="X26" s="244" t="s">
        <v>13</v>
      </c>
    </row>
    <row r="27" spans="5:24" ht="28.95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248" t="s">
        <v>13</v>
      </c>
      <c r="X27" s="249" t="s">
        <v>13</v>
      </c>
    </row>
    <row r="28" spans="5:24" ht="28.95" customHeight="1" x14ac:dyDescent="0.3"/>
    <row r="29" spans="5:24" ht="28.95" customHeight="1" x14ac:dyDescent="0.3"/>
    <row r="30" spans="5:24" ht="28.95" customHeight="1" x14ac:dyDescent="0.3">
      <c r="E30" s="54"/>
      <c r="F30" s="54"/>
      <c r="G30" s="54"/>
      <c r="H30" s="54"/>
      <c r="I30" s="54"/>
      <c r="J30" s="54"/>
      <c r="K30" s="54"/>
    </row>
    <row r="31" spans="5:24" ht="28.95" customHeight="1" x14ac:dyDescent="0.3">
      <c r="E31" s="54"/>
      <c r="F31" s="54"/>
      <c r="G31" s="54"/>
      <c r="H31" s="54"/>
      <c r="I31" s="54"/>
      <c r="J31" s="54"/>
      <c r="K31" s="54"/>
    </row>
    <row r="32" spans="5:24" ht="28.95" customHeight="1" x14ac:dyDescent="0.3">
      <c r="E32" s="54"/>
      <c r="F32" s="54"/>
      <c r="G32" s="54"/>
      <c r="H32" s="54"/>
      <c r="I32" s="54"/>
      <c r="J32" s="54"/>
      <c r="K32" s="54"/>
    </row>
    <row r="33" spans="5:11" ht="28.95" customHeight="1" x14ac:dyDescent="0.55000000000000004">
      <c r="E33" s="258"/>
      <c r="F33" s="258"/>
      <c r="G33" s="258"/>
      <c r="H33" s="258"/>
      <c r="I33" s="258"/>
      <c r="J33" s="55"/>
      <c r="K33" s="55"/>
    </row>
    <row r="34" spans="5:11" ht="28.95" customHeight="1" x14ac:dyDescent="0.55000000000000004">
      <c r="E34" s="258"/>
      <c r="F34" s="264"/>
      <c r="G34" s="261"/>
      <c r="H34" s="258"/>
      <c r="I34" s="258"/>
      <c r="J34" s="59"/>
      <c r="K34" s="55"/>
    </row>
    <row r="35" spans="5:11" ht="28.95" customHeight="1" x14ac:dyDescent="0.55000000000000004">
      <c r="E35" s="258"/>
      <c r="F35" s="258"/>
      <c r="G35" s="258"/>
      <c r="H35" s="258"/>
      <c r="I35" s="258"/>
      <c r="J35" s="55"/>
      <c r="K35" s="55"/>
    </row>
    <row r="36" spans="5:11" ht="28.95" customHeight="1" x14ac:dyDescent="0.55000000000000004">
      <c r="E36" s="258"/>
      <c r="F36" s="264"/>
      <c r="G36" s="261"/>
      <c r="H36" s="258"/>
      <c r="I36" s="258"/>
      <c r="J36" s="59"/>
      <c r="K36" s="55"/>
    </row>
    <row r="37" spans="5:11" ht="28.95" customHeight="1" x14ac:dyDescent="0.55000000000000004">
      <c r="E37" s="258"/>
      <c r="F37" s="258"/>
      <c r="G37" s="258"/>
      <c r="H37" s="258"/>
      <c r="I37" s="258"/>
      <c r="J37" s="55"/>
      <c r="K37" s="55"/>
    </row>
    <row r="38" spans="5:11" ht="28.95" customHeight="1" x14ac:dyDescent="0.55000000000000004">
      <c r="E38" s="258"/>
      <c r="F38" s="264"/>
      <c r="G38" s="258"/>
      <c r="H38" s="258"/>
      <c r="I38" s="258"/>
      <c r="J38" s="55"/>
      <c r="K38" s="55"/>
    </row>
    <row r="39" spans="5:11" ht="28.95" customHeight="1" x14ac:dyDescent="0.55000000000000004">
      <c r="E39" s="258"/>
      <c r="F39" s="258"/>
      <c r="G39" s="258"/>
      <c r="H39" s="258"/>
      <c r="I39" s="258"/>
      <c r="J39" s="55"/>
      <c r="K39" s="55"/>
    </row>
    <row r="40" spans="5:11" ht="28.95" customHeight="1" x14ac:dyDescent="0.55000000000000004">
      <c r="E40" s="258"/>
      <c r="F40" s="264"/>
      <c r="G40" s="261"/>
      <c r="H40" s="258"/>
      <c r="I40" s="258"/>
      <c r="J40" s="59"/>
      <c r="K40" s="55"/>
    </row>
    <row r="41" spans="5:11" ht="28.95" customHeight="1" x14ac:dyDescent="0.3"/>
    <row r="42" spans="5:11" ht="28.95" customHeight="1" x14ac:dyDescent="0.3"/>
    <row r="43" spans="5:11" ht="28.95" customHeight="1" x14ac:dyDescent="0.3"/>
    <row r="44" spans="5:11" ht="28.95" customHeight="1" x14ac:dyDescent="0.3"/>
    <row r="45" spans="5:11" ht="28.95" customHeight="1" x14ac:dyDescent="0.3"/>
    <row r="46" spans="5:11" ht="28.95" customHeight="1" x14ac:dyDescent="0.3"/>
    <row r="47" spans="5:11" ht="28.95" customHeight="1" x14ac:dyDescent="0.3"/>
    <row r="48" spans="5:11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3">
    <tabColor rgb="FFFF0000"/>
  </sheetPr>
  <dimension ref="A1:BB69"/>
  <sheetViews>
    <sheetView zoomScale="40" zoomScaleNormal="40" workbookViewId="0">
      <selection activeCell="T15" sqref="T15"/>
    </sheetView>
  </sheetViews>
  <sheetFormatPr defaultColWidth="8.88671875" defaultRowHeight="14.4" x14ac:dyDescent="0.3"/>
  <cols>
    <col min="1" max="5" width="8.88671875" style="95"/>
    <col min="6" max="6" width="23.5546875" style="95" bestFit="1" customWidth="1"/>
    <col min="7" max="9" width="8.88671875" style="95"/>
    <col min="10" max="10" width="34.6640625" style="95" customWidth="1"/>
    <col min="11" max="11" width="8.88671875" style="95" customWidth="1"/>
    <col min="12" max="19" width="8.88671875" style="95"/>
    <col min="20" max="20" width="47.6640625" style="95" bestFit="1" customWidth="1"/>
    <col min="21" max="21" width="8.88671875" style="95"/>
    <col min="22" max="22" width="11.44140625" style="95" customWidth="1"/>
    <col min="23" max="23" width="8.88671875" style="95"/>
    <col min="24" max="24" width="47.44140625" style="95" customWidth="1"/>
    <col min="25" max="16384" width="8.88671875" style="95"/>
  </cols>
  <sheetData>
    <row r="1" spans="1:54" s="177" customForma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</row>
    <row r="2" spans="1:54" s="177" customFormat="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95" customHeight="1" x14ac:dyDescent="0.3"/>
    <row r="9" spans="1:54" ht="28.95" customHeight="1" x14ac:dyDescent="0.3">
      <c r="E9" s="474"/>
      <c r="F9" s="474"/>
      <c r="G9" s="474"/>
      <c r="H9" s="474"/>
      <c r="I9" s="474"/>
      <c r="J9" s="474"/>
      <c r="K9" s="474"/>
    </row>
    <row r="10" spans="1:54" ht="28.95" customHeight="1" thickBot="1" x14ac:dyDescent="0.35">
      <c r="E10" s="474"/>
      <c r="F10" s="474"/>
      <c r="G10" s="474"/>
      <c r="H10" s="474"/>
      <c r="I10" s="474"/>
      <c r="J10" s="474"/>
      <c r="K10" s="474"/>
    </row>
    <row r="11" spans="1:54" ht="28.95" customHeight="1" x14ac:dyDescent="0.3">
      <c r="E11" s="474"/>
      <c r="F11" s="474"/>
      <c r="G11" s="474"/>
      <c r="H11" s="474"/>
      <c r="I11" s="474"/>
      <c r="J11" s="474"/>
      <c r="K11" s="474"/>
      <c r="S11" s="453" t="s">
        <v>27</v>
      </c>
      <c r="T11" s="454"/>
      <c r="U11" s="454"/>
      <c r="V11" s="454"/>
      <c r="W11" s="454"/>
      <c r="X11" s="454"/>
      <c r="Y11" s="455"/>
    </row>
    <row r="12" spans="1:54" ht="28.95" customHeight="1" x14ac:dyDescent="0.55000000000000004">
      <c r="E12" s="258"/>
      <c r="F12" s="258"/>
      <c r="G12" s="258"/>
      <c r="H12" s="258"/>
      <c r="I12" s="258"/>
      <c r="J12" s="55"/>
      <c r="K12" s="55"/>
      <c r="S12" s="456"/>
      <c r="T12" s="457"/>
      <c r="U12" s="457"/>
      <c r="V12" s="457"/>
      <c r="W12" s="457"/>
      <c r="X12" s="457"/>
      <c r="Y12" s="458"/>
    </row>
    <row r="13" spans="1:54" ht="28.95" customHeight="1" x14ac:dyDescent="0.55000000000000004">
      <c r="E13" s="258"/>
      <c r="F13" s="264"/>
      <c r="G13" s="261"/>
      <c r="H13" s="258"/>
      <c r="I13" s="258"/>
      <c r="J13" s="59"/>
      <c r="K13" s="55"/>
      <c r="S13" s="456"/>
      <c r="T13" s="457"/>
      <c r="U13" s="457"/>
      <c r="V13" s="457"/>
      <c r="W13" s="457"/>
      <c r="X13" s="457"/>
      <c r="Y13" s="458"/>
    </row>
    <row r="14" spans="1:54" ht="28.95" customHeight="1" x14ac:dyDescent="0.55000000000000004">
      <c r="E14" s="258"/>
      <c r="F14" s="258"/>
      <c r="G14" s="258"/>
      <c r="H14" s="258"/>
      <c r="I14" s="258"/>
      <c r="J14" s="55"/>
      <c r="K14" s="55"/>
      <c r="S14" s="17" t="s">
        <v>13</v>
      </c>
      <c r="T14" s="56" t="s">
        <v>13</v>
      </c>
      <c r="U14" s="56" t="s">
        <v>13</v>
      </c>
      <c r="V14" s="56" t="s">
        <v>13</v>
      </c>
      <c r="W14" s="56" t="s">
        <v>13</v>
      </c>
      <c r="X14" s="58" t="s">
        <v>13</v>
      </c>
      <c r="Y14" s="244" t="s">
        <v>13</v>
      </c>
    </row>
    <row r="15" spans="1:54" ht="28.95" customHeight="1" x14ac:dyDescent="0.55000000000000004">
      <c r="E15" s="258"/>
      <c r="F15" s="264"/>
      <c r="G15" s="261"/>
      <c r="H15" s="258"/>
      <c r="I15" s="258"/>
      <c r="J15" s="59"/>
      <c r="K15" s="55"/>
      <c r="S15" s="17" t="s">
        <v>13</v>
      </c>
      <c r="T15" s="254" t="s">
        <v>28</v>
      </c>
      <c r="U15" s="57"/>
      <c r="V15" s="56" t="s">
        <v>13</v>
      </c>
      <c r="W15" s="56" t="s">
        <v>13</v>
      </c>
      <c r="X15" s="266" t="s">
        <v>18</v>
      </c>
      <c r="Y15" s="244" t="s">
        <v>13</v>
      </c>
    </row>
    <row r="16" spans="1:54" ht="28.95" customHeight="1" x14ac:dyDescent="0.55000000000000004">
      <c r="E16" s="258"/>
      <c r="F16" s="258"/>
      <c r="G16" s="258"/>
      <c r="H16" s="258"/>
      <c r="I16" s="258"/>
      <c r="J16" s="55"/>
      <c r="K16" s="55"/>
      <c r="S16" s="17" t="s">
        <v>13</v>
      </c>
      <c r="T16" s="56" t="s">
        <v>13</v>
      </c>
      <c r="U16" s="56" t="s">
        <v>13</v>
      </c>
      <c r="V16" s="56" t="s">
        <v>13</v>
      </c>
      <c r="W16" s="56" t="s">
        <v>13</v>
      </c>
      <c r="X16" s="58" t="s">
        <v>13</v>
      </c>
      <c r="Y16" s="13" t="s">
        <v>13</v>
      </c>
    </row>
    <row r="17" spans="5:25" ht="28.95" customHeight="1" x14ac:dyDescent="0.55000000000000004">
      <c r="E17" s="258"/>
      <c r="F17" s="264"/>
      <c r="G17" s="258"/>
      <c r="H17" s="258"/>
      <c r="I17" s="258"/>
      <c r="J17" s="55"/>
      <c r="K17" s="55"/>
      <c r="S17" s="17" t="s">
        <v>13</v>
      </c>
      <c r="T17" s="254" t="s">
        <v>29</v>
      </c>
      <c r="U17" s="57"/>
      <c r="V17" s="56" t="s">
        <v>13</v>
      </c>
      <c r="W17" s="56" t="s">
        <v>13</v>
      </c>
      <c r="X17" s="266" t="s">
        <v>21</v>
      </c>
      <c r="Y17" s="244" t="s">
        <v>13</v>
      </c>
    </row>
    <row r="18" spans="5:25" ht="28.95" customHeight="1" x14ac:dyDescent="0.55000000000000004">
      <c r="E18" s="258"/>
      <c r="F18" s="258"/>
      <c r="G18" s="258"/>
      <c r="H18" s="258"/>
      <c r="I18" s="258"/>
      <c r="J18" s="55"/>
      <c r="K18" s="55"/>
      <c r="S18" s="17" t="s">
        <v>13</v>
      </c>
      <c r="T18" s="56" t="s">
        <v>13</v>
      </c>
      <c r="U18" s="56" t="s">
        <v>13</v>
      </c>
      <c r="V18" s="56" t="s">
        <v>13</v>
      </c>
      <c r="W18" s="56" t="s">
        <v>13</v>
      </c>
      <c r="X18" s="253" t="s">
        <v>13</v>
      </c>
      <c r="Y18" s="244" t="s">
        <v>13</v>
      </c>
    </row>
    <row r="19" spans="5:25" ht="28.95" customHeight="1" x14ac:dyDescent="0.55000000000000004">
      <c r="E19" s="258"/>
      <c r="F19" s="264"/>
      <c r="G19" s="261"/>
      <c r="H19" s="258"/>
      <c r="I19" s="258"/>
      <c r="J19" s="59"/>
      <c r="K19" s="55"/>
      <c r="S19" s="17" t="s">
        <v>13</v>
      </c>
      <c r="T19" s="265" t="s">
        <v>30</v>
      </c>
      <c r="U19" s="56" t="s">
        <v>13</v>
      </c>
      <c r="V19" s="56" t="s">
        <v>13</v>
      </c>
      <c r="W19" s="56" t="s">
        <v>13</v>
      </c>
      <c r="X19" s="266" t="s">
        <v>21</v>
      </c>
      <c r="Y19" s="244" t="s">
        <v>13</v>
      </c>
    </row>
    <row r="20" spans="5:25" ht="28.95" customHeight="1" x14ac:dyDescent="0.55000000000000004">
      <c r="E20" s="55"/>
      <c r="F20" s="55"/>
      <c r="G20" s="55"/>
      <c r="H20" s="55"/>
      <c r="I20" s="55"/>
      <c r="J20" s="55"/>
      <c r="K20" s="55"/>
      <c r="S20" s="17" t="s">
        <v>13</v>
      </c>
      <c r="T20" s="56" t="s">
        <v>13</v>
      </c>
      <c r="U20" s="56" t="s">
        <v>13</v>
      </c>
      <c r="V20" s="56" t="s">
        <v>13</v>
      </c>
      <c r="W20" s="56" t="s">
        <v>13</v>
      </c>
      <c r="X20" s="253" t="s">
        <v>13</v>
      </c>
      <c r="Y20" s="244" t="s">
        <v>13</v>
      </c>
    </row>
    <row r="21" spans="5:25" ht="28.95" customHeight="1" thickBot="1" x14ac:dyDescent="0.6">
      <c r="E21" s="55"/>
      <c r="F21" s="55"/>
      <c r="G21" s="55"/>
      <c r="H21" s="55"/>
      <c r="I21" s="55"/>
      <c r="J21" s="55"/>
      <c r="K21" s="55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248" t="s">
        <v>13</v>
      </c>
      <c r="Y21" s="249" t="s">
        <v>13</v>
      </c>
    </row>
    <row r="22" spans="5:25" ht="28.95" customHeight="1" x14ac:dyDescent="0.55000000000000004">
      <c r="S22" s="258" t="s">
        <v>13</v>
      </c>
      <c r="T22" s="258" t="s">
        <v>13</v>
      </c>
      <c r="U22" s="258" t="s">
        <v>13</v>
      </c>
      <c r="V22" s="258" t="s">
        <v>13</v>
      </c>
      <c r="W22" s="258" t="s">
        <v>13</v>
      </c>
      <c r="X22" s="259" t="s">
        <v>13</v>
      </c>
      <c r="Y22" s="259" t="s">
        <v>13</v>
      </c>
    </row>
    <row r="23" spans="5:25" ht="28.95" customHeight="1" x14ac:dyDescent="0.3"/>
    <row r="24" spans="5:25" ht="28.95" customHeight="1" x14ac:dyDescent="0.3"/>
    <row r="25" spans="5:25" ht="28.95" customHeight="1" x14ac:dyDescent="0.3"/>
    <row r="26" spans="5:25" ht="28.95" customHeight="1" x14ac:dyDescent="0.3"/>
    <row r="27" spans="5:25" ht="28.95" customHeight="1" x14ac:dyDescent="0.3"/>
    <row r="28" spans="5:25" ht="28.95" customHeight="1" x14ac:dyDescent="0.3"/>
    <row r="29" spans="5:25" ht="28.95" customHeight="1" x14ac:dyDescent="0.3"/>
    <row r="30" spans="5:25" ht="28.95" customHeight="1" x14ac:dyDescent="0.3"/>
    <row r="31" spans="5:25" ht="28.95" customHeight="1" x14ac:dyDescent="0.3"/>
    <row r="32" spans="5:2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  <row r="67" ht="28.95" customHeight="1" x14ac:dyDescent="0.3"/>
    <row r="68" ht="28.95" customHeight="1" x14ac:dyDescent="0.3"/>
    <row r="69" ht="28.95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1.33203125" bestFit="1" customWidth="1"/>
    <col min="10" max="10" width="29.88671875" bestFit="1" customWidth="1"/>
    <col min="11" max="11" width="49.88671875" bestFit="1" customWidth="1"/>
    <col min="12" max="12" width="30.44140625" bestFit="1" customWidth="1"/>
    <col min="13" max="13" width="25.109375" bestFit="1" customWidth="1"/>
    <col min="14" max="14" width="51.33203125" bestFit="1" customWidth="1"/>
    <col min="15" max="16" width="41.6640625" bestFit="1" customWidth="1"/>
  </cols>
  <sheetData>
    <row r="1" spans="1:51" s="177" customForma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s="177" customFormat="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s="177" customFormat="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>
      <c r="I12" s="268" t="s">
        <v>399</v>
      </c>
      <c r="J12" s="268" t="s">
        <v>32</v>
      </c>
      <c r="K12" s="268" t="s">
        <v>33</v>
      </c>
      <c r="L12" s="268" t="s">
        <v>34</v>
      </c>
      <c r="M12" s="268" t="s">
        <v>35</v>
      </c>
      <c r="N12" s="268" t="s">
        <v>36</v>
      </c>
      <c r="O12" s="268" t="s">
        <v>37</v>
      </c>
    </row>
    <row r="13" spans="1:51" ht="28.95" customHeight="1" x14ac:dyDescent="0.3">
      <c r="I13" s="269">
        <v>1</v>
      </c>
      <c r="J13" s="269" t="s">
        <v>38</v>
      </c>
      <c r="K13" s="269" t="s">
        <v>39</v>
      </c>
      <c r="L13" s="269" t="s">
        <v>40</v>
      </c>
      <c r="M13" s="269" t="s">
        <v>41</v>
      </c>
      <c r="N13" s="269" t="s">
        <v>42</v>
      </c>
      <c r="O13" s="269" t="s">
        <v>43</v>
      </c>
    </row>
    <row r="14" spans="1:51" ht="28.95" customHeight="1" x14ac:dyDescent="0.3">
      <c r="I14" s="269">
        <f>I13+1</f>
        <v>2</v>
      </c>
      <c r="J14" s="269" t="s">
        <v>44</v>
      </c>
      <c r="K14" s="269" t="s">
        <v>45</v>
      </c>
      <c r="L14" s="269" t="s">
        <v>40</v>
      </c>
      <c r="M14" s="269" t="s">
        <v>46</v>
      </c>
      <c r="N14" s="269" t="s">
        <v>47</v>
      </c>
      <c r="O14" s="269" t="s">
        <v>48</v>
      </c>
    </row>
    <row r="15" spans="1:51" ht="28.95" customHeight="1" x14ac:dyDescent="0.3">
      <c r="I15" s="269">
        <f t="shared" ref="I15:I32" si="0">I14+1</f>
        <v>3</v>
      </c>
      <c r="J15" s="269" t="s">
        <v>49</v>
      </c>
      <c r="K15" s="269" t="s">
        <v>50</v>
      </c>
      <c r="L15" s="269" t="s">
        <v>51</v>
      </c>
      <c r="M15" s="269" t="s">
        <v>52</v>
      </c>
      <c r="N15" s="269" t="s">
        <v>53</v>
      </c>
      <c r="O15" s="269" t="s">
        <v>54</v>
      </c>
    </row>
    <row r="16" spans="1:51" ht="28.95" customHeight="1" x14ac:dyDescent="0.3">
      <c r="I16" s="269">
        <f t="shared" si="0"/>
        <v>4</v>
      </c>
      <c r="J16" s="269" t="s">
        <v>55</v>
      </c>
      <c r="K16" s="269" t="s">
        <v>56</v>
      </c>
      <c r="L16" s="269" t="s">
        <v>57</v>
      </c>
      <c r="M16" s="269" t="s">
        <v>58</v>
      </c>
      <c r="N16" s="269" t="s">
        <v>59</v>
      </c>
      <c r="O16" s="269" t="s">
        <v>60</v>
      </c>
    </row>
    <row r="17" spans="9:15" ht="28.95" customHeight="1" x14ac:dyDescent="0.3">
      <c r="I17" s="269">
        <f t="shared" si="0"/>
        <v>5</v>
      </c>
      <c r="J17" s="269" t="s">
        <v>61</v>
      </c>
      <c r="K17" s="269" t="s">
        <v>62</v>
      </c>
      <c r="L17" s="269" t="s">
        <v>63</v>
      </c>
      <c r="M17" s="269" t="s">
        <v>64</v>
      </c>
      <c r="N17" s="269" t="s">
        <v>65</v>
      </c>
      <c r="O17" s="269" t="s">
        <v>66</v>
      </c>
    </row>
    <row r="18" spans="9:15" ht="28.95" customHeight="1" x14ac:dyDescent="0.3">
      <c r="I18" s="269">
        <f t="shared" si="0"/>
        <v>6</v>
      </c>
      <c r="J18" s="269" t="s">
        <v>67</v>
      </c>
      <c r="K18" s="269" t="s">
        <v>68</v>
      </c>
      <c r="L18" s="269" t="s">
        <v>69</v>
      </c>
      <c r="M18" s="269" t="s">
        <v>70</v>
      </c>
      <c r="N18" s="269" t="s">
        <v>71</v>
      </c>
      <c r="O18" s="269" t="s">
        <v>72</v>
      </c>
    </row>
    <row r="19" spans="9:15" ht="28.95" customHeight="1" x14ac:dyDescent="0.3">
      <c r="I19" s="269">
        <f t="shared" si="0"/>
        <v>7</v>
      </c>
      <c r="J19" s="269" t="s">
        <v>73</v>
      </c>
      <c r="K19" s="269" t="s">
        <v>74</v>
      </c>
      <c r="L19" s="269" t="s">
        <v>75</v>
      </c>
      <c r="M19" s="269" t="s">
        <v>76</v>
      </c>
      <c r="N19" s="269" t="s">
        <v>77</v>
      </c>
      <c r="O19" s="269" t="s">
        <v>78</v>
      </c>
    </row>
    <row r="20" spans="9:15" ht="28.95" customHeight="1" x14ac:dyDescent="0.3">
      <c r="I20" s="269">
        <f t="shared" si="0"/>
        <v>8</v>
      </c>
      <c r="J20" s="269" t="s">
        <v>79</v>
      </c>
      <c r="K20" s="269" t="s">
        <v>80</v>
      </c>
      <c r="L20" s="269" t="s">
        <v>81</v>
      </c>
      <c r="M20" s="269" t="s">
        <v>82</v>
      </c>
      <c r="N20" s="269" t="s">
        <v>83</v>
      </c>
      <c r="O20" s="269" t="s">
        <v>84</v>
      </c>
    </row>
    <row r="21" spans="9:15" ht="28.95" customHeight="1" x14ac:dyDescent="0.3">
      <c r="I21" s="269">
        <f t="shared" si="0"/>
        <v>9</v>
      </c>
      <c r="J21" s="269" t="s">
        <v>85</v>
      </c>
      <c r="K21" s="269" t="s">
        <v>86</v>
      </c>
      <c r="L21" s="269" t="s">
        <v>87</v>
      </c>
      <c r="M21" s="269" t="s">
        <v>88</v>
      </c>
      <c r="N21" s="269" t="s">
        <v>89</v>
      </c>
      <c r="O21" s="269" t="s">
        <v>90</v>
      </c>
    </row>
    <row r="22" spans="9:15" ht="28.95" customHeight="1" x14ac:dyDescent="0.3">
      <c r="I22" s="269">
        <f t="shared" si="0"/>
        <v>10</v>
      </c>
      <c r="J22" s="269" t="s">
        <v>91</v>
      </c>
      <c r="K22" s="269" t="s">
        <v>92</v>
      </c>
      <c r="L22" s="269" t="s">
        <v>93</v>
      </c>
      <c r="M22" s="269" t="s">
        <v>94</v>
      </c>
      <c r="N22" s="269" t="s">
        <v>95</v>
      </c>
      <c r="O22" s="269" t="s">
        <v>96</v>
      </c>
    </row>
    <row r="23" spans="9:15" ht="28.95" customHeight="1" x14ac:dyDescent="0.3">
      <c r="I23" s="269">
        <f t="shared" si="0"/>
        <v>11</v>
      </c>
      <c r="J23" s="269" t="s">
        <v>97</v>
      </c>
      <c r="K23" s="269" t="s">
        <v>98</v>
      </c>
      <c r="L23" s="269" t="s">
        <v>99</v>
      </c>
      <c r="M23" s="269" t="s">
        <v>100</v>
      </c>
      <c r="N23" s="269" t="s">
        <v>101</v>
      </c>
      <c r="O23" s="269" t="s">
        <v>102</v>
      </c>
    </row>
    <row r="24" spans="9:15" ht="28.95" customHeight="1" x14ac:dyDescent="0.3">
      <c r="I24" s="269">
        <f t="shared" si="0"/>
        <v>12</v>
      </c>
      <c r="J24" s="269" t="s">
        <v>103</v>
      </c>
      <c r="K24" s="269" t="s">
        <v>104</v>
      </c>
      <c r="L24" s="269" t="s">
        <v>105</v>
      </c>
      <c r="M24" s="269" t="s">
        <v>106</v>
      </c>
      <c r="N24" s="269" t="s">
        <v>107</v>
      </c>
      <c r="O24" s="269" t="s">
        <v>108</v>
      </c>
    </row>
    <row r="25" spans="9:15" ht="28.95" customHeight="1" x14ac:dyDescent="0.3">
      <c r="I25" s="269">
        <f t="shared" si="0"/>
        <v>13</v>
      </c>
      <c r="J25" s="269" t="s">
        <v>109</v>
      </c>
      <c r="K25" s="269" t="s">
        <v>110</v>
      </c>
      <c r="L25" s="269" t="s">
        <v>111</v>
      </c>
      <c r="M25" s="269" t="s">
        <v>112</v>
      </c>
      <c r="N25" s="269" t="s">
        <v>113</v>
      </c>
      <c r="O25" s="269" t="s">
        <v>114</v>
      </c>
    </row>
    <row r="26" spans="9:15" ht="28.95" customHeight="1" x14ac:dyDescent="0.3">
      <c r="I26" s="269">
        <f t="shared" si="0"/>
        <v>14</v>
      </c>
      <c r="J26" s="269" t="s">
        <v>115</v>
      </c>
      <c r="K26" s="269" t="s">
        <v>116</v>
      </c>
      <c r="L26" s="269" t="s">
        <v>117</v>
      </c>
      <c r="M26" s="269" t="s">
        <v>118</v>
      </c>
      <c r="N26" s="269" t="s">
        <v>119</v>
      </c>
      <c r="O26" s="269" t="s">
        <v>120</v>
      </c>
    </row>
    <row r="27" spans="9:15" ht="28.95" customHeight="1" x14ac:dyDescent="0.3">
      <c r="I27" s="269">
        <f t="shared" si="0"/>
        <v>15</v>
      </c>
      <c r="J27" s="269" t="s">
        <v>121</v>
      </c>
      <c r="K27" s="269" t="s">
        <v>122</v>
      </c>
      <c r="L27" s="269" t="s">
        <v>123</v>
      </c>
      <c r="M27" s="269" t="s">
        <v>124</v>
      </c>
      <c r="N27" s="269" t="s">
        <v>125</v>
      </c>
      <c r="O27" s="269" t="s">
        <v>126</v>
      </c>
    </row>
    <row r="28" spans="9:15" ht="28.95" customHeight="1" x14ac:dyDescent="0.3">
      <c r="I28" s="269">
        <f t="shared" si="0"/>
        <v>16</v>
      </c>
      <c r="J28" s="269" t="s">
        <v>127</v>
      </c>
      <c r="K28" s="269" t="s">
        <v>128</v>
      </c>
      <c r="L28" s="269" t="s">
        <v>129</v>
      </c>
      <c r="M28" s="269" t="s">
        <v>130</v>
      </c>
      <c r="N28" s="269" t="s">
        <v>131</v>
      </c>
      <c r="O28" s="269" t="s">
        <v>102</v>
      </c>
    </row>
    <row r="29" spans="9:15" ht="28.95" customHeight="1" x14ac:dyDescent="0.3">
      <c r="I29" s="269">
        <f t="shared" si="0"/>
        <v>17</v>
      </c>
      <c r="J29" s="269" t="s">
        <v>132</v>
      </c>
      <c r="K29" s="269" t="s">
        <v>133</v>
      </c>
      <c r="L29" s="269" t="s">
        <v>134</v>
      </c>
      <c r="M29" s="269" t="s">
        <v>135</v>
      </c>
      <c r="N29" s="269" t="s">
        <v>136</v>
      </c>
      <c r="O29" s="269" t="s">
        <v>108</v>
      </c>
    </row>
    <row r="30" spans="9:15" ht="28.95" customHeight="1" x14ac:dyDescent="0.3">
      <c r="I30" s="269">
        <f t="shared" si="0"/>
        <v>18</v>
      </c>
      <c r="J30" s="269" t="s">
        <v>137</v>
      </c>
      <c r="K30" s="269" t="s">
        <v>138</v>
      </c>
      <c r="L30" s="269" t="s">
        <v>139</v>
      </c>
      <c r="M30" s="269" t="s">
        <v>140</v>
      </c>
      <c r="N30" s="269" t="s">
        <v>141</v>
      </c>
      <c r="O30" s="269" t="s">
        <v>142</v>
      </c>
    </row>
    <row r="31" spans="9:15" ht="28.95" customHeight="1" x14ac:dyDescent="0.3">
      <c r="I31" s="269">
        <f t="shared" si="0"/>
        <v>19</v>
      </c>
      <c r="J31" s="269" t="s">
        <v>143</v>
      </c>
      <c r="K31" s="269" t="s">
        <v>144</v>
      </c>
      <c r="L31" s="269" t="s">
        <v>145</v>
      </c>
      <c r="M31" s="269" t="s">
        <v>146</v>
      </c>
      <c r="N31" s="269" t="s">
        <v>147</v>
      </c>
      <c r="O31" s="269" t="s">
        <v>96</v>
      </c>
    </row>
    <row r="32" spans="9:15" ht="28.95" customHeight="1" x14ac:dyDescent="0.3">
      <c r="I32" s="269">
        <f t="shared" si="0"/>
        <v>20</v>
      </c>
      <c r="J32" s="269" t="s">
        <v>148</v>
      </c>
      <c r="K32" s="269" t="s">
        <v>149</v>
      </c>
      <c r="L32" s="269" t="s">
        <v>150</v>
      </c>
      <c r="M32" s="269" t="s">
        <v>151</v>
      </c>
      <c r="N32" s="269" t="s">
        <v>152</v>
      </c>
      <c r="O32" s="269" t="s">
        <v>78</v>
      </c>
    </row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  <row r="67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9">
    <tabColor rgb="FFFFC000"/>
  </sheetPr>
  <dimension ref="A1:AY66"/>
  <sheetViews>
    <sheetView zoomScale="40" zoomScaleNormal="40" workbookViewId="0">
      <selection activeCell="R11" sqref="R11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5.6640625" style="177" bestFit="1" customWidth="1"/>
    <col min="12" max="12" width="31.6640625" style="177" bestFit="1" customWidth="1"/>
    <col min="13" max="13" width="26.5546875" style="177" bestFit="1" customWidth="1"/>
    <col min="14" max="14" width="44.33203125" style="177" bestFit="1" customWidth="1"/>
    <col min="15" max="15" width="28.6640625" style="177" bestFit="1" customWidth="1"/>
    <col min="16" max="16" width="32.6640625" style="177" bestFit="1" customWidth="1"/>
    <col min="17" max="17" width="37.33203125" style="177" bestFit="1" customWidth="1"/>
    <col min="18" max="18" width="30.44140625" style="177" bestFit="1" customWidth="1"/>
    <col min="19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x14ac:dyDescent="0.3">
      <c r="K13" s="268" t="s">
        <v>31</v>
      </c>
      <c r="L13" s="271" t="s">
        <v>153</v>
      </c>
      <c r="M13" s="271" t="s">
        <v>154</v>
      </c>
      <c r="N13" s="272" t="s">
        <v>155</v>
      </c>
      <c r="O13" s="271" t="s">
        <v>156</v>
      </c>
      <c r="P13" s="271" t="s">
        <v>157</v>
      </c>
      <c r="Q13" s="271" t="s">
        <v>158</v>
      </c>
      <c r="R13" s="271" t="s">
        <v>159</v>
      </c>
    </row>
    <row r="14" spans="1:51" ht="28.95" customHeight="1" x14ac:dyDescent="0.3">
      <c r="K14" s="269">
        <v>1</v>
      </c>
      <c r="L14" s="269" t="s">
        <v>160</v>
      </c>
      <c r="M14" s="269" t="s">
        <v>161</v>
      </c>
      <c r="N14" s="270">
        <v>10000</v>
      </c>
      <c r="O14" s="269" t="s">
        <v>162</v>
      </c>
      <c r="P14" s="269" t="s">
        <v>163</v>
      </c>
      <c r="Q14" s="269" t="s">
        <v>41</v>
      </c>
      <c r="R14" s="269" t="s">
        <v>164</v>
      </c>
    </row>
    <row r="15" spans="1:51" ht="28.95" customHeight="1" x14ac:dyDescent="0.3">
      <c r="K15" s="269">
        <f>K14+1</f>
        <v>2</v>
      </c>
      <c r="L15" s="269" t="s">
        <v>165</v>
      </c>
      <c r="M15" s="269" t="s">
        <v>166</v>
      </c>
      <c r="N15" s="270">
        <v>2000</v>
      </c>
      <c r="O15" s="269" t="s">
        <v>167</v>
      </c>
      <c r="P15" s="269" t="s">
        <v>168</v>
      </c>
      <c r="Q15" s="269" t="s">
        <v>169</v>
      </c>
      <c r="R15" s="269" t="s">
        <v>170</v>
      </c>
    </row>
    <row r="16" spans="1:51" ht="28.95" customHeight="1" x14ac:dyDescent="0.3">
      <c r="K16" s="269">
        <f t="shared" ref="K16:K33" si="0">K15+1</f>
        <v>3</v>
      </c>
      <c r="L16" s="269" t="s">
        <v>171</v>
      </c>
      <c r="M16" s="269" t="s">
        <v>161</v>
      </c>
      <c r="N16" s="270">
        <v>15000</v>
      </c>
      <c r="O16" s="269" t="s">
        <v>172</v>
      </c>
      <c r="P16" s="269" t="s">
        <v>173</v>
      </c>
      <c r="Q16" s="269" t="s">
        <v>174</v>
      </c>
      <c r="R16" s="269" t="s">
        <v>175</v>
      </c>
    </row>
    <row r="17" spans="11:18" ht="28.95" customHeight="1" x14ac:dyDescent="0.3">
      <c r="K17" s="269">
        <f t="shared" si="0"/>
        <v>4</v>
      </c>
      <c r="L17" s="269" t="s">
        <v>176</v>
      </c>
      <c r="M17" s="269" t="s">
        <v>177</v>
      </c>
      <c r="N17" s="270">
        <v>1200</v>
      </c>
      <c r="O17" s="269" t="s">
        <v>178</v>
      </c>
      <c r="P17" s="269" t="s">
        <v>179</v>
      </c>
      <c r="Q17" s="269" t="s">
        <v>58</v>
      </c>
      <c r="R17" s="269" t="s">
        <v>164</v>
      </c>
    </row>
    <row r="18" spans="11:18" ht="28.95" customHeight="1" x14ac:dyDescent="0.3">
      <c r="K18" s="269">
        <f t="shared" si="0"/>
        <v>5</v>
      </c>
      <c r="L18" s="269" t="s">
        <v>180</v>
      </c>
      <c r="M18" s="269" t="s">
        <v>161</v>
      </c>
      <c r="N18" s="270">
        <v>12500</v>
      </c>
      <c r="O18" s="269" t="s">
        <v>181</v>
      </c>
      <c r="P18" s="269" t="s">
        <v>61</v>
      </c>
      <c r="Q18" s="269" t="s">
        <v>182</v>
      </c>
      <c r="R18" s="269" t="s">
        <v>164</v>
      </c>
    </row>
    <row r="19" spans="11:18" ht="28.95" customHeight="1" x14ac:dyDescent="0.3">
      <c r="K19" s="269">
        <f t="shared" si="0"/>
        <v>6</v>
      </c>
      <c r="L19" s="269" t="s">
        <v>183</v>
      </c>
      <c r="M19" s="269" t="s">
        <v>161</v>
      </c>
      <c r="N19" s="270">
        <v>8000</v>
      </c>
      <c r="O19" s="269" t="s">
        <v>184</v>
      </c>
      <c r="P19" s="269" t="s">
        <v>185</v>
      </c>
      <c r="Q19" s="269" t="s">
        <v>186</v>
      </c>
      <c r="R19" s="269" t="s">
        <v>175</v>
      </c>
    </row>
    <row r="20" spans="11:18" ht="28.95" customHeight="1" x14ac:dyDescent="0.3">
      <c r="K20" s="269">
        <f t="shared" si="0"/>
        <v>7</v>
      </c>
      <c r="L20" s="269" t="s">
        <v>187</v>
      </c>
      <c r="M20" s="269" t="s">
        <v>166</v>
      </c>
      <c r="N20" s="270">
        <v>2500</v>
      </c>
      <c r="O20" s="269" t="s">
        <v>188</v>
      </c>
      <c r="P20" s="269" t="s">
        <v>189</v>
      </c>
      <c r="Q20" s="269" t="s">
        <v>190</v>
      </c>
      <c r="R20" s="269" t="s">
        <v>170</v>
      </c>
    </row>
    <row r="21" spans="11:18" ht="28.95" customHeight="1" x14ac:dyDescent="0.3">
      <c r="K21" s="269">
        <f t="shared" si="0"/>
        <v>8</v>
      </c>
      <c r="L21" s="269" t="s">
        <v>191</v>
      </c>
      <c r="M21" s="269" t="s">
        <v>177</v>
      </c>
      <c r="N21" s="270">
        <v>1800</v>
      </c>
      <c r="O21" s="269" t="s">
        <v>192</v>
      </c>
      <c r="P21" s="269" t="s">
        <v>193</v>
      </c>
      <c r="Q21" s="269" t="s">
        <v>82</v>
      </c>
      <c r="R21" s="269" t="s">
        <v>164</v>
      </c>
    </row>
    <row r="22" spans="11:18" ht="28.95" customHeight="1" x14ac:dyDescent="0.3">
      <c r="K22" s="269">
        <f t="shared" si="0"/>
        <v>9</v>
      </c>
      <c r="L22" s="269" t="s">
        <v>194</v>
      </c>
      <c r="M22" s="269" t="s">
        <v>161</v>
      </c>
      <c r="N22" s="270">
        <v>10500</v>
      </c>
      <c r="O22" s="269" t="s">
        <v>195</v>
      </c>
      <c r="P22" s="269" t="s">
        <v>85</v>
      </c>
      <c r="Q22" s="269" t="s">
        <v>88</v>
      </c>
      <c r="R22" s="269" t="s">
        <v>164</v>
      </c>
    </row>
    <row r="23" spans="11:18" ht="28.95" customHeight="1" x14ac:dyDescent="0.3">
      <c r="K23" s="269">
        <f t="shared" si="0"/>
        <v>10</v>
      </c>
      <c r="L23" s="269" t="s">
        <v>196</v>
      </c>
      <c r="M23" s="269" t="s">
        <v>166</v>
      </c>
      <c r="N23" s="270">
        <v>2200</v>
      </c>
      <c r="O23" s="269" t="s">
        <v>197</v>
      </c>
      <c r="P23" s="269" t="s">
        <v>198</v>
      </c>
      <c r="Q23" s="269" t="s">
        <v>94</v>
      </c>
      <c r="R23" s="269" t="s">
        <v>170</v>
      </c>
    </row>
    <row r="24" spans="11:18" ht="28.95" customHeight="1" x14ac:dyDescent="0.3">
      <c r="K24" s="269">
        <f t="shared" si="0"/>
        <v>11</v>
      </c>
      <c r="L24" s="269" t="s">
        <v>199</v>
      </c>
      <c r="M24" s="269" t="s">
        <v>161</v>
      </c>
      <c r="N24" s="270">
        <v>14000</v>
      </c>
      <c r="O24" s="269" t="s">
        <v>200</v>
      </c>
      <c r="P24" s="269" t="s">
        <v>97</v>
      </c>
      <c r="Q24" s="269" t="s">
        <v>100</v>
      </c>
      <c r="R24" s="269" t="s">
        <v>164</v>
      </c>
    </row>
    <row r="25" spans="11:18" ht="28.95" customHeight="1" x14ac:dyDescent="0.3">
      <c r="K25" s="269">
        <f t="shared" si="0"/>
        <v>12</v>
      </c>
      <c r="L25" s="269" t="s">
        <v>201</v>
      </c>
      <c r="M25" s="269" t="s">
        <v>177</v>
      </c>
      <c r="N25" s="270">
        <v>1000</v>
      </c>
      <c r="O25" s="269" t="s">
        <v>202</v>
      </c>
      <c r="P25" s="269" t="s">
        <v>203</v>
      </c>
      <c r="Q25" s="269" t="s">
        <v>106</v>
      </c>
      <c r="R25" s="269" t="s">
        <v>175</v>
      </c>
    </row>
    <row r="26" spans="11:18" ht="28.95" customHeight="1" x14ac:dyDescent="0.3">
      <c r="K26" s="269">
        <f t="shared" si="0"/>
        <v>13</v>
      </c>
      <c r="L26" s="269" t="s">
        <v>204</v>
      </c>
      <c r="M26" s="269" t="s">
        <v>161</v>
      </c>
      <c r="N26" s="270">
        <v>13000</v>
      </c>
      <c r="O26" s="269" t="s">
        <v>205</v>
      </c>
      <c r="P26" s="269" t="s">
        <v>109</v>
      </c>
      <c r="Q26" s="269" t="s">
        <v>112</v>
      </c>
      <c r="R26" s="269" t="s">
        <v>164</v>
      </c>
    </row>
    <row r="27" spans="11:18" ht="28.95" customHeight="1" x14ac:dyDescent="0.3">
      <c r="K27" s="269">
        <f t="shared" si="0"/>
        <v>14</v>
      </c>
      <c r="L27" s="269" t="s">
        <v>206</v>
      </c>
      <c r="M27" s="269" t="s">
        <v>166</v>
      </c>
      <c r="N27" s="270">
        <v>1900</v>
      </c>
      <c r="O27" s="269" t="s">
        <v>207</v>
      </c>
      <c r="P27" s="269" t="s">
        <v>115</v>
      </c>
      <c r="Q27" s="269" t="s">
        <v>118</v>
      </c>
      <c r="R27" s="269" t="s">
        <v>170</v>
      </c>
    </row>
    <row r="28" spans="11:18" ht="28.95" customHeight="1" x14ac:dyDescent="0.3">
      <c r="K28" s="269">
        <f t="shared" si="0"/>
        <v>15</v>
      </c>
      <c r="L28" s="269" t="s">
        <v>208</v>
      </c>
      <c r="M28" s="269" t="s">
        <v>161</v>
      </c>
      <c r="N28" s="270">
        <v>16000</v>
      </c>
      <c r="O28" s="269" t="s">
        <v>209</v>
      </c>
      <c r="P28" s="269" t="s">
        <v>121</v>
      </c>
      <c r="Q28" s="269" t="s">
        <v>124</v>
      </c>
      <c r="R28" s="269" t="s">
        <v>164</v>
      </c>
    </row>
    <row r="29" spans="11:18" ht="28.95" customHeight="1" x14ac:dyDescent="0.3">
      <c r="K29" s="269">
        <f t="shared" si="0"/>
        <v>16</v>
      </c>
      <c r="L29" s="269" t="s">
        <v>210</v>
      </c>
      <c r="M29" s="269" t="s">
        <v>177</v>
      </c>
      <c r="N29" s="270">
        <v>1500</v>
      </c>
      <c r="O29" s="269" t="s">
        <v>211</v>
      </c>
      <c r="P29" s="269" t="s">
        <v>127</v>
      </c>
      <c r="Q29" s="269" t="s">
        <v>130</v>
      </c>
      <c r="R29" s="269" t="s">
        <v>164</v>
      </c>
    </row>
    <row r="30" spans="11:18" ht="28.95" customHeight="1" x14ac:dyDescent="0.3">
      <c r="K30" s="269">
        <f t="shared" si="0"/>
        <v>17</v>
      </c>
      <c r="L30" s="269" t="s">
        <v>212</v>
      </c>
      <c r="M30" s="269" t="s">
        <v>166</v>
      </c>
      <c r="N30" s="270">
        <v>2300</v>
      </c>
      <c r="O30" s="269" t="s">
        <v>213</v>
      </c>
      <c r="P30" s="269" t="s">
        <v>132</v>
      </c>
      <c r="Q30" s="269" t="s">
        <v>135</v>
      </c>
      <c r="R30" s="269" t="s">
        <v>175</v>
      </c>
    </row>
    <row r="31" spans="11:18" ht="28.95" customHeight="1" x14ac:dyDescent="0.3">
      <c r="K31" s="269">
        <f t="shared" si="0"/>
        <v>18</v>
      </c>
      <c r="L31" s="269" t="s">
        <v>214</v>
      </c>
      <c r="M31" s="269" t="s">
        <v>161</v>
      </c>
      <c r="N31" s="270">
        <v>11000</v>
      </c>
      <c r="O31" s="269" t="s">
        <v>215</v>
      </c>
      <c r="P31" s="269" t="s">
        <v>137</v>
      </c>
      <c r="Q31" s="269" t="s">
        <v>140</v>
      </c>
      <c r="R31" s="269" t="s">
        <v>164</v>
      </c>
    </row>
    <row r="32" spans="11:18" ht="28.95" customHeight="1" x14ac:dyDescent="0.3">
      <c r="K32" s="269">
        <f t="shared" si="0"/>
        <v>19</v>
      </c>
      <c r="L32" s="269" t="s">
        <v>216</v>
      </c>
      <c r="M32" s="269" t="s">
        <v>166</v>
      </c>
      <c r="N32" s="270">
        <v>1700</v>
      </c>
      <c r="O32" s="269" t="s">
        <v>217</v>
      </c>
      <c r="P32" s="269" t="s">
        <v>143</v>
      </c>
      <c r="Q32" s="269" t="s">
        <v>146</v>
      </c>
      <c r="R32" s="269" t="s">
        <v>170</v>
      </c>
    </row>
    <row r="33" spans="11:18" ht="28.95" customHeight="1" x14ac:dyDescent="0.3">
      <c r="K33" s="269">
        <f t="shared" si="0"/>
        <v>20</v>
      </c>
      <c r="L33" s="269" t="s">
        <v>218</v>
      </c>
      <c r="M33" s="269" t="s">
        <v>177</v>
      </c>
      <c r="N33" s="270">
        <v>1300</v>
      </c>
      <c r="O33" s="269" t="s">
        <v>219</v>
      </c>
      <c r="P33" s="269" t="s">
        <v>148</v>
      </c>
      <c r="Q33" s="269" t="s">
        <v>151</v>
      </c>
      <c r="R33" s="269" t="s">
        <v>164</v>
      </c>
    </row>
    <row r="34" spans="11:18" ht="28.95" customHeight="1" x14ac:dyDescent="0.3"/>
    <row r="35" spans="11:18" ht="28.95" customHeight="1" x14ac:dyDescent="0.3"/>
    <row r="36" spans="11:18" ht="28.95" customHeight="1" x14ac:dyDescent="0.3"/>
    <row r="37" spans="11:18" ht="28.95" customHeight="1" x14ac:dyDescent="0.3"/>
    <row r="38" spans="11:18" ht="28.95" customHeight="1" x14ac:dyDescent="0.3"/>
    <row r="39" spans="11:18" ht="28.95" customHeight="1" x14ac:dyDescent="0.3"/>
    <row r="40" spans="11:18" ht="28.95" customHeight="1" x14ac:dyDescent="0.3"/>
    <row r="41" spans="11:18" ht="28.95" customHeight="1" x14ac:dyDescent="0.3"/>
    <row r="42" spans="11:18" ht="28.95" customHeight="1" x14ac:dyDescent="0.3"/>
    <row r="43" spans="11:18" ht="28.95" customHeight="1" x14ac:dyDescent="0.3"/>
    <row r="44" spans="11:18" ht="28.95" customHeight="1" x14ac:dyDescent="0.3"/>
    <row r="45" spans="11:18" ht="28.95" customHeight="1" x14ac:dyDescent="0.3"/>
    <row r="46" spans="11:18" ht="28.95" customHeight="1" x14ac:dyDescent="0.3"/>
    <row r="47" spans="11:18" ht="28.95" customHeight="1" x14ac:dyDescent="0.3"/>
    <row r="48" spans="11:1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5.109375" style="177" bestFit="1" customWidth="1"/>
    <col min="12" max="12" width="27.6640625" style="177" bestFit="1" customWidth="1"/>
    <col min="13" max="13" width="24.33203125" style="177" bestFit="1" customWidth="1"/>
    <col min="14" max="14" width="29.88671875" style="177" bestFit="1" customWidth="1"/>
    <col min="15" max="15" width="52.33203125" style="177" bestFit="1" customWidth="1"/>
    <col min="16" max="16" width="27.6640625" style="177" bestFit="1" customWidth="1"/>
    <col min="17" max="17" width="20.44140625" style="177" bestFit="1" customWidth="1"/>
    <col min="18" max="18" width="36" style="177" bestFit="1" customWidth="1"/>
    <col min="19" max="19" width="31.5546875" style="177" bestFit="1" customWidth="1"/>
    <col min="20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x14ac:dyDescent="0.3">
      <c r="K13" s="268" t="s">
        <v>220</v>
      </c>
      <c r="L13" s="268" t="s">
        <v>221</v>
      </c>
      <c r="M13" s="272" t="s">
        <v>222</v>
      </c>
      <c r="N13" s="268" t="s">
        <v>32</v>
      </c>
      <c r="O13" s="268" t="s">
        <v>223</v>
      </c>
      <c r="P13" s="268" t="s">
        <v>224</v>
      </c>
      <c r="Q13" s="268" t="s">
        <v>225</v>
      </c>
      <c r="R13" s="268" t="s">
        <v>226</v>
      </c>
      <c r="S13" s="268" t="s">
        <v>227</v>
      </c>
    </row>
    <row r="14" spans="1:51" ht="28.95" customHeight="1" x14ac:dyDescent="0.3">
      <c r="K14" s="269">
        <v>1</v>
      </c>
      <c r="L14" s="273">
        <v>45604</v>
      </c>
      <c r="M14" s="274">
        <v>0.33333333333333331</v>
      </c>
      <c r="N14" s="269" t="s">
        <v>38</v>
      </c>
      <c r="O14" s="269" t="s">
        <v>228</v>
      </c>
      <c r="P14" s="269" t="s">
        <v>229</v>
      </c>
      <c r="Q14" s="269">
        <v>10</v>
      </c>
      <c r="R14" s="269" t="s">
        <v>161</v>
      </c>
      <c r="S14" s="269" t="s">
        <v>230</v>
      </c>
    </row>
    <row r="15" spans="1:51" ht="28.95" customHeight="1" x14ac:dyDescent="0.3">
      <c r="K15" s="269">
        <f>K14+1</f>
        <v>2</v>
      </c>
      <c r="L15" s="273">
        <v>45604</v>
      </c>
      <c r="M15" s="274">
        <v>0.39583333333333331</v>
      </c>
      <c r="N15" s="269" t="s">
        <v>44</v>
      </c>
      <c r="O15" s="269" t="s">
        <v>231</v>
      </c>
      <c r="P15" s="269" t="s">
        <v>232</v>
      </c>
      <c r="Q15" s="269">
        <v>2</v>
      </c>
      <c r="R15" s="269" t="s">
        <v>166</v>
      </c>
      <c r="S15" s="269" t="s">
        <v>233</v>
      </c>
    </row>
    <row r="16" spans="1:51" ht="28.95" customHeight="1" x14ac:dyDescent="0.3">
      <c r="K16" s="269">
        <f t="shared" ref="K16:K33" si="0">K15+1</f>
        <v>3</v>
      </c>
      <c r="L16" s="273">
        <v>45604</v>
      </c>
      <c r="M16" s="274">
        <v>0.32291666666666669</v>
      </c>
      <c r="N16" s="269" t="s">
        <v>49</v>
      </c>
      <c r="O16" s="269" t="s">
        <v>234</v>
      </c>
      <c r="P16" s="269" t="s">
        <v>235</v>
      </c>
      <c r="Q16" s="269">
        <v>50</v>
      </c>
      <c r="R16" s="269" t="s">
        <v>177</v>
      </c>
      <c r="S16" s="269" t="s">
        <v>230</v>
      </c>
    </row>
    <row r="17" spans="11:19" ht="28.95" customHeight="1" x14ac:dyDescent="0.3">
      <c r="K17" s="269">
        <f t="shared" si="0"/>
        <v>4</v>
      </c>
      <c r="L17" s="273">
        <v>45604</v>
      </c>
      <c r="M17" s="274">
        <v>0.41666666666666669</v>
      </c>
      <c r="N17" s="269" t="s">
        <v>55</v>
      </c>
      <c r="O17" s="269" t="s">
        <v>236</v>
      </c>
      <c r="P17" s="269" t="s">
        <v>237</v>
      </c>
      <c r="Q17" s="269">
        <v>15</v>
      </c>
      <c r="R17" s="269" t="s">
        <v>161</v>
      </c>
      <c r="S17" s="269" t="s">
        <v>230</v>
      </c>
    </row>
    <row r="18" spans="11:19" ht="28.95" customHeight="1" x14ac:dyDescent="0.3">
      <c r="K18" s="269">
        <f t="shared" si="0"/>
        <v>5</v>
      </c>
      <c r="L18" s="273">
        <v>45604</v>
      </c>
      <c r="M18" s="274">
        <v>0.34375</v>
      </c>
      <c r="N18" s="269" t="s">
        <v>61</v>
      </c>
      <c r="O18" s="269" t="s">
        <v>238</v>
      </c>
      <c r="P18" s="269" t="s">
        <v>229</v>
      </c>
      <c r="Q18" s="269">
        <v>100</v>
      </c>
      <c r="R18" s="269" t="s">
        <v>161</v>
      </c>
      <c r="S18" s="269" t="s">
        <v>239</v>
      </c>
    </row>
    <row r="19" spans="11:19" ht="28.95" customHeight="1" x14ac:dyDescent="0.3">
      <c r="K19" s="269">
        <f t="shared" si="0"/>
        <v>6</v>
      </c>
      <c r="L19" s="273">
        <v>45604</v>
      </c>
      <c r="M19" s="274">
        <v>0.375</v>
      </c>
      <c r="N19" s="269" t="s">
        <v>67</v>
      </c>
      <c r="O19" s="269" t="s">
        <v>240</v>
      </c>
      <c r="P19" s="269" t="s">
        <v>232</v>
      </c>
      <c r="Q19" s="269">
        <v>200</v>
      </c>
      <c r="R19" s="269" t="s">
        <v>166</v>
      </c>
      <c r="S19" s="269" t="s">
        <v>230</v>
      </c>
    </row>
    <row r="20" spans="11:19" ht="28.95" customHeight="1" x14ac:dyDescent="0.3">
      <c r="K20" s="269">
        <f t="shared" si="0"/>
        <v>7</v>
      </c>
      <c r="L20" s="273">
        <v>45604</v>
      </c>
      <c r="M20" s="274">
        <v>0.45833333333333331</v>
      </c>
      <c r="N20" s="269" t="s">
        <v>73</v>
      </c>
      <c r="O20" s="269" t="s">
        <v>241</v>
      </c>
      <c r="P20" s="269" t="s">
        <v>235</v>
      </c>
      <c r="Q20" s="269">
        <v>30</v>
      </c>
      <c r="R20" s="269" t="s">
        <v>177</v>
      </c>
      <c r="S20" s="269" t="s">
        <v>233</v>
      </c>
    </row>
    <row r="21" spans="11:19" ht="28.95" customHeight="1" x14ac:dyDescent="0.3">
      <c r="K21" s="269">
        <f t="shared" si="0"/>
        <v>8</v>
      </c>
      <c r="L21" s="273">
        <v>45604</v>
      </c>
      <c r="M21" s="274">
        <v>0.3125</v>
      </c>
      <c r="N21" s="269" t="s">
        <v>79</v>
      </c>
      <c r="O21" s="269" t="s">
        <v>242</v>
      </c>
      <c r="P21" s="269" t="s">
        <v>237</v>
      </c>
      <c r="Q21" s="269">
        <v>20</v>
      </c>
      <c r="R21" s="269" t="s">
        <v>161</v>
      </c>
      <c r="S21" s="269" t="s">
        <v>230</v>
      </c>
    </row>
    <row r="22" spans="11:19" ht="28.95" customHeight="1" x14ac:dyDescent="0.3">
      <c r="K22" s="269">
        <f t="shared" si="0"/>
        <v>9</v>
      </c>
      <c r="L22" s="273">
        <v>45604</v>
      </c>
      <c r="M22" s="274">
        <v>0.40625</v>
      </c>
      <c r="N22" s="269" t="s">
        <v>85</v>
      </c>
      <c r="O22" s="269" t="s">
        <v>243</v>
      </c>
      <c r="P22" s="269" t="s">
        <v>229</v>
      </c>
      <c r="Q22" s="269">
        <v>500</v>
      </c>
      <c r="R22" s="269" t="s">
        <v>161</v>
      </c>
      <c r="S22" s="269" t="s">
        <v>230</v>
      </c>
    </row>
    <row r="23" spans="11:19" ht="28.95" customHeight="1" x14ac:dyDescent="0.3">
      <c r="K23" s="269">
        <f t="shared" si="0"/>
        <v>10</v>
      </c>
      <c r="L23" s="273">
        <v>45604</v>
      </c>
      <c r="M23" s="274">
        <v>0.42708333333333331</v>
      </c>
      <c r="N23" s="269" t="s">
        <v>91</v>
      </c>
      <c r="O23" s="269" t="s">
        <v>244</v>
      </c>
      <c r="P23" s="269" t="s">
        <v>232</v>
      </c>
      <c r="Q23" s="269">
        <v>5</v>
      </c>
      <c r="R23" s="269" t="s">
        <v>166</v>
      </c>
      <c r="S23" s="269" t="s">
        <v>239</v>
      </c>
    </row>
    <row r="24" spans="11:19" ht="28.95" customHeight="1" x14ac:dyDescent="0.3">
      <c r="K24" s="269">
        <f t="shared" si="0"/>
        <v>11</v>
      </c>
      <c r="L24" s="273">
        <v>45604</v>
      </c>
      <c r="M24" s="274">
        <v>0.47916666666666669</v>
      </c>
      <c r="N24" s="269" t="s">
        <v>97</v>
      </c>
      <c r="O24" s="269" t="s">
        <v>245</v>
      </c>
      <c r="P24" s="269" t="s">
        <v>235</v>
      </c>
      <c r="Q24" s="269">
        <v>40</v>
      </c>
      <c r="R24" s="269" t="s">
        <v>161</v>
      </c>
      <c r="S24" s="269" t="s">
        <v>230</v>
      </c>
    </row>
    <row r="25" spans="11:19" ht="28.95" customHeight="1" x14ac:dyDescent="0.3">
      <c r="K25" s="269">
        <f t="shared" si="0"/>
        <v>12</v>
      </c>
      <c r="L25" s="273">
        <v>45604</v>
      </c>
      <c r="M25" s="274">
        <v>0.36458333333333331</v>
      </c>
      <c r="N25" s="269" t="s">
        <v>103</v>
      </c>
      <c r="O25" s="269" t="s">
        <v>246</v>
      </c>
      <c r="P25" s="269" t="s">
        <v>237</v>
      </c>
      <c r="Q25" s="269">
        <v>80</v>
      </c>
      <c r="R25" s="269" t="s">
        <v>177</v>
      </c>
      <c r="S25" s="269" t="s">
        <v>233</v>
      </c>
    </row>
    <row r="26" spans="11:19" ht="28.95" customHeight="1" x14ac:dyDescent="0.3">
      <c r="K26" s="269">
        <f t="shared" si="0"/>
        <v>13</v>
      </c>
      <c r="L26" s="273">
        <v>45604</v>
      </c>
      <c r="M26" s="274">
        <v>0.38541666666666669</v>
      </c>
      <c r="N26" s="269" t="s">
        <v>109</v>
      </c>
      <c r="O26" s="269" t="s">
        <v>247</v>
      </c>
      <c r="P26" s="269" t="s">
        <v>229</v>
      </c>
      <c r="Q26" s="269">
        <v>20</v>
      </c>
      <c r="R26" s="269" t="s">
        <v>161</v>
      </c>
      <c r="S26" s="269" t="s">
        <v>230</v>
      </c>
    </row>
    <row r="27" spans="11:19" ht="28.95" customHeight="1" x14ac:dyDescent="0.3">
      <c r="K27" s="269">
        <f t="shared" si="0"/>
        <v>14</v>
      </c>
      <c r="L27" s="273">
        <v>45604</v>
      </c>
      <c r="M27" s="274">
        <v>0.29166666666666669</v>
      </c>
      <c r="N27" s="269" t="s">
        <v>115</v>
      </c>
      <c r="O27" s="269" t="s">
        <v>248</v>
      </c>
      <c r="P27" s="269" t="s">
        <v>232</v>
      </c>
      <c r="Q27" s="269">
        <v>35</v>
      </c>
      <c r="R27" s="269" t="s">
        <v>166</v>
      </c>
      <c r="S27" s="269" t="s">
        <v>230</v>
      </c>
    </row>
    <row r="28" spans="11:19" ht="28.95" customHeight="1" x14ac:dyDescent="0.3">
      <c r="K28" s="269">
        <f t="shared" si="0"/>
        <v>15</v>
      </c>
      <c r="L28" s="273">
        <v>45604</v>
      </c>
      <c r="M28" s="274">
        <v>0.4375</v>
      </c>
      <c r="N28" s="269" t="s">
        <v>121</v>
      </c>
      <c r="O28" s="269" t="s">
        <v>249</v>
      </c>
      <c r="P28" s="269" t="s">
        <v>235</v>
      </c>
      <c r="Q28" s="269">
        <v>300</v>
      </c>
      <c r="R28" s="269" t="s">
        <v>161</v>
      </c>
      <c r="S28" s="269" t="s">
        <v>239</v>
      </c>
    </row>
    <row r="29" spans="11:19" ht="28.95" customHeight="1" x14ac:dyDescent="0.3">
      <c r="K29" s="269">
        <f t="shared" si="0"/>
        <v>16</v>
      </c>
      <c r="L29" s="273">
        <v>45604</v>
      </c>
      <c r="M29" s="274">
        <v>0.40972222222222221</v>
      </c>
      <c r="N29" s="269" t="s">
        <v>127</v>
      </c>
      <c r="O29" s="269" t="s">
        <v>250</v>
      </c>
      <c r="P29" s="269" t="s">
        <v>237</v>
      </c>
      <c r="Q29" s="269">
        <v>60</v>
      </c>
      <c r="R29" s="269" t="s">
        <v>177</v>
      </c>
      <c r="S29" s="269" t="s">
        <v>230</v>
      </c>
    </row>
    <row r="30" spans="11:19" ht="28.95" customHeight="1" x14ac:dyDescent="0.3">
      <c r="K30" s="269">
        <f t="shared" si="0"/>
        <v>17</v>
      </c>
      <c r="L30" s="273">
        <v>45604</v>
      </c>
      <c r="M30" s="274">
        <v>0.34722222222222221</v>
      </c>
      <c r="N30" s="269" t="s">
        <v>132</v>
      </c>
      <c r="O30" s="269" t="s">
        <v>251</v>
      </c>
      <c r="P30" s="269" t="s">
        <v>229</v>
      </c>
      <c r="Q30" s="269">
        <v>15</v>
      </c>
      <c r="R30" s="269" t="s">
        <v>166</v>
      </c>
      <c r="S30" s="269" t="s">
        <v>233</v>
      </c>
    </row>
    <row r="31" spans="11:19" ht="28.95" customHeight="1" x14ac:dyDescent="0.3">
      <c r="K31" s="269">
        <f t="shared" si="0"/>
        <v>18</v>
      </c>
      <c r="L31" s="273">
        <v>45604</v>
      </c>
      <c r="M31" s="274">
        <v>0.48958333333333331</v>
      </c>
      <c r="N31" s="269" t="s">
        <v>137</v>
      </c>
      <c r="O31" s="269" t="s">
        <v>252</v>
      </c>
      <c r="P31" s="269" t="s">
        <v>232</v>
      </c>
      <c r="Q31" s="269">
        <v>70</v>
      </c>
      <c r="R31" s="269" t="s">
        <v>161</v>
      </c>
      <c r="S31" s="269" t="s">
        <v>230</v>
      </c>
    </row>
    <row r="32" spans="11:19" ht="28.95" customHeight="1" x14ac:dyDescent="0.3">
      <c r="K32" s="269">
        <f t="shared" si="0"/>
        <v>19</v>
      </c>
      <c r="L32" s="273">
        <v>45604</v>
      </c>
      <c r="M32" s="274">
        <v>0.38194444444444442</v>
      </c>
      <c r="N32" s="269" t="s">
        <v>143</v>
      </c>
      <c r="O32" s="269" t="s">
        <v>253</v>
      </c>
      <c r="P32" s="269" t="s">
        <v>235</v>
      </c>
      <c r="Q32" s="269">
        <v>120</v>
      </c>
      <c r="R32" s="269" t="s">
        <v>166</v>
      </c>
      <c r="S32" s="269" t="s">
        <v>230</v>
      </c>
    </row>
    <row r="33" spans="11:19" ht="28.95" customHeight="1" x14ac:dyDescent="0.3">
      <c r="K33" s="269">
        <f t="shared" si="0"/>
        <v>20</v>
      </c>
      <c r="L33" s="273">
        <v>45604</v>
      </c>
      <c r="M33" s="274">
        <v>0.44444444444444442</v>
      </c>
      <c r="N33" s="269" t="s">
        <v>148</v>
      </c>
      <c r="O33" s="269" t="s">
        <v>254</v>
      </c>
      <c r="P33" s="269" t="s">
        <v>237</v>
      </c>
      <c r="Q33" s="269">
        <v>25</v>
      </c>
      <c r="R33" s="269" t="s">
        <v>177</v>
      </c>
      <c r="S33" s="269" t="s">
        <v>230</v>
      </c>
    </row>
    <row r="34" spans="11:19" ht="28.95" customHeight="1" x14ac:dyDescent="0.3"/>
    <row r="35" spans="11:19" ht="28.95" customHeight="1" x14ac:dyDescent="0.3"/>
    <row r="36" spans="11:19" ht="28.95" customHeight="1" x14ac:dyDescent="0.3"/>
    <row r="37" spans="11:19" ht="28.95" customHeight="1" x14ac:dyDescent="0.3"/>
    <row r="38" spans="11:19" ht="28.95" customHeight="1" x14ac:dyDescent="0.3"/>
    <row r="39" spans="11:19" ht="28.95" customHeight="1" x14ac:dyDescent="0.3"/>
    <row r="40" spans="11:19" ht="28.95" customHeight="1" x14ac:dyDescent="0.3"/>
    <row r="41" spans="11:19" ht="28.95" customHeight="1" x14ac:dyDescent="0.3"/>
    <row r="42" spans="11:19" ht="28.95" customHeight="1" x14ac:dyDescent="0.3"/>
    <row r="43" spans="11:19" ht="28.95" customHeight="1" x14ac:dyDescent="0.3"/>
    <row r="44" spans="11:19" ht="28.95" customHeight="1" x14ac:dyDescent="0.3"/>
    <row r="45" spans="11:19" ht="28.95" customHeight="1" x14ac:dyDescent="0.3"/>
    <row r="46" spans="11:19" ht="28.95" customHeight="1" x14ac:dyDescent="0.3"/>
    <row r="47" spans="11:19" ht="28.95" customHeight="1" x14ac:dyDescent="0.3"/>
    <row r="48" spans="11:19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5.44140625" style="177" bestFit="1" customWidth="1"/>
    <col min="12" max="12" width="25.44140625" style="177" customWidth="1"/>
    <col min="13" max="13" width="26.33203125" style="177" customWidth="1"/>
    <col min="14" max="14" width="25.44140625" style="177" customWidth="1"/>
    <col min="15" max="15" width="24.33203125" style="177" customWidth="1"/>
    <col min="16" max="16" width="45.44140625" style="177" bestFit="1" customWidth="1"/>
    <col min="17" max="17" width="20.44140625" style="177" bestFit="1" customWidth="1"/>
    <col min="18" max="18" width="36" style="177" bestFit="1" customWidth="1"/>
    <col min="19" max="19" width="31.5546875" style="177" bestFit="1" customWidth="1"/>
    <col min="20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x14ac:dyDescent="0.3">
      <c r="K13" s="271" t="s">
        <v>220</v>
      </c>
      <c r="L13" s="271" t="s">
        <v>255</v>
      </c>
      <c r="M13" s="271" t="s">
        <v>256</v>
      </c>
      <c r="N13" s="271" t="s">
        <v>257</v>
      </c>
      <c r="O13" s="271" t="s">
        <v>258</v>
      </c>
      <c r="P13" s="271" t="s">
        <v>259</v>
      </c>
    </row>
    <row r="14" spans="1:51" ht="28.95" customHeight="1" x14ac:dyDescent="0.3">
      <c r="K14" s="269">
        <v>1</v>
      </c>
      <c r="L14" s="275">
        <v>50</v>
      </c>
      <c r="M14" s="270">
        <v>1000</v>
      </c>
      <c r="N14" s="276">
        <f>L14*M14</f>
        <v>50000</v>
      </c>
      <c r="O14" s="276">
        <f>L14*M14+N14</f>
        <v>100000</v>
      </c>
      <c r="P14" s="269" t="s">
        <v>260</v>
      </c>
    </row>
    <row r="15" spans="1:51" ht="28.95" customHeight="1" x14ac:dyDescent="0.3">
      <c r="K15" s="269">
        <f>K14+1</f>
        <v>2</v>
      </c>
      <c r="L15" s="275">
        <v>120</v>
      </c>
      <c r="M15" s="269">
        <v>800</v>
      </c>
      <c r="N15" s="276">
        <v>400</v>
      </c>
      <c r="O15" s="276">
        <v>600</v>
      </c>
      <c r="P15" s="269" t="s">
        <v>261</v>
      </c>
    </row>
    <row r="16" spans="1:51" ht="28.95" customHeight="1" x14ac:dyDescent="0.3">
      <c r="K16" s="269">
        <f t="shared" ref="K16:K33" si="0">K15+1</f>
        <v>3</v>
      </c>
      <c r="L16" s="275">
        <v>30</v>
      </c>
      <c r="M16" s="269">
        <v>500</v>
      </c>
      <c r="N16" s="276">
        <v>250</v>
      </c>
      <c r="O16" s="276">
        <v>400</v>
      </c>
      <c r="P16" s="269" t="s">
        <v>262</v>
      </c>
    </row>
    <row r="17" spans="11:16" ht="28.95" customHeight="1" x14ac:dyDescent="0.3">
      <c r="K17" s="269">
        <f t="shared" si="0"/>
        <v>4</v>
      </c>
      <c r="L17" s="275">
        <v>200</v>
      </c>
      <c r="M17" s="270">
        <v>1200</v>
      </c>
      <c r="N17" s="276">
        <v>600</v>
      </c>
      <c r="O17" s="276">
        <v>900</v>
      </c>
      <c r="P17" s="269" t="s">
        <v>263</v>
      </c>
    </row>
    <row r="18" spans="11:16" ht="28.95" customHeight="1" x14ac:dyDescent="0.3">
      <c r="K18" s="269">
        <f t="shared" si="0"/>
        <v>5</v>
      </c>
      <c r="L18" s="275">
        <v>15</v>
      </c>
      <c r="M18" s="270">
        <v>2000</v>
      </c>
      <c r="N18" s="276">
        <v>700</v>
      </c>
      <c r="O18" s="276">
        <v>1000</v>
      </c>
      <c r="P18" s="269" t="s">
        <v>264</v>
      </c>
    </row>
    <row r="19" spans="11:16" ht="28.95" customHeight="1" x14ac:dyDescent="0.3">
      <c r="K19" s="269">
        <f t="shared" si="0"/>
        <v>6</v>
      </c>
      <c r="L19" s="275">
        <v>80</v>
      </c>
      <c r="M19" s="270">
        <v>1500</v>
      </c>
      <c r="N19" s="276">
        <v>500</v>
      </c>
      <c r="O19" s="276">
        <v>800</v>
      </c>
      <c r="P19" s="269" t="s">
        <v>265</v>
      </c>
    </row>
    <row r="20" spans="11:16" ht="28.95" customHeight="1" x14ac:dyDescent="0.3">
      <c r="K20" s="269">
        <f t="shared" si="0"/>
        <v>7</v>
      </c>
      <c r="L20" s="275">
        <v>60</v>
      </c>
      <c r="M20" s="269">
        <v>400</v>
      </c>
      <c r="N20" s="276">
        <v>200</v>
      </c>
      <c r="O20" s="276">
        <v>300</v>
      </c>
      <c r="P20" s="269" t="s">
        <v>266</v>
      </c>
    </row>
    <row r="21" spans="11:16" ht="28.95" customHeight="1" x14ac:dyDescent="0.3">
      <c r="K21" s="269">
        <f t="shared" si="0"/>
        <v>8</v>
      </c>
      <c r="L21" s="275">
        <v>180</v>
      </c>
      <c r="M21" s="270">
        <v>2500</v>
      </c>
      <c r="N21" s="276">
        <v>800</v>
      </c>
      <c r="O21" s="276">
        <v>1200</v>
      </c>
      <c r="P21" s="269" t="s">
        <v>267</v>
      </c>
    </row>
    <row r="22" spans="11:16" ht="28.95" customHeight="1" x14ac:dyDescent="0.3">
      <c r="K22" s="269">
        <f t="shared" si="0"/>
        <v>9</v>
      </c>
      <c r="L22" s="275">
        <v>90</v>
      </c>
      <c r="M22" s="270">
        <v>1800</v>
      </c>
      <c r="N22" s="276">
        <v>550</v>
      </c>
      <c r="O22" s="276">
        <v>850</v>
      </c>
      <c r="P22" s="269" t="s">
        <v>268</v>
      </c>
    </row>
    <row r="23" spans="11:16" ht="28.95" customHeight="1" x14ac:dyDescent="0.3">
      <c r="K23" s="269">
        <f t="shared" si="0"/>
        <v>10</v>
      </c>
      <c r="L23" s="275">
        <v>40</v>
      </c>
      <c r="M23" s="269">
        <v>600</v>
      </c>
      <c r="N23" s="276">
        <v>300</v>
      </c>
      <c r="O23" s="276">
        <v>500</v>
      </c>
      <c r="P23" s="269" t="s">
        <v>269</v>
      </c>
    </row>
    <row r="24" spans="11:16" ht="28.95" customHeight="1" x14ac:dyDescent="0.3">
      <c r="K24" s="269">
        <f t="shared" si="0"/>
        <v>11</v>
      </c>
      <c r="L24" s="275">
        <v>150</v>
      </c>
      <c r="M24" s="270">
        <v>1000</v>
      </c>
      <c r="N24" s="276">
        <v>600</v>
      </c>
      <c r="O24" s="276">
        <v>950</v>
      </c>
      <c r="P24" s="269" t="s">
        <v>270</v>
      </c>
    </row>
    <row r="25" spans="11:16" ht="28.95" customHeight="1" x14ac:dyDescent="0.3">
      <c r="K25" s="269">
        <f t="shared" si="0"/>
        <v>12</v>
      </c>
      <c r="L25" s="275">
        <v>20</v>
      </c>
      <c r="M25" s="269">
        <v>700</v>
      </c>
      <c r="N25" s="276">
        <v>250</v>
      </c>
      <c r="O25" s="276">
        <v>400</v>
      </c>
      <c r="P25" s="269" t="s">
        <v>271</v>
      </c>
    </row>
    <row r="26" spans="11:16" ht="28.95" customHeight="1" x14ac:dyDescent="0.3">
      <c r="K26" s="269">
        <f t="shared" si="0"/>
        <v>13</v>
      </c>
      <c r="L26" s="275">
        <v>170</v>
      </c>
      <c r="M26" s="270">
        <v>2000</v>
      </c>
      <c r="N26" s="276">
        <v>750</v>
      </c>
      <c r="O26" s="276">
        <v>1150</v>
      </c>
      <c r="P26" s="269" t="s">
        <v>272</v>
      </c>
    </row>
    <row r="27" spans="11:16" ht="28.95" customHeight="1" x14ac:dyDescent="0.3">
      <c r="K27" s="269">
        <f t="shared" si="0"/>
        <v>14</v>
      </c>
      <c r="L27" s="275">
        <v>35</v>
      </c>
      <c r="M27" s="269">
        <v>900</v>
      </c>
      <c r="N27" s="276">
        <v>350</v>
      </c>
      <c r="O27" s="276">
        <v>550</v>
      </c>
      <c r="P27" s="269" t="s">
        <v>273</v>
      </c>
    </row>
    <row r="28" spans="11:16" ht="28.95" customHeight="1" x14ac:dyDescent="0.3">
      <c r="K28" s="269">
        <f t="shared" si="0"/>
        <v>15</v>
      </c>
      <c r="L28" s="275">
        <v>220</v>
      </c>
      <c r="M28" s="270">
        <v>2500</v>
      </c>
      <c r="N28" s="276">
        <v>900</v>
      </c>
      <c r="O28" s="276">
        <v>1400</v>
      </c>
      <c r="P28" s="269" t="s">
        <v>274</v>
      </c>
    </row>
    <row r="29" spans="11:16" ht="28.95" customHeight="1" x14ac:dyDescent="0.3">
      <c r="K29" s="269">
        <f t="shared" si="0"/>
        <v>16</v>
      </c>
      <c r="L29" s="275">
        <v>110</v>
      </c>
      <c r="M29" s="270">
        <v>1100</v>
      </c>
      <c r="N29" s="276">
        <v>450</v>
      </c>
      <c r="O29" s="276">
        <v>700</v>
      </c>
      <c r="P29" s="269" t="s">
        <v>275</v>
      </c>
    </row>
    <row r="30" spans="11:16" ht="28.95" customHeight="1" x14ac:dyDescent="0.3">
      <c r="K30" s="269">
        <f t="shared" si="0"/>
        <v>17</v>
      </c>
      <c r="L30" s="275">
        <v>75</v>
      </c>
      <c r="M30" s="270">
        <v>1300</v>
      </c>
      <c r="N30" s="276">
        <v>500</v>
      </c>
      <c r="O30" s="276">
        <v>750</v>
      </c>
      <c r="P30" s="269" t="s">
        <v>276</v>
      </c>
    </row>
    <row r="31" spans="11:16" ht="28.95" customHeight="1" x14ac:dyDescent="0.3">
      <c r="K31" s="269">
        <f t="shared" si="0"/>
        <v>18</v>
      </c>
      <c r="L31" s="275">
        <v>25</v>
      </c>
      <c r="M31" s="269">
        <v>950</v>
      </c>
      <c r="N31" s="276">
        <v>300</v>
      </c>
      <c r="O31" s="276">
        <v>450</v>
      </c>
      <c r="P31" s="269" t="s">
        <v>277</v>
      </c>
    </row>
    <row r="32" spans="11:16" ht="28.95" customHeight="1" x14ac:dyDescent="0.3">
      <c r="K32" s="269">
        <f t="shared" si="0"/>
        <v>19</v>
      </c>
      <c r="L32" s="275">
        <v>140</v>
      </c>
      <c r="M32" s="270">
        <v>1600</v>
      </c>
      <c r="N32" s="276">
        <v>650</v>
      </c>
      <c r="O32" s="276">
        <v>1000</v>
      </c>
      <c r="P32" s="269" t="s">
        <v>278</v>
      </c>
    </row>
    <row r="33" spans="11:16" ht="28.95" customHeight="1" x14ac:dyDescent="0.3">
      <c r="K33" s="269">
        <f t="shared" si="0"/>
        <v>20</v>
      </c>
      <c r="L33" s="275">
        <v>50</v>
      </c>
      <c r="M33" s="269">
        <v>850</v>
      </c>
      <c r="N33" s="276">
        <v>350</v>
      </c>
      <c r="O33" s="276">
        <v>550</v>
      </c>
      <c r="P33" s="269" t="s">
        <v>279</v>
      </c>
    </row>
    <row r="34" spans="11:16" ht="28.95" customHeight="1" x14ac:dyDescent="0.3"/>
    <row r="35" spans="11:16" ht="28.95" customHeight="1" x14ac:dyDescent="0.3"/>
    <row r="36" spans="11:16" ht="28.95" customHeight="1" x14ac:dyDescent="0.3"/>
    <row r="37" spans="11:16" ht="28.95" customHeight="1" x14ac:dyDescent="0.3"/>
    <row r="38" spans="11:16" ht="28.95" customHeight="1" x14ac:dyDescent="0.3"/>
    <row r="39" spans="11:16" ht="28.95" customHeight="1" x14ac:dyDescent="0.3"/>
    <row r="40" spans="11:16" ht="28.95" customHeight="1" x14ac:dyDescent="0.3"/>
    <row r="41" spans="11:16" ht="28.95" customHeight="1" x14ac:dyDescent="0.3"/>
    <row r="42" spans="11:16" ht="28.95" customHeight="1" x14ac:dyDescent="0.3"/>
    <row r="43" spans="11:16" ht="28.95" customHeight="1" x14ac:dyDescent="0.3"/>
    <row r="44" spans="11:16" ht="28.95" customHeight="1" x14ac:dyDescent="0.3"/>
    <row r="45" spans="11:16" ht="28.95" customHeight="1" x14ac:dyDescent="0.3"/>
    <row r="46" spans="11:16" ht="28.95" customHeight="1" x14ac:dyDescent="0.3"/>
    <row r="47" spans="11:16" ht="28.95" customHeight="1" x14ac:dyDescent="0.3"/>
    <row r="48" spans="11:16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5.109375" style="177" bestFit="1" customWidth="1"/>
    <col min="12" max="12" width="25.44140625" style="177" customWidth="1"/>
    <col min="13" max="13" width="26.33203125" style="177" customWidth="1"/>
    <col min="14" max="14" width="25.44140625" style="177" customWidth="1"/>
    <col min="15" max="15" width="24.33203125" style="177" customWidth="1"/>
    <col min="16" max="16" width="45.44140625" style="177" bestFit="1" customWidth="1"/>
    <col min="17" max="17" width="20.44140625" style="177" bestFit="1" customWidth="1"/>
    <col min="18" max="18" width="36" style="177" bestFit="1" customWidth="1"/>
    <col min="19" max="19" width="31.5546875" style="177" bestFit="1" customWidth="1"/>
    <col min="20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x14ac:dyDescent="0.3">
      <c r="K13" s="271" t="s">
        <v>220</v>
      </c>
      <c r="L13" s="271" t="s">
        <v>255</v>
      </c>
      <c r="M13" s="271" t="s">
        <v>256</v>
      </c>
      <c r="N13" s="271" t="s">
        <v>257</v>
      </c>
      <c r="O13" s="271" t="s">
        <v>258</v>
      </c>
      <c r="P13" s="271" t="s">
        <v>259</v>
      </c>
    </row>
    <row r="14" spans="1:51" ht="28.95" customHeight="1" x14ac:dyDescent="0.3">
      <c r="K14" s="269">
        <v>1</v>
      </c>
      <c r="L14" s="275">
        <v>50</v>
      </c>
      <c r="M14" s="270">
        <v>1000</v>
      </c>
      <c r="N14" s="276">
        <f>L14*M14</f>
        <v>50000</v>
      </c>
      <c r="O14" s="276">
        <f>L14*M14+N14</f>
        <v>100000</v>
      </c>
      <c r="P14" s="269" t="s">
        <v>260</v>
      </c>
    </row>
    <row r="15" spans="1:51" ht="28.95" customHeight="1" x14ac:dyDescent="0.3">
      <c r="K15" s="269">
        <f>K14+1</f>
        <v>2</v>
      </c>
      <c r="L15" s="275">
        <v>120</v>
      </c>
      <c r="M15" s="269">
        <v>800</v>
      </c>
      <c r="N15" s="276">
        <v>400</v>
      </c>
      <c r="O15" s="276">
        <v>600</v>
      </c>
      <c r="P15" s="269" t="s">
        <v>261</v>
      </c>
    </row>
    <row r="16" spans="1:51" ht="28.95" customHeight="1" x14ac:dyDescent="0.3">
      <c r="K16" s="269">
        <f t="shared" ref="K16:K33" si="0">K15+1</f>
        <v>3</v>
      </c>
      <c r="L16" s="275">
        <v>30</v>
      </c>
      <c r="M16" s="269">
        <v>500</v>
      </c>
      <c r="N16" s="276">
        <v>250</v>
      </c>
      <c r="O16" s="276">
        <v>400</v>
      </c>
      <c r="P16" s="269" t="s">
        <v>262</v>
      </c>
    </row>
    <row r="17" spans="11:16" ht="28.95" customHeight="1" x14ac:dyDescent="0.3">
      <c r="K17" s="269">
        <f t="shared" si="0"/>
        <v>4</v>
      </c>
      <c r="L17" s="275">
        <v>200</v>
      </c>
      <c r="M17" s="270">
        <v>1200</v>
      </c>
      <c r="N17" s="276">
        <v>600</v>
      </c>
      <c r="O17" s="276">
        <v>900</v>
      </c>
      <c r="P17" s="269" t="s">
        <v>263</v>
      </c>
    </row>
    <row r="18" spans="11:16" ht="28.95" customHeight="1" x14ac:dyDescent="0.3">
      <c r="K18" s="269">
        <f t="shared" si="0"/>
        <v>5</v>
      </c>
      <c r="L18" s="275">
        <v>15</v>
      </c>
      <c r="M18" s="270">
        <v>2000</v>
      </c>
      <c r="N18" s="276">
        <v>700</v>
      </c>
      <c r="O18" s="276">
        <v>1000</v>
      </c>
      <c r="P18" s="269" t="s">
        <v>264</v>
      </c>
    </row>
    <row r="19" spans="11:16" ht="28.95" customHeight="1" x14ac:dyDescent="0.3">
      <c r="K19" s="269">
        <f t="shared" si="0"/>
        <v>6</v>
      </c>
      <c r="L19" s="275">
        <v>80</v>
      </c>
      <c r="M19" s="270">
        <v>1500</v>
      </c>
      <c r="N19" s="276">
        <v>500</v>
      </c>
      <c r="O19" s="276">
        <v>800</v>
      </c>
      <c r="P19" s="269" t="s">
        <v>265</v>
      </c>
    </row>
    <row r="20" spans="11:16" ht="28.95" customHeight="1" x14ac:dyDescent="0.3">
      <c r="K20" s="269">
        <f t="shared" si="0"/>
        <v>7</v>
      </c>
      <c r="L20" s="275">
        <v>60</v>
      </c>
      <c r="M20" s="269">
        <v>400</v>
      </c>
      <c r="N20" s="276">
        <v>200</v>
      </c>
      <c r="O20" s="276">
        <v>300</v>
      </c>
      <c r="P20" s="269" t="s">
        <v>266</v>
      </c>
    </row>
    <row r="21" spans="11:16" ht="28.95" customHeight="1" x14ac:dyDescent="0.3">
      <c r="K21" s="269">
        <f t="shared" si="0"/>
        <v>8</v>
      </c>
      <c r="L21" s="275">
        <v>180</v>
      </c>
      <c r="M21" s="270">
        <v>2500</v>
      </c>
      <c r="N21" s="276">
        <v>800</v>
      </c>
      <c r="O21" s="276">
        <v>1200</v>
      </c>
      <c r="P21" s="269" t="s">
        <v>267</v>
      </c>
    </row>
    <row r="22" spans="11:16" ht="28.95" customHeight="1" x14ac:dyDescent="0.3">
      <c r="K22" s="269">
        <f t="shared" si="0"/>
        <v>9</v>
      </c>
      <c r="L22" s="275">
        <v>90</v>
      </c>
      <c r="M22" s="270">
        <v>1800</v>
      </c>
      <c r="N22" s="276">
        <v>550</v>
      </c>
      <c r="O22" s="276">
        <v>850</v>
      </c>
      <c r="P22" s="269" t="s">
        <v>268</v>
      </c>
    </row>
    <row r="23" spans="11:16" ht="28.95" customHeight="1" x14ac:dyDescent="0.3">
      <c r="K23" s="269">
        <f t="shared" si="0"/>
        <v>10</v>
      </c>
      <c r="L23" s="275">
        <v>40</v>
      </c>
      <c r="M23" s="269">
        <v>600</v>
      </c>
      <c r="N23" s="276">
        <v>300</v>
      </c>
      <c r="O23" s="276">
        <v>500</v>
      </c>
      <c r="P23" s="269" t="s">
        <v>269</v>
      </c>
    </row>
    <row r="24" spans="11:16" ht="28.95" customHeight="1" x14ac:dyDescent="0.3">
      <c r="K24" s="269">
        <f t="shared" si="0"/>
        <v>11</v>
      </c>
      <c r="L24" s="275">
        <v>150</v>
      </c>
      <c r="M24" s="270">
        <v>1000</v>
      </c>
      <c r="N24" s="276">
        <v>600</v>
      </c>
      <c r="O24" s="276">
        <v>950</v>
      </c>
      <c r="P24" s="269" t="s">
        <v>270</v>
      </c>
    </row>
    <row r="25" spans="11:16" ht="28.95" customHeight="1" x14ac:dyDescent="0.3">
      <c r="K25" s="269">
        <f t="shared" si="0"/>
        <v>12</v>
      </c>
      <c r="L25" s="275">
        <v>20</v>
      </c>
      <c r="M25" s="269">
        <v>700</v>
      </c>
      <c r="N25" s="276">
        <v>250</v>
      </c>
      <c r="O25" s="276">
        <v>400</v>
      </c>
      <c r="P25" s="269" t="s">
        <v>271</v>
      </c>
    </row>
    <row r="26" spans="11:16" ht="28.95" customHeight="1" x14ac:dyDescent="0.3">
      <c r="K26" s="269">
        <f t="shared" si="0"/>
        <v>13</v>
      </c>
      <c r="L26" s="275">
        <v>170</v>
      </c>
      <c r="M26" s="270">
        <v>2000</v>
      </c>
      <c r="N26" s="276">
        <v>750</v>
      </c>
      <c r="O26" s="276">
        <v>1150</v>
      </c>
      <c r="P26" s="269" t="s">
        <v>272</v>
      </c>
    </row>
    <row r="27" spans="11:16" ht="28.95" customHeight="1" x14ac:dyDescent="0.3">
      <c r="K27" s="269">
        <f t="shared" si="0"/>
        <v>14</v>
      </c>
      <c r="L27" s="275">
        <v>35</v>
      </c>
      <c r="M27" s="269">
        <v>900</v>
      </c>
      <c r="N27" s="276">
        <v>350</v>
      </c>
      <c r="O27" s="276">
        <v>550</v>
      </c>
      <c r="P27" s="269" t="s">
        <v>273</v>
      </c>
    </row>
    <row r="28" spans="11:16" ht="28.95" customHeight="1" x14ac:dyDescent="0.3">
      <c r="K28" s="269">
        <f t="shared" si="0"/>
        <v>15</v>
      </c>
      <c r="L28" s="275">
        <v>220</v>
      </c>
      <c r="M28" s="270">
        <v>2500</v>
      </c>
      <c r="N28" s="276">
        <v>900</v>
      </c>
      <c r="O28" s="276">
        <v>1400</v>
      </c>
      <c r="P28" s="269" t="s">
        <v>274</v>
      </c>
    </row>
    <row r="29" spans="11:16" ht="28.95" customHeight="1" x14ac:dyDescent="0.3">
      <c r="K29" s="269">
        <f t="shared" si="0"/>
        <v>16</v>
      </c>
      <c r="L29" s="275">
        <v>110</v>
      </c>
      <c r="M29" s="270">
        <v>1100</v>
      </c>
      <c r="N29" s="276">
        <v>450</v>
      </c>
      <c r="O29" s="276">
        <v>700</v>
      </c>
      <c r="P29" s="269" t="s">
        <v>275</v>
      </c>
    </row>
    <row r="30" spans="11:16" ht="28.95" customHeight="1" x14ac:dyDescent="0.3">
      <c r="K30" s="269">
        <f t="shared" si="0"/>
        <v>17</v>
      </c>
      <c r="L30" s="275">
        <v>75</v>
      </c>
      <c r="M30" s="270">
        <v>1300</v>
      </c>
      <c r="N30" s="276">
        <v>500</v>
      </c>
      <c r="O30" s="276">
        <v>750</v>
      </c>
      <c r="P30" s="269" t="s">
        <v>276</v>
      </c>
    </row>
    <row r="31" spans="11:16" ht="28.95" customHeight="1" x14ac:dyDescent="0.3">
      <c r="K31" s="269">
        <f t="shared" si="0"/>
        <v>18</v>
      </c>
      <c r="L31" s="275">
        <v>25</v>
      </c>
      <c r="M31" s="269">
        <v>950</v>
      </c>
      <c r="N31" s="276">
        <v>300</v>
      </c>
      <c r="O31" s="276">
        <v>450</v>
      </c>
      <c r="P31" s="269" t="s">
        <v>277</v>
      </c>
    </row>
    <row r="32" spans="11:16" ht="28.95" customHeight="1" x14ac:dyDescent="0.3">
      <c r="K32" s="269">
        <f t="shared" si="0"/>
        <v>19</v>
      </c>
      <c r="L32" s="275">
        <v>140</v>
      </c>
      <c r="M32" s="270">
        <v>1600</v>
      </c>
      <c r="N32" s="276">
        <v>650</v>
      </c>
      <c r="O32" s="276">
        <v>1000</v>
      </c>
      <c r="P32" s="269" t="s">
        <v>278</v>
      </c>
    </row>
    <row r="33" spans="11:16" ht="28.95" customHeight="1" x14ac:dyDescent="0.3">
      <c r="K33" s="269">
        <f t="shared" si="0"/>
        <v>20</v>
      </c>
      <c r="L33" s="275">
        <v>50</v>
      </c>
      <c r="M33" s="269">
        <v>850</v>
      </c>
      <c r="N33" s="276">
        <v>350</v>
      </c>
      <c r="O33" s="276">
        <v>550</v>
      </c>
      <c r="P33" s="269" t="s">
        <v>279</v>
      </c>
    </row>
    <row r="34" spans="11:16" ht="28.95" customHeight="1" x14ac:dyDescent="0.3"/>
    <row r="35" spans="11:16" ht="28.95" customHeight="1" x14ac:dyDescent="0.3"/>
    <row r="36" spans="11:16" ht="28.95" customHeight="1" x14ac:dyDescent="0.3"/>
    <row r="37" spans="11:16" ht="28.95" customHeight="1" x14ac:dyDescent="0.3"/>
    <row r="38" spans="11:16" ht="28.95" customHeight="1" x14ac:dyDescent="0.3"/>
    <row r="39" spans="11:16" ht="28.95" customHeight="1" x14ac:dyDescent="0.3"/>
    <row r="40" spans="11:16" ht="28.95" customHeight="1" x14ac:dyDescent="0.3"/>
    <row r="41" spans="11:16" ht="28.95" customHeight="1" x14ac:dyDescent="0.3"/>
    <row r="42" spans="11:16" ht="28.95" customHeight="1" x14ac:dyDescent="0.3"/>
    <row r="43" spans="11:16" ht="28.95" customHeight="1" x14ac:dyDescent="0.3"/>
    <row r="44" spans="11:16" ht="28.95" customHeight="1" x14ac:dyDescent="0.3"/>
    <row r="45" spans="11:16" ht="28.95" customHeight="1" x14ac:dyDescent="0.3"/>
    <row r="46" spans="11:16" ht="28.95" customHeight="1" x14ac:dyDescent="0.3"/>
    <row r="47" spans="11:16" ht="28.95" customHeight="1" x14ac:dyDescent="0.3"/>
    <row r="48" spans="11:16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4.5546875" style="177" customWidth="1"/>
    <col min="12" max="12" width="25.44140625" style="177" customWidth="1"/>
    <col min="13" max="13" width="26.33203125" style="177" customWidth="1"/>
    <col min="14" max="14" width="25.44140625" style="177" customWidth="1"/>
    <col min="15" max="15" width="24.33203125" style="177" customWidth="1"/>
    <col min="16" max="16" width="45.44140625" style="177" customWidth="1"/>
    <col min="17" max="17" width="20.44140625" style="177" bestFit="1" customWidth="1"/>
    <col min="18" max="18" width="36" style="177" bestFit="1" customWidth="1"/>
    <col min="19" max="19" width="31.5546875" style="177" bestFit="1" customWidth="1"/>
    <col min="20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x14ac:dyDescent="0.3">
      <c r="K13" s="271" t="s">
        <v>220</v>
      </c>
      <c r="L13" s="271" t="s">
        <v>255</v>
      </c>
      <c r="M13" s="271" t="s">
        <v>256</v>
      </c>
      <c r="N13" s="271" t="s">
        <v>257</v>
      </c>
      <c r="O13" s="271" t="s">
        <v>258</v>
      </c>
      <c r="P13" s="271" t="s">
        <v>259</v>
      </c>
    </row>
    <row r="14" spans="1:51" ht="28.95" customHeight="1" x14ac:dyDescent="0.3">
      <c r="K14" s="269">
        <v>1</v>
      </c>
      <c r="L14" s="275">
        <v>50</v>
      </c>
      <c r="M14" s="270">
        <v>1000</v>
      </c>
      <c r="N14" s="276">
        <f>L14*M14</f>
        <v>50000</v>
      </c>
      <c r="O14" s="276">
        <f>L14*M14+N14</f>
        <v>100000</v>
      </c>
      <c r="P14" s="269" t="s">
        <v>260</v>
      </c>
    </row>
    <row r="15" spans="1:51" ht="28.95" customHeight="1" x14ac:dyDescent="0.3">
      <c r="K15" s="269">
        <f>K14+1</f>
        <v>2</v>
      </c>
      <c r="L15" s="275">
        <v>120</v>
      </c>
      <c r="M15" s="269">
        <v>800</v>
      </c>
      <c r="N15" s="276">
        <v>400</v>
      </c>
      <c r="O15" s="276">
        <v>600</v>
      </c>
      <c r="P15" s="269" t="s">
        <v>261</v>
      </c>
    </row>
    <row r="16" spans="1:51" ht="28.95" customHeight="1" x14ac:dyDescent="0.3">
      <c r="K16" s="269">
        <f t="shared" ref="K16:K33" si="0">K15+1</f>
        <v>3</v>
      </c>
      <c r="L16" s="275">
        <v>30</v>
      </c>
      <c r="M16" s="269">
        <v>500</v>
      </c>
      <c r="N16" s="276">
        <v>250</v>
      </c>
      <c r="O16" s="276">
        <v>400</v>
      </c>
      <c r="P16" s="269" t="s">
        <v>262</v>
      </c>
    </row>
    <row r="17" spans="11:16" ht="28.95" customHeight="1" x14ac:dyDescent="0.3">
      <c r="K17" s="269">
        <f t="shared" si="0"/>
        <v>4</v>
      </c>
      <c r="L17" s="275">
        <v>200</v>
      </c>
      <c r="M17" s="270">
        <v>1200</v>
      </c>
      <c r="N17" s="276">
        <v>600</v>
      </c>
      <c r="O17" s="276">
        <v>900</v>
      </c>
      <c r="P17" s="269" t="s">
        <v>263</v>
      </c>
    </row>
    <row r="18" spans="11:16" ht="28.95" customHeight="1" x14ac:dyDescent="0.3">
      <c r="K18" s="269">
        <f t="shared" si="0"/>
        <v>5</v>
      </c>
      <c r="L18" s="275">
        <v>15</v>
      </c>
      <c r="M18" s="270">
        <v>2000</v>
      </c>
      <c r="N18" s="276">
        <v>700</v>
      </c>
      <c r="O18" s="276">
        <v>1000</v>
      </c>
      <c r="P18" s="269" t="s">
        <v>264</v>
      </c>
    </row>
    <row r="19" spans="11:16" ht="28.95" customHeight="1" x14ac:dyDescent="0.3">
      <c r="K19" s="269">
        <f t="shared" si="0"/>
        <v>6</v>
      </c>
      <c r="L19" s="275">
        <v>80</v>
      </c>
      <c r="M19" s="270">
        <v>1500</v>
      </c>
      <c r="N19" s="276">
        <v>500</v>
      </c>
      <c r="O19" s="276">
        <v>800</v>
      </c>
      <c r="P19" s="269" t="s">
        <v>265</v>
      </c>
    </row>
    <row r="20" spans="11:16" ht="28.95" customHeight="1" x14ac:dyDescent="0.3">
      <c r="K20" s="269">
        <f t="shared" si="0"/>
        <v>7</v>
      </c>
      <c r="L20" s="275">
        <v>60</v>
      </c>
      <c r="M20" s="269">
        <v>400</v>
      </c>
      <c r="N20" s="276">
        <v>200</v>
      </c>
      <c r="O20" s="276">
        <v>300</v>
      </c>
      <c r="P20" s="269" t="s">
        <v>266</v>
      </c>
    </row>
    <row r="21" spans="11:16" ht="28.95" customHeight="1" x14ac:dyDescent="0.3">
      <c r="K21" s="269">
        <f t="shared" si="0"/>
        <v>8</v>
      </c>
      <c r="L21" s="275">
        <v>180</v>
      </c>
      <c r="M21" s="270">
        <v>2500</v>
      </c>
      <c r="N21" s="276">
        <v>800</v>
      </c>
      <c r="O21" s="276">
        <v>1200</v>
      </c>
      <c r="P21" s="269" t="s">
        <v>267</v>
      </c>
    </row>
    <row r="22" spans="11:16" ht="28.95" customHeight="1" x14ac:dyDescent="0.3">
      <c r="K22" s="269">
        <f t="shared" si="0"/>
        <v>9</v>
      </c>
      <c r="L22" s="275">
        <v>90</v>
      </c>
      <c r="M22" s="270">
        <v>1800</v>
      </c>
      <c r="N22" s="276">
        <v>550</v>
      </c>
      <c r="O22" s="276">
        <v>850</v>
      </c>
      <c r="P22" s="269" t="s">
        <v>268</v>
      </c>
    </row>
    <row r="23" spans="11:16" ht="28.95" customHeight="1" x14ac:dyDescent="0.3">
      <c r="K23" s="269">
        <f t="shared" si="0"/>
        <v>10</v>
      </c>
      <c r="L23" s="275">
        <v>40</v>
      </c>
      <c r="M23" s="269">
        <v>600</v>
      </c>
      <c r="N23" s="276">
        <v>300</v>
      </c>
      <c r="O23" s="276">
        <v>500</v>
      </c>
      <c r="P23" s="269" t="s">
        <v>269</v>
      </c>
    </row>
    <row r="24" spans="11:16" ht="28.95" customHeight="1" x14ac:dyDescent="0.3">
      <c r="K24" s="269">
        <f t="shared" si="0"/>
        <v>11</v>
      </c>
      <c r="L24" s="275">
        <v>150</v>
      </c>
      <c r="M24" s="270">
        <v>1000</v>
      </c>
      <c r="N24" s="276">
        <v>600</v>
      </c>
      <c r="O24" s="276">
        <v>950</v>
      </c>
      <c r="P24" s="269" t="s">
        <v>270</v>
      </c>
    </row>
    <row r="25" spans="11:16" ht="28.95" customHeight="1" x14ac:dyDescent="0.3">
      <c r="K25" s="269">
        <f t="shared" si="0"/>
        <v>12</v>
      </c>
      <c r="L25" s="275">
        <v>20</v>
      </c>
      <c r="M25" s="269">
        <v>700</v>
      </c>
      <c r="N25" s="276">
        <v>250</v>
      </c>
      <c r="O25" s="276">
        <v>400</v>
      </c>
      <c r="P25" s="269" t="s">
        <v>271</v>
      </c>
    </row>
    <row r="26" spans="11:16" ht="28.95" customHeight="1" x14ac:dyDescent="0.3">
      <c r="K26" s="269">
        <f t="shared" si="0"/>
        <v>13</v>
      </c>
      <c r="L26" s="275">
        <v>170</v>
      </c>
      <c r="M26" s="270">
        <v>2000</v>
      </c>
      <c r="N26" s="276">
        <v>750</v>
      </c>
      <c r="O26" s="276">
        <v>1150</v>
      </c>
      <c r="P26" s="269" t="s">
        <v>272</v>
      </c>
    </row>
    <row r="27" spans="11:16" ht="28.95" customHeight="1" x14ac:dyDescent="0.3">
      <c r="K27" s="269">
        <f t="shared" si="0"/>
        <v>14</v>
      </c>
      <c r="L27" s="275">
        <v>35</v>
      </c>
      <c r="M27" s="269">
        <v>900</v>
      </c>
      <c r="N27" s="276">
        <v>350</v>
      </c>
      <c r="O27" s="276">
        <v>550</v>
      </c>
      <c r="P27" s="269" t="s">
        <v>273</v>
      </c>
    </row>
    <row r="28" spans="11:16" ht="28.95" customHeight="1" x14ac:dyDescent="0.3">
      <c r="K28" s="269">
        <f t="shared" si="0"/>
        <v>15</v>
      </c>
      <c r="L28" s="275">
        <v>220</v>
      </c>
      <c r="M28" s="270">
        <v>2500</v>
      </c>
      <c r="N28" s="276">
        <v>900</v>
      </c>
      <c r="O28" s="276">
        <v>1400</v>
      </c>
      <c r="P28" s="269" t="s">
        <v>274</v>
      </c>
    </row>
    <row r="29" spans="11:16" ht="28.95" customHeight="1" x14ac:dyDescent="0.3">
      <c r="K29" s="269">
        <f t="shared" si="0"/>
        <v>16</v>
      </c>
      <c r="L29" s="275">
        <v>110</v>
      </c>
      <c r="M29" s="270">
        <v>1100</v>
      </c>
      <c r="N29" s="276">
        <v>450</v>
      </c>
      <c r="O29" s="276">
        <v>700</v>
      </c>
      <c r="P29" s="269" t="s">
        <v>275</v>
      </c>
    </row>
    <row r="30" spans="11:16" ht="28.95" customHeight="1" x14ac:dyDescent="0.3">
      <c r="K30" s="269">
        <f t="shared" si="0"/>
        <v>17</v>
      </c>
      <c r="L30" s="275">
        <v>75</v>
      </c>
      <c r="M30" s="270">
        <v>1300</v>
      </c>
      <c r="N30" s="276">
        <v>500</v>
      </c>
      <c r="O30" s="276">
        <v>750</v>
      </c>
      <c r="P30" s="269" t="s">
        <v>276</v>
      </c>
    </row>
    <row r="31" spans="11:16" ht="28.95" customHeight="1" x14ac:dyDescent="0.3">
      <c r="K31" s="269">
        <f t="shared" si="0"/>
        <v>18</v>
      </c>
      <c r="L31" s="275">
        <v>25</v>
      </c>
      <c r="M31" s="269">
        <v>950</v>
      </c>
      <c r="N31" s="276">
        <v>300</v>
      </c>
      <c r="O31" s="276">
        <v>450</v>
      </c>
      <c r="P31" s="269" t="s">
        <v>277</v>
      </c>
    </row>
    <row r="32" spans="11:16" ht="28.95" customHeight="1" x14ac:dyDescent="0.3">
      <c r="K32" s="269">
        <f t="shared" si="0"/>
        <v>19</v>
      </c>
      <c r="L32" s="275">
        <v>140</v>
      </c>
      <c r="M32" s="270">
        <v>1600</v>
      </c>
      <c r="N32" s="276">
        <v>650</v>
      </c>
      <c r="O32" s="276">
        <v>1000</v>
      </c>
      <c r="P32" s="269" t="s">
        <v>278</v>
      </c>
    </row>
    <row r="33" spans="11:16" ht="28.95" customHeight="1" x14ac:dyDescent="0.3">
      <c r="K33" s="269">
        <f t="shared" si="0"/>
        <v>20</v>
      </c>
      <c r="L33" s="275">
        <v>50</v>
      </c>
      <c r="M33" s="269">
        <v>850</v>
      </c>
      <c r="N33" s="276">
        <v>350</v>
      </c>
      <c r="O33" s="276">
        <v>550</v>
      </c>
      <c r="P33" s="269" t="s">
        <v>279</v>
      </c>
    </row>
    <row r="34" spans="11:16" ht="28.95" customHeight="1" x14ac:dyDescent="0.3"/>
    <row r="35" spans="11:16" ht="28.95" customHeight="1" x14ac:dyDescent="0.3"/>
    <row r="36" spans="11:16" ht="28.95" customHeight="1" x14ac:dyDescent="0.3"/>
    <row r="37" spans="11:16" ht="28.95" customHeight="1" x14ac:dyDescent="0.3"/>
    <row r="38" spans="11:16" ht="28.95" customHeight="1" x14ac:dyDescent="0.3"/>
    <row r="39" spans="11:16" ht="28.95" customHeight="1" x14ac:dyDescent="0.3"/>
    <row r="40" spans="11:16" ht="28.95" customHeight="1" x14ac:dyDescent="0.3"/>
    <row r="41" spans="11:16" ht="28.95" customHeight="1" x14ac:dyDescent="0.3"/>
    <row r="42" spans="11:16" ht="28.95" customHeight="1" x14ac:dyDescent="0.3"/>
    <row r="43" spans="11:16" ht="28.95" customHeight="1" x14ac:dyDescent="0.3"/>
    <row r="44" spans="11:16" ht="28.95" customHeight="1" x14ac:dyDescent="0.3"/>
    <row r="45" spans="11:16" ht="28.95" customHeight="1" x14ac:dyDescent="0.3"/>
    <row r="46" spans="11:16" ht="28.95" customHeight="1" x14ac:dyDescent="0.3"/>
    <row r="47" spans="11:16" ht="28.95" customHeight="1" x14ac:dyDescent="0.3"/>
    <row r="48" spans="11:16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4.5546875" style="177" customWidth="1"/>
    <col min="12" max="12" width="25.44140625" style="177" customWidth="1"/>
    <col min="13" max="13" width="26.33203125" style="177" customWidth="1"/>
    <col min="14" max="14" width="25.44140625" style="177" customWidth="1"/>
    <col min="15" max="15" width="24.33203125" style="177" customWidth="1"/>
    <col min="16" max="16" width="45.44140625" style="177" customWidth="1"/>
    <col min="17" max="17" width="20.44140625" style="177" bestFit="1" customWidth="1"/>
    <col min="18" max="18" width="36" style="177" bestFit="1" customWidth="1"/>
    <col min="19" max="19" width="31.5546875" style="177" bestFit="1" customWidth="1"/>
    <col min="20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x14ac:dyDescent="0.3">
      <c r="K13" s="271" t="s">
        <v>220</v>
      </c>
      <c r="L13" s="271" t="s">
        <v>255</v>
      </c>
      <c r="M13" s="271" t="s">
        <v>256</v>
      </c>
      <c r="N13" s="271" t="s">
        <v>257</v>
      </c>
      <c r="O13" s="271" t="s">
        <v>258</v>
      </c>
      <c r="P13" s="271" t="s">
        <v>259</v>
      </c>
    </row>
    <row r="14" spans="1:51" ht="28.95" customHeight="1" x14ac:dyDescent="0.3">
      <c r="K14" s="269">
        <v>1</v>
      </c>
      <c r="L14" s="275">
        <v>50</v>
      </c>
      <c r="M14" s="270">
        <v>1000</v>
      </c>
      <c r="N14" s="276">
        <f>L14*M14</f>
        <v>50000</v>
      </c>
      <c r="O14" s="276">
        <f>L14*M14+N14</f>
        <v>100000</v>
      </c>
      <c r="P14" s="269" t="s">
        <v>260</v>
      </c>
    </row>
    <row r="15" spans="1:51" ht="28.95" customHeight="1" x14ac:dyDescent="0.3">
      <c r="K15" s="269">
        <f>K14+1</f>
        <v>2</v>
      </c>
      <c r="L15" s="275">
        <v>120</v>
      </c>
      <c r="M15" s="269">
        <v>800</v>
      </c>
      <c r="N15" s="276">
        <v>400</v>
      </c>
      <c r="O15" s="276">
        <v>600</v>
      </c>
      <c r="P15" s="269" t="s">
        <v>261</v>
      </c>
    </row>
    <row r="16" spans="1:51" ht="28.95" customHeight="1" x14ac:dyDescent="0.3">
      <c r="K16" s="269">
        <f t="shared" ref="K16:K33" si="0">K15+1</f>
        <v>3</v>
      </c>
      <c r="L16" s="275">
        <v>30</v>
      </c>
      <c r="M16" s="269">
        <v>500</v>
      </c>
      <c r="N16" s="276">
        <v>250</v>
      </c>
      <c r="O16" s="276">
        <v>400</v>
      </c>
      <c r="P16" s="269" t="s">
        <v>262</v>
      </c>
    </row>
    <row r="17" spans="11:16" ht="28.95" customHeight="1" x14ac:dyDescent="0.3">
      <c r="K17" s="269">
        <f t="shared" si="0"/>
        <v>4</v>
      </c>
      <c r="L17" s="275">
        <v>200</v>
      </c>
      <c r="M17" s="270">
        <v>1200</v>
      </c>
      <c r="N17" s="276">
        <v>600</v>
      </c>
      <c r="O17" s="276">
        <v>900</v>
      </c>
      <c r="P17" s="269" t="s">
        <v>263</v>
      </c>
    </row>
    <row r="18" spans="11:16" ht="28.95" customHeight="1" x14ac:dyDescent="0.3">
      <c r="K18" s="269">
        <f t="shared" si="0"/>
        <v>5</v>
      </c>
      <c r="L18" s="275">
        <v>15</v>
      </c>
      <c r="M18" s="270">
        <v>2000</v>
      </c>
      <c r="N18" s="276">
        <v>700</v>
      </c>
      <c r="O18" s="276">
        <v>1000</v>
      </c>
      <c r="P18" s="269" t="s">
        <v>264</v>
      </c>
    </row>
    <row r="19" spans="11:16" ht="28.95" customHeight="1" x14ac:dyDescent="0.3">
      <c r="K19" s="269">
        <f t="shared" si="0"/>
        <v>6</v>
      </c>
      <c r="L19" s="275">
        <v>80</v>
      </c>
      <c r="M19" s="270">
        <v>1500</v>
      </c>
      <c r="N19" s="276">
        <v>500</v>
      </c>
      <c r="O19" s="276">
        <v>800</v>
      </c>
      <c r="P19" s="269" t="s">
        <v>265</v>
      </c>
    </row>
    <row r="20" spans="11:16" ht="28.95" customHeight="1" x14ac:dyDescent="0.3">
      <c r="K20" s="269">
        <f t="shared" si="0"/>
        <v>7</v>
      </c>
      <c r="L20" s="275">
        <v>60</v>
      </c>
      <c r="M20" s="269">
        <v>400</v>
      </c>
      <c r="N20" s="276">
        <v>200</v>
      </c>
      <c r="O20" s="276">
        <v>300</v>
      </c>
      <c r="P20" s="269" t="s">
        <v>266</v>
      </c>
    </row>
    <row r="21" spans="11:16" ht="28.95" customHeight="1" x14ac:dyDescent="0.3">
      <c r="K21" s="269">
        <f t="shared" si="0"/>
        <v>8</v>
      </c>
      <c r="L21" s="275">
        <v>180</v>
      </c>
      <c r="M21" s="270">
        <v>2500</v>
      </c>
      <c r="N21" s="276">
        <v>800</v>
      </c>
      <c r="O21" s="276">
        <v>1200</v>
      </c>
      <c r="P21" s="269" t="s">
        <v>267</v>
      </c>
    </row>
    <row r="22" spans="11:16" ht="28.95" customHeight="1" x14ac:dyDescent="0.3">
      <c r="K22" s="269">
        <f t="shared" si="0"/>
        <v>9</v>
      </c>
      <c r="L22" s="275">
        <v>90</v>
      </c>
      <c r="M22" s="270">
        <v>1800</v>
      </c>
      <c r="N22" s="276">
        <v>550</v>
      </c>
      <c r="O22" s="276">
        <v>850</v>
      </c>
      <c r="P22" s="269" t="s">
        <v>268</v>
      </c>
    </row>
    <row r="23" spans="11:16" ht="28.95" customHeight="1" x14ac:dyDescent="0.3">
      <c r="K23" s="269">
        <f t="shared" si="0"/>
        <v>10</v>
      </c>
      <c r="L23" s="275">
        <v>40</v>
      </c>
      <c r="M23" s="269">
        <v>600</v>
      </c>
      <c r="N23" s="276">
        <v>300</v>
      </c>
      <c r="O23" s="276">
        <v>500</v>
      </c>
      <c r="P23" s="269" t="s">
        <v>269</v>
      </c>
    </row>
    <row r="24" spans="11:16" ht="28.95" customHeight="1" x14ac:dyDescent="0.3">
      <c r="K24" s="269">
        <f t="shared" si="0"/>
        <v>11</v>
      </c>
      <c r="L24" s="275">
        <v>150</v>
      </c>
      <c r="M24" s="270">
        <v>1000</v>
      </c>
      <c r="N24" s="276">
        <v>600</v>
      </c>
      <c r="O24" s="276">
        <v>950</v>
      </c>
      <c r="P24" s="269" t="s">
        <v>270</v>
      </c>
    </row>
    <row r="25" spans="11:16" ht="28.95" customHeight="1" x14ac:dyDescent="0.3">
      <c r="K25" s="269">
        <f t="shared" si="0"/>
        <v>12</v>
      </c>
      <c r="L25" s="275">
        <v>20</v>
      </c>
      <c r="M25" s="269">
        <v>700</v>
      </c>
      <c r="N25" s="276">
        <v>250</v>
      </c>
      <c r="O25" s="276">
        <v>400</v>
      </c>
      <c r="P25" s="269" t="s">
        <v>271</v>
      </c>
    </row>
    <row r="26" spans="11:16" ht="28.95" customHeight="1" x14ac:dyDescent="0.3">
      <c r="K26" s="269">
        <f t="shared" si="0"/>
        <v>13</v>
      </c>
      <c r="L26" s="275">
        <v>170</v>
      </c>
      <c r="M26" s="270">
        <v>2000</v>
      </c>
      <c r="N26" s="276">
        <v>750</v>
      </c>
      <c r="O26" s="276">
        <v>1150</v>
      </c>
      <c r="P26" s="269" t="s">
        <v>272</v>
      </c>
    </row>
    <row r="27" spans="11:16" ht="28.95" customHeight="1" x14ac:dyDescent="0.3">
      <c r="K27" s="269">
        <f t="shared" si="0"/>
        <v>14</v>
      </c>
      <c r="L27" s="275">
        <v>35</v>
      </c>
      <c r="M27" s="269">
        <v>900</v>
      </c>
      <c r="N27" s="276">
        <v>350</v>
      </c>
      <c r="O27" s="276">
        <v>550</v>
      </c>
      <c r="P27" s="269" t="s">
        <v>273</v>
      </c>
    </row>
    <row r="28" spans="11:16" ht="28.95" customHeight="1" x14ac:dyDescent="0.3">
      <c r="K28" s="269">
        <f t="shared" si="0"/>
        <v>15</v>
      </c>
      <c r="L28" s="275">
        <v>220</v>
      </c>
      <c r="M28" s="270">
        <v>2500</v>
      </c>
      <c r="N28" s="276">
        <v>900</v>
      </c>
      <c r="O28" s="276">
        <v>1400</v>
      </c>
      <c r="P28" s="269" t="s">
        <v>274</v>
      </c>
    </row>
    <row r="29" spans="11:16" ht="28.95" customHeight="1" x14ac:dyDescent="0.3">
      <c r="K29" s="269">
        <f t="shared" si="0"/>
        <v>16</v>
      </c>
      <c r="L29" s="275">
        <v>110</v>
      </c>
      <c r="M29" s="270">
        <v>1100</v>
      </c>
      <c r="N29" s="276">
        <v>450</v>
      </c>
      <c r="O29" s="276">
        <v>700</v>
      </c>
      <c r="P29" s="269" t="s">
        <v>275</v>
      </c>
    </row>
    <row r="30" spans="11:16" ht="28.95" customHeight="1" x14ac:dyDescent="0.3">
      <c r="K30" s="269">
        <f t="shared" si="0"/>
        <v>17</v>
      </c>
      <c r="L30" s="275">
        <v>75</v>
      </c>
      <c r="M30" s="270">
        <v>1300</v>
      </c>
      <c r="N30" s="276">
        <v>500</v>
      </c>
      <c r="O30" s="276">
        <v>750</v>
      </c>
      <c r="P30" s="269" t="s">
        <v>276</v>
      </c>
    </row>
    <row r="31" spans="11:16" ht="28.95" customHeight="1" x14ac:dyDescent="0.3">
      <c r="K31" s="269">
        <f t="shared" si="0"/>
        <v>18</v>
      </c>
      <c r="L31" s="275">
        <v>25</v>
      </c>
      <c r="M31" s="269">
        <v>950</v>
      </c>
      <c r="N31" s="276">
        <v>300</v>
      </c>
      <c r="O31" s="276">
        <v>450</v>
      </c>
      <c r="P31" s="269" t="s">
        <v>277</v>
      </c>
    </row>
    <row r="32" spans="11:16" ht="28.95" customHeight="1" x14ac:dyDescent="0.3">
      <c r="K32" s="269">
        <f t="shared" si="0"/>
        <v>19</v>
      </c>
      <c r="L32" s="275">
        <v>140</v>
      </c>
      <c r="M32" s="270">
        <v>1600</v>
      </c>
      <c r="N32" s="276">
        <v>650</v>
      </c>
      <c r="O32" s="276">
        <v>1000</v>
      </c>
      <c r="P32" s="269" t="s">
        <v>278</v>
      </c>
    </row>
    <row r="33" spans="11:16" ht="28.95" customHeight="1" x14ac:dyDescent="0.3">
      <c r="K33" s="269">
        <f t="shared" si="0"/>
        <v>20</v>
      </c>
      <c r="L33" s="275">
        <v>50</v>
      </c>
      <c r="M33" s="269">
        <v>850</v>
      </c>
      <c r="N33" s="276">
        <v>350</v>
      </c>
      <c r="O33" s="276">
        <v>550</v>
      </c>
      <c r="P33" s="269" t="s">
        <v>279</v>
      </c>
    </row>
    <row r="34" spans="11:16" ht="28.95" customHeight="1" x14ac:dyDescent="0.3"/>
    <row r="35" spans="11:16" ht="28.95" customHeight="1" x14ac:dyDescent="0.3"/>
    <row r="36" spans="11:16" ht="28.95" customHeight="1" x14ac:dyDescent="0.3"/>
    <row r="37" spans="11:16" ht="28.95" customHeight="1" x14ac:dyDescent="0.3"/>
    <row r="38" spans="11:16" ht="28.95" customHeight="1" x14ac:dyDescent="0.3"/>
    <row r="39" spans="11:16" ht="28.95" customHeight="1" x14ac:dyDescent="0.3"/>
    <row r="40" spans="11:16" ht="28.95" customHeight="1" x14ac:dyDescent="0.3"/>
    <row r="41" spans="11:16" ht="28.95" customHeight="1" x14ac:dyDescent="0.3"/>
    <row r="42" spans="11:16" ht="28.95" customHeight="1" x14ac:dyDescent="0.3"/>
    <row r="43" spans="11:16" ht="28.95" customHeight="1" x14ac:dyDescent="0.3"/>
    <row r="44" spans="11:16" ht="28.95" customHeight="1" x14ac:dyDescent="0.3"/>
    <row r="45" spans="11:16" ht="28.95" customHeight="1" x14ac:dyDescent="0.3"/>
    <row r="46" spans="11:16" ht="28.95" customHeight="1" x14ac:dyDescent="0.3"/>
    <row r="47" spans="11:16" ht="28.95" customHeight="1" x14ac:dyDescent="0.3"/>
    <row r="48" spans="11:16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35">
    <tabColor rgb="FFC00000"/>
  </sheetPr>
  <dimension ref="A1:AY66"/>
  <sheetViews>
    <sheetView zoomScale="40" zoomScaleNormal="40" workbookViewId="0">
      <selection activeCell="A19" sqref="A19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4.5546875" style="177" customWidth="1"/>
    <col min="12" max="12" width="25.44140625" style="177" customWidth="1"/>
    <col min="13" max="13" width="26.33203125" style="177" customWidth="1"/>
    <col min="14" max="14" width="2.6640625" style="177" bestFit="1" customWidth="1"/>
    <col min="15" max="15" width="47.6640625" style="177" customWidth="1"/>
    <col min="16" max="16" width="2.6640625" style="177" bestFit="1" customWidth="1"/>
    <col min="17" max="17" width="20.44140625" style="177" bestFit="1" customWidth="1"/>
    <col min="18" max="18" width="2.6640625" style="177" bestFit="1" customWidth="1"/>
    <col min="19" max="19" width="46.88671875" style="177" customWidth="1"/>
    <col min="20" max="23" width="8.88671875" style="177"/>
    <col min="24" max="24" width="23.44140625" style="177" bestFit="1" customWidth="1"/>
    <col min="25" max="25" width="2.6640625" style="177" bestFit="1" customWidth="1"/>
    <col min="26" max="26" width="51.109375" style="177" customWidth="1"/>
    <col min="27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thickBot="1" x14ac:dyDescent="0.35"/>
    <row r="14" spans="1:51" ht="28.95" customHeight="1" x14ac:dyDescent="0.3">
      <c r="N14" s="453" t="s">
        <v>280</v>
      </c>
      <c r="O14" s="454"/>
      <c r="P14" s="454"/>
      <c r="Q14" s="454"/>
      <c r="R14" s="454"/>
      <c r="S14" s="454"/>
      <c r="T14" s="455"/>
      <c r="W14" s="475" t="s">
        <v>281</v>
      </c>
      <c r="X14" s="476"/>
      <c r="Y14" s="476"/>
      <c r="Z14" s="476"/>
      <c r="AA14" s="477"/>
    </row>
    <row r="15" spans="1:51" ht="28.95" customHeight="1" x14ac:dyDescent="0.3">
      <c r="N15" s="456"/>
      <c r="O15" s="457"/>
      <c r="P15" s="457"/>
      <c r="Q15" s="457"/>
      <c r="R15" s="457"/>
      <c r="S15" s="457"/>
      <c r="T15" s="458"/>
      <c r="W15" s="478"/>
      <c r="X15" s="479"/>
      <c r="Y15" s="479"/>
      <c r="Z15" s="479"/>
      <c r="AA15" s="480"/>
    </row>
    <row r="16" spans="1:51" ht="28.95" customHeight="1" x14ac:dyDescent="0.3">
      <c r="N16" s="456"/>
      <c r="O16" s="457"/>
      <c r="P16" s="457"/>
      <c r="Q16" s="457"/>
      <c r="R16" s="457"/>
      <c r="S16" s="457"/>
      <c r="T16" s="458"/>
      <c r="W16" s="478"/>
      <c r="X16" s="479"/>
      <c r="Y16" s="479"/>
      <c r="Z16" s="479"/>
      <c r="AA16" s="480"/>
    </row>
    <row r="17" spans="14:27" ht="28.95" customHeight="1" x14ac:dyDescent="0.55000000000000004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244" t="s">
        <v>13</v>
      </c>
      <c r="W17" s="42" t="s">
        <v>13</v>
      </c>
      <c r="X17" s="39" t="s">
        <v>13</v>
      </c>
      <c r="Y17" s="40" t="s">
        <v>13</v>
      </c>
      <c r="Z17" s="40" t="s">
        <v>13</v>
      </c>
      <c r="AA17" s="43" t="s">
        <v>13</v>
      </c>
    </row>
    <row r="18" spans="14:27" ht="28.95" customHeight="1" x14ac:dyDescent="0.55000000000000004">
      <c r="N18" s="17" t="s">
        <v>13</v>
      </c>
      <c r="O18" s="254" t="s">
        <v>3</v>
      </c>
      <c r="P18" s="57"/>
      <c r="Q18" s="56" t="s">
        <v>13</v>
      </c>
      <c r="R18" s="56" t="s">
        <v>13</v>
      </c>
      <c r="S18" s="239"/>
      <c r="T18" s="244" t="s">
        <v>13</v>
      </c>
      <c r="W18" s="42" t="s">
        <v>13</v>
      </c>
      <c r="X18" s="281" t="s">
        <v>282</v>
      </c>
      <c r="Y18" s="41"/>
      <c r="Z18" s="218"/>
      <c r="AA18" s="44" t="s">
        <v>13</v>
      </c>
    </row>
    <row r="19" spans="14:27" ht="28.95" customHeight="1" x14ac:dyDescent="0.55000000000000004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  <c r="W19" s="42" t="s">
        <v>13</v>
      </c>
      <c r="X19" s="96"/>
      <c r="Y19" s="40"/>
      <c r="Z19" s="40"/>
      <c r="AA19" s="43" t="s">
        <v>13</v>
      </c>
    </row>
    <row r="20" spans="14:27" ht="28.95" customHeight="1" x14ac:dyDescent="0.55000000000000004">
      <c r="N20" s="17" t="s">
        <v>13</v>
      </c>
      <c r="O20" s="277" t="s">
        <v>4</v>
      </c>
      <c r="P20" s="57"/>
      <c r="Q20" s="56" t="s">
        <v>13</v>
      </c>
      <c r="R20" s="56" t="s">
        <v>13</v>
      </c>
      <c r="S20" s="239"/>
      <c r="T20" s="244" t="s">
        <v>13</v>
      </c>
      <c r="W20" s="42" t="s">
        <v>13</v>
      </c>
      <c r="X20" s="281" t="s">
        <v>283</v>
      </c>
      <c r="Y20" s="41"/>
      <c r="Z20" s="218"/>
      <c r="AA20" s="44" t="s">
        <v>13</v>
      </c>
    </row>
    <row r="21" spans="14:27" ht="28.95" customHeight="1" x14ac:dyDescent="0.55000000000000004">
      <c r="N21" s="17" t="s">
        <v>13</v>
      </c>
      <c r="O21" s="278"/>
      <c r="P21" s="56" t="s">
        <v>13</v>
      </c>
      <c r="Q21" s="56" t="s">
        <v>13</v>
      </c>
      <c r="R21" s="56" t="s">
        <v>13</v>
      </c>
      <c r="S21" s="253" t="s">
        <v>13</v>
      </c>
      <c r="T21" s="244" t="s">
        <v>13</v>
      </c>
      <c r="W21" s="42" t="s">
        <v>13</v>
      </c>
      <c r="X21" s="41"/>
      <c r="Y21" s="40"/>
      <c r="Z21" s="40"/>
      <c r="AA21" s="43" t="s">
        <v>13</v>
      </c>
    </row>
    <row r="22" spans="14:27" ht="28.95" customHeight="1" x14ac:dyDescent="0.55000000000000004">
      <c r="N22" s="17" t="s">
        <v>13</v>
      </c>
      <c r="O22" s="277" t="s">
        <v>5</v>
      </c>
      <c r="P22" s="56" t="s">
        <v>13</v>
      </c>
      <c r="Q22" s="56" t="s">
        <v>13</v>
      </c>
      <c r="R22" s="56" t="s">
        <v>13</v>
      </c>
      <c r="S22" s="279" t="s">
        <v>13</v>
      </c>
      <c r="T22" s="244" t="s">
        <v>13</v>
      </c>
      <c r="W22" s="42" t="s">
        <v>13</v>
      </c>
      <c r="X22" s="41"/>
      <c r="Y22" s="41"/>
      <c r="Z22" s="41"/>
      <c r="AA22" s="44" t="s">
        <v>13</v>
      </c>
    </row>
    <row r="23" spans="14:27" ht="28.95" customHeight="1" x14ac:dyDescent="0.55000000000000004">
      <c r="N23" s="17" t="s">
        <v>13</v>
      </c>
      <c r="O23" s="278"/>
      <c r="P23" s="56" t="s">
        <v>13</v>
      </c>
      <c r="Q23" s="56" t="s">
        <v>13</v>
      </c>
      <c r="R23" s="56" t="s">
        <v>13</v>
      </c>
      <c r="S23" s="253" t="s">
        <v>13</v>
      </c>
      <c r="T23" s="244" t="s">
        <v>13</v>
      </c>
      <c r="W23" s="42" t="s">
        <v>13</v>
      </c>
      <c r="X23" s="41"/>
      <c r="Y23" s="40"/>
      <c r="Z23" s="40"/>
      <c r="AA23" s="43" t="s">
        <v>13</v>
      </c>
    </row>
    <row r="24" spans="14:27" ht="28.95" customHeight="1" x14ac:dyDescent="0.55000000000000004">
      <c r="N24" s="17" t="s">
        <v>13</v>
      </c>
      <c r="O24" s="277" t="s">
        <v>6</v>
      </c>
      <c r="P24" s="56" t="s">
        <v>13</v>
      </c>
      <c r="Q24" s="56" t="s">
        <v>13</v>
      </c>
      <c r="R24" s="56" t="s">
        <v>13</v>
      </c>
      <c r="S24" s="279" t="s">
        <v>13</v>
      </c>
      <c r="T24" s="244" t="s">
        <v>13</v>
      </c>
      <c r="W24" s="42" t="s">
        <v>13</v>
      </c>
      <c r="X24" s="41"/>
      <c r="Y24" s="41"/>
      <c r="Z24" s="41"/>
      <c r="AA24" s="43" t="s">
        <v>13</v>
      </c>
    </row>
    <row r="25" spans="14:27" ht="28.95" customHeight="1" x14ac:dyDescent="0.55000000000000004">
      <c r="N25" s="17" t="s">
        <v>13</v>
      </c>
      <c r="O25" s="278"/>
      <c r="P25" s="56" t="s">
        <v>13</v>
      </c>
      <c r="Q25" s="56" t="s">
        <v>13</v>
      </c>
      <c r="R25" s="56" t="s">
        <v>13</v>
      </c>
      <c r="S25" s="253" t="s">
        <v>13</v>
      </c>
      <c r="T25" s="244" t="s">
        <v>13</v>
      </c>
      <c r="W25" s="42" t="s">
        <v>13</v>
      </c>
      <c r="X25" s="41"/>
      <c r="Y25" s="41"/>
      <c r="Z25" s="40"/>
      <c r="AA25" s="43" t="s">
        <v>13</v>
      </c>
    </row>
    <row r="26" spans="14:27" ht="28.95" customHeight="1" x14ac:dyDescent="0.55000000000000004">
      <c r="N26" s="74"/>
      <c r="O26" s="277" t="s">
        <v>7</v>
      </c>
      <c r="P26" s="85"/>
      <c r="Q26" s="85"/>
      <c r="R26" s="85"/>
      <c r="S26" s="280"/>
      <c r="T26" s="7"/>
      <c r="W26" s="42" t="s">
        <v>13</v>
      </c>
      <c r="X26" s="41"/>
      <c r="Y26" s="41"/>
      <c r="Z26" s="41"/>
      <c r="AA26" s="43" t="s">
        <v>13</v>
      </c>
    </row>
    <row r="27" spans="14:27" ht="28.95" customHeight="1" thickBot="1" x14ac:dyDescent="0.6">
      <c r="N27" s="74"/>
      <c r="O27" s="85"/>
      <c r="P27" s="85"/>
      <c r="Q27" s="85"/>
      <c r="R27" s="85"/>
      <c r="S27" s="85"/>
      <c r="T27" s="7"/>
      <c r="W27" s="45" t="s">
        <v>13</v>
      </c>
      <c r="X27" s="47" t="s">
        <v>13</v>
      </c>
      <c r="Y27" s="48" t="s">
        <v>13</v>
      </c>
      <c r="Z27" s="46" t="s">
        <v>13</v>
      </c>
      <c r="AA27" s="49" t="s">
        <v>13</v>
      </c>
    </row>
    <row r="28" spans="14:27" ht="28.95" customHeight="1" x14ac:dyDescent="0.3">
      <c r="N28" s="74"/>
      <c r="O28" s="85"/>
      <c r="P28" s="85"/>
      <c r="Q28" s="85"/>
      <c r="R28" s="85"/>
      <c r="S28" s="85"/>
      <c r="T28" s="7"/>
    </row>
    <row r="29" spans="14:27" ht="28.95" customHeight="1" x14ac:dyDescent="0.3">
      <c r="N29" s="74"/>
      <c r="O29" s="85"/>
      <c r="P29" s="85"/>
      <c r="Q29" s="85"/>
      <c r="R29" s="85"/>
      <c r="S29" s="85"/>
      <c r="T29" s="7"/>
    </row>
    <row r="30" spans="14:27" ht="28.95" customHeight="1" x14ac:dyDescent="0.3">
      <c r="N30" s="74"/>
      <c r="O30" s="85"/>
      <c r="P30" s="85"/>
      <c r="Q30" s="85"/>
      <c r="R30" s="85"/>
      <c r="S30" s="85"/>
      <c r="T30" s="7"/>
    </row>
    <row r="31" spans="14:27" ht="28.95" customHeight="1" thickBot="1" x14ac:dyDescent="0.35">
      <c r="N31" s="86"/>
      <c r="O31" s="87"/>
      <c r="P31" s="87"/>
      <c r="Q31" s="87"/>
      <c r="R31" s="87"/>
      <c r="S31" s="87"/>
      <c r="T31" s="88"/>
    </row>
    <row r="32" spans="14:27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36">
    <tabColor rgb="FFC00000"/>
  </sheetPr>
  <dimension ref="A1:AY66"/>
  <sheetViews>
    <sheetView zoomScale="40" zoomScaleNormal="40" workbookViewId="0">
      <selection activeCell="V28" sqref="V28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4.5546875" style="177" customWidth="1"/>
    <col min="12" max="12" width="25.44140625" style="177" customWidth="1"/>
    <col min="13" max="13" width="26.33203125" style="177" customWidth="1"/>
    <col min="14" max="14" width="2.6640625" style="177" bestFit="1" customWidth="1"/>
    <col min="15" max="15" width="47.6640625" style="177" customWidth="1"/>
    <col min="16" max="16" width="2.6640625" style="177" bestFit="1" customWidth="1"/>
    <col min="17" max="17" width="20.44140625" style="177" bestFit="1" customWidth="1"/>
    <col min="18" max="18" width="2.6640625" style="177" bestFit="1" customWidth="1"/>
    <col min="19" max="19" width="31.33203125" style="177" customWidth="1"/>
    <col min="20" max="23" width="8.88671875" style="177"/>
    <col min="24" max="24" width="23.44140625" style="177" bestFit="1" customWidth="1"/>
    <col min="25" max="25" width="2.6640625" style="177" bestFit="1" customWidth="1"/>
    <col min="26" max="26" width="51.109375" style="177" customWidth="1"/>
    <col min="27" max="16384" width="8.88671875" style="177"/>
  </cols>
  <sheetData>
    <row r="1" spans="1:5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</row>
    <row r="2" spans="1:51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</row>
    <row r="3" spans="1:51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  <c r="AX3" s="181"/>
      <c r="AY3" s="181"/>
    </row>
    <row r="4" spans="1:51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  <c r="AX4" s="267"/>
      <c r="AY4" s="267"/>
    </row>
    <row r="5" spans="1:51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  <c r="AX5" s="267"/>
      <c r="AY5" s="267"/>
    </row>
    <row r="6" spans="1:51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</row>
    <row r="7" spans="1:51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</row>
    <row r="8" spans="1:51" ht="28.95" customHeight="1" x14ac:dyDescent="0.3"/>
    <row r="9" spans="1:51" ht="28.95" customHeight="1" x14ac:dyDescent="0.3"/>
    <row r="10" spans="1:51" ht="28.95" customHeight="1" x14ac:dyDescent="0.3"/>
    <row r="11" spans="1:51" ht="28.95" customHeight="1" x14ac:dyDescent="0.3"/>
    <row r="12" spans="1:51" ht="28.95" customHeight="1" x14ac:dyDescent="0.3"/>
    <row r="13" spans="1:51" ht="28.95" customHeight="1" thickBot="1" x14ac:dyDescent="0.35"/>
    <row r="14" spans="1:51" ht="28.95" customHeight="1" x14ac:dyDescent="0.3">
      <c r="N14" s="453" t="s">
        <v>280</v>
      </c>
      <c r="O14" s="454"/>
      <c r="P14" s="454"/>
      <c r="Q14" s="454"/>
      <c r="R14" s="454"/>
      <c r="S14" s="454"/>
      <c r="T14" s="455"/>
    </row>
    <row r="15" spans="1:51" ht="28.95" customHeight="1" x14ac:dyDescent="0.3">
      <c r="N15" s="456"/>
      <c r="O15" s="457"/>
      <c r="P15" s="457"/>
      <c r="Q15" s="457"/>
      <c r="R15" s="457"/>
      <c r="S15" s="457"/>
      <c r="T15" s="458"/>
    </row>
    <row r="16" spans="1:51" ht="28.95" customHeight="1" x14ac:dyDescent="0.3">
      <c r="N16" s="456"/>
      <c r="O16" s="457"/>
      <c r="P16" s="457"/>
      <c r="Q16" s="457"/>
      <c r="R16" s="457"/>
      <c r="S16" s="457"/>
      <c r="T16" s="458"/>
    </row>
    <row r="17" spans="14:20" ht="28.95" customHeight="1" x14ac:dyDescent="0.55000000000000004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244" t="s">
        <v>13</v>
      </c>
    </row>
    <row r="18" spans="14:20" ht="28.95" customHeight="1" x14ac:dyDescent="0.55000000000000004">
      <c r="N18" s="17" t="s">
        <v>13</v>
      </c>
      <c r="O18" s="254" t="s">
        <v>3</v>
      </c>
      <c r="P18" s="57"/>
      <c r="Q18" s="56" t="s">
        <v>13</v>
      </c>
      <c r="R18" s="56" t="s">
        <v>13</v>
      </c>
      <c r="S18" s="239"/>
      <c r="T18" s="244" t="s">
        <v>13</v>
      </c>
    </row>
    <row r="19" spans="14:20" ht="28.95" customHeight="1" x14ac:dyDescent="0.55000000000000004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</row>
    <row r="20" spans="14:20" ht="28.95" customHeight="1" x14ac:dyDescent="0.55000000000000004">
      <c r="N20" s="17" t="s">
        <v>13</v>
      </c>
      <c r="O20" s="277" t="s">
        <v>4</v>
      </c>
      <c r="P20" s="57"/>
      <c r="Q20" s="56" t="s">
        <v>13</v>
      </c>
      <c r="R20" s="56" t="s">
        <v>13</v>
      </c>
      <c r="S20" s="239"/>
      <c r="T20" s="244" t="s">
        <v>13</v>
      </c>
    </row>
    <row r="21" spans="14:20" ht="28.95" customHeight="1" x14ac:dyDescent="0.55000000000000004">
      <c r="N21" s="17" t="s">
        <v>13</v>
      </c>
      <c r="O21" s="278"/>
      <c r="P21" s="56" t="s">
        <v>13</v>
      </c>
      <c r="Q21" s="56" t="s">
        <v>13</v>
      </c>
      <c r="R21" s="56" t="s">
        <v>13</v>
      </c>
      <c r="S21" s="253" t="s">
        <v>13</v>
      </c>
      <c r="T21" s="244" t="s">
        <v>13</v>
      </c>
    </row>
    <row r="22" spans="14:20" ht="28.95" customHeight="1" x14ac:dyDescent="0.55000000000000004">
      <c r="N22" s="17" t="s">
        <v>13</v>
      </c>
      <c r="O22" s="277" t="s">
        <v>5</v>
      </c>
      <c r="P22" s="56" t="s">
        <v>13</v>
      </c>
      <c r="Q22" s="56" t="s">
        <v>13</v>
      </c>
      <c r="R22" s="56" t="s">
        <v>13</v>
      </c>
      <c r="S22" s="279" t="s">
        <v>13</v>
      </c>
      <c r="T22" s="244" t="s">
        <v>13</v>
      </c>
    </row>
    <row r="23" spans="14:20" ht="28.95" customHeight="1" x14ac:dyDescent="0.55000000000000004">
      <c r="N23" s="17" t="s">
        <v>13</v>
      </c>
      <c r="O23" s="278"/>
      <c r="P23" s="56" t="s">
        <v>13</v>
      </c>
      <c r="Q23" s="56" t="s">
        <v>13</v>
      </c>
      <c r="R23" s="56" t="s">
        <v>13</v>
      </c>
      <c r="S23" s="253" t="s">
        <v>13</v>
      </c>
      <c r="T23" s="244" t="s">
        <v>13</v>
      </c>
    </row>
    <row r="24" spans="14:20" ht="28.95" customHeight="1" x14ac:dyDescent="0.55000000000000004">
      <c r="N24" s="17" t="s">
        <v>13</v>
      </c>
      <c r="O24" s="277" t="s">
        <v>6</v>
      </c>
      <c r="P24" s="56" t="s">
        <v>13</v>
      </c>
      <c r="Q24" s="56" t="s">
        <v>13</v>
      </c>
      <c r="R24" s="56" t="s">
        <v>13</v>
      </c>
      <c r="S24" s="279" t="s">
        <v>13</v>
      </c>
      <c r="T24" s="244" t="s">
        <v>13</v>
      </c>
    </row>
    <row r="25" spans="14:20" ht="28.95" customHeight="1" x14ac:dyDescent="0.55000000000000004">
      <c r="N25" s="17" t="s">
        <v>13</v>
      </c>
      <c r="O25" s="278"/>
      <c r="P25" s="56" t="s">
        <v>13</v>
      </c>
      <c r="Q25" s="56" t="s">
        <v>13</v>
      </c>
      <c r="R25" s="56" t="s">
        <v>13</v>
      </c>
      <c r="S25" s="253" t="s">
        <v>13</v>
      </c>
      <c r="T25" s="244" t="s">
        <v>13</v>
      </c>
    </row>
    <row r="26" spans="14:20" ht="28.95" customHeight="1" x14ac:dyDescent="0.3">
      <c r="N26" s="74"/>
      <c r="O26" s="277" t="s">
        <v>7</v>
      </c>
      <c r="P26" s="85"/>
      <c r="Q26" s="85"/>
      <c r="R26" s="85"/>
      <c r="S26" s="280"/>
      <c r="T26" s="7"/>
    </row>
    <row r="27" spans="14:20" ht="28.95" customHeight="1" x14ac:dyDescent="0.3">
      <c r="N27" s="74"/>
      <c r="O27" s="85"/>
      <c r="P27" s="85"/>
      <c r="Q27" s="85"/>
      <c r="R27" s="85"/>
      <c r="S27" s="85"/>
      <c r="T27" s="7"/>
    </row>
    <row r="28" spans="14:20" ht="28.95" customHeight="1" x14ac:dyDescent="0.3">
      <c r="N28" s="74"/>
      <c r="O28" s="85"/>
      <c r="P28" s="85"/>
      <c r="Q28" s="85"/>
      <c r="R28" s="85"/>
      <c r="S28" s="85"/>
      <c r="T28" s="7"/>
    </row>
    <row r="29" spans="14:20" ht="28.95" customHeight="1" x14ac:dyDescent="0.3">
      <c r="N29" s="74"/>
      <c r="O29" s="85"/>
      <c r="P29" s="85"/>
      <c r="Q29" s="85"/>
      <c r="R29" s="85"/>
      <c r="S29" s="85"/>
      <c r="T29" s="7"/>
    </row>
    <row r="30" spans="14:20" ht="28.95" customHeight="1" x14ac:dyDescent="0.3">
      <c r="N30" s="74"/>
      <c r="O30" s="85"/>
      <c r="P30" s="85"/>
      <c r="Q30" s="85"/>
      <c r="R30" s="85"/>
      <c r="S30" s="85"/>
      <c r="T30" s="7"/>
    </row>
    <row r="31" spans="14:20" ht="28.95" customHeight="1" thickBot="1" x14ac:dyDescent="0.35">
      <c r="N31" s="86"/>
      <c r="O31" s="87"/>
      <c r="P31" s="87"/>
      <c r="Q31" s="87"/>
      <c r="R31" s="87"/>
      <c r="S31" s="87"/>
      <c r="T31" s="88"/>
    </row>
    <row r="32" spans="14:20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37">
    <tabColor rgb="FF00B050"/>
  </sheetPr>
  <dimension ref="A1:AW66"/>
  <sheetViews>
    <sheetView zoomScale="40" zoomScaleNormal="40" workbookViewId="0">
      <selection activeCell="X36" sqref="X36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4.5546875" style="177" customWidth="1"/>
    <col min="12" max="12" width="25.44140625" style="177" customWidth="1"/>
    <col min="13" max="13" width="26.33203125" style="177" customWidth="1"/>
    <col min="14" max="14" width="2.6640625" style="177" bestFit="1" customWidth="1"/>
    <col min="15" max="15" width="99.33203125" style="177" bestFit="1" customWidth="1"/>
    <col min="16" max="16" width="11.33203125" style="177" customWidth="1"/>
    <col min="17" max="17" width="56.1093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/>
    <row r="12" spans="1:49" ht="28.95" customHeight="1" x14ac:dyDescent="0.3"/>
    <row r="13" spans="1:49" ht="28.95" customHeight="1" thickBot="1" x14ac:dyDescent="0.35"/>
    <row r="14" spans="1:49" ht="28.95" customHeight="1" x14ac:dyDescent="0.3">
      <c r="N14" s="453" t="s">
        <v>280</v>
      </c>
      <c r="O14" s="454"/>
      <c r="P14" s="454"/>
      <c r="Q14" s="454"/>
      <c r="R14" s="455"/>
    </row>
    <row r="15" spans="1:49" ht="28.95" customHeight="1" x14ac:dyDescent="0.3">
      <c r="N15" s="456"/>
      <c r="O15" s="457"/>
      <c r="P15" s="457"/>
      <c r="Q15" s="457"/>
      <c r="R15" s="458"/>
    </row>
    <row r="16" spans="1:49" ht="28.95" customHeight="1" x14ac:dyDescent="0.3">
      <c r="N16" s="456"/>
      <c r="O16" s="457"/>
      <c r="P16" s="457"/>
      <c r="Q16" s="457"/>
      <c r="R16" s="458"/>
    </row>
    <row r="17" spans="14:18" ht="28.95" customHeight="1" x14ac:dyDescent="0.55000000000000004">
      <c r="N17" s="17" t="s">
        <v>13</v>
      </c>
      <c r="O17" s="56" t="s">
        <v>13</v>
      </c>
      <c r="P17" s="56" t="s">
        <v>13</v>
      </c>
      <c r="Q17" s="58" t="s">
        <v>13</v>
      </c>
      <c r="R17" s="244" t="s">
        <v>13</v>
      </c>
    </row>
    <row r="18" spans="14:18" ht="28.95" customHeight="1" x14ac:dyDescent="0.55000000000000004">
      <c r="N18" s="17" t="s">
        <v>13</v>
      </c>
      <c r="O18" s="254" t="s">
        <v>284</v>
      </c>
      <c r="P18" s="56" t="s">
        <v>13</v>
      </c>
      <c r="Q18" s="282"/>
      <c r="R18" s="244" t="s">
        <v>13</v>
      </c>
    </row>
    <row r="19" spans="14:18" ht="28.95" customHeight="1" x14ac:dyDescent="0.55000000000000004">
      <c r="N19" s="17" t="s">
        <v>13</v>
      </c>
      <c r="O19" s="56" t="s">
        <v>13</v>
      </c>
      <c r="P19" s="56" t="s">
        <v>13</v>
      </c>
      <c r="Q19" s="58" t="s">
        <v>13</v>
      </c>
      <c r="R19" s="13" t="s">
        <v>13</v>
      </c>
    </row>
    <row r="20" spans="14:18" ht="28.95" customHeight="1" x14ac:dyDescent="0.55000000000000004">
      <c r="N20" s="17" t="s">
        <v>13</v>
      </c>
      <c r="O20" s="277" t="s">
        <v>285</v>
      </c>
      <c r="P20" s="56" t="s">
        <v>13</v>
      </c>
      <c r="Q20" s="282"/>
      <c r="R20" s="244" t="s">
        <v>13</v>
      </c>
    </row>
    <row r="21" spans="14:18" ht="28.95" customHeight="1" x14ac:dyDescent="0.55000000000000004">
      <c r="N21" s="17" t="s">
        <v>13</v>
      </c>
      <c r="O21" s="278"/>
      <c r="P21" s="56" t="s">
        <v>13</v>
      </c>
      <c r="Q21" s="253" t="s">
        <v>13</v>
      </c>
      <c r="R21" s="244" t="s">
        <v>13</v>
      </c>
    </row>
    <row r="22" spans="14:18" ht="28.95" customHeight="1" x14ac:dyDescent="0.55000000000000004">
      <c r="N22" s="17" t="s">
        <v>13</v>
      </c>
      <c r="O22" s="85"/>
      <c r="P22" s="85"/>
      <c r="Q22" s="85"/>
      <c r="R22" s="244" t="s">
        <v>13</v>
      </c>
    </row>
    <row r="23" spans="14:18" ht="28.95" customHeight="1" x14ac:dyDescent="0.55000000000000004">
      <c r="N23" s="17" t="s">
        <v>13</v>
      </c>
      <c r="O23" s="85"/>
      <c r="P23" s="85"/>
      <c r="Q23" s="85"/>
      <c r="R23" s="244" t="s">
        <v>13</v>
      </c>
    </row>
    <row r="24" spans="14:18" ht="28.95" customHeight="1" x14ac:dyDescent="0.55000000000000004">
      <c r="N24" s="17" t="s">
        <v>13</v>
      </c>
      <c r="O24" s="85"/>
      <c r="P24" s="85"/>
      <c r="Q24" s="85"/>
      <c r="R24" s="244" t="s">
        <v>13</v>
      </c>
    </row>
    <row r="25" spans="14:18" ht="28.95" customHeight="1" x14ac:dyDescent="0.55000000000000004">
      <c r="N25" s="17" t="s">
        <v>13</v>
      </c>
      <c r="O25" s="85"/>
      <c r="P25" s="85"/>
      <c r="Q25" s="85"/>
      <c r="R25" s="244" t="s">
        <v>13</v>
      </c>
    </row>
    <row r="26" spans="14:18" ht="28.95" customHeight="1" thickBot="1" x14ac:dyDescent="0.35">
      <c r="N26" s="86"/>
      <c r="O26" s="87"/>
      <c r="P26" s="87"/>
      <c r="Q26" s="87"/>
      <c r="R26" s="88"/>
    </row>
    <row r="27" spans="14:18" ht="28.95" customHeight="1" x14ac:dyDescent="0.3"/>
    <row r="28" spans="14:18" ht="28.95" customHeight="1" x14ac:dyDescent="0.3"/>
    <row r="29" spans="14:18" ht="28.95" customHeight="1" x14ac:dyDescent="0.3"/>
    <row r="30" spans="14:18" ht="28.95" customHeight="1" x14ac:dyDescent="0.3"/>
    <row r="31" spans="14:18" ht="28.95" customHeight="1" x14ac:dyDescent="0.3"/>
    <row r="32" spans="14:18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N14:R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38">
    <tabColor rgb="FF00B050"/>
  </sheetPr>
  <dimension ref="A1:AW66"/>
  <sheetViews>
    <sheetView zoomScale="25" zoomScaleNormal="25" workbookViewId="0">
      <selection activeCell="M13" sqref="M13:Q46"/>
    </sheetView>
  </sheetViews>
  <sheetFormatPr defaultColWidth="8.88671875" defaultRowHeight="14.4" x14ac:dyDescent="0.3"/>
  <cols>
    <col min="1" max="4" width="8.88671875" style="177"/>
    <col min="5" max="5" width="4.5546875" style="177" bestFit="1" customWidth="1"/>
    <col min="6" max="6" width="21.88671875" style="177" bestFit="1" customWidth="1"/>
    <col min="7" max="7" width="26" style="177" bestFit="1" customWidth="1"/>
    <col min="8" max="8" width="19.44140625" style="177" bestFit="1" customWidth="1"/>
    <col min="9" max="9" width="12.109375" style="177" bestFit="1" customWidth="1"/>
    <col min="10" max="10" width="12.6640625" style="177" bestFit="1" customWidth="1"/>
    <col min="11" max="11" width="4.5546875" style="177" customWidth="1"/>
    <col min="12" max="12" width="25.44140625" style="177" customWidth="1"/>
    <col min="13" max="13" width="9" style="177" customWidth="1"/>
    <col min="14" max="14" width="30.6640625" style="177" bestFit="1" customWidth="1"/>
    <col min="15" max="15" width="29.33203125" style="177" customWidth="1"/>
    <col min="16" max="16" width="73.44140625" style="177" customWidth="1"/>
    <col min="17" max="17" width="15.55468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/>
    <row r="12" spans="1:49" ht="28.95" customHeight="1" thickBot="1" x14ac:dyDescent="0.35"/>
    <row r="13" spans="1:49" ht="28.95" customHeight="1" x14ac:dyDescent="0.3">
      <c r="M13" s="481" t="s">
        <v>286</v>
      </c>
      <c r="N13" s="482"/>
      <c r="O13" s="482"/>
      <c r="P13" s="482"/>
      <c r="Q13" s="483"/>
    </row>
    <row r="14" spans="1:49" ht="28.95" customHeight="1" thickBot="1" x14ac:dyDescent="0.35">
      <c r="M14" s="484"/>
      <c r="N14" s="485"/>
      <c r="O14" s="485"/>
      <c r="P14" s="485"/>
      <c r="Q14" s="486"/>
    </row>
    <row r="15" spans="1:49" ht="28.95" customHeight="1" thickBot="1" x14ac:dyDescent="0.35">
      <c r="M15" s="8"/>
      <c r="N15" s="62"/>
      <c r="O15" s="62"/>
      <c r="P15" s="62"/>
      <c r="Q15" s="63"/>
    </row>
    <row r="16" spans="1:49" ht="28.95" customHeight="1" thickBot="1" x14ac:dyDescent="0.35">
      <c r="M16" s="8"/>
      <c r="N16" s="283" t="s">
        <v>287</v>
      </c>
      <c r="O16" s="62"/>
      <c r="P16" s="60"/>
      <c r="Q16" s="63"/>
    </row>
    <row r="17" spans="13:17" ht="28.95" customHeight="1" thickBot="1" x14ac:dyDescent="0.35">
      <c r="M17" s="8"/>
      <c r="N17" s="283"/>
      <c r="O17" s="62"/>
      <c r="P17" s="62"/>
      <c r="Q17" s="63"/>
    </row>
    <row r="18" spans="13:17" ht="28.95" customHeight="1" thickBot="1" x14ac:dyDescent="0.35">
      <c r="M18" s="8"/>
      <c r="N18" s="283" t="s">
        <v>288</v>
      </c>
      <c r="O18" s="62"/>
      <c r="P18" s="60"/>
      <c r="Q18" s="63"/>
    </row>
    <row r="19" spans="13:17" ht="28.95" customHeight="1" thickBot="1" x14ac:dyDescent="0.35">
      <c r="M19" s="8"/>
      <c r="N19" s="283"/>
      <c r="O19" s="62"/>
      <c r="P19" s="62"/>
      <c r="Q19" s="63"/>
    </row>
    <row r="20" spans="13:17" ht="28.95" customHeight="1" thickBot="1" x14ac:dyDescent="0.35">
      <c r="M20" s="8"/>
      <c r="N20" s="283" t="s">
        <v>289</v>
      </c>
      <c r="O20" s="62"/>
      <c r="P20" s="60"/>
      <c r="Q20" s="63"/>
    </row>
    <row r="21" spans="13:17" ht="28.95" customHeight="1" thickBot="1" x14ac:dyDescent="0.35">
      <c r="M21" s="8"/>
      <c r="N21" s="283"/>
      <c r="O21" s="62"/>
      <c r="P21" s="62"/>
      <c r="Q21" s="63"/>
    </row>
    <row r="22" spans="13:17" ht="28.95" customHeight="1" thickBot="1" x14ac:dyDescent="0.35">
      <c r="M22" s="8"/>
      <c r="N22" s="283" t="s">
        <v>290</v>
      </c>
      <c r="O22" s="62"/>
      <c r="P22" s="60"/>
      <c r="Q22" s="63"/>
    </row>
    <row r="23" spans="13:17" ht="28.95" customHeight="1" thickBot="1" x14ac:dyDescent="0.35">
      <c r="M23" s="8"/>
      <c r="N23" s="283"/>
      <c r="O23" s="62"/>
      <c r="P23" s="62"/>
      <c r="Q23" s="63"/>
    </row>
    <row r="24" spans="13:17" ht="28.95" customHeight="1" thickBot="1" x14ac:dyDescent="0.35">
      <c r="M24" s="8"/>
      <c r="N24" s="283" t="s">
        <v>291</v>
      </c>
      <c r="O24" s="62"/>
      <c r="P24" s="60"/>
      <c r="Q24" s="63"/>
    </row>
    <row r="25" spans="13:17" ht="28.95" customHeight="1" thickBot="1" x14ac:dyDescent="0.35">
      <c r="M25" s="8"/>
      <c r="N25" s="283"/>
      <c r="O25" s="62"/>
      <c r="P25" s="62"/>
      <c r="Q25" s="63"/>
    </row>
    <row r="26" spans="13:17" ht="28.95" customHeight="1" thickBot="1" x14ac:dyDescent="0.35">
      <c r="M26" s="8"/>
      <c r="N26" s="283" t="s">
        <v>292</v>
      </c>
      <c r="O26" s="62"/>
      <c r="P26" s="60"/>
      <c r="Q26" s="63"/>
    </row>
    <row r="27" spans="13:17" ht="28.95" customHeight="1" thickBot="1" x14ac:dyDescent="0.35">
      <c r="M27" s="8"/>
      <c r="N27" s="283"/>
      <c r="O27" s="62"/>
      <c r="P27" s="62"/>
      <c r="Q27" s="63"/>
    </row>
    <row r="28" spans="13:17" ht="28.95" customHeight="1" thickBot="1" x14ac:dyDescent="0.35">
      <c r="M28" s="8"/>
      <c r="N28" s="283" t="s">
        <v>293</v>
      </c>
      <c r="O28" s="62"/>
      <c r="P28" s="60"/>
      <c r="Q28" s="63"/>
    </row>
    <row r="29" spans="13:17" ht="28.95" customHeight="1" thickBot="1" x14ac:dyDescent="0.35">
      <c r="M29" s="8"/>
      <c r="N29" s="283"/>
      <c r="O29" s="62"/>
      <c r="P29" s="62"/>
      <c r="Q29" s="63"/>
    </row>
    <row r="30" spans="13:17" ht="28.95" customHeight="1" thickBot="1" x14ac:dyDescent="0.35">
      <c r="M30" s="8"/>
      <c r="N30" s="283" t="s">
        <v>294</v>
      </c>
      <c r="O30" s="62"/>
      <c r="P30" s="60"/>
      <c r="Q30" s="63"/>
    </row>
    <row r="31" spans="13:17" ht="28.95" customHeight="1" thickBot="1" x14ac:dyDescent="0.35">
      <c r="M31" s="8"/>
      <c r="N31" s="283"/>
      <c r="O31" s="62"/>
      <c r="P31" s="62"/>
      <c r="Q31" s="63"/>
    </row>
    <row r="32" spans="13:17" ht="28.95" customHeight="1" thickBot="1" x14ac:dyDescent="0.35">
      <c r="M32" s="8"/>
      <c r="N32" s="283" t="s">
        <v>295</v>
      </c>
      <c r="O32" s="62"/>
      <c r="P32" s="60"/>
      <c r="Q32" s="63"/>
    </row>
    <row r="33" spans="13:17" ht="28.95" customHeight="1" thickBot="1" x14ac:dyDescent="0.35">
      <c r="M33" s="8"/>
      <c r="N33" s="284"/>
      <c r="O33" s="62"/>
      <c r="P33" s="62"/>
      <c r="Q33" s="63"/>
    </row>
    <row r="34" spans="13:17" ht="28.95" customHeight="1" thickBot="1" x14ac:dyDescent="0.35">
      <c r="M34" s="8"/>
      <c r="N34" s="283" t="s">
        <v>296</v>
      </c>
      <c r="O34" s="62"/>
      <c r="P34" s="60"/>
      <c r="Q34" s="63"/>
    </row>
    <row r="35" spans="13:17" ht="28.95" customHeight="1" thickBot="1" x14ac:dyDescent="0.35">
      <c r="M35" s="8"/>
      <c r="N35" s="284"/>
      <c r="O35" s="62"/>
      <c r="P35" s="62"/>
      <c r="Q35" s="63"/>
    </row>
    <row r="36" spans="13:17" ht="28.95" customHeight="1" thickBot="1" x14ac:dyDescent="0.35">
      <c r="M36" s="8"/>
      <c r="N36" s="283" t="s">
        <v>297</v>
      </c>
      <c r="O36" s="62"/>
      <c r="P36" s="61"/>
      <c r="Q36" s="63"/>
    </row>
    <row r="37" spans="13:17" ht="28.95" customHeight="1" thickBot="1" x14ac:dyDescent="0.35">
      <c r="M37" s="8"/>
      <c r="N37" s="284"/>
      <c r="O37" s="62"/>
      <c r="P37" s="62"/>
      <c r="Q37" s="63"/>
    </row>
    <row r="38" spans="13:17" ht="28.95" customHeight="1" thickBot="1" x14ac:dyDescent="0.45">
      <c r="M38" s="8"/>
      <c r="N38" s="283" t="s">
        <v>298</v>
      </c>
      <c r="O38" s="62"/>
      <c r="P38" s="285" t="s">
        <v>300</v>
      </c>
      <c r="Q38" s="63"/>
    </row>
    <row r="39" spans="13:17" ht="28.95" customHeight="1" thickBot="1" x14ac:dyDescent="0.35">
      <c r="M39" s="8"/>
      <c r="N39" s="284"/>
      <c r="O39" s="62"/>
      <c r="P39" s="62"/>
      <c r="Q39" s="63"/>
    </row>
    <row r="40" spans="13:17" ht="28.95" customHeight="1" thickBot="1" x14ac:dyDescent="0.35">
      <c r="M40" s="8"/>
      <c r="N40" s="283" t="s">
        <v>299</v>
      </c>
      <c r="O40" s="62"/>
      <c r="P40" s="60"/>
      <c r="Q40" s="63"/>
    </row>
    <row r="41" spans="13:17" ht="28.95" customHeight="1" x14ac:dyDescent="0.3">
      <c r="M41" s="8"/>
      <c r="N41" s="62"/>
      <c r="O41" s="62"/>
      <c r="P41" s="62"/>
      <c r="Q41" s="63"/>
    </row>
    <row r="42" spans="13:17" ht="28.95" customHeight="1" x14ac:dyDescent="0.3">
      <c r="M42" s="8"/>
      <c r="N42" s="62"/>
      <c r="O42" s="62"/>
      <c r="P42" s="62"/>
      <c r="Q42" s="63"/>
    </row>
    <row r="43" spans="13:17" ht="28.95" customHeight="1" x14ac:dyDescent="0.3">
      <c r="M43" s="8"/>
      <c r="N43" s="62"/>
      <c r="O43" s="62"/>
      <c r="P43" s="62"/>
      <c r="Q43" s="63"/>
    </row>
    <row r="44" spans="13:17" ht="28.95" customHeight="1" x14ac:dyDescent="0.3">
      <c r="M44" s="8"/>
      <c r="N44" s="62"/>
      <c r="O44" s="62"/>
      <c r="P44" s="62"/>
      <c r="Q44" s="63"/>
    </row>
    <row r="45" spans="13:17" ht="28.95" customHeight="1" x14ac:dyDescent="0.3">
      <c r="M45" s="8"/>
      <c r="N45" s="62"/>
      <c r="O45" s="62"/>
      <c r="P45" s="62"/>
      <c r="Q45" s="63"/>
    </row>
    <row r="46" spans="13:17" ht="28.95" customHeight="1" thickBot="1" x14ac:dyDescent="0.35">
      <c r="M46" s="64"/>
      <c r="N46" s="65"/>
      <c r="O46" s="65"/>
      <c r="P46" s="65"/>
      <c r="Q46" s="66"/>
    </row>
    <row r="47" spans="13:17" ht="28.95" customHeight="1" x14ac:dyDescent="0.3"/>
    <row r="48" spans="13:17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39">
    <tabColor rgb="FF00B050"/>
  </sheetPr>
  <dimension ref="A1:AW66"/>
  <sheetViews>
    <sheetView topLeftCell="G1" zoomScale="40" zoomScaleNormal="40" workbookViewId="0">
      <selection activeCell="A48" sqref="A48"/>
    </sheetView>
  </sheetViews>
  <sheetFormatPr defaultColWidth="8.88671875" defaultRowHeight="14.4" x14ac:dyDescent="0.3"/>
  <cols>
    <col min="1" max="4" width="8.88671875" style="177"/>
    <col min="5" max="5" width="72.33203125" style="177" bestFit="1" customWidth="1"/>
    <col min="6" max="6" width="11.33203125" style="177" customWidth="1"/>
    <col min="7" max="7" width="26" style="177" bestFit="1" customWidth="1"/>
    <col min="8" max="8" width="19.44140625" style="177" bestFit="1" customWidth="1"/>
    <col min="9" max="9" width="104.33203125" style="177" bestFit="1" customWidth="1"/>
    <col min="10" max="10" width="12.6640625" style="177" customWidth="1"/>
    <col min="11" max="11" width="4.5546875" style="177" customWidth="1"/>
    <col min="12" max="12" width="25.44140625" style="177" bestFit="1" customWidth="1"/>
    <col min="13" max="13" width="29" style="177" bestFit="1" customWidth="1"/>
    <col min="14" max="14" width="47.88671875" style="177" bestFit="1" customWidth="1"/>
    <col min="15" max="15" width="29.33203125" style="177" customWidth="1"/>
    <col min="16" max="16" width="73.44140625" style="177" customWidth="1"/>
    <col min="17" max="17" width="15.55468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thickBot="1" x14ac:dyDescent="0.35"/>
    <row r="10" spans="1:49" ht="28.95" customHeight="1" x14ac:dyDescent="0.3">
      <c r="D10" s="481" t="s">
        <v>301</v>
      </c>
      <c r="E10" s="482"/>
      <c r="F10" s="483"/>
      <c r="H10" s="290"/>
      <c r="I10" s="291"/>
      <c r="J10" s="291"/>
      <c r="K10" s="291"/>
      <c r="L10" s="291"/>
      <c r="M10" s="291"/>
      <c r="N10" s="291"/>
      <c r="O10" s="291"/>
      <c r="P10" s="292"/>
    </row>
    <row r="11" spans="1:49" ht="28.95" customHeight="1" x14ac:dyDescent="0.3">
      <c r="D11" s="487"/>
      <c r="E11" s="488"/>
      <c r="F11" s="489"/>
      <c r="H11" s="293"/>
      <c r="I11" s="287" t="s">
        <v>400</v>
      </c>
      <c r="J11" s="294"/>
      <c r="K11" s="294"/>
      <c r="L11" s="294"/>
      <c r="M11" s="294"/>
      <c r="N11" s="295" t="s">
        <v>306</v>
      </c>
      <c r="O11" s="294"/>
      <c r="P11" s="296"/>
    </row>
    <row r="12" spans="1:49" ht="28.95" customHeight="1" x14ac:dyDescent="0.5">
      <c r="D12" s="487"/>
      <c r="E12" s="488"/>
      <c r="F12" s="489"/>
      <c r="H12" s="293"/>
      <c r="I12" s="297" t="s">
        <v>307</v>
      </c>
      <c r="J12" s="294"/>
      <c r="K12" s="294"/>
      <c r="L12" s="294"/>
      <c r="M12" s="294"/>
      <c r="N12" s="289" t="s">
        <v>308</v>
      </c>
      <c r="O12" s="294"/>
      <c r="P12" s="296"/>
    </row>
    <row r="13" spans="1:49" ht="28.95" customHeight="1" x14ac:dyDescent="0.35">
      <c r="D13" s="78"/>
      <c r="E13" s="79"/>
      <c r="F13" s="80"/>
      <c r="H13" s="293"/>
      <c r="I13" s="297" t="s">
        <v>309</v>
      </c>
      <c r="J13" s="294"/>
      <c r="K13" s="294"/>
      <c r="L13" s="294"/>
      <c r="M13" s="294"/>
      <c r="N13" s="298"/>
      <c r="O13" s="294"/>
      <c r="P13" s="296"/>
    </row>
    <row r="14" spans="1:49" ht="28.95" customHeight="1" x14ac:dyDescent="0.3">
      <c r="D14" s="81"/>
      <c r="E14" s="286" t="s">
        <v>302</v>
      </c>
      <c r="F14" s="82"/>
      <c r="H14" s="299"/>
      <c r="I14" s="300"/>
      <c r="J14" s="300"/>
      <c r="K14" s="300"/>
      <c r="L14" s="300"/>
      <c r="M14" s="300"/>
      <c r="N14" s="300"/>
      <c r="O14" s="300"/>
      <c r="P14" s="301"/>
    </row>
    <row r="15" spans="1:49" ht="28.95" customHeight="1" thickBot="1" x14ac:dyDescent="0.35">
      <c r="D15" s="83"/>
      <c r="E15" s="84"/>
      <c r="F15" s="82"/>
      <c r="H15" s="302"/>
      <c r="I15" s="303"/>
      <c r="J15" s="303"/>
      <c r="K15" s="303"/>
      <c r="L15" s="303"/>
      <c r="M15" s="303"/>
      <c r="N15" s="303"/>
      <c r="O15" s="303"/>
      <c r="P15" s="304"/>
    </row>
    <row r="16" spans="1:49" ht="28.95" customHeight="1" thickBot="1" x14ac:dyDescent="0.55000000000000004">
      <c r="D16" s="77"/>
      <c r="E16" s="50"/>
      <c r="F16" s="7"/>
      <c r="H16" s="305"/>
      <c r="I16" s="328" t="s">
        <v>310</v>
      </c>
      <c r="J16" s="306"/>
      <c r="K16" s="306"/>
      <c r="L16" s="306"/>
      <c r="M16" s="306"/>
      <c r="N16" s="288" t="s">
        <v>311</v>
      </c>
      <c r="O16" s="306"/>
      <c r="P16" s="307"/>
    </row>
    <row r="17" spans="4:16" ht="28.95" customHeight="1" x14ac:dyDescent="0.3">
      <c r="D17" s="77"/>
      <c r="E17" s="76"/>
      <c r="F17" s="7"/>
      <c r="H17" s="305"/>
      <c r="I17" s="308"/>
      <c r="J17" s="306"/>
      <c r="K17" s="306"/>
      <c r="L17" s="306"/>
      <c r="M17" s="306"/>
      <c r="N17" s="308"/>
      <c r="O17" s="306"/>
      <c r="P17" s="307"/>
    </row>
    <row r="18" spans="4:16" ht="28.95" customHeight="1" x14ac:dyDescent="0.3">
      <c r="D18" s="74"/>
      <c r="E18" s="286" t="s">
        <v>303</v>
      </c>
      <c r="F18" s="7"/>
      <c r="H18" s="305"/>
      <c r="I18" s="309"/>
      <c r="J18" s="309"/>
      <c r="K18" s="309"/>
      <c r="L18" s="309"/>
      <c r="M18" s="309"/>
      <c r="N18" s="309"/>
      <c r="O18" s="309"/>
      <c r="P18" s="310"/>
    </row>
    <row r="19" spans="4:16" ht="28.95" customHeight="1" thickBot="1" x14ac:dyDescent="0.45">
      <c r="D19" s="74"/>
      <c r="E19" s="76"/>
      <c r="F19" s="7"/>
      <c r="H19" s="311"/>
      <c r="I19" s="329" t="s">
        <v>312</v>
      </c>
      <c r="J19" s="312"/>
      <c r="K19" s="312"/>
      <c r="L19" s="332" t="s">
        <v>313</v>
      </c>
      <c r="M19" s="332" t="s">
        <v>314</v>
      </c>
      <c r="N19" s="313"/>
      <c r="O19" s="329" t="s">
        <v>315</v>
      </c>
      <c r="P19" s="313"/>
    </row>
    <row r="20" spans="4:16" ht="28.95" customHeight="1" thickBot="1" x14ac:dyDescent="0.35">
      <c r="D20" s="74"/>
      <c r="E20" s="51"/>
      <c r="F20" s="7"/>
      <c r="H20" s="314"/>
      <c r="I20" s="330" t="s">
        <v>316</v>
      </c>
      <c r="J20" s="312"/>
      <c r="K20" s="312"/>
      <c r="L20" s="315"/>
      <c r="M20" s="315"/>
      <c r="N20" s="313"/>
      <c r="O20" s="312"/>
      <c r="P20" s="313"/>
    </row>
    <row r="21" spans="4:16" ht="28.95" customHeight="1" x14ac:dyDescent="0.3">
      <c r="D21" s="74"/>
      <c r="E21" s="76"/>
      <c r="F21" s="7"/>
      <c r="H21" s="314"/>
      <c r="I21" s="331" t="s">
        <v>317</v>
      </c>
      <c r="J21" s="316"/>
      <c r="K21" s="316"/>
      <c r="L21" s="314"/>
      <c r="M21" s="314"/>
      <c r="N21" s="317"/>
      <c r="O21" s="316"/>
      <c r="P21" s="317"/>
    </row>
    <row r="22" spans="4:16" ht="28.95" customHeight="1" x14ac:dyDescent="0.3">
      <c r="D22" s="74"/>
      <c r="E22" s="286" t="s">
        <v>304</v>
      </c>
      <c r="F22" s="70"/>
      <c r="H22" s="314"/>
      <c r="I22" s="330" t="s">
        <v>318</v>
      </c>
      <c r="J22" s="312"/>
      <c r="K22" s="312"/>
      <c r="L22" s="315"/>
      <c r="M22" s="315"/>
      <c r="N22" s="313"/>
      <c r="O22" s="312"/>
      <c r="P22" s="313"/>
    </row>
    <row r="23" spans="4:16" ht="28.95" customHeight="1" thickBot="1" x14ac:dyDescent="0.35">
      <c r="D23" s="74"/>
      <c r="E23" s="75"/>
      <c r="F23" s="70"/>
      <c r="H23" s="314"/>
      <c r="I23" s="331" t="s">
        <v>319</v>
      </c>
      <c r="J23" s="316"/>
      <c r="K23" s="316"/>
      <c r="L23" s="314"/>
      <c r="M23" s="314"/>
      <c r="N23" s="317"/>
      <c r="O23" s="316"/>
      <c r="P23" s="317"/>
    </row>
    <row r="24" spans="4:16" ht="28.95" customHeight="1" thickBot="1" x14ac:dyDescent="0.35">
      <c r="D24" s="74"/>
      <c r="E24" s="67"/>
      <c r="F24" s="70"/>
      <c r="H24" s="314"/>
      <c r="I24" s="330" t="s">
        <v>320</v>
      </c>
      <c r="J24" s="312"/>
      <c r="K24" s="312"/>
      <c r="L24" s="315"/>
      <c r="M24" s="315"/>
      <c r="N24" s="313"/>
      <c r="O24" s="312"/>
      <c r="P24" s="313"/>
    </row>
    <row r="25" spans="4:16" ht="28.95" customHeight="1" x14ac:dyDescent="0.3">
      <c r="D25" s="74"/>
      <c r="E25" s="75"/>
      <c r="F25" s="70"/>
      <c r="H25" s="318"/>
      <c r="I25" s="318"/>
      <c r="J25" s="319"/>
      <c r="K25" s="319"/>
      <c r="L25" s="318"/>
      <c r="M25" s="318"/>
      <c r="N25" s="320"/>
      <c r="O25" s="319"/>
      <c r="P25" s="320"/>
    </row>
    <row r="26" spans="4:16" ht="28.95" customHeight="1" x14ac:dyDescent="0.4">
      <c r="D26" s="74"/>
      <c r="E26" s="286" t="s">
        <v>305</v>
      </c>
      <c r="F26" s="70"/>
      <c r="H26" s="314"/>
      <c r="I26" s="333" t="s">
        <v>321</v>
      </c>
      <c r="J26" s="316"/>
      <c r="K26" s="316"/>
      <c r="L26" s="316"/>
      <c r="M26" s="333" t="s">
        <v>322</v>
      </c>
      <c r="N26" s="317"/>
      <c r="O26" s="336" t="s">
        <v>323</v>
      </c>
      <c r="P26" s="317"/>
    </row>
    <row r="27" spans="4:16" ht="28.95" customHeight="1" thickBot="1" x14ac:dyDescent="0.35">
      <c r="D27" s="74"/>
      <c r="E27" s="75"/>
      <c r="F27" s="70"/>
      <c r="H27" s="314"/>
      <c r="I27" s="314"/>
      <c r="J27" s="316"/>
      <c r="K27" s="316"/>
      <c r="L27" s="316"/>
      <c r="M27" s="314"/>
      <c r="N27" s="317"/>
      <c r="O27" s="316"/>
      <c r="P27" s="317"/>
    </row>
    <row r="28" spans="4:16" ht="28.95" customHeight="1" thickBot="1" x14ac:dyDescent="0.35">
      <c r="D28" s="74"/>
      <c r="E28" s="67"/>
      <c r="F28" s="70"/>
      <c r="H28" s="314"/>
      <c r="I28" s="314"/>
      <c r="J28" s="316"/>
      <c r="K28" s="316"/>
      <c r="L28" s="316"/>
      <c r="M28" s="314"/>
      <c r="N28" s="317"/>
      <c r="O28" s="316"/>
      <c r="P28" s="317"/>
    </row>
    <row r="29" spans="4:16" ht="28.95" customHeight="1" x14ac:dyDescent="0.3">
      <c r="D29" s="68"/>
      <c r="E29" s="69"/>
      <c r="F29" s="70"/>
      <c r="H29" s="314"/>
      <c r="I29" s="314"/>
      <c r="J29" s="316"/>
      <c r="K29" s="316"/>
      <c r="L29" s="316"/>
      <c r="M29" s="314"/>
      <c r="N29" s="317"/>
      <c r="O29" s="316"/>
      <c r="P29" s="317"/>
    </row>
    <row r="30" spans="4:16" ht="28.95" customHeight="1" x14ac:dyDescent="0.3">
      <c r="D30" s="68"/>
      <c r="E30" s="69"/>
      <c r="F30" s="70"/>
      <c r="H30" s="314"/>
      <c r="I30" s="318"/>
      <c r="J30" s="319"/>
      <c r="K30" s="319"/>
      <c r="L30" s="319"/>
      <c r="M30" s="314"/>
      <c r="N30" s="317"/>
      <c r="O30" s="316"/>
      <c r="P30" s="317"/>
    </row>
    <row r="31" spans="4:16" ht="28.95" customHeight="1" x14ac:dyDescent="0.3">
      <c r="D31" s="68"/>
      <c r="E31" s="69"/>
      <c r="F31" s="70"/>
      <c r="H31" s="302"/>
      <c r="I31" s="303"/>
      <c r="J31" s="303"/>
      <c r="K31" s="303"/>
      <c r="L31" s="303"/>
      <c r="M31" s="303"/>
      <c r="N31" s="303"/>
      <c r="O31" s="303"/>
      <c r="P31" s="304"/>
    </row>
    <row r="32" spans="4:16" ht="28.95" customHeight="1" x14ac:dyDescent="0.4">
      <c r="D32" s="68"/>
      <c r="E32" s="69"/>
      <c r="F32" s="70"/>
      <c r="H32" s="305"/>
      <c r="I32" s="337" t="s">
        <v>316</v>
      </c>
      <c r="J32" s="321"/>
      <c r="K32" s="322"/>
      <c r="L32" s="322"/>
      <c r="M32" s="322"/>
      <c r="N32" s="322"/>
      <c r="O32" s="323"/>
      <c r="P32" s="307"/>
    </row>
    <row r="33" spans="1:16" ht="28.95" customHeight="1" x14ac:dyDescent="0.4">
      <c r="D33" s="68"/>
      <c r="E33" s="69"/>
      <c r="F33" s="70"/>
      <c r="H33" s="305"/>
      <c r="I33" s="337" t="s">
        <v>324</v>
      </c>
      <c r="J33" s="321"/>
      <c r="K33" s="322"/>
      <c r="L33" s="322"/>
      <c r="M33" s="322"/>
      <c r="N33" s="322"/>
      <c r="O33" s="323"/>
      <c r="P33" s="307"/>
    </row>
    <row r="34" spans="1:16" ht="28.95" customHeight="1" thickBot="1" x14ac:dyDescent="0.45">
      <c r="D34" s="71"/>
      <c r="E34" s="72"/>
      <c r="F34" s="73"/>
      <c r="H34" s="305"/>
      <c r="I34" s="337" t="s">
        <v>325</v>
      </c>
      <c r="J34" s="321"/>
      <c r="K34" s="322"/>
      <c r="L34" s="322"/>
      <c r="M34" s="322"/>
      <c r="N34" s="322"/>
      <c r="O34" s="323"/>
      <c r="P34" s="307"/>
    </row>
    <row r="35" spans="1:16" ht="28.95" customHeight="1" x14ac:dyDescent="0.4">
      <c r="H35" s="305"/>
      <c r="I35" s="337" t="s">
        <v>326</v>
      </c>
      <c r="J35" s="321"/>
      <c r="K35" s="322"/>
      <c r="L35" s="322"/>
      <c r="M35" s="322"/>
      <c r="N35" s="322"/>
      <c r="O35" s="323"/>
      <c r="P35" s="307"/>
    </row>
    <row r="36" spans="1:16" ht="28.95" customHeight="1" x14ac:dyDescent="0.3">
      <c r="H36" s="324"/>
      <c r="I36" s="309"/>
      <c r="J36" s="309"/>
      <c r="K36" s="309"/>
      <c r="L36" s="309"/>
      <c r="M36" s="309"/>
      <c r="N36" s="309"/>
      <c r="O36" s="309"/>
      <c r="P36" s="310"/>
    </row>
    <row r="37" spans="1:16" ht="28.95" customHeight="1" x14ac:dyDescent="0.3">
      <c r="H37" s="325"/>
      <c r="I37" s="326"/>
      <c r="J37" s="326"/>
      <c r="K37" s="326"/>
      <c r="L37" s="326"/>
      <c r="M37" s="326"/>
      <c r="N37" s="326"/>
      <c r="O37" s="326"/>
      <c r="P37" s="327"/>
    </row>
    <row r="38" spans="1:16" ht="28.95" customHeight="1" x14ac:dyDescent="0.4">
      <c r="H38" s="314"/>
      <c r="I38" s="335" t="s">
        <v>327</v>
      </c>
      <c r="J38" s="316"/>
      <c r="K38" s="316"/>
      <c r="L38" s="316"/>
      <c r="M38" s="316"/>
      <c r="N38" s="316"/>
      <c r="O38" s="316"/>
      <c r="P38" s="317"/>
    </row>
    <row r="39" spans="1:16" ht="28.95" customHeight="1" x14ac:dyDescent="0.3">
      <c r="H39" s="314"/>
      <c r="I39" s="316"/>
      <c r="J39" s="316"/>
      <c r="K39" s="316"/>
      <c r="L39" s="316"/>
      <c r="M39" s="316"/>
      <c r="N39" s="316"/>
      <c r="O39" s="316"/>
      <c r="P39" s="317"/>
    </row>
    <row r="40" spans="1:16" ht="28.95" customHeight="1" x14ac:dyDescent="0.3">
      <c r="H40" s="314"/>
      <c r="I40" s="319"/>
      <c r="J40" s="319"/>
      <c r="K40" s="319"/>
      <c r="L40" s="316"/>
      <c r="M40" s="319"/>
      <c r="N40" s="319"/>
      <c r="O40" s="319"/>
      <c r="P40" s="317"/>
    </row>
    <row r="41" spans="1:16" ht="28.95" customHeight="1" x14ac:dyDescent="0.4">
      <c r="H41" s="314"/>
      <c r="I41" s="334" t="s">
        <v>328</v>
      </c>
      <c r="J41" s="316"/>
      <c r="K41" s="316"/>
      <c r="L41" s="316"/>
      <c r="M41" s="338" t="s">
        <v>329</v>
      </c>
      <c r="N41" s="316"/>
      <c r="O41" s="316"/>
      <c r="P41" s="317"/>
    </row>
    <row r="42" spans="1:16" ht="28.95" customHeight="1" x14ac:dyDescent="0.3">
      <c r="H42" s="318"/>
      <c r="I42" s="319"/>
      <c r="J42" s="319"/>
      <c r="K42" s="319"/>
      <c r="L42" s="319"/>
      <c r="M42" s="319"/>
      <c r="N42" s="319"/>
      <c r="O42" s="319"/>
      <c r="P42" s="320"/>
    </row>
    <row r="43" spans="1:16" ht="28.95" customHeight="1" x14ac:dyDescent="0.3"/>
    <row r="44" spans="1:16" ht="28.95" customHeight="1" x14ac:dyDescent="0.3"/>
    <row r="45" spans="1:16" ht="28.95" customHeight="1" x14ac:dyDescent="0.3"/>
    <row r="46" spans="1:16" ht="28.95" customHeight="1" x14ac:dyDescent="0.3"/>
    <row r="47" spans="1:16" ht="28.95" customHeight="1" x14ac:dyDescent="0.3"/>
    <row r="48" spans="1:16" ht="28.95" customHeight="1" x14ac:dyDescent="0.3">
      <c r="A48" s="177" t="s">
        <v>401</v>
      </c>
    </row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40">
    <tabColor rgb="FF00B050"/>
  </sheetPr>
  <dimension ref="A1:AW66"/>
  <sheetViews>
    <sheetView zoomScale="40" zoomScaleNormal="40" workbookViewId="0">
      <selection activeCell="N15" sqref="N15"/>
    </sheetView>
  </sheetViews>
  <sheetFormatPr defaultColWidth="8.88671875" defaultRowHeight="14.4" x14ac:dyDescent="0.3"/>
  <cols>
    <col min="1" max="4" width="8.88671875" style="177"/>
    <col min="5" max="5" width="72.33203125" style="177" bestFit="1" customWidth="1"/>
    <col min="6" max="6" width="23.33203125" style="177" bestFit="1" customWidth="1"/>
    <col min="7" max="7" width="26" style="177" bestFit="1" customWidth="1"/>
    <col min="8" max="8" width="25.6640625" style="177" bestFit="1" customWidth="1"/>
    <col min="9" max="9" width="22.88671875" style="177" bestFit="1" customWidth="1"/>
    <col min="10" max="10" width="27.88671875" style="177" bestFit="1" customWidth="1"/>
    <col min="11" max="11" width="36.6640625" style="177" bestFit="1" customWidth="1"/>
    <col min="12" max="12" width="25.44140625" style="177" bestFit="1" customWidth="1"/>
    <col min="13" max="13" width="29" style="177" bestFit="1" customWidth="1"/>
    <col min="14" max="14" width="47.88671875" style="177" bestFit="1" customWidth="1"/>
    <col min="15" max="15" width="29.33203125" style="177" customWidth="1"/>
    <col min="16" max="16" width="73.44140625" style="177" customWidth="1"/>
    <col min="17" max="17" width="15.55468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thickBot="1" x14ac:dyDescent="0.35"/>
    <row r="10" spans="1:49" ht="28.95" customHeight="1" x14ac:dyDescent="0.4">
      <c r="E10" s="341" t="s">
        <v>330</v>
      </c>
      <c r="F10" s="342" t="s">
        <v>297</v>
      </c>
      <c r="H10" s="490" t="s">
        <v>351</v>
      </c>
      <c r="I10" s="491"/>
      <c r="J10" s="491"/>
      <c r="K10" s="492"/>
    </row>
    <row r="11" spans="1:49" ht="28.95" customHeight="1" x14ac:dyDescent="0.3">
      <c r="E11" s="339" t="s">
        <v>331</v>
      </c>
      <c r="F11" s="343">
        <v>5000</v>
      </c>
      <c r="H11" s="493" t="s">
        <v>352</v>
      </c>
      <c r="I11" s="494"/>
      <c r="J11" s="345" t="s">
        <v>353</v>
      </c>
      <c r="K11" s="346" t="s">
        <v>354</v>
      </c>
    </row>
    <row r="12" spans="1:49" ht="28.95" customHeight="1" x14ac:dyDescent="0.35">
      <c r="E12" s="339" t="s">
        <v>332</v>
      </c>
      <c r="F12" s="343">
        <v>3000</v>
      </c>
      <c r="H12" s="348" t="s">
        <v>355</v>
      </c>
      <c r="I12" s="347">
        <v>2259.1999999999998</v>
      </c>
      <c r="J12" s="349">
        <v>0</v>
      </c>
      <c r="K12" s="350">
        <v>0</v>
      </c>
    </row>
    <row r="13" spans="1:49" ht="28.95" customHeight="1" x14ac:dyDescent="0.35">
      <c r="E13" s="339" t="s">
        <v>333</v>
      </c>
      <c r="F13" s="343">
        <v>2000</v>
      </c>
      <c r="H13" s="351">
        <f>I12</f>
        <v>2259.1999999999998</v>
      </c>
      <c r="I13" s="347">
        <v>2826.65</v>
      </c>
      <c r="J13" s="352">
        <v>7.4999999999999997E-2</v>
      </c>
      <c r="K13" s="350">
        <v>164.44</v>
      </c>
    </row>
    <row r="14" spans="1:49" ht="28.95" customHeight="1" x14ac:dyDescent="0.35">
      <c r="E14" s="339" t="s">
        <v>334</v>
      </c>
      <c r="F14" s="343">
        <v>5000</v>
      </c>
      <c r="H14" s="351">
        <f>I13</f>
        <v>2826.65</v>
      </c>
      <c r="I14" s="347">
        <v>3751.05</v>
      </c>
      <c r="J14" s="352">
        <v>0.15</v>
      </c>
      <c r="K14" s="350">
        <v>381.44</v>
      </c>
    </row>
    <row r="15" spans="1:49" ht="28.95" customHeight="1" x14ac:dyDescent="0.35">
      <c r="E15" s="339" t="s">
        <v>335</v>
      </c>
      <c r="F15" s="343">
        <v>3000</v>
      </c>
      <c r="H15" s="351">
        <f>I14</f>
        <v>3751.05</v>
      </c>
      <c r="I15" s="347">
        <v>4664.68</v>
      </c>
      <c r="J15" s="352">
        <v>0.22500000000000001</v>
      </c>
      <c r="K15" s="350">
        <v>662.77</v>
      </c>
    </row>
    <row r="16" spans="1:49" ht="28.95" customHeight="1" thickBot="1" x14ac:dyDescent="0.4">
      <c r="E16" s="339" t="s">
        <v>336</v>
      </c>
      <c r="F16" s="343">
        <v>2000</v>
      </c>
      <c r="H16" s="353" t="s">
        <v>356</v>
      </c>
      <c r="I16" s="354">
        <f>I15</f>
        <v>4664.68</v>
      </c>
      <c r="J16" s="355">
        <v>0.27500000000000002</v>
      </c>
      <c r="K16" s="356">
        <v>896</v>
      </c>
    </row>
    <row r="17" spans="5:11" ht="28.95" customHeight="1" thickBot="1" x14ac:dyDescent="0.35">
      <c r="E17" s="339" t="s">
        <v>337</v>
      </c>
      <c r="F17" s="343">
        <v>5000</v>
      </c>
    </row>
    <row r="18" spans="5:11" ht="28.95" customHeight="1" x14ac:dyDescent="0.3">
      <c r="E18" s="339" t="s">
        <v>338</v>
      </c>
      <c r="F18" s="343">
        <v>3000</v>
      </c>
      <c r="H18" s="490" t="s">
        <v>315</v>
      </c>
      <c r="I18" s="491"/>
      <c r="J18" s="491"/>
      <c r="K18" s="492"/>
    </row>
    <row r="19" spans="5:11" ht="28.95" customHeight="1" x14ac:dyDescent="0.3">
      <c r="E19" s="339" t="s">
        <v>14</v>
      </c>
      <c r="F19" s="343">
        <v>5000</v>
      </c>
      <c r="H19" s="339" t="s">
        <v>319</v>
      </c>
      <c r="I19" s="349">
        <v>0.11</v>
      </c>
      <c r="J19" s="357" t="s">
        <v>319</v>
      </c>
      <c r="K19" s="358">
        <v>0.11</v>
      </c>
    </row>
    <row r="20" spans="5:11" ht="28.95" customHeight="1" x14ac:dyDescent="0.3">
      <c r="E20" s="339" t="s">
        <v>339</v>
      </c>
      <c r="F20" s="343">
        <v>3000</v>
      </c>
      <c r="H20" s="339" t="s">
        <v>357</v>
      </c>
      <c r="I20" s="357" t="s">
        <v>358</v>
      </c>
      <c r="J20" s="357" t="s">
        <v>357</v>
      </c>
      <c r="K20" s="359" t="s">
        <v>358</v>
      </c>
    </row>
    <row r="21" spans="5:11" ht="28.95" customHeight="1" thickBot="1" x14ac:dyDescent="0.35">
      <c r="E21" s="339" t="s">
        <v>340</v>
      </c>
      <c r="F21" s="343">
        <v>2000</v>
      </c>
      <c r="H21" s="340" t="s">
        <v>359</v>
      </c>
      <c r="I21" s="355">
        <v>1.4999999999999999E-2</v>
      </c>
      <c r="J21" s="360" t="s">
        <v>359</v>
      </c>
      <c r="K21" s="361">
        <v>1.4999999999999999E-2</v>
      </c>
    </row>
    <row r="22" spans="5:11" ht="28.95" customHeight="1" thickBot="1" x14ac:dyDescent="0.35">
      <c r="E22" s="339" t="s">
        <v>341</v>
      </c>
      <c r="F22" s="343">
        <v>5000</v>
      </c>
    </row>
    <row r="23" spans="5:11" ht="28.95" customHeight="1" x14ac:dyDescent="0.4">
      <c r="E23" s="339" t="s">
        <v>342</v>
      </c>
      <c r="F23" s="343">
        <v>3000</v>
      </c>
      <c r="H23" s="362" t="s">
        <v>360</v>
      </c>
    </row>
    <row r="24" spans="5:11" ht="28.95" customHeight="1" thickBot="1" x14ac:dyDescent="0.4">
      <c r="E24" s="339" t="s">
        <v>343</v>
      </c>
      <c r="F24" s="343">
        <v>2000</v>
      </c>
      <c r="H24" s="363">
        <v>0.08</v>
      </c>
    </row>
    <row r="25" spans="5:11" ht="28.95" customHeight="1" x14ac:dyDescent="0.3">
      <c r="E25" s="339" t="s">
        <v>344</v>
      </c>
      <c r="F25" s="343">
        <v>5000</v>
      </c>
    </row>
    <row r="26" spans="5:11" ht="28.95" customHeight="1" x14ac:dyDescent="0.3">
      <c r="E26" s="339" t="s">
        <v>345</v>
      </c>
      <c r="F26" s="343">
        <v>4000</v>
      </c>
    </row>
    <row r="27" spans="5:11" ht="28.95" customHeight="1" x14ac:dyDescent="0.3">
      <c r="E27" s="339" t="s">
        <v>346</v>
      </c>
      <c r="F27" s="343">
        <v>3000</v>
      </c>
    </row>
    <row r="28" spans="5:11" ht="28.95" customHeight="1" x14ac:dyDescent="0.3">
      <c r="E28" s="339" t="s">
        <v>347</v>
      </c>
      <c r="F28" s="343">
        <v>2000</v>
      </c>
    </row>
    <row r="29" spans="5:11" ht="28.95" customHeight="1" x14ac:dyDescent="0.3">
      <c r="E29" s="339" t="s">
        <v>348</v>
      </c>
      <c r="F29" s="343">
        <v>5000</v>
      </c>
    </row>
    <row r="30" spans="5:11" ht="28.95" customHeight="1" x14ac:dyDescent="0.3">
      <c r="E30" s="339" t="s">
        <v>349</v>
      </c>
      <c r="F30" s="343">
        <v>3000</v>
      </c>
    </row>
    <row r="31" spans="5:11" ht="28.95" customHeight="1" thickBot="1" x14ac:dyDescent="0.35">
      <c r="E31" s="340" t="s">
        <v>350</v>
      </c>
      <c r="F31" s="344">
        <v>2000</v>
      </c>
    </row>
    <row r="32" spans="5:11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41">
    <tabColor rgb="FF7030A0"/>
  </sheetPr>
  <dimension ref="A1:AW66"/>
  <sheetViews>
    <sheetView tabSelected="1" topLeftCell="F5" zoomScale="55" zoomScaleNormal="55" workbookViewId="0">
      <selection activeCell="K15" sqref="K15"/>
    </sheetView>
  </sheetViews>
  <sheetFormatPr defaultColWidth="8.88671875" defaultRowHeight="14.4" x14ac:dyDescent="0.3"/>
  <cols>
    <col min="1" max="4" width="8.88671875" style="177"/>
    <col min="5" max="5" width="72.33203125" style="177" bestFit="1" customWidth="1"/>
    <col min="6" max="6" width="23.33203125" style="177" bestFit="1" customWidth="1"/>
    <col min="7" max="7" width="26" style="177" bestFit="1" customWidth="1"/>
    <col min="8" max="8" width="25.6640625" style="177" bestFit="1" customWidth="1"/>
    <col min="9" max="9" width="22.88671875" style="177" bestFit="1" customWidth="1"/>
    <col min="10" max="10" width="27.88671875" style="177" bestFit="1" customWidth="1"/>
    <col min="11" max="11" width="36.6640625" style="177" bestFit="1" customWidth="1"/>
    <col min="12" max="12" width="25.44140625" style="177" bestFit="1" customWidth="1"/>
    <col min="13" max="13" width="29" style="177" bestFit="1" customWidth="1"/>
    <col min="14" max="14" width="47.88671875" style="177" bestFit="1" customWidth="1"/>
    <col min="15" max="15" width="29.33203125" style="177" customWidth="1"/>
    <col min="16" max="16" width="73.44140625" style="177" customWidth="1"/>
    <col min="17" max="17" width="15.55468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481" t="s">
        <v>403</v>
      </c>
      <c r="I12" s="482"/>
      <c r="J12" s="482"/>
      <c r="K12" s="482"/>
      <c r="L12" s="483"/>
    </row>
    <row r="13" spans="1:49" ht="28.95" customHeight="1" thickBot="1" x14ac:dyDescent="0.35">
      <c r="H13" s="484"/>
      <c r="I13" s="485"/>
      <c r="J13" s="485"/>
      <c r="K13" s="485"/>
      <c r="L13" s="486"/>
    </row>
    <row r="14" spans="1:49" ht="28.95" customHeight="1" thickBot="1" x14ac:dyDescent="0.35">
      <c r="H14" s="8"/>
      <c r="I14" s="62"/>
      <c r="J14" s="62"/>
      <c r="K14" s="62"/>
      <c r="L14" s="63"/>
    </row>
    <row r="15" spans="1:49" ht="28.95" customHeight="1" thickBot="1" x14ac:dyDescent="0.4">
      <c r="H15" s="8"/>
      <c r="I15" s="283" t="s">
        <v>361</v>
      </c>
      <c r="J15" s="415"/>
      <c r="K15" s="414"/>
      <c r="L15" s="63"/>
    </row>
    <row r="16" spans="1:49" ht="28.95" customHeight="1" thickBot="1" x14ac:dyDescent="0.35">
      <c r="H16" s="8"/>
      <c r="I16" s="283"/>
      <c r="J16" s="415"/>
      <c r="K16" s="415"/>
      <c r="L16" s="63"/>
    </row>
    <row r="17" spans="8:12" ht="28.95" customHeight="1" thickBot="1" x14ac:dyDescent="0.4">
      <c r="H17" s="8"/>
      <c r="I17" s="283" t="s">
        <v>287</v>
      </c>
      <c r="J17" s="415"/>
      <c r="K17" s="414"/>
      <c r="L17" s="63"/>
    </row>
    <row r="18" spans="8:12" ht="28.95" customHeight="1" thickBot="1" x14ac:dyDescent="0.35">
      <c r="H18" s="8"/>
      <c r="I18" s="283"/>
      <c r="J18" s="415"/>
      <c r="K18" s="415"/>
      <c r="L18" s="63"/>
    </row>
    <row r="19" spans="8:12" ht="28.95" customHeight="1" thickBot="1" x14ac:dyDescent="0.4">
      <c r="H19" s="8"/>
      <c r="I19" s="283" t="s">
        <v>293</v>
      </c>
      <c r="J19" s="415"/>
      <c r="K19" s="414"/>
      <c r="L19" s="63"/>
    </row>
    <row r="20" spans="8:12" ht="28.95" customHeight="1" thickBot="1" x14ac:dyDescent="0.35">
      <c r="H20" s="8"/>
      <c r="I20" s="283"/>
      <c r="J20" s="415"/>
      <c r="K20" s="415"/>
      <c r="L20" s="63"/>
    </row>
    <row r="21" spans="8:12" ht="28.95" customHeight="1" thickBot="1" x14ac:dyDescent="0.4">
      <c r="H21" s="8"/>
      <c r="I21" s="283" t="s">
        <v>402</v>
      </c>
      <c r="J21" s="415"/>
      <c r="K21" s="414"/>
      <c r="L21" s="63"/>
    </row>
    <row r="22" spans="8:12" ht="28.95" customHeight="1" thickBot="1" x14ac:dyDescent="0.35">
      <c r="H22" s="8"/>
      <c r="I22" s="283"/>
      <c r="J22" s="415"/>
      <c r="K22" s="415"/>
      <c r="L22" s="63"/>
    </row>
    <row r="23" spans="8:12" ht="28.95" customHeight="1" thickBot="1" x14ac:dyDescent="0.4">
      <c r="H23" s="8"/>
      <c r="I23" s="283" t="s">
        <v>406</v>
      </c>
      <c r="J23" s="415"/>
      <c r="K23" s="414"/>
      <c r="L23" s="63"/>
    </row>
    <row r="24" spans="8:12" ht="28.95" customHeight="1" thickBot="1" x14ac:dyDescent="0.35">
      <c r="H24" s="8"/>
      <c r="I24" s="283"/>
      <c r="J24" s="415"/>
      <c r="K24" s="415"/>
      <c r="L24" s="63"/>
    </row>
    <row r="25" spans="8:12" ht="28.95" customHeight="1" thickBot="1" x14ac:dyDescent="0.4">
      <c r="H25" s="8"/>
      <c r="I25" s="283" t="s">
        <v>405</v>
      </c>
      <c r="J25" s="415"/>
      <c r="K25" s="414"/>
      <c r="L25" s="63"/>
    </row>
    <row r="26" spans="8:12" ht="28.95" customHeight="1" thickBot="1" x14ac:dyDescent="0.35">
      <c r="H26" s="8"/>
      <c r="I26" s="283"/>
      <c r="J26" s="415"/>
      <c r="K26" s="415"/>
      <c r="L26" s="63"/>
    </row>
    <row r="27" spans="8:12" ht="28.95" customHeight="1" thickBot="1" x14ac:dyDescent="0.35">
      <c r="H27" s="8"/>
      <c r="I27" s="283" t="s">
        <v>294</v>
      </c>
      <c r="J27" s="415"/>
      <c r="K27" s="417"/>
      <c r="L27" s="63"/>
    </row>
    <row r="28" spans="8:12" ht="28.95" customHeight="1" x14ac:dyDescent="0.3">
      <c r="H28" s="74"/>
      <c r="I28" s="85"/>
      <c r="J28" s="85"/>
      <c r="K28" s="85"/>
      <c r="L28" s="7"/>
    </row>
    <row r="29" spans="8:12" ht="28.95" customHeight="1" x14ac:dyDescent="0.3">
      <c r="H29" s="74"/>
      <c r="I29" s="85"/>
      <c r="J29" s="85"/>
      <c r="K29" s="85"/>
      <c r="L29" s="7"/>
    </row>
    <row r="30" spans="8:12" ht="28.95" customHeight="1" x14ac:dyDescent="0.3">
      <c r="H30" s="74"/>
      <c r="I30" s="85"/>
      <c r="J30" s="85"/>
      <c r="K30" s="85"/>
      <c r="L30" s="7"/>
    </row>
    <row r="31" spans="8:12" ht="28.95" customHeight="1" x14ac:dyDescent="0.3">
      <c r="H31" s="74"/>
      <c r="I31" s="85"/>
      <c r="J31" s="85"/>
      <c r="K31" s="85"/>
      <c r="L31" s="7"/>
    </row>
    <row r="32" spans="8:12" ht="28.95" customHeight="1" x14ac:dyDescent="0.3">
      <c r="H32" s="74"/>
      <c r="I32" s="85"/>
      <c r="J32" s="85"/>
      <c r="K32" s="85"/>
      <c r="L32" s="7"/>
    </row>
    <row r="33" spans="8:12" ht="28.95" customHeight="1" x14ac:dyDescent="0.3">
      <c r="H33" s="74"/>
      <c r="I33" s="85"/>
      <c r="J33" s="85"/>
      <c r="K33" s="85"/>
      <c r="L33" s="7"/>
    </row>
    <row r="34" spans="8:12" ht="28.95" customHeight="1" thickBot="1" x14ac:dyDescent="0.35">
      <c r="H34" s="86"/>
      <c r="I34" s="87"/>
      <c r="J34" s="87"/>
      <c r="K34" s="87"/>
      <c r="L34" s="88"/>
    </row>
    <row r="35" spans="8:12" ht="28.95" customHeight="1" x14ac:dyDescent="0.3"/>
    <row r="36" spans="8:12" ht="28.95" customHeight="1" x14ac:dyDescent="0.3"/>
    <row r="37" spans="8:12" ht="28.95" customHeight="1" x14ac:dyDescent="0.3"/>
    <row r="38" spans="8:12" ht="28.95" customHeight="1" x14ac:dyDescent="0.3"/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42">
    <tabColor rgb="FF7030A0"/>
  </sheetPr>
  <dimension ref="A1:AW66"/>
  <sheetViews>
    <sheetView tabSelected="1" topLeftCell="F5" zoomScale="55" zoomScaleNormal="55" workbookViewId="0">
      <selection activeCell="K15" sqref="K15"/>
    </sheetView>
  </sheetViews>
  <sheetFormatPr defaultColWidth="8.88671875" defaultRowHeight="14.4" x14ac:dyDescent="0.3"/>
  <cols>
    <col min="1" max="4" width="8.88671875" style="177"/>
    <col min="5" max="5" width="72.33203125" style="177" bestFit="1" customWidth="1"/>
    <col min="6" max="6" width="23.33203125" style="177" bestFit="1" customWidth="1"/>
    <col min="7" max="7" width="26" style="177" bestFit="1" customWidth="1"/>
    <col min="8" max="8" width="25.6640625" style="177" bestFit="1" customWidth="1"/>
    <col min="9" max="9" width="22.88671875" style="177" bestFit="1" customWidth="1"/>
    <col min="10" max="10" width="27.88671875" style="177" bestFit="1" customWidth="1"/>
    <col min="11" max="11" width="54.6640625" style="177" customWidth="1"/>
    <col min="12" max="12" width="25.44140625" style="177" bestFit="1" customWidth="1"/>
    <col min="13" max="13" width="29" style="177" bestFit="1" customWidth="1"/>
    <col min="14" max="14" width="47.88671875" style="177" bestFit="1" customWidth="1"/>
    <col min="15" max="15" width="29.33203125" style="177" customWidth="1"/>
    <col min="16" max="16" width="73.44140625" style="177" customWidth="1"/>
    <col min="17" max="17" width="15.55468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481" t="s">
        <v>367</v>
      </c>
      <c r="I12" s="482"/>
      <c r="J12" s="482"/>
      <c r="K12" s="482"/>
      <c r="L12" s="483"/>
    </row>
    <row r="13" spans="1:49" ht="28.95" customHeight="1" thickBot="1" x14ac:dyDescent="0.35">
      <c r="H13" s="484"/>
      <c r="I13" s="485"/>
      <c r="J13" s="485"/>
      <c r="K13" s="485"/>
      <c r="L13" s="486"/>
    </row>
    <row r="14" spans="1:49" ht="28.95" customHeight="1" thickBot="1" x14ac:dyDescent="0.35">
      <c r="H14" s="8"/>
      <c r="I14" s="62"/>
      <c r="J14" s="62"/>
      <c r="K14" s="62"/>
      <c r="L14" s="63"/>
    </row>
    <row r="15" spans="1:49" ht="28.95" customHeight="1" thickBot="1" x14ac:dyDescent="0.4">
      <c r="H15" s="8"/>
      <c r="I15" s="364" t="s">
        <v>361</v>
      </c>
      <c r="J15" s="62"/>
      <c r="K15" s="414" t="s">
        <v>407</v>
      </c>
      <c r="L15" s="63"/>
    </row>
    <row r="16" spans="1:49" ht="28.95" customHeight="1" thickBot="1" x14ac:dyDescent="0.4">
      <c r="H16" s="8"/>
      <c r="I16" s="91" t="s">
        <v>13</v>
      </c>
      <c r="J16" s="62"/>
      <c r="K16" s="409"/>
      <c r="L16" s="63"/>
    </row>
    <row r="17" spans="8:12" ht="28.95" customHeight="1" thickBot="1" x14ac:dyDescent="0.4">
      <c r="H17" s="8"/>
      <c r="I17" s="364" t="s">
        <v>362</v>
      </c>
      <c r="J17" s="62"/>
      <c r="K17" s="414" t="str">
        <f>VLOOKUP(K15,[3]BD_CADAS!C8:D30,2,0)</f>
        <v>Monte Verde Laticinios</v>
      </c>
      <c r="L17" s="63"/>
    </row>
    <row r="18" spans="8:12" ht="28.95" customHeight="1" thickBot="1" x14ac:dyDescent="0.4">
      <c r="H18" s="8"/>
      <c r="I18" s="91" t="s">
        <v>13</v>
      </c>
      <c r="J18" s="62"/>
      <c r="K18" s="409"/>
      <c r="L18" s="63"/>
    </row>
    <row r="19" spans="8:12" ht="28.95" customHeight="1" thickBot="1" x14ac:dyDescent="0.4">
      <c r="H19" s="8"/>
      <c r="I19" s="364" t="s">
        <v>293</v>
      </c>
      <c r="J19" s="62"/>
      <c r="K19" s="414" t="str">
        <f>VLOOKUP(K15,[3]BD_CADAS!C8:E30,3,0)</f>
        <v>Rua das Acácias, 45</v>
      </c>
      <c r="L19" s="63"/>
    </row>
    <row r="20" spans="8:12" ht="28.95" customHeight="1" thickBot="1" x14ac:dyDescent="0.4">
      <c r="H20" s="8"/>
      <c r="I20" s="91" t="s">
        <v>13</v>
      </c>
      <c r="J20" s="62"/>
      <c r="K20" s="409"/>
      <c r="L20" s="63"/>
    </row>
    <row r="21" spans="8:12" ht="28.95" customHeight="1" thickBot="1" x14ac:dyDescent="0.4">
      <c r="H21" s="8"/>
      <c r="I21" s="364" t="s">
        <v>282</v>
      </c>
      <c r="J21" s="62"/>
      <c r="K21" s="414" t="s">
        <v>232</v>
      </c>
      <c r="L21" s="63"/>
    </row>
    <row r="22" spans="8:12" ht="28.95" customHeight="1" thickBot="1" x14ac:dyDescent="0.4">
      <c r="H22" s="8"/>
      <c r="I22" s="91" t="s">
        <v>13</v>
      </c>
      <c r="J22" s="62"/>
      <c r="K22" s="409"/>
      <c r="L22" s="63"/>
    </row>
    <row r="23" spans="8:12" ht="28.95" customHeight="1" thickBot="1" x14ac:dyDescent="0.4">
      <c r="H23" s="8"/>
      <c r="I23" s="364" t="s">
        <v>283</v>
      </c>
      <c r="J23" s="62"/>
      <c r="K23" s="414">
        <v>400</v>
      </c>
      <c r="L23" s="63"/>
    </row>
    <row r="24" spans="8:12" ht="28.95" customHeight="1" thickBot="1" x14ac:dyDescent="0.4">
      <c r="H24" s="8"/>
      <c r="I24" s="91" t="s">
        <v>13</v>
      </c>
      <c r="J24" s="62"/>
      <c r="K24" s="409"/>
      <c r="L24" s="63"/>
    </row>
    <row r="25" spans="8:12" ht="28.95" customHeight="1" thickBot="1" x14ac:dyDescent="0.4">
      <c r="H25" s="8"/>
      <c r="I25" s="364" t="s">
        <v>363</v>
      </c>
      <c r="J25" s="62"/>
      <c r="K25" s="420">
        <f>N_VMETAS!O22</f>
        <v>20</v>
      </c>
      <c r="L25" s="63"/>
    </row>
    <row r="26" spans="8:12" ht="28.95" customHeight="1" thickBot="1" x14ac:dyDescent="0.4">
      <c r="H26" s="8"/>
      <c r="I26" s="91" t="s">
        <v>13</v>
      </c>
      <c r="J26" s="62"/>
      <c r="K26" s="409"/>
      <c r="L26" s="63"/>
    </row>
    <row r="27" spans="8:12" ht="28.95" customHeight="1" thickBot="1" x14ac:dyDescent="0.4">
      <c r="H27" s="8"/>
      <c r="I27" s="364" t="s">
        <v>364</v>
      </c>
      <c r="J27" s="62"/>
      <c r="K27" s="420">
        <f>K23*K25</f>
        <v>8000</v>
      </c>
      <c r="L27" s="63"/>
    </row>
    <row r="28" spans="8:12" ht="28.95" customHeight="1" thickBot="1" x14ac:dyDescent="0.4">
      <c r="H28" s="74"/>
      <c r="I28" s="91"/>
      <c r="J28" s="85"/>
      <c r="K28" s="409"/>
      <c r="L28" s="7"/>
    </row>
    <row r="29" spans="8:12" ht="28.95" customHeight="1" thickBot="1" x14ac:dyDescent="0.4">
      <c r="H29" s="74"/>
      <c r="I29" s="364" t="s">
        <v>365</v>
      </c>
      <c r="J29" s="85"/>
      <c r="K29" s="419"/>
      <c r="L29" s="7"/>
    </row>
    <row r="30" spans="8:12" ht="28.95" customHeight="1" thickBot="1" x14ac:dyDescent="0.4">
      <c r="H30" s="74"/>
      <c r="I30" s="91"/>
      <c r="J30" s="85"/>
      <c r="K30" s="409"/>
      <c r="L30" s="7"/>
    </row>
    <row r="31" spans="8:12" ht="28.95" customHeight="1" thickBot="1" x14ac:dyDescent="0.4">
      <c r="H31" s="74"/>
      <c r="I31" s="364" t="s">
        <v>366</v>
      </c>
      <c r="J31" s="85"/>
      <c r="K31" s="414" t="s">
        <v>428</v>
      </c>
      <c r="L31" s="7"/>
    </row>
    <row r="32" spans="8:12" ht="28.95" customHeight="1" x14ac:dyDescent="0.3">
      <c r="H32" s="74"/>
      <c r="I32" s="69"/>
      <c r="J32" s="85"/>
      <c r="K32" s="85"/>
      <c r="L32" s="7"/>
    </row>
    <row r="33" spans="8:12" ht="28.95" customHeight="1" x14ac:dyDescent="0.3">
      <c r="H33" s="74"/>
      <c r="I33" s="85"/>
      <c r="J33" s="85"/>
      <c r="K33" s="85"/>
      <c r="L33" s="7"/>
    </row>
    <row r="34" spans="8:12" ht="28.95" customHeight="1" x14ac:dyDescent="0.3">
      <c r="H34" s="74"/>
      <c r="I34" s="85"/>
      <c r="J34" s="85"/>
      <c r="K34" s="85"/>
      <c r="L34" s="7"/>
    </row>
    <row r="35" spans="8:12" ht="28.95" customHeight="1" x14ac:dyDescent="0.3">
      <c r="H35" s="74"/>
      <c r="I35" s="85"/>
      <c r="J35" s="85"/>
      <c r="K35" s="85"/>
      <c r="L35" s="7"/>
    </row>
    <row r="36" spans="8:12" ht="28.95" customHeight="1" x14ac:dyDescent="0.3">
      <c r="H36" s="74"/>
      <c r="I36" s="85"/>
      <c r="J36" s="85"/>
      <c r="K36" s="85"/>
      <c r="L36" s="7"/>
    </row>
    <row r="37" spans="8:12" ht="28.95" customHeight="1" x14ac:dyDescent="0.3">
      <c r="H37" s="74"/>
      <c r="I37" s="85"/>
      <c r="J37" s="85"/>
      <c r="K37" s="85"/>
      <c r="L37" s="7"/>
    </row>
    <row r="38" spans="8:12" ht="28.95" customHeight="1" thickBot="1" x14ac:dyDescent="0.35">
      <c r="H38" s="86"/>
      <c r="I38" s="87"/>
      <c r="J38" s="87"/>
      <c r="K38" s="87"/>
      <c r="L38" s="88"/>
    </row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400-000001000000}">
          <x14:formula1>
            <xm:f>N_VMETAS!$N$22:$N$25</xm:f>
          </x14:formula1>
          <xm:sqref>K21</xm:sqref>
        </x14:dataValidation>
        <x14:dataValidation type="list" allowBlank="1" showInputMessage="1" showErrorMessage="1" xr:uid="{00000000-0002-0000-1400-000000000000}">
          <x14:formula1>
            <xm:f>'C:\Users\morae\Desktop\[26_11_ERP.xlsm]BD_CADAS'!#REF!</xm:f>
          </x14:formula1>
          <xm:sqref>K31</xm:sqref>
        </x14:dataValidation>
        <x14:dataValidation type="list" allowBlank="1" showInputMessage="1" showErrorMessage="1" xr:uid="{00000000-0002-0000-1400-000002000000}">
          <x14:formula1>
            <xm:f>'C:\Users\morae\Desktop\[26_11_ERP.xlsm]BD_CADAS'!#REF!</xm:f>
          </x14:formula1>
          <xm:sqref>K15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43">
    <tabColor rgb="FF7030A0"/>
  </sheetPr>
  <dimension ref="A1:AW64"/>
  <sheetViews>
    <sheetView tabSelected="1" topLeftCell="F4" zoomScale="55" zoomScaleNormal="55" workbookViewId="0">
      <selection activeCell="K15" sqref="K15"/>
    </sheetView>
  </sheetViews>
  <sheetFormatPr defaultColWidth="8.88671875" defaultRowHeight="14.4" x14ac:dyDescent="0.3"/>
  <cols>
    <col min="1" max="4" width="8.88671875" style="177"/>
    <col min="5" max="5" width="72.33203125" style="177" bestFit="1" customWidth="1"/>
    <col min="6" max="6" width="23.33203125" style="177" bestFit="1" customWidth="1"/>
    <col min="7" max="7" width="26" style="177" bestFit="1" customWidth="1"/>
    <col min="8" max="8" width="25.6640625" style="177" bestFit="1" customWidth="1"/>
    <col min="9" max="9" width="22.88671875" style="177" bestFit="1" customWidth="1"/>
    <col min="10" max="10" width="27.88671875" style="177" bestFit="1" customWidth="1"/>
    <col min="11" max="11" width="42.44140625" style="177" customWidth="1"/>
    <col min="12" max="12" width="25.44140625" style="177" bestFit="1" customWidth="1"/>
    <col min="13" max="13" width="29" style="177" bestFit="1" customWidth="1"/>
    <col min="14" max="14" width="51.109375" style="177" customWidth="1"/>
    <col min="15" max="15" width="42.5546875" style="177" customWidth="1"/>
    <col min="16" max="16" width="73.44140625" style="177" customWidth="1"/>
    <col min="17" max="17" width="15.5546875" style="177" customWidth="1"/>
    <col min="18" max="21" width="8.88671875" style="177"/>
    <col min="22" max="22" width="23.44140625" style="177" bestFit="1" customWidth="1"/>
    <col min="23" max="23" width="2.6640625" style="177" bestFit="1" customWidth="1"/>
    <col min="24" max="24" width="51.109375" style="177" customWidth="1"/>
    <col min="25" max="16384" width="8.88671875" style="177"/>
  </cols>
  <sheetData>
    <row r="1" spans="1:49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</row>
    <row r="2" spans="1:49" x14ac:dyDescent="0.3">
      <c r="A2" s="181"/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</row>
    <row r="3" spans="1:49" ht="61.2" customHeight="1" x14ac:dyDescent="0.3">
      <c r="A3" s="18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  <c r="AT3" s="181"/>
      <c r="AU3" s="181"/>
      <c r="AV3" s="181"/>
      <c r="AW3" s="181"/>
    </row>
    <row r="4" spans="1:49" ht="46.2" customHeight="1" x14ac:dyDescent="0.3">
      <c r="A4" s="267"/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  <c r="AT4" s="267"/>
      <c r="AU4" s="267"/>
      <c r="AV4" s="267"/>
      <c r="AW4" s="267"/>
    </row>
    <row r="5" spans="1:49" x14ac:dyDescent="0.3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  <c r="AT5" s="267"/>
      <c r="AU5" s="267"/>
      <c r="AV5" s="267"/>
      <c r="AW5" s="267"/>
    </row>
    <row r="6" spans="1:49" x14ac:dyDescent="0.3">
      <c r="A6" s="267"/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</row>
    <row r="7" spans="1:49" x14ac:dyDescent="0.3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4">
      <c r="H12" s="481" t="s">
        <v>368</v>
      </c>
      <c r="I12" s="482"/>
      <c r="J12" s="482"/>
      <c r="K12" s="482"/>
      <c r="L12" s="483"/>
      <c r="N12" s="366" t="s">
        <v>369</v>
      </c>
      <c r="O12" s="366" t="s">
        <v>283</v>
      </c>
    </row>
    <row r="13" spans="1:49" ht="28.95" customHeight="1" thickBot="1" x14ac:dyDescent="0.4">
      <c r="H13" s="484"/>
      <c r="I13" s="485"/>
      <c r="J13" s="485"/>
      <c r="K13" s="485"/>
      <c r="L13" s="486"/>
      <c r="N13" s="367" t="s">
        <v>427</v>
      </c>
      <c r="O13" s="368">
        <v>1600</v>
      </c>
    </row>
    <row r="14" spans="1:49" ht="28.95" customHeight="1" thickBot="1" x14ac:dyDescent="0.4">
      <c r="H14" s="410"/>
      <c r="I14" s="411"/>
      <c r="J14" s="411"/>
      <c r="K14" s="412"/>
      <c r="L14" s="413"/>
      <c r="N14" s="409"/>
      <c r="O14" s="409"/>
    </row>
    <row r="15" spans="1:49" ht="28.95" customHeight="1" thickBot="1" x14ac:dyDescent="0.4">
      <c r="H15" s="8"/>
      <c r="I15" s="364" t="s">
        <v>433</v>
      </c>
      <c r="J15" s="62"/>
      <c r="K15" s="414">
        <f>SUM(N_VRELCOM!H10:H52)</f>
        <v>8000</v>
      </c>
      <c r="L15" s="63"/>
    </row>
    <row r="16" spans="1:49" ht="28.95" customHeight="1" thickBot="1" x14ac:dyDescent="0.4">
      <c r="H16" s="8"/>
      <c r="I16" s="364"/>
      <c r="J16" s="62"/>
      <c r="K16" s="409"/>
      <c r="L16" s="63"/>
    </row>
    <row r="17" spans="8:15" ht="28.95" customHeight="1" thickBot="1" x14ac:dyDescent="0.4">
      <c r="H17" s="8"/>
      <c r="I17" s="364" t="s">
        <v>431</v>
      </c>
      <c r="J17" s="62"/>
      <c r="K17" s="414">
        <f>O13</f>
        <v>1600</v>
      </c>
      <c r="L17" s="63"/>
    </row>
    <row r="18" spans="8:15" ht="28.95" customHeight="1" thickBot="1" x14ac:dyDescent="0.4">
      <c r="H18" s="8"/>
      <c r="I18" s="364"/>
      <c r="J18" s="62"/>
      <c r="K18" s="409"/>
      <c r="L18" s="63"/>
    </row>
    <row r="19" spans="8:15" ht="28.95" customHeight="1" thickBot="1" x14ac:dyDescent="0.4">
      <c r="H19" s="8"/>
      <c r="I19" s="364" t="s">
        <v>430</v>
      </c>
      <c r="J19" s="62"/>
      <c r="K19" s="414" t="str">
        <f>IF(K15&gt;K17,"META ATINGIDA","META NÃO ATINGIDA")</f>
        <v>META ATINGIDA</v>
      </c>
      <c r="L19" s="63"/>
    </row>
    <row r="20" spans="8:15" ht="28.95" customHeight="1" x14ac:dyDescent="0.35">
      <c r="H20" s="8"/>
      <c r="I20" s="364"/>
      <c r="J20" s="62"/>
      <c r="K20" s="406"/>
      <c r="L20" s="63"/>
    </row>
    <row r="21" spans="8:15" ht="28.95" customHeight="1" x14ac:dyDescent="0.4">
      <c r="H21" s="8"/>
      <c r="I21" s="85"/>
      <c r="J21" s="62"/>
      <c r="K21" s="62"/>
      <c r="L21" s="63"/>
      <c r="N21" s="366" t="s">
        <v>423</v>
      </c>
      <c r="O21" s="366" t="s">
        <v>404</v>
      </c>
    </row>
    <row r="22" spans="8:15" ht="28.95" customHeight="1" x14ac:dyDescent="0.35">
      <c r="H22" s="8"/>
      <c r="I22" s="85"/>
      <c r="J22" s="62"/>
      <c r="K22" s="62"/>
      <c r="L22" s="63"/>
      <c r="N22" s="407" t="s">
        <v>424</v>
      </c>
      <c r="O22" s="416">
        <v>20</v>
      </c>
    </row>
    <row r="23" spans="8:15" ht="28.95" customHeight="1" x14ac:dyDescent="0.35">
      <c r="H23" s="8"/>
      <c r="I23" s="85"/>
      <c r="J23" s="62"/>
      <c r="K23" s="62"/>
      <c r="L23" s="63"/>
      <c r="N23" s="407" t="s">
        <v>425</v>
      </c>
      <c r="O23" s="416">
        <v>20</v>
      </c>
    </row>
    <row r="24" spans="8:15" ht="28.95" customHeight="1" x14ac:dyDescent="0.35">
      <c r="H24" s="8"/>
      <c r="I24" s="85"/>
      <c r="J24" s="62"/>
      <c r="K24" s="62"/>
      <c r="L24" s="63"/>
      <c r="N24" s="407" t="s">
        <v>232</v>
      </c>
      <c r="O24" s="416">
        <v>20</v>
      </c>
    </row>
    <row r="25" spans="8:15" ht="28.95" customHeight="1" thickBot="1" x14ac:dyDescent="0.4">
      <c r="H25" s="64"/>
      <c r="I25" s="87"/>
      <c r="J25" s="65"/>
      <c r="K25" s="365"/>
      <c r="L25" s="66"/>
      <c r="N25" s="408" t="s">
        <v>426</v>
      </c>
      <c r="O25" s="416">
        <v>20</v>
      </c>
    </row>
    <row r="26" spans="8:15" ht="28.95" customHeight="1" x14ac:dyDescent="0.3"/>
    <row r="27" spans="8:15" ht="28.95" customHeight="1" x14ac:dyDescent="0.3"/>
    <row r="28" spans="8:15" ht="28.95" customHeight="1" x14ac:dyDescent="0.3"/>
    <row r="29" spans="8:15" ht="28.95" customHeight="1" x14ac:dyDescent="0.3"/>
    <row r="30" spans="8:15" ht="28.95" customHeight="1" x14ac:dyDescent="0.3"/>
    <row r="31" spans="8:15" ht="28.95" customHeight="1" x14ac:dyDescent="0.3"/>
    <row r="32" spans="8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45">
    <tabColor rgb="FF7030A0"/>
  </sheetPr>
  <dimension ref="B1:AS72"/>
  <sheetViews>
    <sheetView tabSelected="1" zoomScale="55" zoomScaleNormal="55" workbookViewId="0">
      <selection activeCell="K15" sqref="K15"/>
    </sheetView>
  </sheetViews>
  <sheetFormatPr defaultColWidth="8.88671875" defaultRowHeight="14.4" x14ac:dyDescent="0.3"/>
  <cols>
    <col min="1" max="1" width="8.88671875" style="177"/>
    <col min="2" max="2" width="32.44140625" style="177" customWidth="1"/>
    <col min="3" max="3" width="37.88671875" style="177" customWidth="1"/>
    <col min="4" max="4" width="44.33203125" style="177" customWidth="1"/>
    <col min="5" max="5" width="49.5546875" style="177" customWidth="1"/>
    <col min="6" max="6" width="57.5546875" style="177" customWidth="1"/>
    <col min="7" max="7" width="39.88671875" style="177" customWidth="1"/>
    <col min="8" max="8" width="47.88671875" style="177" customWidth="1"/>
    <col min="9" max="9" width="43.33203125" style="177" customWidth="1"/>
    <col min="10" max="10" width="47.88671875" style="177" bestFit="1" customWidth="1"/>
    <col min="11" max="11" width="29.33203125" style="177" customWidth="1"/>
    <col min="12" max="12" width="73.44140625" style="177" customWidth="1"/>
    <col min="13" max="13" width="15.5546875" style="177" customWidth="1"/>
    <col min="14" max="17" width="8.88671875" style="177"/>
    <col min="18" max="18" width="23.44140625" style="177" bestFit="1" customWidth="1"/>
    <col min="19" max="19" width="2.6640625" style="177" bestFit="1" customWidth="1"/>
    <col min="20" max="20" width="51.109375" style="177" customWidth="1"/>
    <col min="21" max="16384" width="8.88671875" style="177"/>
  </cols>
  <sheetData>
    <row r="1" spans="2:45" x14ac:dyDescent="0.3"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</row>
    <row r="2" spans="2:45" x14ac:dyDescent="0.3"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</row>
    <row r="3" spans="2:45" ht="61.2" customHeight="1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  <c r="AN3" s="181"/>
      <c r="AO3" s="181"/>
      <c r="AP3" s="181"/>
      <c r="AQ3" s="181"/>
      <c r="AR3" s="181"/>
      <c r="AS3" s="181"/>
    </row>
    <row r="4" spans="2:45" ht="46.2" customHeight="1" x14ac:dyDescent="0.3"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AR4" s="267"/>
      <c r="AS4" s="267"/>
    </row>
    <row r="5" spans="2:45" x14ac:dyDescent="0.3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  <c r="AN5" s="267"/>
      <c r="AO5" s="267"/>
      <c r="AP5" s="267"/>
      <c r="AQ5" s="267"/>
      <c r="AR5" s="267"/>
      <c r="AS5" s="267"/>
    </row>
    <row r="6" spans="2:45" x14ac:dyDescent="0.3"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</row>
    <row r="7" spans="2:45" x14ac:dyDescent="0.3"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</row>
    <row r="8" spans="2:45" ht="28.95" customHeight="1" x14ac:dyDescent="0.3"/>
    <row r="9" spans="2:45" ht="28.95" customHeight="1" thickBot="1" x14ac:dyDescent="0.35">
      <c r="B9" s="421" t="s">
        <v>361</v>
      </c>
      <c r="C9" s="421" t="s">
        <v>362</v>
      </c>
      <c r="D9" s="421" t="s">
        <v>293</v>
      </c>
      <c r="E9" s="421" t="s">
        <v>282</v>
      </c>
      <c r="F9" s="421" t="s">
        <v>283</v>
      </c>
      <c r="G9" s="421" t="s">
        <v>363</v>
      </c>
      <c r="H9" s="421" t="s">
        <v>364</v>
      </c>
      <c r="I9" s="421" t="s">
        <v>365</v>
      </c>
      <c r="J9" s="421" t="s">
        <v>366</v>
      </c>
    </row>
    <row r="10" spans="2:45" ht="28.95" customHeight="1" thickBot="1" x14ac:dyDescent="0.4">
      <c r="B10" s="414" t="s">
        <v>409</v>
      </c>
      <c r="C10" s="405" t="s">
        <v>408</v>
      </c>
      <c r="D10" s="405" t="s">
        <v>410</v>
      </c>
      <c r="E10" s="414" t="s">
        <v>232</v>
      </c>
      <c r="F10" s="414">
        <v>400</v>
      </c>
      <c r="G10" s="405">
        <v>20</v>
      </c>
      <c r="H10" s="405">
        <v>8000</v>
      </c>
      <c r="I10" s="419"/>
      <c r="J10" s="414" t="s">
        <v>429</v>
      </c>
    </row>
    <row r="11" spans="2:45" ht="28.95" customHeight="1" thickBot="1" x14ac:dyDescent="0.4">
      <c r="B11" s="414"/>
      <c r="C11" s="405"/>
      <c r="D11" s="405"/>
      <c r="E11" s="414"/>
      <c r="F11" s="414"/>
      <c r="G11" s="405"/>
      <c r="H11" s="405"/>
      <c r="I11" s="419"/>
      <c r="J11" s="414"/>
    </row>
    <row r="12" spans="2:45" ht="28.95" customHeight="1" thickBot="1" x14ac:dyDescent="0.4">
      <c r="B12" s="414"/>
      <c r="C12" s="405"/>
      <c r="D12" s="405"/>
      <c r="E12" s="414"/>
      <c r="F12" s="414"/>
      <c r="G12" s="405"/>
      <c r="H12" s="405"/>
      <c r="I12" s="419"/>
      <c r="J12" s="414"/>
      <c r="K12" s="418"/>
    </row>
    <row r="13" spans="2:45" ht="28.95" customHeight="1" x14ac:dyDescent="0.35">
      <c r="B13" s="405"/>
      <c r="C13" s="405"/>
      <c r="D13" s="405"/>
      <c r="E13" s="405"/>
      <c r="F13" s="405"/>
      <c r="G13" s="405"/>
      <c r="H13" s="405"/>
      <c r="I13" s="405"/>
      <c r="J13" s="405"/>
    </row>
    <row r="14" spans="2:45" ht="28.95" customHeight="1" x14ac:dyDescent="0.35">
      <c r="B14" s="405"/>
      <c r="C14" s="405"/>
      <c r="D14" s="405"/>
      <c r="E14" s="405"/>
      <c r="F14" s="405"/>
      <c r="G14" s="405"/>
      <c r="H14" s="405"/>
      <c r="I14" s="405"/>
      <c r="J14" s="405"/>
    </row>
    <row r="15" spans="2:45" ht="28.95" customHeight="1" x14ac:dyDescent="0.35">
      <c r="B15" s="405"/>
      <c r="C15" s="405"/>
      <c r="D15" s="405"/>
      <c r="E15" s="405"/>
      <c r="F15" s="405"/>
      <c r="G15" s="405"/>
      <c r="H15" s="405"/>
      <c r="I15" s="405"/>
      <c r="J15" s="405"/>
    </row>
    <row r="16" spans="2:45" ht="28.95" customHeight="1" x14ac:dyDescent="0.35">
      <c r="B16" s="405"/>
      <c r="C16" s="405"/>
      <c r="D16" s="405"/>
      <c r="E16" s="405"/>
      <c r="F16" s="405"/>
      <c r="G16" s="405"/>
      <c r="H16" s="405"/>
      <c r="I16" s="405"/>
      <c r="J16" s="405"/>
    </row>
    <row r="17" spans="2:10" ht="28.95" customHeight="1" x14ac:dyDescent="0.35">
      <c r="B17" s="405"/>
      <c r="C17" s="405"/>
      <c r="D17" s="405"/>
      <c r="E17" s="405"/>
      <c r="F17" s="405"/>
      <c r="G17" s="405"/>
      <c r="H17" s="405"/>
      <c r="I17" s="405"/>
      <c r="J17" s="405"/>
    </row>
    <row r="18" spans="2:10" ht="28.95" customHeight="1" x14ac:dyDescent="0.35">
      <c r="B18" s="405"/>
      <c r="C18" s="405"/>
      <c r="D18" s="405"/>
      <c r="E18" s="405"/>
      <c r="F18" s="405"/>
      <c r="G18" s="405"/>
      <c r="H18" s="405"/>
      <c r="I18" s="405"/>
      <c r="J18" s="405"/>
    </row>
    <row r="19" spans="2:10" ht="28.95" customHeight="1" x14ac:dyDescent="0.35">
      <c r="B19" s="405"/>
      <c r="C19" s="405"/>
      <c r="D19" s="405"/>
      <c r="E19" s="405"/>
      <c r="F19" s="405"/>
      <c r="G19" s="405"/>
      <c r="H19" s="405"/>
      <c r="I19" s="405"/>
      <c r="J19" s="405"/>
    </row>
    <row r="20" spans="2:10" ht="28.95" customHeight="1" x14ac:dyDescent="0.35">
      <c r="B20" s="405"/>
      <c r="C20" s="405"/>
      <c r="D20" s="405"/>
      <c r="E20" s="405"/>
      <c r="F20" s="405"/>
      <c r="G20" s="405"/>
      <c r="H20" s="405"/>
      <c r="I20" s="405"/>
      <c r="J20" s="405"/>
    </row>
    <row r="21" spans="2:10" ht="28.95" customHeight="1" x14ac:dyDescent="0.35">
      <c r="B21" s="405"/>
      <c r="C21" s="405"/>
      <c r="D21" s="405"/>
      <c r="E21" s="405"/>
      <c r="F21" s="405"/>
      <c r="G21" s="405"/>
      <c r="H21" s="405"/>
      <c r="I21" s="405"/>
      <c r="J21" s="405"/>
    </row>
    <row r="22" spans="2:10" ht="28.95" customHeight="1" x14ac:dyDescent="0.35">
      <c r="B22" s="405"/>
      <c r="C22" s="405"/>
      <c r="D22" s="405"/>
      <c r="E22" s="405"/>
      <c r="F22" s="405"/>
      <c r="G22" s="405"/>
      <c r="H22" s="405"/>
      <c r="I22" s="405"/>
      <c r="J22" s="405"/>
    </row>
    <row r="23" spans="2:10" ht="28.95" customHeight="1" x14ac:dyDescent="0.35">
      <c r="B23" s="405"/>
      <c r="C23" s="405"/>
      <c r="D23" s="405"/>
      <c r="E23" s="405"/>
      <c r="F23" s="405"/>
      <c r="G23" s="405"/>
      <c r="H23" s="405"/>
      <c r="I23" s="405"/>
      <c r="J23" s="405"/>
    </row>
    <row r="24" spans="2:10" ht="28.95" customHeight="1" x14ac:dyDescent="0.35">
      <c r="B24" s="405"/>
      <c r="C24" s="405"/>
      <c r="D24" s="405"/>
      <c r="E24" s="405"/>
      <c r="F24" s="405"/>
      <c r="G24" s="405"/>
      <c r="H24" s="405"/>
      <c r="I24" s="405"/>
      <c r="J24" s="405"/>
    </row>
    <row r="25" spans="2:10" ht="28.95" customHeight="1" x14ac:dyDescent="0.35">
      <c r="B25" s="405"/>
      <c r="C25" s="405"/>
      <c r="D25" s="405"/>
      <c r="E25" s="405"/>
      <c r="F25" s="405"/>
      <c r="G25" s="405"/>
      <c r="H25" s="405"/>
      <c r="I25" s="405"/>
      <c r="J25" s="405"/>
    </row>
    <row r="26" spans="2:10" ht="28.95" customHeight="1" x14ac:dyDescent="0.35">
      <c r="B26" s="405"/>
      <c r="C26" s="405"/>
      <c r="D26" s="405"/>
      <c r="E26" s="405"/>
      <c r="F26" s="405"/>
      <c r="G26" s="405"/>
      <c r="H26" s="405"/>
      <c r="I26" s="405"/>
      <c r="J26" s="405"/>
    </row>
    <row r="27" spans="2:10" ht="28.95" customHeight="1" x14ac:dyDescent="0.35">
      <c r="B27" s="405"/>
      <c r="C27" s="405"/>
      <c r="D27" s="405"/>
      <c r="E27" s="405"/>
      <c r="F27" s="405"/>
      <c r="G27" s="405"/>
      <c r="H27" s="405"/>
      <c r="I27" s="405"/>
      <c r="J27" s="405"/>
    </row>
    <row r="28" spans="2:10" ht="28.95" customHeight="1" x14ac:dyDescent="0.35">
      <c r="B28" s="405"/>
      <c r="C28" s="405"/>
      <c r="D28" s="405"/>
      <c r="E28" s="405"/>
      <c r="F28" s="405"/>
      <c r="G28" s="405"/>
      <c r="H28" s="405"/>
      <c r="I28" s="405"/>
      <c r="J28" s="405"/>
    </row>
    <row r="29" spans="2:10" ht="28.95" customHeight="1" x14ac:dyDescent="0.35">
      <c r="B29" s="405"/>
      <c r="C29" s="405"/>
      <c r="D29" s="405"/>
      <c r="E29" s="405"/>
      <c r="F29" s="405"/>
      <c r="G29" s="405"/>
      <c r="H29" s="405"/>
      <c r="I29" s="405"/>
      <c r="J29" s="405"/>
    </row>
    <row r="30" spans="2:10" ht="28.95" customHeight="1" x14ac:dyDescent="0.35">
      <c r="B30" s="405"/>
      <c r="C30" s="405"/>
      <c r="D30" s="405"/>
      <c r="E30" s="405"/>
      <c r="F30" s="405"/>
      <c r="G30" s="405"/>
      <c r="H30" s="405"/>
      <c r="I30" s="405"/>
      <c r="J30" s="405"/>
    </row>
    <row r="31" spans="2:10" ht="28.95" customHeight="1" x14ac:dyDescent="0.35">
      <c r="B31" s="405"/>
      <c r="C31" s="405"/>
      <c r="D31" s="405"/>
      <c r="E31" s="405"/>
      <c r="F31" s="405"/>
      <c r="G31" s="405"/>
      <c r="H31" s="405"/>
      <c r="I31" s="405"/>
      <c r="J31" s="405"/>
    </row>
    <row r="32" spans="2:10" ht="28.95" customHeight="1" x14ac:dyDescent="0.35">
      <c r="B32" s="405"/>
      <c r="C32" s="405"/>
      <c r="D32" s="405"/>
      <c r="E32" s="405"/>
      <c r="F32" s="405"/>
      <c r="G32" s="405"/>
      <c r="H32" s="405"/>
      <c r="I32" s="405"/>
      <c r="J32" s="405"/>
    </row>
    <row r="33" spans="2:10" ht="28.95" customHeight="1" x14ac:dyDescent="0.35">
      <c r="B33" s="405"/>
      <c r="C33" s="405"/>
      <c r="D33" s="405"/>
      <c r="E33" s="405"/>
      <c r="F33" s="405"/>
      <c r="G33" s="405"/>
      <c r="H33" s="405"/>
      <c r="I33" s="405"/>
      <c r="J33" s="405"/>
    </row>
    <row r="34" spans="2:10" ht="28.95" customHeight="1" x14ac:dyDescent="0.35">
      <c r="B34" s="405"/>
      <c r="C34" s="405"/>
      <c r="D34" s="405"/>
      <c r="E34" s="405"/>
      <c r="F34" s="405"/>
      <c r="G34" s="405"/>
      <c r="H34" s="405"/>
      <c r="I34" s="405"/>
      <c r="J34" s="405"/>
    </row>
    <row r="35" spans="2:10" ht="28.95" customHeight="1" x14ac:dyDescent="0.35">
      <c r="B35" s="405"/>
      <c r="C35" s="405"/>
      <c r="D35" s="405"/>
      <c r="E35" s="405"/>
      <c r="F35" s="405"/>
      <c r="G35" s="405"/>
      <c r="H35" s="405"/>
      <c r="I35" s="405"/>
      <c r="J35" s="405"/>
    </row>
    <row r="36" spans="2:10" ht="28.95" customHeight="1" x14ac:dyDescent="0.35">
      <c r="B36" s="405"/>
      <c r="C36" s="405"/>
      <c r="D36" s="405"/>
      <c r="E36" s="405"/>
      <c r="F36" s="405"/>
      <c r="G36" s="405"/>
      <c r="H36" s="405"/>
      <c r="I36" s="405"/>
      <c r="J36" s="405"/>
    </row>
    <row r="37" spans="2:10" ht="28.95" customHeight="1" x14ac:dyDescent="0.35">
      <c r="B37" s="405"/>
      <c r="C37" s="405"/>
      <c r="D37" s="405"/>
      <c r="E37" s="405"/>
      <c r="F37" s="405"/>
      <c r="G37" s="405"/>
      <c r="H37" s="405"/>
      <c r="I37" s="405"/>
      <c r="J37" s="405"/>
    </row>
    <row r="38" spans="2:10" ht="28.95" customHeight="1" x14ac:dyDescent="0.35">
      <c r="B38" s="405"/>
      <c r="C38" s="405"/>
      <c r="D38" s="405"/>
      <c r="E38" s="405"/>
      <c r="F38" s="405"/>
      <c r="G38" s="405"/>
      <c r="H38" s="405"/>
      <c r="I38" s="405"/>
      <c r="J38" s="405"/>
    </row>
    <row r="39" spans="2:10" ht="28.95" customHeight="1" x14ac:dyDescent="0.35">
      <c r="B39" s="405"/>
      <c r="C39" s="405"/>
      <c r="D39" s="405"/>
      <c r="E39" s="405"/>
      <c r="F39" s="405"/>
      <c r="G39" s="405"/>
      <c r="H39" s="405"/>
      <c r="I39" s="405"/>
      <c r="J39" s="405"/>
    </row>
    <row r="40" spans="2:10" ht="28.95" customHeight="1" x14ac:dyDescent="0.35">
      <c r="B40" s="405"/>
      <c r="C40" s="405"/>
      <c r="D40" s="405"/>
      <c r="E40" s="405"/>
      <c r="F40" s="405"/>
      <c r="G40" s="405"/>
      <c r="H40" s="405"/>
      <c r="I40" s="405"/>
      <c r="J40" s="405"/>
    </row>
    <row r="41" spans="2:10" ht="28.95" customHeight="1" x14ac:dyDescent="0.35">
      <c r="B41" s="405"/>
      <c r="C41" s="405"/>
      <c r="D41" s="405"/>
      <c r="E41" s="405"/>
      <c r="F41" s="405"/>
      <c r="G41" s="405"/>
      <c r="H41" s="405"/>
      <c r="I41" s="405"/>
      <c r="J41" s="405"/>
    </row>
    <row r="42" spans="2:10" ht="28.95" customHeight="1" x14ac:dyDescent="0.35">
      <c r="B42" s="405"/>
      <c r="C42" s="405"/>
      <c r="D42" s="405"/>
      <c r="E42" s="405"/>
      <c r="F42" s="405"/>
      <c r="G42" s="405"/>
      <c r="H42" s="405"/>
      <c r="I42" s="405"/>
      <c r="J42" s="405"/>
    </row>
    <row r="43" spans="2:10" ht="28.95" customHeight="1" x14ac:dyDescent="0.35">
      <c r="B43" s="405"/>
      <c r="C43" s="405"/>
      <c r="D43" s="405"/>
      <c r="E43" s="405"/>
      <c r="F43" s="405"/>
      <c r="G43" s="405"/>
      <c r="H43" s="405"/>
      <c r="I43" s="405"/>
      <c r="J43" s="405"/>
    </row>
    <row r="44" spans="2:10" ht="28.95" customHeight="1" x14ac:dyDescent="0.35">
      <c r="B44" s="405"/>
      <c r="C44" s="405"/>
      <c r="D44" s="405"/>
      <c r="E44" s="405"/>
      <c r="F44" s="405"/>
      <c r="G44" s="405"/>
      <c r="H44" s="405"/>
      <c r="I44" s="405"/>
      <c r="J44" s="405"/>
    </row>
    <row r="45" spans="2:10" ht="28.95" customHeight="1" x14ac:dyDescent="0.35">
      <c r="B45" s="405"/>
      <c r="C45" s="405"/>
      <c r="D45" s="405"/>
      <c r="E45" s="405"/>
      <c r="F45" s="405"/>
      <c r="G45" s="405"/>
      <c r="H45" s="405"/>
      <c r="I45" s="405"/>
      <c r="J45" s="405"/>
    </row>
    <row r="46" spans="2:10" ht="28.95" customHeight="1" x14ac:dyDescent="0.35">
      <c r="B46" s="405"/>
      <c r="C46" s="405"/>
      <c r="D46" s="405"/>
      <c r="E46" s="405"/>
      <c r="F46" s="405"/>
      <c r="G46" s="405"/>
      <c r="H46" s="405"/>
      <c r="I46" s="405"/>
      <c r="J46" s="405"/>
    </row>
    <row r="47" spans="2:10" ht="28.95" customHeight="1" x14ac:dyDescent="0.35">
      <c r="B47" s="405"/>
      <c r="C47" s="405"/>
      <c r="D47" s="405"/>
      <c r="E47" s="405"/>
      <c r="F47" s="405"/>
      <c r="G47" s="405"/>
      <c r="H47" s="405"/>
      <c r="I47" s="405"/>
      <c r="J47" s="405"/>
    </row>
    <row r="48" spans="2:10" ht="28.95" customHeight="1" x14ac:dyDescent="0.35">
      <c r="B48" s="405"/>
      <c r="C48" s="405"/>
      <c r="D48" s="405"/>
      <c r="E48" s="405"/>
      <c r="F48" s="405"/>
      <c r="G48" s="405"/>
      <c r="H48" s="405"/>
      <c r="I48" s="405"/>
      <c r="J48" s="405"/>
    </row>
    <row r="49" spans="2:10" ht="28.95" customHeight="1" x14ac:dyDescent="0.35">
      <c r="B49" s="405"/>
      <c r="C49" s="405"/>
      <c r="D49" s="405"/>
      <c r="E49" s="405"/>
      <c r="F49" s="405"/>
      <c r="G49" s="405"/>
      <c r="H49" s="405"/>
      <c r="I49" s="405"/>
      <c r="J49" s="405"/>
    </row>
    <row r="50" spans="2:10" ht="28.95" customHeight="1" x14ac:dyDescent="0.35">
      <c r="B50" s="405"/>
      <c r="C50" s="405"/>
      <c r="D50" s="405"/>
      <c r="E50" s="405"/>
      <c r="F50" s="405"/>
      <c r="G50" s="405"/>
      <c r="H50" s="405"/>
      <c r="I50" s="405"/>
      <c r="J50" s="405"/>
    </row>
    <row r="51" spans="2:10" ht="28.95" customHeight="1" x14ac:dyDescent="0.35">
      <c r="B51" s="405"/>
      <c r="C51" s="373"/>
      <c r="D51" s="373"/>
      <c r="E51" s="405"/>
      <c r="F51" s="405"/>
      <c r="G51" s="405"/>
      <c r="H51" s="405"/>
      <c r="I51" s="405"/>
      <c r="J51" s="405"/>
    </row>
    <row r="52" spans="2:10" ht="28.95" customHeight="1" x14ac:dyDescent="0.35">
      <c r="B52" s="405"/>
      <c r="C52" s="373"/>
      <c r="D52" s="373"/>
      <c r="E52" s="405"/>
      <c r="F52" s="405"/>
      <c r="G52" s="405"/>
      <c r="H52" s="405"/>
      <c r="I52" s="405"/>
      <c r="J52" s="405"/>
    </row>
    <row r="53" spans="2:10" ht="28.95" customHeight="1" x14ac:dyDescent="0.35">
      <c r="B53" s="405"/>
      <c r="C53"/>
      <c r="D53"/>
      <c r="E53" s="405"/>
      <c r="F53" s="405"/>
      <c r="G53"/>
      <c r="H53"/>
      <c r="I53" s="373"/>
      <c r="J53" s="373"/>
    </row>
    <row r="54" spans="2:10" ht="28.95" customHeight="1" x14ac:dyDescent="0.35">
      <c r="B54" s="405"/>
      <c r="C54"/>
      <c r="D54"/>
      <c r="E54" s="373"/>
      <c r="F54" s="373"/>
      <c r="G54"/>
      <c r="H54"/>
      <c r="I54" s="373"/>
      <c r="J54" s="373"/>
    </row>
    <row r="55" spans="2:10" ht="28.95" customHeight="1" x14ac:dyDescent="0.3">
      <c r="B55" s="422"/>
      <c r="C55"/>
      <c r="D55"/>
      <c r="E55"/>
      <c r="F55"/>
      <c r="G55"/>
      <c r="H55"/>
      <c r="I55"/>
      <c r="J55"/>
    </row>
    <row r="56" spans="2:10" ht="28.95" customHeight="1" x14ac:dyDescent="0.3">
      <c r="B56"/>
      <c r="C56"/>
      <c r="D56"/>
      <c r="E56"/>
      <c r="F56"/>
      <c r="G56"/>
      <c r="H56"/>
      <c r="I56"/>
      <c r="J56"/>
    </row>
    <row r="57" spans="2:10" ht="28.95" customHeight="1" x14ac:dyDescent="0.3">
      <c r="B57"/>
      <c r="C57"/>
      <c r="D57"/>
      <c r="E57"/>
      <c r="F57"/>
      <c r="G57"/>
      <c r="H57"/>
      <c r="I57"/>
      <c r="J57"/>
    </row>
    <row r="58" spans="2:10" ht="28.95" customHeight="1" x14ac:dyDescent="0.3">
      <c r="B58"/>
      <c r="C58"/>
      <c r="D58"/>
      <c r="E58"/>
      <c r="F58"/>
      <c r="G58"/>
      <c r="H58"/>
      <c r="I58"/>
      <c r="J58"/>
    </row>
    <row r="59" spans="2:10" ht="28.95" customHeight="1" x14ac:dyDescent="0.3">
      <c r="B59"/>
      <c r="C59"/>
      <c r="D59"/>
      <c r="E59"/>
      <c r="F59"/>
      <c r="G59"/>
      <c r="H59"/>
      <c r="I59"/>
      <c r="J59"/>
    </row>
    <row r="60" spans="2:10" ht="28.95" customHeight="1" x14ac:dyDescent="0.3">
      <c r="B60"/>
      <c r="C60"/>
      <c r="D60"/>
      <c r="E60"/>
      <c r="F60"/>
      <c r="G60"/>
      <c r="H60"/>
      <c r="I60"/>
      <c r="J60"/>
    </row>
    <row r="61" spans="2:10" ht="28.95" customHeight="1" x14ac:dyDescent="0.3">
      <c r="B61"/>
      <c r="E61"/>
      <c r="F61"/>
      <c r="G61"/>
      <c r="I61"/>
      <c r="J61"/>
    </row>
    <row r="62" spans="2:10" ht="28.95" customHeight="1" x14ac:dyDescent="0.3">
      <c r="B62"/>
      <c r="E62"/>
      <c r="F62"/>
      <c r="I62"/>
      <c r="J62"/>
    </row>
    <row r="63" spans="2:10" ht="28.95" customHeight="1" x14ac:dyDescent="0.3">
      <c r="B63"/>
      <c r="E63"/>
      <c r="F63"/>
      <c r="I63"/>
      <c r="J63"/>
    </row>
    <row r="64" spans="2:10" ht="28.95" customHeight="1" x14ac:dyDescent="0.3">
      <c r="B64"/>
      <c r="E64"/>
      <c r="F64"/>
      <c r="I64"/>
      <c r="J64"/>
    </row>
    <row r="65" spans="2:10" ht="28.95" customHeight="1" x14ac:dyDescent="0.3">
      <c r="B65"/>
      <c r="E65"/>
      <c r="F65"/>
      <c r="I65"/>
      <c r="J65"/>
    </row>
    <row r="66" spans="2:10" ht="28.95" customHeight="1" x14ac:dyDescent="0.3">
      <c r="B66"/>
      <c r="E66"/>
      <c r="F66"/>
      <c r="I66"/>
      <c r="J66"/>
    </row>
    <row r="67" spans="2:10" x14ac:dyDescent="0.3">
      <c r="B67"/>
      <c r="E67"/>
      <c r="F67"/>
      <c r="I67"/>
      <c r="J67"/>
    </row>
    <row r="68" spans="2:10" x14ac:dyDescent="0.3">
      <c r="B68"/>
      <c r="E68"/>
      <c r="F68"/>
      <c r="I68"/>
      <c r="J68"/>
    </row>
    <row r="69" spans="2:10" x14ac:dyDescent="0.3">
      <c r="B69"/>
      <c r="E69"/>
      <c r="F69"/>
      <c r="I69"/>
      <c r="J69"/>
    </row>
    <row r="70" spans="2:10" x14ac:dyDescent="0.3">
      <c r="B70"/>
      <c r="E70"/>
      <c r="F70"/>
    </row>
    <row r="71" spans="2:10" x14ac:dyDescent="0.3">
      <c r="B71"/>
      <c r="E71"/>
      <c r="F71"/>
    </row>
    <row r="72" spans="2:10" x14ac:dyDescent="0.3">
      <c r="B7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1600-000001000000}">
          <x14:formula1>
            <xm:f>N_VMETAS!$N$22:$N$25</xm:f>
          </x14:formula1>
          <xm:sqref>E10:E12</xm:sqref>
        </x14:dataValidation>
        <x14:dataValidation type="list" allowBlank="1" showInputMessage="1" showErrorMessage="1" xr:uid="{00000000-0002-0000-1600-000000000000}">
          <x14:formula1>
            <xm:f>'C:\Users\morae\Desktop\[26_11_ERP.xlsm]BD_CADAS'!#REF!</xm:f>
          </x14:formula1>
          <xm:sqref>B10:B12</xm:sqref>
        </x14:dataValidation>
        <x14:dataValidation type="list" allowBlank="1" showInputMessage="1" showErrorMessage="1" xr:uid="{00000000-0002-0000-1600-000002000000}">
          <x14:formula1>
            <xm:f>'C:\Users\morae\Desktop\[26_11_ERP.xlsm]BD_CADAS'!#REF!</xm:f>
          </x14:formula1>
          <xm:sqref>J10:J12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44">
    <tabColor rgb="FF7030A0"/>
  </sheetPr>
  <dimension ref="B1:AM66"/>
  <sheetViews>
    <sheetView tabSelected="1" topLeftCell="A4" zoomScale="55" zoomScaleNormal="55" workbookViewId="0">
      <selection activeCell="K15" sqref="K15"/>
    </sheetView>
  </sheetViews>
  <sheetFormatPr defaultColWidth="8.88671875" defaultRowHeight="14.4" x14ac:dyDescent="0.3"/>
  <cols>
    <col min="1" max="1" width="8.88671875" style="177"/>
    <col min="2" max="2" width="37.88671875" style="177" customWidth="1"/>
    <col min="3" max="3" width="40.44140625" style="177" customWidth="1"/>
    <col min="4" max="4" width="30.109375" style="177" customWidth="1"/>
    <col min="5" max="5" width="26" style="177" bestFit="1" customWidth="1"/>
    <col min="6" max="6" width="44.88671875" style="177" customWidth="1"/>
    <col min="7" max="7" width="15.5546875" style="177" customWidth="1"/>
    <col min="8" max="11" width="8.88671875" style="177"/>
    <col min="12" max="12" width="23.44140625" style="177" bestFit="1" customWidth="1"/>
    <col min="13" max="13" width="2.6640625" style="177" bestFit="1" customWidth="1"/>
    <col min="14" max="14" width="51.109375" style="177" customWidth="1"/>
    <col min="15" max="16384" width="8.88671875" style="177"/>
  </cols>
  <sheetData>
    <row r="1" spans="2:39" x14ac:dyDescent="0.3"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</row>
    <row r="2" spans="2:39" x14ac:dyDescent="0.3"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</row>
    <row r="3" spans="2:39" ht="61.2" customHeight="1" x14ac:dyDescent="0.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81"/>
      <c r="AL3" s="181"/>
      <c r="AM3" s="181"/>
    </row>
    <row r="4" spans="2:39" ht="46.2" customHeight="1" x14ac:dyDescent="0.3">
      <c r="B4" s="267"/>
      <c r="C4" s="267"/>
      <c r="D4" s="267"/>
      <c r="E4" s="267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267"/>
      <c r="AE4" s="267"/>
      <c r="AF4" s="267"/>
      <c r="AG4" s="267"/>
      <c r="AH4" s="267"/>
      <c r="AI4" s="267"/>
      <c r="AJ4" s="267"/>
      <c r="AK4" s="267"/>
      <c r="AL4" s="267"/>
      <c r="AM4" s="267"/>
    </row>
    <row r="5" spans="2:39" x14ac:dyDescent="0.3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  <c r="AI5" s="267"/>
      <c r="AJ5" s="267"/>
      <c r="AK5" s="267"/>
      <c r="AL5" s="267"/>
      <c r="AM5" s="267"/>
    </row>
    <row r="6" spans="2:39" x14ac:dyDescent="0.3">
      <c r="B6" s="267"/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</row>
    <row r="7" spans="2:39" x14ac:dyDescent="0.3"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</row>
    <row r="8" spans="2:39" ht="28.95" customHeight="1" x14ac:dyDescent="0.3"/>
    <row r="9" spans="2:39" ht="28.95" customHeight="1" x14ac:dyDescent="0.3">
      <c r="B9" s="404" t="s">
        <v>432</v>
      </c>
      <c r="C9" s="404" t="s">
        <v>431</v>
      </c>
      <c r="D9" s="404" t="s">
        <v>430</v>
      </c>
    </row>
    <row r="10" spans="2:39" ht="28.95" customHeight="1" x14ac:dyDescent="0.35">
      <c r="B10" s="405">
        <v>160</v>
      </c>
      <c r="C10" s="405">
        <v>1600</v>
      </c>
      <c r="D10" s="405" t="s">
        <v>434</v>
      </c>
    </row>
    <row r="11" spans="2:39" ht="28.95" customHeight="1" x14ac:dyDescent="0.35">
      <c r="B11" s="405"/>
      <c r="C11" s="405"/>
      <c r="D11" s="405"/>
    </row>
    <row r="12" spans="2:39" ht="28.95" customHeight="1" x14ac:dyDescent="0.35">
      <c r="B12" s="405"/>
      <c r="C12" s="405"/>
      <c r="D12" s="405"/>
    </row>
    <row r="13" spans="2:39" ht="28.95" customHeight="1" x14ac:dyDescent="0.35">
      <c r="B13" s="405"/>
      <c r="C13" s="405"/>
      <c r="D13" s="405"/>
    </row>
    <row r="14" spans="2:39" ht="28.95" customHeight="1" x14ac:dyDescent="0.35">
      <c r="B14" s="405"/>
      <c r="C14" s="405"/>
      <c r="D14" s="405"/>
    </row>
    <row r="15" spans="2:39" ht="28.95" customHeight="1" x14ac:dyDescent="0.35">
      <c r="B15" s="405"/>
      <c r="C15" s="405"/>
      <c r="D15" s="405"/>
    </row>
    <row r="16" spans="2:39" ht="28.95" customHeight="1" x14ac:dyDescent="0.35">
      <c r="B16" s="405"/>
      <c r="C16" s="405"/>
      <c r="D16" s="405"/>
    </row>
    <row r="17" spans="2:4" ht="28.95" customHeight="1" x14ac:dyDescent="0.35">
      <c r="B17" s="405"/>
      <c r="C17" s="405"/>
      <c r="D17" s="405"/>
    </row>
    <row r="18" spans="2:4" ht="28.95" customHeight="1" x14ac:dyDescent="0.35">
      <c r="B18" s="405"/>
      <c r="C18" s="405"/>
      <c r="D18" s="405"/>
    </row>
    <row r="19" spans="2:4" ht="28.95" customHeight="1" x14ac:dyDescent="0.35">
      <c r="B19" s="405"/>
      <c r="C19" s="405"/>
      <c r="D19" s="405"/>
    </row>
    <row r="20" spans="2:4" ht="28.95" customHeight="1" x14ac:dyDescent="0.35">
      <c r="B20" s="405"/>
      <c r="C20" s="405"/>
      <c r="D20" s="405"/>
    </row>
    <row r="21" spans="2:4" ht="28.95" customHeight="1" x14ac:dyDescent="0.35">
      <c r="B21" s="405"/>
      <c r="C21" s="405"/>
      <c r="D21" s="405"/>
    </row>
    <row r="22" spans="2:4" ht="28.95" customHeight="1" x14ac:dyDescent="0.35">
      <c r="B22" s="405"/>
      <c r="C22" s="405"/>
      <c r="D22" s="405"/>
    </row>
    <row r="23" spans="2:4" ht="28.95" customHeight="1" x14ac:dyDescent="0.35">
      <c r="B23" s="405"/>
      <c r="C23" s="405"/>
      <c r="D23" s="405"/>
    </row>
    <row r="24" spans="2:4" ht="28.95" customHeight="1" x14ac:dyDescent="0.35">
      <c r="B24" s="405"/>
      <c r="C24" s="405"/>
      <c r="D24" s="405"/>
    </row>
    <row r="25" spans="2:4" ht="28.95" customHeight="1" x14ac:dyDescent="0.35">
      <c r="B25" s="405"/>
      <c r="C25" s="405"/>
      <c r="D25" s="405"/>
    </row>
    <row r="26" spans="2:4" ht="28.95" customHeight="1" x14ac:dyDescent="0.35">
      <c r="B26" s="405"/>
      <c r="C26" s="405"/>
      <c r="D26" s="405"/>
    </row>
    <row r="27" spans="2:4" ht="28.95" customHeight="1" x14ac:dyDescent="0.35">
      <c r="B27" s="405"/>
      <c r="C27" s="405"/>
      <c r="D27" s="405"/>
    </row>
    <row r="28" spans="2:4" ht="28.95" customHeight="1" x14ac:dyDescent="0.35">
      <c r="B28" s="405"/>
      <c r="C28" s="405"/>
      <c r="D28" s="405"/>
    </row>
    <row r="29" spans="2:4" ht="28.95" customHeight="1" x14ac:dyDescent="0.35">
      <c r="B29" s="405"/>
      <c r="C29" s="405"/>
      <c r="D29" s="405"/>
    </row>
    <row r="30" spans="2:4" ht="28.95" customHeight="1" x14ac:dyDescent="0.35">
      <c r="B30" s="405"/>
      <c r="C30" s="405"/>
      <c r="D30" s="405"/>
    </row>
    <row r="31" spans="2:4" ht="28.95" customHeight="1" x14ac:dyDescent="0.35">
      <c r="B31" s="405"/>
      <c r="C31" s="405"/>
      <c r="D31" s="405"/>
    </row>
    <row r="32" spans="2:4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9">
    <tabColor rgb="FFFF0000"/>
  </sheetPr>
  <dimension ref="A1:AE38"/>
  <sheetViews>
    <sheetView showGridLines="0" zoomScale="70" zoomScaleNormal="70" workbookViewId="0">
      <selection activeCell="K18" sqref="K18"/>
    </sheetView>
  </sheetViews>
  <sheetFormatPr defaultRowHeight="14.4" x14ac:dyDescent="0.3"/>
  <cols>
    <col min="6" max="6" width="33.6640625" bestFit="1" customWidth="1"/>
    <col min="7" max="7" width="8.88671875" customWidth="1"/>
    <col min="9" max="9" width="41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96" t="s">
        <v>384</v>
      </c>
      <c r="F7" s="497"/>
      <c r="G7" s="497"/>
      <c r="H7" s="497"/>
      <c r="I7" s="497"/>
      <c r="J7" s="498"/>
    </row>
    <row r="8" spans="1:31" s="97" customFormat="1" ht="14.4" customHeight="1" x14ac:dyDescent="0.3">
      <c r="E8" s="499"/>
      <c r="F8" s="500"/>
      <c r="G8" s="500"/>
      <c r="H8" s="500"/>
      <c r="I8" s="500"/>
      <c r="J8" s="501"/>
    </row>
    <row r="9" spans="1:31" ht="14.4" customHeight="1" x14ac:dyDescent="0.3">
      <c r="E9" s="122"/>
      <c r="F9" s="111"/>
      <c r="G9" s="111"/>
      <c r="H9" s="111"/>
      <c r="I9" s="111"/>
      <c r="J9" s="123"/>
    </row>
    <row r="10" spans="1:31" ht="14.4" customHeight="1" x14ac:dyDescent="0.3">
      <c r="E10" s="124"/>
      <c r="F10" s="110" t="s">
        <v>370</v>
      </c>
      <c r="G10" s="112"/>
      <c r="H10" s="112"/>
      <c r="I10" s="113"/>
      <c r="J10" s="125"/>
    </row>
    <row r="11" spans="1:31" ht="14.4" customHeight="1" x14ac:dyDescent="0.3">
      <c r="E11" s="124"/>
      <c r="F11" s="112"/>
      <c r="G11" s="112"/>
      <c r="H11" s="112"/>
      <c r="I11" s="114"/>
      <c r="J11" s="125"/>
    </row>
    <row r="12" spans="1:31" ht="14.4" customHeight="1" x14ac:dyDescent="0.3">
      <c r="E12" s="126"/>
      <c r="F12" s="115" t="s">
        <v>372</v>
      </c>
      <c r="G12" s="115"/>
      <c r="H12" s="116"/>
      <c r="I12" s="117"/>
      <c r="J12" s="127"/>
    </row>
    <row r="13" spans="1:31" ht="14.4" customHeight="1" x14ac:dyDescent="0.3">
      <c r="E13" s="126"/>
      <c r="F13" s="115"/>
      <c r="G13" s="115"/>
      <c r="H13" s="116"/>
      <c r="I13" s="116"/>
      <c r="J13" s="127"/>
    </row>
    <row r="14" spans="1:31" ht="14.4" customHeight="1" x14ac:dyDescent="0.3">
      <c r="E14" s="126"/>
      <c r="F14" s="115" t="s">
        <v>361</v>
      </c>
      <c r="G14" s="115"/>
      <c r="H14" s="116"/>
      <c r="I14" s="118"/>
      <c r="J14" s="127"/>
    </row>
    <row r="15" spans="1:31" ht="14.4" customHeight="1" x14ac:dyDescent="0.3">
      <c r="E15" s="126"/>
      <c r="F15" s="116"/>
      <c r="G15" s="116"/>
      <c r="H15" s="116"/>
      <c r="I15" s="116"/>
      <c r="J15" s="127"/>
    </row>
    <row r="16" spans="1:31" ht="14.4" customHeight="1" x14ac:dyDescent="0.3">
      <c r="E16" s="126"/>
      <c r="F16" s="115" t="s">
        <v>36</v>
      </c>
      <c r="G16" s="116"/>
      <c r="H16" s="116"/>
      <c r="I16" s="119"/>
      <c r="J16" s="127"/>
    </row>
    <row r="17" spans="5:10" ht="14.4" customHeight="1" x14ac:dyDescent="0.3">
      <c r="E17" s="126"/>
      <c r="F17" s="116"/>
      <c r="G17" s="116"/>
      <c r="H17" s="116"/>
      <c r="I17" s="116"/>
      <c r="J17" s="127"/>
    </row>
    <row r="18" spans="5:10" ht="14.4" customHeight="1" x14ac:dyDescent="0.3">
      <c r="E18" s="126"/>
      <c r="F18" s="115" t="s">
        <v>35</v>
      </c>
      <c r="G18" s="116"/>
      <c r="H18" s="116"/>
      <c r="I18" s="117"/>
      <c r="J18" s="127"/>
    </row>
    <row r="19" spans="5:10" ht="14.4" customHeight="1" x14ac:dyDescent="0.3">
      <c r="E19" s="126"/>
      <c r="F19" s="116"/>
      <c r="G19" s="116"/>
      <c r="H19" s="116"/>
      <c r="I19" s="116"/>
      <c r="J19" s="127"/>
    </row>
    <row r="20" spans="5:10" ht="14.4" customHeight="1" x14ac:dyDescent="0.3">
      <c r="E20" s="126"/>
      <c r="F20" s="115" t="s">
        <v>377</v>
      </c>
      <c r="G20" s="116"/>
      <c r="H20" s="116"/>
      <c r="I20" s="117"/>
      <c r="J20" s="127"/>
    </row>
    <row r="21" spans="5:10" ht="14.4" customHeight="1" x14ac:dyDescent="0.3">
      <c r="E21" s="126"/>
      <c r="F21" s="116"/>
      <c r="G21" s="116"/>
      <c r="H21" s="120"/>
      <c r="I21" s="120"/>
      <c r="J21" s="128"/>
    </row>
    <row r="22" spans="5:10" ht="14.4" customHeight="1" x14ac:dyDescent="0.3">
      <c r="E22" s="126"/>
      <c r="F22" s="115" t="s">
        <v>379</v>
      </c>
      <c r="G22" s="116"/>
      <c r="H22" s="120"/>
      <c r="I22" s="121"/>
      <c r="J22" s="128"/>
    </row>
    <row r="23" spans="5:10" ht="14.4" customHeight="1" x14ac:dyDescent="0.3">
      <c r="E23" s="124"/>
      <c r="F23" s="112"/>
      <c r="G23" s="112"/>
      <c r="H23" s="112"/>
      <c r="I23" s="114"/>
      <c r="J23" s="125"/>
    </row>
    <row r="24" spans="5:10" ht="14.4" customHeight="1" x14ac:dyDescent="0.3">
      <c r="E24" s="126"/>
      <c r="F24" s="115" t="s">
        <v>381</v>
      </c>
      <c r="G24" s="116"/>
      <c r="H24" s="120"/>
      <c r="I24" s="121"/>
      <c r="J24" s="128"/>
    </row>
    <row r="25" spans="5:10" ht="14.4" customHeight="1" x14ac:dyDescent="0.3">
      <c r="E25" s="126"/>
      <c r="F25" s="116"/>
      <c r="G25" s="116"/>
      <c r="H25" s="120"/>
      <c r="I25" s="120"/>
      <c r="J25" s="128"/>
    </row>
    <row r="26" spans="5:10" ht="14.4" customHeight="1" x14ac:dyDescent="0.3">
      <c r="E26" s="126"/>
      <c r="F26" s="115" t="s">
        <v>383</v>
      </c>
      <c r="G26" s="116"/>
      <c r="H26" s="120"/>
      <c r="I26" s="133"/>
      <c r="J26" s="128"/>
    </row>
    <row r="27" spans="5:10" ht="14.4" customHeight="1" x14ac:dyDescent="0.3">
      <c r="E27" s="126"/>
      <c r="F27" s="116"/>
      <c r="G27" s="116"/>
      <c r="H27" s="120"/>
      <c r="I27" s="120"/>
      <c r="J27" s="128"/>
    </row>
    <row r="28" spans="5:10" ht="14.4" customHeight="1" x14ac:dyDescent="0.3">
      <c r="E28" s="126"/>
      <c r="F28" s="116"/>
      <c r="G28" s="116"/>
      <c r="H28" s="120"/>
      <c r="I28" s="120"/>
      <c r="J28" s="128"/>
    </row>
    <row r="29" spans="5:10" ht="14.4" customHeight="1" x14ac:dyDescent="0.3">
      <c r="E29" s="126"/>
      <c r="F29" s="116"/>
      <c r="G29" s="116"/>
      <c r="H29" s="120"/>
      <c r="I29" s="120"/>
      <c r="J29" s="128"/>
    </row>
    <row r="30" spans="5:10" ht="14.4" customHeight="1" x14ac:dyDescent="0.3">
      <c r="E30" s="126"/>
      <c r="F30" s="116"/>
      <c r="G30" s="116"/>
      <c r="H30" s="120"/>
      <c r="I30" s="120"/>
      <c r="J30" s="128"/>
    </row>
    <row r="31" spans="5:10" ht="14.4" customHeight="1" thickBot="1" x14ac:dyDescent="0.35">
      <c r="E31" s="129"/>
      <c r="F31" s="130"/>
      <c r="G31" s="130"/>
      <c r="H31" s="131"/>
      <c r="I31" s="131"/>
      <c r="J31" s="132"/>
    </row>
    <row r="32" spans="5:10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tabColor rgb="FFFF0000"/>
  </sheetPr>
  <dimension ref="A1:AE39"/>
  <sheetViews>
    <sheetView showGridLines="0" zoomScale="70" zoomScaleNormal="70" workbookViewId="0">
      <selection activeCell="H14" sqref="H14"/>
    </sheetView>
  </sheetViews>
  <sheetFormatPr defaultColWidth="8.88671875" defaultRowHeight="14.4" x14ac:dyDescent="0.3"/>
  <cols>
    <col min="1" max="5" width="8.88671875" style="140"/>
    <col min="6" max="6" width="33.6640625" style="140" bestFit="1" customWidth="1"/>
    <col min="7" max="7" width="8.88671875" style="140" customWidth="1"/>
    <col min="8" max="8" width="8.88671875" style="140"/>
    <col min="9" max="9" width="41.109375" style="140" bestFit="1" customWidth="1"/>
    <col min="10" max="16384" width="8.88671875" style="140"/>
  </cols>
  <sheetData>
    <row r="1" spans="1:31" ht="61.5" customHeight="1" x14ac:dyDescent="0.3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502" t="s">
        <v>384</v>
      </c>
      <c r="F7" s="503"/>
      <c r="G7" s="503"/>
      <c r="H7" s="503"/>
      <c r="I7" s="503"/>
      <c r="J7" s="504"/>
    </row>
    <row r="8" spans="1:31" s="151" customFormat="1" ht="14.4" customHeight="1" x14ac:dyDescent="0.3">
      <c r="E8" s="505"/>
      <c r="F8" s="506"/>
      <c r="G8" s="506"/>
      <c r="H8" s="506"/>
      <c r="I8" s="506"/>
      <c r="J8" s="507"/>
    </row>
    <row r="9" spans="1:31" ht="14.4" customHeight="1" x14ac:dyDescent="0.3">
      <c r="E9" s="154"/>
      <c r="F9" s="100"/>
      <c r="G9" s="100"/>
      <c r="H9" s="101"/>
      <c r="I9" s="101"/>
      <c r="J9" s="155"/>
    </row>
    <row r="10" spans="1:31" ht="14.4" customHeight="1" x14ac:dyDescent="0.3">
      <c r="E10" s="156"/>
      <c r="F10" s="102" t="s">
        <v>370</v>
      </c>
      <c r="G10" s="103"/>
      <c r="H10" s="103"/>
      <c r="I10" s="153" t="s">
        <v>371</v>
      </c>
      <c r="J10" s="157"/>
    </row>
    <row r="11" spans="1:31" ht="14.4" customHeight="1" x14ac:dyDescent="0.3">
      <c r="E11" s="156"/>
      <c r="F11" s="103"/>
      <c r="G11" s="103"/>
      <c r="H11" s="103"/>
      <c r="I11" s="99"/>
      <c r="J11" s="157"/>
    </row>
    <row r="12" spans="1:31" ht="14.4" customHeight="1" x14ac:dyDescent="0.3">
      <c r="E12" s="154"/>
      <c r="F12" s="100" t="s">
        <v>372</v>
      </c>
      <c r="G12" s="100"/>
      <c r="H12" s="101"/>
      <c r="I12" s="105" t="s">
        <v>373</v>
      </c>
      <c r="J12" s="155"/>
    </row>
    <row r="13" spans="1:31" ht="14.4" customHeight="1" x14ac:dyDescent="0.3">
      <c r="E13" s="154"/>
      <c r="F13" s="100"/>
      <c r="G13" s="100"/>
      <c r="H13" s="101"/>
      <c r="I13" s="101"/>
      <c r="J13" s="155"/>
    </row>
    <row r="14" spans="1:31" ht="14.4" customHeight="1" x14ac:dyDescent="0.3">
      <c r="E14" s="154"/>
      <c r="F14" s="100" t="s">
        <v>361</v>
      </c>
      <c r="G14" s="100"/>
      <c r="H14" s="101"/>
      <c r="I14" s="106" t="s">
        <v>374</v>
      </c>
      <c r="J14" s="155"/>
    </row>
    <row r="15" spans="1:31" ht="14.4" customHeight="1" x14ac:dyDescent="0.3">
      <c r="E15" s="154"/>
      <c r="F15" s="101"/>
      <c r="G15" s="101"/>
      <c r="H15" s="101"/>
      <c r="I15" s="101"/>
      <c r="J15" s="155"/>
    </row>
    <row r="16" spans="1:31" ht="14.4" customHeight="1" x14ac:dyDescent="0.3">
      <c r="E16" s="154"/>
      <c r="F16" s="100" t="s">
        <v>36</v>
      </c>
      <c r="G16" s="101"/>
      <c r="H16" s="101"/>
      <c r="I16" s="107" t="s">
        <v>375</v>
      </c>
      <c r="J16" s="155"/>
    </row>
    <row r="17" spans="5:10" ht="14.4" customHeight="1" x14ac:dyDescent="0.3">
      <c r="E17" s="154"/>
      <c r="F17" s="101"/>
      <c r="G17" s="101"/>
      <c r="H17" s="101"/>
      <c r="I17" s="101"/>
      <c r="J17" s="155"/>
    </row>
    <row r="18" spans="5:10" ht="14.4" customHeight="1" x14ac:dyDescent="0.3">
      <c r="E18" s="154"/>
      <c r="F18" s="100" t="s">
        <v>35</v>
      </c>
      <c r="G18" s="101"/>
      <c r="H18" s="101"/>
      <c r="I18" s="105" t="s">
        <v>376</v>
      </c>
      <c r="J18" s="155"/>
    </row>
    <row r="19" spans="5:10" ht="14.4" customHeight="1" x14ac:dyDescent="0.3">
      <c r="E19" s="154"/>
      <c r="F19" s="101"/>
      <c r="G19" s="101"/>
      <c r="H19" s="101"/>
      <c r="I19" s="101"/>
      <c r="J19" s="155"/>
    </row>
    <row r="20" spans="5:10" ht="14.4" customHeight="1" x14ac:dyDescent="0.3">
      <c r="E20" s="154"/>
      <c r="F20" s="100" t="s">
        <v>377</v>
      </c>
      <c r="G20" s="101"/>
      <c r="H20" s="101"/>
      <c r="I20" s="105" t="s">
        <v>378</v>
      </c>
      <c r="J20" s="155"/>
    </row>
    <row r="21" spans="5:10" ht="14.4" customHeight="1" x14ac:dyDescent="0.3">
      <c r="E21" s="154"/>
      <c r="F21" s="101"/>
      <c r="G21" s="101"/>
      <c r="H21" s="104"/>
      <c r="I21" s="104"/>
      <c r="J21" s="158"/>
    </row>
    <row r="22" spans="5:10" ht="14.4" customHeight="1" x14ac:dyDescent="0.3">
      <c r="E22" s="154"/>
      <c r="F22" s="100" t="s">
        <v>379</v>
      </c>
      <c r="G22" s="101"/>
      <c r="H22" s="104"/>
      <c r="I22" s="108" t="s">
        <v>380</v>
      </c>
      <c r="J22" s="158"/>
    </row>
    <row r="23" spans="5:10" ht="14.4" customHeight="1" x14ac:dyDescent="0.3">
      <c r="E23" s="156"/>
      <c r="F23" s="103"/>
      <c r="G23" s="103"/>
      <c r="H23" s="103"/>
      <c r="I23" s="99"/>
      <c r="J23" s="157"/>
    </row>
    <row r="24" spans="5:10" ht="14.4" customHeight="1" x14ac:dyDescent="0.3">
      <c r="E24" s="154"/>
      <c r="F24" s="100" t="s">
        <v>381</v>
      </c>
      <c r="G24" s="101"/>
      <c r="H24" s="104"/>
      <c r="I24" s="108" t="s">
        <v>382</v>
      </c>
      <c r="J24" s="158"/>
    </row>
    <row r="25" spans="5:10" ht="14.4" customHeight="1" x14ac:dyDescent="0.3">
      <c r="E25" s="154"/>
      <c r="F25" s="101"/>
      <c r="G25" s="101"/>
      <c r="H25" s="104"/>
      <c r="I25" s="104"/>
      <c r="J25" s="158"/>
    </row>
    <row r="26" spans="5:10" ht="14.4" customHeight="1" x14ac:dyDescent="0.3">
      <c r="E26" s="154"/>
      <c r="F26" s="100" t="s">
        <v>383</v>
      </c>
      <c r="G26" s="101"/>
      <c r="H26" s="104"/>
      <c r="I26" s="109">
        <v>4.5</v>
      </c>
      <c r="J26" s="158"/>
    </row>
    <row r="27" spans="5:10" ht="14.4" customHeight="1" thickBot="1" x14ac:dyDescent="0.35">
      <c r="E27" s="159"/>
      <c r="F27" s="160"/>
      <c r="G27" s="160"/>
      <c r="H27" s="161"/>
      <c r="I27" s="161"/>
      <c r="J27" s="162"/>
    </row>
    <row r="28" spans="5:10" ht="14.4" customHeight="1" x14ac:dyDescent="0.3">
      <c r="E28" s="137"/>
      <c r="F28" s="137"/>
      <c r="G28" s="137"/>
      <c r="H28" s="138"/>
      <c r="I28" s="138"/>
      <c r="J28" s="138"/>
    </row>
    <row r="29" spans="5:10" ht="14.4" customHeight="1" x14ac:dyDescent="0.3">
      <c r="E29" s="137"/>
      <c r="F29" s="137"/>
      <c r="G29" s="137"/>
      <c r="H29" s="138"/>
      <c r="I29" s="138"/>
      <c r="J29" s="138"/>
    </row>
    <row r="30" spans="5:10" ht="14.4" customHeight="1" x14ac:dyDescent="0.3">
      <c r="E30" s="137"/>
      <c r="F30" s="137"/>
      <c r="G30" s="137"/>
      <c r="H30" s="138"/>
      <c r="I30" s="138"/>
      <c r="J30" s="138"/>
    </row>
    <row r="31" spans="5:10" ht="14.4" customHeight="1" x14ac:dyDescent="0.3">
      <c r="E31" s="137"/>
      <c r="F31" s="137"/>
      <c r="G31" s="137"/>
      <c r="H31" s="138"/>
      <c r="I31" s="138"/>
      <c r="J31" s="138"/>
    </row>
    <row r="32" spans="5:10" ht="14.4" customHeight="1" x14ac:dyDescent="0.3">
      <c r="E32" s="137"/>
      <c r="F32" s="137"/>
      <c r="G32" s="137"/>
      <c r="H32" s="138"/>
      <c r="I32" s="138"/>
      <c r="J32" s="138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4">
    <tabColor rgb="FFFF0000"/>
  </sheetPr>
  <dimension ref="A1:AE39"/>
  <sheetViews>
    <sheetView showGridLines="0" zoomScale="70" zoomScaleNormal="70" workbookViewId="0">
      <selection activeCell="O22" sqref="O22"/>
    </sheetView>
  </sheetViews>
  <sheetFormatPr defaultColWidth="8.88671875" defaultRowHeight="14.4" x14ac:dyDescent="0.3"/>
  <cols>
    <col min="1" max="5" width="8.88671875" style="97"/>
    <col min="6" max="6" width="33.6640625" style="97" bestFit="1" customWidth="1"/>
    <col min="7" max="7" width="8.88671875" style="97" customWidth="1"/>
    <col min="8" max="8" width="32" style="97" customWidth="1"/>
    <col min="9" max="9" width="8.88671875" style="97" customWidth="1"/>
    <col min="10" max="16384" width="8.88671875" style="97"/>
  </cols>
  <sheetData>
    <row r="1" spans="1:31" ht="61.5" customHeight="1" x14ac:dyDescent="0.3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  <row r="5" spans="1:31" ht="14.4" customHeight="1" x14ac:dyDescent="0.3"/>
    <row r="6" spans="1:31" ht="14.4" customHeight="1" thickBot="1" x14ac:dyDescent="0.35"/>
    <row r="7" spans="1:31" ht="14.4" customHeight="1" x14ac:dyDescent="0.4">
      <c r="E7" s="508" t="s">
        <v>385</v>
      </c>
      <c r="F7" s="509"/>
      <c r="G7" s="509"/>
      <c r="H7" s="509"/>
      <c r="I7" s="510"/>
      <c r="J7" s="144"/>
      <c r="K7" s="144"/>
    </row>
    <row r="8" spans="1:31" s="140" customFormat="1" ht="14.4" customHeight="1" x14ac:dyDescent="0.4">
      <c r="E8" s="511"/>
      <c r="F8" s="479"/>
      <c r="G8" s="479"/>
      <c r="H8" s="479"/>
      <c r="I8" s="512"/>
      <c r="J8" s="144"/>
      <c r="K8" s="144"/>
    </row>
    <row r="9" spans="1:31" ht="14.4" customHeight="1" x14ac:dyDescent="0.3">
      <c r="E9" s="146"/>
      <c r="F9" s="99"/>
      <c r="G9" s="99"/>
      <c r="H9" s="99"/>
      <c r="I9" s="147"/>
      <c r="J9" s="145"/>
      <c r="K9" s="145"/>
    </row>
    <row r="10" spans="1:31" ht="14.4" customHeight="1" x14ac:dyDescent="0.3">
      <c r="E10" s="146"/>
      <c r="F10" s="102" t="s">
        <v>386</v>
      </c>
      <c r="G10" s="99"/>
      <c r="H10" s="142"/>
      <c r="I10" s="147"/>
      <c r="J10" s="89"/>
      <c r="K10" s="145"/>
    </row>
    <row r="11" spans="1:31" ht="14.4" customHeight="1" x14ac:dyDescent="0.3">
      <c r="E11" s="146"/>
      <c r="F11" s="102"/>
      <c r="G11" s="99"/>
      <c r="H11" s="99"/>
      <c r="I11" s="147"/>
      <c r="J11" s="145"/>
      <c r="K11" s="145"/>
    </row>
    <row r="12" spans="1:31" ht="14.4" customHeight="1" x14ac:dyDescent="0.3">
      <c r="E12" s="146"/>
      <c r="F12" s="102" t="s">
        <v>387</v>
      </c>
      <c r="G12" s="99"/>
      <c r="H12" s="142"/>
      <c r="I12" s="147"/>
      <c r="J12" s="89"/>
      <c r="K12" s="145"/>
    </row>
    <row r="13" spans="1:31" ht="14.4" customHeight="1" x14ac:dyDescent="0.3">
      <c r="E13" s="146"/>
      <c r="F13" s="102"/>
      <c r="G13" s="99"/>
      <c r="H13" s="99"/>
      <c r="I13" s="147"/>
      <c r="J13" s="145"/>
      <c r="K13" s="145"/>
    </row>
    <row r="14" spans="1:31" ht="14.4" customHeight="1" x14ac:dyDescent="0.3">
      <c r="E14" s="146"/>
      <c r="F14" s="102" t="s">
        <v>388</v>
      </c>
      <c r="G14" s="99"/>
      <c r="H14" s="142"/>
      <c r="I14" s="147"/>
      <c r="J14" s="89"/>
      <c r="K14" s="145"/>
    </row>
    <row r="15" spans="1:31" ht="14.4" customHeight="1" x14ac:dyDescent="0.3">
      <c r="E15" s="146"/>
      <c r="F15" s="102"/>
      <c r="G15" s="99"/>
      <c r="H15" s="99"/>
      <c r="I15" s="147"/>
      <c r="J15" s="145"/>
      <c r="K15" s="145"/>
    </row>
    <row r="16" spans="1:31" ht="14.4" customHeight="1" x14ac:dyDescent="0.3">
      <c r="E16" s="146"/>
      <c r="F16" s="102" t="s">
        <v>389</v>
      </c>
      <c r="G16" s="99"/>
      <c r="H16" s="143"/>
      <c r="I16" s="147"/>
      <c r="J16" s="89"/>
      <c r="K16" s="145"/>
    </row>
    <row r="17" spans="5:11" ht="14.4" customHeight="1" x14ac:dyDescent="0.3">
      <c r="E17" s="146"/>
      <c r="F17" s="99"/>
      <c r="G17" s="99"/>
      <c r="H17" s="99"/>
      <c r="I17" s="147"/>
      <c r="J17" s="145"/>
      <c r="K17" s="145"/>
    </row>
    <row r="18" spans="5:11" ht="14.4" customHeight="1" x14ac:dyDescent="0.3">
      <c r="E18" s="146"/>
      <c r="F18" s="102" t="s">
        <v>390</v>
      </c>
      <c r="G18" s="99"/>
      <c r="H18" s="143"/>
      <c r="I18" s="147"/>
      <c r="J18" s="89"/>
      <c r="K18" s="145"/>
    </row>
    <row r="19" spans="5:11" ht="14.4" customHeight="1" x14ac:dyDescent="0.3">
      <c r="E19" s="146"/>
      <c r="F19" s="99"/>
      <c r="G19" s="99"/>
      <c r="H19" s="99"/>
      <c r="I19" s="147"/>
      <c r="J19" s="145"/>
      <c r="K19" s="145"/>
    </row>
    <row r="20" spans="5:11" ht="14.4" customHeight="1" x14ac:dyDescent="0.3">
      <c r="E20" s="146"/>
      <c r="F20" s="99"/>
      <c r="G20" s="99"/>
      <c r="H20" s="99"/>
      <c r="I20" s="147"/>
      <c r="J20" s="137"/>
    </row>
    <row r="21" spans="5:11" ht="14.4" customHeight="1" x14ac:dyDescent="0.3">
      <c r="E21" s="146"/>
      <c r="F21" s="99"/>
      <c r="G21" s="99"/>
      <c r="H21" s="99"/>
      <c r="I21" s="147"/>
      <c r="J21" s="137"/>
    </row>
    <row r="22" spans="5:11" ht="14.4" customHeight="1" x14ac:dyDescent="0.3">
      <c r="E22" s="146"/>
      <c r="F22" s="99"/>
      <c r="G22" s="99"/>
      <c r="H22" s="99"/>
      <c r="I22" s="147"/>
      <c r="J22" s="138"/>
    </row>
    <row r="23" spans="5:11" ht="14.4" customHeight="1" thickBot="1" x14ac:dyDescent="0.35">
      <c r="E23" s="148"/>
      <c r="F23" s="149"/>
      <c r="G23" s="149"/>
      <c r="H23" s="149"/>
      <c r="I23" s="150"/>
      <c r="J23" s="138"/>
    </row>
    <row r="24" spans="5:11" ht="14.4" customHeight="1" x14ac:dyDescent="0.3">
      <c r="E24" s="134"/>
      <c r="F24" s="134"/>
      <c r="G24" s="134"/>
      <c r="H24" s="134"/>
      <c r="I24" s="135"/>
      <c r="J24" s="134"/>
    </row>
    <row r="25" spans="5:11" ht="14.4" customHeight="1" x14ac:dyDescent="0.3">
      <c r="E25" s="137"/>
      <c r="F25" s="136"/>
      <c r="G25" s="137"/>
      <c r="H25" s="138"/>
      <c r="I25" s="138"/>
      <c r="J25" s="138"/>
    </row>
    <row r="26" spans="5:11" ht="14.4" customHeight="1" x14ac:dyDescent="0.3">
      <c r="E26" s="137"/>
      <c r="F26" s="137"/>
      <c r="G26" s="137"/>
      <c r="H26" s="138"/>
      <c r="I26" s="138"/>
      <c r="J26" s="138"/>
    </row>
    <row r="27" spans="5:11" ht="14.4" customHeight="1" x14ac:dyDescent="0.3">
      <c r="E27" s="137"/>
      <c r="F27" s="136"/>
      <c r="G27" s="137"/>
      <c r="H27" s="138"/>
      <c r="I27" s="139"/>
      <c r="J27" s="138"/>
    </row>
    <row r="28" spans="5:11" ht="14.4" customHeight="1" x14ac:dyDescent="0.3">
      <c r="E28" s="137"/>
      <c r="F28" s="137"/>
      <c r="G28" s="137"/>
      <c r="H28" s="138"/>
      <c r="I28" s="138"/>
      <c r="J28" s="138"/>
    </row>
    <row r="29" spans="5:11" ht="14.4" customHeight="1" x14ac:dyDescent="0.3">
      <c r="E29" s="137"/>
      <c r="F29" s="137"/>
      <c r="G29" s="137"/>
      <c r="H29" s="138"/>
      <c r="I29" s="138"/>
      <c r="J29" s="138"/>
    </row>
    <row r="30" spans="5:11" ht="14.4" customHeight="1" x14ac:dyDescent="0.3">
      <c r="E30" s="137"/>
      <c r="F30" s="137"/>
      <c r="G30" s="137"/>
      <c r="H30" s="138"/>
      <c r="I30" s="138"/>
      <c r="J30" s="138"/>
    </row>
    <row r="31" spans="5:11" ht="14.4" customHeight="1" x14ac:dyDescent="0.3">
      <c r="E31" s="137"/>
      <c r="F31" s="137"/>
      <c r="G31" s="137"/>
      <c r="H31" s="138"/>
      <c r="I31" s="138"/>
      <c r="J31" s="138"/>
    </row>
    <row r="32" spans="5:11" ht="14.4" customHeight="1" x14ac:dyDescent="0.3">
      <c r="E32" s="137"/>
      <c r="F32" s="137"/>
      <c r="G32" s="137"/>
      <c r="H32" s="138"/>
      <c r="I32" s="138"/>
      <c r="J32" s="138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6">
    <tabColor rgb="FFFF0000"/>
  </sheetPr>
  <dimension ref="A1:AE40"/>
  <sheetViews>
    <sheetView showGridLines="0" topLeftCell="C1" zoomScale="70" zoomScaleNormal="70" workbookViewId="0">
      <selection activeCell="L27" sqref="L27"/>
    </sheetView>
  </sheetViews>
  <sheetFormatPr defaultColWidth="8.88671875" defaultRowHeight="14.4" x14ac:dyDescent="0.3"/>
  <cols>
    <col min="1" max="5" width="8.88671875" style="151"/>
    <col min="6" max="6" width="33.6640625" style="151" bestFit="1" customWidth="1"/>
    <col min="7" max="7" width="25.33203125" style="151" customWidth="1"/>
    <col min="8" max="8" width="8.88671875" style="151"/>
    <col min="9" max="9" width="41.109375" style="151" bestFit="1" customWidth="1"/>
    <col min="10" max="16384" width="8.88671875" style="151"/>
  </cols>
  <sheetData>
    <row r="1" spans="1:31" ht="61.5" customHeight="1" x14ac:dyDescent="0.3">
      <c r="A1" s="152"/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166"/>
      <c r="F7" s="166"/>
      <c r="G7" s="166"/>
      <c r="H7" s="166"/>
      <c r="I7" s="166"/>
      <c r="J7" s="166"/>
    </row>
    <row r="8" spans="1:31" ht="14.4" customHeight="1" x14ac:dyDescent="0.3">
      <c r="E8" s="496" t="s">
        <v>393</v>
      </c>
      <c r="F8" s="497"/>
      <c r="G8" s="497"/>
      <c r="H8" s="498"/>
      <c r="I8" s="171"/>
      <c r="J8" s="171"/>
      <c r="K8" s="171"/>
      <c r="L8" s="171"/>
    </row>
    <row r="9" spans="1:31" s="169" customFormat="1" ht="14.4" customHeight="1" x14ac:dyDescent="0.3">
      <c r="E9" s="499"/>
      <c r="F9" s="500"/>
      <c r="G9" s="500"/>
      <c r="H9" s="501"/>
      <c r="I9" s="171"/>
      <c r="J9" s="171"/>
      <c r="K9" s="171"/>
      <c r="L9" s="171"/>
    </row>
    <row r="10" spans="1:31" ht="14.4" customHeight="1" x14ac:dyDescent="0.3">
      <c r="E10" s="192"/>
      <c r="F10" s="187"/>
      <c r="G10" s="187"/>
      <c r="H10" s="193"/>
      <c r="I10" s="172"/>
      <c r="J10" s="172"/>
      <c r="K10" s="172"/>
      <c r="L10" s="172"/>
    </row>
    <row r="11" spans="1:31" ht="14.4" customHeight="1" x14ac:dyDescent="0.3">
      <c r="E11" s="192"/>
      <c r="F11" s="189" t="s">
        <v>391</v>
      </c>
      <c r="G11" s="176"/>
      <c r="H11" s="193"/>
      <c r="I11" s="172"/>
      <c r="J11" s="173"/>
      <c r="K11" s="172"/>
      <c r="L11" s="172"/>
    </row>
    <row r="12" spans="1:31" ht="14.4" customHeight="1" x14ac:dyDescent="0.3">
      <c r="E12" s="192"/>
      <c r="F12" s="187"/>
      <c r="G12" s="187"/>
      <c r="H12" s="193"/>
      <c r="I12" s="172"/>
      <c r="J12" s="172"/>
      <c r="K12" s="172"/>
      <c r="L12" s="172"/>
    </row>
    <row r="13" spans="1:31" ht="14.4" customHeight="1" x14ac:dyDescent="0.3">
      <c r="E13" s="192"/>
      <c r="F13" s="189" t="s">
        <v>392</v>
      </c>
      <c r="G13" s="176"/>
      <c r="H13" s="193"/>
      <c r="I13" s="172"/>
      <c r="J13" s="173"/>
      <c r="K13" s="172"/>
      <c r="L13" s="172"/>
    </row>
    <row r="14" spans="1:31" ht="14.4" customHeight="1" x14ac:dyDescent="0.3">
      <c r="E14" s="192"/>
      <c r="F14" s="188"/>
      <c r="G14" s="188"/>
      <c r="H14" s="194"/>
      <c r="I14" s="174"/>
      <c r="J14" s="174"/>
      <c r="K14" s="174"/>
      <c r="L14" s="174"/>
    </row>
    <row r="15" spans="1:31" ht="14.4" customHeight="1" x14ac:dyDescent="0.3">
      <c r="E15" s="192"/>
      <c r="F15" s="189" t="s">
        <v>381</v>
      </c>
      <c r="G15" s="176"/>
      <c r="H15" s="194"/>
      <c r="I15" s="174"/>
      <c r="J15" s="173"/>
      <c r="K15" s="174"/>
      <c r="L15" s="174"/>
    </row>
    <row r="16" spans="1:31" ht="14.4" customHeight="1" x14ac:dyDescent="0.3">
      <c r="E16" s="192"/>
      <c r="F16" s="188"/>
      <c r="G16" s="188"/>
      <c r="H16" s="194"/>
      <c r="I16" s="174"/>
      <c r="J16" s="174"/>
      <c r="K16" s="174"/>
      <c r="L16" s="174"/>
    </row>
    <row r="17" spans="5:12" ht="14.4" customHeight="1" x14ac:dyDescent="0.3">
      <c r="E17" s="192"/>
      <c r="F17" s="189" t="s">
        <v>225</v>
      </c>
      <c r="G17" s="176"/>
      <c r="H17" s="194"/>
      <c r="I17" s="174"/>
      <c r="J17" s="173"/>
      <c r="K17" s="174"/>
      <c r="L17" s="174"/>
    </row>
    <row r="18" spans="5:12" ht="14.4" customHeight="1" x14ac:dyDescent="0.3">
      <c r="E18" s="192"/>
      <c r="F18" s="188"/>
      <c r="G18" s="188"/>
      <c r="H18" s="195"/>
      <c r="I18" s="175"/>
      <c r="J18" s="175"/>
      <c r="K18" s="175"/>
      <c r="L18" s="175"/>
    </row>
    <row r="19" spans="5:12" ht="14.4" customHeight="1" x14ac:dyDescent="0.3">
      <c r="E19" s="192"/>
      <c r="F19" s="188"/>
      <c r="G19" s="188"/>
      <c r="H19" s="195"/>
      <c r="I19" s="163"/>
      <c r="J19" s="163"/>
    </row>
    <row r="20" spans="5:12" ht="14.4" customHeight="1" x14ac:dyDescent="0.3">
      <c r="E20" s="192"/>
      <c r="F20" s="188"/>
      <c r="G20" s="188"/>
      <c r="H20" s="195"/>
      <c r="I20" s="163"/>
      <c r="J20" s="163"/>
    </row>
    <row r="21" spans="5:12" ht="14.4" customHeight="1" x14ac:dyDescent="0.3">
      <c r="E21" s="192"/>
      <c r="F21" s="188"/>
      <c r="G21" s="188"/>
      <c r="H21" s="195"/>
      <c r="I21" s="163"/>
      <c r="J21" s="163"/>
    </row>
    <row r="22" spans="5:12" ht="14.4" customHeight="1" thickBot="1" x14ac:dyDescent="0.35">
      <c r="E22" s="196"/>
      <c r="F22" s="197"/>
      <c r="G22" s="197"/>
      <c r="H22" s="198"/>
      <c r="I22" s="164"/>
      <c r="J22" s="164"/>
    </row>
    <row r="23" spans="5:12" ht="14.4" customHeight="1" x14ac:dyDescent="0.3">
      <c r="E23" s="163"/>
      <c r="F23" s="167"/>
      <c r="G23" s="163"/>
      <c r="H23" s="164"/>
      <c r="I23" s="164"/>
      <c r="J23" s="164"/>
    </row>
    <row r="24" spans="5:12" ht="14.4" customHeight="1" x14ac:dyDescent="0.3">
      <c r="E24" s="168"/>
      <c r="F24" s="168"/>
      <c r="G24" s="168"/>
      <c r="H24" s="168"/>
      <c r="I24" s="145"/>
      <c r="J24" s="168"/>
    </row>
    <row r="25" spans="5:12" ht="14.4" customHeight="1" x14ac:dyDescent="0.3">
      <c r="E25" s="163"/>
      <c r="F25" s="167"/>
      <c r="G25" s="163"/>
      <c r="H25" s="164"/>
      <c r="I25" s="164"/>
      <c r="J25" s="164"/>
    </row>
    <row r="26" spans="5:12" ht="14.4" customHeight="1" x14ac:dyDescent="0.3">
      <c r="E26" s="163"/>
      <c r="F26" s="163"/>
      <c r="G26" s="163"/>
      <c r="H26" s="164"/>
      <c r="I26" s="164"/>
      <c r="J26" s="164"/>
    </row>
    <row r="27" spans="5:12" ht="14.4" customHeight="1" x14ac:dyDescent="0.3">
      <c r="E27" s="163"/>
      <c r="F27" s="167"/>
      <c r="G27" s="163"/>
      <c r="H27" s="164"/>
      <c r="I27" s="165"/>
      <c r="J27" s="164"/>
    </row>
    <row r="28" spans="5:12" ht="14.4" customHeight="1" x14ac:dyDescent="0.3">
      <c r="E28" s="163"/>
      <c r="F28" s="163"/>
      <c r="G28" s="163"/>
      <c r="H28" s="164"/>
      <c r="I28" s="164"/>
      <c r="J28" s="164"/>
    </row>
    <row r="29" spans="5:12" ht="14.4" customHeight="1" x14ac:dyDescent="0.3">
      <c r="E29" s="137"/>
      <c r="F29" s="137"/>
      <c r="G29" s="137"/>
      <c r="H29" s="138"/>
      <c r="I29" s="138"/>
      <c r="J29" s="138"/>
    </row>
    <row r="30" spans="5:12" ht="14.4" customHeight="1" x14ac:dyDescent="0.3">
      <c r="E30" s="137"/>
      <c r="F30" s="137"/>
      <c r="G30" s="137"/>
      <c r="H30" s="138"/>
      <c r="I30" s="138"/>
      <c r="J30" s="138"/>
    </row>
    <row r="31" spans="5:12" ht="14.4" customHeight="1" x14ac:dyDescent="0.3">
      <c r="E31" s="137"/>
      <c r="F31" s="137"/>
      <c r="G31" s="137"/>
      <c r="H31" s="138"/>
      <c r="I31" s="138"/>
      <c r="J31" s="138"/>
    </row>
    <row r="32" spans="5:12" ht="14.4" customHeight="1" x14ac:dyDescent="0.3">
      <c r="E32" s="137"/>
      <c r="F32" s="137"/>
      <c r="G32" s="137"/>
      <c r="H32" s="138"/>
      <c r="I32" s="138"/>
      <c r="J32" s="138"/>
    </row>
    <row r="33" spans="5:10" ht="14.4" customHeight="1" x14ac:dyDescent="0.3">
      <c r="E33" s="137"/>
      <c r="F33" s="137"/>
      <c r="G33" s="137"/>
      <c r="H33" s="138"/>
      <c r="I33" s="138"/>
      <c r="J33" s="138"/>
    </row>
    <row r="34" spans="5:10" ht="14.4" customHeight="1" x14ac:dyDescent="0.3"/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7">
    <tabColor rgb="FFFF0000"/>
  </sheetPr>
  <dimension ref="A1:AE41"/>
  <sheetViews>
    <sheetView showGridLines="0" zoomScale="55" zoomScaleNormal="55" workbookViewId="0">
      <selection activeCell="AB26" sqref="AB26"/>
    </sheetView>
  </sheetViews>
  <sheetFormatPr defaultColWidth="8.88671875" defaultRowHeight="14.4" x14ac:dyDescent="0.3"/>
  <cols>
    <col min="1" max="5" width="8.88671875" style="169"/>
    <col min="6" max="6" width="33.6640625" style="169" bestFit="1" customWidth="1"/>
    <col min="7" max="7" width="22.6640625" style="169" customWidth="1"/>
    <col min="8" max="8" width="8.88671875" style="169"/>
    <col min="9" max="9" width="8.6640625" style="169" customWidth="1"/>
    <col min="10" max="16384" width="8.88671875" style="169"/>
  </cols>
  <sheetData>
    <row r="1" spans="1:31" ht="61.5" customHeight="1" x14ac:dyDescent="0.3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166"/>
      <c r="F7" s="166"/>
      <c r="G7" s="166"/>
      <c r="H7" s="166"/>
      <c r="I7" s="166"/>
      <c r="J7" s="166"/>
    </row>
    <row r="8" spans="1:31" ht="14.4" customHeight="1" x14ac:dyDescent="0.3">
      <c r="E8" s="496" t="s">
        <v>398</v>
      </c>
      <c r="F8" s="497"/>
      <c r="G8" s="497"/>
      <c r="H8" s="498"/>
      <c r="I8" s="182"/>
      <c r="J8" s="182"/>
      <c r="K8" s="182"/>
      <c r="L8" s="182"/>
    </row>
    <row r="9" spans="1:31" s="177" customFormat="1" ht="14.4" customHeight="1" x14ac:dyDescent="0.3">
      <c r="E9" s="513"/>
      <c r="F9" s="514"/>
      <c r="G9" s="514"/>
      <c r="H9" s="515"/>
      <c r="I9" s="182"/>
      <c r="J9" s="182"/>
      <c r="K9" s="182"/>
      <c r="L9" s="182"/>
    </row>
    <row r="10" spans="1:31" ht="14.4" customHeight="1" x14ac:dyDescent="0.3">
      <c r="E10" s="199"/>
      <c r="F10" s="191"/>
      <c r="G10" s="191"/>
      <c r="H10" s="200"/>
      <c r="I10" s="214"/>
      <c r="J10" s="172"/>
      <c r="K10" s="172"/>
      <c r="L10" s="172"/>
    </row>
    <row r="11" spans="1:31" ht="14.4" customHeight="1" x14ac:dyDescent="0.3">
      <c r="E11" s="201"/>
      <c r="F11" s="189" t="s">
        <v>394</v>
      </c>
      <c r="G11" s="179"/>
      <c r="H11" s="157"/>
      <c r="I11" s="214"/>
      <c r="J11" s="172"/>
      <c r="K11" s="172"/>
      <c r="L11" s="172"/>
    </row>
    <row r="12" spans="1:31" ht="14.4" customHeight="1" x14ac:dyDescent="0.3">
      <c r="E12" s="201"/>
      <c r="F12" s="189"/>
      <c r="G12" s="189"/>
      <c r="H12" s="202"/>
      <c r="I12" s="214"/>
      <c r="J12" s="172"/>
      <c r="K12" s="172"/>
      <c r="L12" s="172"/>
    </row>
    <row r="13" spans="1:31" ht="14.4" customHeight="1" x14ac:dyDescent="0.3">
      <c r="E13" s="201"/>
      <c r="F13" s="189" t="s">
        <v>370</v>
      </c>
      <c r="G13" s="178"/>
      <c r="H13" s="157"/>
      <c r="I13" s="214"/>
      <c r="J13" s="172"/>
      <c r="K13" s="172"/>
      <c r="L13" s="172"/>
    </row>
    <row r="14" spans="1:31" ht="14.4" customHeight="1" x14ac:dyDescent="0.3">
      <c r="E14" s="201"/>
      <c r="F14" s="189"/>
      <c r="G14" s="189"/>
      <c r="H14" s="203"/>
      <c r="I14" s="215"/>
      <c r="J14" s="174"/>
      <c r="K14" s="174"/>
      <c r="L14" s="174"/>
    </row>
    <row r="15" spans="1:31" ht="14.4" customHeight="1" x14ac:dyDescent="0.3">
      <c r="E15" s="201"/>
      <c r="F15" s="189" t="s">
        <v>395</v>
      </c>
      <c r="G15" s="178"/>
      <c r="H15" s="157"/>
      <c r="I15" s="215"/>
      <c r="J15" s="174"/>
      <c r="K15" s="174"/>
      <c r="L15" s="174"/>
    </row>
    <row r="16" spans="1:31" ht="14.4" customHeight="1" x14ac:dyDescent="0.3">
      <c r="E16" s="201"/>
      <c r="F16" s="189"/>
      <c r="G16" s="189"/>
      <c r="H16" s="203"/>
      <c r="I16" s="215"/>
      <c r="J16" s="174"/>
      <c r="K16" s="174"/>
      <c r="L16" s="174"/>
    </row>
    <row r="17" spans="5:12" ht="14.4" customHeight="1" x14ac:dyDescent="0.3">
      <c r="E17" s="201"/>
      <c r="F17" s="189" t="s">
        <v>35</v>
      </c>
      <c r="G17" s="178"/>
      <c r="H17" s="157"/>
      <c r="I17" s="215"/>
      <c r="J17" s="174"/>
      <c r="K17" s="174"/>
      <c r="L17" s="174"/>
    </row>
    <row r="18" spans="5:12" ht="14.4" customHeight="1" x14ac:dyDescent="0.3">
      <c r="E18" s="201"/>
      <c r="F18" s="189"/>
      <c r="G18" s="189"/>
      <c r="H18" s="202"/>
      <c r="I18" s="214"/>
      <c r="J18" s="172"/>
      <c r="K18" s="172"/>
      <c r="L18" s="172"/>
    </row>
    <row r="19" spans="5:12" ht="14.4" customHeight="1" x14ac:dyDescent="0.3">
      <c r="E19" s="201"/>
      <c r="F19" s="189" t="s">
        <v>381</v>
      </c>
      <c r="G19" s="178"/>
      <c r="H19" s="157"/>
      <c r="I19" s="215"/>
      <c r="J19" s="174"/>
      <c r="K19" s="174"/>
      <c r="L19" s="174"/>
    </row>
    <row r="20" spans="5:12" ht="14.4" customHeight="1" x14ac:dyDescent="0.3">
      <c r="E20" s="204"/>
      <c r="F20" s="205"/>
      <c r="G20" s="205"/>
      <c r="H20" s="206"/>
      <c r="I20" s="216"/>
      <c r="J20" s="185"/>
      <c r="K20" s="185"/>
      <c r="L20" s="185"/>
    </row>
    <row r="21" spans="5:12" ht="14.4" customHeight="1" x14ac:dyDescent="0.3">
      <c r="E21" s="204"/>
      <c r="F21" s="189" t="s">
        <v>396</v>
      </c>
      <c r="G21" s="184"/>
      <c r="H21" s="157"/>
      <c r="I21" s="216"/>
      <c r="J21" s="185"/>
      <c r="K21" s="185"/>
      <c r="L21" s="185"/>
    </row>
    <row r="22" spans="5:12" ht="14.4" customHeight="1" x14ac:dyDescent="0.3">
      <c r="E22" s="201"/>
      <c r="F22" s="189"/>
      <c r="G22" s="189"/>
      <c r="H22" s="203"/>
      <c r="I22" s="215"/>
      <c r="J22" s="174"/>
      <c r="K22" s="174"/>
      <c r="L22" s="174"/>
    </row>
    <row r="23" spans="5:12" ht="14.4" customHeight="1" x14ac:dyDescent="0.3">
      <c r="E23" s="201"/>
      <c r="F23" s="189" t="s">
        <v>225</v>
      </c>
      <c r="G23" s="180"/>
      <c r="H23" s="157"/>
      <c r="I23" s="215"/>
      <c r="J23" s="174"/>
      <c r="K23" s="174"/>
      <c r="L23" s="174"/>
    </row>
    <row r="24" spans="5:12" ht="14.4" customHeight="1" x14ac:dyDescent="0.3">
      <c r="E24" s="201"/>
      <c r="F24" s="189"/>
      <c r="G24" s="189"/>
      <c r="H24" s="203"/>
      <c r="I24" s="215"/>
      <c r="J24" s="174"/>
      <c r="K24" s="174"/>
      <c r="L24" s="174"/>
    </row>
    <row r="25" spans="5:12" ht="14.4" customHeight="1" x14ac:dyDescent="0.3">
      <c r="E25" s="201"/>
      <c r="F25" s="189" t="s">
        <v>397</v>
      </c>
      <c r="G25" s="183"/>
      <c r="H25" s="157"/>
      <c r="I25" s="217"/>
      <c r="J25" s="175"/>
      <c r="K25" s="175"/>
      <c r="L25" s="175"/>
    </row>
    <row r="26" spans="5:12" ht="14.4" customHeight="1" x14ac:dyDescent="0.3">
      <c r="E26" s="213"/>
      <c r="F26" s="212"/>
      <c r="G26" s="190"/>
      <c r="H26" s="207"/>
      <c r="I26" s="217"/>
      <c r="J26" s="186"/>
      <c r="K26" s="186"/>
      <c r="L26" s="186"/>
    </row>
    <row r="27" spans="5:12" ht="14.4" customHeight="1" x14ac:dyDescent="0.3">
      <c r="E27" s="213"/>
      <c r="F27" s="212"/>
      <c r="G27" s="190"/>
      <c r="H27" s="207"/>
      <c r="I27" s="217"/>
      <c r="J27" s="164"/>
    </row>
    <row r="28" spans="5:12" ht="14.4" customHeight="1" x14ac:dyDescent="0.3">
      <c r="E28" s="213"/>
      <c r="F28" s="212"/>
      <c r="G28" s="190"/>
      <c r="H28" s="207"/>
      <c r="I28" s="217"/>
      <c r="J28" s="164"/>
    </row>
    <row r="29" spans="5:12" ht="14.4" customHeight="1" x14ac:dyDescent="0.3">
      <c r="E29" s="213"/>
      <c r="F29" s="212"/>
      <c r="G29" s="190"/>
      <c r="H29" s="207"/>
      <c r="I29" s="217"/>
      <c r="J29" s="164"/>
    </row>
    <row r="30" spans="5:12" ht="14.4" customHeight="1" x14ac:dyDescent="0.3">
      <c r="E30" s="213"/>
      <c r="F30" s="212"/>
      <c r="G30" s="190"/>
      <c r="H30" s="207"/>
      <c r="I30" s="217"/>
      <c r="J30" s="138"/>
    </row>
    <row r="31" spans="5:12" ht="14.4" customHeight="1" thickBot="1" x14ac:dyDescent="0.35">
      <c r="E31" s="208"/>
      <c r="F31" s="209"/>
      <c r="G31" s="210"/>
      <c r="H31" s="211"/>
      <c r="I31" s="217"/>
      <c r="J31" s="138"/>
    </row>
    <row r="32" spans="5:12" ht="14.4" customHeight="1" x14ac:dyDescent="0.3">
      <c r="E32" s="137"/>
      <c r="F32" s="137"/>
      <c r="G32" s="137"/>
      <c r="H32" s="138"/>
      <c r="I32" s="138"/>
      <c r="J32" s="138"/>
    </row>
    <row r="33" spans="5:10" ht="14.4" customHeight="1" x14ac:dyDescent="0.3">
      <c r="E33" s="137"/>
      <c r="F33" s="137"/>
      <c r="G33" s="137"/>
      <c r="H33" s="138"/>
      <c r="I33" s="138"/>
      <c r="J33" s="138"/>
    </row>
    <row r="34" spans="5:10" ht="14.4" customHeight="1" x14ac:dyDescent="0.3">
      <c r="E34" s="137"/>
      <c r="F34" s="137"/>
      <c r="G34" s="137"/>
      <c r="H34" s="138"/>
      <c r="I34" s="138"/>
      <c r="J34" s="138"/>
    </row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  <row r="41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8">
    <tabColor rgb="FFFF0000"/>
  </sheetPr>
  <dimension ref="A1:AE2"/>
  <sheetViews>
    <sheetView showGridLines="0" zoomScale="70" zoomScaleNormal="70" workbookViewId="0">
      <selection activeCell="U36" sqref="U36"/>
    </sheetView>
  </sheetViews>
  <sheetFormatPr defaultRowHeight="14.4" x14ac:dyDescent="0.3"/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28">
    <tabColor rgb="FFFF0000"/>
  </sheetPr>
  <dimension ref="A1:AE2"/>
  <sheetViews>
    <sheetView topLeftCell="B4" zoomScale="70" zoomScaleNormal="70" workbookViewId="0">
      <selection activeCell="K9" sqref="K9:L9"/>
    </sheetView>
  </sheetViews>
  <sheetFormatPr defaultColWidth="8.88671875" defaultRowHeight="14.4" x14ac:dyDescent="0.3"/>
  <cols>
    <col min="1" max="16384" width="8.88671875" style="177"/>
  </cols>
  <sheetData>
    <row r="1" spans="1:31" ht="61.5" customHeigh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47">
    <tabColor rgb="FFFF0000"/>
  </sheetPr>
  <dimension ref="A1:AE37"/>
  <sheetViews>
    <sheetView showGridLines="0" zoomScale="55" zoomScaleNormal="55" workbookViewId="0">
      <selection activeCell="F38" sqref="F38"/>
    </sheetView>
  </sheetViews>
  <sheetFormatPr defaultColWidth="8.88671875" defaultRowHeight="14.4" x14ac:dyDescent="0.3"/>
  <cols>
    <col min="1" max="2" width="8.88671875" style="177"/>
    <col min="3" max="3" width="20.88671875" style="177" customWidth="1"/>
    <col min="4" max="4" width="28" style="177" bestFit="1" customWidth="1"/>
    <col min="5" max="5" width="21.33203125" style="177" customWidth="1"/>
    <col min="6" max="6" width="31" style="177" customWidth="1"/>
    <col min="7" max="7" width="32.6640625" style="177" bestFit="1" customWidth="1"/>
    <col min="8" max="8" width="24" style="177" bestFit="1" customWidth="1"/>
    <col min="9" max="10" width="24.5546875" style="177" bestFit="1" customWidth="1"/>
    <col min="11" max="11" width="17.88671875" style="177" bestFit="1" customWidth="1"/>
    <col min="12" max="12" width="28" style="177" bestFit="1" customWidth="1"/>
    <col min="13" max="13" width="21.33203125" style="177" bestFit="1" customWidth="1"/>
    <col min="14" max="14" width="31" style="177" bestFit="1" customWidth="1"/>
    <col min="15" max="16384" width="8.88671875" style="177"/>
  </cols>
  <sheetData>
    <row r="1" spans="1:31" ht="61.5" customHeigh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</row>
    <row r="2" spans="1:31" ht="46.2" customHeight="1" x14ac:dyDescent="0.3">
      <c r="A2" s="495"/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  <c r="W2" s="495"/>
      <c r="X2" s="495"/>
      <c r="Y2" s="495"/>
      <c r="Z2" s="495"/>
      <c r="AA2" s="495"/>
      <c r="AB2" s="495"/>
      <c r="AC2" s="495"/>
      <c r="AD2" s="495"/>
      <c r="AE2" s="495"/>
    </row>
    <row r="4" spans="1:31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7.399999999999999" x14ac:dyDescent="0.3">
      <c r="B5" s="1"/>
      <c r="C5" s="369"/>
      <c r="D5" s="516"/>
      <c r="E5" s="516"/>
      <c r="F5" s="1"/>
      <c r="G5" s="1"/>
      <c r="H5" s="369"/>
      <c r="I5" s="516"/>
      <c r="J5" s="516"/>
      <c r="K5" s="1"/>
    </row>
    <row r="6" spans="1:31" ht="17.399999999999999" x14ac:dyDescent="0.3">
      <c r="B6" s="1"/>
      <c r="C6" s="517" t="s">
        <v>411</v>
      </c>
      <c r="D6" s="517"/>
      <c r="E6" s="517"/>
      <c r="F6" s="517"/>
      <c r="G6" s="517"/>
      <c r="H6" s="379"/>
      <c r="I6" s="379"/>
      <c r="J6" s="370"/>
    </row>
    <row r="7" spans="1:31" x14ac:dyDescent="0.3">
      <c r="B7" s="1"/>
      <c r="C7" s="380" t="s">
        <v>282</v>
      </c>
      <c r="D7" s="380" t="s">
        <v>412</v>
      </c>
      <c r="E7" s="381" t="s">
        <v>363</v>
      </c>
      <c r="F7" s="380" t="s">
        <v>364</v>
      </c>
      <c r="G7" s="380" t="s">
        <v>413</v>
      </c>
      <c r="H7" s="382"/>
      <c r="I7" s="382"/>
      <c r="J7" s="369"/>
    </row>
    <row r="8" spans="1:31" x14ac:dyDescent="0.3">
      <c r="B8" s="1"/>
      <c r="C8" s="383"/>
      <c r="D8" s="383"/>
      <c r="E8" s="384">
        <v>20</v>
      </c>
      <c r="F8" s="383"/>
      <c r="G8" s="383" t="s">
        <v>414</v>
      </c>
      <c r="H8" s="94"/>
      <c r="I8" s="385"/>
      <c r="J8" s="369"/>
    </row>
    <row r="9" spans="1:31" x14ac:dyDescent="0.3">
      <c r="B9" s="1"/>
      <c r="C9" s="383"/>
      <c r="D9" s="386"/>
      <c r="E9" s="387">
        <v>30</v>
      </c>
      <c r="F9" s="383"/>
      <c r="G9" s="383" t="s">
        <v>414</v>
      </c>
      <c r="H9" s="94"/>
      <c r="I9" s="371"/>
      <c r="J9" s="369"/>
    </row>
    <row r="10" spans="1:31" x14ac:dyDescent="0.3">
      <c r="B10" s="1"/>
      <c r="C10" s="383"/>
      <c r="D10" s="383"/>
      <c r="E10" s="387">
        <v>23</v>
      </c>
      <c r="F10" s="383"/>
      <c r="G10" s="383" t="s">
        <v>414</v>
      </c>
      <c r="H10" s="94"/>
      <c r="I10" s="385"/>
      <c r="J10" s="369"/>
    </row>
    <row r="11" spans="1:31" x14ac:dyDescent="0.3">
      <c r="B11" s="1"/>
      <c r="C11" s="383"/>
      <c r="D11" s="383"/>
      <c r="E11" s="387">
        <v>50</v>
      </c>
      <c r="F11" s="383"/>
      <c r="G11" s="383" t="s">
        <v>414</v>
      </c>
      <c r="H11" s="94"/>
      <c r="I11" s="388"/>
      <c r="J11" s="1"/>
    </row>
    <row r="12" spans="1:31" x14ac:dyDescent="0.3">
      <c r="B12" s="1"/>
      <c r="C12" s="383"/>
      <c r="D12" s="383"/>
      <c r="E12" s="387">
        <v>77</v>
      </c>
      <c r="F12" s="383"/>
      <c r="G12" s="383" t="s">
        <v>414</v>
      </c>
      <c r="H12" s="94"/>
      <c r="I12" s="371"/>
      <c r="J12" s="1"/>
    </row>
    <row r="13" spans="1:31" x14ac:dyDescent="0.3">
      <c r="B13" s="1"/>
      <c r="C13" s="383"/>
      <c r="D13" s="383"/>
      <c r="E13" s="387">
        <v>55</v>
      </c>
      <c r="F13" s="383"/>
      <c r="G13" s="383" t="s">
        <v>414</v>
      </c>
      <c r="H13" s="94"/>
      <c r="I13" s="385"/>
      <c r="J13" s="1"/>
    </row>
    <row r="14" spans="1:31" x14ac:dyDescent="0.3">
      <c r="C14" s="383"/>
      <c r="D14" s="383"/>
      <c r="E14" s="387">
        <v>130</v>
      </c>
      <c r="F14" s="383"/>
      <c r="G14" s="383" t="s">
        <v>414</v>
      </c>
      <c r="H14" s="94"/>
      <c r="I14" s="385"/>
    </row>
    <row r="15" spans="1:31" x14ac:dyDescent="0.3">
      <c r="C15" s="383"/>
      <c r="D15" s="383"/>
      <c r="E15" s="387">
        <v>62</v>
      </c>
      <c r="F15" s="383"/>
      <c r="G15" s="383" t="s">
        <v>414</v>
      </c>
      <c r="H15" s="94"/>
      <c r="I15" s="389"/>
    </row>
    <row r="16" spans="1:31" x14ac:dyDescent="0.3">
      <c r="C16" s="383"/>
      <c r="D16" s="383"/>
      <c r="E16" s="387">
        <v>8</v>
      </c>
      <c r="F16" s="383"/>
      <c r="G16" s="383" t="s">
        <v>414</v>
      </c>
      <c r="H16" s="94"/>
      <c r="I16" s="385"/>
    </row>
    <row r="17" spans="3:19" x14ac:dyDescent="0.3">
      <c r="C17" s="383"/>
      <c r="D17" s="383"/>
      <c r="E17" s="387">
        <v>54</v>
      </c>
      <c r="F17" s="383"/>
      <c r="G17" s="383" t="s">
        <v>414</v>
      </c>
      <c r="H17" s="94"/>
      <c r="I17" s="371"/>
    </row>
    <row r="18" spans="3:19" x14ac:dyDescent="0.3">
      <c r="C18" s="383"/>
      <c r="D18" s="383"/>
      <c r="E18" s="387">
        <v>4</v>
      </c>
      <c r="F18" s="383"/>
      <c r="G18" s="383" t="s">
        <v>414</v>
      </c>
      <c r="H18" s="94"/>
      <c r="I18" s="371"/>
    </row>
    <row r="19" spans="3:19" x14ac:dyDescent="0.3">
      <c r="C19" s="383"/>
      <c r="D19" s="383"/>
      <c r="E19" s="387">
        <v>64</v>
      </c>
      <c r="F19" s="383"/>
      <c r="G19" s="383" t="s">
        <v>414</v>
      </c>
      <c r="H19" s="94"/>
      <c r="I19" s="390"/>
    </row>
    <row r="20" spans="3:19" x14ac:dyDescent="0.3">
      <c r="C20" s="383"/>
      <c r="D20" s="383"/>
      <c r="E20" s="387">
        <v>78</v>
      </c>
      <c r="F20" s="383"/>
      <c r="G20" s="383" t="s">
        <v>414</v>
      </c>
      <c r="H20" s="94"/>
      <c r="I20" s="385"/>
      <c r="J20" s="375"/>
      <c r="K20" s="375"/>
      <c r="L20" s="1"/>
    </row>
    <row r="21" spans="3:19" ht="15" thickBot="1" x14ac:dyDescent="0.35">
      <c r="C21" s="94"/>
      <c r="D21" s="94"/>
      <c r="E21" s="94"/>
      <c r="F21" s="385"/>
      <c r="G21" s="94"/>
      <c r="H21" s="94"/>
      <c r="I21" s="385"/>
    </row>
    <row r="22" spans="3:19" ht="17.399999999999999" x14ac:dyDescent="0.3">
      <c r="C22" s="518" t="s">
        <v>415</v>
      </c>
      <c r="D22" s="519"/>
      <c r="E22" s="519"/>
      <c r="F22" s="519"/>
      <c r="G22" s="519"/>
      <c r="H22" s="519"/>
      <c r="I22" s="519"/>
      <c r="J22" s="520"/>
      <c r="K22" s="391"/>
    </row>
    <row r="23" spans="3:19" ht="17.399999999999999" x14ac:dyDescent="0.3">
      <c r="C23" s="392" t="s">
        <v>220</v>
      </c>
      <c r="D23" s="393" t="s">
        <v>416</v>
      </c>
      <c r="E23" s="393" t="s">
        <v>417</v>
      </c>
      <c r="F23" s="393" t="s">
        <v>418</v>
      </c>
      <c r="G23" s="393" t="s">
        <v>419</v>
      </c>
      <c r="H23" s="393" t="s">
        <v>420</v>
      </c>
      <c r="I23" s="393" t="s">
        <v>421</v>
      </c>
      <c r="J23" s="394" t="s">
        <v>422</v>
      </c>
      <c r="K23" s="395" t="s">
        <v>259</v>
      </c>
    </row>
    <row r="24" spans="3:19" ht="18" x14ac:dyDescent="0.3">
      <c r="C24" s="396"/>
      <c r="D24" s="397"/>
      <c r="E24" s="397"/>
      <c r="F24" s="397"/>
      <c r="G24" s="397"/>
      <c r="H24" s="373"/>
      <c r="I24" s="373"/>
      <c r="J24" s="374"/>
      <c r="K24" s="1"/>
    </row>
    <row r="25" spans="3:19" ht="18" x14ac:dyDescent="0.3">
      <c r="C25" s="396"/>
      <c r="D25" s="397"/>
      <c r="E25" s="397"/>
      <c r="F25" s="397"/>
      <c r="G25" s="397"/>
      <c r="H25" s="373"/>
      <c r="I25" s="373"/>
      <c r="J25" s="374"/>
      <c r="K25" s="1"/>
    </row>
    <row r="26" spans="3:19" x14ac:dyDescent="0.3">
      <c r="C26" s="372"/>
      <c r="D26" s="373"/>
      <c r="E26" s="373"/>
      <c r="F26" s="373"/>
      <c r="G26" s="373"/>
      <c r="H26" s="373"/>
      <c r="I26" s="373"/>
      <c r="J26" s="374"/>
      <c r="K26" s="1"/>
    </row>
    <row r="27" spans="3:19" x14ac:dyDescent="0.3">
      <c r="C27" s="372"/>
      <c r="D27" s="373"/>
      <c r="E27" s="373"/>
      <c r="F27" s="373"/>
      <c r="G27" s="373"/>
      <c r="H27" s="373"/>
      <c r="I27" s="373"/>
      <c r="J27" s="374"/>
      <c r="K27" s="1"/>
    </row>
    <row r="28" spans="3:19" x14ac:dyDescent="0.3">
      <c r="C28" s="372"/>
      <c r="D28" s="373"/>
      <c r="E28" s="373"/>
      <c r="F28" s="373"/>
      <c r="G28" s="373"/>
      <c r="H28" s="373"/>
      <c r="I28" s="373"/>
      <c r="J28" s="374"/>
      <c r="K28" s="1"/>
    </row>
    <row r="29" spans="3:19" ht="15" thickBot="1" x14ac:dyDescent="0.35">
      <c r="C29" s="376"/>
      <c r="D29" s="377"/>
      <c r="E29" s="377"/>
      <c r="F29" s="377"/>
      <c r="G29" s="377"/>
      <c r="H29" s="377"/>
      <c r="I29" s="377"/>
      <c r="J29" s="378"/>
      <c r="K29" s="1"/>
    </row>
    <row r="31" spans="3:19" x14ac:dyDescent="0.3">
      <c r="C31" s="398"/>
      <c r="D31" s="39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</row>
    <row r="32" spans="3:19" x14ac:dyDescent="0.3">
      <c r="C32" s="399"/>
      <c r="D32" s="399"/>
      <c r="E32" s="399"/>
      <c r="F32" s="399"/>
      <c r="G32" s="399"/>
      <c r="H32" s="399"/>
      <c r="I32" s="399"/>
      <c r="J32" s="399"/>
      <c r="K32" s="399"/>
      <c r="L32" s="399"/>
      <c r="M32" s="400"/>
      <c r="N32" s="400"/>
      <c r="O32" s="400"/>
      <c r="P32" s="400"/>
      <c r="Q32" s="400"/>
      <c r="R32" s="400"/>
      <c r="S32" s="400"/>
    </row>
    <row r="33" spans="3:19" x14ac:dyDescent="0.3">
      <c r="C33" s="369"/>
      <c r="D33" s="1"/>
      <c r="E33" s="1"/>
      <c r="F33" s="1"/>
      <c r="G33" s="1"/>
      <c r="H33" s="1"/>
      <c r="I33" s="385"/>
      <c r="J33" s="401"/>
      <c r="K33" s="1"/>
      <c r="L33" s="1"/>
      <c r="M33" s="402"/>
      <c r="N33" s="402"/>
      <c r="O33" s="402"/>
      <c r="P33" s="402"/>
      <c r="Q33" s="402"/>
      <c r="R33" s="402"/>
      <c r="S33" s="402"/>
    </row>
    <row r="34" spans="3:19" x14ac:dyDescent="0.3">
      <c r="C34" s="369"/>
      <c r="D34" s="1"/>
      <c r="E34" s="1"/>
      <c r="F34" s="1"/>
      <c r="G34" s="1"/>
      <c r="H34" s="1"/>
      <c r="I34" s="385"/>
      <c r="J34" s="401"/>
      <c r="K34" s="1"/>
      <c r="L34" s="1"/>
      <c r="M34" s="402"/>
      <c r="N34" s="402"/>
      <c r="O34" s="402"/>
      <c r="P34" s="402"/>
      <c r="Q34" s="402"/>
      <c r="R34" s="402"/>
      <c r="S34" s="402"/>
    </row>
    <row r="35" spans="3:19" x14ac:dyDescent="0.3">
      <c r="C35" s="369"/>
      <c r="D35" s="1"/>
      <c r="E35" s="1"/>
      <c r="F35" s="1"/>
      <c r="G35" s="1"/>
      <c r="H35" s="1"/>
      <c r="I35" s="385"/>
      <c r="J35" s="401"/>
      <c r="K35" s="1"/>
      <c r="L35" s="403"/>
      <c r="M35" s="402"/>
      <c r="N35" s="402"/>
      <c r="O35" s="402"/>
      <c r="P35" s="402"/>
      <c r="Q35" s="402"/>
      <c r="R35" s="402"/>
      <c r="S35" s="402"/>
    </row>
    <row r="36" spans="3:19" x14ac:dyDescent="0.3">
      <c r="C36" s="369"/>
      <c r="D36" s="1"/>
      <c r="E36" s="1"/>
      <c r="F36" s="1"/>
      <c r="G36" s="1"/>
      <c r="H36" s="1"/>
      <c r="I36" s="385"/>
      <c r="J36" s="401"/>
      <c r="K36" s="1"/>
      <c r="L36" s="1"/>
      <c r="M36" s="402"/>
      <c r="N36" s="402"/>
      <c r="O36" s="402"/>
      <c r="P36" s="402"/>
      <c r="Q36" s="402"/>
      <c r="R36" s="402"/>
      <c r="S36" s="402"/>
    </row>
    <row r="37" spans="3:19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</sheetData>
  <mergeCells count="5">
    <mergeCell ref="A2:AE2"/>
    <mergeCell ref="D5:E5"/>
    <mergeCell ref="I5:J5"/>
    <mergeCell ref="C6:G6"/>
    <mergeCell ref="C22:J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N_VCINTRL</vt:lpstr>
      <vt:lpstr>N_VMETAS</vt:lpstr>
      <vt:lpstr>N_VRELCOM</vt:lpstr>
      <vt:lpstr>N_VRELMET</vt:lpstr>
      <vt:lpstr>N_CCADASTROF</vt:lpstr>
      <vt:lpstr>N_PROCFOR</vt:lpstr>
      <vt:lpstr>N_CMP</vt:lpstr>
      <vt:lpstr>N_CSOLICITAR</vt:lpstr>
      <vt:lpstr>N_CREALIZARP</vt:lpstr>
      <vt:lpstr>N_FINANÇAS</vt:lpstr>
      <vt:lpstr>BANCO DE DADOS</vt:lpstr>
      <vt:lpstr>BD_CADAS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2024-11-27T02:07:28Z</dcterms:modified>
  <cp:category/>
  <cp:contentStatus/>
</cp:coreProperties>
</file>