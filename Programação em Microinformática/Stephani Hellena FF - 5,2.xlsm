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fatec\2024\2 SEMESTRE\PROGRAMAÇÃO\PROVA 2 BIM\"/>
    </mc:Choice>
  </mc:AlternateContent>
  <xr:revisionPtr revIDLastSave="0" documentId="13_ncr:1_{23E98094-B811-4C28-A342-5DA899145B6F}" xr6:coauthVersionLast="36" xr6:coauthVersionMax="47" xr10:uidLastSave="{00000000-0000-0000-0000-000000000000}"/>
  <bookViews>
    <workbookView xWindow="-120" yWindow="-120" windowWidth="20730" windowHeight="11160" firstSheet="3" activeTab="4" xr2:uid="{00000000-000D-0000-FFFF-FFFF00000000}"/>
  </bookViews>
  <sheets>
    <sheet name="INDICE_CORRESP1" sheetId="1" r:id="rId1"/>
    <sheet name="INDICE_CORRESP2" sheetId="2" r:id="rId2"/>
    <sheet name="LISTA DE PROFESSORES E ÁREAS " sheetId="8" r:id="rId3"/>
    <sheet name="FORMULARIO_DADOS1" sheetId="3" r:id="rId4"/>
    <sheet name="BASE_DADOS_1" sheetId="4" r:id="rId5"/>
    <sheet name="FILTRO E MACRO" sheetId="6" r:id="rId6"/>
    <sheet name="MACRO CALCULOS" sheetId="7" r:id="rId7"/>
  </sheets>
  <definedNames>
    <definedName name="_xlnm._FilterDatabase" localSheetId="5" hidden="1">'FILTRO E MACRO'!$A$6:$D$20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" l="1"/>
  <c r="D2" i="4"/>
  <c r="E3" i="4"/>
  <c r="D3" i="4"/>
  <c r="F4" i="2" l="1"/>
  <c r="F5" i="2"/>
  <c r="F6" i="2"/>
  <c r="F7" i="2"/>
  <c r="F8" i="2"/>
  <c r="F9" i="2"/>
  <c r="F10" i="2"/>
  <c r="F11" i="2"/>
  <c r="F3" i="2"/>
  <c r="E4" i="2"/>
  <c r="E5" i="2"/>
  <c r="E6" i="2"/>
  <c r="E7" i="2"/>
  <c r="E8" i="2"/>
  <c r="E9" i="2"/>
  <c r="E10" i="2"/>
  <c r="E11" i="2"/>
  <c r="E3" i="2"/>
  <c r="D4" i="2"/>
  <c r="D5" i="2"/>
  <c r="D6" i="2"/>
  <c r="D7" i="2"/>
  <c r="D8" i="2"/>
  <c r="D9" i="2"/>
  <c r="D10" i="2"/>
  <c r="D11" i="2"/>
  <c r="D3" i="2"/>
</calcChain>
</file>

<file path=xl/sharedStrings.xml><?xml version="1.0" encoding="utf-8"?>
<sst xmlns="http://schemas.openxmlformats.org/spreadsheetml/2006/main" count="220" uniqueCount="125">
  <si>
    <t>HORARIO</t>
  </si>
  <si>
    <t>08h AS 16h</t>
  </si>
  <si>
    <t>segunda</t>
  </si>
  <si>
    <t>08h as 17h</t>
  </si>
  <si>
    <t>terça</t>
  </si>
  <si>
    <t>ODONTOLOGIA</t>
  </si>
  <si>
    <t>09h as 18h</t>
  </si>
  <si>
    <t>09h as 17h30</t>
  </si>
  <si>
    <t>quarta</t>
  </si>
  <si>
    <t>08h as 18h</t>
  </si>
  <si>
    <t>quinta</t>
  </si>
  <si>
    <t>sexta</t>
  </si>
  <si>
    <t>N</t>
  </si>
  <si>
    <t>PROFESSOR RESPONSAVEL</t>
  </si>
  <si>
    <t>AREA DE ATUAÇAO</t>
  </si>
  <si>
    <t>THAIS OLIVEIRA</t>
  </si>
  <si>
    <t>KLEBER MATHIAS</t>
  </si>
  <si>
    <t>PATRICIA CAMPOS</t>
  </si>
  <si>
    <t>GABRIEL RIBEIRO</t>
  </si>
  <si>
    <t>EVERTON CASTRO</t>
  </si>
  <si>
    <t>JESSICA NUNES</t>
  </si>
  <si>
    <t>RITA BRANDÃO</t>
  </si>
  <si>
    <t>SUELI BUENO</t>
  </si>
  <si>
    <t>VICTOR SALLES</t>
  </si>
  <si>
    <t>VERA VEIGA</t>
  </si>
  <si>
    <t>FABIO REZENDE</t>
  </si>
  <si>
    <t>LUIZ RAMOS</t>
  </si>
  <si>
    <t>CARLOS FERREIRA</t>
  </si>
  <si>
    <t>KATIA VERBER</t>
  </si>
  <si>
    <t>MATEMÁTICA</t>
  </si>
  <si>
    <t>FISICA</t>
  </si>
  <si>
    <t>HISTORIA</t>
  </si>
  <si>
    <t>FILOSOFIA</t>
  </si>
  <si>
    <t>GEOGRAFIA</t>
  </si>
  <si>
    <t>QUIMICA</t>
  </si>
  <si>
    <t>ENGENHARIA</t>
  </si>
  <si>
    <t>ARQUITETURA</t>
  </si>
  <si>
    <t>PSICOLOGIA</t>
  </si>
  <si>
    <t>ADMINISTRAÇAO</t>
  </si>
  <si>
    <t>CIENCIAS CONTÁBEIS</t>
  </si>
  <si>
    <t>CIENCIAS DA COMPUTAÇAO</t>
  </si>
  <si>
    <t>LOGISTICA</t>
  </si>
  <si>
    <t>DIA DA PROVA</t>
  </si>
  <si>
    <t>HORARIO DA PROVA</t>
  </si>
  <si>
    <t>AGENDA ALUNOS DE ACORDO COM O CURSO</t>
  </si>
  <si>
    <t>TABELA DE PRE-AGENDAMENTO DE PROVAS - VESTIBULAR 2018 - POR CURSO</t>
  </si>
  <si>
    <t>NOME DO CANDIDATO</t>
  </si>
  <si>
    <t>AREA DO CURSO</t>
  </si>
  <si>
    <t>PROFESSOR</t>
  </si>
  <si>
    <t>CRIE UMA FUNÇAO USANDO INDICE E CORRESP PARA PRENCHER A TABELA ACIMA, ONDE DEVERÁ SER DIGITADO O NOME DO CANDIDATO E ÁREA DO CURSO, E A PARTIR DAI SURGIRA O RESULTADO COM O NOME DO PROFESSOR, O HORARIO E O DIA DA SEMANA</t>
  </si>
  <si>
    <t>SALARIO BRUTO</t>
  </si>
  <si>
    <t>INSS (11%)</t>
  </si>
  <si>
    <t>IR (12,5%)</t>
  </si>
  <si>
    <t>SALARIO LIQUIDO</t>
  </si>
  <si>
    <t>CRIE UMA MACRO QUE LANCE OS DADOS AQUI INSERIDOS PARA A PLANIHA BASE_DADOS_1</t>
  </si>
  <si>
    <t>NOME</t>
  </si>
  <si>
    <t>INSS</t>
  </si>
  <si>
    <t>IR</t>
  </si>
  <si>
    <t>CRIE UM FILTRO NA TABELA AO LADO</t>
  </si>
  <si>
    <t>CRIE BOTOES COM TODOS OS DIAS DA SEMANA</t>
  </si>
  <si>
    <t>ATRIBUA MACROS A CADA UM DOS BOTOES DE FORMA QUE AO SEREM CLICADOS APAREÇAM APENAS OS PROFESSORES, AREA DE ATUAÇAO E HORARIO, DAQUELE DIA</t>
  </si>
  <si>
    <t>CRIE OUTRA MACRO QUE PERMITA A GRAVAÇAO DO ARQUIVO COM OUTRO NOME ( a macro devera mostrar a abertura do menu - ARQUIVO - SALVAR COMO)</t>
  </si>
  <si>
    <t>CRIE UM BOTAO PARA APLICAR O RESULTADO DO CALCULO A SER FEITO</t>
  </si>
  <si>
    <t>RESULTADO</t>
  </si>
  <si>
    <t>O RESULTADO DEVERA SER APRESENTADO NA CELULA F1</t>
  </si>
  <si>
    <t>,</t>
  </si>
  <si>
    <t xml:space="preserve">DIA </t>
  </si>
  <si>
    <t>CRIE VALIDAÇÃO DE DADOS PARA A " AREA DO CURSO"</t>
  </si>
  <si>
    <t>PROFESORES</t>
  </si>
  <si>
    <t>AREA</t>
  </si>
  <si>
    <t>ANA</t>
  </si>
  <si>
    <t>RENATA</t>
  </si>
  <si>
    <t>JORGE</t>
  </si>
  <si>
    <t>TANIA</t>
  </si>
  <si>
    <t>REGIS</t>
  </si>
  <si>
    <t>VICTOR</t>
  </si>
  <si>
    <t>HUGO</t>
  </si>
  <si>
    <t>MERCIA</t>
  </si>
  <si>
    <t>OTAVIO</t>
  </si>
  <si>
    <t>RITA</t>
  </si>
  <si>
    <t>REGIANE</t>
  </si>
  <si>
    <t>ROBERTO</t>
  </si>
  <si>
    <t>LUCAS</t>
  </si>
  <si>
    <t>LETICIA</t>
  </si>
  <si>
    <t>VERA</t>
  </si>
  <si>
    <t>DENIS</t>
  </si>
  <si>
    <t>TULIO</t>
  </si>
  <si>
    <t>VINICIUS</t>
  </si>
  <si>
    <t>HEITOR</t>
  </si>
  <si>
    <t>FABIO</t>
  </si>
  <si>
    <t>CLARA</t>
  </si>
  <si>
    <t>VANIA</t>
  </si>
  <si>
    <t>ESTATISTICA</t>
  </si>
  <si>
    <t>MATEMATICA</t>
  </si>
  <si>
    <t>HITORIA</t>
  </si>
  <si>
    <t>LINGUAS</t>
  </si>
  <si>
    <t>HTML</t>
  </si>
  <si>
    <t>SISTEMAS OPERACIONAIS 1</t>
  </si>
  <si>
    <t>SISTEMAS OPERACIONAIS 2</t>
  </si>
  <si>
    <t>COMUNICAÇÃO</t>
  </si>
  <si>
    <t>METODOLOGIA</t>
  </si>
  <si>
    <t>INFORMÁTICA</t>
  </si>
  <si>
    <t>PROGRAMAÇÃO</t>
  </si>
  <si>
    <t>ALGORITMOS</t>
  </si>
  <si>
    <t>ALGEBRA</t>
  </si>
  <si>
    <t>CÁLCULO 1</t>
  </si>
  <si>
    <t>CÁLCULO 2</t>
  </si>
  <si>
    <t>CÁLCULO NUMÉRICO</t>
  </si>
  <si>
    <t>GEOMETRIA</t>
  </si>
  <si>
    <t>ENGENHARIA DE SOFTWARE</t>
  </si>
  <si>
    <t>ADMINISTRAÇÃO</t>
  </si>
  <si>
    <t>ESTAGIO SUPERVISIONADO</t>
  </si>
  <si>
    <t>TG A e 2</t>
  </si>
  <si>
    <t>CALCULE OS INSS, IR E SALARIO LIQUIDO NO FORMULÁRUI ACIMA, CRIANDO UM BOTAO ADICIONAL AO FORMULÁRIO QUE REALIZE OS CÁCULOS</t>
  </si>
  <si>
    <t>CRIE UM PROGRAMA EM VBA QUE FAÇA A SOMA DAS COLUNA ACIMAS E EM SEGUIDA TIRE A MEDIA DOS RESULTADOS OBTIDOS</t>
  </si>
  <si>
    <t xml:space="preserve">FAÇA A VALIDAÇÃO DE DADOS, COM BASE NA PLANILHA "LISTA DE PROFESSORES E ÁREAS </t>
  </si>
  <si>
    <t>Beatriz de Souza</t>
  </si>
  <si>
    <t>Ana Carolina Carvalho</t>
  </si>
  <si>
    <t>João Gomes da Silva</t>
  </si>
  <si>
    <t>Fernanda Ricci Camargo</t>
  </si>
  <si>
    <t>Jonathas Solleman</t>
  </si>
  <si>
    <t>Ryan Pinto</t>
  </si>
  <si>
    <t>Lucas Gomes</t>
  </si>
  <si>
    <t>Estela Gonçalves</t>
  </si>
  <si>
    <t>Laís Dobert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</si>
</sst>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Aharoni"/>
      <charset val="177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trike/>
      <sz val="11"/>
      <color indexed="16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2" xfId="0" applyBorder="1"/>
    <xf numFmtId="0" fontId="0" fillId="2" borderId="2" xfId="0" applyFill="1" applyBorder="1"/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0" fillId="4" borderId="2" xfId="0" applyFill="1" applyBorder="1"/>
    <xf numFmtId="0" fontId="1" fillId="5" borderId="2" xfId="0" applyFont="1" applyFill="1" applyBorder="1"/>
    <xf numFmtId="0" fontId="0" fillId="3" borderId="2" xfId="0" applyFill="1" applyBorder="1"/>
    <xf numFmtId="0" fontId="0" fillId="6" borderId="0" xfId="0" applyFill="1" applyAlignment="1">
      <alignment wrapText="1"/>
    </xf>
    <xf numFmtId="0" fontId="0" fillId="7" borderId="2" xfId="0" applyFill="1" applyBorder="1"/>
    <xf numFmtId="0" fontId="0" fillId="6" borderId="0" xfId="0" applyFill="1"/>
    <xf numFmtId="44" fontId="0" fillId="4" borderId="2" xfId="1" applyFont="1" applyFill="1" applyBorder="1"/>
    <xf numFmtId="44" fontId="0" fillId="4" borderId="2" xfId="1" applyNumberFormat="1" applyFont="1" applyFill="1" applyBorder="1"/>
    <xf numFmtId="44" fontId="0" fillId="4" borderId="2" xfId="0" applyNumberFormat="1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0" xfId="0" applyFill="1" applyAlignment="1">
      <alignment horizontal="justify" vertical="justify" wrapText="1"/>
    </xf>
    <xf numFmtId="0" fontId="0" fillId="7" borderId="0" xfId="0" applyFill="1" applyAlignment="1">
      <alignment horizontal="left" wrapText="1"/>
    </xf>
    <xf numFmtId="0" fontId="0" fillId="0" borderId="0" xfId="0" applyAlignment="1">
      <alignment horizontal="justify" vertical="justify" wrapText="1"/>
    </xf>
    <xf numFmtId="0" fontId="2" fillId="4" borderId="0" xfId="0" applyFont="1" applyFill="1" applyAlignment="1">
      <alignment horizontal="left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  <xf numFmtId="0" fontId="0" fillId="8" borderId="2" xfId="0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212912</xdr:colOff>
      <xdr:row>15</xdr:row>
      <xdr:rowOff>28016</xdr:rowOff>
    </xdr:from>
    <xdr:to>
      <xdr:col>8</xdr:col>
      <xdr:colOff>857250</xdr:colOff>
      <xdr:row>16</xdr:row>
      <xdr:rowOff>100854</xdr:rowOff>
    </xdr:to>
    <xdr:sp macro="[0]!CADASTR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87956" y="2885516"/>
          <a:ext cx="941294" cy="26333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>
            <a:shade val="50000"/>
          </a:schemeClr>
        </a:lnRef>
        <a:fillRef idx="1001">
          <a:schemeClr val="dk2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CADASTRAR</a:t>
          </a:r>
        </a:p>
      </xdr:txBody>
    </xdr:sp>
    <xdr:clientData/>
  </xdr:twoCellAnchor>
  <xdr:twoCellAnchor>
    <xdr:from>
      <xdr:col>8</xdr:col>
      <xdr:colOff>1054474</xdr:colOff>
      <xdr:row>15</xdr:row>
      <xdr:rowOff>17929</xdr:rowOff>
    </xdr:from>
    <xdr:to>
      <xdr:col>9</xdr:col>
      <xdr:colOff>514350</xdr:colOff>
      <xdr:row>16</xdr:row>
      <xdr:rowOff>90767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1249" y="2875429"/>
          <a:ext cx="1317251" cy="263338"/>
        </a:xfrm>
        <a:prstGeom prst="rect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001">
          <a:schemeClr val="dk2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/>
            <a:t>SALVAR</a:t>
          </a:r>
          <a:r>
            <a:rPr lang="pt-BR" sz="1100" b="1" baseline="0"/>
            <a:t> ARQUIVOS</a:t>
          </a:r>
          <a:endParaRPr lang="pt-B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6</xdr:row>
          <xdr:rowOff>104775</xdr:rowOff>
        </xdr:from>
        <xdr:to>
          <xdr:col>12</xdr:col>
          <xdr:colOff>95250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8</xdr:row>
          <xdr:rowOff>123825</xdr:rowOff>
        </xdr:from>
        <xdr:to>
          <xdr:col>12</xdr:col>
          <xdr:colOff>104775</xdr:colOff>
          <xdr:row>10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</xdr:row>
          <xdr:rowOff>114300</xdr:rowOff>
        </xdr:from>
        <xdr:to>
          <xdr:col>12</xdr:col>
          <xdr:colOff>361950</xdr:colOff>
          <xdr:row>12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sngStrike" baseline="0">
                  <a:solidFill>
                    <a:srgbClr val="800000"/>
                  </a:solidFill>
                  <a:latin typeface="Calibri"/>
                  <a:cs typeface="Calibri"/>
                </a:rPr>
                <a:t>SALÁRIO LÍQUIDO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314325</xdr:colOff>
          <xdr:row>0</xdr:row>
          <xdr:rowOff>171450</xdr:rowOff>
        </xdr:from>
        <xdr:to>
          <xdr:col>0</xdr:col>
          <xdr:colOff>1152525</xdr:colOff>
          <xdr:row>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SEGUNDA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1619250</xdr:colOff>
          <xdr:row>0</xdr:row>
          <xdr:rowOff>171450</xdr:rowOff>
        </xdr:from>
        <xdr:to>
          <xdr:col>1</xdr:col>
          <xdr:colOff>38100</xdr:colOff>
          <xdr:row>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TERÇA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523875</xdr:colOff>
          <xdr:row>0</xdr:row>
          <xdr:rowOff>180975</xdr:rowOff>
        </xdr:from>
        <xdr:to>
          <xdr:col>1</xdr:col>
          <xdr:colOff>1362075</xdr:colOff>
          <xdr:row>3</xdr:row>
          <xdr:rowOff>9525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QUARTA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1952625</xdr:colOff>
          <xdr:row>0</xdr:row>
          <xdr:rowOff>180975</xdr:rowOff>
        </xdr:from>
        <xdr:to>
          <xdr:col>2</xdr:col>
          <xdr:colOff>781050</xdr:colOff>
          <xdr:row>3</xdr:row>
          <xdr:rowOff>9525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5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1352550</xdr:colOff>
          <xdr:row>1</xdr:row>
          <xdr:rowOff>9525</xdr:rowOff>
        </xdr:from>
        <xdr:to>
          <xdr:col>3</xdr:col>
          <xdr:colOff>457200</xdr:colOff>
          <xdr:row>3</xdr:row>
          <xdr:rowOff>28575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5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SEXTA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828675</xdr:colOff>
          <xdr:row>1</xdr:row>
          <xdr:rowOff>0</xdr:rowOff>
        </xdr:from>
        <xdr:to>
          <xdr:col>3</xdr:col>
          <xdr:colOff>2038350</xdr:colOff>
          <xdr:row>3</xdr:row>
          <xdr:rowOff>19050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5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TODOS OS DIAS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1</xdr:row>
          <xdr:rowOff>76200</xdr:rowOff>
        </xdr:from>
        <xdr:to>
          <xdr:col>7</xdr:col>
          <xdr:colOff>571500</xdr:colOff>
          <xdr:row>3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Média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D16"/>
  <sheetViews>
    <sheetView topLeftCell="A4" zoomScale="140" zoomScaleNormal="140" workbookViewId="0">
      <selection activeCell="B11" sqref="B11"/>
    </sheetView>
  </sheetViews>
  <sheetFormatPr defaultRowHeight="15" x14ac:dyDescent="0.25"/>
  <cols>
    <col min="1" max="1" width="27.140625" customWidth="1"/>
    <col min="2" max="2" width="22.7109375" customWidth="1"/>
    <col min="3" max="3" width="22.140625" customWidth="1"/>
    <col min="4" max="4" width="30.140625" customWidth="1"/>
  </cols>
  <sheetData>
    <row r="1" spans="1:4" x14ac:dyDescent="0.25">
      <c r="A1" s="15" t="s">
        <v>45</v>
      </c>
      <c r="B1" s="15"/>
      <c r="C1" s="15"/>
      <c r="D1" s="15"/>
    </row>
    <row r="2" spans="1:4" x14ac:dyDescent="0.25">
      <c r="A2" s="1" t="s">
        <v>48</v>
      </c>
      <c r="B2" s="1" t="s">
        <v>47</v>
      </c>
      <c r="C2" s="1" t="s">
        <v>43</v>
      </c>
      <c r="D2" s="1" t="s">
        <v>42</v>
      </c>
    </row>
    <row r="3" spans="1:4" x14ac:dyDescent="0.25">
      <c r="A3" s="1" t="s">
        <v>17</v>
      </c>
      <c r="B3" s="1" t="s">
        <v>29</v>
      </c>
      <c r="C3" s="1" t="s">
        <v>1</v>
      </c>
      <c r="D3" s="1" t="s">
        <v>2</v>
      </c>
    </row>
    <row r="4" spans="1:4" x14ac:dyDescent="0.25">
      <c r="A4" s="1" t="s">
        <v>16</v>
      </c>
      <c r="B4" s="1" t="s">
        <v>30</v>
      </c>
      <c r="C4" s="1" t="s">
        <v>3</v>
      </c>
      <c r="D4" s="1" t="s">
        <v>4</v>
      </c>
    </row>
    <row r="5" spans="1:4" x14ac:dyDescent="0.25">
      <c r="A5" s="1" t="s">
        <v>15</v>
      </c>
      <c r="B5" s="1" t="s">
        <v>41</v>
      </c>
      <c r="C5" s="1" t="s">
        <v>6</v>
      </c>
      <c r="D5" s="1" t="s">
        <v>2</v>
      </c>
    </row>
    <row r="6" spans="1:4" x14ac:dyDescent="0.25">
      <c r="A6" s="1" t="s">
        <v>18</v>
      </c>
      <c r="B6" s="1" t="s">
        <v>31</v>
      </c>
      <c r="C6" s="1" t="s">
        <v>7</v>
      </c>
      <c r="D6" s="1" t="s">
        <v>8</v>
      </c>
    </row>
    <row r="7" spans="1:4" x14ac:dyDescent="0.25">
      <c r="A7" s="1" t="s">
        <v>19</v>
      </c>
      <c r="B7" s="1" t="s">
        <v>32</v>
      </c>
      <c r="C7" s="1" t="s">
        <v>9</v>
      </c>
      <c r="D7" s="1" t="s">
        <v>2</v>
      </c>
    </row>
    <row r="8" spans="1:4" x14ac:dyDescent="0.25">
      <c r="A8" s="1" t="s">
        <v>20</v>
      </c>
      <c r="B8" s="1" t="s">
        <v>33</v>
      </c>
      <c r="C8" s="1" t="s">
        <v>1</v>
      </c>
      <c r="D8" s="1" t="s">
        <v>10</v>
      </c>
    </row>
    <row r="9" spans="1:4" x14ac:dyDescent="0.25">
      <c r="A9" s="1" t="s">
        <v>21</v>
      </c>
      <c r="B9" s="1" t="s">
        <v>34</v>
      </c>
      <c r="C9" s="1" t="s">
        <v>3</v>
      </c>
      <c r="D9" s="1" t="s">
        <v>2</v>
      </c>
    </row>
    <row r="10" spans="1:4" x14ac:dyDescent="0.25">
      <c r="A10" s="1" t="s">
        <v>22</v>
      </c>
      <c r="B10" s="1" t="s">
        <v>35</v>
      </c>
      <c r="C10" s="1" t="s">
        <v>6</v>
      </c>
      <c r="D10" s="1" t="s">
        <v>4</v>
      </c>
    </row>
    <row r="11" spans="1:4" x14ac:dyDescent="0.25">
      <c r="A11" s="1" t="s">
        <v>23</v>
      </c>
      <c r="B11" s="1" t="s">
        <v>36</v>
      </c>
      <c r="C11" s="1" t="s">
        <v>7</v>
      </c>
      <c r="D11" s="1" t="s">
        <v>8</v>
      </c>
    </row>
    <row r="12" spans="1:4" x14ac:dyDescent="0.25">
      <c r="A12" s="1" t="s">
        <v>24</v>
      </c>
      <c r="B12" s="1" t="s">
        <v>5</v>
      </c>
      <c r="C12" s="1" t="s">
        <v>9</v>
      </c>
      <c r="D12" s="1" t="s">
        <v>10</v>
      </c>
    </row>
    <row r="13" spans="1:4" x14ac:dyDescent="0.25">
      <c r="A13" s="1" t="s">
        <v>25</v>
      </c>
      <c r="B13" s="1" t="s">
        <v>37</v>
      </c>
      <c r="C13" s="1" t="s">
        <v>1</v>
      </c>
      <c r="D13" s="1" t="s">
        <v>11</v>
      </c>
    </row>
    <row r="14" spans="1:4" x14ac:dyDescent="0.25">
      <c r="A14" s="1" t="s">
        <v>26</v>
      </c>
      <c r="B14" s="1" t="s">
        <v>38</v>
      </c>
      <c r="C14" s="1" t="s">
        <v>3</v>
      </c>
      <c r="D14" s="1" t="s">
        <v>11</v>
      </c>
    </row>
    <row r="15" spans="1:4" x14ac:dyDescent="0.25">
      <c r="A15" s="1" t="s">
        <v>27</v>
      </c>
      <c r="B15" s="1" t="s">
        <v>39</v>
      </c>
      <c r="C15" s="1" t="s">
        <v>6</v>
      </c>
      <c r="D15" s="1" t="s">
        <v>2</v>
      </c>
    </row>
    <row r="16" spans="1:4" x14ac:dyDescent="0.25">
      <c r="A16" s="1" t="s">
        <v>28</v>
      </c>
      <c r="B16" s="1" t="s">
        <v>40</v>
      </c>
      <c r="C16" s="1" t="s">
        <v>7</v>
      </c>
      <c r="D16" s="1" t="s">
        <v>4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7"/>
  <sheetViews>
    <sheetView topLeftCell="C1" zoomScale="120" zoomScaleNormal="120" workbookViewId="0">
      <selection activeCell="C3" sqref="C3"/>
    </sheetView>
  </sheetViews>
  <sheetFormatPr defaultRowHeight="15" x14ac:dyDescent="0.25"/>
  <cols>
    <col min="1" max="1" width="6.140625" customWidth="1"/>
    <col min="2" max="2" width="30.5703125" customWidth="1"/>
    <col min="3" max="3" width="25.28515625" customWidth="1"/>
    <col min="4" max="4" width="19.7109375" customWidth="1"/>
    <col min="5" max="5" width="22.140625" customWidth="1"/>
    <col min="6" max="6" width="22.28515625" customWidth="1"/>
  </cols>
  <sheetData>
    <row r="1" spans="1:6" x14ac:dyDescent="0.25">
      <c r="A1" s="16" t="s">
        <v>44</v>
      </c>
      <c r="B1" s="16"/>
      <c r="C1" s="16"/>
      <c r="D1" s="16"/>
      <c r="E1" s="16"/>
      <c r="F1" s="16"/>
    </row>
    <row r="2" spans="1:6" x14ac:dyDescent="0.25">
      <c r="A2" s="2" t="s">
        <v>12</v>
      </c>
      <c r="B2" s="2" t="s">
        <v>46</v>
      </c>
      <c r="C2" s="2" t="s">
        <v>47</v>
      </c>
      <c r="D2" s="2" t="s">
        <v>48</v>
      </c>
      <c r="E2" s="2" t="s">
        <v>0</v>
      </c>
      <c r="F2" s="2" t="s">
        <v>66</v>
      </c>
    </row>
    <row r="3" spans="1:6" x14ac:dyDescent="0.25">
      <c r="A3" s="1">
        <v>1</v>
      </c>
      <c r="B3" s="1" t="s">
        <v>116</v>
      </c>
      <c r="C3" s="10" t="s">
        <v>29</v>
      </c>
      <c r="D3" s="1" t="str">
        <f>INDEX(INDICE_CORRESP1!$A$3:$A$16,MATCH(INDICE_CORRESP2!C3,INDICE_CORRESP1!$B$3:$B$16,0))</f>
        <v>PATRICIA CAMPOS</v>
      </c>
      <c r="E3" s="1" t="str">
        <f>INDEX(INDICE_CORRESP1!$C$3:$C$16,MATCH(INDICE_CORRESP2!C3,INDICE_CORRESP1!$B$3:$B$16,0))</f>
        <v>08h AS 16h</v>
      </c>
      <c r="F3" s="1" t="str">
        <f>INDEX(INDICE_CORRESP1!$D$3:$D$16,MATCH(INDICE_CORRESP2!C3,INDICE_CORRESP1!$B$3:$B$16,0))</f>
        <v>segunda</v>
      </c>
    </row>
    <row r="4" spans="1:6" x14ac:dyDescent="0.25">
      <c r="A4" s="1">
        <v>2</v>
      </c>
      <c r="B4" s="1" t="s">
        <v>117</v>
      </c>
      <c r="C4" s="10" t="s">
        <v>38</v>
      </c>
      <c r="D4" s="1" t="str">
        <f>INDEX(INDICE_CORRESP1!$A$3:$A$16,MATCH(INDICE_CORRESP2!C4,INDICE_CORRESP1!$B$3:$B$16,0))</f>
        <v>LUIZ RAMOS</v>
      </c>
      <c r="E4" s="1" t="str">
        <f>INDEX(INDICE_CORRESP1!$C$3:$C$16,MATCH(INDICE_CORRESP2!C4,INDICE_CORRESP1!$B$3:$B$16,0))</f>
        <v>08h as 17h</v>
      </c>
      <c r="F4" s="1" t="str">
        <f>INDEX(INDICE_CORRESP1!$D$3:$D$16,MATCH(INDICE_CORRESP2!C4,INDICE_CORRESP1!$B$3:$B$16,0))</f>
        <v>sexta</v>
      </c>
    </row>
    <row r="5" spans="1:6" x14ac:dyDescent="0.25">
      <c r="A5" s="1">
        <v>3</v>
      </c>
      <c r="B5" s="1" t="s">
        <v>118</v>
      </c>
      <c r="C5" s="10" t="s">
        <v>39</v>
      </c>
      <c r="D5" s="1" t="str">
        <f>INDEX(INDICE_CORRESP1!$A$3:$A$16,MATCH(INDICE_CORRESP2!C5,INDICE_CORRESP1!$B$3:$B$16,0))</f>
        <v>CARLOS FERREIRA</v>
      </c>
      <c r="E5" s="1" t="str">
        <f>INDEX(INDICE_CORRESP1!$C$3:$C$16,MATCH(INDICE_CORRESP2!C5,INDICE_CORRESP1!$B$3:$B$16,0))</f>
        <v>09h as 18h</v>
      </c>
      <c r="F5" s="1" t="str">
        <f>INDEX(INDICE_CORRESP1!$D$3:$D$16,MATCH(INDICE_CORRESP2!C5,INDICE_CORRESP1!$B$3:$B$16,0))</f>
        <v>segunda</v>
      </c>
    </row>
    <row r="6" spans="1:6" x14ac:dyDescent="0.25">
      <c r="A6" s="1">
        <v>4</v>
      </c>
      <c r="B6" s="1" t="s">
        <v>119</v>
      </c>
      <c r="C6" s="10" t="s">
        <v>37</v>
      </c>
      <c r="D6" s="1" t="str">
        <f>INDEX(INDICE_CORRESP1!$A$3:$A$16,MATCH(INDICE_CORRESP2!C6,INDICE_CORRESP1!$B$3:$B$16,0))</f>
        <v>FABIO REZENDE</v>
      </c>
      <c r="E6" s="1" t="str">
        <f>INDEX(INDICE_CORRESP1!$C$3:$C$16,MATCH(INDICE_CORRESP2!C6,INDICE_CORRESP1!$B$3:$B$16,0))</f>
        <v>08h AS 16h</v>
      </c>
      <c r="F6" s="1" t="str">
        <f>INDEX(INDICE_CORRESP1!$D$3:$D$16,MATCH(INDICE_CORRESP2!C6,INDICE_CORRESP1!$B$3:$B$16,0))</f>
        <v>sexta</v>
      </c>
    </row>
    <row r="7" spans="1:6" x14ac:dyDescent="0.25">
      <c r="A7" s="1">
        <v>5</v>
      </c>
      <c r="B7" s="1" t="s">
        <v>120</v>
      </c>
      <c r="C7" s="10" t="s">
        <v>36</v>
      </c>
      <c r="D7" s="1" t="str">
        <f>INDEX(INDICE_CORRESP1!$A$3:$A$16,MATCH(INDICE_CORRESP2!C7,INDICE_CORRESP1!$B$3:$B$16,0))</f>
        <v>VICTOR SALLES</v>
      </c>
      <c r="E7" s="1" t="str">
        <f>INDEX(INDICE_CORRESP1!$C$3:$C$16,MATCH(INDICE_CORRESP2!C7,INDICE_CORRESP1!$B$3:$B$16,0))</f>
        <v>09h as 17h30</v>
      </c>
      <c r="F7" s="1" t="str">
        <f>INDEX(INDICE_CORRESP1!$D$3:$D$16,MATCH(INDICE_CORRESP2!C7,INDICE_CORRESP1!$B$3:$B$16,0))</f>
        <v>quarta</v>
      </c>
    </row>
    <row r="8" spans="1:6" x14ac:dyDescent="0.25">
      <c r="A8" s="1">
        <v>6</v>
      </c>
      <c r="B8" s="1" t="s">
        <v>121</v>
      </c>
      <c r="C8" s="10" t="s">
        <v>5</v>
      </c>
      <c r="D8" s="1" t="str">
        <f>INDEX(INDICE_CORRESP1!$A$3:$A$16,MATCH(INDICE_CORRESP2!C8,INDICE_CORRESP1!$B$3:$B$16,0))</f>
        <v>VERA VEIGA</v>
      </c>
      <c r="E8" s="1" t="str">
        <f>INDEX(INDICE_CORRESP1!$C$3:$C$16,MATCH(INDICE_CORRESP2!C8,INDICE_CORRESP1!$B$3:$B$16,0))</f>
        <v>08h as 18h</v>
      </c>
      <c r="F8" s="1" t="str">
        <f>INDEX(INDICE_CORRESP1!$D$3:$D$16,MATCH(INDICE_CORRESP2!C8,INDICE_CORRESP1!$B$3:$B$16,0))</f>
        <v>quinta</v>
      </c>
    </row>
    <row r="9" spans="1:6" x14ac:dyDescent="0.25">
      <c r="A9" s="1">
        <v>7</v>
      </c>
      <c r="B9" s="1" t="s">
        <v>122</v>
      </c>
      <c r="C9" s="10" t="s">
        <v>35</v>
      </c>
      <c r="D9" s="1" t="str">
        <f>INDEX(INDICE_CORRESP1!$A$3:$A$16,MATCH(INDICE_CORRESP2!C9,INDICE_CORRESP1!$B$3:$B$16,0))</f>
        <v>SUELI BUENO</v>
      </c>
      <c r="E9" s="1" t="str">
        <f>INDEX(INDICE_CORRESP1!$C$3:$C$16,MATCH(INDICE_CORRESP2!C9,INDICE_CORRESP1!$B$3:$B$16,0))</f>
        <v>09h as 18h</v>
      </c>
      <c r="F9" s="1" t="str">
        <f>INDEX(INDICE_CORRESP1!$D$3:$D$16,MATCH(INDICE_CORRESP2!C9,INDICE_CORRESP1!$B$3:$B$16,0))</f>
        <v>terça</v>
      </c>
    </row>
    <row r="10" spans="1:6" x14ac:dyDescent="0.25">
      <c r="A10" s="1">
        <v>8</v>
      </c>
      <c r="B10" s="1" t="s">
        <v>123</v>
      </c>
      <c r="C10" s="10" t="s">
        <v>34</v>
      </c>
      <c r="D10" s="1" t="str">
        <f>INDEX(INDICE_CORRESP1!$A$3:$A$16,MATCH(INDICE_CORRESP2!C10,INDICE_CORRESP1!$B$3:$B$16,0))</f>
        <v>RITA BRANDÃO</v>
      </c>
      <c r="E10" s="1" t="str">
        <f>INDEX(INDICE_CORRESP1!$C$3:$C$16,MATCH(INDICE_CORRESP2!C10,INDICE_CORRESP1!$B$3:$B$16,0))</f>
        <v>08h as 17h</v>
      </c>
      <c r="F10" s="1" t="str">
        <f>INDEX(INDICE_CORRESP1!$D$3:$D$16,MATCH(INDICE_CORRESP2!C10,INDICE_CORRESP1!$B$3:$B$16,0))</f>
        <v>segunda</v>
      </c>
    </row>
    <row r="11" spans="1:6" x14ac:dyDescent="0.25">
      <c r="A11" s="1">
        <v>9</v>
      </c>
      <c r="B11" s="1" t="s">
        <v>124</v>
      </c>
      <c r="C11" s="10" t="s">
        <v>37</v>
      </c>
      <c r="D11" s="1" t="str">
        <f>INDEX(INDICE_CORRESP1!$A$3:$A$16,MATCH(INDICE_CORRESP2!C11,INDICE_CORRESP1!$B$3:$B$16,0))</f>
        <v>FABIO REZENDE</v>
      </c>
      <c r="E11" s="1" t="str">
        <f>INDEX(INDICE_CORRESP1!$C$3:$C$16,MATCH(INDICE_CORRESP2!C11,INDICE_CORRESP1!$B$3:$B$16,0))</f>
        <v>08h AS 16h</v>
      </c>
      <c r="F11" s="1" t="str">
        <f>INDEX(INDICE_CORRESP1!$D$3:$D$16,MATCH(INDICE_CORRESP2!C11,INDICE_CORRESP1!$B$3:$B$16,0))</f>
        <v>sexta</v>
      </c>
    </row>
    <row r="13" spans="1:6" x14ac:dyDescent="0.25">
      <c r="A13" s="17" t="s">
        <v>49</v>
      </c>
      <c r="B13" s="17"/>
      <c r="C13" s="17"/>
      <c r="D13" s="17"/>
      <c r="E13" s="17"/>
      <c r="F13" s="17"/>
    </row>
    <row r="14" spans="1:6" x14ac:dyDescent="0.25">
      <c r="A14" s="17"/>
      <c r="B14" s="17"/>
      <c r="C14" s="17"/>
      <c r="D14" s="17"/>
      <c r="E14" s="17"/>
      <c r="F14" s="17"/>
    </row>
    <row r="16" spans="1:6" ht="15" customHeight="1" x14ac:dyDescent="0.25">
      <c r="A16" s="18" t="s">
        <v>67</v>
      </c>
      <c r="B16" s="18"/>
      <c r="C16" s="18"/>
      <c r="D16" s="18"/>
      <c r="E16" s="18"/>
      <c r="F16" s="18"/>
    </row>
    <row r="17" spans="1:6" x14ac:dyDescent="0.25">
      <c r="A17" s="9"/>
      <c r="B17" s="9"/>
      <c r="C17" s="9"/>
      <c r="D17" s="9"/>
      <c r="E17" s="9"/>
      <c r="F17" s="9"/>
    </row>
  </sheetData>
  <mergeCells count="3">
    <mergeCell ref="A1:F1"/>
    <mergeCell ref="A13:F14"/>
    <mergeCell ref="A16:F16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3194BF-A2CC-4112-A7D4-C9A74915654D}">
          <x14:formula1>
            <xm:f>INDICE_CORRESP1!$B$3:$B$16</xm:f>
          </x14:formula1>
          <xm:sqref>C3:C11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C3F9E-8CA8-469F-9E60-4F289F7D2878}">
  <sheetPr codeName="Planilha5"/>
  <dimension ref="A1:B23"/>
  <sheetViews>
    <sheetView workbookViewId="0">
      <selection activeCell="A5" sqref="A5:B5"/>
    </sheetView>
  </sheetViews>
  <sheetFormatPr defaultRowHeight="15" x14ac:dyDescent="0.25"/>
  <cols>
    <col min="1" max="1" width="27.28515625" customWidth="1"/>
    <col min="2" max="2" width="27.5703125" customWidth="1"/>
  </cols>
  <sheetData>
    <row r="1" spans="1:2" x14ac:dyDescent="0.25">
      <c r="A1" s="1" t="s">
        <v>68</v>
      </c>
      <c r="B1" s="1" t="s">
        <v>69</v>
      </c>
    </row>
    <row r="2" spans="1:2" x14ac:dyDescent="0.25">
      <c r="A2" s="1" t="s">
        <v>70</v>
      </c>
      <c r="B2" s="1" t="s">
        <v>93</v>
      </c>
    </row>
    <row r="3" spans="1:2" x14ac:dyDescent="0.25">
      <c r="A3" s="1" t="s">
        <v>71</v>
      </c>
      <c r="B3" s="1" t="s">
        <v>94</v>
      </c>
    </row>
    <row r="4" spans="1:2" x14ac:dyDescent="0.25">
      <c r="A4" s="1" t="s">
        <v>72</v>
      </c>
      <c r="B4" s="1" t="s">
        <v>33</v>
      </c>
    </row>
    <row r="5" spans="1:2" x14ac:dyDescent="0.25">
      <c r="A5" s="1" t="s">
        <v>73</v>
      </c>
      <c r="B5" s="1" t="s">
        <v>95</v>
      </c>
    </row>
    <row r="6" spans="1:2" x14ac:dyDescent="0.25">
      <c r="A6" s="1" t="s">
        <v>74</v>
      </c>
      <c r="B6" s="1" t="s">
        <v>96</v>
      </c>
    </row>
    <row r="7" spans="1:2" x14ac:dyDescent="0.25">
      <c r="A7" s="1" t="s">
        <v>75</v>
      </c>
      <c r="B7" s="1" t="s">
        <v>97</v>
      </c>
    </row>
    <row r="8" spans="1:2" x14ac:dyDescent="0.25">
      <c r="A8" s="1" t="s">
        <v>76</v>
      </c>
      <c r="B8" s="1" t="s">
        <v>98</v>
      </c>
    </row>
    <row r="9" spans="1:2" x14ac:dyDescent="0.25">
      <c r="A9" s="1" t="s">
        <v>77</v>
      </c>
      <c r="B9" s="1" t="s">
        <v>99</v>
      </c>
    </row>
    <row r="10" spans="1:2" x14ac:dyDescent="0.25">
      <c r="A10" s="1" t="s">
        <v>78</v>
      </c>
      <c r="B10" s="1" t="s">
        <v>100</v>
      </c>
    </row>
    <row r="11" spans="1:2" x14ac:dyDescent="0.25">
      <c r="A11" s="1" t="s">
        <v>79</v>
      </c>
      <c r="B11" s="1" t="s">
        <v>101</v>
      </c>
    </row>
    <row r="12" spans="1:2" x14ac:dyDescent="0.25">
      <c r="A12" s="1" t="s">
        <v>80</v>
      </c>
      <c r="B12" s="1" t="s">
        <v>102</v>
      </c>
    </row>
    <row r="13" spans="1:2" x14ac:dyDescent="0.25">
      <c r="A13" s="1" t="s">
        <v>81</v>
      </c>
      <c r="B13" s="1" t="s">
        <v>103</v>
      </c>
    </row>
    <row r="14" spans="1:2" x14ac:dyDescent="0.25">
      <c r="A14" s="1" t="s">
        <v>82</v>
      </c>
      <c r="B14" s="1" t="s">
        <v>104</v>
      </c>
    </row>
    <row r="15" spans="1:2" x14ac:dyDescent="0.25">
      <c r="A15" s="1" t="s">
        <v>83</v>
      </c>
      <c r="B15" s="1" t="s">
        <v>105</v>
      </c>
    </row>
    <row r="16" spans="1:2" x14ac:dyDescent="0.25">
      <c r="A16" s="1" t="s">
        <v>84</v>
      </c>
      <c r="B16" s="1" t="s">
        <v>106</v>
      </c>
    </row>
    <row r="17" spans="1:2" x14ac:dyDescent="0.25">
      <c r="A17" s="1" t="s">
        <v>85</v>
      </c>
      <c r="B17" s="1" t="s">
        <v>107</v>
      </c>
    </row>
    <row r="18" spans="1:2" x14ac:dyDescent="0.25">
      <c r="A18" s="1" t="s">
        <v>86</v>
      </c>
      <c r="B18" s="1" t="s">
        <v>108</v>
      </c>
    </row>
    <row r="19" spans="1:2" x14ac:dyDescent="0.25">
      <c r="A19" s="1" t="s">
        <v>87</v>
      </c>
      <c r="B19" s="1" t="s">
        <v>109</v>
      </c>
    </row>
    <row r="20" spans="1:2" x14ac:dyDescent="0.25">
      <c r="A20" s="1" t="s">
        <v>88</v>
      </c>
      <c r="B20" s="1" t="s">
        <v>110</v>
      </c>
    </row>
    <row r="21" spans="1:2" x14ac:dyDescent="0.25">
      <c r="A21" s="1" t="s">
        <v>89</v>
      </c>
      <c r="B21" s="1" t="s">
        <v>111</v>
      </c>
    </row>
    <row r="22" spans="1:2" x14ac:dyDescent="0.25">
      <c r="A22" s="1" t="s">
        <v>90</v>
      </c>
      <c r="B22" s="1" t="s">
        <v>112</v>
      </c>
    </row>
    <row r="23" spans="1:2" x14ac:dyDescent="0.25">
      <c r="A23" s="1" t="s">
        <v>91</v>
      </c>
      <c r="B23" s="1" t="s">
        <v>92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J24"/>
  <sheetViews>
    <sheetView showGridLines="0" zoomScaleNormal="100" workbookViewId="0">
      <selection activeCell="I14" sqref="I14"/>
    </sheetView>
  </sheetViews>
  <sheetFormatPr defaultRowHeight="15" x14ac:dyDescent="0.25"/>
  <cols>
    <col min="7" max="7" width="10.85546875" customWidth="1"/>
    <col min="8" max="8" width="4.42578125" customWidth="1"/>
    <col min="9" max="9" width="27.85546875" customWidth="1"/>
  </cols>
  <sheetData>
    <row r="2" spans="5:10" x14ac:dyDescent="0.25">
      <c r="E2" s="4"/>
      <c r="F2" s="4"/>
      <c r="G2" s="4"/>
      <c r="H2" s="4"/>
      <c r="I2" s="4"/>
      <c r="J2" s="4"/>
    </row>
    <row r="3" spans="5:10" x14ac:dyDescent="0.25">
      <c r="E3" s="3"/>
      <c r="F3" s="3"/>
      <c r="G3" s="3"/>
      <c r="H3" s="3"/>
      <c r="I3" s="3"/>
      <c r="J3" s="3"/>
    </row>
    <row r="4" spans="5:10" x14ac:dyDescent="0.25">
      <c r="E4" s="3"/>
      <c r="F4" s="20" t="s">
        <v>48</v>
      </c>
      <c r="G4" s="20"/>
      <c r="H4" s="3"/>
      <c r="I4" s="6"/>
      <c r="J4" s="3"/>
    </row>
    <row r="5" spans="5:10" x14ac:dyDescent="0.25">
      <c r="E5" s="3"/>
      <c r="F5" s="5"/>
      <c r="G5" s="5"/>
      <c r="H5" s="3"/>
      <c r="I5" s="3"/>
      <c r="J5" s="3"/>
    </row>
    <row r="6" spans="5:10" x14ac:dyDescent="0.25">
      <c r="E6" s="3"/>
      <c r="F6" s="20" t="s">
        <v>14</v>
      </c>
      <c r="G6" s="20"/>
      <c r="H6" s="3"/>
      <c r="I6" s="25"/>
      <c r="J6" s="3"/>
    </row>
    <row r="7" spans="5:10" x14ac:dyDescent="0.25">
      <c r="E7" s="3"/>
      <c r="F7" s="5"/>
      <c r="G7" s="5"/>
      <c r="H7" s="3"/>
      <c r="I7" s="3"/>
      <c r="J7" s="3"/>
    </row>
    <row r="8" spans="5:10" x14ac:dyDescent="0.25">
      <c r="E8" s="3"/>
      <c r="F8" s="20" t="s">
        <v>50</v>
      </c>
      <c r="G8" s="20"/>
      <c r="H8" s="3"/>
      <c r="I8" s="12"/>
      <c r="J8" s="3"/>
    </row>
    <row r="9" spans="5:10" x14ac:dyDescent="0.25">
      <c r="E9" s="3"/>
      <c r="F9" s="5"/>
      <c r="G9" s="5"/>
      <c r="H9" s="3"/>
      <c r="I9" s="3"/>
      <c r="J9" s="3"/>
    </row>
    <row r="10" spans="5:10" x14ac:dyDescent="0.25">
      <c r="E10" s="3"/>
      <c r="F10" s="20" t="s">
        <v>51</v>
      </c>
      <c r="G10" s="20"/>
      <c r="H10" s="3"/>
      <c r="I10" s="13"/>
      <c r="J10" s="3"/>
    </row>
    <row r="11" spans="5:10" x14ac:dyDescent="0.25">
      <c r="E11" s="3"/>
      <c r="F11" s="5"/>
      <c r="G11" s="5"/>
      <c r="H11" s="3"/>
      <c r="I11" s="3"/>
      <c r="J11" s="3"/>
    </row>
    <row r="12" spans="5:10" x14ac:dyDescent="0.25">
      <c r="E12" s="3"/>
      <c r="F12" s="20" t="s">
        <v>52</v>
      </c>
      <c r="G12" s="20"/>
      <c r="H12" s="3"/>
      <c r="I12" s="14"/>
      <c r="J12" s="3"/>
    </row>
    <row r="13" spans="5:10" x14ac:dyDescent="0.25">
      <c r="E13" s="3"/>
      <c r="F13" s="5"/>
      <c r="G13" s="5"/>
      <c r="H13" s="3"/>
      <c r="I13" s="3"/>
      <c r="J13" s="3"/>
    </row>
    <row r="14" spans="5:10" x14ac:dyDescent="0.25">
      <c r="E14" s="3"/>
      <c r="F14" s="20" t="s">
        <v>53</v>
      </c>
      <c r="G14" s="20"/>
      <c r="H14" s="3"/>
      <c r="I14" s="14"/>
      <c r="J14" s="3"/>
    </row>
    <row r="15" spans="5:10" x14ac:dyDescent="0.25">
      <c r="E15" s="3"/>
      <c r="F15" s="5"/>
      <c r="G15" s="5"/>
      <c r="H15" s="3"/>
      <c r="I15" s="3"/>
      <c r="J15" s="3"/>
    </row>
    <row r="16" spans="5:10" x14ac:dyDescent="0.25">
      <c r="E16" s="3"/>
      <c r="F16" s="5"/>
      <c r="G16" s="5"/>
      <c r="H16" s="3"/>
      <c r="I16" s="3"/>
      <c r="J16" s="3"/>
    </row>
    <row r="17" spans="1:10" x14ac:dyDescent="0.25">
      <c r="E17" s="3"/>
      <c r="F17" s="5"/>
      <c r="G17" s="5"/>
      <c r="H17" s="3"/>
      <c r="I17" s="3"/>
      <c r="J17" s="3"/>
    </row>
    <row r="18" spans="1:10" x14ac:dyDescent="0.25">
      <c r="E18" s="4"/>
      <c r="F18" s="4"/>
      <c r="G18" s="4"/>
      <c r="H18" s="4"/>
      <c r="I18" s="4"/>
      <c r="J18" s="4"/>
    </row>
    <row r="19" spans="1:10" x14ac:dyDescent="0.25">
      <c r="E19" s="11"/>
      <c r="F19" s="11"/>
      <c r="G19" s="11"/>
      <c r="H19" s="11"/>
      <c r="I19" s="11"/>
      <c r="J19" s="11"/>
    </row>
    <row r="20" spans="1:10" x14ac:dyDescent="0.25">
      <c r="A20" t="s">
        <v>115</v>
      </c>
      <c r="E20" s="11"/>
      <c r="F20" s="11"/>
      <c r="G20" s="11"/>
      <c r="H20" s="11"/>
      <c r="I20" s="11"/>
      <c r="J20" s="11"/>
    </row>
    <row r="21" spans="1:10" x14ac:dyDescent="0.25">
      <c r="A21" t="s">
        <v>113</v>
      </c>
    </row>
    <row r="22" spans="1:10" x14ac:dyDescent="0.25">
      <c r="A22" t="s">
        <v>54</v>
      </c>
    </row>
    <row r="23" spans="1:10" ht="15" customHeight="1" x14ac:dyDescent="0.25">
      <c r="A23" s="19" t="s">
        <v>61</v>
      </c>
      <c r="B23" s="19"/>
      <c r="C23" s="19"/>
      <c r="D23" s="19"/>
      <c r="E23" s="19"/>
      <c r="F23" s="19"/>
      <c r="G23" s="19"/>
      <c r="H23" s="19"/>
      <c r="I23" s="19"/>
    </row>
    <row r="24" spans="1:10" x14ac:dyDescent="0.25">
      <c r="A24" s="19"/>
      <c r="B24" s="19"/>
      <c r="C24" s="19"/>
      <c r="D24" s="19"/>
      <c r="E24" s="19"/>
      <c r="F24" s="19"/>
      <c r="G24" s="19"/>
      <c r="H24" s="19"/>
      <c r="I24" s="19"/>
    </row>
  </sheetData>
  <mergeCells count="7">
    <mergeCell ref="A23:I24"/>
    <mergeCell ref="F4:G4"/>
    <mergeCell ref="F6:G6"/>
    <mergeCell ref="F8:G8"/>
    <mergeCell ref="F10:G10"/>
    <mergeCell ref="F12:G12"/>
    <mergeCell ref="F14:G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NSS">
                <anchor moveWithCells="1" sizeWithCells="1">
                  <from>
                    <xdr:col>11</xdr:col>
                    <xdr:colOff>28575</xdr:colOff>
                    <xdr:row>6</xdr:row>
                    <xdr:rowOff>104775</xdr:rowOff>
                  </from>
                  <to>
                    <xdr:col>12</xdr:col>
                    <xdr:colOff>95250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IR">
                <anchor moveWithCells="1" sizeWithCells="1">
                  <from>
                    <xdr:col>11</xdr:col>
                    <xdr:colOff>38100</xdr:colOff>
                    <xdr:row>8</xdr:row>
                    <xdr:rowOff>123825</xdr:rowOff>
                  </from>
                  <to>
                    <xdr:col>12</xdr:col>
                    <xdr:colOff>104775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ALÁRIO_LÍQUIDO">
                <anchor moveWithCells="1" sizeWithCells="1">
                  <from>
                    <xdr:col>10</xdr:col>
                    <xdr:colOff>323850</xdr:colOff>
                    <xdr:row>10</xdr:row>
                    <xdr:rowOff>114300</xdr:rowOff>
                  </from>
                  <to>
                    <xdr:col>12</xdr:col>
                    <xdr:colOff>361950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89970C-B0D4-467F-8227-CC2321224BE5}">
          <x14:formula1>
            <xm:f>'LISTA DE PROFESSORES E ÁREAS '!$A$2:$A$23</xm:f>
          </x14:formula1>
          <xm:sqref>I4</xm:sqref>
        </x14:dataValidation>
        <x14:dataValidation type="list" allowBlank="1" showInputMessage="1" showErrorMessage="1" xr:uid="{DCA80C2D-DD02-4C40-9C5E-9544C40B29C9}">
          <x14:formula1>
            <xm:f>'LISTA DE PROFESSORES E ÁREAS '!$B$2:$B$23</xm:f>
          </x14:formula1>
          <xm:sqref>I6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F26"/>
  <sheetViews>
    <sheetView tabSelected="1" zoomScale="80" zoomScaleNormal="80" workbookViewId="0">
      <selection activeCell="F2" sqref="F2"/>
    </sheetView>
  </sheetViews>
  <sheetFormatPr defaultRowHeight="15" x14ac:dyDescent="0.25"/>
  <cols>
    <col min="1" max="1" width="18" customWidth="1"/>
    <col min="2" max="2" width="18.28515625" customWidth="1"/>
    <col min="3" max="3" width="18.5703125" customWidth="1"/>
    <col min="4" max="4" width="17.5703125" customWidth="1"/>
    <col min="5" max="5" width="13.5703125" customWidth="1"/>
    <col min="6" max="6" width="16.42578125" customWidth="1"/>
  </cols>
  <sheetData>
    <row r="1" spans="1:6" x14ac:dyDescent="0.25">
      <c r="A1" s="7" t="s">
        <v>55</v>
      </c>
      <c r="B1" s="7" t="s">
        <v>14</v>
      </c>
      <c r="C1" s="7" t="s">
        <v>50</v>
      </c>
      <c r="D1" s="7" t="s">
        <v>56</v>
      </c>
      <c r="E1" s="7" t="s">
        <v>57</v>
      </c>
      <c r="F1" s="7" t="s">
        <v>53</v>
      </c>
    </row>
    <row r="2" spans="1:6" x14ac:dyDescent="0.25">
      <c r="A2" s="6"/>
      <c r="B2" s="25"/>
      <c r="C2" s="12">
        <v>1000</v>
      </c>
      <c r="D2" s="13">
        <f>IF($I$8=BASE_DADOS_1!$C$3,FORMULARIO_DADOS1!$I$8*11%,0)</f>
        <v>0</v>
      </c>
      <c r="E2" s="14">
        <f>IF($I$8=BASE_DADOS_1!$C$3,FORMULARIO_DADOS1!$I$8*12.5%,0)</f>
        <v>0</v>
      </c>
      <c r="F2" s="14"/>
    </row>
    <row r="3" spans="1:6" x14ac:dyDescent="0.25">
      <c r="A3" s="6" t="s">
        <v>70</v>
      </c>
      <c r="B3" s="25"/>
      <c r="C3" s="12">
        <v>1000</v>
      </c>
      <c r="D3" s="13">
        <f>IF($I$8=BASE_DADOS_1!$C$4,FORMULARIO_DADOS1!$I$8*11%,0)</f>
        <v>0</v>
      </c>
      <c r="E3" s="14">
        <f>IF($I$8=BASE_DADOS_1!$C$4,FORMULARIO_DADOS1!$I$8*12.5%,0)</f>
        <v>0</v>
      </c>
      <c r="F3" s="14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"/>
      <c r="B7" s="1"/>
      <c r="C7" s="1"/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x14ac:dyDescent="0.25">
      <c r="A12" s="1"/>
      <c r="B12" s="1"/>
      <c r="C12" s="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"/>
      <c r="B15" s="1"/>
      <c r="C15" s="1"/>
      <c r="D15" s="1"/>
      <c r="E15" s="1"/>
      <c r="F15" s="1"/>
    </row>
    <row r="16" spans="1:6" x14ac:dyDescent="0.25">
      <c r="A16" s="1"/>
      <c r="B16" s="1"/>
      <c r="C16" s="1"/>
      <c r="D16" s="1"/>
      <c r="E16" s="1"/>
      <c r="F16" s="1"/>
    </row>
    <row r="17" spans="1:6" x14ac:dyDescent="0.25">
      <c r="A17" s="1"/>
      <c r="B17" s="1"/>
      <c r="C17" s="1"/>
      <c r="D17" s="1"/>
      <c r="E17" s="1"/>
      <c r="F17" s="1"/>
    </row>
    <row r="18" spans="1:6" x14ac:dyDescent="0.25">
      <c r="A18" s="1"/>
      <c r="B18" s="1"/>
      <c r="C18" s="1"/>
      <c r="D18" s="1"/>
      <c r="E18" s="1"/>
      <c r="F18" s="1"/>
    </row>
    <row r="19" spans="1:6" x14ac:dyDescent="0.25">
      <c r="A19" s="1"/>
      <c r="B19" s="1"/>
      <c r="C19" s="1"/>
      <c r="D19" s="1"/>
      <c r="E19" s="1"/>
      <c r="F19" s="1"/>
    </row>
    <row r="20" spans="1:6" x14ac:dyDescent="0.25">
      <c r="A20" s="1"/>
      <c r="B20" s="1"/>
      <c r="C20" s="1"/>
      <c r="D20" s="1"/>
      <c r="E20" s="1"/>
      <c r="F20" s="1"/>
    </row>
    <row r="21" spans="1:6" x14ac:dyDescent="0.25">
      <c r="A21" s="1"/>
      <c r="B21" s="1"/>
      <c r="C21" s="1"/>
      <c r="D21" s="1"/>
      <c r="E21" s="1"/>
      <c r="F21" s="1"/>
    </row>
    <row r="22" spans="1:6" x14ac:dyDescent="0.25">
      <c r="A22" s="1"/>
      <c r="B22" s="1"/>
      <c r="C22" s="1"/>
      <c r="D22" s="1"/>
      <c r="E22" s="1"/>
      <c r="F22" s="1"/>
    </row>
    <row r="23" spans="1:6" x14ac:dyDescent="0.25">
      <c r="A23" s="1"/>
      <c r="B23" s="1" t="s">
        <v>65</v>
      </c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</sheetData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3B318C-FD99-4203-8A87-12043C943774}">
          <x14:formula1>
            <xm:f>'LISTA DE PROFESSORES E ÁREAS '!$A$2:$A$23</xm:f>
          </x14:formula1>
          <xm:sqref>A2:A3</xm:sqref>
        </x14:dataValidation>
        <x14:dataValidation type="list" allowBlank="1" showInputMessage="1" showErrorMessage="1" xr:uid="{295CB4B0-54F7-4F12-BB64-04A7C2F388CE}">
          <x14:formula1>
            <xm:f>'LISTA DE PROFESSORES E ÁREAS '!$B$2:$B$23</xm:f>
          </x14:formula1>
          <xm:sqref>B2:B3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20"/>
  <sheetViews>
    <sheetView zoomScale="90" zoomScaleNormal="90" workbookViewId="0">
      <selection activeCell="B3" sqref="B3"/>
    </sheetView>
  </sheetViews>
  <sheetFormatPr defaultRowHeight="15" x14ac:dyDescent="0.25"/>
  <cols>
    <col min="1" max="1" width="36.28515625" customWidth="1"/>
    <col min="2" max="2" width="30.140625" customWidth="1"/>
    <col min="3" max="3" width="26" customWidth="1"/>
    <col min="4" max="4" width="33.140625" customWidth="1"/>
    <col min="5" max="5" width="13.140625" customWidth="1"/>
    <col min="6" max="6" width="12.42578125" customWidth="1"/>
    <col min="7" max="7" width="20.140625" customWidth="1"/>
    <col min="8" max="8" width="16.42578125" customWidth="1"/>
  </cols>
  <sheetData>
    <row r="1" spans="1:8" x14ac:dyDescent="0.25">
      <c r="E1" s="23" t="s">
        <v>58</v>
      </c>
      <c r="F1" s="23"/>
      <c r="G1" s="23"/>
    </row>
    <row r="3" spans="1:8" x14ac:dyDescent="0.25">
      <c r="E3" s="24" t="s">
        <v>59</v>
      </c>
      <c r="F3" s="23"/>
      <c r="G3" s="23"/>
      <c r="H3" s="23"/>
    </row>
    <row r="5" spans="1:8" x14ac:dyDescent="0.25">
      <c r="A5" s="15" t="s">
        <v>45</v>
      </c>
      <c r="B5" s="15"/>
      <c r="C5" s="15"/>
      <c r="D5" s="15"/>
      <c r="E5" s="21" t="s">
        <v>60</v>
      </c>
      <c r="F5" s="22"/>
      <c r="G5" s="22"/>
      <c r="H5" s="22"/>
    </row>
    <row r="6" spans="1:8" x14ac:dyDescent="0.25">
      <c r="A6" s="1" t="s">
        <v>13</v>
      </c>
      <c r="B6" s="1" t="s">
        <v>47</v>
      </c>
      <c r="C6" s="1" t="s">
        <v>43</v>
      </c>
      <c r="D6" s="1" t="s">
        <v>42</v>
      </c>
      <c r="E6" s="21"/>
      <c r="F6" s="22"/>
      <c r="G6" s="22"/>
      <c r="H6" s="22"/>
    </row>
    <row r="7" spans="1:8" x14ac:dyDescent="0.25">
      <c r="A7" s="1" t="s">
        <v>17</v>
      </c>
      <c r="B7" s="1" t="s">
        <v>29</v>
      </c>
      <c r="C7" s="1" t="s">
        <v>1</v>
      </c>
      <c r="D7" s="1" t="s">
        <v>2</v>
      </c>
      <c r="E7" s="21"/>
      <c r="F7" s="22"/>
      <c r="G7" s="22"/>
      <c r="H7" s="22"/>
    </row>
    <row r="8" spans="1:8" x14ac:dyDescent="0.25">
      <c r="A8" s="1" t="s">
        <v>16</v>
      </c>
      <c r="B8" s="1" t="s">
        <v>30</v>
      </c>
      <c r="C8" s="1" t="s">
        <v>3</v>
      </c>
      <c r="D8" s="1" t="s">
        <v>4</v>
      </c>
    </row>
    <row r="9" spans="1:8" x14ac:dyDescent="0.25">
      <c r="A9" s="1" t="s">
        <v>15</v>
      </c>
      <c r="B9" s="1" t="s">
        <v>41</v>
      </c>
      <c r="C9" s="1" t="s">
        <v>6</v>
      </c>
      <c r="D9" s="1" t="s">
        <v>2</v>
      </c>
    </row>
    <row r="10" spans="1:8" x14ac:dyDescent="0.25">
      <c r="A10" s="1" t="s">
        <v>18</v>
      </c>
      <c r="B10" s="1" t="s">
        <v>31</v>
      </c>
      <c r="C10" s="1" t="s">
        <v>7</v>
      </c>
      <c r="D10" s="1" t="s">
        <v>8</v>
      </c>
    </row>
    <row r="11" spans="1:8" x14ac:dyDescent="0.25">
      <c r="A11" s="1" t="s">
        <v>19</v>
      </c>
      <c r="B11" s="1" t="s">
        <v>32</v>
      </c>
      <c r="C11" s="1" t="s">
        <v>9</v>
      </c>
      <c r="D11" s="1" t="s">
        <v>2</v>
      </c>
    </row>
    <row r="12" spans="1:8" x14ac:dyDescent="0.25">
      <c r="A12" s="1" t="s">
        <v>20</v>
      </c>
      <c r="B12" s="1" t="s">
        <v>33</v>
      </c>
      <c r="C12" s="1" t="s">
        <v>1</v>
      </c>
      <c r="D12" s="1" t="s">
        <v>10</v>
      </c>
    </row>
    <row r="13" spans="1:8" x14ac:dyDescent="0.25">
      <c r="A13" s="1" t="s">
        <v>21</v>
      </c>
      <c r="B13" s="1" t="s">
        <v>34</v>
      </c>
      <c r="C13" s="1" t="s">
        <v>3</v>
      </c>
      <c r="D13" s="1" t="s">
        <v>2</v>
      </c>
    </row>
    <row r="14" spans="1:8" x14ac:dyDescent="0.25">
      <c r="A14" s="1" t="s">
        <v>22</v>
      </c>
      <c r="B14" s="1" t="s">
        <v>35</v>
      </c>
      <c r="C14" s="1" t="s">
        <v>6</v>
      </c>
      <c r="D14" s="1" t="s">
        <v>4</v>
      </c>
    </row>
    <row r="15" spans="1:8" x14ac:dyDescent="0.25">
      <c r="A15" s="1" t="s">
        <v>23</v>
      </c>
      <c r="B15" s="1" t="s">
        <v>36</v>
      </c>
      <c r="C15" s="1" t="s">
        <v>7</v>
      </c>
      <c r="D15" s="1" t="s">
        <v>8</v>
      </c>
    </row>
    <row r="16" spans="1:8" x14ac:dyDescent="0.25">
      <c r="A16" s="1" t="s">
        <v>24</v>
      </c>
      <c r="B16" s="1" t="s">
        <v>5</v>
      </c>
      <c r="C16" s="1" t="s">
        <v>9</v>
      </c>
      <c r="D16" s="1" t="s">
        <v>10</v>
      </c>
    </row>
    <row r="17" spans="1:4" x14ac:dyDescent="0.25">
      <c r="A17" s="1" t="s">
        <v>25</v>
      </c>
      <c r="B17" s="1" t="s">
        <v>37</v>
      </c>
      <c r="C17" s="1" t="s">
        <v>1</v>
      </c>
      <c r="D17" s="1" t="s">
        <v>11</v>
      </c>
    </row>
    <row r="18" spans="1:4" x14ac:dyDescent="0.25">
      <c r="A18" s="1" t="s">
        <v>26</v>
      </c>
      <c r="B18" s="1" t="s">
        <v>38</v>
      </c>
      <c r="C18" s="1" t="s">
        <v>3</v>
      </c>
      <c r="D18" s="1" t="s">
        <v>11</v>
      </c>
    </row>
    <row r="19" spans="1:4" x14ac:dyDescent="0.25">
      <c r="A19" s="1" t="s">
        <v>27</v>
      </c>
      <c r="B19" s="1" t="s">
        <v>39</v>
      </c>
      <c r="C19" s="1" t="s">
        <v>6</v>
      </c>
      <c r="D19" s="1" t="s">
        <v>2</v>
      </c>
    </row>
    <row r="20" spans="1:4" x14ac:dyDescent="0.25">
      <c r="A20" s="1" t="s">
        <v>28</v>
      </c>
      <c r="B20" s="1" t="s">
        <v>40</v>
      </c>
      <c r="C20" s="1" t="s">
        <v>7</v>
      </c>
      <c r="D20" s="1" t="s">
        <v>4</v>
      </c>
    </row>
  </sheetData>
  <autoFilter ref="A6:D20" xr:uid="{00000000-0001-0000-0400-000000000000}"/>
  <mergeCells count="4">
    <mergeCell ref="A5:D5"/>
    <mergeCell ref="E5:H7"/>
    <mergeCell ref="E1:G1"/>
    <mergeCell ref="E3:H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EGUNDA">
                <anchor>
                  <from>
                    <xdr:col>0</xdr:col>
                    <xdr:colOff>314325</xdr:colOff>
                    <xdr:row>0</xdr:row>
                    <xdr:rowOff>171450</xdr:rowOff>
                  </from>
                  <to>
                    <xdr:col>0</xdr:col>
                    <xdr:colOff>1152525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TERÇA">
                <anchor>
                  <from>
                    <xdr:col>0</xdr:col>
                    <xdr:colOff>1619250</xdr:colOff>
                    <xdr:row>0</xdr:row>
                    <xdr:rowOff>171450</xdr:rowOff>
                  </from>
                  <to>
                    <xdr:col>1</xdr:col>
                    <xdr:colOff>38100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QUARTA">
                <anchor>
                  <from>
                    <xdr:col>1</xdr:col>
                    <xdr:colOff>523875</xdr:colOff>
                    <xdr:row>0</xdr:row>
                    <xdr:rowOff>180975</xdr:rowOff>
                  </from>
                  <to>
                    <xdr:col>1</xdr:col>
                    <xdr:colOff>1362075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QUINTA">
                <anchor>
                  <from>
                    <xdr:col>1</xdr:col>
                    <xdr:colOff>1952625</xdr:colOff>
                    <xdr:row>0</xdr:row>
                    <xdr:rowOff>180975</xdr:rowOff>
                  </from>
                  <to>
                    <xdr:col>2</xdr:col>
                    <xdr:colOff>781050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SEXTA">
                <anchor>
                  <from>
                    <xdr:col>2</xdr:col>
                    <xdr:colOff>1352550</xdr:colOff>
                    <xdr:row>1</xdr:row>
                    <xdr:rowOff>9525</xdr:rowOff>
                  </from>
                  <to>
                    <xdr:col>3</xdr:col>
                    <xdr:colOff>457200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8" name="Button 9">
              <controlPr defaultSize="0" print="0" autoFill="0" autoPict="0" macro="[0]!TODOS_OS_DIAS">
                <anchor>
                  <from>
                    <xdr:col>3</xdr:col>
                    <xdr:colOff>828675</xdr:colOff>
                    <xdr:row>1</xdr:row>
                    <xdr:rowOff>0</xdr:rowOff>
                  </from>
                  <to>
                    <xdr:col>3</xdr:col>
                    <xdr:colOff>2038350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/>
  <dimension ref="A1:F20"/>
  <sheetViews>
    <sheetView zoomScale="80" zoomScaleNormal="80" workbookViewId="0">
      <selection activeCell="F1" sqref="F1"/>
    </sheetView>
  </sheetViews>
  <sheetFormatPr defaultRowHeight="15" x14ac:dyDescent="0.25"/>
  <cols>
    <col min="5" max="5" width="12.42578125" customWidth="1"/>
  </cols>
  <sheetData>
    <row r="1" spans="1:6" x14ac:dyDescent="0.25">
      <c r="A1">
        <v>1000</v>
      </c>
      <c r="B1">
        <v>1567</v>
      </c>
      <c r="C1">
        <v>1344</v>
      </c>
      <c r="E1" s="1" t="s">
        <v>63</v>
      </c>
      <c r="F1" s="8">
        <v>39301.333333333336</v>
      </c>
    </row>
    <row r="2" spans="1:6" x14ac:dyDescent="0.25">
      <c r="A2">
        <v>2000</v>
      </c>
      <c r="B2">
        <v>3436</v>
      </c>
      <c r="C2">
        <v>6444</v>
      </c>
    </row>
    <row r="3" spans="1:6" x14ac:dyDescent="0.25">
      <c r="A3">
        <v>3000</v>
      </c>
      <c r="B3">
        <v>4242</v>
      </c>
      <c r="C3">
        <v>232</v>
      </c>
    </row>
    <row r="4" spans="1:6" x14ac:dyDescent="0.25">
      <c r="A4">
        <v>4000</v>
      </c>
      <c r="B4">
        <v>7775</v>
      </c>
      <c r="C4">
        <v>2323</v>
      </c>
    </row>
    <row r="5" spans="1:6" x14ac:dyDescent="0.25">
      <c r="A5">
        <v>5000</v>
      </c>
      <c r="B5">
        <v>356</v>
      </c>
      <c r="C5">
        <v>4545</v>
      </c>
    </row>
    <row r="6" spans="1:6" x14ac:dyDescent="0.25">
      <c r="A6">
        <v>6000</v>
      </c>
      <c r="B6">
        <v>4545</v>
      </c>
      <c r="C6">
        <v>656</v>
      </c>
    </row>
    <row r="7" spans="1:6" x14ac:dyDescent="0.25">
      <c r="A7">
        <v>7000</v>
      </c>
      <c r="B7">
        <v>1050</v>
      </c>
      <c r="C7">
        <v>566</v>
      </c>
    </row>
    <row r="8" spans="1:6" x14ac:dyDescent="0.25">
      <c r="A8">
        <v>8000</v>
      </c>
      <c r="B8">
        <v>5666</v>
      </c>
      <c r="C8">
        <v>756</v>
      </c>
    </row>
    <row r="9" spans="1:6" x14ac:dyDescent="0.25">
      <c r="A9">
        <v>9000</v>
      </c>
      <c r="B9">
        <v>1350</v>
      </c>
      <c r="C9">
        <v>6777</v>
      </c>
    </row>
    <row r="10" spans="1:6" x14ac:dyDescent="0.25">
      <c r="A10">
        <v>10000</v>
      </c>
      <c r="B10">
        <v>1500</v>
      </c>
      <c r="C10">
        <v>7774</v>
      </c>
    </row>
    <row r="18" spans="1:1" x14ac:dyDescent="0.25">
      <c r="A18" t="s">
        <v>114</v>
      </c>
    </row>
    <row r="19" spans="1:1" x14ac:dyDescent="0.25">
      <c r="A19" t="s">
        <v>62</v>
      </c>
    </row>
    <row r="20" spans="1:1" x14ac:dyDescent="0.25">
      <c r="A20" t="s">
        <v>64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OMAS">
                <anchor moveWithCells="1" sizeWithCells="1">
                  <from>
                    <xdr:col>6</xdr:col>
                    <xdr:colOff>190500</xdr:colOff>
                    <xdr:row>1</xdr:row>
                    <xdr:rowOff>76200</xdr:rowOff>
                  </from>
                  <to>
                    <xdr:col>7</xdr:col>
                    <xdr:colOff>571500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INDICE_CORRESP1</vt:lpstr>
      <vt:lpstr>INDICE_CORRESP2</vt:lpstr>
      <vt:lpstr>LISTA DE PROFESSORES E ÁREAS </vt:lpstr>
      <vt:lpstr>FORMULARIO_DADOS1</vt:lpstr>
      <vt:lpstr>BASE_DADOS_1</vt:lpstr>
      <vt:lpstr>FILTRO E MACRO</vt:lpstr>
      <vt:lpstr>MACRO CALCULOS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Campos</dc:creator>
  <cp:lastModifiedBy>Prof</cp:lastModifiedBy>
  <dcterms:created xsi:type="dcterms:W3CDTF">2018-06-19T22:20:45Z</dcterms:created>
  <dcterms:modified xsi:type="dcterms:W3CDTF">2024-11-13T23:16:06Z</dcterms:modified>
</cp:coreProperties>
</file>