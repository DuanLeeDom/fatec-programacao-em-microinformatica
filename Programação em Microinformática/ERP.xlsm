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2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trlProps/ctrlProp3.xml" ContentType="application/vnd.ms-excel.controlproperties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ctrlProps/ctrlProp6.xml" ContentType="application/vnd.ms-excel.controlproperties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3.xml" ContentType="application/vnd.openxmlformats-officedocument.drawing+xml"/>
  <Override PartName="/xl/ctrlProps/ctrlProp7.xml" ContentType="application/vnd.ms-excel.controlproperties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trlProps/ctrlProp8.xml" ContentType="application/vnd.ms-excel.controlproperties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trlProps/ctrlProp9.xml" ContentType="application/vnd.ms-excel.controlproperties+xml"/>
  <Override PartName="/xl/drawings/drawing5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00000000-0000-0000-0000-000000000000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https://fatecspgov.sharepoint.com/sites/ERP787/SiteAssets/"/>
    </mc:Choice>
  </mc:AlternateContent>
  <xr:revisionPtr revIDLastSave="122" documentId="14_{92911A5B-8B32-40CE-B384-B45D2435E74E}" xr6:coauthVersionLast="47" xr6:coauthVersionMax="47" xr10:uidLastSave="{6C5577F9-1A77-41CC-8B9D-6F1C76B1C22B}"/>
  <bookViews>
    <workbookView xWindow="1770" yWindow="1770" windowWidth="15375" windowHeight="7875" xr2:uid="{00000000-000D-0000-FFFF-FFFF00000000}"/>
  </bookViews>
  <sheets>
    <sheet name="HOME" sheetId="2" r:id="rId1"/>
    <sheet name="FINANCEIRO" sheetId="24" r:id="rId2"/>
    <sheet name="Financeiro Entradas" sheetId="62" r:id="rId3"/>
    <sheet name="Financeiro DB" sheetId="40" r:id="rId4"/>
    <sheet name="Financeiro Custos" sheetId="58" r:id="rId5"/>
    <sheet name="Financeiro CustosFixos" sheetId="75" r:id="rId6"/>
    <sheet name="Financeiro CustosFixosInsercao" sheetId="59" r:id="rId7"/>
    <sheet name="Financeiro CustosFixosTabela" sheetId="74" r:id="rId8"/>
    <sheet name="Financeiro CustoVariavel" sheetId="60" r:id="rId9"/>
    <sheet name="Financeiro CustoVariavelInser" sheetId="76" r:id="rId10"/>
    <sheet name="Financeiro CustoVariavelTab" sheetId="77" r:id="rId11"/>
    <sheet name="Financeiro BalancoSetores" sheetId="47" r:id="rId12"/>
    <sheet name="Fianceiro Metas" sheetId="46" r:id="rId13"/>
    <sheet name="Fianceiro MetasConsulta" sheetId="41" r:id="rId14"/>
    <sheet name="Fianceiro MetasDB" sheetId="42" r:id="rId15"/>
    <sheet name="Financeiro FluxoCaixa" sheetId="45" r:id="rId16"/>
    <sheet name="Fianceiro FluxoCaixaConsulta" sheetId="43" r:id="rId17"/>
    <sheet name="ESTOQUE" sheetId="25" r:id="rId18"/>
    <sheet name="Financeiro FluxoCaixaDB" sheetId="44" r:id="rId19"/>
    <sheet name="LOGISTICA" sheetId="26" r:id="rId20"/>
    <sheet name="Logistica Inserção" sheetId="34" r:id="rId21"/>
    <sheet name="Logistica Infos." sheetId="35" r:id="rId22"/>
    <sheet name="Logistica 1" sheetId="29" r:id="rId23"/>
    <sheet name="Logistica 2" sheetId="30" r:id="rId24"/>
    <sheet name="Logistica 3" sheetId="31" r:id="rId25"/>
    <sheet name="Logistica 4" sheetId="32" r:id="rId26"/>
    <sheet name="Logistica 5" sheetId="36" r:id="rId27"/>
    <sheet name="Logistica 6" sheetId="39" r:id="rId28"/>
    <sheet name="COMPRAS" sheetId="28" r:id="rId29"/>
    <sheet name="TIPO.PRODUTOS" sheetId="72" r:id="rId30"/>
    <sheet name="CAD_MAT_PRIMA" sheetId="66" r:id="rId31"/>
    <sheet name="NOTA MAT_PRIMA" sheetId="65" r:id="rId32"/>
    <sheet name="COMPR.PROD.INT" sheetId="67" r:id="rId33"/>
    <sheet name="NOT.PROD.INTR" sheetId="68" r:id="rId34"/>
    <sheet name="COMPR.FUNC" sheetId="69" r:id="rId35"/>
    <sheet name="NOTA.FUNC" sheetId="70" r:id="rId36"/>
    <sheet name="BD_COMPRAS" sheetId="64" r:id="rId37"/>
    <sheet name="VENDAS" sheetId="27" r:id="rId38"/>
    <sheet name="VENDA-DATABASE" sheetId="73" r:id="rId39"/>
    <sheet name="VENDA-GRAFICO" sheetId="54" r:id="rId40"/>
    <sheet name="VENDASGRAFICO_CLIENTES" sheetId="55" r:id="rId41"/>
    <sheet name="VENDASGRAFICO_VENDAS" sheetId="56" r:id="rId42"/>
    <sheet name="VENDA-CAD-VENDA" sheetId="53" r:id="rId43"/>
    <sheet name="VENDA-TABELA-VENDA" sheetId="48" r:id="rId44"/>
    <sheet name="RH" sheetId="14" r:id="rId45"/>
    <sheet name="RH database" sheetId="23" r:id="rId46"/>
    <sheet name="PRODUÇÃO" sheetId="11" r:id="rId47"/>
    <sheet name="Produção-Produzir" sheetId="15" r:id="rId48"/>
    <sheet name="Produção-Yogurtes" sheetId="16" r:id="rId49"/>
    <sheet name="Produção-ReceitaQt." sheetId="17" r:id="rId50"/>
    <sheet name="Produção-CadastroPr." sheetId="19" r:id="rId51"/>
    <sheet name="Produção-Pedidos" sheetId="20" r:id="rId52"/>
  </sheets>
  <externalReferences>
    <externalReference r:id="rId53"/>
    <externalReference r:id="rId54"/>
    <externalReference r:id="rId55"/>
  </externalReferences>
  <definedNames>
    <definedName name="_xlnm._FilterDatabase" localSheetId="23" hidden="1">'Logistica 2'!$E$4:$N$4</definedName>
    <definedName name="_xlnm._FilterDatabase" localSheetId="25" hidden="1">'Logistica 4'!$E$7:$H$7</definedName>
    <definedName name="_xlnm._FilterDatabase" localSheetId="27" hidden="1">'Logistica 6'!$E$4:$J$4</definedName>
    <definedName name="_xlnm._FilterDatabase" localSheetId="45" hidden="1">'RH database'!$C$3:$X$43</definedName>
    <definedName name="_xlnm._FilterDatabase" localSheetId="43" hidden="1">'VENDA-TABELA-VENDA'!$C$2:$O$23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76" l="1"/>
  <c r="R10" i="29" a="1"/>
  <c r="R10" i="29" s="1"/>
  <c r="H5" i="16"/>
  <c r="H40" i="53"/>
  <c r="N3" i="70"/>
  <c r="N2" i="70"/>
  <c r="N49" i="69"/>
  <c r="N47" i="69"/>
  <c r="N45" i="69"/>
  <c r="N43" i="69"/>
  <c r="N41" i="69"/>
  <c r="N39" i="69"/>
  <c r="P37" i="69"/>
  <c r="N37" i="69"/>
  <c r="P35" i="69"/>
  <c r="N35" i="69"/>
  <c r="P30" i="69"/>
  <c r="N3" i="68"/>
  <c r="N2" i="68"/>
  <c r="K35" i="67"/>
  <c r="K33" i="67"/>
  <c r="K31" i="67"/>
  <c r="K29" i="67"/>
  <c r="K27" i="67"/>
  <c r="K25" i="67"/>
  <c r="M23" i="67"/>
  <c r="K23" i="67"/>
  <c r="M21" i="67"/>
  <c r="K21" i="67"/>
  <c r="M16" i="67"/>
  <c r="J35" i="66"/>
  <c r="J33" i="66"/>
  <c r="J31" i="66"/>
  <c r="J29" i="66"/>
  <c r="J27" i="66"/>
  <c r="J25" i="66"/>
  <c r="L23" i="66"/>
  <c r="J23" i="66"/>
  <c r="L21" i="66"/>
  <c r="J21" i="66"/>
  <c r="L16" i="66"/>
  <c r="N3" i="65"/>
  <c r="N2" i="65"/>
  <c r="F105" i="64"/>
  <c r="F104" i="64"/>
  <c r="F103" i="64"/>
  <c r="F102" i="64"/>
  <c r="F101" i="64"/>
  <c r="F100" i="64"/>
  <c r="F99" i="64"/>
  <c r="L97" i="64"/>
  <c r="M97" i="64" s="1"/>
  <c r="L96" i="64"/>
  <c r="M96" i="64" s="1"/>
  <c r="L95" i="64"/>
  <c r="M95" i="64" s="1"/>
  <c r="L94" i="64"/>
  <c r="M94" i="64" s="1"/>
  <c r="L93" i="64"/>
  <c r="M93" i="64" s="1"/>
  <c r="L92" i="64"/>
  <c r="M92" i="64" s="1"/>
  <c r="L91" i="64"/>
  <c r="M91" i="64" s="1"/>
  <c r="L90" i="64"/>
  <c r="M90" i="64" s="1"/>
  <c r="L89" i="64"/>
  <c r="M89" i="64" s="1"/>
  <c r="L88" i="64"/>
  <c r="M88" i="64" s="1"/>
  <c r="L87" i="64"/>
  <c r="M87" i="64" s="1"/>
  <c r="L86" i="64"/>
  <c r="M86" i="64" s="1"/>
  <c r="F81" i="64"/>
  <c r="F80" i="64"/>
  <c r="F79" i="64"/>
  <c r="F78" i="64"/>
  <c r="F77" i="64"/>
  <c r="F76" i="64"/>
  <c r="F75" i="64"/>
  <c r="L73" i="64"/>
  <c r="M73" i="64" s="1"/>
  <c r="L72" i="64"/>
  <c r="M72" i="64" s="1"/>
  <c r="L71" i="64"/>
  <c r="M71" i="64" s="1"/>
  <c r="L70" i="64"/>
  <c r="M70" i="64" s="1"/>
  <c r="L69" i="64"/>
  <c r="M69" i="64" s="1"/>
  <c r="L68" i="64"/>
  <c r="M68" i="64" s="1"/>
  <c r="L67" i="64"/>
  <c r="M67" i="64" s="1"/>
  <c r="L66" i="64"/>
  <c r="M66" i="64" s="1"/>
  <c r="L65" i="64"/>
  <c r="M65" i="64" s="1"/>
  <c r="L64" i="64"/>
  <c r="M64" i="64" s="1"/>
  <c r="L63" i="64"/>
  <c r="M63" i="64" s="1"/>
  <c r="L62" i="64"/>
  <c r="M62" i="64" s="1"/>
  <c r="L61" i="64"/>
  <c r="M61" i="64" s="1"/>
  <c r="L60" i="64"/>
  <c r="M60" i="64" s="1"/>
  <c r="L59" i="64"/>
  <c r="M59" i="64" s="1"/>
  <c r="L58" i="64"/>
  <c r="M58" i="64" s="1"/>
  <c r="L57" i="64"/>
  <c r="M57" i="64" s="1"/>
  <c r="L56" i="64"/>
  <c r="M56" i="64" s="1"/>
  <c r="L55" i="64"/>
  <c r="M55" i="64" s="1"/>
  <c r="L54" i="64"/>
  <c r="M54" i="64" s="1"/>
  <c r="L53" i="64"/>
  <c r="M53" i="64" s="1"/>
  <c r="L52" i="64"/>
  <c r="M52" i="64" s="1"/>
  <c r="L51" i="64"/>
  <c r="M51" i="64" s="1"/>
  <c r="L50" i="64"/>
  <c r="M50" i="64" s="1"/>
  <c r="L49" i="64"/>
  <c r="M49" i="64" s="1"/>
  <c r="L48" i="64"/>
  <c r="M48" i="64" s="1"/>
  <c r="L47" i="64"/>
  <c r="M47" i="64" s="1"/>
  <c r="L46" i="64"/>
  <c r="M46" i="64" s="1"/>
  <c r="L45" i="64"/>
  <c r="M45" i="64" s="1"/>
  <c r="L44" i="64"/>
  <c r="M44" i="64" s="1"/>
  <c r="L43" i="64"/>
  <c r="M43" i="64" s="1"/>
  <c r="L42" i="64"/>
  <c r="M42" i="64" s="1"/>
  <c r="L41" i="64"/>
  <c r="M41" i="64" s="1"/>
  <c r="L40" i="64"/>
  <c r="M40" i="64" s="1"/>
  <c r="L39" i="64"/>
  <c r="M39" i="64" s="1"/>
  <c r="F33" i="64"/>
  <c r="F32" i="64"/>
  <c r="F31" i="64"/>
  <c r="F30" i="64"/>
  <c r="F29" i="64"/>
  <c r="F28" i="64"/>
  <c r="F27" i="64"/>
  <c r="L24" i="64"/>
  <c r="M24" i="64" s="1"/>
  <c r="L23" i="64"/>
  <c r="M23" i="64" s="1"/>
  <c r="L22" i="64"/>
  <c r="M22" i="64" s="1"/>
  <c r="L21" i="64"/>
  <c r="M21" i="64" s="1"/>
  <c r="L20" i="64"/>
  <c r="M20" i="64" s="1"/>
  <c r="L19" i="64"/>
  <c r="M19" i="64" s="1"/>
  <c r="L18" i="64"/>
  <c r="M18" i="64" s="1"/>
  <c r="L17" i="64"/>
  <c r="M17" i="64" s="1"/>
  <c r="L16" i="64"/>
  <c r="M16" i="64" s="1"/>
  <c r="L15" i="64"/>
  <c r="M15" i="64" s="1"/>
  <c r="L14" i="64"/>
  <c r="M14" i="64" s="1"/>
  <c r="L13" i="64"/>
  <c r="M13" i="64" s="1"/>
  <c r="L12" i="64"/>
  <c r="M12" i="64" s="1"/>
  <c r="L11" i="64"/>
  <c r="M11" i="64" s="1"/>
  <c r="L10" i="64"/>
  <c r="M10" i="64" s="1"/>
  <c r="L9" i="64"/>
  <c r="M9" i="64" s="1"/>
  <c r="L8" i="64"/>
  <c r="M8" i="64" s="1"/>
  <c r="L7" i="64"/>
  <c r="M7" i="64" s="1"/>
  <c r="L6" i="64"/>
  <c r="M6" i="64" s="1"/>
  <c r="L5" i="64"/>
  <c r="M5" i="64" s="1"/>
  <c r="F18" i="59" l="1"/>
  <c r="I16" i="43" l="1"/>
  <c r="I12" i="43"/>
  <c r="P43" i="23"/>
  <c r="G43" i="23"/>
  <c r="C43" i="23"/>
  <c r="P42" i="23"/>
  <c r="G42" i="23"/>
  <c r="C42" i="23"/>
  <c r="P41" i="23"/>
  <c r="G41" i="23"/>
  <c r="C41" i="23"/>
  <c r="P40" i="23"/>
  <c r="G40" i="23"/>
  <c r="C40" i="23"/>
  <c r="P39" i="23"/>
  <c r="G39" i="23"/>
  <c r="C39" i="23"/>
  <c r="P38" i="23"/>
  <c r="G38" i="23"/>
  <c r="C38" i="23"/>
  <c r="P37" i="23"/>
  <c r="G37" i="23"/>
  <c r="C37" i="23"/>
  <c r="P36" i="23"/>
  <c r="G36" i="23"/>
  <c r="C36" i="23"/>
  <c r="P35" i="23"/>
  <c r="G35" i="23"/>
  <c r="C35" i="23"/>
  <c r="P34" i="23"/>
  <c r="G34" i="23"/>
  <c r="C34" i="23"/>
  <c r="P33" i="23"/>
  <c r="G33" i="23"/>
  <c r="C33" i="23"/>
  <c r="P32" i="23"/>
  <c r="G32" i="23"/>
  <c r="C32" i="23"/>
  <c r="P31" i="23"/>
  <c r="G31" i="23"/>
  <c r="C31" i="23"/>
  <c r="P30" i="23"/>
  <c r="G30" i="23"/>
  <c r="C30" i="23"/>
  <c r="P29" i="23"/>
  <c r="G29" i="23"/>
  <c r="C29" i="23"/>
  <c r="P28" i="23"/>
  <c r="G28" i="23"/>
  <c r="C28" i="23"/>
  <c r="P27" i="23"/>
  <c r="G27" i="23"/>
  <c r="C27" i="23"/>
  <c r="P26" i="23"/>
  <c r="G26" i="23"/>
  <c r="C26" i="23"/>
  <c r="P25" i="23"/>
  <c r="G25" i="23"/>
  <c r="C25" i="23"/>
  <c r="P24" i="23"/>
  <c r="G24" i="23"/>
  <c r="C24" i="23"/>
  <c r="P23" i="23"/>
  <c r="G23" i="23"/>
  <c r="C23" i="23"/>
  <c r="P22" i="23"/>
  <c r="G22" i="23"/>
  <c r="C22" i="23"/>
  <c r="P21" i="23"/>
  <c r="G21" i="23"/>
  <c r="C21" i="23"/>
  <c r="P20" i="23"/>
  <c r="G20" i="23"/>
  <c r="C20" i="23"/>
  <c r="P19" i="23"/>
  <c r="G19" i="23"/>
  <c r="C19" i="23"/>
  <c r="P18" i="23"/>
  <c r="G18" i="23"/>
  <c r="C18" i="23"/>
  <c r="P17" i="23"/>
  <c r="G17" i="23"/>
  <c r="C17" i="23"/>
  <c r="P16" i="23"/>
  <c r="G16" i="23"/>
  <c r="C16" i="23"/>
  <c r="P15" i="23"/>
  <c r="G15" i="23"/>
  <c r="C15" i="23"/>
  <c r="P14" i="23"/>
  <c r="G14" i="23"/>
  <c r="C14" i="23"/>
  <c r="P13" i="23"/>
  <c r="G13" i="23"/>
  <c r="C13" i="23"/>
  <c r="P12" i="23"/>
  <c r="G12" i="23"/>
  <c r="C12" i="23"/>
  <c r="P11" i="23"/>
  <c r="G11" i="23"/>
  <c r="C11" i="23"/>
  <c r="P10" i="23"/>
  <c r="G10" i="23"/>
  <c r="C10" i="23"/>
  <c r="P9" i="23"/>
  <c r="G9" i="23"/>
  <c r="C9" i="23"/>
  <c r="P8" i="23"/>
  <c r="G8" i="23"/>
  <c r="C8" i="23"/>
  <c r="P7" i="23"/>
  <c r="G7" i="23"/>
  <c r="C7" i="23"/>
  <c r="P6" i="23"/>
  <c r="G6" i="23"/>
  <c r="C6" i="23"/>
  <c r="P5" i="23"/>
  <c r="G5" i="23"/>
  <c r="C5" i="23"/>
  <c r="E7" i="62" l="1" a="1"/>
  <c r="E7" i="62" s="1"/>
  <c r="E8" i="62"/>
  <c r="F6" i="44" l="1"/>
  <c r="F5" i="44"/>
  <c r="E9" i="62"/>
  <c r="H5" i="44" l="1"/>
  <c r="I14" i="43"/>
  <c r="E5" i="42" l="1"/>
  <c r="F5" i="42" s="1"/>
  <c r="E6" i="44"/>
  <c r="H6" i="44" s="1"/>
  <c r="I18" i="43"/>
  <c r="E6" i="42" l="1"/>
  <c r="E7" i="44"/>
  <c r="H7" i="44" s="1"/>
  <c r="G5" i="42"/>
  <c r="I5" i="42"/>
  <c r="D6" i="42" s="1"/>
  <c r="F6" i="42" s="1"/>
  <c r="G6" i="42" s="1"/>
  <c r="H5" i="42"/>
  <c r="H6" i="42" l="1"/>
  <c r="I6" i="42"/>
  <c r="D7" i="42" s="1"/>
  <c r="E7" i="42"/>
  <c r="E8" i="44"/>
  <c r="H8" i="44" s="1"/>
  <c r="F7" i="42" l="1"/>
  <c r="G7" i="42" s="1"/>
  <c r="I7" i="42" s="1"/>
  <c r="D8" i="42" s="1"/>
  <c r="E8" i="42"/>
  <c r="E9" i="44"/>
  <c r="H9" i="44" s="1"/>
  <c r="E10" i="44" l="1"/>
  <c r="H10" i="44" s="1"/>
  <c r="E9" i="42"/>
  <c r="H7" i="42"/>
  <c r="F8" i="42"/>
  <c r="E11" i="44" l="1"/>
  <c r="H11" i="44" s="1"/>
  <c r="E10" i="42"/>
  <c r="G8" i="42"/>
  <c r="I8" i="42" s="1"/>
  <c r="D9" i="42" s="1"/>
  <c r="F9" i="42" s="1"/>
  <c r="H8" i="42" l="1"/>
  <c r="G9" i="42"/>
  <c r="I9" i="42" s="1"/>
  <c r="D10" i="42" s="1"/>
  <c r="F10" i="42" s="1"/>
  <c r="E12" i="44"/>
  <c r="H12" i="44" s="1"/>
  <c r="E11" i="42"/>
  <c r="H9" i="42" l="1"/>
  <c r="E12" i="42"/>
  <c r="E13" i="44"/>
  <c r="H13" i="44" s="1"/>
  <c r="G10" i="42"/>
  <c r="I10" i="42" s="1"/>
  <c r="D11" i="42" s="1"/>
  <c r="F11" i="42" s="1"/>
  <c r="H10" i="42" l="1"/>
  <c r="G11" i="42"/>
  <c r="I11" i="42" s="1"/>
  <c r="D12" i="42" s="1"/>
  <c r="F12" i="42" s="1"/>
  <c r="E14" i="44"/>
  <c r="H14" i="44" s="1"/>
  <c r="E13" i="42"/>
  <c r="G12" i="42" l="1"/>
  <c r="H12" i="42" s="1"/>
  <c r="E14" i="42"/>
  <c r="E15" i="44"/>
  <c r="H15" i="44" s="1"/>
  <c r="H11" i="42"/>
  <c r="E15" i="42" l="1"/>
  <c r="E16" i="44"/>
  <c r="H16" i="44" s="1"/>
  <c r="E16" i="42" s="1"/>
  <c r="I12" i="42"/>
  <c r="D13" i="42" s="1"/>
  <c r="F13" i="42" s="1"/>
  <c r="G76" i="64"/>
  <c r="F106" i="64"/>
  <c r="F34" i="64"/>
  <c r="G13" i="42" l="1"/>
  <c r="I13" i="42" s="1"/>
  <c r="D14" i="42" s="1"/>
  <c r="F14" i="42" s="1"/>
  <c r="I14" i="41"/>
  <c r="H13" i="42" l="1"/>
  <c r="G14" i="42"/>
  <c r="H14" i="42" s="1"/>
  <c r="I14" i="42" l="1"/>
  <c r="D15" i="42" s="1"/>
  <c r="I12" i="41" l="1"/>
  <c r="F15" i="42"/>
  <c r="I16" i="41" l="1"/>
  <c r="G15" i="42"/>
  <c r="I15" i="42" s="1"/>
  <c r="D16" i="42" l="1"/>
  <c r="F16" i="42" s="1"/>
  <c r="I18" i="41"/>
  <c r="H15" i="42"/>
  <c r="G16" i="42" l="1"/>
  <c r="I16" i="42" s="1"/>
  <c r="H16" i="42"/>
  <c r="C4" i="23" l="1"/>
  <c r="C4" i="23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<sst xmlns="http://schemas.openxmlformats.org/spreadsheetml/2006/main" count="1780" uniqueCount="887">
  <si>
    <t>Total de entradas</t>
  </si>
  <si>
    <t>Quantidade de entradas</t>
  </si>
  <si>
    <t>Valor total de vendas</t>
  </si>
  <si>
    <t>Média de entradas</t>
  </si>
  <si>
    <t>Status Metas:</t>
  </si>
  <si>
    <t>Porcentagem atingida - Aumento</t>
  </si>
  <si>
    <t>Atingiu</t>
  </si>
  <si>
    <t>maior que</t>
  </si>
  <si>
    <t>Não Atingiu</t>
  </si>
  <si>
    <t>menor = que</t>
  </si>
  <si>
    <t>2 status não atingido</t>
  </si>
  <si>
    <t>Custos Fixos Mensais</t>
  </si>
  <si>
    <t>Mês</t>
  </si>
  <si>
    <t>Água</t>
  </si>
  <si>
    <t>Luz</t>
  </si>
  <si>
    <t>Telefone / Internet</t>
  </si>
  <si>
    <t>Aluguel imóvel</t>
  </si>
  <si>
    <t>Imposto Prefeitura</t>
  </si>
  <si>
    <t>Contabilidade</t>
  </si>
  <si>
    <t xml:space="preserve">ERP - Gestão </t>
  </si>
  <si>
    <t>Seguro veículo</t>
  </si>
  <si>
    <t xml:space="preserve">Seguro imóvel </t>
  </si>
  <si>
    <t xml:space="preserve">Total Custo Fixo </t>
  </si>
  <si>
    <t>base de dados</t>
  </si>
  <si>
    <t xml:space="preserve">Janeiro 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</si>
  <si>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</si>
  <si>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</si>
  <si>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</si>
  <si>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</si>
  <si>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</si>
  <si>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</si>
  <si>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</si>
  <si>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</si>
  <si>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</si>
  <si>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</si>
  <si>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</si>
  <si>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Mês:</t>
  </si>
  <si>
    <t>Água:</t>
  </si>
  <si>
    <t>Luz:</t>
  </si>
  <si>
    <t>Tel./Internet:</t>
  </si>
  <si>
    <t>Aluguel Imóvel:</t>
  </si>
  <si>
    <t>Imposto Pref.:</t>
  </si>
  <si>
    <t>Contabilidade:</t>
  </si>
  <si>
    <t>ERP - Gestão:</t>
  </si>
  <si>
    <t>Seg.veículo:</t>
  </si>
  <si>
    <t>Seg. imóvel:</t>
  </si>
  <si>
    <t>Total Fixo:</t>
  </si>
  <si>
    <t>Custo Mensal Variável</t>
  </si>
  <si>
    <t>Combustível</t>
  </si>
  <si>
    <t>Pedágio</t>
  </si>
  <si>
    <t>IPVA</t>
  </si>
  <si>
    <t>Manutenção / Revisão</t>
  </si>
  <si>
    <t>Depreciação Equip.</t>
  </si>
  <si>
    <t>Taxas / Licenças</t>
  </si>
  <si>
    <t>Imposto sobre Faturamento</t>
  </si>
  <si>
    <t>Total Custo Variável</t>
  </si>
  <si>
    <t>Janeiro</t>
  </si>
  <si>
    <t>Combustível:</t>
  </si>
  <si>
    <t>Pedágio:</t>
  </si>
  <si>
    <t>IPVA:</t>
  </si>
  <si>
    <t>Manut./ Revisão:</t>
  </si>
  <si>
    <t>Depreciação Equip.:</t>
  </si>
  <si>
    <t>Taxas / Licenças:</t>
  </si>
  <si>
    <t>Imposto Faturamento:</t>
  </si>
  <si>
    <t>Total Variável:</t>
  </si>
  <si>
    <t>Metas</t>
  </si>
  <si>
    <t>Meta do Mês:</t>
  </si>
  <si>
    <t>Receita:</t>
  </si>
  <si>
    <t>Status:</t>
  </si>
  <si>
    <t>Proxima meta:</t>
  </si>
  <si>
    <t>Meta:</t>
  </si>
  <si>
    <t>Saldo:</t>
  </si>
  <si>
    <t>Porcentagem a mais atingida:</t>
  </si>
  <si>
    <t>Acrescimo/Decremento:</t>
  </si>
  <si>
    <t>Fluxo de caixa</t>
  </si>
  <si>
    <t>Saldo anterior:</t>
  </si>
  <si>
    <t>Entradas:</t>
  </si>
  <si>
    <t>Saídas:</t>
  </si>
  <si>
    <t>Saldo atual:</t>
  </si>
  <si>
    <t>Ano:</t>
  </si>
  <si>
    <t>Registro de Dados e Pedidos</t>
  </si>
  <si>
    <t>Nº Nota Fiscal:</t>
  </si>
  <si>
    <t>Consulta de Código:</t>
  </si>
  <si>
    <t>Nome Fantasia:</t>
  </si>
  <si>
    <t>Sabor:</t>
  </si>
  <si>
    <t>Yogurte de Uva</t>
  </si>
  <si>
    <t>Código do Produto:</t>
  </si>
  <si>
    <t>Código:</t>
  </si>
  <si>
    <t>Nome do Produto:</t>
  </si>
  <si>
    <t>Previsão de Carregamento:</t>
  </si>
  <si>
    <t>Previsão de Entrega:</t>
  </si>
  <si>
    <t>Litros:</t>
  </si>
  <si>
    <t>Pedido Cliente:</t>
  </si>
  <si>
    <t>Pedido Sistema:</t>
  </si>
  <si>
    <t>Transportadora:</t>
  </si>
  <si>
    <t>Registro de Frete</t>
  </si>
  <si>
    <t>Tipo de Cliente:</t>
  </si>
  <si>
    <t>Distância:</t>
  </si>
  <si>
    <t>Valor do Frete:</t>
  </si>
  <si>
    <t>Novos</t>
  </si>
  <si>
    <t>30Km</t>
  </si>
  <si>
    <t>60Km</t>
  </si>
  <si>
    <t>VIP</t>
  </si>
  <si>
    <t>15Km</t>
  </si>
  <si>
    <t>Cadastro de Frota</t>
  </si>
  <si>
    <t>Númeração da Frota:</t>
  </si>
  <si>
    <t>Placa do Caminhão:</t>
  </si>
  <si>
    <t>Nome do Motorista:</t>
  </si>
  <si>
    <t>douglas</t>
  </si>
  <si>
    <t>Data de Manutenção:</t>
  </si>
  <si>
    <t>Proxima Manutenção:</t>
  </si>
  <si>
    <t>Quilometragem:</t>
  </si>
  <si>
    <t>CADASTRO DE COMPRAS | MATÉRIA PRIMA</t>
  </si>
  <si>
    <t>Produto</t>
  </si>
  <si>
    <t>Lactobacillus bulgricus</t>
  </si>
  <si>
    <t>Quant. Comprar</t>
  </si>
  <si>
    <t>Valor da compra</t>
  </si>
  <si>
    <t>Informações</t>
  </si>
  <si>
    <t>Valor Total | Saldo Disponivel</t>
  </si>
  <si>
    <t>Codigo do Produto</t>
  </si>
  <si>
    <t>Valor Total</t>
  </si>
  <si>
    <t>Fornecedor</t>
  </si>
  <si>
    <t>Saldo Disp</t>
  </si>
  <si>
    <t>Telefone do Fornecedor</t>
  </si>
  <si>
    <t>E-mail do Fornecedor</t>
  </si>
  <si>
    <t>Endereço do Fornecedor</t>
  </si>
  <si>
    <t xml:space="preserve">Unidade de medida </t>
  </si>
  <si>
    <t>Preço por Unidade</t>
  </si>
  <si>
    <t>Data da Compra</t>
  </si>
  <si>
    <t>TABELA DE COMPRAS | MATÉRIA PRIMA</t>
  </si>
  <si>
    <t>Saldo Disponivel</t>
  </si>
  <si>
    <t>Codigo</t>
  </si>
  <si>
    <t>Unidade</t>
  </si>
  <si>
    <t>Quant/COMP</t>
  </si>
  <si>
    <t xml:space="preserve">Valor </t>
  </si>
  <si>
    <t>Data</t>
  </si>
  <si>
    <t>100-10</t>
  </si>
  <si>
    <t>Aromatizante de banana</t>
  </si>
  <si>
    <t>BioCultivar</t>
  </si>
  <si>
    <t>KG</t>
  </si>
  <si>
    <t>100-06</t>
  </si>
  <si>
    <t>Streptococcus thermophilus</t>
  </si>
  <si>
    <t>FrutaVida</t>
  </si>
  <si>
    <t>CADASTRO DE COMPRAS | PRODUTOS INTERNOS</t>
  </si>
  <si>
    <t>Caneta</t>
  </si>
  <si>
    <t>Status</t>
  </si>
  <si>
    <t>TABELA DE COMPRAS | PRODUTOS INTERNOS</t>
  </si>
  <si>
    <t>100-50</t>
  </si>
  <si>
    <t>PrintMaster Supplies</t>
  </si>
  <si>
    <t>Material de Escritório</t>
  </si>
  <si>
    <t>CADASTRO DE COMPRAS | ITEMS PARA FUNCIONARIOS</t>
  </si>
  <si>
    <t>Leite de vaca</t>
  </si>
  <si>
    <t>TABELA DE COMPRAS | ITEMS PARA FUNCIONARIOS</t>
  </si>
  <si>
    <t>100-81</t>
  </si>
  <si>
    <t>Protetores Auriculares</t>
  </si>
  <si>
    <t>SafeWear Brasil</t>
  </si>
  <si>
    <t>Produtos para Funcionarios</t>
  </si>
  <si>
    <t>MATERIA PRIMA</t>
  </si>
  <si>
    <t>Telefone</t>
  </si>
  <si>
    <t>Email</t>
  </si>
  <si>
    <t>Preço p/ Kg &amp; ou Litro</t>
  </si>
  <si>
    <t>Valor total</t>
  </si>
  <si>
    <t>Endereco</t>
  </si>
  <si>
    <t>100-02</t>
  </si>
  <si>
    <t>NutriMat</t>
  </si>
  <si>
    <t>(55) 1234-5678</t>
  </si>
  <si>
    <t>info@nutrimat.com</t>
  </si>
  <si>
    <t>Litro</t>
  </si>
  <si>
    <t>Avenida Sete de Setembro, 131 - Centro, Salvador, BA</t>
  </si>
  <si>
    <t>100-04</t>
  </si>
  <si>
    <t>AgroInsumos Alimentares</t>
  </si>
  <si>
    <t>(55) 2345-6789</t>
  </si>
  <si>
    <t>contato@agroinsumos.com</t>
  </si>
  <si>
    <t>Rua dos Jacarandás, 242 - Jardim das Américas, Curitiba, PR</t>
  </si>
  <si>
    <t>(55) 3456-7890</t>
  </si>
  <si>
    <t>contato@frutavida.com</t>
  </si>
  <si>
    <t>Avenida Presidente Vargas, 353 - Centro, Rio de Janeiro, RJ</t>
  </si>
  <si>
    <t>100-08</t>
  </si>
  <si>
    <t>Açucar</t>
  </si>
  <si>
    <t>SementeSabor</t>
  </si>
  <si>
    <t>(55) 4567-8901</t>
  </si>
  <si>
    <t>contato@sementesabor.com</t>
  </si>
  <si>
    <t>Rua das Amendoeiras, 464 - Centro, Vitória, ES</t>
  </si>
  <si>
    <t>(55) 5678-9012</t>
  </si>
  <si>
    <t>info@biocultivar.com</t>
  </si>
  <si>
    <t>Avenida Almirante Barroso, 575 - Centro, Belém, PA</t>
  </si>
  <si>
    <t>100-12</t>
  </si>
  <si>
    <t>Aromatizante de ameixa</t>
  </si>
  <si>
    <t>TerraFertil</t>
  </si>
  <si>
    <t>(55) 6789-0123</t>
  </si>
  <si>
    <t>contato@terrafertil.com</t>
  </si>
  <si>
    <t>Rua das Garças, 686 - Zona Oeste, Rio de Janeiro, RJ</t>
  </si>
  <si>
    <t>100-14</t>
  </si>
  <si>
    <t>Aromatizante de pesssego</t>
  </si>
  <si>
    <t>GrãoVerde</t>
  </si>
  <si>
    <t>(55) 7890-1234</t>
  </si>
  <si>
    <t>contato@graoverde.com</t>
  </si>
  <si>
    <t>Avenida Carlos Gomes, 797 - Três Figueiras, Porto Alegre, RS</t>
  </si>
  <si>
    <t>100-16</t>
  </si>
  <si>
    <t>Aromatizante de coco</t>
  </si>
  <si>
    <t>SafraDourada</t>
  </si>
  <si>
    <t>(55) 8901-2345</t>
  </si>
  <si>
    <t>info@safradourada.com</t>
  </si>
  <si>
    <t>Rua das Águas, 808 - Centro, Teresina, PI</t>
  </si>
  <si>
    <t>100-18</t>
  </si>
  <si>
    <t>Aromatizante de morango</t>
  </si>
  <si>
    <t>EcoPlantio Alimentar</t>
  </si>
  <si>
    <t>(55) 9012-3456</t>
  </si>
  <si>
    <t>contato@ecoplantio.com</t>
  </si>
  <si>
    <t>Avenida 23 de Maio, 919 - Paraíso, São Paulo, SP</t>
  </si>
  <si>
    <t>100-20</t>
  </si>
  <si>
    <t>Flavorizante</t>
  </si>
  <si>
    <t>AgroOrgânico</t>
  </si>
  <si>
    <t>(55) 0123-4567</t>
  </si>
  <si>
    <t>info@agroorganico.com</t>
  </si>
  <si>
    <t>Rua dos Girassóis, 120 - Centro, Goiânia, GO</t>
  </si>
  <si>
    <t>100-22</t>
  </si>
  <si>
    <t>Extrato de banana</t>
  </si>
  <si>
    <t>NaturalHarvest</t>
  </si>
  <si>
    <t>contato@naturalharvest.com</t>
  </si>
  <si>
    <t>Avenida Borges de Medeiros, 231 - Centro, Gramado, RS</t>
  </si>
  <si>
    <t>100-24</t>
  </si>
  <si>
    <t>Extrato de ameixa</t>
  </si>
  <si>
    <t>BioCosecha</t>
  </si>
  <si>
    <t>info@biocosecha.com</t>
  </si>
  <si>
    <t>Rua dos Coqueiros, 342 - Centro, Maceió, AL</t>
  </si>
  <si>
    <t>100-26</t>
  </si>
  <si>
    <t>Extrato de pessego</t>
  </si>
  <si>
    <t>ColheitaFresca</t>
  </si>
  <si>
    <t>contato@colheitafresca.com</t>
  </si>
  <si>
    <t>Avenida Presidente Kennedy, 453 - Centro, Recife, PE</t>
  </si>
  <si>
    <t>100-28</t>
  </si>
  <si>
    <t>Extrato de coco</t>
  </si>
  <si>
    <t>VerdeCampo Ingredientes</t>
  </si>
  <si>
    <t>contato@verdecampo.com</t>
  </si>
  <si>
    <t>Rua das Palmeiras Reais, 564 - Centro, João Pessoa, PB</t>
  </si>
  <si>
    <t>100-30</t>
  </si>
  <si>
    <t>Extrato de morango</t>
  </si>
  <si>
    <t>AgroMatriz Alimentícia</t>
  </si>
  <si>
    <t>info@agromatriz.com</t>
  </si>
  <si>
    <t>Avenida Ministro Gabriel Passos, 675 - Lourdes, Belo Horizonte, MG</t>
  </si>
  <si>
    <t>100-32</t>
  </si>
  <si>
    <t>Baunilha</t>
  </si>
  <si>
    <t>SaborSustentável</t>
  </si>
  <si>
    <t>contato@saborsustentavel.com</t>
  </si>
  <si>
    <t>Rua das Azaleias, 786 - Centro, Porto Velho, RO</t>
  </si>
  <si>
    <t>100-34</t>
  </si>
  <si>
    <t>Cacau</t>
  </si>
  <si>
    <t>EcoSafra Alimentos</t>
  </si>
  <si>
    <t>contato@ecosafra.com</t>
  </si>
  <si>
    <t>Avenida Pedro Álvares Cabral, 897 - Ibirapuera, São Paulo, SP</t>
  </si>
  <si>
    <t>100-36</t>
  </si>
  <si>
    <t>Estabilizante</t>
  </si>
  <si>
    <t>AgriFoods Naturais</t>
  </si>
  <si>
    <t>info@agrifoodsnaturais.com</t>
  </si>
  <si>
    <t>Rua dos Pinheiros, 908 - Centro, Natal, RN</t>
  </si>
  <si>
    <t>100-38</t>
  </si>
  <si>
    <t>Espessante</t>
  </si>
  <si>
    <t>CerealVale</t>
  </si>
  <si>
    <t>contato@cerealvale.com</t>
  </si>
  <si>
    <t>Avenida Marechal Rondon, 101 - Centro, Campo Grande, MS</t>
  </si>
  <si>
    <t>100-40</t>
  </si>
  <si>
    <t>Corantes naturais</t>
  </si>
  <si>
    <t>NutriCultivar</t>
  </si>
  <si>
    <t>info@nutricultivar.com</t>
  </si>
  <si>
    <t>Rua das Hortênsias, 212 - Centro, Macapá, AP</t>
  </si>
  <si>
    <t>Quant</t>
  </si>
  <si>
    <t>Valor C</t>
  </si>
  <si>
    <t>Preço/Uni</t>
  </si>
  <si>
    <t>PRODUTOS INTERNOS</t>
  </si>
  <si>
    <t>Preço Unidade</t>
  </si>
  <si>
    <t>100-41</t>
  </si>
  <si>
    <t>Computadores e laptops</t>
  </si>
  <si>
    <t>TechOffice Solutions</t>
  </si>
  <si>
    <t>(11) 98765-4321</t>
  </si>
  <si>
    <t>contato@techoffice.com</t>
  </si>
  <si>
    <t>Equipamentos de Escritório</t>
  </si>
  <si>
    <t>Rua das Flores, 123 - Bairro Primavera, São Paulo, SP</t>
  </si>
  <si>
    <t>100-42</t>
  </si>
  <si>
    <t>Monitores</t>
  </si>
  <si>
    <t>(21) 91234-5678</t>
  </si>
  <si>
    <t>Avenida Central, 456 - Centro, Rio de Janeiro, RJ</t>
  </si>
  <si>
    <t>100-43</t>
  </si>
  <si>
    <t>Teclados e mouses</t>
  </si>
  <si>
    <t>(31) 87654-3210</t>
  </si>
  <si>
    <t>Rua da Paz, 789 - Jardim Bela Vista, Belo Horizonte, MG</t>
  </si>
  <si>
    <t>100-44</t>
  </si>
  <si>
    <t>Impressoras e scanners</t>
  </si>
  <si>
    <t>(41) 89012-3456</t>
  </si>
  <si>
    <t>Alameda dos Anjos, 101 - Vila Nova, Porto Alegre, RS</t>
  </si>
  <si>
    <t>100-45</t>
  </si>
  <si>
    <t>Telefones (fixos e móveis)</t>
  </si>
  <si>
    <t>(51) 80123-4567</t>
  </si>
  <si>
    <t>Avenida Brasil, 202 - Copacabana, Rio de Janeiro, RJ</t>
  </si>
  <si>
    <t>100-46</t>
  </si>
  <si>
    <t>Equipamentos de videoconferência</t>
  </si>
  <si>
    <t>(61) 76543-2109</t>
  </si>
  <si>
    <t>Rua do Comércio, 303 - Centro, Curitiba, PR</t>
  </si>
  <si>
    <t>100-47</t>
  </si>
  <si>
    <t>Mesas e cadeiras ergonômicas</t>
  </si>
  <si>
    <t>(71) 89012-3456</t>
  </si>
  <si>
    <t>Avenida Paulista, 404 - Bela Vista, São Paulo, SP</t>
  </si>
  <si>
    <t>100-48</t>
  </si>
  <si>
    <t>Projetores e telas de projeção</t>
  </si>
  <si>
    <t>(81) 84321-0987</t>
  </si>
  <si>
    <t>Rua das Palmeiras, 505 - Boa Viagem, Recife, PE</t>
  </si>
  <si>
    <t>100-49</t>
  </si>
  <si>
    <t>Papel (A4, A3, etc.)</t>
  </si>
  <si>
    <t>(91) 87098-7654</t>
  </si>
  <si>
    <t>vendas@printmaster.com</t>
  </si>
  <si>
    <t>Avenida Atlântica, 606 - Centro, Florianópolis, SC</t>
  </si>
  <si>
    <t>(12) 80123-4567</t>
  </si>
  <si>
    <t>Rua da Independência, 707 - Liberdade, Salvador, BA</t>
  </si>
  <si>
    <t>100-51</t>
  </si>
  <si>
    <t>Marcadores e highlighters</t>
  </si>
  <si>
    <t>(22) 86543-2109</t>
  </si>
  <si>
    <t>Avenida Getúlio Vargas, 808 - Centro, Manaus, AM</t>
  </si>
  <si>
    <t>100-52</t>
  </si>
  <si>
    <t>Cadernos e blocos de notas</t>
  </si>
  <si>
    <t>(32) 89012-3456</t>
  </si>
  <si>
    <t>Rua dos Pioneiros, 909 - Jardim América, Goiânia, GO</t>
  </si>
  <si>
    <t>100-53</t>
  </si>
  <si>
    <t>Post-its e adesivos</t>
  </si>
  <si>
    <t>(42) 84321-0987</t>
  </si>
  <si>
    <t>Avenida Rio Branco, 111 - Centro, Fortaleza, CE</t>
  </si>
  <si>
    <t>100-54</t>
  </si>
  <si>
    <t>Grampeadores e grampos</t>
  </si>
  <si>
    <t>(52) 87098-7654</t>
  </si>
  <si>
    <t>Rua da República, 222 - Vila Madalena, São Paulo, SP</t>
  </si>
  <si>
    <t>100-55</t>
  </si>
  <si>
    <t>Clips de papel e alfinetes</t>
  </si>
  <si>
    <t>(62) 80123-4567</t>
  </si>
  <si>
    <t>Avenida Santos Dumont, 333 - Centro, Aracaju, SE</t>
  </si>
  <si>
    <t>100-56</t>
  </si>
  <si>
    <t>Pastas e arquivos</t>
  </si>
  <si>
    <t>(72) 86543-2109</t>
  </si>
  <si>
    <t>Rua do Sol, 444 - Ponta Verde, Maceió, AL</t>
  </si>
  <si>
    <t>100-57</t>
  </si>
  <si>
    <t>Lápis</t>
  </si>
  <si>
    <t>(82) 89012-3456</t>
  </si>
  <si>
    <t>Avenida Tiradentes, 555 - Centro, Londrina, PR</t>
  </si>
  <si>
    <t>100-58</t>
  </si>
  <si>
    <t>Borracha</t>
  </si>
  <si>
    <t>(92) 84321-0987</t>
  </si>
  <si>
    <t>Rua da Glória, 666 - Santa Teresa, Rio de Janeiro, RJ</t>
  </si>
  <si>
    <t>100-59</t>
  </si>
  <si>
    <t>Detergentes e desinfetantes</t>
  </si>
  <si>
    <t>ConferTech Equipment</t>
  </si>
  <si>
    <t>(13) 87098-7654</t>
  </si>
  <si>
    <t>info@confertech.com</t>
  </si>
  <si>
    <t>Produtos de Limpeza e Manutenção</t>
  </si>
  <si>
    <t>Avenida dos Bandeirantes, 777 - Moema, São Paulo, SP</t>
  </si>
  <si>
    <t>100-60</t>
  </si>
  <si>
    <t>Panos de limpeza e esponjas</t>
  </si>
  <si>
    <t>(23) 80123-4567</t>
  </si>
  <si>
    <t>Rua das Acácias, 888 - Jardim Botânico, Porto Alegre, RS</t>
  </si>
  <si>
    <t>100-61</t>
  </si>
  <si>
    <t>Aspiradores de pó</t>
  </si>
  <si>
    <t>(33) 86543-2109</t>
  </si>
  <si>
    <t>Avenida Pedro II, 999 - Centro, Belo Horizonte, MG</t>
  </si>
  <si>
    <t>100-62</t>
  </si>
  <si>
    <t>Baldes e rodos</t>
  </si>
  <si>
    <t>(43) 89012-3456</t>
  </si>
  <si>
    <t>Rua das Hortênsias, 121 - Gramado, RS</t>
  </si>
  <si>
    <t>100-63</t>
  </si>
  <si>
    <t>Equipamentos de limpeza especializados</t>
  </si>
  <si>
    <t>(53) 84321-0987</t>
  </si>
  <si>
    <t>Avenida 9 de Julho, 232 - Jardim Paulista, São Paulo, SP</t>
  </si>
  <si>
    <t>100-64</t>
  </si>
  <si>
    <t>Sacos de lixo</t>
  </si>
  <si>
    <t>(63) 87098-7654</t>
  </si>
  <si>
    <t>Rua do Cruzeiro, 343 - Bairro da Penha, São Luís, MA</t>
  </si>
  <si>
    <t>100-65</t>
  </si>
  <si>
    <t>Papel higiênico e toalhas de papel</t>
  </si>
  <si>
    <t>(73) 80123-4567</t>
  </si>
  <si>
    <t>Avenida João Pessoa, 454 - Centro, Natal, RN</t>
  </si>
  <si>
    <t>100-66</t>
  </si>
  <si>
    <t>Servidores</t>
  </si>
  <si>
    <t>Stationery Hub</t>
  </si>
  <si>
    <t>(83) 86543-2109</t>
  </si>
  <si>
    <t>atendimento@stationeryhub.com</t>
  </si>
  <si>
    <t>Equipamentos de TI e Infraestrutura</t>
  </si>
  <si>
    <t>Rua das Laranjeiras, 565 - Botafogo, Rio de Janeiro, RJ</t>
  </si>
  <si>
    <t>100-67</t>
  </si>
  <si>
    <t>Roteadores e switches</t>
  </si>
  <si>
    <t>(93) 89012-3456</t>
  </si>
  <si>
    <t>Avenida Tancredo Neves, 676 - Caminho das Árvores, Salvador, BA</t>
  </si>
  <si>
    <t>100-68</t>
  </si>
  <si>
    <t>Cabos de rede</t>
  </si>
  <si>
    <t>(14) 84321-0987</t>
  </si>
  <si>
    <t>Rua das Margaridas, 787 - Tijuca, Rio de Janeiro, RJ</t>
  </si>
  <si>
    <t>100-69</t>
  </si>
  <si>
    <t>Nobreaks e estabilizadores</t>
  </si>
  <si>
    <t>(24) 87098-7654</t>
  </si>
  <si>
    <t>Avenida das Nações Unidas, 898 - Brooklin, São Paulo, SP</t>
  </si>
  <si>
    <t>100-70</t>
  </si>
  <si>
    <t>Softwares de gerenciamento e segurança</t>
  </si>
  <si>
    <t>(34) 80123-4567</t>
  </si>
  <si>
    <t>Rua do Farol, 909 - Centro, Fortaleza, CE</t>
  </si>
  <si>
    <t>100-71</t>
  </si>
  <si>
    <t>Sistemas de backup e armazenamento</t>
  </si>
  <si>
    <t>(44) 86543-2109</t>
  </si>
  <si>
    <t>Avenida Fernando Corrêa, 1010 - Boa Esperança, Cuiabá, MT</t>
  </si>
  <si>
    <t>100-72</t>
  </si>
  <si>
    <t xml:space="preserve">Cafeteiras </t>
  </si>
  <si>
    <t>BreakTime Essentials</t>
  </si>
  <si>
    <t>(54) 89012-3456</t>
  </si>
  <si>
    <t>breaktime@al.ons.com</t>
  </si>
  <si>
    <t>Materiais para Café e Cozinha</t>
  </si>
  <si>
    <t>Rua das Camélias, 112 - Zona 7, Maringá, PR</t>
  </si>
  <si>
    <t>100-73</t>
  </si>
  <si>
    <t xml:space="preserve">Micro-ondas </t>
  </si>
  <si>
    <t>(64) 84321-0987</t>
  </si>
  <si>
    <t>Avenida Independência, 223 - Porto Alegre, RS</t>
  </si>
  <si>
    <t>100-74</t>
  </si>
  <si>
    <t>Copos, xícaras e talheres</t>
  </si>
  <si>
    <t>(74) 87098-7654</t>
  </si>
  <si>
    <t>Rua dos Jasmins, 334 - Meireles, Fortaleza, CE</t>
  </si>
  <si>
    <t>100-75</t>
  </si>
  <si>
    <t>Filtros de café e açúcar</t>
  </si>
  <si>
    <t>(84) 80123-4567</t>
  </si>
  <si>
    <t>Avenida das Palmeiras, 445 - Zona Sul, Rio de Janeiro, RJ</t>
  </si>
  <si>
    <t xml:space="preserve">EQUIPAMENTO DE PRODUÇÃO INDIVIDUAL </t>
  </si>
  <si>
    <t xml:space="preserve">Aventais\Jalecos </t>
  </si>
  <si>
    <t>ProtegeMais Equipamentos</t>
  </si>
  <si>
    <t>(11) 91234-5678</t>
  </si>
  <si>
    <t>protegemais@equipamentos.com</t>
  </si>
  <si>
    <t>Rua das Palmeiras, 123 - Jardim América, São Paulo, SP</t>
  </si>
  <si>
    <t>100-76</t>
  </si>
  <si>
    <t>Luvas Descartaveis</t>
  </si>
  <si>
    <t>EPI Safe Solutions</t>
  </si>
  <si>
    <t>(21) 98765-4321</t>
  </si>
  <si>
    <t>contato@episafesolutions.com</t>
  </si>
  <si>
    <t>Avenida Atlântica, 456 - Copacabana, Rio de Janeiro, RJ</t>
  </si>
  <si>
    <t>100-77</t>
  </si>
  <si>
    <t>Rede para Cabelo</t>
  </si>
  <si>
    <t>GuardPlus Uniformes</t>
  </si>
  <si>
    <t>(31) 92345-6789</t>
  </si>
  <si>
    <t>atendimento@guardplusuniformes.com</t>
  </si>
  <si>
    <t>Rua do Comércio, 789 - Centro, Belo Horizonte, MG</t>
  </si>
  <si>
    <t>100-78</t>
  </si>
  <si>
    <t>Óculos de Proteção</t>
  </si>
  <si>
    <t>SeguraTec EPI</t>
  </si>
  <si>
    <t>(41) 93456-7890</t>
  </si>
  <si>
    <t>vendas@seguratecepi.com</t>
  </si>
  <si>
    <t>Avenida Brasil, 101 - Boa Viagem, Recife, PE</t>
  </si>
  <si>
    <t>100-79</t>
  </si>
  <si>
    <t>Calçados de Segurança</t>
  </si>
  <si>
    <t>UniPro Vestuário</t>
  </si>
  <si>
    <t>(51) 94567-8901</t>
  </si>
  <si>
    <t>suporte@uniproveste.com</t>
  </si>
  <si>
    <t>Rua das Flores, 202 - Centro, Curitiba, PR</t>
  </si>
  <si>
    <t>100-80</t>
  </si>
  <si>
    <t xml:space="preserve">Mácaras Descartáves </t>
  </si>
  <si>
    <t>MaxProtec Segurança</t>
  </si>
  <si>
    <t>(61) 95678-9012</t>
  </si>
  <si>
    <t>contato@maxprotecequipamentos.com</t>
  </si>
  <si>
    <t>Avenida Paulista, 303 - Bela Vista, São Paulo, SP</t>
  </si>
  <si>
    <t>(71) 96789-0123</t>
  </si>
  <si>
    <t>atendimento@safewearbrasil.com</t>
  </si>
  <si>
    <t>Rua dos Pioneiros, 404 - Jardim Europa, Porto Alegre, RS</t>
  </si>
  <si>
    <t>100-82</t>
  </si>
  <si>
    <t>Luvas de Proteção</t>
  </si>
  <si>
    <t>Segurança Total EPIs</t>
  </si>
  <si>
    <t>(81) 97890-1234</t>
  </si>
  <si>
    <t>vendas@segurancatotalepis.com</t>
  </si>
  <si>
    <t>Avenida Central, 505 - Centro, Brasília, DF</t>
  </si>
  <si>
    <t>100-83</t>
  </si>
  <si>
    <t>Capacete de Segurança</t>
  </si>
  <si>
    <t>WorkShield Equipamentos</t>
  </si>
  <si>
    <t>(91) 98901-2345</t>
  </si>
  <si>
    <t>contato@workshieldequipamentos.com</t>
  </si>
  <si>
    <t>Rua da Paz, 606 - Liberdade, Salvador, BA</t>
  </si>
  <si>
    <t>100-84</t>
  </si>
  <si>
    <t>Vestimenta de Alta Visibilidade</t>
  </si>
  <si>
    <t>ProTec Uniformes</t>
  </si>
  <si>
    <t>(12) 99012-3456</t>
  </si>
  <si>
    <t>suporte@proteceuniformes.com</t>
  </si>
  <si>
    <t>Avenida Santos Dumont, 707 - Centro, Fortaleza, CE</t>
  </si>
  <si>
    <t>100-85</t>
  </si>
  <si>
    <t>Uniformes Adequados</t>
  </si>
  <si>
    <t>EPI Global</t>
  </si>
  <si>
    <t>(22) 90123-4567</t>
  </si>
  <si>
    <t>atendimento@epiglobal.com</t>
  </si>
  <si>
    <t>Rua das Acácias, 808 - Ponta Verde, Maceió, AL</t>
  </si>
  <si>
    <t>100-86</t>
  </si>
  <si>
    <t xml:space="preserve">Máscaras Faciais </t>
  </si>
  <si>
    <t>VesteSegura</t>
  </si>
  <si>
    <t>(32) 91234-5678</t>
  </si>
  <si>
    <t>contato@vestesegura.com</t>
  </si>
  <si>
    <t>Avenida Getúlio Vargas, 909 - Centro, Manaus, AM</t>
  </si>
  <si>
    <t>Nome do produto</t>
  </si>
  <si>
    <t>Preço:</t>
  </si>
  <si>
    <t>Código dos produtos</t>
  </si>
  <si>
    <t>Yogurte de Pêssego</t>
  </si>
  <si>
    <t>#Y001</t>
  </si>
  <si>
    <t>#Y002</t>
  </si>
  <si>
    <t>Yogurte de Morango</t>
  </si>
  <si>
    <t>#Y003</t>
  </si>
  <si>
    <t>Yogurte de Banana</t>
  </si>
  <si>
    <t>#Y004</t>
  </si>
  <si>
    <t>Yogurte de Ameixa</t>
  </si>
  <si>
    <t>#Y005</t>
  </si>
  <si>
    <t>Codcliente:</t>
  </si>
  <si>
    <t>Nome do cliente:</t>
  </si>
  <si>
    <t>Razao Social:</t>
  </si>
  <si>
    <t xml:space="preserve">Celular: </t>
  </si>
  <si>
    <t>Email:</t>
  </si>
  <si>
    <t>CNPJ:</t>
  </si>
  <si>
    <t>Codproduto:</t>
  </si>
  <si>
    <t>Produto:</t>
  </si>
  <si>
    <t>Quantidade:</t>
  </si>
  <si>
    <t>Data:</t>
  </si>
  <si>
    <t xml:space="preserve">Total:  </t>
  </si>
  <si>
    <t>codcliente</t>
  </si>
  <si>
    <t>Cliente</t>
  </si>
  <si>
    <t>Razão Social</t>
  </si>
  <si>
    <t>Celular</t>
  </si>
  <si>
    <t>CNPJ</t>
  </si>
  <si>
    <t>Código</t>
  </si>
  <si>
    <t>Preço</t>
  </si>
  <si>
    <t>Quantidade</t>
  </si>
  <si>
    <t>Total</t>
  </si>
  <si>
    <t> </t>
  </si>
  <si>
    <t>ID</t>
  </si>
  <si>
    <t>FUNCIONÁRIOS</t>
  </si>
  <si>
    <t>SEXO</t>
  </si>
  <si>
    <t>DATA DE NASCIMENTO</t>
  </si>
  <si>
    <t>IDADE</t>
  </si>
  <si>
    <t>CPF</t>
  </si>
  <si>
    <t>EMAIL CORPORATIVO</t>
  </si>
  <si>
    <t>TELEFONE</t>
  </si>
  <si>
    <t>RG</t>
  </si>
  <si>
    <t>DEPARTAMENTO</t>
  </si>
  <si>
    <t>CARGO</t>
  </si>
  <si>
    <t>FORMAÇÃO ACADÊMICA</t>
  </si>
  <si>
    <t>SALÁRIO BASE</t>
  </si>
  <si>
    <t>RENDIMENTO</t>
  </si>
  <si>
    <t>DATA DE ADMISSÃO</t>
  </si>
  <si>
    <t>ÚLTIMO PERIODO AQUISITIVO</t>
  </si>
  <si>
    <t>FÉRIAS</t>
  </si>
  <si>
    <t>AFASTAMENTO</t>
  </si>
  <si>
    <t>CIDADE</t>
  </si>
  <si>
    <t>ENDEREÇO</t>
  </si>
  <si>
    <t>CEP</t>
  </si>
  <si>
    <t xml:space="preserve">STATUS </t>
  </si>
  <si>
    <t>Adler Pereira de Lima</t>
  </si>
  <si>
    <t>Masculino</t>
  </si>
  <si>
    <t>989.833.658-70</t>
  </si>
  <si>
    <t>adler.lima@yourgucci.com.br</t>
  </si>
  <si>
    <t>(11)93867-3143</t>
  </si>
  <si>
    <t>26.044.779-1</t>
  </si>
  <si>
    <t>ESTOQUE</t>
  </si>
  <si>
    <t>Estoquista</t>
  </si>
  <si>
    <t>Técnico em Logística</t>
  </si>
  <si>
    <t>Não</t>
  </si>
  <si>
    <t>Não possui</t>
  </si>
  <si>
    <t>Bragança Paulista - SP</t>
  </si>
  <si>
    <t>R. Doutor Tosta, 32.Vila Aparecida</t>
  </si>
  <si>
    <t>12905-650</t>
  </si>
  <si>
    <t>ATIVO(A)</t>
  </si>
  <si>
    <t>Aline Silva Santana</t>
  </si>
  <si>
    <t>Feminino</t>
  </si>
  <si>
    <t>925.664.188-01</t>
  </si>
  <si>
    <t>aline.santana@yourgucci.com.br</t>
  </si>
  <si>
    <t>(11) 92503-4742</t>
  </si>
  <si>
    <t>14.742.419-7</t>
  </si>
  <si>
    <t>RH</t>
  </si>
  <si>
    <t>Analista</t>
  </si>
  <si>
    <t>Gestão de Pessoas</t>
  </si>
  <si>
    <t>Sim</t>
  </si>
  <si>
    <t>R.Maria Salo, 754. Jardim São Miguel</t>
  </si>
  <si>
    <t>12906-087</t>
  </si>
  <si>
    <t>André Felipe Vasques</t>
  </si>
  <si>
    <t>500.819.338-43</t>
  </si>
  <si>
    <t>andre.vasques@yourgucci.com.br</t>
  </si>
  <si>
    <t>(11)9 3748-5583</t>
  </si>
  <si>
    <t>22.915.671-X</t>
  </si>
  <si>
    <t>LOGÍSTICA</t>
  </si>
  <si>
    <t>Auxiliar</t>
  </si>
  <si>
    <t>Administração</t>
  </si>
  <si>
    <t>R. Gustavo Ernesto, 87. Jardim das Palmeiras</t>
  </si>
  <si>
    <t>12900-030</t>
  </si>
  <si>
    <t>André Luís Aparecido Romano</t>
  </si>
  <si>
    <t>242.511.528-59</t>
  </si>
  <si>
    <t>andre.romano@yourgucci.com.br</t>
  </si>
  <si>
    <t>(11) 92528-0283</t>
  </si>
  <si>
    <t>30.469.882-9</t>
  </si>
  <si>
    <t>Gerente</t>
  </si>
  <si>
    <t>Gestão Empresarial</t>
  </si>
  <si>
    <t>R.Luis Luis,66. Vila Aparecida</t>
  </si>
  <si>
    <t>12945-054</t>
  </si>
  <si>
    <t>Cauê Silveira Vaz de Lima</t>
  </si>
  <si>
    <t>121.355.408-03</t>
  </si>
  <si>
    <t>cauevaz.lima@yourgucci.com.br</t>
  </si>
  <si>
    <t>(11) 92572-9248</t>
  </si>
  <si>
    <t>35.371.765-4</t>
  </si>
  <si>
    <t xml:space="preserve">FINANÇAS </t>
  </si>
  <si>
    <t>Gestão Financeira</t>
  </si>
  <si>
    <t>Av. Tramoio, 23. Jardim Servilha</t>
  </si>
  <si>
    <t>12905-047</t>
  </si>
  <si>
    <t>Eduardo Louzada da Costa</t>
  </si>
  <si>
    <t>534.464.338-13</t>
  </si>
  <si>
    <t>eduardo.costa@yourgucci.com.br</t>
  </si>
  <si>
    <t>(11) 92932-6574</t>
  </si>
  <si>
    <t>23.125.563-9</t>
  </si>
  <si>
    <t>PRODUÇÃO</t>
  </si>
  <si>
    <t>Operador de Produção</t>
  </si>
  <si>
    <t>Ciências Contábeis</t>
  </si>
  <si>
    <t>Atestado Médico</t>
  </si>
  <si>
    <t>R. Voluntário José,11. Planejada 1</t>
  </si>
  <si>
    <t>12908-031</t>
  </si>
  <si>
    <t>Emily Alexandre</t>
  </si>
  <si>
    <t>309.447.578-71</t>
  </si>
  <si>
    <t>emily.alexandre@yourgucci.com.br</t>
  </si>
  <si>
    <t>(11)92957-9037</t>
  </si>
  <si>
    <t>21.478.974-3</t>
  </si>
  <si>
    <t>Travessa Vicente Luis, 343. Toró</t>
  </si>
  <si>
    <t>12947-080</t>
  </si>
  <si>
    <t>Enrique Jacob Garrido Navea</t>
  </si>
  <si>
    <t>715.454.098-20</t>
  </si>
  <si>
    <t>enrique.navea@yourgucci.com.br</t>
  </si>
  <si>
    <t>(11) 93069-3347</t>
  </si>
  <si>
    <t>19.123.282-8</t>
  </si>
  <si>
    <t>Logística</t>
  </si>
  <si>
    <t>R. Fernando Serra, 432. Patury</t>
  </si>
  <si>
    <t>12906-055</t>
  </si>
  <si>
    <t>Gabriel Hideki Yoshimura</t>
  </si>
  <si>
    <t>420.433.398-26</t>
  </si>
  <si>
    <t>gabriel.yoshimura@yourgucci.com.br</t>
  </si>
  <si>
    <t>(11) 99905-6615</t>
  </si>
  <si>
    <t>34.857.412-5</t>
  </si>
  <si>
    <t>Economia</t>
  </si>
  <si>
    <t>R. Das Rosas, 10. Julio Mesquita</t>
  </si>
  <si>
    <t>12978-066</t>
  </si>
  <si>
    <t>Breno Yuta Correia Hirakawa</t>
  </si>
  <si>
    <t>658.963.328-23</t>
  </si>
  <si>
    <t>breno.hirakawa@yourgucci.com.br</t>
  </si>
  <si>
    <t>(11) 99488-3338</t>
  </si>
  <si>
    <t>44.960.551-6</t>
  </si>
  <si>
    <t>COMPRAS</t>
  </si>
  <si>
    <t>R. Amancio Mazzaropi, 32. Vila Davi</t>
  </si>
  <si>
    <t>12990-000</t>
  </si>
  <si>
    <t>Geisiele de Oliveira Souza</t>
  </si>
  <si>
    <t>754.936.008-11</t>
  </si>
  <si>
    <t>geisiele.souza@yourgucci.com.br</t>
  </si>
  <si>
    <t>(11) 98536-7777</t>
  </si>
  <si>
    <t>36.719.839-3</t>
  </si>
  <si>
    <t>Rua José Domingues, 21. Jardim América</t>
  </si>
  <si>
    <t>12987-031</t>
  </si>
  <si>
    <t>Giovanni Bertho Pachoal</t>
  </si>
  <si>
    <t>146.008.278-80</t>
  </si>
  <si>
    <t>giovanni.paschoal@yourgucci.com.br</t>
  </si>
  <si>
    <t>(11) 98348-8423</t>
  </si>
  <si>
    <t>35.154.630-3</t>
  </si>
  <si>
    <t>VENDAS</t>
  </si>
  <si>
    <t>Rua Expedicionário José Franco, 654. Matadouro</t>
  </si>
  <si>
    <t>12963-014</t>
  </si>
  <si>
    <t>Giovanni Torres</t>
  </si>
  <si>
    <t>505.844.918-83</t>
  </si>
  <si>
    <t>giovanni.torres@yourgucci.com.br</t>
  </si>
  <si>
    <t>(11) 98428-4058</t>
  </si>
  <si>
    <t>23.648.720-6</t>
  </si>
  <si>
    <t>Casamento</t>
  </si>
  <si>
    <t>Av. José Lourenço, 65. Jardim das Palmeiras</t>
  </si>
  <si>
    <t>12958-078</t>
  </si>
  <si>
    <t>Ígor Belon Franzolin</t>
  </si>
  <si>
    <t>287.933.638-42</t>
  </si>
  <si>
    <t>igor.franzolin@yourgucci.com.br</t>
  </si>
  <si>
    <t>(11) 97285-6545</t>
  </si>
  <si>
    <t>43.756.374-1</t>
  </si>
  <si>
    <t>Av. Rosalia dos Sanos, 87. Jardim dos Palmares</t>
  </si>
  <si>
    <t>12904-148</t>
  </si>
  <si>
    <t>Isabella Sacoman Soares de Souza</t>
  </si>
  <si>
    <t>899.314.798-17</t>
  </si>
  <si>
    <t>isabella.sacoman@yourgucci.com.br</t>
  </si>
  <si>
    <t>(11) 98933-1683</t>
  </si>
  <si>
    <t>19.176.478-4</t>
  </si>
  <si>
    <t>Av. Maria das Graças, 98. São Miguel</t>
  </si>
  <si>
    <t>12933-001</t>
  </si>
  <si>
    <t>Isabelly Morandim Batista</t>
  </si>
  <si>
    <t>504.677.958-78</t>
  </si>
  <si>
    <t>isabelly.batista@yourgucci.com.br</t>
  </si>
  <si>
    <t>(11) 99106-6150</t>
  </si>
  <si>
    <t>23.324.992-8</t>
  </si>
  <si>
    <t>Adminstração</t>
  </si>
  <si>
    <t>Av. Dom Pedro I, 567. Penha</t>
  </si>
  <si>
    <t>12905-450</t>
  </si>
  <si>
    <t>Isaias Chandere Pastor Lira</t>
  </si>
  <si>
    <t>102.348.378-53</t>
  </si>
  <si>
    <t>isaias.lira@yourgucci.com.br</t>
  </si>
  <si>
    <t>(11) 97527-7721</t>
  </si>
  <si>
    <t>41.718.183-8</t>
  </si>
  <si>
    <t>Av. Coronel Pedro Afonso, 778. Parque dos Estados</t>
  </si>
  <si>
    <t>12907-021</t>
  </si>
  <si>
    <t>Jhennifer Anselmo de Oliveira</t>
  </si>
  <si>
    <t>478.069.088-97</t>
  </si>
  <si>
    <t>jhennifer.oliveira@yourgucci.com.br</t>
  </si>
  <si>
    <t>(11) 96985-4563</t>
  </si>
  <si>
    <t>41.827.783-7</t>
  </si>
  <si>
    <t>Rua João Barbosa Silva, 574. Penha</t>
  </si>
  <si>
    <t>12906-020</t>
  </si>
  <si>
    <t>Julia Mendes Frazão</t>
  </si>
  <si>
    <t>266.423.988-07</t>
  </si>
  <si>
    <t>julia.frazao@yourgucci.com.br</t>
  </si>
  <si>
    <t>(11) 98747-1255</t>
  </si>
  <si>
    <t>46.618.128-0</t>
  </si>
  <si>
    <t>Av. José do Amaral, 876. Iguatemi</t>
  </si>
  <si>
    <t>12901-025</t>
  </si>
  <si>
    <t>Leonardo Eggert Paganini</t>
  </si>
  <si>
    <t>304.201.178-06</t>
  </si>
  <si>
    <t>leonardo.paganini@yourgucci.com.br</t>
  </si>
  <si>
    <t>(11) 99575-5820</t>
  </si>
  <si>
    <t>14.055.246-7</t>
  </si>
  <si>
    <t>Av. Maria de Aguiar Leme, 219.  Jardim Europa</t>
  </si>
  <si>
    <t>12902-036</t>
  </si>
  <si>
    <t>Lucas Abrao Salazar da Rocha</t>
  </si>
  <si>
    <t>398.665.388-00</t>
  </si>
  <si>
    <t>lucas.rocha@yourgucci.com.br</t>
  </si>
  <si>
    <t>(11) 98767-6040</t>
  </si>
  <si>
    <t>49.896.379-2</t>
  </si>
  <si>
    <t>Diretor Industrial</t>
  </si>
  <si>
    <t>Engenharia de Produção</t>
  </si>
  <si>
    <t>Av. Roberto Ramos Nuciarelli, 324. Jardim das Palmeiras</t>
  </si>
  <si>
    <t>12909-361</t>
  </si>
  <si>
    <t>Lucas Fiore</t>
  </si>
  <si>
    <t>259.845.208-93</t>
  </si>
  <si>
    <t>lucas.fiore@yourgucci.com.br</t>
  </si>
  <si>
    <t>(11) 98742-4753</t>
  </si>
  <si>
    <t>31.098.429-4</t>
  </si>
  <si>
    <t>Av. Juscelino Borges, 234. Residencial das Ilhas</t>
  </si>
  <si>
    <t>12903-956</t>
  </si>
  <si>
    <t>Lucas Eduardo Santos Barbosa</t>
  </si>
  <si>
    <t>175.967.548-21</t>
  </si>
  <si>
    <t>lucas.barbosa@yourgucci.com.br</t>
  </si>
  <si>
    <t>(11) 97233-0719</t>
  </si>
  <si>
    <t>28.614.439-6</t>
  </si>
  <si>
    <t>Rua Expedicionário da Rocha, 777. Guaripocaba</t>
  </si>
  <si>
    <t>12983-027</t>
  </si>
  <si>
    <t>Lucas Ramires Teixeira</t>
  </si>
  <si>
    <t>888.401.508-11</t>
  </si>
  <si>
    <t>lucas.teixeira@yourgucci.com.br</t>
  </si>
  <si>
    <t>(11) 96864-7815</t>
  </si>
  <si>
    <t>18.686.714-1</t>
  </si>
  <si>
    <t>Gestão de Logística</t>
  </si>
  <si>
    <t>Av. Jorge do Amaral, 455. Toró</t>
  </si>
  <si>
    <t>Luis Claudio Martinowski Borges</t>
  </si>
  <si>
    <t>570.882.778-20</t>
  </si>
  <si>
    <t>luis.borges@yourgucci.com.br</t>
  </si>
  <si>
    <t>(11) 98536-8186</t>
  </si>
  <si>
    <t>48.552.573-2</t>
  </si>
  <si>
    <t>Av. Joaquim Santos Pinto, 758. Santa Helena</t>
  </si>
  <si>
    <t>12902-088</t>
  </si>
  <si>
    <t>Marcos Henrique Barbosa Bernardes</t>
  </si>
  <si>
    <t>841.499.568-39</t>
  </si>
  <si>
    <t>marcos.bernardes@yourgucci.com.br</t>
  </si>
  <si>
    <t>(11) 98614-4174</t>
  </si>
  <si>
    <t>33.850.395-X</t>
  </si>
  <si>
    <t>Técnico em Mecânica</t>
  </si>
  <si>
    <t>Av. Antônio Armando Pires, 54. Guaripocaba</t>
  </si>
  <si>
    <t>12922-055</t>
  </si>
  <si>
    <t>Matheus Andrade Pinheiro</t>
  </si>
  <si>
    <t>389.212.668-32</t>
  </si>
  <si>
    <t>matheus.pinheiro@yourgucci.com.br</t>
  </si>
  <si>
    <t>(11) 98552-8248</t>
  </si>
  <si>
    <t>25.915.732-6</t>
  </si>
  <si>
    <t>Av. Sérgio de Parati, 483. Iguatemi</t>
  </si>
  <si>
    <t>12995-074</t>
  </si>
  <si>
    <t>Matheus Estevam Martin</t>
  </si>
  <si>
    <t>819.508.428-19</t>
  </si>
  <si>
    <t xml:space="preserve">matheus.martin@yourgucci.com.br </t>
  </si>
  <si>
    <t>(11) 99667-0472</t>
  </si>
  <si>
    <t>28.617.005-X</t>
  </si>
  <si>
    <t>Av. Arnaldo Mihaji, 76. Vila Aparecida</t>
  </si>
  <si>
    <t>12901-008</t>
  </si>
  <si>
    <t>Matheus Marinho de Oliveira Almeida</t>
  </si>
  <si>
    <t>386.972.998-08</t>
  </si>
  <si>
    <t>matheus.almeida@yourgucci.com.br</t>
  </si>
  <si>
    <t>(11) 97376-6140</t>
  </si>
  <si>
    <t>27.353.110-4</t>
  </si>
  <si>
    <t>Av. João Sebastião, 32. Villa Real</t>
  </si>
  <si>
    <t>12952-001</t>
  </si>
  <si>
    <t>Matheus Viana Arantes</t>
  </si>
  <si>
    <t>733.178.058-11</t>
  </si>
  <si>
    <t>matheus.arantes@yourgucci.com.br</t>
  </si>
  <si>
    <t>(11) 96819-9155</t>
  </si>
  <si>
    <t>41.806.178-6</t>
  </si>
  <si>
    <t>Engenharia de Alimentos</t>
  </si>
  <si>
    <t>Av. Edgar Amarantos, 65. Jardim América</t>
  </si>
  <si>
    <t>12903-041</t>
  </si>
  <si>
    <t>Mizael de Oliveira Santos</t>
  </si>
  <si>
    <t>503.655.038-71</t>
  </si>
  <si>
    <t>mizael.santos@yourgucci.com.br</t>
  </si>
  <si>
    <t>(11) 97977-1178</t>
  </si>
  <si>
    <t>28.314.108-6</t>
  </si>
  <si>
    <t>Rua Julio Vasconcelos, 88. Patury</t>
  </si>
  <si>
    <t>12908-145</t>
  </si>
  <si>
    <t>Nícolas Oliveira Baptista Pereira</t>
  </si>
  <si>
    <t>959.233.828-06</t>
  </si>
  <si>
    <t>nicolas.pereira@yourgucci.com.br</t>
  </si>
  <si>
    <t>(11) 99462-1050</t>
  </si>
  <si>
    <t>40.733.644-8</t>
  </si>
  <si>
    <t>Av. Paulo Leme dos Santos, 67. São Lourenço</t>
  </si>
  <si>
    <t>12909-020</t>
  </si>
  <si>
    <t>Nicolas Yoshizawa Fumani</t>
  </si>
  <si>
    <t>585.534.258-19</t>
  </si>
  <si>
    <t>nicolas.fumani@yourgucci.com.br</t>
  </si>
  <si>
    <t>(11) 98722-2063</t>
  </si>
  <si>
    <t>11.662.277-5</t>
  </si>
  <si>
    <t>Av. Maria Duarte Yumi, 34. Santa Helena</t>
  </si>
  <si>
    <t>12932-011</t>
  </si>
  <si>
    <t>Paulo André Lima dos Santos</t>
  </si>
  <si>
    <t>140.924.888-74</t>
  </si>
  <si>
    <t>paulo.santos@yourgucci.com.br</t>
  </si>
  <si>
    <t>(11) 98682-2864</t>
  </si>
  <si>
    <t>23.882.038-5</t>
  </si>
  <si>
    <t>Av. Afonso de Araras, 21. Curitibanos</t>
  </si>
  <si>
    <t>12905-213</t>
  </si>
  <si>
    <t xml:space="preserve">Péricles de Jesus Gomes </t>
  </si>
  <si>
    <t>868.560.648-96</t>
  </si>
  <si>
    <t>pericles.pereira@yourgucci.com.br</t>
  </si>
  <si>
    <t>(11) 97935-4505</t>
  </si>
  <si>
    <t>48.188.878-0</t>
  </si>
  <si>
    <t>Rua Antônio Valadares, 09. Villa Real</t>
  </si>
  <si>
    <t>12911-085</t>
  </si>
  <si>
    <t>Renato Rodrigues dos Santos Júnior</t>
  </si>
  <si>
    <t>750.044.568-79</t>
  </si>
  <si>
    <t>renato.junior@yourgucci.com.br</t>
  </si>
  <si>
    <t>(11) 99506-2883</t>
  </si>
  <si>
    <t>27.622.869-8</t>
  </si>
  <si>
    <t>Rua Juliana da Conquista, 98. Patury</t>
  </si>
  <si>
    <t>12974-033</t>
  </si>
  <si>
    <t>Rodrigo Valezi Martins</t>
  </si>
  <si>
    <t>205.618.508-36</t>
  </si>
  <si>
    <t>rodrigo.martins@yourgucci.com.br</t>
  </si>
  <si>
    <t>(11) 99783-4545</t>
  </si>
  <si>
    <t>24.683.395-6</t>
  </si>
  <si>
    <t>Av. Márcio Nesquista, 10. Penha</t>
  </si>
  <si>
    <t>12905-009</t>
  </si>
  <si>
    <t>Thales Machado Prado</t>
  </si>
  <si>
    <t>128.312.348-75</t>
  </si>
  <si>
    <t>thales.prado@yourgucci.com.br</t>
  </si>
  <si>
    <t>(11) 96943-5335</t>
  </si>
  <si>
    <t>39.403.087-4</t>
  </si>
  <si>
    <t>Av. Mariana Royal Pires, 50. Centro</t>
  </si>
  <si>
    <t>12907-087</t>
  </si>
  <si>
    <t>Thalia Pereira Sladek</t>
  </si>
  <si>
    <t>759.400.348-96</t>
  </si>
  <si>
    <t>thalia.sladek@yourgucci.com.br</t>
  </si>
  <si>
    <t>(11) 97615-8274</t>
  </si>
  <si>
    <t>41.855.149-2</t>
  </si>
  <si>
    <t>Licença Maternidade</t>
  </si>
  <si>
    <t>Av. São Bento Silva, 59. Jardim das Palmeiras</t>
  </si>
  <si>
    <t>12901-005</t>
  </si>
  <si>
    <t>bolsonaro22</t>
  </si>
  <si>
    <t>lula13</t>
  </si>
  <si>
    <t>Data de Fabricação</t>
  </si>
  <si>
    <t>Yogurtes</t>
  </si>
  <si>
    <t>Quantidade em Litros</t>
  </si>
  <si>
    <t>Data de Validade</t>
  </si>
  <si>
    <t>Quantidade em:</t>
  </si>
  <si>
    <t>Código dos produtos:</t>
  </si>
  <si>
    <t>Litros</t>
  </si>
  <si>
    <t>RECEITA</t>
  </si>
  <si>
    <t>ITENS NO ESTOQUE</t>
  </si>
  <si>
    <t xml:space="preserve">Fruta congelada do sabor </t>
  </si>
  <si>
    <t>200g P/Litro</t>
  </si>
  <si>
    <t xml:space="preserve"> </t>
  </si>
  <si>
    <t xml:space="preserve">Frutas congeladas    -    50Kg </t>
  </si>
  <si>
    <t>Leite</t>
  </si>
  <si>
    <t>900ml P/Litro</t>
  </si>
  <si>
    <t>Leite     -      80L</t>
  </si>
  <si>
    <t>Conservante</t>
  </si>
  <si>
    <t>150g P/Litro</t>
  </si>
  <si>
    <t>Conservante   -    37Kg</t>
  </si>
  <si>
    <t>50g P/Litro</t>
  </si>
  <si>
    <t>Espessante   -   60Kg</t>
  </si>
  <si>
    <t>100g P/Litro</t>
  </si>
  <si>
    <t>Açúcar      -      50Kg</t>
  </si>
  <si>
    <t>Tipo do Produto</t>
  </si>
  <si>
    <t>Código do Produto</t>
  </si>
  <si>
    <t>PEDIDOS</t>
  </si>
  <si>
    <t>REMESSA</t>
  </si>
  <si>
    <t>Data do Pedido</t>
  </si>
  <si>
    <t>Data de Entrega</t>
  </si>
  <si>
    <t>Data de Vencimento</t>
  </si>
  <si>
    <t>Yogurte de Morango - 25L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</si>
</sst>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&quot;$&quot;#,##0.00"/>
    <numFmt numFmtId="166" formatCode="dd/mm/yy;@"/>
    <numFmt numFmtId="167" formatCode="&quot;R$&quot;\ #,##0.00"/>
    <numFmt numFmtId="168" formatCode="0.0%"/>
    <numFmt numFmtId="169" formatCode="[&lt;=9999999]###\-####;\(###\)\ ###\-####"/>
    <numFmt numFmtId="170" formatCode="[$R$-416]\ #,##0.00"/>
    <numFmt numFmtId="171" formatCode="_-[$R$-416]\ * #,##0.00_-;\-[$R$-416]\ * #,##0.00_-;_-[$R$-416]\ * &quot;-&quot;??_-;_-@_-"/>
    <numFmt numFmtId="172" formatCode="_-* #,##0_-;\-* #,##0_-;_-* &quot;-&quot;??_-;_-@_-"/>
  </numFmts>
  <fonts count="48">
    <font>
      <sz val="11"/>
      <color theme="1"/>
      <name val="Aptos Narrow"/>
      <family val="2"/>
      <scheme val="minor"/>
    </font>
    <font>
      <sz val="10"/>
      <color theme="1"/>
      <name val="Gordita"/>
      <family val="3"/>
    </font>
    <font>
      <sz val="14"/>
      <color theme="1"/>
      <name val="Gordita"/>
      <family val="3"/>
    </font>
    <font>
      <sz val="26"/>
      <color theme="1"/>
      <name val="Gordita"/>
      <family val="3"/>
    </font>
    <font>
      <b/>
      <sz val="10"/>
      <color theme="1"/>
      <name val="Gordita"/>
      <family val="3"/>
    </font>
    <font>
      <sz val="20"/>
      <color theme="1"/>
      <name val="Gordita"/>
      <family val="3"/>
    </font>
    <font>
      <sz val="2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theme="8" tint="0.79998168889431442"/>
      <name val="Gordita"/>
      <family val="3"/>
    </font>
    <font>
      <u/>
      <sz val="10"/>
      <color theme="10"/>
      <name val="Gordita"/>
      <family val="3"/>
    </font>
    <font>
      <b/>
      <sz val="11"/>
      <color theme="1"/>
      <name val="Aptos Narrow"/>
      <family val="2"/>
      <scheme val="minor"/>
    </font>
    <font>
      <sz val="20"/>
      <color rgb="FF000000"/>
      <name val="Gordita"/>
      <family val="3"/>
    </font>
    <font>
      <sz val="12"/>
      <color rgb="FF000000"/>
      <name val="Gordita"/>
    </font>
    <font>
      <sz val="12"/>
      <color theme="1"/>
      <name val="Gordita"/>
      <family val="3"/>
    </font>
    <font>
      <sz val="11"/>
      <color theme="1"/>
      <name val="Aptos Narrow"/>
      <family val="2"/>
      <scheme val="minor"/>
    </font>
    <font>
      <sz val="22"/>
      <color theme="1"/>
      <name val="Gordita"/>
      <family val="3"/>
    </font>
    <font>
      <sz val="22"/>
      <color theme="1"/>
      <name val="Aptos Narrow"/>
      <family val="2"/>
      <scheme val="minor"/>
    </font>
    <font>
      <b/>
      <sz val="11"/>
      <color rgb="FF000000"/>
      <name val="Calibri Light"/>
      <family val="2"/>
    </font>
    <font>
      <sz val="11"/>
      <color rgb="FF000000"/>
      <name val="Calibri Light"/>
      <family val="2"/>
    </font>
    <font>
      <sz val="10"/>
      <color rgb="FF000000"/>
      <name val="Gordita"/>
    </font>
    <font>
      <sz val="10"/>
      <color theme="1"/>
      <name val="Gordita"/>
    </font>
    <font>
      <sz val="10"/>
      <color theme="10"/>
      <name val="Gordita"/>
    </font>
    <font>
      <sz val="10"/>
      <name val="Gordita"/>
    </font>
    <font>
      <sz val="10"/>
      <color rgb="FF0563C1"/>
      <name val="Gordita"/>
    </font>
    <font>
      <u/>
      <sz val="10"/>
      <color rgb="FF000000"/>
      <name val="Gordita"/>
    </font>
    <font>
      <sz val="8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FEBECF"/>
      <name val="Aptos Narrow"/>
      <family val="2"/>
      <scheme val="minor"/>
    </font>
    <font>
      <sz val="15"/>
      <color theme="1"/>
      <name val="Aptos Narrow"/>
      <family val="2"/>
      <scheme val="minor"/>
    </font>
    <font>
      <u/>
      <sz val="15"/>
      <color theme="1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rial"/>
      <family val="2"/>
    </font>
    <font>
      <sz val="12"/>
      <color rgb="FF0D0D0D"/>
      <name val="Arial Nova"/>
      <family val="2"/>
    </font>
    <font>
      <sz val="12"/>
      <color rgb="FF0D0D0D"/>
      <name val="Arial"/>
      <family val="2"/>
    </font>
    <font>
      <sz val="12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1"/>
      <color theme="1"/>
      <name val="Arial Nova"/>
      <family val="2"/>
    </font>
    <font>
      <sz val="12"/>
      <color theme="1"/>
      <name val="Arial Nova"/>
      <family val="2"/>
    </font>
    <font>
      <sz val="11"/>
      <name val="Aptos Narrow"/>
      <family val="2"/>
      <scheme val="minor"/>
    </font>
    <font>
      <b/>
      <sz val="16"/>
      <color theme="1"/>
      <name val="Aptos Display"/>
      <family val="2"/>
      <scheme val="major"/>
    </font>
    <font>
      <b/>
      <sz val="16"/>
      <color theme="1"/>
      <name val="Aptos Narrow"/>
      <family val="2"/>
      <scheme val="minor"/>
    </font>
    <font>
      <sz val="16"/>
      <color theme="1"/>
      <name val="Gordita"/>
      <family val="3"/>
    </font>
    <font>
      <sz val="26"/>
      <color rgb="FF000000"/>
      <name val="Georgia"/>
      <family val="1"/>
    </font>
    <font>
      <sz val="11"/>
      <color rgb="FF000000"/>
      <name val="Aptos Narrow"/>
      <family val="2"/>
    </font>
    <font>
      <sz val="18"/>
      <color rgb="FF000000"/>
      <name val="Gordita"/>
    </font>
  </fonts>
  <fills count="9">
    <fill>
      <patternFill patternType="none"/>
    </fill>
    <fill>
      <patternFill patternType="gray125"/>
    </fill>
    <fill>
      <patternFill patternType="solid">
        <fgColor rgb="FFFFBDC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F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BDCF"/>
        <bgColor rgb="FF000000"/>
      </patternFill>
    </fill>
  </fills>
  <borders count="3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/>
      <bottom style="thin">
        <color rgb="FF000000"/>
      </bottom>
      <diagonal/>
    </border>
    <border>
      <left/>
      <right style="thin">
        <color auto="1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indexed="64"/>
      </right>
      <top/>
      <bottom/>
      <diagonal/>
    </border>
  </borders>
  <cellStyleXfs count="7">
    <xf numFmtId="0" fontId="0" fillId="0" borderId="0"/>
    <xf numFmtId="0" fontId="7" fillId="0" borderId="0" applyNumberForma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7" fillId="0" borderId="0" applyNumberFormat="0" applyFill="0" applyBorder="0" applyAlignment="0" applyProtection="0"/>
    <xf numFmtId="43" fontId="14" fillId="0" borderId="0" applyFont="0" applyFill="0" applyBorder="0" applyAlignment="0" applyProtection="0"/>
    <xf numFmtId="0" fontId="34" fillId="0" borderId="0"/>
  </cellStyleXfs>
  <cellXfs count="305">
    <xf numFmtId="0" fontId="0" fillId="0" borderId="0" xfId="0"/>
    <xf numFmtId="0" fontId="0" fillId="2" borderId="0" xfId="0" applyFill="1"/>
    <xf numFmtId="0" fontId="0" fillId="3" borderId="6" xfId="0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2" borderId="0" xfId="0" applyFill="1" applyAlignment="1">
      <alignment horizontal="center" vertical="top"/>
    </xf>
    <xf numFmtId="14" fontId="0" fillId="4" borderId="6" xfId="0" applyNumberFormat="1" applyFill="1" applyBorder="1"/>
    <xf numFmtId="0" fontId="0" fillId="3" borderId="10" xfId="0" applyFill="1" applyBorder="1"/>
    <xf numFmtId="0" fontId="0" fillId="3" borderId="12" xfId="0" applyFill="1" applyBorder="1"/>
    <xf numFmtId="0" fontId="1" fillId="3" borderId="6" xfId="0" applyFont="1" applyFill="1" applyBorder="1" applyAlignment="1">
      <alignment horizontal="center" vertical="top"/>
    </xf>
    <xf numFmtId="0" fontId="1" fillId="3" borderId="6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3" fillId="4" borderId="0" xfId="0" applyFont="1" applyFill="1"/>
    <xf numFmtId="0" fontId="4" fillId="3" borderId="6" xfId="0" applyFont="1" applyFill="1" applyBorder="1"/>
    <xf numFmtId="0" fontId="1" fillId="4" borderId="6" xfId="0" applyFont="1" applyFill="1" applyBorder="1"/>
    <xf numFmtId="0" fontId="5" fillId="4" borderId="0" xfId="0" applyFont="1" applyFill="1"/>
    <xf numFmtId="0" fontId="6" fillId="4" borderId="0" xfId="0" applyFont="1" applyFill="1"/>
    <xf numFmtId="0" fontId="1" fillId="4" borderId="10" xfId="0" applyFont="1" applyFill="1" applyBorder="1"/>
    <xf numFmtId="0" fontId="1" fillId="4" borderId="11" xfId="0" applyFont="1" applyFill="1" applyBorder="1" applyAlignment="1">
      <alignment horizontal="center"/>
    </xf>
    <xf numFmtId="0" fontId="1" fillId="4" borderId="12" xfId="0" applyFont="1" applyFill="1" applyBorder="1"/>
    <xf numFmtId="0" fontId="1" fillId="2" borderId="0" xfId="0" applyFont="1" applyFill="1"/>
    <xf numFmtId="0" fontId="1" fillId="4" borderId="10" xfId="0" applyFont="1" applyFill="1" applyBorder="1" applyAlignment="1">
      <alignment horizontal="center"/>
    </xf>
    <xf numFmtId="0" fontId="1" fillId="4" borderId="12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165" fontId="1" fillId="2" borderId="0" xfId="0" applyNumberFormat="1" applyFont="1" applyFill="1"/>
    <xf numFmtId="166" fontId="1" fillId="2" borderId="0" xfId="0" applyNumberFormat="1" applyFont="1" applyFill="1"/>
    <xf numFmtId="0" fontId="1" fillId="4" borderId="0" xfId="0" applyFont="1" applyFill="1"/>
    <xf numFmtId="0" fontId="1" fillId="2" borderId="8" xfId="0" applyFont="1" applyFill="1" applyBorder="1" applyAlignment="1">
      <alignment horizontal="left"/>
    </xf>
    <xf numFmtId="0" fontId="1" fillId="4" borderId="13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left"/>
    </xf>
    <xf numFmtId="14" fontId="1" fillId="4" borderId="13" xfId="0" applyNumberFormat="1" applyFont="1" applyFill="1" applyBorder="1" applyAlignment="1">
      <alignment horizontal="left"/>
    </xf>
    <xf numFmtId="0" fontId="1" fillId="4" borderId="13" xfId="0" applyFont="1" applyFill="1" applyBorder="1" applyAlignment="1">
      <alignment horizontal="left"/>
    </xf>
    <xf numFmtId="0" fontId="9" fillId="4" borderId="13" xfId="1" applyFont="1" applyFill="1" applyBorder="1" applyAlignment="1">
      <alignment horizontal="left"/>
    </xf>
    <xf numFmtId="167" fontId="1" fillId="4" borderId="13" xfId="0" applyNumberFormat="1" applyFont="1" applyFill="1" applyBorder="1" applyAlignment="1">
      <alignment horizontal="left"/>
    </xf>
    <xf numFmtId="166" fontId="1" fillId="4" borderId="13" xfId="0" applyNumberFormat="1" applyFont="1" applyFill="1" applyBorder="1" applyAlignment="1">
      <alignment horizontal="left"/>
    </xf>
    <xf numFmtId="0" fontId="1" fillId="4" borderId="6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left"/>
    </xf>
    <xf numFmtId="14" fontId="1" fillId="4" borderId="6" xfId="0" applyNumberFormat="1" applyFont="1" applyFill="1" applyBorder="1" applyAlignment="1">
      <alignment horizontal="left"/>
    </xf>
    <xf numFmtId="0" fontId="1" fillId="4" borderId="6" xfId="0" applyFont="1" applyFill="1" applyBorder="1" applyAlignment="1">
      <alignment horizontal="left"/>
    </xf>
    <xf numFmtId="0" fontId="9" fillId="4" borderId="6" xfId="1" applyFont="1" applyFill="1" applyBorder="1" applyAlignment="1">
      <alignment horizontal="left"/>
    </xf>
    <xf numFmtId="167" fontId="1" fillId="4" borderId="6" xfId="0" applyNumberFormat="1" applyFont="1" applyFill="1" applyBorder="1" applyAlignment="1">
      <alignment horizontal="left"/>
    </xf>
    <xf numFmtId="166" fontId="1" fillId="4" borderId="6" xfId="0" applyNumberFormat="1" applyFont="1" applyFill="1" applyBorder="1" applyAlignment="1">
      <alignment horizontal="left"/>
    </xf>
    <xf numFmtId="2" fontId="1" fillId="4" borderId="6" xfId="0" applyNumberFormat="1" applyFont="1" applyFill="1" applyBorder="1" applyAlignment="1">
      <alignment horizontal="left"/>
    </xf>
    <xf numFmtId="0" fontId="9" fillId="4" borderId="6" xfId="1" applyFont="1" applyFill="1" applyBorder="1" applyAlignment="1">
      <alignment horizontal="left" wrapText="1"/>
    </xf>
    <xf numFmtId="3" fontId="1" fillId="4" borderId="6" xfId="0" applyNumberFormat="1" applyFont="1" applyFill="1" applyBorder="1" applyAlignment="1">
      <alignment horizontal="left"/>
    </xf>
    <xf numFmtId="0" fontId="1" fillId="4" borderId="0" xfId="0" applyFont="1" applyFill="1" applyAlignment="1">
      <alignment horizontal="center"/>
    </xf>
    <xf numFmtId="165" fontId="1" fillId="4" borderId="0" xfId="0" applyNumberFormat="1" applyFont="1" applyFill="1"/>
    <xf numFmtId="166" fontId="1" fillId="4" borderId="0" xfId="0" applyNumberFormat="1" applyFont="1" applyFill="1"/>
    <xf numFmtId="0" fontId="1" fillId="2" borderId="2" xfId="0" applyFont="1" applyFill="1" applyBorder="1"/>
    <xf numFmtId="14" fontId="1" fillId="2" borderId="0" xfId="0" applyNumberFormat="1" applyFont="1" applyFill="1"/>
    <xf numFmtId="0" fontId="1" fillId="2" borderId="14" xfId="0" applyFont="1" applyFill="1" applyBorder="1" applyAlignment="1">
      <alignment horizontal="center"/>
    </xf>
    <xf numFmtId="0" fontId="8" fillId="2" borderId="13" xfId="0" applyFont="1" applyFill="1" applyBorder="1"/>
    <xf numFmtId="0" fontId="1" fillId="2" borderId="13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left"/>
    </xf>
    <xf numFmtId="0" fontId="1" fillId="2" borderId="14" xfId="0" applyFont="1" applyFill="1" applyBorder="1"/>
    <xf numFmtId="165" fontId="1" fillId="2" borderId="14" xfId="0" applyNumberFormat="1" applyFont="1" applyFill="1" applyBorder="1"/>
    <xf numFmtId="165" fontId="1" fillId="2" borderId="13" xfId="0" applyNumberFormat="1" applyFont="1" applyFill="1" applyBorder="1" applyAlignment="1">
      <alignment horizontal="left"/>
    </xf>
    <xf numFmtId="166" fontId="1" fillId="2" borderId="14" xfId="0" applyNumberFormat="1" applyFont="1" applyFill="1" applyBorder="1"/>
    <xf numFmtId="166" fontId="1" fillId="2" borderId="13" xfId="0" applyNumberFormat="1" applyFont="1" applyFill="1" applyBorder="1" applyAlignment="1">
      <alignment horizontal="left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left" vertical="center"/>
    </xf>
    <xf numFmtId="0" fontId="3" fillId="4" borderId="15" xfId="0" applyFont="1" applyFill="1" applyBorder="1" applyAlignment="1">
      <alignment horizontal="left" vertical="center"/>
    </xf>
    <xf numFmtId="0" fontId="0" fillId="4" borderId="16" xfId="0" applyFill="1" applyBorder="1"/>
    <xf numFmtId="0" fontId="0" fillId="4" borderId="15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3" fillId="3" borderId="25" xfId="0" applyFont="1" applyFill="1" applyBorder="1"/>
    <xf numFmtId="0" fontId="3" fillId="3" borderId="25" xfId="0" applyFont="1" applyFill="1" applyBorder="1" applyAlignment="1">
      <alignment horizontal="center" vertical="center"/>
    </xf>
    <xf numFmtId="0" fontId="0" fillId="4" borderId="23" xfId="0" applyFill="1" applyBorder="1"/>
    <xf numFmtId="0" fontId="0" fillId="4" borderId="24" xfId="0" applyFill="1" applyBorder="1"/>
    <xf numFmtId="0" fontId="10" fillId="2" borderId="0" xfId="0" applyFont="1" applyFill="1" applyAlignment="1">
      <alignment horizontal="center" vertical="center"/>
    </xf>
    <xf numFmtId="0" fontId="11" fillId="4" borderId="18" xfId="0" applyFont="1" applyFill="1" applyBorder="1" applyAlignment="1">
      <alignment horizontal="left" vertical="center"/>
    </xf>
    <xf numFmtId="0" fontId="5" fillId="4" borderId="18" xfId="0" applyFont="1" applyFill="1" applyBorder="1" applyAlignment="1">
      <alignment horizontal="left" vertical="center"/>
    </xf>
    <xf numFmtId="0" fontId="1" fillId="4" borderId="6" xfId="0" applyFont="1" applyFill="1" applyBorder="1" applyAlignment="1">
      <alignment horizontal="center" vertical="center"/>
    </xf>
    <xf numFmtId="44" fontId="3" fillId="3" borderId="25" xfId="0" applyNumberFormat="1" applyFont="1" applyFill="1" applyBorder="1"/>
    <xf numFmtId="0" fontId="3" fillId="4" borderId="25" xfId="0" applyFont="1" applyFill="1" applyBorder="1" applyAlignment="1">
      <alignment horizontal="center" vertical="center"/>
    </xf>
    <xf numFmtId="44" fontId="3" fillId="4" borderId="25" xfId="0" applyNumberFormat="1" applyFont="1" applyFill="1" applyBorder="1"/>
    <xf numFmtId="0" fontId="3" fillId="4" borderId="25" xfId="0" applyFont="1" applyFill="1" applyBorder="1"/>
    <xf numFmtId="0" fontId="13" fillId="4" borderId="25" xfId="0" applyFont="1" applyFill="1" applyBorder="1" applyAlignment="1">
      <alignment horizontal="center" vertical="center"/>
    </xf>
    <xf numFmtId="44" fontId="13" fillId="4" borderId="25" xfId="0" applyNumberFormat="1" applyFont="1" applyFill="1" applyBorder="1"/>
    <xf numFmtId="9" fontId="0" fillId="4" borderId="6" xfId="3" applyFont="1" applyFill="1" applyBorder="1"/>
    <xf numFmtId="168" fontId="0" fillId="4" borderId="6" xfId="3" applyNumberFormat="1" applyFont="1" applyFill="1" applyBorder="1"/>
    <xf numFmtId="44" fontId="3" fillId="3" borderId="25" xfId="2" applyFont="1" applyFill="1" applyBorder="1"/>
    <xf numFmtId="44" fontId="0" fillId="4" borderId="6" xfId="2" applyFont="1" applyFill="1" applyBorder="1"/>
    <xf numFmtId="0" fontId="15" fillId="4" borderId="0" xfId="0" applyFont="1" applyFill="1"/>
    <xf numFmtId="0" fontId="15" fillId="3" borderId="25" xfId="0" applyFont="1" applyFill="1" applyBorder="1" applyAlignment="1">
      <alignment horizontal="center" vertical="center"/>
    </xf>
    <xf numFmtId="0" fontId="15" fillId="4" borderId="0" xfId="0" applyFont="1" applyFill="1" applyAlignment="1">
      <alignment vertical="center"/>
    </xf>
    <xf numFmtId="44" fontId="15" fillId="3" borderId="25" xfId="2" applyFont="1" applyFill="1" applyBorder="1"/>
    <xf numFmtId="0" fontId="16" fillId="4" borderId="6" xfId="0" applyFont="1" applyFill="1" applyBorder="1"/>
    <xf numFmtId="14" fontId="16" fillId="4" borderId="6" xfId="0" applyNumberFormat="1" applyFont="1" applyFill="1" applyBorder="1"/>
    <xf numFmtId="0" fontId="4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26" fillId="4" borderId="0" xfId="0" applyFont="1" applyFill="1" applyAlignment="1">
      <alignment vertical="center"/>
    </xf>
    <xf numFmtId="0" fontId="27" fillId="4" borderId="0" xfId="0" applyFont="1" applyFill="1"/>
    <xf numFmtId="0" fontId="27" fillId="4" borderId="0" xfId="0" applyFont="1" applyFill="1" applyAlignment="1">
      <alignment vertical="center"/>
    </xf>
    <xf numFmtId="0" fontId="27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left" vertical="center"/>
    </xf>
    <xf numFmtId="0" fontId="27" fillId="4" borderId="0" xfId="0" applyFont="1" applyFill="1" applyAlignment="1">
      <alignment horizontal="left"/>
    </xf>
    <xf numFmtId="0" fontId="0" fillId="3" borderId="0" xfId="0" applyFill="1"/>
    <xf numFmtId="0" fontId="29" fillId="3" borderId="6" xfId="0" applyFont="1" applyFill="1" applyBorder="1"/>
    <xf numFmtId="167" fontId="0" fillId="3" borderId="0" xfId="2" applyNumberFormat="1" applyFont="1" applyFill="1" applyBorder="1"/>
    <xf numFmtId="0" fontId="30" fillId="2" borderId="0" xfId="0" applyFont="1" applyFill="1"/>
    <xf numFmtId="44" fontId="0" fillId="3" borderId="6" xfId="2" applyFont="1" applyFill="1" applyBorder="1"/>
    <xf numFmtId="0" fontId="31" fillId="3" borderId="6" xfId="0" applyFont="1" applyFill="1" applyBorder="1"/>
    <xf numFmtId="0" fontId="32" fillId="3" borderId="6" xfId="4" applyFont="1" applyFill="1" applyBorder="1"/>
    <xf numFmtId="14" fontId="31" fillId="3" borderId="6" xfId="0" applyNumberFormat="1" applyFont="1" applyFill="1" applyBorder="1"/>
    <xf numFmtId="44" fontId="31" fillId="3" borderId="6" xfId="2" applyFont="1" applyFill="1" applyBorder="1"/>
    <xf numFmtId="14" fontId="19" fillId="5" borderId="6" xfId="0" applyNumberFormat="1" applyFont="1" applyFill="1" applyBorder="1" applyAlignment="1">
      <alignment horizontal="center" vertical="center"/>
    </xf>
    <xf numFmtId="0" fontId="20" fillId="5" borderId="6" xfId="0" applyFont="1" applyFill="1" applyBorder="1"/>
    <xf numFmtId="0" fontId="19" fillId="5" borderId="6" xfId="0" applyFont="1" applyFill="1" applyBorder="1"/>
    <xf numFmtId="0" fontId="21" fillId="5" borderId="6" xfId="1" applyFont="1" applyFill="1" applyBorder="1" applyAlignment="1"/>
    <xf numFmtId="8" fontId="19" fillId="5" borderId="6" xfId="0" applyNumberFormat="1" applyFont="1" applyFill="1" applyBorder="1"/>
    <xf numFmtId="0" fontId="19" fillId="5" borderId="6" xfId="0" applyFont="1" applyFill="1" applyBorder="1" applyAlignment="1">
      <alignment horizontal="center"/>
    </xf>
    <xf numFmtId="8" fontId="19" fillId="5" borderId="6" xfId="0" applyNumberFormat="1" applyFont="1" applyFill="1" applyBorder="1" applyAlignment="1">
      <alignment horizontal="center"/>
    </xf>
    <xf numFmtId="0" fontId="19" fillId="5" borderId="6" xfId="0" applyFont="1" applyFill="1" applyBorder="1" applyAlignment="1">
      <alignment horizontal="center" vertical="center"/>
    </xf>
    <xf numFmtId="0" fontId="22" fillId="5" borderId="6" xfId="0" applyFont="1" applyFill="1" applyBorder="1"/>
    <xf numFmtId="0" fontId="23" fillId="5" borderId="6" xfId="0" applyFont="1" applyFill="1" applyBorder="1"/>
    <xf numFmtId="0" fontId="18" fillId="5" borderId="6" xfId="0" applyFont="1" applyFill="1" applyBorder="1"/>
    <xf numFmtId="169" fontId="19" fillId="5" borderId="6" xfId="0" applyNumberFormat="1" applyFont="1" applyFill="1" applyBorder="1"/>
    <xf numFmtId="0" fontId="24" fillId="5" borderId="6" xfId="0" applyFont="1" applyFill="1" applyBorder="1"/>
    <xf numFmtId="0" fontId="7" fillId="3" borderId="6" xfId="1" applyFill="1" applyBorder="1"/>
    <xf numFmtId="0" fontId="0" fillId="6" borderId="13" xfId="0" applyFill="1" applyBorder="1" applyAlignment="1">
      <alignment horizontal="center" vertical="center" wrapText="1"/>
    </xf>
    <xf numFmtId="0" fontId="34" fillId="6" borderId="9" xfId="6" applyFill="1" applyBorder="1" applyAlignment="1">
      <alignment horizontal="center" vertical="center" wrapText="1"/>
    </xf>
    <xf numFmtId="0" fontId="35" fillId="6" borderId="13" xfId="0" applyFont="1" applyFill="1" applyBorder="1" applyAlignment="1">
      <alignment horizontal="center" wrapText="1"/>
    </xf>
    <xf numFmtId="0" fontId="36" fillId="6" borderId="13" xfId="0" applyFont="1" applyFill="1" applyBorder="1" applyAlignment="1">
      <alignment vertical="center" wrapText="1"/>
    </xf>
    <xf numFmtId="171" fontId="0" fillId="6" borderId="13" xfId="0" applyNumberFormat="1" applyFill="1" applyBorder="1"/>
    <xf numFmtId="0" fontId="35" fillId="6" borderId="29" xfId="0" applyFont="1" applyFill="1" applyBorder="1" applyAlignment="1">
      <alignment horizontal="center" wrapText="1"/>
    </xf>
    <xf numFmtId="0" fontId="0" fillId="0" borderId="6" xfId="0" applyBorder="1" applyAlignment="1">
      <alignment horizontal="center" vertical="center"/>
    </xf>
    <xf numFmtId="0" fontId="34" fillId="0" borderId="12" xfId="6" applyBorder="1" applyAlignment="1">
      <alignment horizontal="left" vertical="center"/>
    </xf>
    <xf numFmtId="0" fontId="36" fillId="7" borderId="6" xfId="0" applyFont="1" applyFill="1" applyBorder="1" applyAlignment="1">
      <alignment vertical="center" wrapText="1"/>
    </xf>
    <xf numFmtId="171" fontId="0" fillId="0" borderId="6" xfId="0" applyNumberFormat="1" applyBorder="1"/>
    <xf numFmtId="0" fontId="0" fillId="0" borderId="6" xfId="0" applyBorder="1"/>
    <xf numFmtId="0" fontId="34" fillId="0" borderId="0" xfId="6" applyAlignment="1">
      <alignment horizontal="center" vertical="center"/>
    </xf>
    <xf numFmtId="171" fontId="0" fillId="0" borderId="0" xfId="0" applyNumberFormat="1"/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right"/>
    </xf>
    <xf numFmtId="14" fontId="0" fillId="0" borderId="0" xfId="0" applyNumberFormat="1"/>
    <xf numFmtId="0" fontId="34" fillId="6" borderId="5" xfId="6" applyFill="1" applyBorder="1" applyAlignment="1">
      <alignment horizontal="center" vertical="center" wrapText="1"/>
    </xf>
    <xf numFmtId="0" fontId="36" fillId="6" borderId="29" xfId="0" applyFont="1" applyFill="1" applyBorder="1" applyAlignment="1">
      <alignment vertical="center" wrapText="1"/>
    </xf>
    <xf numFmtId="171" fontId="0" fillId="6" borderId="29" xfId="0" applyNumberFormat="1" applyFill="1" applyBorder="1"/>
    <xf numFmtId="0" fontId="0" fillId="0" borderId="10" xfId="0" applyBorder="1" applyAlignment="1">
      <alignment horizontal="center" vertical="center"/>
    </xf>
    <xf numFmtId="0" fontId="7" fillId="0" borderId="6" xfId="4" applyBorder="1"/>
    <xf numFmtId="0" fontId="0" fillId="0" borderId="0" xfId="0" applyAlignment="1">
      <alignment horizontal="right"/>
    </xf>
    <xf numFmtId="172" fontId="0" fillId="0" borderId="0" xfId="5" applyNumberFormat="1" applyFont="1" applyAlignment="1">
      <alignment horizontal="right"/>
    </xf>
    <xf numFmtId="171" fontId="0" fillId="0" borderId="0" xfId="0" applyNumberFormat="1" applyAlignment="1">
      <alignment horizontal="right"/>
    </xf>
    <xf numFmtId="0" fontId="0" fillId="6" borderId="6" xfId="0" applyFill="1" applyBorder="1" applyAlignment="1">
      <alignment horizontal="center" vertical="center" wrapText="1"/>
    </xf>
    <xf numFmtId="0" fontId="34" fillId="6" borderId="6" xfId="6" applyFill="1" applyBorder="1" applyAlignment="1">
      <alignment horizontal="center" vertical="center" wrapText="1"/>
    </xf>
    <xf numFmtId="0" fontId="35" fillId="6" borderId="6" xfId="0" applyFont="1" applyFill="1" applyBorder="1" applyAlignment="1">
      <alignment horizontal="center" wrapText="1"/>
    </xf>
    <xf numFmtId="0" fontId="36" fillId="6" borderId="6" xfId="0" applyFont="1" applyFill="1" applyBorder="1" applyAlignment="1">
      <alignment vertical="center" wrapText="1"/>
    </xf>
    <xf numFmtId="171" fontId="0" fillId="6" borderId="6" xfId="0" applyNumberFormat="1" applyFill="1" applyBorder="1"/>
    <xf numFmtId="0" fontId="10" fillId="0" borderId="0" xfId="0" applyFont="1"/>
    <xf numFmtId="44" fontId="0" fillId="0" borderId="0" xfId="2" applyFont="1" applyAlignment="1">
      <alignment horizontal="right"/>
    </xf>
    <xf numFmtId="172" fontId="10" fillId="3" borderId="0" xfId="5" applyNumberFormat="1" applyFont="1" applyFill="1" applyBorder="1"/>
    <xf numFmtId="14" fontId="0" fillId="2" borderId="0" xfId="0" applyNumberFormat="1" applyFill="1"/>
    <xf numFmtId="0" fontId="39" fillId="4" borderId="6" xfId="0" applyFont="1" applyFill="1" applyBorder="1" applyAlignment="1">
      <alignment horizontal="center" vertical="center" wrapText="1"/>
    </xf>
    <xf numFmtId="0" fontId="40" fillId="4" borderId="6" xfId="6" applyFont="1" applyFill="1" applyBorder="1" applyAlignment="1">
      <alignment horizontal="left" vertical="center" wrapText="1"/>
    </xf>
    <xf numFmtId="0" fontId="35" fillId="4" borderId="6" xfId="0" applyFont="1" applyFill="1" applyBorder="1" applyAlignment="1">
      <alignment horizontal="center" vertical="center" wrapText="1"/>
    </xf>
    <xf numFmtId="0" fontId="35" fillId="4" borderId="6" xfId="0" applyFont="1" applyFill="1" applyBorder="1" applyAlignment="1">
      <alignment vertical="center" wrapText="1"/>
    </xf>
    <xf numFmtId="171" fontId="39" fillId="4" borderId="6" xfId="0" applyNumberFormat="1" applyFont="1" applyFill="1" applyBorder="1" applyAlignment="1">
      <alignment horizontal="right"/>
    </xf>
    <xf numFmtId="0" fontId="35" fillId="4" borderId="6" xfId="0" applyFont="1" applyFill="1" applyBorder="1" applyAlignment="1">
      <alignment horizontal="center" wrapText="1"/>
    </xf>
    <xf numFmtId="171" fontId="35" fillId="4" borderId="6" xfId="0" applyNumberFormat="1" applyFont="1" applyFill="1" applyBorder="1" applyAlignment="1">
      <alignment horizontal="center" wrapText="1"/>
    </xf>
    <xf numFmtId="0" fontId="0" fillId="2" borderId="0" xfId="0" applyFill="1" applyAlignment="1">
      <alignment horizontal="left"/>
    </xf>
    <xf numFmtId="171" fontId="0" fillId="2" borderId="0" xfId="0" applyNumberFormat="1" applyFill="1" applyAlignment="1">
      <alignment horizontal="right"/>
    </xf>
    <xf numFmtId="171" fontId="0" fillId="2" borderId="0" xfId="0" applyNumberFormat="1" applyFill="1"/>
    <xf numFmtId="0" fontId="41" fillId="2" borderId="0" xfId="0" applyFont="1" applyFill="1"/>
    <xf numFmtId="171" fontId="41" fillId="2" borderId="0" xfId="0" applyNumberFormat="1" applyFont="1" applyFill="1"/>
    <xf numFmtId="171" fontId="41" fillId="2" borderId="0" xfId="0" applyNumberFormat="1" applyFont="1" applyFill="1" applyAlignment="1">
      <alignment horizontal="right"/>
    </xf>
    <xf numFmtId="0" fontId="37" fillId="4" borderId="6" xfId="0" applyFont="1" applyFill="1" applyBorder="1" applyAlignment="1">
      <alignment horizontal="left"/>
    </xf>
    <xf numFmtId="171" fontId="0" fillId="4" borderId="6" xfId="0" applyNumberFormat="1" applyFill="1" applyBorder="1" applyAlignment="1">
      <alignment horizontal="right"/>
    </xf>
    <xf numFmtId="171" fontId="0" fillId="4" borderId="6" xfId="0" applyNumberFormat="1" applyFill="1" applyBorder="1"/>
    <xf numFmtId="0" fontId="0" fillId="4" borderId="6" xfId="0" applyFill="1" applyBorder="1" applyAlignment="1">
      <alignment horizontal="left"/>
    </xf>
    <xf numFmtId="44" fontId="0" fillId="4" borderId="0" xfId="2" applyFont="1" applyFill="1" applyBorder="1"/>
    <xf numFmtId="14" fontId="0" fillId="2" borderId="0" xfId="2" applyNumberFormat="1" applyFont="1" applyFill="1"/>
    <xf numFmtId="14" fontId="0" fillId="4" borderId="6" xfId="2" applyNumberFormat="1" applyFont="1" applyFill="1" applyBorder="1"/>
    <xf numFmtId="0" fontId="39" fillId="4" borderId="13" xfId="0" applyFont="1" applyFill="1" applyBorder="1" applyAlignment="1">
      <alignment horizontal="center" vertical="center" wrapText="1"/>
    </xf>
    <xf numFmtId="0" fontId="40" fillId="4" borderId="13" xfId="6" applyFont="1" applyFill="1" applyBorder="1" applyAlignment="1">
      <alignment horizontal="left" vertical="center" wrapText="1"/>
    </xf>
    <xf numFmtId="0" fontId="35" fillId="4" borderId="13" xfId="0" applyFont="1" applyFill="1" applyBorder="1" applyAlignment="1">
      <alignment horizontal="center" vertical="center" wrapText="1"/>
    </xf>
    <xf numFmtId="0" fontId="35" fillId="4" borderId="13" xfId="0" applyFont="1" applyFill="1" applyBorder="1" applyAlignment="1">
      <alignment vertical="center" wrapText="1"/>
    </xf>
    <xf numFmtId="171" fontId="39" fillId="4" borderId="13" xfId="0" applyNumberFormat="1" applyFont="1" applyFill="1" applyBorder="1" applyAlignment="1">
      <alignment horizontal="right"/>
    </xf>
    <xf numFmtId="0" fontId="35" fillId="4" borderId="13" xfId="0" applyFont="1" applyFill="1" applyBorder="1" applyAlignment="1">
      <alignment horizontal="center" wrapText="1"/>
    </xf>
    <xf numFmtId="171" fontId="35" fillId="4" borderId="13" xfId="0" applyNumberFormat="1" applyFont="1" applyFill="1" applyBorder="1" applyAlignment="1">
      <alignment horizontal="center" wrapText="1"/>
    </xf>
    <xf numFmtId="14" fontId="0" fillId="4" borderId="13" xfId="0" applyNumberFormat="1" applyFill="1" applyBorder="1"/>
    <xf numFmtId="0" fontId="0" fillId="4" borderId="2" xfId="0" applyFill="1" applyBorder="1" applyAlignment="1">
      <alignment horizontal="left"/>
    </xf>
    <xf numFmtId="171" fontId="0" fillId="4" borderId="2" xfId="0" applyNumberFormat="1" applyFill="1" applyBorder="1" applyAlignment="1">
      <alignment horizontal="right"/>
    </xf>
    <xf numFmtId="171" fontId="0" fillId="4" borderId="2" xfId="0" applyNumberFormat="1" applyFill="1" applyBorder="1"/>
    <xf numFmtId="14" fontId="0" fillId="4" borderId="3" xfId="0" applyNumberFormat="1" applyFill="1" applyBorder="1"/>
    <xf numFmtId="171" fontId="10" fillId="3" borderId="0" xfId="0" applyNumberFormat="1" applyFont="1" applyFill="1"/>
    <xf numFmtId="0" fontId="42" fillId="4" borderId="0" xfId="0" applyFont="1" applyFill="1"/>
    <xf numFmtId="0" fontId="43" fillId="4" borderId="0" xfId="0" applyFont="1" applyFill="1"/>
    <xf numFmtId="0" fontId="10" fillId="3" borderId="0" xfId="0" applyFont="1" applyFill="1"/>
    <xf numFmtId="171" fontId="10" fillId="3" borderId="0" xfId="0" applyNumberFormat="1" applyFont="1" applyFill="1" applyAlignment="1">
      <alignment horizontal="left"/>
    </xf>
    <xf numFmtId="14" fontId="0" fillId="3" borderId="0" xfId="0" applyNumberFormat="1" applyFill="1"/>
    <xf numFmtId="0" fontId="42" fillId="4" borderId="4" xfId="0" applyFont="1" applyFill="1" applyBorder="1"/>
    <xf numFmtId="0" fontId="10" fillId="3" borderId="0" xfId="0" applyFont="1" applyFill="1" applyAlignment="1">
      <alignment horizontal="left"/>
    </xf>
    <xf numFmtId="13" fontId="19" fillId="5" borderId="6" xfId="0" applyNumberFormat="1" applyFont="1" applyFill="1" applyBorder="1"/>
    <xf numFmtId="13" fontId="31" fillId="3" borderId="6" xfId="0" applyNumberFormat="1" applyFont="1" applyFill="1" applyBorder="1"/>
    <xf numFmtId="2" fontId="19" fillId="5" borderId="6" xfId="2" applyNumberFormat="1" applyFont="1" applyFill="1" applyBorder="1"/>
    <xf numFmtId="164" fontId="31" fillId="3" borderId="6" xfId="2" applyNumberFormat="1" applyFont="1" applyFill="1" applyBorder="1"/>
    <xf numFmtId="14" fontId="31" fillId="3" borderId="10" xfId="0" applyNumberFormat="1" applyFont="1" applyFill="1" applyBorder="1"/>
    <xf numFmtId="0" fontId="19" fillId="5" borderId="14" xfId="0" applyFont="1" applyFill="1" applyBorder="1" applyAlignment="1">
      <alignment horizontal="center" vertical="center"/>
    </xf>
    <xf numFmtId="0" fontId="31" fillId="3" borderId="1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2" borderId="2" xfId="0" applyFill="1" applyBorder="1"/>
    <xf numFmtId="0" fontId="0" fillId="2" borderId="8" xfId="0" applyFill="1" applyBorder="1"/>
    <xf numFmtId="171" fontId="0" fillId="4" borderId="3" xfId="0" applyNumberFormat="1" applyFill="1" applyBorder="1"/>
    <xf numFmtId="171" fontId="0" fillId="4" borderId="9" xfId="0" applyNumberFormat="1" applyFill="1" applyBorder="1"/>
    <xf numFmtId="0" fontId="27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6" fillId="3" borderId="6" xfId="0" applyFont="1" applyFill="1" applyBorder="1"/>
    <xf numFmtId="167" fontId="1" fillId="4" borderId="6" xfId="0" applyNumberFormat="1" applyFont="1" applyFill="1" applyBorder="1"/>
    <xf numFmtId="0" fontId="31" fillId="3" borderId="6" xfId="5" applyNumberFormat="1" applyFont="1" applyFill="1" applyBorder="1"/>
    <xf numFmtId="0" fontId="7" fillId="3" borderId="6" xfId="4" applyFill="1" applyBorder="1"/>
    <xf numFmtId="0" fontId="19" fillId="8" borderId="0" xfId="0" applyFont="1" applyFill="1" applyAlignment="1">
      <alignment horizontal="center"/>
    </xf>
    <xf numFmtId="14" fontId="19" fillId="8" borderId="0" xfId="0" applyNumberFormat="1" applyFont="1" applyFill="1" applyAlignment="1">
      <alignment horizontal="center" vertical="center"/>
    </xf>
    <xf numFmtId="0" fontId="18" fillId="8" borderId="0" xfId="0" applyFont="1" applyFill="1"/>
    <xf numFmtId="0" fontId="19" fillId="8" borderId="0" xfId="0" applyFont="1" applyFill="1"/>
    <xf numFmtId="8" fontId="19" fillId="8" borderId="0" xfId="0" applyNumberFormat="1" applyFont="1" applyFill="1"/>
    <xf numFmtId="0" fontId="17" fillId="4" borderId="14" xfId="0" applyFont="1" applyFill="1" applyBorder="1"/>
    <xf numFmtId="0" fontId="17" fillId="4" borderId="3" xfId="0" applyFont="1" applyFill="1" applyBorder="1"/>
    <xf numFmtId="0" fontId="12" fillId="3" borderId="27" xfId="0" applyFont="1" applyFill="1" applyBorder="1" applyAlignment="1">
      <alignment vertical="center"/>
    </xf>
    <xf numFmtId="0" fontId="12" fillId="3" borderId="28" xfId="0" applyFont="1" applyFill="1" applyBorder="1" applyAlignment="1">
      <alignment vertical="center"/>
    </xf>
    <xf numFmtId="0" fontId="13" fillId="3" borderId="27" xfId="0" applyFont="1" applyFill="1" applyBorder="1" applyAlignment="1">
      <alignment vertical="center"/>
    </xf>
    <xf numFmtId="0" fontId="13" fillId="3" borderId="28" xfId="0" applyFont="1" applyFill="1" applyBorder="1" applyAlignment="1">
      <alignment vertical="center"/>
    </xf>
    <xf numFmtId="0" fontId="12" fillId="3" borderId="6" xfId="0" applyFont="1" applyFill="1" applyBorder="1" applyAlignment="1">
      <alignment horizontal="center" vertical="center"/>
    </xf>
    <xf numFmtId="0" fontId="13" fillId="3" borderId="6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14" fontId="1" fillId="4" borderId="6" xfId="0" applyNumberFormat="1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 vertical="center"/>
    </xf>
    <xf numFmtId="14" fontId="44" fillId="4" borderId="6" xfId="0" applyNumberFormat="1" applyFont="1" applyFill="1" applyBorder="1" applyAlignment="1">
      <alignment horizontal="center"/>
    </xf>
    <xf numFmtId="1" fontId="44" fillId="4" borderId="6" xfId="0" applyNumberFormat="1" applyFont="1" applyFill="1" applyBorder="1" applyAlignment="1">
      <alignment horizontal="center"/>
    </xf>
    <xf numFmtId="166" fontId="44" fillId="4" borderId="6" xfId="0" applyNumberFormat="1" applyFont="1" applyFill="1" applyBorder="1" applyAlignment="1">
      <alignment horizontal="center" vertical="center"/>
    </xf>
    <xf numFmtId="166" fontId="1" fillId="4" borderId="6" xfId="0" applyNumberFormat="1" applyFont="1" applyFill="1" applyBorder="1" applyAlignment="1">
      <alignment horizontal="center"/>
    </xf>
    <xf numFmtId="44" fontId="3" fillId="3" borderId="25" xfId="0" applyNumberFormat="1" applyFont="1" applyFill="1" applyBorder="1" applyAlignment="1">
      <alignment horizontal="center"/>
    </xf>
    <xf numFmtId="0" fontId="0" fillId="3" borderId="25" xfId="0" applyFill="1" applyBorder="1"/>
    <xf numFmtId="0" fontId="45" fillId="4" borderId="0" xfId="0" applyFont="1" applyFill="1"/>
    <xf numFmtId="0" fontId="13" fillId="4" borderId="25" xfId="0" applyFont="1" applyFill="1" applyBorder="1"/>
    <xf numFmtId="0" fontId="0" fillId="4" borderId="0" xfId="0" applyFill="1" applyAlignment="1">
      <alignment horizontal="center" vertical="center"/>
    </xf>
    <xf numFmtId="165" fontId="0" fillId="4" borderId="26" xfId="0" applyNumberFormat="1" applyFill="1" applyBorder="1" applyAlignment="1">
      <alignment horizontal="center" wrapText="1"/>
    </xf>
    <xf numFmtId="165" fontId="0" fillId="4" borderId="28" xfId="0" applyNumberFormat="1" applyFill="1" applyBorder="1" applyAlignment="1">
      <alignment horizontal="center"/>
    </xf>
    <xf numFmtId="0" fontId="0" fillId="3" borderId="25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70" fontId="0" fillId="4" borderId="26" xfId="0" applyNumberFormat="1" applyFill="1" applyBorder="1" applyAlignment="1">
      <alignment horizontal="center"/>
    </xf>
    <xf numFmtId="170" fontId="0" fillId="4" borderId="28" xfId="0" applyNumberFormat="1" applyFill="1" applyBorder="1" applyAlignment="1">
      <alignment horizont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28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3" fillId="4" borderId="20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24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5" fillId="4" borderId="28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27" fillId="4" borderId="6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6" fillId="4" borderId="4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6" fillId="4" borderId="6" xfId="0" applyFont="1" applyFill="1" applyBorder="1" applyAlignment="1">
      <alignment horizontal="center"/>
    </xf>
    <xf numFmtId="0" fontId="33" fillId="6" borderId="6" xfId="0" applyFont="1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38" fillId="6" borderId="6" xfId="0" applyFont="1" applyFill="1" applyBorder="1" applyAlignment="1">
      <alignment horizontal="center"/>
    </xf>
    <xf numFmtId="0" fontId="38" fillId="6" borderId="6" xfId="0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27" fillId="2" borderId="0" xfId="0" applyFont="1" applyFill="1" applyAlignment="1">
      <alignment horizontal="left" vertic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</cellXfs>
  <cellStyles count="7">
    <cellStyle name="Hiperlink" xfId="4" builtinId="8"/>
    <cellStyle name="Hyperlink" xfId="1" xr:uid="{00000000-0005-0000-0000-000001000000}"/>
    <cellStyle name="Moeda" xfId="2" builtinId="4"/>
    <cellStyle name="Normal" xfId="0" builtinId="0"/>
    <cellStyle name="Normal 2" xfId="6" xr:uid="{A8A32BCF-E35D-4D0F-830C-1B0539E8F53A}"/>
    <cellStyle name="Porcentagem" xfId="3" builtinId="5"/>
    <cellStyle name="Vírgula" xfId="5" builtinId="3"/>
  </cellStyles>
  <dxfs count="0"/>
  <tableStyles count="0" defaultTableStyle="TableStyleMedium2" defaultPivotStyle="PivotStyleMedium9"/>
  <colors>
    <mruColors>
      <color rgb="FFFFBDCF"/>
      <color rgb="FFFFEB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3.xml"/><Relationship Id="rId63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1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2.xml"/><Relationship Id="rId62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Relação metas x Saldo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'Fianceiro MetasDB'!$D$4</c:f>
              <c:strCache>
                <c:ptCount val="1"/>
                <c:pt idx="0">
                  <c:v>Meta: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'Fianceiro MetasDB'!$C$5:$C$16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'Fianceiro MetasDB'!$D$5:$D$16</c:f>
              <c:numCache>
                <c:formatCode>_("R$"* #,##0.00_);_("R$"* \(#,##0.00\);_("R$"* "-"??_);_(@_)</c:formatCode>
                <c:ptCount val="12"/>
                <c:pt idx="0">
                  <c:v>10000</c:v>
                </c:pt>
                <c:pt idx="1">
                  <c:v>10000</c:v>
                </c:pt>
                <c:pt idx="2">
                  <c:v>9900</c:v>
                </c:pt>
                <c:pt idx="3">
                  <c:v>10018.799999999999</c:v>
                </c:pt>
                <c:pt idx="4">
                  <c:v>10139.025599999999</c:v>
                </c:pt>
                <c:pt idx="5">
                  <c:v>10260.693907199999</c:v>
                </c:pt>
                <c:pt idx="6">
                  <c:v>10383.822234086399</c:v>
                </c:pt>
                <c:pt idx="7">
                  <c:v>10508.428100895437</c:v>
                </c:pt>
                <c:pt idx="8">
                  <c:v>10634.529238106183</c:v>
                </c:pt>
                <c:pt idx="9">
                  <c:v>10762.143588963458</c:v>
                </c:pt>
                <c:pt idx="10">
                  <c:v>10891.28931203102</c:v>
                </c:pt>
                <c:pt idx="11">
                  <c:v>11021.984783775391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53-4F24-86B4-664A506371B0}"/>
            </c:ext>
          </c:extLst>
        </c:ser>
        <c:ser>
          <c:idx val="1"/>
          <c:order val="1"/>
          <c:tx>
            <c:strRef>
              <c:f>'Fianceiro MetasDB'!$E$4</c:f>
              <c:strCache>
                <c:ptCount val="1"/>
                <c:pt idx="0">
                  <c:v>Saldo: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'Fianceiro MetasDB'!$C$5:$C$16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'Fianceiro MetasDB'!$E$5:$E$16</c:f>
              <c:numCache>
                <c:formatCode>_("R$"* #,##0.00_);_("R$"* \(#,##0.00\);_("R$"* "-"??_);_(@_)</c:formatCode>
                <c:ptCount val="12"/>
                <c:pt idx="0">
                  <c:v>9998</c:v>
                </c:pt>
                <c:pt idx="1">
                  <c:v>9998</c:v>
                </c:pt>
                <c:pt idx="2">
                  <c:v>35082</c:v>
                </c:pt>
                <c:pt idx="3">
                  <c:v>35082</c:v>
                </c:pt>
                <c:pt idx="4">
                  <c:v>35082</c:v>
                </c:pt>
                <c:pt idx="5">
                  <c:v>35082</c:v>
                </c:pt>
                <c:pt idx="6">
                  <c:v>35082</c:v>
                </c:pt>
                <c:pt idx="7">
                  <c:v>35082</c:v>
                </c:pt>
                <c:pt idx="8">
                  <c:v>35082</c:v>
                </c:pt>
                <c:pt idx="9">
                  <c:v>35082</c:v>
                </c:pt>
                <c:pt idx="10">
                  <c:v>35082</c:v>
                </c:pt>
                <c:pt idx="11">
                  <c:v>35082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53-4F24-86B4-664A50637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991880"/>
        <c:axId val="982993928"/>
      </c:barChart>
      <c:catAx>
        <c:axId val="982991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2993928"/>
        <c:crosses val="autoZero"/>
        <c:auto val="1"/>
        <c:lblAlgn val="ctr"/>
        <c:lblOffset val="100"/>
        <c:noMultiLvlLbl val="0"/>
      </c:catAx>
      <c:valAx>
        <c:axId val="98299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2991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Fluxo de Caixa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'Financeiro FluxoCaixaDB'!$E$4</c:f>
              <c:strCache>
                <c:ptCount val="1"/>
                <c:pt idx="0">
                  <c:v>Saldo anterior: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'Financeiro FluxoCaixaDB'!$C$5:$C$16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'Financeiro FluxoCaixaDB'!$E$5:$E$16</c:f>
              <c:numCache>
                <c:formatCode>_("R$"* #,##0.00_);_("R$"* \(#,##0.00\);_("R$"* "-"??_);_(@_)</c:formatCode>
                <c:ptCount val="12"/>
                <c:pt idx="0">
                  <c:v>10000</c:v>
                </c:pt>
                <c:pt idx="1">
                  <c:v>9998</c:v>
                </c:pt>
                <c:pt idx="2">
                  <c:v>9998</c:v>
                </c:pt>
                <c:pt idx="3">
                  <c:v>35082</c:v>
                </c:pt>
                <c:pt idx="4">
                  <c:v>35082</c:v>
                </c:pt>
                <c:pt idx="5">
                  <c:v>35082</c:v>
                </c:pt>
                <c:pt idx="6">
                  <c:v>35082</c:v>
                </c:pt>
                <c:pt idx="7">
                  <c:v>35082</c:v>
                </c:pt>
                <c:pt idx="8">
                  <c:v>35082</c:v>
                </c:pt>
                <c:pt idx="9">
                  <c:v>35082</c:v>
                </c:pt>
                <c:pt idx="10">
                  <c:v>35082</c:v>
                </c:pt>
                <c:pt idx="11">
                  <c:v>35082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6A-4242-8003-2F3F08E50410}"/>
            </c:ext>
          </c:extLst>
        </c:ser>
        <c:ser>
          <c:idx val="1"/>
          <c:order val="1"/>
          <c:tx>
            <c:strRef>
              <c:f>'Financeiro FluxoCaixaDB'!$H$4</c:f>
              <c:strCache>
                <c:ptCount val="1"/>
                <c:pt idx="0">
                  <c:v>Saldo atual: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'Financeiro FluxoCaixaDB'!$C$5:$C$16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'Financeiro FluxoCaixaDB'!$H$5:$H$16</c:f>
              <c:numCache>
                <c:formatCode>_("R$"* #,##0.00_);_("R$"* \(#,##0.00\);_("R$"* "-"??_);_(@_)</c:formatCode>
                <c:ptCount val="12"/>
                <c:pt idx="0">
                  <c:v>9998</c:v>
                </c:pt>
                <c:pt idx="1">
                  <c:v>9998</c:v>
                </c:pt>
                <c:pt idx="2">
                  <c:v>35082</c:v>
                </c:pt>
                <c:pt idx="3">
                  <c:v>35082</c:v>
                </c:pt>
                <c:pt idx="4">
                  <c:v>35082</c:v>
                </c:pt>
                <c:pt idx="5">
                  <c:v>35082</c:v>
                </c:pt>
                <c:pt idx="6">
                  <c:v>35082</c:v>
                </c:pt>
                <c:pt idx="7">
                  <c:v>35082</c:v>
                </c:pt>
                <c:pt idx="8">
                  <c:v>35082</c:v>
                </c:pt>
                <c:pt idx="9">
                  <c:v>35082</c:v>
                </c:pt>
                <c:pt idx="10">
                  <c:v>35082</c:v>
                </c:pt>
                <c:pt idx="11">
                  <c:v>35082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6A-4242-8003-2F3F08E50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0085640"/>
        <c:axId val="630096904"/>
      </c:barChart>
      <c:catAx>
        <c:axId val="630085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0096904"/>
        <c:crosses val="autoZero"/>
        <c:auto val="1"/>
        <c:lblAlgn val="ctr"/>
        <c:lblOffset val="100"/>
        <c:noMultiLvlLbl val="0"/>
      </c:catAx>
      <c:valAx>
        <c:axId val="630096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0085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ndara" panose="020E0502030303020204" pitchFamily="34" charset="0"/>
                <a:ea typeface="+mn-ea"/>
                <a:cs typeface="+mn-cs"/>
              </a:defRPr>
            </a:pPr>
            <a:r>
              <a:rPr lang="pt-BR" b="1">
                <a:latin typeface="Candara" panose="020E0502030303020204" pitchFamily="34" charset="0"/>
              </a:rPr>
              <a:t>Graficos</a:t>
            </a:r>
            <a:r>
              <a:rPr lang="pt-BR" b="1" baseline="0">
                <a:latin typeface="Candara" panose="020E0502030303020204" pitchFamily="34" charset="0"/>
              </a:rPr>
              <a:t> dos Clientes</a:t>
            </a:r>
            <a:endParaRPr lang="pt-BR" b="1">
              <a:latin typeface="Candara" panose="020E0502030303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ndara" panose="020E0502030303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solidFill>
          <a:schemeClr val="bg1"/>
        </a:solidFill>
        <a:ln>
          <a:solidFill>
            <a:srgbClr val="FFBDCF"/>
          </a:solidFill>
        </a:ln>
        <a:effectLst/>
        <a:sp3d>
          <a:contourClr>
            <a:srgbClr val="FFBDCF"/>
          </a:contourClr>
        </a:sp3d>
      </c:spPr>
    </c:sideWall>
    <c:backWall>
      <c:thickness val="0"/>
      <c:spPr>
        <a:solidFill>
          <a:schemeClr val="bg1"/>
        </a:solidFill>
        <a:ln>
          <a:solidFill>
            <a:srgbClr val="FFBDCF"/>
          </a:solidFill>
        </a:ln>
        <a:effectLst/>
        <a:sp3d>
          <a:contourClr>
            <a:srgbClr val="FFBDCF"/>
          </a:contourClr>
        </a:sp3d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'VENDA-TABELA-VENDA'!$F$3:$F$18</c15:sqref>
                  </c15:fullRef>
                </c:ext>
              </c:extLst>
              <c:f>('VENDA-TABELA-VENDA'!$F$3:$F$12,'VENDA-TABELA-VENDA'!$F$17:$F$18)</c:f>
              <c:numCache>
                <c:formatCode>General</c:formatCode>
                <c:ptCount val="12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'VENDA-TABELA-VENDA'!$N$3:$N$16</c15:sqref>
                  </c15:fullRef>
                </c:ext>
              </c:extLst>
              <c:f>'VENDA-TABELA-VENDA'!$N$3:$N$12</c:f>
              <c:numCache>
                <c:formatCode>"R$"#,##0.00_);[Red]\("R$"#,##0.00\)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01D4-4D8E-96FD-D5CAC5A40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2821103"/>
        <c:axId val="42821583"/>
        <c:axId val="0"/>
      </c:bar3DChart>
      <c:catAx>
        <c:axId val="42821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21583"/>
        <c:crosses val="autoZero"/>
        <c:auto val="1"/>
        <c:lblAlgn val="ctr"/>
        <c:lblOffset val="100"/>
        <c:noMultiLvlLbl val="0"/>
      </c:catAx>
      <c:valAx>
        <c:axId val="42821583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#,##0.00_);[Red]\(&quot;R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21103"/>
        <c:crosses val="autoZero"/>
        <c:crossBetween val="between"/>
      </c:valAx>
      <c:spPr>
        <a:noFill/>
        <a:ln>
          <a:solidFill>
            <a:srgbClr val="FFBDCF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Vendas</a:t>
            </a:r>
            <a:r>
              <a:rPr lang="pt-BR" baseline="0"/>
              <a:t> por Data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50"/>
      <c:rotY val="0"/>
      <c:depthPercent val="10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>
                  <a:tint val="43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1-678B-42A9-9861-9F5EF5CD1A8F}"/>
              </c:ext>
            </c:extLst>
          </c:dPt>
          <c:dPt>
            <c:idx val="1"/>
            <c:bubble3D val="0"/>
            <c:spPr>
              <a:solidFill>
                <a:schemeClr val="accent5">
                  <a:tint val="56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3-678B-42A9-9861-9F5EF5CD1A8F}"/>
              </c:ext>
            </c:extLst>
          </c:dPt>
          <c:dPt>
            <c:idx val="2"/>
            <c:bubble3D val="0"/>
            <c:spPr>
              <a:solidFill>
                <a:schemeClr val="accent5">
                  <a:tint val="69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5-678B-42A9-9861-9F5EF5CD1A8F}"/>
              </c:ext>
            </c:extLst>
          </c:dPt>
          <c:dPt>
            <c:idx val="3"/>
            <c:bubble3D val="0"/>
            <c:spPr>
              <a:solidFill>
                <a:schemeClr val="accent5">
                  <a:tint val="81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7-678B-42A9-9861-9F5EF5CD1A8F}"/>
              </c:ext>
            </c:extLst>
          </c:dPt>
          <c:dPt>
            <c:idx val="4"/>
            <c:bubble3D val="0"/>
            <c:spPr>
              <a:solidFill>
                <a:schemeClr val="accent5">
                  <a:tint val="94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9-678B-42A9-9861-9F5EF5CD1A8F}"/>
              </c:ext>
            </c:extLst>
          </c:dPt>
          <c:dPt>
            <c:idx val="5"/>
            <c:bubble3D val="0"/>
            <c:spPr>
              <a:solidFill>
                <a:schemeClr val="accent5">
                  <a:shade val="93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B-678B-42A9-9861-9F5EF5CD1A8F}"/>
              </c:ext>
            </c:extLst>
          </c:dPt>
          <c:dPt>
            <c:idx val="6"/>
            <c:bubble3D val="0"/>
            <c:spPr>
              <a:solidFill>
                <a:schemeClr val="accent5">
                  <a:shade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D-678B-42A9-9861-9F5EF5CD1A8F}"/>
              </c:ext>
            </c:extLst>
          </c:dPt>
          <c:dPt>
            <c:idx val="7"/>
            <c:bubble3D val="0"/>
            <c:spPr>
              <a:solidFill>
                <a:schemeClr val="accent5">
                  <a:shade val="68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F-678B-42A9-9861-9F5EF5CD1A8F}"/>
              </c:ext>
            </c:extLst>
          </c:dPt>
          <c:dPt>
            <c:idx val="8"/>
            <c:bubble3D val="0"/>
            <c:spPr>
              <a:solidFill>
                <a:schemeClr val="accent5">
                  <a:shade val="55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11-678B-42A9-9861-9F5EF5CD1A8F}"/>
              </c:ext>
            </c:extLst>
          </c:dPt>
          <c:dPt>
            <c:idx val="9"/>
            <c:bubble3D val="0"/>
            <c:spPr>
              <a:solidFill>
                <a:schemeClr val="accent5">
                  <a:shade val="42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13-678B-42A9-9861-9F5EF5CD1A8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'VENDA-TABELA-VENDA'!$C$3:$C$12</c:f>
              <c:numCache>
                <c:formatCode>m/d/yyyy</c:formatCode>
                <c:ptCount val="10"/>
              </c:numCache>
            </c:numRef>
          </c:cat>
          <c:val>
            <c:numRef>
              <c:f>'VENDA-TABELA-VENDA'!$N$3:$N$12</c:f>
              <c:numCache>
                <c:formatCode>"R$"#,##0.00_);[Red]\("R$"#,##0.00\)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14-678B-42A9-9861-9F5EF5CD1A8F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OGISTICA!A1"/><Relationship Id="rId13" Type="http://schemas.openxmlformats.org/officeDocument/2006/relationships/hyperlink" Target="#RH!A1"/><Relationship Id="rId18" Type="http://schemas.openxmlformats.org/officeDocument/2006/relationships/hyperlink" Target="#PRODU&#199;&#195;O!A1"/><Relationship Id="rId26" Type="http://schemas.openxmlformats.org/officeDocument/2006/relationships/image" Target="../media/image19.png"/><Relationship Id="rId3" Type="http://schemas.openxmlformats.org/officeDocument/2006/relationships/hyperlink" Target="#FINANCEIRO!A1"/><Relationship Id="rId21" Type="http://schemas.openxmlformats.org/officeDocument/2006/relationships/image" Target="../media/image14.svg"/><Relationship Id="rId7" Type="http://schemas.openxmlformats.org/officeDocument/2006/relationships/image" Target="../media/image5.png"/><Relationship Id="rId12" Type="http://schemas.openxmlformats.org/officeDocument/2006/relationships/image" Target="../media/image8.svg"/><Relationship Id="rId17" Type="http://schemas.openxmlformats.org/officeDocument/2006/relationships/image" Target="../media/image11.svg"/><Relationship Id="rId25" Type="http://schemas.openxmlformats.org/officeDocument/2006/relationships/image" Target="../media/image18.svg"/><Relationship Id="rId2" Type="http://schemas.openxmlformats.org/officeDocument/2006/relationships/image" Target="../media/image2.png"/><Relationship Id="rId16" Type="http://schemas.openxmlformats.org/officeDocument/2006/relationships/image" Target="../media/image10.png"/><Relationship Id="rId20" Type="http://schemas.openxmlformats.org/officeDocument/2006/relationships/image" Target="../media/image13.png"/><Relationship Id="rId1" Type="http://schemas.openxmlformats.org/officeDocument/2006/relationships/image" Target="../media/image1.png"/><Relationship Id="rId6" Type="http://schemas.openxmlformats.org/officeDocument/2006/relationships/hyperlink" Target="#ESTOQUE!A1"/><Relationship Id="rId11" Type="http://schemas.openxmlformats.org/officeDocument/2006/relationships/image" Target="../media/image7.png"/><Relationship Id="rId24" Type="http://schemas.openxmlformats.org/officeDocument/2006/relationships/image" Target="../media/image17.png"/><Relationship Id="rId5" Type="http://schemas.openxmlformats.org/officeDocument/2006/relationships/image" Target="../media/image4.svg"/><Relationship Id="rId15" Type="http://schemas.openxmlformats.org/officeDocument/2006/relationships/hyperlink" Target="#VENDAS!A1"/><Relationship Id="rId23" Type="http://schemas.openxmlformats.org/officeDocument/2006/relationships/image" Target="../media/image16.svg"/><Relationship Id="rId10" Type="http://schemas.openxmlformats.org/officeDocument/2006/relationships/hyperlink" Target="#COMPRAS!A1"/><Relationship Id="rId19" Type="http://schemas.openxmlformats.org/officeDocument/2006/relationships/image" Target="../media/image12.png"/><Relationship Id="rId4" Type="http://schemas.openxmlformats.org/officeDocument/2006/relationships/image" Target="../media/image3.png"/><Relationship Id="rId9" Type="http://schemas.openxmlformats.org/officeDocument/2006/relationships/image" Target="../media/image6.png"/><Relationship Id="rId14" Type="http://schemas.openxmlformats.org/officeDocument/2006/relationships/image" Target="../media/image9.png"/><Relationship Id="rId22" Type="http://schemas.openxmlformats.org/officeDocument/2006/relationships/image" Target="../media/image15.png"/><Relationship Id="rId27" Type="http://schemas.openxmlformats.org/officeDocument/2006/relationships/image" Target="../media/image20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Financeiro BalancoSetores'!A1"/><Relationship Id="rId13" Type="http://schemas.openxmlformats.org/officeDocument/2006/relationships/image" Target="../media/image19.png"/><Relationship Id="rId3" Type="http://schemas.openxmlformats.org/officeDocument/2006/relationships/image" Target="../media/image1.png"/><Relationship Id="rId7" Type="http://schemas.openxmlformats.org/officeDocument/2006/relationships/hyperlink" Target="#'Fianceiro Metas'!A1"/><Relationship Id="rId12" Type="http://schemas.openxmlformats.org/officeDocument/2006/relationships/image" Target="../media/image18.svg"/><Relationship Id="rId17" Type="http://schemas.openxmlformats.org/officeDocument/2006/relationships/image" Target="../media/image24.png"/><Relationship Id="rId2" Type="http://schemas.openxmlformats.org/officeDocument/2006/relationships/hyperlink" Target="#HOME!A1"/><Relationship Id="rId16" Type="http://schemas.openxmlformats.org/officeDocument/2006/relationships/image" Target="../media/image23.svg"/><Relationship Id="rId1" Type="http://schemas.openxmlformats.org/officeDocument/2006/relationships/hyperlink" Target="#'Financeiro FluxoCaixa'!A1"/><Relationship Id="rId6" Type="http://schemas.openxmlformats.org/officeDocument/2006/relationships/hyperlink" Target="#'Financeiro Custos'!A1"/><Relationship Id="rId11" Type="http://schemas.openxmlformats.org/officeDocument/2006/relationships/image" Target="../media/image17.png"/><Relationship Id="rId5" Type="http://schemas.openxmlformats.org/officeDocument/2006/relationships/image" Target="../media/image21.svg"/><Relationship Id="rId15" Type="http://schemas.openxmlformats.org/officeDocument/2006/relationships/image" Target="../media/image22.png"/><Relationship Id="rId10" Type="http://schemas.openxmlformats.org/officeDocument/2006/relationships/image" Target="../media/image14.svg"/><Relationship Id="rId4" Type="http://schemas.openxmlformats.org/officeDocument/2006/relationships/image" Target="../media/image15.png"/><Relationship Id="rId9" Type="http://schemas.openxmlformats.org/officeDocument/2006/relationships/image" Target="../media/image13.png"/><Relationship Id="rId14" Type="http://schemas.openxmlformats.org/officeDocument/2006/relationships/image" Target="../media/image20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svg"/><Relationship Id="rId7" Type="http://schemas.openxmlformats.org/officeDocument/2006/relationships/image" Target="../media/image4.svg"/><Relationship Id="rId2" Type="http://schemas.openxmlformats.org/officeDocument/2006/relationships/image" Target="../media/image25.png"/><Relationship Id="rId1" Type="http://schemas.openxmlformats.org/officeDocument/2006/relationships/hyperlink" Target="#HOME!A1"/><Relationship Id="rId6" Type="http://schemas.openxmlformats.org/officeDocument/2006/relationships/image" Target="../media/image3.png"/><Relationship Id="rId5" Type="http://schemas.openxmlformats.org/officeDocument/2006/relationships/hyperlink" Target="#FINANCEIRO!A1"/><Relationship Id="rId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svg"/><Relationship Id="rId7" Type="http://schemas.openxmlformats.org/officeDocument/2006/relationships/image" Target="../media/image4.svg"/><Relationship Id="rId2" Type="http://schemas.openxmlformats.org/officeDocument/2006/relationships/image" Target="../media/image25.png"/><Relationship Id="rId1" Type="http://schemas.openxmlformats.org/officeDocument/2006/relationships/hyperlink" Target="#HOME!A1"/><Relationship Id="rId6" Type="http://schemas.openxmlformats.org/officeDocument/2006/relationships/image" Target="../media/image3.png"/><Relationship Id="rId5" Type="http://schemas.openxmlformats.org/officeDocument/2006/relationships/hyperlink" Target="#FINANCEIRO!A1"/><Relationship Id="rId4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svg"/><Relationship Id="rId13" Type="http://schemas.openxmlformats.org/officeDocument/2006/relationships/image" Target="../media/image22.png"/><Relationship Id="rId3" Type="http://schemas.openxmlformats.org/officeDocument/2006/relationships/image" Target="../media/image1.png"/><Relationship Id="rId7" Type="http://schemas.openxmlformats.org/officeDocument/2006/relationships/image" Target="../media/image13.png"/><Relationship Id="rId12" Type="http://schemas.openxmlformats.org/officeDocument/2006/relationships/image" Target="../media/image20.svg"/><Relationship Id="rId17" Type="http://schemas.openxmlformats.org/officeDocument/2006/relationships/image" Target="../media/image4.svg"/><Relationship Id="rId2" Type="http://schemas.openxmlformats.org/officeDocument/2006/relationships/hyperlink" Target="#HOME!A1"/><Relationship Id="rId16" Type="http://schemas.openxmlformats.org/officeDocument/2006/relationships/image" Target="../media/image3.png"/><Relationship Id="rId1" Type="http://schemas.openxmlformats.org/officeDocument/2006/relationships/hyperlink" Target="#'Financeiro CustosFixos'!A1"/><Relationship Id="rId6" Type="http://schemas.openxmlformats.org/officeDocument/2006/relationships/hyperlink" Target="#'Financeiro CustoVariavel'!A1"/><Relationship Id="rId11" Type="http://schemas.openxmlformats.org/officeDocument/2006/relationships/image" Target="../media/image19.png"/><Relationship Id="rId5" Type="http://schemas.openxmlformats.org/officeDocument/2006/relationships/image" Target="../media/image21.svg"/><Relationship Id="rId15" Type="http://schemas.openxmlformats.org/officeDocument/2006/relationships/hyperlink" Target="#FINANCEIRO!A1"/><Relationship Id="rId10" Type="http://schemas.openxmlformats.org/officeDocument/2006/relationships/image" Target="../media/image18.svg"/><Relationship Id="rId4" Type="http://schemas.openxmlformats.org/officeDocument/2006/relationships/image" Target="../media/image15.png"/><Relationship Id="rId9" Type="http://schemas.openxmlformats.org/officeDocument/2006/relationships/image" Target="../media/image17.png"/><Relationship Id="rId14" Type="http://schemas.openxmlformats.org/officeDocument/2006/relationships/image" Target="../media/image23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svg"/><Relationship Id="rId13" Type="http://schemas.openxmlformats.org/officeDocument/2006/relationships/image" Target="../media/image22.png"/><Relationship Id="rId3" Type="http://schemas.openxmlformats.org/officeDocument/2006/relationships/image" Target="../media/image1.png"/><Relationship Id="rId7" Type="http://schemas.openxmlformats.org/officeDocument/2006/relationships/image" Target="../media/image13.png"/><Relationship Id="rId12" Type="http://schemas.openxmlformats.org/officeDocument/2006/relationships/image" Target="../media/image20.svg"/><Relationship Id="rId17" Type="http://schemas.openxmlformats.org/officeDocument/2006/relationships/image" Target="../media/image4.svg"/><Relationship Id="rId2" Type="http://schemas.openxmlformats.org/officeDocument/2006/relationships/hyperlink" Target="#HOME!A1"/><Relationship Id="rId16" Type="http://schemas.openxmlformats.org/officeDocument/2006/relationships/image" Target="../media/image3.png"/><Relationship Id="rId1" Type="http://schemas.openxmlformats.org/officeDocument/2006/relationships/hyperlink" Target="#'Financeiro CustosFixosInsercao'!A1"/><Relationship Id="rId6" Type="http://schemas.openxmlformats.org/officeDocument/2006/relationships/hyperlink" Target="#'Financeiro CustosFixosTabela'!A1"/><Relationship Id="rId11" Type="http://schemas.openxmlformats.org/officeDocument/2006/relationships/image" Target="../media/image19.png"/><Relationship Id="rId5" Type="http://schemas.openxmlformats.org/officeDocument/2006/relationships/image" Target="../media/image21.svg"/><Relationship Id="rId15" Type="http://schemas.openxmlformats.org/officeDocument/2006/relationships/hyperlink" Target="#FINANCEIRO!A1"/><Relationship Id="rId10" Type="http://schemas.openxmlformats.org/officeDocument/2006/relationships/image" Target="../media/image18.svg"/><Relationship Id="rId4" Type="http://schemas.openxmlformats.org/officeDocument/2006/relationships/image" Target="../media/image15.png"/><Relationship Id="rId9" Type="http://schemas.openxmlformats.org/officeDocument/2006/relationships/image" Target="../media/image17.png"/><Relationship Id="rId14" Type="http://schemas.openxmlformats.org/officeDocument/2006/relationships/image" Target="../media/image2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7" Type="http://schemas.openxmlformats.org/officeDocument/2006/relationships/image" Target="../media/image4.svg"/><Relationship Id="rId2" Type="http://schemas.openxmlformats.org/officeDocument/2006/relationships/hyperlink" Target="#HOME!A1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hyperlink" Target="#FINANCEIRO!A1"/><Relationship Id="rId4" Type="http://schemas.openxmlformats.org/officeDocument/2006/relationships/image" Target="../media/image26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svg"/><Relationship Id="rId7" Type="http://schemas.openxmlformats.org/officeDocument/2006/relationships/image" Target="../media/image4.svg"/><Relationship Id="rId2" Type="http://schemas.openxmlformats.org/officeDocument/2006/relationships/image" Target="../media/image25.png"/><Relationship Id="rId1" Type="http://schemas.openxmlformats.org/officeDocument/2006/relationships/hyperlink" Target="#HOME!A1"/><Relationship Id="rId6" Type="http://schemas.openxmlformats.org/officeDocument/2006/relationships/image" Target="../media/image3.png"/><Relationship Id="rId5" Type="http://schemas.openxmlformats.org/officeDocument/2006/relationships/hyperlink" Target="#FINANCEIRO!A1"/><Relationship Id="rId4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Financeiro CustoVariavelInser'!A1"/><Relationship Id="rId13" Type="http://schemas.openxmlformats.org/officeDocument/2006/relationships/image" Target="../media/image14.svg"/><Relationship Id="rId18" Type="http://schemas.openxmlformats.org/officeDocument/2006/relationships/image" Target="../media/image22.png"/><Relationship Id="rId3" Type="http://schemas.openxmlformats.org/officeDocument/2006/relationships/image" Target="../media/image25.png"/><Relationship Id="rId7" Type="http://schemas.openxmlformats.org/officeDocument/2006/relationships/image" Target="../media/image4.svg"/><Relationship Id="rId12" Type="http://schemas.openxmlformats.org/officeDocument/2006/relationships/image" Target="../media/image13.png"/><Relationship Id="rId17" Type="http://schemas.openxmlformats.org/officeDocument/2006/relationships/image" Target="../media/image20.svg"/><Relationship Id="rId2" Type="http://schemas.openxmlformats.org/officeDocument/2006/relationships/hyperlink" Target="#HOME!A1"/><Relationship Id="rId16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11" Type="http://schemas.openxmlformats.org/officeDocument/2006/relationships/hyperlink" Target="#'Financeiro CustoVariavelTab'!A1"/><Relationship Id="rId5" Type="http://schemas.openxmlformats.org/officeDocument/2006/relationships/hyperlink" Target="#FINANCEIRO!A1"/><Relationship Id="rId15" Type="http://schemas.openxmlformats.org/officeDocument/2006/relationships/image" Target="../media/image18.svg"/><Relationship Id="rId10" Type="http://schemas.openxmlformats.org/officeDocument/2006/relationships/image" Target="../media/image21.svg"/><Relationship Id="rId19" Type="http://schemas.openxmlformats.org/officeDocument/2006/relationships/image" Target="../media/image23.svg"/><Relationship Id="rId4" Type="http://schemas.openxmlformats.org/officeDocument/2006/relationships/image" Target="../media/image26.svg"/><Relationship Id="rId9" Type="http://schemas.openxmlformats.org/officeDocument/2006/relationships/image" Target="../media/image15.png"/><Relationship Id="rId14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7" Type="http://schemas.openxmlformats.org/officeDocument/2006/relationships/image" Target="../media/image4.svg"/><Relationship Id="rId2" Type="http://schemas.openxmlformats.org/officeDocument/2006/relationships/hyperlink" Target="#HOME!A1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hyperlink" Target="#FINANCEIRO!A1"/><Relationship Id="rId4" Type="http://schemas.openxmlformats.org/officeDocument/2006/relationships/image" Target="../media/image26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svg"/><Relationship Id="rId7" Type="http://schemas.openxmlformats.org/officeDocument/2006/relationships/image" Target="../media/image4.svg"/><Relationship Id="rId2" Type="http://schemas.openxmlformats.org/officeDocument/2006/relationships/image" Target="../media/image25.png"/><Relationship Id="rId1" Type="http://schemas.openxmlformats.org/officeDocument/2006/relationships/hyperlink" Target="#HOME!A1"/><Relationship Id="rId6" Type="http://schemas.openxmlformats.org/officeDocument/2006/relationships/image" Target="../media/image3.png"/><Relationship Id="rId5" Type="http://schemas.openxmlformats.org/officeDocument/2006/relationships/hyperlink" Target="#FINANCEIRO!A1"/><Relationship Id="rId4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svg"/><Relationship Id="rId13" Type="http://schemas.openxmlformats.org/officeDocument/2006/relationships/image" Target="../media/image22.png"/><Relationship Id="rId3" Type="http://schemas.openxmlformats.org/officeDocument/2006/relationships/image" Target="../media/image1.png"/><Relationship Id="rId7" Type="http://schemas.openxmlformats.org/officeDocument/2006/relationships/image" Target="../media/image13.png"/><Relationship Id="rId12" Type="http://schemas.openxmlformats.org/officeDocument/2006/relationships/image" Target="../media/image20.svg"/><Relationship Id="rId17" Type="http://schemas.openxmlformats.org/officeDocument/2006/relationships/image" Target="../media/image4.svg"/><Relationship Id="rId2" Type="http://schemas.openxmlformats.org/officeDocument/2006/relationships/hyperlink" Target="#HOME!A1"/><Relationship Id="rId16" Type="http://schemas.openxmlformats.org/officeDocument/2006/relationships/image" Target="../media/image3.png"/><Relationship Id="rId1" Type="http://schemas.openxmlformats.org/officeDocument/2006/relationships/hyperlink" Target="#'Fianceiro MetasConsulta'!A1"/><Relationship Id="rId6" Type="http://schemas.openxmlformats.org/officeDocument/2006/relationships/hyperlink" Target="#'Fianceiro MetasDB'!A1"/><Relationship Id="rId11" Type="http://schemas.openxmlformats.org/officeDocument/2006/relationships/image" Target="../media/image19.png"/><Relationship Id="rId5" Type="http://schemas.openxmlformats.org/officeDocument/2006/relationships/image" Target="../media/image21.svg"/><Relationship Id="rId15" Type="http://schemas.openxmlformats.org/officeDocument/2006/relationships/hyperlink" Target="#FINANCEIRO!A1"/><Relationship Id="rId10" Type="http://schemas.openxmlformats.org/officeDocument/2006/relationships/image" Target="../media/image18.svg"/><Relationship Id="rId4" Type="http://schemas.openxmlformats.org/officeDocument/2006/relationships/image" Target="../media/image15.png"/><Relationship Id="rId9" Type="http://schemas.openxmlformats.org/officeDocument/2006/relationships/image" Target="../media/image17.png"/><Relationship Id="rId14" Type="http://schemas.openxmlformats.org/officeDocument/2006/relationships/image" Target="../media/image23.sv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svg"/><Relationship Id="rId13" Type="http://schemas.openxmlformats.org/officeDocument/2006/relationships/image" Target="../media/image22.png"/><Relationship Id="rId3" Type="http://schemas.openxmlformats.org/officeDocument/2006/relationships/image" Target="../media/image1.png"/><Relationship Id="rId7" Type="http://schemas.openxmlformats.org/officeDocument/2006/relationships/image" Target="../media/image13.png"/><Relationship Id="rId12" Type="http://schemas.openxmlformats.org/officeDocument/2006/relationships/image" Target="../media/image20.svg"/><Relationship Id="rId17" Type="http://schemas.openxmlformats.org/officeDocument/2006/relationships/image" Target="../media/image4.svg"/><Relationship Id="rId2" Type="http://schemas.openxmlformats.org/officeDocument/2006/relationships/hyperlink" Target="#HOME!A1"/><Relationship Id="rId16" Type="http://schemas.openxmlformats.org/officeDocument/2006/relationships/image" Target="../media/image3.png"/><Relationship Id="rId1" Type="http://schemas.openxmlformats.org/officeDocument/2006/relationships/hyperlink" Target="#'Fianceiro MetasConsulta'!A1"/><Relationship Id="rId6" Type="http://schemas.openxmlformats.org/officeDocument/2006/relationships/hyperlink" Target="#'Fianceiro MetasDB'!A1"/><Relationship Id="rId11" Type="http://schemas.openxmlformats.org/officeDocument/2006/relationships/image" Target="../media/image19.png"/><Relationship Id="rId5" Type="http://schemas.openxmlformats.org/officeDocument/2006/relationships/image" Target="../media/image21.svg"/><Relationship Id="rId15" Type="http://schemas.openxmlformats.org/officeDocument/2006/relationships/hyperlink" Target="#FINANCEIRO!A1"/><Relationship Id="rId10" Type="http://schemas.openxmlformats.org/officeDocument/2006/relationships/image" Target="../media/image18.svg"/><Relationship Id="rId4" Type="http://schemas.openxmlformats.org/officeDocument/2006/relationships/image" Target="../media/image15.png"/><Relationship Id="rId9" Type="http://schemas.openxmlformats.org/officeDocument/2006/relationships/image" Target="../media/image17.png"/><Relationship Id="rId14" Type="http://schemas.openxmlformats.org/officeDocument/2006/relationships/image" Target="../media/image23.sv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svg"/><Relationship Id="rId7" Type="http://schemas.openxmlformats.org/officeDocument/2006/relationships/image" Target="../media/image4.svg"/><Relationship Id="rId2" Type="http://schemas.openxmlformats.org/officeDocument/2006/relationships/image" Target="../media/image25.png"/><Relationship Id="rId1" Type="http://schemas.openxmlformats.org/officeDocument/2006/relationships/hyperlink" Target="#HOME!A1"/><Relationship Id="rId6" Type="http://schemas.openxmlformats.org/officeDocument/2006/relationships/image" Target="../media/image3.png"/><Relationship Id="rId5" Type="http://schemas.openxmlformats.org/officeDocument/2006/relationships/hyperlink" Target="#FINANCEIRO!A1"/><Relationship Id="rId4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image" Target="../media/image25.png"/><Relationship Id="rId7" Type="http://schemas.openxmlformats.org/officeDocument/2006/relationships/image" Target="../media/image3.png"/><Relationship Id="rId2" Type="http://schemas.openxmlformats.org/officeDocument/2006/relationships/hyperlink" Target="#HOME!A1"/><Relationship Id="rId1" Type="http://schemas.openxmlformats.org/officeDocument/2006/relationships/chart" Target="../charts/chart1.xml"/><Relationship Id="rId6" Type="http://schemas.openxmlformats.org/officeDocument/2006/relationships/hyperlink" Target="#FINANCEIRO!A1"/><Relationship Id="rId5" Type="http://schemas.openxmlformats.org/officeDocument/2006/relationships/image" Target="../media/image1.png"/><Relationship Id="rId4" Type="http://schemas.openxmlformats.org/officeDocument/2006/relationships/image" Target="../media/image26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svg"/><Relationship Id="rId13" Type="http://schemas.openxmlformats.org/officeDocument/2006/relationships/image" Target="../media/image22.png"/><Relationship Id="rId3" Type="http://schemas.openxmlformats.org/officeDocument/2006/relationships/image" Target="../media/image1.png"/><Relationship Id="rId7" Type="http://schemas.openxmlformats.org/officeDocument/2006/relationships/image" Target="../media/image13.png"/><Relationship Id="rId12" Type="http://schemas.openxmlformats.org/officeDocument/2006/relationships/image" Target="../media/image20.svg"/><Relationship Id="rId17" Type="http://schemas.openxmlformats.org/officeDocument/2006/relationships/image" Target="../media/image4.svg"/><Relationship Id="rId2" Type="http://schemas.openxmlformats.org/officeDocument/2006/relationships/hyperlink" Target="#HOME!A1"/><Relationship Id="rId16" Type="http://schemas.openxmlformats.org/officeDocument/2006/relationships/image" Target="../media/image3.png"/><Relationship Id="rId1" Type="http://schemas.openxmlformats.org/officeDocument/2006/relationships/hyperlink" Target="#'Fianceiro FluxoCaixaConsulta'!A1"/><Relationship Id="rId6" Type="http://schemas.openxmlformats.org/officeDocument/2006/relationships/hyperlink" Target="#'Financeiro FluxoCaixaDB'!A1"/><Relationship Id="rId11" Type="http://schemas.openxmlformats.org/officeDocument/2006/relationships/image" Target="../media/image19.png"/><Relationship Id="rId5" Type="http://schemas.openxmlformats.org/officeDocument/2006/relationships/image" Target="../media/image21.svg"/><Relationship Id="rId15" Type="http://schemas.openxmlformats.org/officeDocument/2006/relationships/hyperlink" Target="#FINANCEIRO!A1"/><Relationship Id="rId10" Type="http://schemas.openxmlformats.org/officeDocument/2006/relationships/image" Target="../media/image18.svg"/><Relationship Id="rId4" Type="http://schemas.openxmlformats.org/officeDocument/2006/relationships/image" Target="../media/image15.png"/><Relationship Id="rId9" Type="http://schemas.openxmlformats.org/officeDocument/2006/relationships/image" Target="../media/image17.png"/><Relationship Id="rId14" Type="http://schemas.openxmlformats.org/officeDocument/2006/relationships/image" Target="../media/image23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svg"/><Relationship Id="rId7" Type="http://schemas.openxmlformats.org/officeDocument/2006/relationships/image" Target="../media/image4.svg"/><Relationship Id="rId2" Type="http://schemas.openxmlformats.org/officeDocument/2006/relationships/image" Target="../media/image25.png"/><Relationship Id="rId1" Type="http://schemas.openxmlformats.org/officeDocument/2006/relationships/hyperlink" Target="#HOME!A1"/><Relationship Id="rId6" Type="http://schemas.openxmlformats.org/officeDocument/2006/relationships/image" Target="../media/image3.png"/><Relationship Id="rId5" Type="http://schemas.openxmlformats.org/officeDocument/2006/relationships/hyperlink" Target="#FINANCEIRO!A1"/><Relationship Id="rId4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15.png"/><Relationship Id="rId7" Type="http://schemas.openxmlformats.org/officeDocument/2006/relationships/image" Target="../media/image17.png"/><Relationship Id="rId12" Type="http://schemas.openxmlformats.org/officeDocument/2006/relationships/image" Target="../media/image23.svg"/><Relationship Id="rId2" Type="http://schemas.openxmlformats.org/officeDocument/2006/relationships/image" Target="../media/image1.png"/><Relationship Id="rId1" Type="http://schemas.openxmlformats.org/officeDocument/2006/relationships/hyperlink" Target="#HOME!A1"/><Relationship Id="rId6" Type="http://schemas.openxmlformats.org/officeDocument/2006/relationships/image" Target="../media/image14.svg"/><Relationship Id="rId11" Type="http://schemas.openxmlformats.org/officeDocument/2006/relationships/image" Target="../media/image22.png"/><Relationship Id="rId5" Type="http://schemas.openxmlformats.org/officeDocument/2006/relationships/image" Target="../media/image13.png"/><Relationship Id="rId10" Type="http://schemas.openxmlformats.org/officeDocument/2006/relationships/image" Target="../media/image20.svg"/><Relationship Id="rId4" Type="http://schemas.openxmlformats.org/officeDocument/2006/relationships/image" Target="../media/image21.svg"/><Relationship Id="rId9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image" Target="../media/image25.png"/><Relationship Id="rId7" Type="http://schemas.openxmlformats.org/officeDocument/2006/relationships/image" Target="../media/image3.png"/><Relationship Id="rId2" Type="http://schemas.openxmlformats.org/officeDocument/2006/relationships/hyperlink" Target="#HOME!A1"/><Relationship Id="rId1" Type="http://schemas.openxmlformats.org/officeDocument/2006/relationships/chart" Target="../charts/chart2.xml"/><Relationship Id="rId6" Type="http://schemas.openxmlformats.org/officeDocument/2006/relationships/hyperlink" Target="#FINANCEIRO!A1"/><Relationship Id="rId5" Type="http://schemas.openxmlformats.org/officeDocument/2006/relationships/image" Target="../media/image1.png"/><Relationship Id="rId4" Type="http://schemas.openxmlformats.org/officeDocument/2006/relationships/image" Target="../media/image26.sv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13" Type="http://schemas.openxmlformats.org/officeDocument/2006/relationships/image" Target="../media/image13.png"/><Relationship Id="rId3" Type="http://schemas.openxmlformats.org/officeDocument/2006/relationships/image" Target="../media/image22.png"/><Relationship Id="rId7" Type="http://schemas.openxmlformats.org/officeDocument/2006/relationships/image" Target="../media/image21.svg"/><Relationship Id="rId12" Type="http://schemas.openxmlformats.org/officeDocument/2006/relationships/image" Target="../media/image18.svg"/><Relationship Id="rId2" Type="http://schemas.openxmlformats.org/officeDocument/2006/relationships/image" Target="../media/image1.png"/><Relationship Id="rId1" Type="http://schemas.openxmlformats.org/officeDocument/2006/relationships/hyperlink" Target="#HOME!A1"/><Relationship Id="rId6" Type="http://schemas.openxmlformats.org/officeDocument/2006/relationships/image" Target="../media/image15.png"/><Relationship Id="rId11" Type="http://schemas.openxmlformats.org/officeDocument/2006/relationships/image" Target="../media/image17.png"/><Relationship Id="rId5" Type="http://schemas.openxmlformats.org/officeDocument/2006/relationships/hyperlink" Target="#'Logistica Inser&#231;&#227;o'!A1"/><Relationship Id="rId10" Type="http://schemas.openxmlformats.org/officeDocument/2006/relationships/hyperlink" Target="#'Logistica Infos.'!A1"/><Relationship Id="rId4" Type="http://schemas.openxmlformats.org/officeDocument/2006/relationships/image" Target="../media/image23.svg"/><Relationship Id="rId9" Type="http://schemas.openxmlformats.org/officeDocument/2006/relationships/image" Target="../media/image20.svg"/><Relationship Id="rId14" Type="http://schemas.openxmlformats.org/officeDocument/2006/relationships/image" Target="../media/image14.sv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svg"/><Relationship Id="rId13" Type="http://schemas.openxmlformats.org/officeDocument/2006/relationships/image" Target="../media/image21.svg"/><Relationship Id="rId3" Type="http://schemas.openxmlformats.org/officeDocument/2006/relationships/image" Target="../media/image22.png"/><Relationship Id="rId7" Type="http://schemas.openxmlformats.org/officeDocument/2006/relationships/image" Target="../media/image19.png"/><Relationship Id="rId12" Type="http://schemas.openxmlformats.org/officeDocument/2006/relationships/image" Target="../media/image15.png"/><Relationship Id="rId2" Type="http://schemas.openxmlformats.org/officeDocument/2006/relationships/image" Target="../media/image1.png"/><Relationship Id="rId1" Type="http://schemas.openxmlformats.org/officeDocument/2006/relationships/hyperlink" Target="#HOME!A1"/><Relationship Id="rId6" Type="http://schemas.openxmlformats.org/officeDocument/2006/relationships/image" Target="../media/image18.svg"/><Relationship Id="rId11" Type="http://schemas.openxmlformats.org/officeDocument/2006/relationships/hyperlink" Target="#'Logistica 3'!A1"/><Relationship Id="rId5" Type="http://schemas.openxmlformats.org/officeDocument/2006/relationships/image" Target="../media/image17.png"/><Relationship Id="rId15" Type="http://schemas.openxmlformats.org/officeDocument/2006/relationships/image" Target="../media/image14.svg"/><Relationship Id="rId10" Type="http://schemas.openxmlformats.org/officeDocument/2006/relationships/hyperlink" Target="#'Logistica 5'!A1"/><Relationship Id="rId4" Type="http://schemas.openxmlformats.org/officeDocument/2006/relationships/image" Target="../media/image23.svg"/><Relationship Id="rId9" Type="http://schemas.openxmlformats.org/officeDocument/2006/relationships/hyperlink" Target="#'Logistica 1'!A1"/><Relationship Id="rId14" Type="http://schemas.openxmlformats.org/officeDocument/2006/relationships/image" Target="../media/image13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13" Type="http://schemas.openxmlformats.org/officeDocument/2006/relationships/image" Target="../media/image21.svg"/><Relationship Id="rId3" Type="http://schemas.openxmlformats.org/officeDocument/2006/relationships/image" Target="../media/image22.png"/><Relationship Id="rId7" Type="http://schemas.openxmlformats.org/officeDocument/2006/relationships/image" Target="../media/image17.png"/><Relationship Id="rId12" Type="http://schemas.openxmlformats.org/officeDocument/2006/relationships/image" Target="../media/image15.png"/><Relationship Id="rId2" Type="http://schemas.openxmlformats.org/officeDocument/2006/relationships/image" Target="../media/image1.png"/><Relationship Id="rId1" Type="http://schemas.openxmlformats.org/officeDocument/2006/relationships/hyperlink" Target="#HOME!A1"/><Relationship Id="rId6" Type="http://schemas.openxmlformats.org/officeDocument/2006/relationships/image" Target="../media/image20.svg"/><Relationship Id="rId11" Type="http://schemas.openxmlformats.org/officeDocument/2006/relationships/hyperlink" Target="#'Logistica 6'!A1"/><Relationship Id="rId5" Type="http://schemas.openxmlformats.org/officeDocument/2006/relationships/image" Target="../media/image19.png"/><Relationship Id="rId15" Type="http://schemas.openxmlformats.org/officeDocument/2006/relationships/image" Target="../media/image14.svg"/><Relationship Id="rId10" Type="http://schemas.openxmlformats.org/officeDocument/2006/relationships/hyperlink" Target="#'Logistica 4'!A1"/><Relationship Id="rId4" Type="http://schemas.openxmlformats.org/officeDocument/2006/relationships/image" Target="../media/image23.svg"/><Relationship Id="rId9" Type="http://schemas.openxmlformats.org/officeDocument/2006/relationships/hyperlink" Target="#'Logistica 2'!A1"/><Relationship Id="rId14" Type="http://schemas.openxmlformats.org/officeDocument/2006/relationships/image" Target="../media/image13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27.png"/><Relationship Id="rId1" Type="http://schemas.openxmlformats.org/officeDocument/2006/relationships/hyperlink" Target="#LOGISTICA!A1"/><Relationship Id="rId6" Type="http://schemas.openxmlformats.org/officeDocument/2006/relationships/image" Target="../media/image1.png"/><Relationship Id="rId5" Type="http://schemas.openxmlformats.org/officeDocument/2006/relationships/image" Target="../media/image26.svg"/><Relationship Id="rId4" Type="http://schemas.openxmlformats.org/officeDocument/2006/relationships/image" Target="../media/image25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hyperlink" Target="#LOGISTICA!A1"/><Relationship Id="rId1" Type="http://schemas.openxmlformats.org/officeDocument/2006/relationships/image" Target="../media/image1.png"/><Relationship Id="rId6" Type="http://schemas.openxmlformats.org/officeDocument/2006/relationships/image" Target="../media/image26.svg"/><Relationship Id="rId5" Type="http://schemas.openxmlformats.org/officeDocument/2006/relationships/image" Target="../media/image25.png"/><Relationship Id="rId4" Type="http://schemas.openxmlformats.org/officeDocument/2006/relationships/hyperlink" Target="#HOME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hyperlink" Target="#LOGISTICA!A1"/><Relationship Id="rId1" Type="http://schemas.openxmlformats.org/officeDocument/2006/relationships/image" Target="../media/image1.png"/><Relationship Id="rId6" Type="http://schemas.openxmlformats.org/officeDocument/2006/relationships/image" Target="../media/image26.svg"/><Relationship Id="rId5" Type="http://schemas.openxmlformats.org/officeDocument/2006/relationships/image" Target="../media/image25.png"/><Relationship Id="rId4" Type="http://schemas.openxmlformats.org/officeDocument/2006/relationships/hyperlink" Target="#HOME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hyperlink" Target="#LOGISTICA!A1"/><Relationship Id="rId1" Type="http://schemas.openxmlformats.org/officeDocument/2006/relationships/image" Target="../media/image1.png"/><Relationship Id="rId6" Type="http://schemas.openxmlformats.org/officeDocument/2006/relationships/image" Target="../media/image26.svg"/><Relationship Id="rId5" Type="http://schemas.openxmlformats.org/officeDocument/2006/relationships/image" Target="../media/image25.png"/><Relationship Id="rId4" Type="http://schemas.openxmlformats.org/officeDocument/2006/relationships/hyperlink" Target="#HOME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hyperlink" Target="#LOGISTICA!A1"/><Relationship Id="rId1" Type="http://schemas.openxmlformats.org/officeDocument/2006/relationships/image" Target="../media/image1.png"/><Relationship Id="rId6" Type="http://schemas.openxmlformats.org/officeDocument/2006/relationships/image" Target="../media/image26.svg"/><Relationship Id="rId5" Type="http://schemas.openxmlformats.org/officeDocument/2006/relationships/image" Target="../media/image25.png"/><Relationship Id="rId4" Type="http://schemas.openxmlformats.org/officeDocument/2006/relationships/hyperlink" Target="#HOME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hyperlink" Target="#LOGISTICA!A1"/><Relationship Id="rId1" Type="http://schemas.openxmlformats.org/officeDocument/2006/relationships/image" Target="../media/image1.png"/><Relationship Id="rId6" Type="http://schemas.openxmlformats.org/officeDocument/2006/relationships/image" Target="../media/image26.svg"/><Relationship Id="rId5" Type="http://schemas.openxmlformats.org/officeDocument/2006/relationships/image" Target="../media/image25.png"/><Relationship Id="rId4" Type="http://schemas.openxmlformats.org/officeDocument/2006/relationships/hyperlink" Target="#HOME!A1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13" Type="http://schemas.openxmlformats.org/officeDocument/2006/relationships/image" Target="../media/image25.png"/><Relationship Id="rId3" Type="http://schemas.openxmlformats.org/officeDocument/2006/relationships/image" Target="../media/image15.png"/><Relationship Id="rId7" Type="http://schemas.openxmlformats.org/officeDocument/2006/relationships/image" Target="../media/image17.png"/><Relationship Id="rId12" Type="http://schemas.openxmlformats.org/officeDocument/2006/relationships/image" Target="../media/image23.svg"/><Relationship Id="rId2" Type="http://schemas.openxmlformats.org/officeDocument/2006/relationships/image" Target="../media/image1.png"/><Relationship Id="rId1" Type="http://schemas.openxmlformats.org/officeDocument/2006/relationships/hyperlink" Target="#HOME!A1"/><Relationship Id="rId6" Type="http://schemas.openxmlformats.org/officeDocument/2006/relationships/image" Target="../media/image14.svg"/><Relationship Id="rId11" Type="http://schemas.openxmlformats.org/officeDocument/2006/relationships/image" Target="../media/image22.png"/><Relationship Id="rId5" Type="http://schemas.openxmlformats.org/officeDocument/2006/relationships/image" Target="../media/image13.png"/><Relationship Id="rId10" Type="http://schemas.openxmlformats.org/officeDocument/2006/relationships/image" Target="../media/image20.svg"/><Relationship Id="rId4" Type="http://schemas.openxmlformats.org/officeDocument/2006/relationships/image" Target="../media/image21.svg"/><Relationship Id="rId9" Type="http://schemas.openxmlformats.org/officeDocument/2006/relationships/image" Target="../media/image19.png"/><Relationship Id="rId14" Type="http://schemas.openxmlformats.org/officeDocument/2006/relationships/image" Target="../media/image26.svg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13" Type="http://schemas.openxmlformats.org/officeDocument/2006/relationships/image" Target="../media/image25.png"/><Relationship Id="rId3" Type="http://schemas.openxmlformats.org/officeDocument/2006/relationships/image" Target="../media/image15.png"/><Relationship Id="rId7" Type="http://schemas.openxmlformats.org/officeDocument/2006/relationships/image" Target="../media/image17.png"/><Relationship Id="rId12" Type="http://schemas.openxmlformats.org/officeDocument/2006/relationships/image" Target="../media/image23.svg"/><Relationship Id="rId2" Type="http://schemas.openxmlformats.org/officeDocument/2006/relationships/image" Target="../media/image1.png"/><Relationship Id="rId1" Type="http://schemas.openxmlformats.org/officeDocument/2006/relationships/hyperlink" Target="#HOME!A1"/><Relationship Id="rId6" Type="http://schemas.openxmlformats.org/officeDocument/2006/relationships/image" Target="../media/image14.svg"/><Relationship Id="rId11" Type="http://schemas.openxmlformats.org/officeDocument/2006/relationships/image" Target="../media/image22.png"/><Relationship Id="rId5" Type="http://schemas.openxmlformats.org/officeDocument/2006/relationships/image" Target="../media/image13.png"/><Relationship Id="rId10" Type="http://schemas.openxmlformats.org/officeDocument/2006/relationships/image" Target="../media/image20.svg"/><Relationship Id="rId4" Type="http://schemas.openxmlformats.org/officeDocument/2006/relationships/image" Target="../media/image21.svg"/><Relationship Id="rId9" Type="http://schemas.openxmlformats.org/officeDocument/2006/relationships/image" Target="../media/image19.png"/><Relationship Id="rId14" Type="http://schemas.openxmlformats.org/officeDocument/2006/relationships/image" Target="../media/image26.sv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svg"/><Relationship Id="rId7" Type="http://schemas.openxmlformats.org/officeDocument/2006/relationships/image" Target="../media/image31.png"/><Relationship Id="rId2" Type="http://schemas.openxmlformats.org/officeDocument/2006/relationships/image" Target="../media/image25.png"/><Relationship Id="rId1" Type="http://schemas.openxmlformats.org/officeDocument/2006/relationships/hyperlink" Target="#HOME!A1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COMPRAS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svg"/><Relationship Id="rId7" Type="http://schemas.openxmlformats.org/officeDocument/2006/relationships/image" Target="../media/image31.png"/><Relationship Id="rId2" Type="http://schemas.openxmlformats.org/officeDocument/2006/relationships/image" Target="../media/image25.png"/><Relationship Id="rId1" Type="http://schemas.openxmlformats.org/officeDocument/2006/relationships/hyperlink" Target="#HOME!A1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COMPRAS!A1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svg"/><Relationship Id="rId7" Type="http://schemas.openxmlformats.org/officeDocument/2006/relationships/image" Target="../media/image31.png"/><Relationship Id="rId2" Type="http://schemas.openxmlformats.org/officeDocument/2006/relationships/image" Target="../media/image25.png"/><Relationship Id="rId1" Type="http://schemas.openxmlformats.org/officeDocument/2006/relationships/hyperlink" Target="#HOME!A1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COMPRAS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7" Type="http://schemas.openxmlformats.org/officeDocument/2006/relationships/image" Target="../media/image8.svg"/><Relationship Id="rId2" Type="http://schemas.openxmlformats.org/officeDocument/2006/relationships/hyperlink" Target="#HOME!A1"/><Relationship Id="rId1" Type="http://schemas.openxmlformats.org/officeDocument/2006/relationships/image" Target="../media/image31.png"/><Relationship Id="rId6" Type="http://schemas.openxmlformats.org/officeDocument/2006/relationships/image" Target="../media/image7.png"/><Relationship Id="rId5" Type="http://schemas.openxmlformats.org/officeDocument/2006/relationships/hyperlink" Target="#COMPRAS!A1"/><Relationship Id="rId4" Type="http://schemas.openxmlformats.org/officeDocument/2006/relationships/image" Target="../media/image26.sv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7" Type="http://schemas.openxmlformats.org/officeDocument/2006/relationships/image" Target="../media/image8.svg"/><Relationship Id="rId2" Type="http://schemas.openxmlformats.org/officeDocument/2006/relationships/hyperlink" Target="#HOME!A1"/><Relationship Id="rId1" Type="http://schemas.openxmlformats.org/officeDocument/2006/relationships/image" Target="../media/image31.png"/><Relationship Id="rId6" Type="http://schemas.openxmlformats.org/officeDocument/2006/relationships/image" Target="../media/image7.png"/><Relationship Id="rId5" Type="http://schemas.openxmlformats.org/officeDocument/2006/relationships/hyperlink" Target="#COMPRAS!A1"/><Relationship Id="rId4" Type="http://schemas.openxmlformats.org/officeDocument/2006/relationships/image" Target="../media/image26.sv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7" Type="http://schemas.openxmlformats.org/officeDocument/2006/relationships/image" Target="../media/image8.svg"/><Relationship Id="rId2" Type="http://schemas.openxmlformats.org/officeDocument/2006/relationships/hyperlink" Target="#HOME!A1"/><Relationship Id="rId1" Type="http://schemas.openxmlformats.org/officeDocument/2006/relationships/image" Target="../media/image31.png"/><Relationship Id="rId6" Type="http://schemas.openxmlformats.org/officeDocument/2006/relationships/image" Target="../media/image7.png"/><Relationship Id="rId5" Type="http://schemas.openxmlformats.org/officeDocument/2006/relationships/hyperlink" Target="#COMPRAS!A1"/><Relationship Id="rId4" Type="http://schemas.openxmlformats.org/officeDocument/2006/relationships/image" Target="../media/image26.sv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7" Type="http://schemas.openxmlformats.org/officeDocument/2006/relationships/image" Target="../media/image8.svg"/><Relationship Id="rId2" Type="http://schemas.openxmlformats.org/officeDocument/2006/relationships/hyperlink" Target="#HOME!A1"/><Relationship Id="rId1" Type="http://schemas.openxmlformats.org/officeDocument/2006/relationships/image" Target="../media/image31.png"/><Relationship Id="rId6" Type="http://schemas.openxmlformats.org/officeDocument/2006/relationships/image" Target="../media/image7.png"/><Relationship Id="rId5" Type="http://schemas.openxmlformats.org/officeDocument/2006/relationships/hyperlink" Target="#COMPRAS!A1"/><Relationship Id="rId4" Type="http://schemas.openxmlformats.org/officeDocument/2006/relationships/image" Target="../media/image26.svg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20.svg"/><Relationship Id="rId3" Type="http://schemas.openxmlformats.org/officeDocument/2006/relationships/image" Target="../media/image1.png"/><Relationship Id="rId7" Type="http://schemas.openxmlformats.org/officeDocument/2006/relationships/hyperlink" Target="#'VENDA-GRAFICO'!A1"/><Relationship Id="rId12" Type="http://schemas.openxmlformats.org/officeDocument/2006/relationships/image" Target="../media/image19.png"/><Relationship Id="rId2" Type="http://schemas.openxmlformats.org/officeDocument/2006/relationships/hyperlink" Target="#HOME!A1"/><Relationship Id="rId16" Type="http://schemas.openxmlformats.org/officeDocument/2006/relationships/hyperlink" Target="#'VENDA-DATABASE'!A1"/><Relationship Id="rId1" Type="http://schemas.openxmlformats.org/officeDocument/2006/relationships/hyperlink" Target="#'VENDA-TABELA-VENDA'!A1"/><Relationship Id="rId6" Type="http://schemas.openxmlformats.org/officeDocument/2006/relationships/hyperlink" Target="#'VENDA-CAD-VENDA'!A1"/><Relationship Id="rId11" Type="http://schemas.openxmlformats.org/officeDocument/2006/relationships/image" Target="../media/image18.svg"/><Relationship Id="rId5" Type="http://schemas.openxmlformats.org/officeDocument/2006/relationships/image" Target="../media/image21.svg"/><Relationship Id="rId15" Type="http://schemas.openxmlformats.org/officeDocument/2006/relationships/image" Target="../media/image23.svg"/><Relationship Id="rId10" Type="http://schemas.openxmlformats.org/officeDocument/2006/relationships/image" Target="../media/image17.png"/><Relationship Id="rId4" Type="http://schemas.openxmlformats.org/officeDocument/2006/relationships/image" Target="../media/image15.png"/><Relationship Id="rId9" Type="http://schemas.openxmlformats.org/officeDocument/2006/relationships/image" Target="../media/image14.svg"/><Relationship Id="rId14" Type="http://schemas.openxmlformats.org/officeDocument/2006/relationships/image" Target="../media/image22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7" Type="http://schemas.openxmlformats.org/officeDocument/2006/relationships/image" Target="../media/image11.svg"/><Relationship Id="rId2" Type="http://schemas.openxmlformats.org/officeDocument/2006/relationships/image" Target="../media/image1.png"/><Relationship Id="rId1" Type="http://schemas.openxmlformats.org/officeDocument/2006/relationships/hyperlink" Target="#HOME!A1"/><Relationship Id="rId6" Type="http://schemas.openxmlformats.org/officeDocument/2006/relationships/image" Target="../media/image10.png"/><Relationship Id="rId5" Type="http://schemas.openxmlformats.org/officeDocument/2006/relationships/hyperlink" Target="#VENDAS!A1"/><Relationship Id="rId4" Type="http://schemas.openxmlformats.org/officeDocument/2006/relationships/image" Target="../media/image26.svg"/></Relationships>
</file>

<file path=xl/drawings/_rels/drawing4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svg"/><Relationship Id="rId3" Type="http://schemas.openxmlformats.org/officeDocument/2006/relationships/image" Target="../media/image1.png"/><Relationship Id="rId7" Type="http://schemas.openxmlformats.org/officeDocument/2006/relationships/image" Target="../media/image13.png"/><Relationship Id="rId12" Type="http://schemas.openxmlformats.org/officeDocument/2006/relationships/image" Target="../media/image20.svg"/><Relationship Id="rId2" Type="http://schemas.openxmlformats.org/officeDocument/2006/relationships/hyperlink" Target="#HOME!A1"/><Relationship Id="rId1" Type="http://schemas.openxmlformats.org/officeDocument/2006/relationships/hyperlink" Target="#VENDASGRAFICO_CLIENTES!A1"/><Relationship Id="rId6" Type="http://schemas.openxmlformats.org/officeDocument/2006/relationships/hyperlink" Target="#VENDASGRAFICO_VENDAS!A1"/><Relationship Id="rId11" Type="http://schemas.openxmlformats.org/officeDocument/2006/relationships/image" Target="../media/image19.png"/><Relationship Id="rId5" Type="http://schemas.openxmlformats.org/officeDocument/2006/relationships/image" Target="../media/image21.svg"/><Relationship Id="rId10" Type="http://schemas.openxmlformats.org/officeDocument/2006/relationships/image" Target="../media/image18.svg"/><Relationship Id="rId4" Type="http://schemas.openxmlformats.org/officeDocument/2006/relationships/image" Target="../media/image15.png"/><Relationship Id="rId9" Type="http://schemas.openxmlformats.org/officeDocument/2006/relationships/image" Target="../media/image17.png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25.png"/><Relationship Id="rId7" Type="http://schemas.openxmlformats.org/officeDocument/2006/relationships/image" Target="../media/image11.svg"/><Relationship Id="rId2" Type="http://schemas.openxmlformats.org/officeDocument/2006/relationships/image" Target="../media/image1.png"/><Relationship Id="rId1" Type="http://schemas.openxmlformats.org/officeDocument/2006/relationships/hyperlink" Target="#HOME!A1"/><Relationship Id="rId6" Type="http://schemas.openxmlformats.org/officeDocument/2006/relationships/image" Target="../media/image10.png"/><Relationship Id="rId5" Type="http://schemas.openxmlformats.org/officeDocument/2006/relationships/hyperlink" Target="#VENDAS!A1"/><Relationship Id="rId4" Type="http://schemas.openxmlformats.org/officeDocument/2006/relationships/image" Target="../media/image26.svg"/></Relationships>
</file>

<file path=xl/drawings/_rels/drawing4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1.png"/><Relationship Id="rId7" Type="http://schemas.openxmlformats.org/officeDocument/2006/relationships/image" Target="../media/image10.png"/><Relationship Id="rId2" Type="http://schemas.openxmlformats.org/officeDocument/2006/relationships/hyperlink" Target="#HOME!A1"/><Relationship Id="rId1" Type="http://schemas.openxmlformats.org/officeDocument/2006/relationships/chart" Target="../charts/chart4.xml"/><Relationship Id="rId6" Type="http://schemas.openxmlformats.org/officeDocument/2006/relationships/hyperlink" Target="#VENDAS!A1"/><Relationship Id="rId5" Type="http://schemas.openxmlformats.org/officeDocument/2006/relationships/image" Target="../media/image26.svg"/><Relationship Id="rId4" Type="http://schemas.openxmlformats.org/officeDocument/2006/relationships/image" Target="../media/image25.pn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7" Type="http://schemas.openxmlformats.org/officeDocument/2006/relationships/image" Target="../media/image11.svg"/><Relationship Id="rId2" Type="http://schemas.openxmlformats.org/officeDocument/2006/relationships/image" Target="../media/image1.png"/><Relationship Id="rId1" Type="http://schemas.openxmlformats.org/officeDocument/2006/relationships/hyperlink" Target="#HOME!A1"/><Relationship Id="rId6" Type="http://schemas.openxmlformats.org/officeDocument/2006/relationships/image" Target="../media/image10.png"/><Relationship Id="rId5" Type="http://schemas.openxmlformats.org/officeDocument/2006/relationships/hyperlink" Target="#VENDAS!A1"/><Relationship Id="rId4" Type="http://schemas.openxmlformats.org/officeDocument/2006/relationships/image" Target="../media/image26.svg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7" Type="http://schemas.openxmlformats.org/officeDocument/2006/relationships/image" Target="../media/image11.svg"/><Relationship Id="rId2" Type="http://schemas.openxmlformats.org/officeDocument/2006/relationships/image" Target="../media/image1.png"/><Relationship Id="rId1" Type="http://schemas.openxmlformats.org/officeDocument/2006/relationships/hyperlink" Target="#HOME!A1"/><Relationship Id="rId6" Type="http://schemas.openxmlformats.org/officeDocument/2006/relationships/image" Target="../media/image10.png"/><Relationship Id="rId5" Type="http://schemas.openxmlformats.org/officeDocument/2006/relationships/hyperlink" Target="#VENDAS!A1"/><Relationship Id="rId4" Type="http://schemas.openxmlformats.org/officeDocument/2006/relationships/image" Target="../media/image26.svg"/></Relationships>
</file>

<file path=xl/drawings/_rels/drawing45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20.svg"/><Relationship Id="rId3" Type="http://schemas.openxmlformats.org/officeDocument/2006/relationships/hyperlink" Target="#'RH database'!A1"/><Relationship Id="rId7" Type="http://schemas.openxmlformats.org/officeDocument/2006/relationships/image" Target="../media/image18.svg"/><Relationship Id="rId12" Type="http://schemas.openxmlformats.org/officeDocument/2006/relationships/image" Target="../media/image19.png"/><Relationship Id="rId2" Type="http://schemas.openxmlformats.org/officeDocument/2006/relationships/image" Target="../media/image21.svg"/><Relationship Id="rId1" Type="http://schemas.openxmlformats.org/officeDocument/2006/relationships/image" Target="../media/image15.png"/><Relationship Id="rId6" Type="http://schemas.openxmlformats.org/officeDocument/2006/relationships/image" Target="../media/image17.png"/><Relationship Id="rId11" Type="http://schemas.openxmlformats.org/officeDocument/2006/relationships/image" Target="../media/image23.svg"/><Relationship Id="rId5" Type="http://schemas.openxmlformats.org/officeDocument/2006/relationships/image" Target="../media/image14.svg"/><Relationship Id="rId10" Type="http://schemas.openxmlformats.org/officeDocument/2006/relationships/image" Target="../media/image22.png"/><Relationship Id="rId4" Type="http://schemas.openxmlformats.org/officeDocument/2006/relationships/image" Target="../media/image13.png"/><Relationship Id="rId9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hyperlink" Target="#HOME!A1"/><Relationship Id="rId1" Type="http://schemas.openxmlformats.org/officeDocument/2006/relationships/image" Target="../media/image31.png"/><Relationship Id="rId6" Type="http://schemas.openxmlformats.org/officeDocument/2006/relationships/image" Target="../media/image9.png"/><Relationship Id="rId5" Type="http://schemas.openxmlformats.org/officeDocument/2006/relationships/hyperlink" Target="#RH!A1"/><Relationship Id="rId4" Type="http://schemas.openxmlformats.org/officeDocument/2006/relationships/image" Target="../media/image26.svg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13" Type="http://schemas.openxmlformats.org/officeDocument/2006/relationships/image" Target="../media/image20.svg"/><Relationship Id="rId3" Type="http://schemas.openxmlformats.org/officeDocument/2006/relationships/image" Target="../media/image21.svg"/><Relationship Id="rId7" Type="http://schemas.openxmlformats.org/officeDocument/2006/relationships/hyperlink" Target="#'Produ&#231;&#227;o-Pedidos'!A1"/><Relationship Id="rId12" Type="http://schemas.openxmlformats.org/officeDocument/2006/relationships/image" Target="../media/image19.png"/><Relationship Id="rId17" Type="http://schemas.openxmlformats.org/officeDocument/2006/relationships/image" Target="../media/image23.svg"/><Relationship Id="rId2" Type="http://schemas.openxmlformats.org/officeDocument/2006/relationships/image" Target="../media/image15.png"/><Relationship Id="rId16" Type="http://schemas.openxmlformats.org/officeDocument/2006/relationships/image" Target="../media/image22.png"/><Relationship Id="rId1" Type="http://schemas.openxmlformats.org/officeDocument/2006/relationships/hyperlink" Target="#'Produ&#231;&#227;o-Produzir'!A1"/><Relationship Id="rId6" Type="http://schemas.openxmlformats.org/officeDocument/2006/relationships/hyperlink" Target="#'Produ&#231;&#227;o-CadastroPr.'!A1"/><Relationship Id="rId11" Type="http://schemas.openxmlformats.org/officeDocument/2006/relationships/image" Target="../media/image14.svg"/><Relationship Id="rId5" Type="http://schemas.openxmlformats.org/officeDocument/2006/relationships/hyperlink" Target="#'Produ&#231;&#227;o-Yogurtes'!A1"/><Relationship Id="rId15" Type="http://schemas.openxmlformats.org/officeDocument/2006/relationships/image" Target="../media/image1.png"/><Relationship Id="rId10" Type="http://schemas.openxmlformats.org/officeDocument/2006/relationships/image" Target="../media/image13.png"/><Relationship Id="rId4" Type="http://schemas.openxmlformats.org/officeDocument/2006/relationships/hyperlink" Target="#'Produ&#231;&#227;o-ReceitaQt.'!A1"/><Relationship Id="rId9" Type="http://schemas.openxmlformats.org/officeDocument/2006/relationships/image" Target="../media/image18.svg"/><Relationship Id="rId14" Type="http://schemas.openxmlformats.org/officeDocument/2006/relationships/hyperlink" Target="#HOME!A1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hyperlink" Target="#HOME!A1"/><Relationship Id="rId1" Type="http://schemas.openxmlformats.org/officeDocument/2006/relationships/image" Target="../media/image32.png"/><Relationship Id="rId4" Type="http://schemas.openxmlformats.org/officeDocument/2006/relationships/image" Target="../media/image26.svg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hyperlink" Target="#HOME!A1"/><Relationship Id="rId1" Type="http://schemas.openxmlformats.org/officeDocument/2006/relationships/image" Target="../media/image31.png"/><Relationship Id="rId4" Type="http://schemas.openxmlformats.org/officeDocument/2006/relationships/image" Target="../media/image26.svg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hyperlink" Target="#HOME!A1"/><Relationship Id="rId1" Type="http://schemas.openxmlformats.org/officeDocument/2006/relationships/image" Target="../media/image31.png"/><Relationship Id="rId4" Type="http://schemas.openxmlformats.org/officeDocument/2006/relationships/image" Target="../media/image26.svg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hyperlink" Target="#HOME!A1"/><Relationship Id="rId1" Type="http://schemas.openxmlformats.org/officeDocument/2006/relationships/image" Target="../media/image31.png"/><Relationship Id="rId4" Type="http://schemas.openxmlformats.org/officeDocument/2006/relationships/image" Target="../media/image26.svg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hyperlink" Target="#HOME!A1"/><Relationship Id="rId1" Type="http://schemas.openxmlformats.org/officeDocument/2006/relationships/image" Target="../media/image31.png"/><Relationship Id="rId4" Type="http://schemas.openxmlformats.org/officeDocument/2006/relationships/image" Target="../media/image2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706</xdr:colOff>
      <xdr:row>5</xdr:row>
      <xdr:rowOff>73025</xdr:rowOff>
    </xdr:from>
    <xdr:to>
      <xdr:col>14</xdr:col>
      <xdr:colOff>298450</xdr:colOff>
      <xdr:row>20</xdr:row>
      <xdr:rowOff>138289</xdr:rowOff>
    </xdr:to>
    <xdr:sp macro="" textlink="">
      <xdr:nvSpPr>
        <xdr:cNvPr id="48" name="Retângulo: Cantos Arredondados 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2439106" y="977900"/>
          <a:ext cx="6393744" cy="2779889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atin typeface="Gordita" pitchFamily="50" charset="0"/>
            <a:cs typeface="Gordita" pitchFamily="50" charset="0"/>
          </a:endParaRPr>
        </a:p>
        <a:p>
          <a:pPr algn="l"/>
          <a:endParaRPr lang="pt-BR" sz="1100">
            <a:latin typeface="Gordita" pitchFamily="50" charset="0"/>
            <a:cs typeface="Gordita" pitchFamily="50" charset="0"/>
          </a:endParaRPr>
        </a:p>
        <a:p>
          <a:pPr algn="l"/>
          <a:endParaRPr lang="pt-BR" sz="1100">
            <a:latin typeface="Gordita" pitchFamily="50" charset="0"/>
            <a:cs typeface="Gordita" pitchFamily="50" charset="0"/>
          </a:endParaRPr>
        </a:p>
        <a:p>
          <a:pPr algn="l"/>
          <a:endParaRPr lang="pt-BR" sz="1100" baseline="0">
            <a:latin typeface="Gordita" pitchFamily="50" charset="0"/>
            <a:cs typeface="Gordita" pitchFamily="50" charset="0"/>
          </a:endParaRPr>
        </a:p>
        <a:p>
          <a:pPr algn="l"/>
          <a:r>
            <a:rPr lang="pt-BR" sz="1100" baseline="0">
              <a:latin typeface="Gordita" pitchFamily="50" charset="0"/>
              <a:cs typeface="Gordita" pitchFamily="50" charset="0"/>
            </a:rPr>
            <a:t>           </a:t>
          </a:r>
        </a:p>
        <a:p>
          <a:pPr algn="l"/>
          <a:r>
            <a:rPr lang="pt-BR" sz="900" baseline="0">
              <a:solidFill>
                <a:schemeClr val="tx1"/>
              </a:solidFill>
              <a:latin typeface="Gordita" pitchFamily="50" charset="0"/>
              <a:cs typeface="Gordita" pitchFamily="50" charset="0"/>
            </a:rPr>
            <a:t>              </a:t>
          </a:r>
          <a:r>
            <a:rPr lang="pt-BR" sz="900" b="1" baseline="0">
              <a:solidFill>
                <a:schemeClr val="tx1"/>
              </a:solidFill>
              <a:latin typeface="Gordita" pitchFamily="50" charset="0"/>
              <a:cs typeface="Gordita" pitchFamily="50" charset="0"/>
            </a:rPr>
            <a:t>FINANCEIRO                       ESTOQUE                                 LOGÍSTICA                            VENDAS</a:t>
          </a:r>
        </a:p>
        <a:p>
          <a:pPr algn="l"/>
          <a:endParaRPr lang="pt-BR" sz="900" b="1" baseline="0">
            <a:solidFill>
              <a:schemeClr val="tx1"/>
            </a:solidFill>
            <a:latin typeface="Gordita" pitchFamily="50" charset="0"/>
            <a:cs typeface="Gordita" pitchFamily="50" charset="0"/>
          </a:endParaRPr>
        </a:p>
        <a:p>
          <a:pPr algn="l"/>
          <a:endParaRPr lang="pt-BR" sz="900" b="1" baseline="0">
            <a:solidFill>
              <a:schemeClr val="tx1"/>
            </a:solidFill>
            <a:latin typeface="Gordita" pitchFamily="50" charset="0"/>
            <a:cs typeface="Gordita" pitchFamily="50" charset="0"/>
          </a:endParaRPr>
        </a:p>
        <a:p>
          <a:pPr algn="l"/>
          <a:endParaRPr lang="pt-BR" sz="900" b="1" baseline="0">
            <a:solidFill>
              <a:schemeClr val="tx1"/>
            </a:solidFill>
            <a:latin typeface="Gordita" pitchFamily="50" charset="0"/>
            <a:cs typeface="Gordita" pitchFamily="50" charset="0"/>
          </a:endParaRPr>
        </a:p>
        <a:p>
          <a:pPr algn="l"/>
          <a:endParaRPr lang="pt-BR" sz="900" b="1" baseline="0">
            <a:solidFill>
              <a:schemeClr val="tx1"/>
            </a:solidFill>
            <a:latin typeface="Gordita" pitchFamily="50" charset="0"/>
            <a:cs typeface="Gordita" pitchFamily="50" charset="0"/>
          </a:endParaRPr>
        </a:p>
        <a:p>
          <a:pPr algn="l"/>
          <a:endParaRPr lang="pt-BR" sz="900" b="1" baseline="0">
            <a:solidFill>
              <a:schemeClr val="tx1"/>
            </a:solidFill>
            <a:latin typeface="Gordita" pitchFamily="50" charset="0"/>
            <a:cs typeface="Gordita" pitchFamily="50" charset="0"/>
          </a:endParaRPr>
        </a:p>
        <a:p>
          <a:pPr algn="l"/>
          <a:r>
            <a:rPr lang="pt-BR" sz="900" b="1" baseline="0">
              <a:solidFill>
                <a:schemeClr val="tx1"/>
              </a:solidFill>
              <a:latin typeface="Gordita" pitchFamily="50" charset="0"/>
              <a:cs typeface="Gordita" pitchFamily="50" charset="0"/>
            </a:rPr>
            <a:t>                                           COMPRAS                                    RH                                       PRODUÇÃO      </a:t>
          </a:r>
          <a:endParaRPr lang="pt-BR" sz="900" b="1">
            <a:solidFill>
              <a:schemeClr val="tx1"/>
            </a:solidFill>
            <a:latin typeface="Gordita" pitchFamily="50" charset="0"/>
            <a:cs typeface="Gordita" pitchFamily="50" charset="0"/>
          </a:endParaRPr>
        </a:p>
      </xdr:txBody>
    </xdr:sp>
    <xdr:clientData/>
  </xdr:twoCellAnchor>
  <xdr:twoCellAnchor editAs="oneCell">
    <xdr:from>
      <xdr:col>5</xdr:col>
      <xdr:colOff>609599</xdr:colOff>
      <xdr:row>0</xdr:row>
      <xdr:rowOff>57150</xdr:rowOff>
    </xdr:from>
    <xdr:to>
      <xdr:col>6</xdr:col>
      <xdr:colOff>482600</xdr:colOff>
      <xdr:row>4</xdr:row>
      <xdr:rowOff>153525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3816349" y="57150"/>
          <a:ext cx="514351" cy="832975"/>
        </a:xfrm>
        <a:prstGeom prst="rect">
          <a:avLst/>
        </a:prstGeom>
      </xdr:spPr>
    </xdr:pic>
    <xdr:clientData/>
  </xdr:twoCellAnchor>
  <xdr:twoCellAnchor editAs="oneCell">
    <xdr:from>
      <xdr:col>6</xdr:col>
      <xdr:colOff>609599</xdr:colOff>
      <xdr:row>1</xdr:row>
      <xdr:rowOff>158750</xdr:rowOff>
    </xdr:from>
    <xdr:to>
      <xdr:col>11</xdr:col>
      <xdr:colOff>565150</xdr:colOff>
      <xdr:row>4</xdr:row>
      <xdr:rowOff>82550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67" t="43790" r="16758" b="44268"/>
        <a:stretch/>
      </xdr:blipFill>
      <xdr:spPr>
        <a:xfrm>
          <a:off x="4457699" y="342900"/>
          <a:ext cx="3162301" cy="47625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571500</xdr:colOff>
      <xdr:row>7</xdr:row>
      <xdr:rowOff>50800</xdr:rowOff>
    </xdr:from>
    <xdr:to>
      <xdr:col>6</xdr:col>
      <xdr:colOff>203200</xdr:colOff>
      <xdr:row>12</xdr:row>
      <xdr:rowOff>44450</xdr:rowOff>
    </xdr:to>
    <xdr:pic>
      <xdr:nvPicPr>
        <xdr:cNvPr id="7" name="Gráfico 6" descr="Moedas com preenchimento sóli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136900" y="13398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6</xdr:row>
      <xdr:rowOff>152400</xdr:rowOff>
    </xdr:from>
    <xdr:to>
      <xdr:col>8</xdr:col>
      <xdr:colOff>406400</xdr:colOff>
      <xdr:row>12</xdr:row>
      <xdr:rowOff>19050</xdr:rowOff>
    </xdr:to>
    <xdr:pic>
      <xdr:nvPicPr>
        <xdr:cNvPr id="8" name="Imagem 7" descr="Estoque pronto - ícones de comércio e compras grátis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65650" y="1257300"/>
          <a:ext cx="971550" cy="971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95250</xdr:colOff>
      <xdr:row>5</xdr:row>
      <xdr:rowOff>12700</xdr:rowOff>
    </xdr:from>
    <xdr:to>
      <xdr:col>11</xdr:col>
      <xdr:colOff>254000</xdr:colOff>
      <xdr:row>12</xdr:row>
      <xdr:rowOff>165100</xdr:rowOff>
    </xdr:to>
    <xdr:pic>
      <xdr:nvPicPr>
        <xdr:cNvPr id="9" name="Imagem 8" descr="Smart Logistic Icons - Free SVG &amp; PNG Smart Logistic Images - Noun Project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0" y="933450"/>
          <a:ext cx="1441450" cy="144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88900</xdr:colOff>
      <xdr:row>12</xdr:row>
      <xdr:rowOff>82550</xdr:rowOff>
    </xdr:from>
    <xdr:to>
      <xdr:col>7</xdr:col>
      <xdr:colOff>361950</xdr:colOff>
      <xdr:row>17</xdr:row>
      <xdr:rowOff>76200</xdr:rowOff>
    </xdr:to>
    <xdr:pic>
      <xdr:nvPicPr>
        <xdr:cNvPr id="11" name="Gráfico 10" descr="Carrinho de compras com preenchimento sólido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937000" y="22923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8</xdr:col>
      <xdr:colOff>190500</xdr:colOff>
      <xdr:row>12</xdr:row>
      <xdr:rowOff>69850</xdr:rowOff>
    </xdr:from>
    <xdr:to>
      <xdr:col>9</xdr:col>
      <xdr:colOff>488950</xdr:colOff>
      <xdr:row>17</xdr:row>
      <xdr:rowOff>88900</xdr:rowOff>
    </xdr:to>
    <xdr:pic>
      <xdr:nvPicPr>
        <xdr:cNvPr id="12" name="Imagem 11" descr="Human resources Generic Glyph icon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1300" y="2279650"/>
          <a:ext cx="939800" cy="939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494450</xdr:colOff>
      <xdr:row>7</xdr:row>
      <xdr:rowOff>11850</xdr:rowOff>
    </xdr:from>
    <xdr:to>
      <xdr:col>13</xdr:col>
      <xdr:colOff>126150</xdr:colOff>
      <xdr:row>12</xdr:row>
      <xdr:rowOff>5500</xdr:rowOff>
    </xdr:to>
    <xdr:pic>
      <xdr:nvPicPr>
        <xdr:cNvPr id="22" name="Gráfico 21" descr="Dinheiro com preenchimento sólido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7549300" y="13009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139700</xdr:colOff>
      <xdr:row>10</xdr:row>
      <xdr:rowOff>101600</xdr:rowOff>
    </xdr:from>
    <xdr:to>
      <xdr:col>12</xdr:col>
      <xdr:colOff>495300</xdr:colOff>
      <xdr:row>19</xdr:row>
      <xdr:rowOff>82550</xdr:rowOff>
    </xdr:to>
    <xdr:pic>
      <xdr:nvPicPr>
        <xdr:cNvPr id="24" name="Imagem 23" descr="Production Icon #72543 - Free Icons Library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53200" y="1943100"/>
          <a:ext cx="1638300" cy="1638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361950</xdr:colOff>
      <xdr:row>5</xdr:row>
      <xdr:rowOff>165100</xdr:rowOff>
    </xdr:from>
    <xdr:to>
      <xdr:col>15</xdr:col>
      <xdr:colOff>546100</xdr:colOff>
      <xdr:row>13</xdr:row>
      <xdr:rowOff>158750</xdr:rowOff>
    </xdr:to>
    <xdr:pic>
      <xdr:nvPicPr>
        <xdr:cNvPr id="26" name="Gráfico 25" descr="Um círculo preenchido com pontos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8699500" y="1085850"/>
          <a:ext cx="1466850" cy="1466850"/>
        </a:xfrm>
        <a:prstGeom prst="rect">
          <a:avLst/>
        </a:prstGeom>
      </xdr:spPr>
    </xdr:pic>
    <xdr:clientData/>
  </xdr:twoCellAnchor>
  <xdr:twoCellAnchor editAs="oneCell">
    <xdr:from>
      <xdr:col>2</xdr:col>
      <xdr:colOff>346850</xdr:colOff>
      <xdr:row>1</xdr:row>
      <xdr:rowOff>162700</xdr:rowOff>
    </xdr:from>
    <xdr:to>
      <xdr:col>5</xdr:col>
      <xdr:colOff>184150</xdr:colOff>
      <xdr:row>11</xdr:row>
      <xdr:rowOff>82550</xdr:rowOff>
    </xdr:to>
    <xdr:pic>
      <xdr:nvPicPr>
        <xdr:cNvPr id="28" name="Gráfico 27" descr="Dois quadrados e uma linha em ziguezague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1629550" y="346850"/>
          <a:ext cx="1761350" cy="1761350"/>
        </a:xfrm>
        <a:prstGeom prst="rect">
          <a:avLst/>
        </a:prstGeom>
      </xdr:spPr>
    </xdr:pic>
    <xdr:clientData/>
  </xdr:twoCellAnchor>
  <xdr:twoCellAnchor editAs="oneCell">
    <xdr:from>
      <xdr:col>12</xdr:col>
      <xdr:colOff>527050</xdr:colOff>
      <xdr:row>11</xdr:row>
      <xdr:rowOff>71400</xdr:rowOff>
    </xdr:from>
    <xdr:to>
      <xdr:col>15</xdr:col>
      <xdr:colOff>590550</xdr:colOff>
      <xdr:row>22</xdr:row>
      <xdr:rowOff>33300</xdr:rowOff>
    </xdr:to>
    <xdr:pic>
      <xdr:nvPicPr>
        <xdr:cNvPr id="30" name="Gráfico 29" descr="Dois círculos, um sólido e um preenchido com pontos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223250" y="2097050"/>
          <a:ext cx="1987550" cy="1987550"/>
        </a:xfrm>
        <a:prstGeom prst="rect">
          <a:avLst/>
        </a:prstGeom>
      </xdr:spPr>
    </xdr:pic>
    <xdr:clientData/>
  </xdr:twoCellAnchor>
  <xdr:twoCellAnchor editAs="oneCell">
    <xdr:from>
      <xdr:col>2</xdr:col>
      <xdr:colOff>113450</xdr:colOff>
      <xdr:row>7</xdr:row>
      <xdr:rowOff>133350</xdr:rowOff>
    </xdr:from>
    <xdr:to>
      <xdr:col>4</xdr:col>
      <xdr:colOff>273050</xdr:colOff>
      <xdr:row>15</xdr:row>
      <xdr:rowOff>102450</xdr:rowOff>
    </xdr:to>
    <xdr:pic>
      <xdr:nvPicPr>
        <xdr:cNvPr id="32" name="Gráfico 31" descr="Um círculo preenchido com linhas diagonais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396150" y="1422400"/>
          <a:ext cx="1442300" cy="1442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457906</xdr:colOff>
      <xdr:row>5</xdr:row>
      <xdr:rowOff>0</xdr:rowOff>
    </xdr:from>
    <xdr:to>
      <xdr:col>8</xdr:col>
      <xdr:colOff>641350</xdr:colOff>
      <xdr:row>12</xdr:row>
      <xdr:rowOff>76199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553406" y="889000"/>
          <a:ext cx="3675944" cy="1320799"/>
        </a:xfrm>
        <a:prstGeom prst="round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i="0" u="none" strike="noStrike">
              <a:solidFill>
                <a:schemeClr val="tx1"/>
              </a:solidFill>
              <a:latin typeface="Aptos Narrow" panose="020B0004020202020204" pitchFamily="34" charset="0"/>
              <a:ea typeface="+mn-ea"/>
              <a:cs typeface="+mn-cs"/>
            </a:rPr>
            <a:t>Fluxo de Caixa</a:t>
          </a:r>
          <a:endParaRPr lang="pt-BR" sz="1800" b="1" i="0" u="none" strike="noStrike">
            <a:solidFill>
              <a:schemeClr val="tx1"/>
            </a:solidFill>
            <a:latin typeface="Aptos Narrow" panose="020B0004020202020204" pitchFamily="34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6</xdr:col>
      <xdr:colOff>171449</xdr:colOff>
      <xdr:row>0</xdr:row>
      <xdr:rowOff>0</xdr:rowOff>
    </xdr:from>
    <xdr:to>
      <xdr:col>7</xdr:col>
      <xdr:colOff>44450</xdr:colOff>
      <xdr:row>4</xdr:row>
      <xdr:rowOff>96375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4019549" y="0"/>
          <a:ext cx="514351" cy="832975"/>
        </a:xfrm>
        <a:prstGeom prst="rect">
          <a:avLst/>
        </a:prstGeom>
      </xdr:spPr>
    </xdr:pic>
    <xdr:clientData/>
  </xdr:twoCellAnchor>
  <xdr:twoCellAnchor editAs="oneCell">
    <xdr:from>
      <xdr:col>2</xdr:col>
      <xdr:colOff>410350</xdr:colOff>
      <xdr:row>2</xdr:row>
      <xdr:rowOff>105550</xdr:rowOff>
    </xdr:from>
    <xdr:to>
      <xdr:col>5</xdr:col>
      <xdr:colOff>6350</xdr:colOff>
      <xdr:row>10</xdr:row>
      <xdr:rowOff>152400</xdr:rowOff>
    </xdr:to>
    <xdr:pic>
      <xdr:nvPicPr>
        <xdr:cNvPr id="5" name="Gráfico 4" descr="Dois quadrados e uma linha em ziguezague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693050" y="473850"/>
          <a:ext cx="1520050" cy="1520050"/>
        </a:xfrm>
        <a:prstGeom prst="rect">
          <a:avLst/>
        </a:prstGeom>
      </xdr:spPr>
    </xdr:pic>
    <xdr:clientData/>
  </xdr:twoCellAnchor>
  <xdr:twoCellAnchor>
    <xdr:from>
      <xdr:col>3</xdr:col>
      <xdr:colOff>445206</xdr:colOff>
      <xdr:row>12</xdr:row>
      <xdr:rowOff>165100</xdr:rowOff>
    </xdr:from>
    <xdr:to>
      <xdr:col>8</xdr:col>
      <xdr:colOff>628650</xdr:colOff>
      <xdr:row>20</xdr:row>
      <xdr:rowOff>63499</xdr:rowOff>
    </xdr:to>
    <xdr:sp macro="" textlink="">
      <xdr:nvSpPr>
        <xdr:cNvPr id="6" name="Retângulo: Cantos Arredondados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2369256" y="2374900"/>
          <a:ext cx="3390194" cy="1371599"/>
        </a:xfrm>
        <a:prstGeom prst="round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800" b="1" i="0" u="none" strike="noStrike">
              <a:solidFill>
                <a:schemeClr val="tx1"/>
              </a:solidFill>
              <a:latin typeface="Aptos Narrow" panose="020B0004020202020204" pitchFamily="34" charset="0"/>
              <a:ea typeface="+mn-ea"/>
              <a:cs typeface="+mn-cs"/>
            </a:rPr>
            <a:t>Custos Fixos e Variáveis</a:t>
          </a:r>
        </a:p>
      </xdr:txBody>
    </xdr:sp>
    <xdr:clientData/>
  </xdr:twoCellAnchor>
  <xdr:twoCellAnchor>
    <xdr:from>
      <xdr:col>9</xdr:col>
      <xdr:colOff>115006</xdr:colOff>
      <xdr:row>4</xdr:row>
      <xdr:rowOff>171450</xdr:rowOff>
    </xdr:from>
    <xdr:to>
      <xdr:col>14</xdr:col>
      <xdr:colOff>298450</xdr:colOff>
      <xdr:row>12</xdr:row>
      <xdr:rowOff>69849</xdr:rowOff>
    </xdr:to>
    <xdr:sp macro="" textlink="">
      <xdr:nvSpPr>
        <xdr:cNvPr id="7" name="Retângulo: Cantos Arredondados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887156" y="908050"/>
          <a:ext cx="3390194" cy="1371599"/>
        </a:xfrm>
        <a:prstGeom prst="round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pt-BR" sz="1800" b="1" i="0" u="none" strike="noStrike">
              <a:solidFill>
                <a:schemeClr val="tx1"/>
              </a:solidFill>
              <a:latin typeface="Aptos Narrow" panose="020B0004020202020204" pitchFamily="34" charset="0"/>
              <a:ea typeface="+mn-ea"/>
              <a:cs typeface="+mn-cs"/>
            </a:rPr>
            <a:t>Metas</a:t>
          </a:r>
        </a:p>
      </xdr:txBody>
    </xdr:sp>
    <xdr:clientData/>
  </xdr:twoCellAnchor>
  <xdr:twoCellAnchor>
    <xdr:from>
      <xdr:col>9</xdr:col>
      <xdr:colOff>121356</xdr:colOff>
      <xdr:row>12</xdr:row>
      <xdr:rowOff>152400</xdr:rowOff>
    </xdr:from>
    <xdr:to>
      <xdr:col>14</xdr:col>
      <xdr:colOff>304800</xdr:colOff>
      <xdr:row>20</xdr:row>
      <xdr:rowOff>50799</xdr:rowOff>
    </xdr:to>
    <xdr:sp macro="" textlink="">
      <xdr:nvSpPr>
        <xdr:cNvPr id="8" name="Retângulo: Cantos Arredondados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5893506" y="2362200"/>
          <a:ext cx="3390194" cy="1371599"/>
        </a:xfrm>
        <a:prstGeom prst="round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800" b="1" i="0" u="none" strike="noStrike">
              <a:solidFill>
                <a:schemeClr val="tx1"/>
              </a:solidFill>
              <a:latin typeface="Aptos Narrow" panose="020B0004020202020204" pitchFamily="34" charset="0"/>
              <a:ea typeface="+mn-ea"/>
              <a:cs typeface="+mn-cs"/>
            </a:rPr>
            <a:t>Balanço dos Setores</a:t>
          </a:r>
        </a:p>
      </xdr:txBody>
    </xdr:sp>
    <xdr:clientData/>
  </xdr:twoCellAnchor>
  <xdr:twoCellAnchor editAs="oneCell">
    <xdr:from>
      <xdr:col>13</xdr:col>
      <xdr:colOff>361950</xdr:colOff>
      <xdr:row>2</xdr:row>
      <xdr:rowOff>120650</xdr:rowOff>
    </xdr:from>
    <xdr:to>
      <xdr:col>15</xdr:col>
      <xdr:colOff>196850</xdr:colOff>
      <xdr:row>8</xdr:row>
      <xdr:rowOff>133350</xdr:rowOff>
    </xdr:to>
    <xdr:pic>
      <xdr:nvPicPr>
        <xdr:cNvPr id="9" name="Gráfico 8" descr="Um círculo preenchido com pontos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699500" y="488950"/>
          <a:ext cx="1117600" cy="11176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209550</xdr:colOff>
      <xdr:row>7</xdr:row>
      <xdr:rowOff>153950</xdr:rowOff>
    </xdr:from>
    <xdr:to>
      <xdr:col>15</xdr:col>
      <xdr:colOff>425450</xdr:colOff>
      <xdr:row>15</xdr:row>
      <xdr:rowOff>169825</xdr:rowOff>
    </xdr:to>
    <xdr:pic>
      <xdr:nvPicPr>
        <xdr:cNvPr id="10" name="Gráfico 9" descr="Dois círculos, um sólido e um preenchido com pontos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547100" y="1443000"/>
          <a:ext cx="1498600" cy="1498600"/>
        </a:xfrm>
        <a:prstGeom prst="rect">
          <a:avLst/>
        </a:prstGeom>
      </xdr:spPr>
    </xdr:pic>
    <xdr:clientData/>
  </xdr:twoCellAnchor>
  <xdr:twoCellAnchor editAs="oneCell">
    <xdr:from>
      <xdr:col>2</xdr:col>
      <xdr:colOff>284900</xdr:colOff>
      <xdr:row>9</xdr:row>
      <xdr:rowOff>82550</xdr:rowOff>
    </xdr:from>
    <xdr:to>
      <xdr:col>4</xdr:col>
      <xdr:colOff>209550</xdr:colOff>
      <xdr:row>16</xdr:row>
      <xdr:rowOff>850</xdr:rowOff>
    </xdr:to>
    <xdr:pic>
      <xdr:nvPicPr>
        <xdr:cNvPr id="11" name="Gráfico 10" descr="Um círculo preenchido com linhas diagonais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81900" y="1682750"/>
          <a:ext cx="1321650" cy="1162900"/>
        </a:xfrm>
        <a:prstGeom prst="rect">
          <a:avLst/>
        </a:prstGeom>
      </xdr:spPr>
    </xdr:pic>
    <xdr:clientData/>
  </xdr:twoCellAnchor>
  <xdr:twoCellAnchor editAs="oneCell">
    <xdr:from>
      <xdr:col>9</xdr:col>
      <xdr:colOff>622300</xdr:colOff>
      <xdr:row>0</xdr:row>
      <xdr:rowOff>0</xdr:rowOff>
    </xdr:from>
    <xdr:to>
      <xdr:col>11</xdr:col>
      <xdr:colOff>152400</xdr:colOff>
      <xdr:row>4</xdr:row>
      <xdr:rowOff>76200</xdr:rowOff>
    </xdr:to>
    <xdr:pic>
      <xdr:nvPicPr>
        <xdr:cNvPr id="20" name="Gráfico 19" descr="Um quadrado feito de pontos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394450" y="0"/>
          <a:ext cx="812800" cy="812800"/>
        </a:xfrm>
        <a:prstGeom prst="rect">
          <a:avLst/>
        </a:prstGeom>
      </xdr:spPr>
    </xdr:pic>
    <xdr:clientData/>
  </xdr:twoCellAnchor>
  <xdr:twoCellAnchor>
    <xdr:from>
      <xdr:col>7</xdr:col>
      <xdr:colOff>107950</xdr:colOff>
      <xdr:row>1</xdr:row>
      <xdr:rowOff>25400</xdr:rowOff>
    </xdr:from>
    <xdr:to>
      <xdr:col>10</xdr:col>
      <xdr:colOff>577850</xdr:colOff>
      <xdr:row>4</xdr:row>
      <xdr:rowOff>19050</xdr:rowOff>
    </xdr:to>
    <xdr:sp macro="" textlink="">
      <xdr:nvSpPr>
        <xdr:cNvPr id="12" name="Retângulo: Cantos Diagonais Arredondado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4597400" y="209550"/>
          <a:ext cx="2393950" cy="546100"/>
        </a:xfrm>
        <a:prstGeom prst="round2Diag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  <a:latin typeface="Leky Calgria" panose="02000600000000000000" pitchFamily="2" charset="0"/>
              <a:cs typeface="Gordita" pitchFamily="50" charset="0"/>
            </a:rPr>
            <a:t>FINANCEIRO</a:t>
          </a:r>
        </a:p>
      </xdr:txBody>
    </xdr:sp>
    <xdr:clientData/>
  </xdr:twoCellAnchor>
  <xdr:twoCellAnchor editAs="oneCell">
    <xdr:from>
      <xdr:col>6</xdr:col>
      <xdr:colOff>123825</xdr:colOff>
      <xdr:row>21</xdr:row>
      <xdr:rowOff>19050</xdr:rowOff>
    </xdr:from>
    <xdr:to>
      <xdr:col>11</xdr:col>
      <xdr:colOff>571500</xdr:colOff>
      <xdr:row>29</xdr:row>
      <xdr:rowOff>3810</xdr:rowOff>
    </xdr:to>
    <xdr:pic>
      <xdr:nvPicPr>
        <xdr:cNvPr id="36" name="Imagem 15">
          <a:extLst>
            <a:ext uri="{FF2B5EF4-FFF2-40B4-BE49-F238E27FC236}">
              <a16:creationId xmlns:a16="http://schemas.microsoft.com/office/drawing/2014/main" id="{00000000-0008-0000-0100-000024000000}"/>
            </a:ext>
            <a:ext uri="{147F2762-F138-4A5C-976F-8EAC2B608ADB}">
              <a16:predDERef xmlns:a16="http://schemas.microsoft.com/office/drawing/2014/main" pre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295775" y="3819525"/>
          <a:ext cx="3924300" cy="14325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6</xdr:row>
      <xdr:rowOff>132080</xdr:rowOff>
    </xdr:from>
    <xdr:to>
      <xdr:col>0</xdr:col>
      <xdr:colOff>605239</xdr:colOff>
      <xdr:row>9</xdr:row>
      <xdr:rowOff>96948</xdr:rowOff>
    </xdr:to>
    <xdr:pic>
      <xdr:nvPicPr>
        <xdr:cNvPr id="2" name="Gráfico 6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3500" y="1217930"/>
          <a:ext cx="541739" cy="536368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2</xdr:row>
      <xdr:rowOff>0</xdr:rowOff>
    </xdr:from>
    <xdr:to>
      <xdr:col>0</xdr:col>
      <xdr:colOff>602064</xdr:colOff>
      <xdr:row>6</xdr:row>
      <xdr:rowOff>84455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  <a:ext uri="{147F2762-F138-4A5C-976F-8EAC2B608ADB}">
              <a16:predDERef xmlns:a16="http://schemas.microsoft.com/office/drawing/2014/main" pred="{CBE10B29-8EAA-4C95-A455-367B3D6B73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133350" y="361950"/>
          <a:ext cx="468714" cy="846455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9</xdr:row>
      <xdr:rowOff>198119</xdr:rowOff>
    </xdr:from>
    <xdr:to>
      <xdr:col>1</xdr:col>
      <xdr:colOff>91440</xdr:colOff>
      <xdr:row>13</xdr:row>
      <xdr:rowOff>3810</xdr:rowOff>
    </xdr:to>
    <xdr:pic>
      <xdr:nvPicPr>
        <xdr:cNvPr id="4" name="Gráfico 3" descr="Moedas com preenchimento sólid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4000000}"/>
            </a:ext>
            <a:ext uri="{147F2762-F138-4A5C-976F-8EAC2B608ADB}">
              <a16:predDERef xmlns:a16="http://schemas.microsoft.com/office/drawing/2014/main" pred="{AC425E3B-B85D-4196-95B5-5BA500C722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99060" y="1807844"/>
          <a:ext cx="601980" cy="5676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6</xdr:row>
      <xdr:rowOff>132080</xdr:rowOff>
    </xdr:from>
    <xdr:to>
      <xdr:col>0</xdr:col>
      <xdr:colOff>605239</xdr:colOff>
      <xdr:row>9</xdr:row>
      <xdr:rowOff>125523</xdr:rowOff>
    </xdr:to>
    <xdr:pic>
      <xdr:nvPicPr>
        <xdr:cNvPr id="2" name="Gráfico 6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3500" y="1198880"/>
          <a:ext cx="541739" cy="526843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2</xdr:row>
      <xdr:rowOff>0</xdr:rowOff>
    </xdr:from>
    <xdr:to>
      <xdr:col>0</xdr:col>
      <xdr:colOff>602064</xdr:colOff>
      <xdr:row>6</xdr:row>
      <xdr:rowOff>122555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133350" y="355600"/>
          <a:ext cx="468714" cy="833755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9</xdr:row>
      <xdr:rowOff>198119</xdr:rowOff>
    </xdr:from>
    <xdr:to>
      <xdr:col>1</xdr:col>
      <xdr:colOff>91440</xdr:colOff>
      <xdr:row>13</xdr:row>
      <xdr:rowOff>22860</xdr:rowOff>
    </xdr:to>
    <xdr:pic>
      <xdr:nvPicPr>
        <xdr:cNvPr id="4" name="Gráfico 3" descr="Moedas com preenchimento sólid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99060" y="1779269"/>
          <a:ext cx="652780" cy="55499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457906</xdr:colOff>
      <xdr:row>5</xdr:row>
      <xdr:rowOff>0</xdr:rowOff>
    </xdr:from>
    <xdr:to>
      <xdr:col>8</xdr:col>
      <xdr:colOff>641350</xdr:colOff>
      <xdr:row>12</xdr:row>
      <xdr:rowOff>76199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332426" y="914400"/>
          <a:ext cx="3292404" cy="1356359"/>
        </a:xfrm>
        <a:prstGeom prst="round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i="0" u="none" strike="noStrike">
              <a:solidFill>
                <a:schemeClr val="tx1"/>
              </a:solidFill>
              <a:latin typeface="Aptos Narrow" panose="020B0004020202020204" pitchFamily="34" charset="0"/>
              <a:ea typeface="+mn-ea"/>
              <a:cs typeface="+mn-cs"/>
            </a:rPr>
            <a:t>Custos Fixos</a:t>
          </a:r>
          <a:endParaRPr lang="pt-BR" sz="1800" b="1" i="0" u="none" strike="noStrike">
            <a:solidFill>
              <a:schemeClr val="tx1"/>
            </a:solidFill>
            <a:latin typeface="Aptos Narrow" panose="020B0004020202020204" pitchFamily="34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6</xdr:col>
      <xdr:colOff>171449</xdr:colOff>
      <xdr:row>0</xdr:row>
      <xdr:rowOff>0</xdr:rowOff>
    </xdr:from>
    <xdr:to>
      <xdr:col>7</xdr:col>
      <xdr:colOff>173990</xdr:colOff>
      <xdr:row>4</xdr:row>
      <xdr:rowOff>96375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3920489" y="0"/>
          <a:ext cx="612141" cy="827895"/>
        </a:xfrm>
        <a:prstGeom prst="rect">
          <a:avLst/>
        </a:prstGeom>
      </xdr:spPr>
    </xdr:pic>
    <xdr:clientData/>
  </xdr:twoCellAnchor>
  <xdr:twoCellAnchor editAs="oneCell">
    <xdr:from>
      <xdr:col>2</xdr:col>
      <xdr:colOff>410350</xdr:colOff>
      <xdr:row>2</xdr:row>
      <xdr:rowOff>105550</xdr:rowOff>
    </xdr:from>
    <xdr:to>
      <xdr:col>5</xdr:col>
      <xdr:colOff>394970</xdr:colOff>
      <xdr:row>10</xdr:row>
      <xdr:rowOff>152400</xdr:rowOff>
    </xdr:to>
    <xdr:pic>
      <xdr:nvPicPr>
        <xdr:cNvPr id="4" name="Gráfico 3" descr="Dois quadrados e uma linha em ziguezagu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660030" y="471310"/>
          <a:ext cx="1813420" cy="1509890"/>
        </a:xfrm>
        <a:prstGeom prst="rect">
          <a:avLst/>
        </a:prstGeom>
      </xdr:spPr>
    </xdr:pic>
    <xdr:clientData/>
  </xdr:twoCellAnchor>
  <xdr:twoCellAnchor>
    <xdr:from>
      <xdr:col>9</xdr:col>
      <xdr:colOff>115006</xdr:colOff>
      <xdr:row>4</xdr:row>
      <xdr:rowOff>171450</xdr:rowOff>
    </xdr:from>
    <xdr:to>
      <xdr:col>14</xdr:col>
      <xdr:colOff>298450</xdr:colOff>
      <xdr:row>12</xdr:row>
      <xdr:rowOff>69849</xdr:rowOff>
    </xdr:to>
    <xdr:sp macro="" textlink="">
      <xdr:nvSpPr>
        <xdr:cNvPr id="5" name="Retângulo: Cantos Arredondados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38566" y="902970"/>
          <a:ext cx="3307644" cy="1361439"/>
        </a:xfrm>
        <a:prstGeom prst="round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pt-BR" sz="1800" b="1" i="0" u="none" strike="noStrike">
              <a:solidFill>
                <a:schemeClr val="tx1"/>
              </a:solidFill>
              <a:latin typeface="Aptos Narrow" panose="020B0004020202020204" pitchFamily="34" charset="0"/>
              <a:ea typeface="+mn-ea"/>
              <a:cs typeface="+mn-cs"/>
            </a:rPr>
            <a:t>Custos</a:t>
          </a:r>
          <a:r>
            <a:rPr lang="pt-BR" sz="1800" b="1" i="0" u="none" strike="noStrike" baseline="0">
              <a:solidFill>
                <a:schemeClr val="tx1"/>
              </a:solidFill>
              <a:latin typeface="Aptos Narrow" panose="020B0004020202020204" pitchFamily="34" charset="0"/>
              <a:ea typeface="+mn-ea"/>
              <a:cs typeface="+mn-cs"/>
            </a:rPr>
            <a:t> Variáveis</a:t>
          </a:r>
          <a:endParaRPr lang="pt-BR" sz="1800" b="1" i="0" u="none" strike="noStrike">
            <a:solidFill>
              <a:schemeClr val="tx1"/>
            </a:solidFill>
            <a:latin typeface="Aptos Narrow" panose="020B0004020202020204" pitchFamily="34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13</xdr:col>
      <xdr:colOff>361950</xdr:colOff>
      <xdr:row>2</xdr:row>
      <xdr:rowOff>120650</xdr:rowOff>
    </xdr:from>
    <xdr:to>
      <xdr:col>15</xdr:col>
      <xdr:colOff>455930</xdr:colOff>
      <xdr:row>8</xdr:row>
      <xdr:rowOff>133350</xdr:rowOff>
    </xdr:to>
    <xdr:pic>
      <xdr:nvPicPr>
        <xdr:cNvPr id="6" name="Gráfico 5" descr="Um círculo preenchido com pontos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484870" y="486410"/>
          <a:ext cx="1313180" cy="1109980"/>
        </a:xfrm>
        <a:prstGeom prst="rect">
          <a:avLst/>
        </a:prstGeom>
      </xdr:spPr>
    </xdr:pic>
    <xdr:clientData/>
  </xdr:twoCellAnchor>
  <xdr:twoCellAnchor editAs="oneCell">
    <xdr:from>
      <xdr:col>13</xdr:col>
      <xdr:colOff>209550</xdr:colOff>
      <xdr:row>7</xdr:row>
      <xdr:rowOff>153950</xdr:rowOff>
    </xdr:from>
    <xdr:to>
      <xdr:col>16</xdr:col>
      <xdr:colOff>27305</xdr:colOff>
      <xdr:row>16</xdr:row>
      <xdr:rowOff>1550</xdr:rowOff>
    </xdr:to>
    <xdr:pic>
      <xdr:nvPicPr>
        <xdr:cNvPr id="7" name="Gráfico 6" descr="Dois círculos, um sólido e um preenchido com pontos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32470" y="1434110"/>
          <a:ext cx="1646555" cy="1493520"/>
        </a:xfrm>
        <a:prstGeom prst="rect">
          <a:avLst/>
        </a:prstGeom>
      </xdr:spPr>
    </xdr:pic>
    <xdr:clientData/>
  </xdr:twoCellAnchor>
  <xdr:twoCellAnchor editAs="oneCell">
    <xdr:from>
      <xdr:col>2</xdr:col>
      <xdr:colOff>284900</xdr:colOff>
      <xdr:row>9</xdr:row>
      <xdr:rowOff>82550</xdr:rowOff>
    </xdr:from>
    <xdr:to>
      <xdr:col>4</xdr:col>
      <xdr:colOff>468630</xdr:colOff>
      <xdr:row>16</xdr:row>
      <xdr:rowOff>850</xdr:rowOff>
    </xdr:to>
    <xdr:pic>
      <xdr:nvPicPr>
        <xdr:cNvPr id="8" name="Gráfico 7" descr="Um círculo preenchido com linhas diagonais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34580" y="1728470"/>
          <a:ext cx="1402930" cy="1198460"/>
        </a:xfrm>
        <a:prstGeom prst="rect">
          <a:avLst/>
        </a:prstGeom>
      </xdr:spPr>
    </xdr:pic>
    <xdr:clientData/>
  </xdr:twoCellAnchor>
  <xdr:twoCellAnchor editAs="oneCell">
    <xdr:from>
      <xdr:col>9</xdr:col>
      <xdr:colOff>622300</xdr:colOff>
      <xdr:row>0</xdr:row>
      <xdr:rowOff>0</xdr:rowOff>
    </xdr:from>
    <xdr:to>
      <xdr:col>11</xdr:col>
      <xdr:colOff>396240</xdr:colOff>
      <xdr:row>4</xdr:row>
      <xdr:rowOff>76200</xdr:rowOff>
    </xdr:to>
    <xdr:pic>
      <xdr:nvPicPr>
        <xdr:cNvPr id="9" name="Gráfico 8" descr="Um quadrado feito de pontos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45860" y="0"/>
          <a:ext cx="1008380" cy="807720"/>
        </a:xfrm>
        <a:prstGeom prst="rect">
          <a:avLst/>
        </a:prstGeom>
      </xdr:spPr>
    </xdr:pic>
    <xdr:clientData/>
  </xdr:twoCellAnchor>
  <xdr:twoCellAnchor>
    <xdr:from>
      <xdr:col>7</xdr:col>
      <xdr:colOff>107950</xdr:colOff>
      <xdr:row>1</xdr:row>
      <xdr:rowOff>25400</xdr:rowOff>
    </xdr:from>
    <xdr:to>
      <xdr:col>10</xdr:col>
      <xdr:colOff>577850</xdr:colOff>
      <xdr:row>4</xdr:row>
      <xdr:rowOff>19050</xdr:rowOff>
    </xdr:to>
    <xdr:sp macro="" textlink="">
      <xdr:nvSpPr>
        <xdr:cNvPr id="10" name="Retângulo: Cantos Diagonais Arredondados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4481830" y="208280"/>
          <a:ext cx="2344420" cy="542290"/>
        </a:xfrm>
        <a:prstGeom prst="round2Diag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  <a:latin typeface="Leky Calgria" panose="02000600000000000000" pitchFamily="2" charset="0"/>
              <a:cs typeface="Gordita" pitchFamily="50" charset="0"/>
            </a:rPr>
            <a:t>Custos Fixos e Variáveis</a:t>
          </a:r>
        </a:p>
      </xdr:txBody>
    </xdr:sp>
    <xdr:clientData/>
  </xdr:twoCellAnchor>
  <xdr:twoCellAnchor editAs="oneCell">
    <xdr:from>
      <xdr:col>5</xdr:col>
      <xdr:colOff>82550</xdr:colOff>
      <xdr:row>1</xdr:row>
      <xdr:rowOff>31751</xdr:rowOff>
    </xdr:from>
    <xdr:to>
      <xdr:col>6</xdr:col>
      <xdr:colOff>120650</xdr:colOff>
      <xdr:row>4</xdr:row>
      <xdr:rowOff>101601</xdr:rowOff>
    </xdr:to>
    <xdr:pic>
      <xdr:nvPicPr>
        <xdr:cNvPr id="11" name="Gráfico 10" descr="Moedas com preenchimento sólido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3206750" y="214631"/>
          <a:ext cx="647700" cy="6184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457906</xdr:colOff>
      <xdr:row>5</xdr:row>
      <xdr:rowOff>0</xdr:rowOff>
    </xdr:from>
    <xdr:to>
      <xdr:col>8</xdr:col>
      <xdr:colOff>641350</xdr:colOff>
      <xdr:row>12</xdr:row>
      <xdr:rowOff>76199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43881" y="904875"/>
          <a:ext cx="3660069" cy="1343024"/>
        </a:xfrm>
        <a:prstGeom prst="round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i="0" u="none" strike="noStrike">
              <a:solidFill>
                <a:schemeClr val="tx1"/>
              </a:solidFill>
              <a:latin typeface="Aptos Narrow" panose="020B0004020202020204" pitchFamily="34" charset="0"/>
              <a:ea typeface="+mn-ea"/>
              <a:cs typeface="+mn-cs"/>
            </a:rPr>
            <a:t>Inserção</a:t>
          </a:r>
          <a:endParaRPr lang="pt-BR" sz="1800" b="1" i="0" u="none" strike="noStrike">
            <a:solidFill>
              <a:schemeClr val="tx1"/>
            </a:solidFill>
            <a:latin typeface="Aptos Narrow" panose="020B0004020202020204" pitchFamily="34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6</xdr:col>
      <xdr:colOff>171449</xdr:colOff>
      <xdr:row>0</xdr:row>
      <xdr:rowOff>0</xdr:rowOff>
    </xdr:from>
    <xdr:to>
      <xdr:col>7</xdr:col>
      <xdr:colOff>183515</xdr:colOff>
      <xdr:row>4</xdr:row>
      <xdr:rowOff>96375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4343399" y="0"/>
          <a:ext cx="697866" cy="820275"/>
        </a:xfrm>
        <a:prstGeom prst="rect">
          <a:avLst/>
        </a:prstGeom>
      </xdr:spPr>
    </xdr:pic>
    <xdr:clientData/>
  </xdr:twoCellAnchor>
  <xdr:twoCellAnchor editAs="oneCell">
    <xdr:from>
      <xdr:col>2</xdr:col>
      <xdr:colOff>410350</xdr:colOff>
      <xdr:row>2</xdr:row>
      <xdr:rowOff>105550</xdr:rowOff>
    </xdr:from>
    <xdr:to>
      <xdr:col>5</xdr:col>
      <xdr:colOff>423545</xdr:colOff>
      <xdr:row>10</xdr:row>
      <xdr:rowOff>152400</xdr:rowOff>
    </xdr:to>
    <xdr:pic>
      <xdr:nvPicPr>
        <xdr:cNvPr id="4" name="Gráfico 3" descr="Dois quadrados e uma linha em ziguezague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801000" y="467500"/>
          <a:ext cx="2070595" cy="1494650"/>
        </a:xfrm>
        <a:prstGeom prst="rect">
          <a:avLst/>
        </a:prstGeom>
      </xdr:spPr>
    </xdr:pic>
    <xdr:clientData/>
  </xdr:twoCellAnchor>
  <xdr:twoCellAnchor>
    <xdr:from>
      <xdr:col>9</xdr:col>
      <xdr:colOff>115006</xdr:colOff>
      <xdr:row>4</xdr:row>
      <xdr:rowOff>171450</xdr:rowOff>
    </xdr:from>
    <xdr:to>
      <xdr:col>14</xdr:col>
      <xdr:colOff>298450</xdr:colOff>
      <xdr:row>12</xdr:row>
      <xdr:rowOff>69849</xdr:rowOff>
    </xdr:to>
    <xdr:sp macro="" textlink="">
      <xdr:nvSpPr>
        <xdr:cNvPr id="5" name="Retângulo: Cantos Arredondados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6372931" y="895350"/>
          <a:ext cx="3660069" cy="1346199"/>
        </a:xfrm>
        <a:prstGeom prst="round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pt-BR" sz="1800" b="1" i="0" u="none" strike="noStrike">
              <a:solidFill>
                <a:schemeClr val="tx1"/>
              </a:solidFill>
              <a:latin typeface="Aptos Narrow" panose="020B0004020202020204" pitchFamily="34" charset="0"/>
              <a:ea typeface="+mn-ea"/>
              <a:cs typeface="+mn-cs"/>
            </a:rPr>
            <a:t>Tabela</a:t>
          </a:r>
        </a:p>
      </xdr:txBody>
    </xdr:sp>
    <xdr:clientData/>
  </xdr:twoCellAnchor>
  <xdr:twoCellAnchor editAs="oneCell">
    <xdr:from>
      <xdr:col>13</xdr:col>
      <xdr:colOff>361950</xdr:colOff>
      <xdr:row>2</xdr:row>
      <xdr:rowOff>120650</xdr:rowOff>
    </xdr:from>
    <xdr:to>
      <xdr:col>15</xdr:col>
      <xdr:colOff>474980</xdr:colOff>
      <xdr:row>8</xdr:row>
      <xdr:rowOff>133350</xdr:rowOff>
    </xdr:to>
    <xdr:pic>
      <xdr:nvPicPr>
        <xdr:cNvPr id="6" name="Gráfico 5" descr="Um círculo preenchido com pontos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401175" y="482600"/>
          <a:ext cx="1484630" cy="1098550"/>
        </a:xfrm>
        <a:prstGeom prst="rect">
          <a:avLst/>
        </a:prstGeom>
      </xdr:spPr>
    </xdr:pic>
    <xdr:clientData/>
  </xdr:twoCellAnchor>
  <xdr:twoCellAnchor editAs="oneCell">
    <xdr:from>
      <xdr:col>13</xdr:col>
      <xdr:colOff>209550</xdr:colOff>
      <xdr:row>7</xdr:row>
      <xdr:rowOff>153950</xdr:rowOff>
    </xdr:from>
    <xdr:to>
      <xdr:col>16</xdr:col>
      <xdr:colOff>55880</xdr:colOff>
      <xdr:row>16</xdr:row>
      <xdr:rowOff>1550</xdr:rowOff>
    </xdr:to>
    <xdr:pic>
      <xdr:nvPicPr>
        <xdr:cNvPr id="7" name="Gráfico 6" descr="Dois círculos, um sólido e um preenchido com pontos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48775" y="1420775"/>
          <a:ext cx="1903730" cy="1476375"/>
        </a:xfrm>
        <a:prstGeom prst="rect">
          <a:avLst/>
        </a:prstGeom>
      </xdr:spPr>
    </xdr:pic>
    <xdr:clientData/>
  </xdr:twoCellAnchor>
  <xdr:twoCellAnchor editAs="oneCell">
    <xdr:from>
      <xdr:col>2</xdr:col>
      <xdr:colOff>284900</xdr:colOff>
      <xdr:row>9</xdr:row>
      <xdr:rowOff>82550</xdr:rowOff>
    </xdr:from>
    <xdr:to>
      <xdr:col>4</xdr:col>
      <xdr:colOff>487680</xdr:colOff>
      <xdr:row>16</xdr:row>
      <xdr:rowOff>850</xdr:rowOff>
    </xdr:to>
    <xdr:pic>
      <xdr:nvPicPr>
        <xdr:cNvPr id="8" name="Gráfico 7" descr="Um círculo preenchido com linhas diagonais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75550" y="1711325"/>
          <a:ext cx="1574380" cy="1185125"/>
        </a:xfrm>
        <a:prstGeom prst="rect">
          <a:avLst/>
        </a:prstGeom>
      </xdr:spPr>
    </xdr:pic>
    <xdr:clientData/>
  </xdr:twoCellAnchor>
  <xdr:twoCellAnchor editAs="oneCell">
    <xdr:from>
      <xdr:col>9</xdr:col>
      <xdr:colOff>622300</xdr:colOff>
      <xdr:row>0</xdr:row>
      <xdr:rowOff>0</xdr:rowOff>
    </xdr:from>
    <xdr:to>
      <xdr:col>11</xdr:col>
      <xdr:colOff>415290</xdr:colOff>
      <xdr:row>4</xdr:row>
      <xdr:rowOff>76200</xdr:rowOff>
    </xdr:to>
    <xdr:pic>
      <xdr:nvPicPr>
        <xdr:cNvPr id="9" name="Gráfico 8" descr="Um quadrado feito de pontos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880225" y="0"/>
          <a:ext cx="1164590" cy="800100"/>
        </a:xfrm>
        <a:prstGeom prst="rect">
          <a:avLst/>
        </a:prstGeom>
      </xdr:spPr>
    </xdr:pic>
    <xdr:clientData/>
  </xdr:twoCellAnchor>
  <xdr:twoCellAnchor>
    <xdr:from>
      <xdr:col>7</xdr:col>
      <xdr:colOff>107950</xdr:colOff>
      <xdr:row>1</xdr:row>
      <xdr:rowOff>25400</xdr:rowOff>
    </xdr:from>
    <xdr:to>
      <xdr:col>10</xdr:col>
      <xdr:colOff>577850</xdr:colOff>
      <xdr:row>4</xdr:row>
      <xdr:rowOff>19050</xdr:rowOff>
    </xdr:to>
    <xdr:sp macro="" textlink="">
      <xdr:nvSpPr>
        <xdr:cNvPr id="10" name="Retângulo: Cantos Diagonais Arredondados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4975225" y="206375"/>
          <a:ext cx="2555875" cy="536575"/>
        </a:xfrm>
        <a:prstGeom prst="round2Diag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  <a:latin typeface="Leky Calgria" panose="02000600000000000000" pitchFamily="2" charset="0"/>
              <a:cs typeface="Gordita" pitchFamily="50" charset="0"/>
            </a:rPr>
            <a:t>Custos Fixos</a:t>
          </a:r>
        </a:p>
      </xdr:txBody>
    </xdr:sp>
    <xdr:clientData/>
  </xdr:twoCellAnchor>
  <xdr:twoCellAnchor editAs="oneCell">
    <xdr:from>
      <xdr:col>5</xdr:col>
      <xdr:colOff>82550</xdr:colOff>
      <xdr:row>1</xdr:row>
      <xdr:rowOff>31751</xdr:rowOff>
    </xdr:from>
    <xdr:to>
      <xdr:col>6</xdr:col>
      <xdr:colOff>130175</xdr:colOff>
      <xdr:row>4</xdr:row>
      <xdr:rowOff>101601</xdr:rowOff>
    </xdr:to>
    <xdr:pic>
      <xdr:nvPicPr>
        <xdr:cNvPr id="11" name="Gráfico 10" descr="Moedas com preenchimento sólido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3559175" y="212726"/>
          <a:ext cx="733425" cy="6127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1371600</xdr:colOff>
          <xdr:row>18</xdr:row>
          <xdr:rowOff>95250</xdr:rowOff>
        </xdr:from>
        <xdr:to>
          <xdr:col>7</xdr:col>
          <xdr:colOff>381000</xdr:colOff>
          <xdr:row>20</xdr:row>
          <xdr:rowOff>85725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6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Inserir Valores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76200</xdr:colOff>
      <xdr:row>1</xdr:row>
      <xdr:rowOff>99060</xdr:rowOff>
    </xdr:from>
    <xdr:to>
      <xdr:col>0</xdr:col>
      <xdr:colOff>544914</xdr:colOff>
      <xdr:row>5</xdr:row>
      <xdr:rowOff>175895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76200" y="281940"/>
          <a:ext cx="468714" cy="85407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6</xdr:row>
      <xdr:rowOff>15240</xdr:rowOff>
    </xdr:from>
    <xdr:to>
      <xdr:col>0</xdr:col>
      <xdr:colOff>579839</xdr:colOff>
      <xdr:row>8</xdr:row>
      <xdr:rowOff>166798</xdr:rowOff>
    </xdr:to>
    <xdr:pic>
      <xdr:nvPicPr>
        <xdr:cNvPr id="4" name="Gráfico 6" descr="Início com preenchiment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" y="1158240"/>
          <a:ext cx="541739" cy="542083"/>
        </a:xfrm>
        <a:prstGeom prst="rect">
          <a:avLst/>
        </a:prstGeom>
      </xdr:spPr>
    </xdr:pic>
    <xdr:clientData/>
  </xdr:twoCellAnchor>
  <xdr:twoCellAnchor editAs="oneCell">
    <xdr:from>
      <xdr:col>0</xdr:col>
      <xdr:colOff>43180</xdr:colOff>
      <xdr:row>8</xdr:row>
      <xdr:rowOff>172719</xdr:rowOff>
    </xdr:from>
    <xdr:to>
      <xdr:col>1</xdr:col>
      <xdr:colOff>5080</xdr:colOff>
      <xdr:row>12</xdr:row>
      <xdr:rowOff>67310</xdr:rowOff>
    </xdr:to>
    <xdr:pic>
      <xdr:nvPicPr>
        <xdr:cNvPr id="5" name="Gráfico 4" descr="Moedas com preenchimento sólid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3180" y="1696719"/>
          <a:ext cx="571500" cy="6870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6</xdr:row>
      <xdr:rowOff>132080</xdr:rowOff>
    </xdr:from>
    <xdr:to>
      <xdr:col>0</xdr:col>
      <xdr:colOff>605239</xdr:colOff>
      <xdr:row>9</xdr:row>
      <xdr:rowOff>125523</xdr:rowOff>
    </xdr:to>
    <xdr:pic>
      <xdr:nvPicPr>
        <xdr:cNvPr id="3" name="Gráfico 6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3500" y="1217930"/>
          <a:ext cx="541739" cy="536368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2</xdr:row>
      <xdr:rowOff>0</xdr:rowOff>
    </xdr:from>
    <xdr:to>
      <xdr:col>0</xdr:col>
      <xdr:colOff>602064</xdr:colOff>
      <xdr:row>6</xdr:row>
      <xdr:rowOff>122555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133350" y="361950"/>
          <a:ext cx="468714" cy="846455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9</xdr:row>
      <xdr:rowOff>198119</xdr:rowOff>
    </xdr:from>
    <xdr:to>
      <xdr:col>1</xdr:col>
      <xdr:colOff>70485</xdr:colOff>
      <xdr:row>13</xdr:row>
      <xdr:rowOff>22860</xdr:rowOff>
    </xdr:to>
    <xdr:pic>
      <xdr:nvPicPr>
        <xdr:cNvPr id="5" name="Gráfico 4" descr="Moedas com preenchimento sólid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99060" y="1807844"/>
          <a:ext cx="657225" cy="56769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2</xdr:row>
      <xdr:rowOff>0</xdr:rowOff>
    </xdr:from>
    <xdr:to>
      <xdr:col>0</xdr:col>
      <xdr:colOff>506814</xdr:colOff>
      <xdr:row>6</xdr:row>
      <xdr:rowOff>76835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38100" y="365760"/>
          <a:ext cx="468714" cy="854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99060</xdr:rowOff>
    </xdr:from>
    <xdr:to>
      <xdr:col>0</xdr:col>
      <xdr:colOff>541739</xdr:colOff>
      <xdr:row>9</xdr:row>
      <xdr:rowOff>62023</xdr:rowOff>
    </xdr:to>
    <xdr:pic>
      <xdr:nvPicPr>
        <xdr:cNvPr id="13" name="Gráfico 6" descr="Início com preenchiment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1242060"/>
          <a:ext cx="541739" cy="542083"/>
        </a:xfrm>
        <a:prstGeom prst="rect">
          <a:avLst/>
        </a:prstGeom>
      </xdr:spPr>
    </xdr:pic>
    <xdr:clientData/>
  </xdr:twoCellAnchor>
  <xdr:twoCellAnchor editAs="oneCell">
    <xdr:from>
      <xdr:col>0</xdr:col>
      <xdr:colOff>5080</xdr:colOff>
      <xdr:row>9</xdr:row>
      <xdr:rowOff>58419</xdr:rowOff>
    </xdr:from>
    <xdr:to>
      <xdr:col>0</xdr:col>
      <xdr:colOff>576580</xdr:colOff>
      <xdr:row>12</xdr:row>
      <xdr:rowOff>151130</xdr:rowOff>
    </xdr:to>
    <xdr:pic>
      <xdr:nvPicPr>
        <xdr:cNvPr id="14" name="Gráfico 13" descr="Moedas com preenchimento sólid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5080" y="1780539"/>
          <a:ext cx="571500" cy="687071"/>
        </a:xfrm>
        <a:prstGeom prst="rect">
          <a:avLst/>
        </a:prstGeom>
      </xdr:spPr>
    </xdr:pic>
    <xdr:clientData/>
  </xdr:twoCellAnchor>
  <xdr:twoCellAnchor>
    <xdr:from>
      <xdr:col>3</xdr:col>
      <xdr:colOff>457906</xdr:colOff>
      <xdr:row>5</xdr:row>
      <xdr:rowOff>0</xdr:rowOff>
    </xdr:from>
    <xdr:to>
      <xdr:col>8</xdr:col>
      <xdr:colOff>641350</xdr:colOff>
      <xdr:row>12</xdr:row>
      <xdr:rowOff>76199</xdr:rowOff>
    </xdr:to>
    <xdr:sp macro="" textlink="">
      <xdr:nvSpPr>
        <xdr:cNvPr id="6" name="Retângulo: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2543881" y="904875"/>
          <a:ext cx="3660069" cy="1343024"/>
        </a:xfrm>
        <a:prstGeom prst="round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i="0" u="none" strike="noStrike">
              <a:solidFill>
                <a:schemeClr val="tx1"/>
              </a:solidFill>
              <a:latin typeface="Aptos Narrow" panose="020B0004020202020204" pitchFamily="34" charset="0"/>
              <a:ea typeface="+mn-ea"/>
              <a:cs typeface="+mn-cs"/>
            </a:rPr>
            <a:t>Inserção</a:t>
          </a:r>
          <a:endParaRPr lang="pt-BR" sz="1800" b="1" i="0" u="none" strike="noStrike">
            <a:solidFill>
              <a:schemeClr val="tx1"/>
            </a:solidFill>
            <a:latin typeface="Aptos Narrow" panose="020B0004020202020204" pitchFamily="34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6</xdr:col>
      <xdr:colOff>171449</xdr:colOff>
      <xdr:row>0</xdr:row>
      <xdr:rowOff>0</xdr:rowOff>
    </xdr:from>
    <xdr:to>
      <xdr:col>7</xdr:col>
      <xdr:colOff>183515</xdr:colOff>
      <xdr:row>4</xdr:row>
      <xdr:rowOff>48750</xdr:rowOff>
    </xdr:to>
    <xdr:pic>
      <xdr:nvPicPr>
        <xdr:cNvPr id="7" name="Imagem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4343399" y="0"/>
          <a:ext cx="707391" cy="820275"/>
        </a:xfrm>
        <a:prstGeom prst="rect">
          <a:avLst/>
        </a:prstGeom>
      </xdr:spPr>
    </xdr:pic>
    <xdr:clientData/>
  </xdr:twoCellAnchor>
  <xdr:twoCellAnchor editAs="oneCell">
    <xdr:from>
      <xdr:col>2</xdr:col>
      <xdr:colOff>410350</xdr:colOff>
      <xdr:row>2</xdr:row>
      <xdr:rowOff>105550</xdr:rowOff>
    </xdr:from>
    <xdr:to>
      <xdr:col>5</xdr:col>
      <xdr:colOff>423545</xdr:colOff>
      <xdr:row>10</xdr:row>
      <xdr:rowOff>47625</xdr:rowOff>
    </xdr:to>
    <xdr:pic>
      <xdr:nvPicPr>
        <xdr:cNvPr id="8" name="Gráfico 7" descr="Dois quadrados e uma linha em ziguezague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01000" y="467500"/>
          <a:ext cx="2099170" cy="1494650"/>
        </a:xfrm>
        <a:prstGeom prst="rect">
          <a:avLst/>
        </a:prstGeom>
      </xdr:spPr>
    </xdr:pic>
    <xdr:clientData/>
  </xdr:twoCellAnchor>
  <xdr:twoCellAnchor>
    <xdr:from>
      <xdr:col>9</xdr:col>
      <xdr:colOff>115006</xdr:colOff>
      <xdr:row>4</xdr:row>
      <xdr:rowOff>171450</xdr:rowOff>
    </xdr:from>
    <xdr:to>
      <xdr:col>14</xdr:col>
      <xdr:colOff>298450</xdr:colOff>
      <xdr:row>12</xdr:row>
      <xdr:rowOff>69849</xdr:rowOff>
    </xdr:to>
    <xdr:sp macro="" textlink="">
      <xdr:nvSpPr>
        <xdr:cNvPr id="9" name="Retângulo: Cantos Arredondados 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6372931" y="895350"/>
          <a:ext cx="3660069" cy="1346199"/>
        </a:xfrm>
        <a:prstGeom prst="round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pt-BR" sz="1800" b="1" i="0" u="none" strike="noStrike">
              <a:solidFill>
                <a:schemeClr val="tx1"/>
              </a:solidFill>
              <a:latin typeface="Aptos Narrow" panose="020B0004020202020204" pitchFamily="34" charset="0"/>
              <a:ea typeface="+mn-ea"/>
              <a:cs typeface="+mn-cs"/>
            </a:rPr>
            <a:t>Tabela</a:t>
          </a:r>
        </a:p>
      </xdr:txBody>
    </xdr:sp>
    <xdr:clientData/>
  </xdr:twoCellAnchor>
  <xdr:twoCellAnchor editAs="oneCell">
    <xdr:from>
      <xdr:col>13</xdr:col>
      <xdr:colOff>361950</xdr:colOff>
      <xdr:row>2</xdr:row>
      <xdr:rowOff>120650</xdr:rowOff>
    </xdr:from>
    <xdr:to>
      <xdr:col>15</xdr:col>
      <xdr:colOff>484505</xdr:colOff>
      <xdr:row>8</xdr:row>
      <xdr:rowOff>66675</xdr:rowOff>
    </xdr:to>
    <xdr:pic>
      <xdr:nvPicPr>
        <xdr:cNvPr id="10" name="Gráfico 9" descr="Um círculo preenchido com pontos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9401175" y="482600"/>
          <a:ext cx="1503680" cy="1098550"/>
        </a:xfrm>
        <a:prstGeom prst="rect">
          <a:avLst/>
        </a:prstGeom>
      </xdr:spPr>
    </xdr:pic>
    <xdr:clientData/>
  </xdr:twoCellAnchor>
  <xdr:twoCellAnchor editAs="oneCell">
    <xdr:from>
      <xdr:col>13</xdr:col>
      <xdr:colOff>209550</xdr:colOff>
      <xdr:row>7</xdr:row>
      <xdr:rowOff>153950</xdr:rowOff>
    </xdr:from>
    <xdr:to>
      <xdr:col>16</xdr:col>
      <xdr:colOff>65405</xdr:colOff>
      <xdr:row>15</xdr:row>
      <xdr:rowOff>30125</xdr:rowOff>
    </xdr:to>
    <xdr:pic>
      <xdr:nvPicPr>
        <xdr:cNvPr id="11" name="Gráfico 10" descr="Dois círculos, um sólido e um preenchido com pontos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9248775" y="1420775"/>
          <a:ext cx="1932305" cy="1476375"/>
        </a:xfrm>
        <a:prstGeom prst="rect">
          <a:avLst/>
        </a:prstGeom>
      </xdr:spPr>
    </xdr:pic>
    <xdr:clientData/>
  </xdr:twoCellAnchor>
  <xdr:twoCellAnchor editAs="oneCell">
    <xdr:from>
      <xdr:col>2</xdr:col>
      <xdr:colOff>284900</xdr:colOff>
      <xdr:row>9</xdr:row>
      <xdr:rowOff>82550</xdr:rowOff>
    </xdr:from>
    <xdr:to>
      <xdr:col>4</xdr:col>
      <xdr:colOff>487680</xdr:colOff>
      <xdr:row>15</xdr:row>
      <xdr:rowOff>67525</xdr:rowOff>
    </xdr:to>
    <xdr:pic>
      <xdr:nvPicPr>
        <xdr:cNvPr id="15" name="Gráfico 14" descr="Um círculo preenchido com linhas diagonais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675550" y="1711325"/>
          <a:ext cx="1593430" cy="1185125"/>
        </a:xfrm>
        <a:prstGeom prst="rect">
          <a:avLst/>
        </a:prstGeom>
      </xdr:spPr>
    </xdr:pic>
    <xdr:clientData/>
  </xdr:twoCellAnchor>
  <xdr:twoCellAnchor editAs="oneCell">
    <xdr:from>
      <xdr:col>9</xdr:col>
      <xdr:colOff>622300</xdr:colOff>
      <xdr:row>0</xdr:row>
      <xdr:rowOff>0</xdr:rowOff>
    </xdr:from>
    <xdr:to>
      <xdr:col>11</xdr:col>
      <xdr:colOff>415290</xdr:colOff>
      <xdr:row>4</xdr:row>
      <xdr:rowOff>28575</xdr:rowOff>
    </xdr:to>
    <xdr:pic>
      <xdr:nvPicPr>
        <xdr:cNvPr id="16" name="Gráfico 15" descr="Um quadrado feito de pontos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880225" y="0"/>
          <a:ext cx="1183640" cy="800100"/>
        </a:xfrm>
        <a:prstGeom prst="rect">
          <a:avLst/>
        </a:prstGeom>
      </xdr:spPr>
    </xdr:pic>
    <xdr:clientData/>
  </xdr:twoCellAnchor>
  <xdr:twoCellAnchor>
    <xdr:from>
      <xdr:col>7</xdr:col>
      <xdr:colOff>107950</xdr:colOff>
      <xdr:row>1</xdr:row>
      <xdr:rowOff>25400</xdr:rowOff>
    </xdr:from>
    <xdr:to>
      <xdr:col>10</xdr:col>
      <xdr:colOff>577850</xdr:colOff>
      <xdr:row>4</xdr:row>
      <xdr:rowOff>19050</xdr:rowOff>
    </xdr:to>
    <xdr:sp macro="" textlink="">
      <xdr:nvSpPr>
        <xdr:cNvPr id="17" name="Retângulo: Cantos Diagonais Arredondados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>
          <a:off x="4975225" y="206375"/>
          <a:ext cx="2555875" cy="536575"/>
        </a:xfrm>
        <a:prstGeom prst="round2Diag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  <a:latin typeface="Leky Calgria" panose="02000600000000000000" pitchFamily="2" charset="0"/>
              <a:cs typeface="Gordita" pitchFamily="50" charset="0"/>
            </a:rPr>
            <a:t>Custos Variáveis</a:t>
          </a:r>
        </a:p>
        <a:p>
          <a:pPr algn="ctr"/>
          <a:endParaRPr lang="pt-BR" sz="1100" b="1">
            <a:solidFill>
              <a:schemeClr val="tx1"/>
            </a:solidFill>
            <a:latin typeface="Leky Calgria" panose="02000600000000000000" pitchFamily="2" charset="0"/>
            <a:cs typeface="Gordita" pitchFamily="50" charset="0"/>
          </a:endParaRPr>
        </a:p>
      </xdr:txBody>
    </xdr:sp>
    <xdr:clientData/>
  </xdr:twoCellAnchor>
  <xdr:twoCellAnchor editAs="oneCell">
    <xdr:from>
      <xdr:col>5</xdr:col>
      <xdr:colOff>82550</xdr:colOff>
      <xdr:row>1</xdr:row>
      <xdr:rowOff>31751</xdr:rowOff>
    </xdr:from>
    <xdr:to>
      <xdr:col>6</xdr:col>
      <xdr:colOff>130175</xdr:colOff>
      <xdr:row>4</xdr:row>
      <xdr:rowOff>53976</xdr:rowOff>
    </xdr:to>
    <xdr:pic>
      <xdr:nvPicPr>
        <xdr:cNvPr id="18" name="Gráfico 17" descr="Moedas com preenchimento sólid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559175" y="212726"/>
          <a:ext cx="742950" cy="6127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1038225</xdr:colOff>
          <xdr:row>17</xdr:row>
          <xdr:rowOff>104775</xdr:rowOff>
        </xdr:from>
        <xdr:to>
          <xdr:col>7</xdr:col>
          <xdr:colOff>314325</xdr:colOff>
          <xdr:row>19</xdr:row>
          <xdr:rowOff>47625</xdr:rowOff>
        </xdr:to>
        <xdr:sp macro="" textlink="">
          <xdr:nvSpPr>
            <xdr:cNvPr id="119809" name="Button 1" hidden="1">
              <a:extLst>
                <a:ext uri="{63B3BB69-23CF-44E3-9099-C40C66FF867C}">
                  <a14:compatExt spid="_x0000_s119809"/>
                </a:ext>
                <a:ext uri="{FF2B5EF4-FFF2-40B4-BE49-F238E27FC236}">
                  <a16:creationId xmlns:a16="http://schemas.microsoft.com/office/drawing/2014/main" id="{00000000-0008-0000-0900-000001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Inserir Valores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38100</xdr:colOff>
      <xdr:row>2</xdr:row>
      <xdr:rowOff>0</xdr:rowOff>
    </xdr:from>
    <xdr:to>
      <xdr:col>0</xdr:col>
      <xdr:colOff>506814</xdr:colOff>
      <xdr:row>6</xdr:row>
      <xdr:rowOff>124460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38100" y="361950"/>
          <a:ext cx="468714" cy="848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99060</xdr:rowOff>
    </xdr:from>
    <xdr:to>
      <xdr:col>0</xdr:col>
      <xdr:colOff>541739</xdr:colOff>
      <xdr:row>9</xdr:row>
      <xdr:rowOff>100123</xdr:rowOff>
    </xdr:to>
    <xdr:pic>
      <xdr:nvPicPr>
        <xdr:cNvPr id="4" name="Gráfico 6" descr="Início com preenchiment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1232535"/>
          <a:ext cx="541739" cy="543988"/>
        </a:xfrm>
        <a:prstGeom prst="rect">
          <a:avLst/>
        </a:prstGeom>
      </xdr:spPr>
    </xdr:pic>
    <xdr:clientData/>
  </xdr:twoCellAnchor>
  <xdr:twoCellAnchor editAs="oneCell">
    <xdr:from>
      <xdr:col>0</xdr:col>
      <xdr:colOff>5080</xdr:colOff>
      <xdr:row>9</xdr:row>
      <xdr:rowOff>58419</xdr:rowOff>
    </xdr:from>
    <xdr:to>
      <xdr:col>0</xdr:col>
      <xdr:colOff>576580</xdr:colOff>
      <xdr:row>13</xdr:row>
      <xdr:rowOff>27305</xdr:rowOff>
    </xdr:to>
    <xdr:pic>
      <xdr:nvPicPr>
        <xdr:cNvPr id="5" name="Gráfico 4" descr="Moedas com preenchimento sólid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5080" y="1772919"/>
          <a:ext cx="571500" cy="69278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6</xdr:row>
      <xdr:rowOff>132080</xdr:rowOff>
    </xdr:from>
    <xdr:to>
      <xdr:col>0</xdr:col>
      <xdr:colOff>605239</xdr:colOff>
      <xdr:row>9</xdr:row>
      <xdr:rowOff>125523</xdr:rowOff>
    </xdr:to>
    <xdr:pic>
      <xdr:nvPicPr>
        <xdr:cNvPr id="2" name="Gráfico 6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3500" y="1217930"/>
          <a:ext cx="541739" cy="536368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2</xdr:row>
      <xdr:rowOff>0</xdr:rowOff>
    </xdr:from>
    <xdr:to>
      <xdr:col>0</xdr:col>
      <xdr:colOff>602064</xdr:colOff>
      <xdr:row>6</xdr:row>
      <xdr:rowOff>122555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133350" y="361950"/>
          <a:ext cx="468714" cy="846455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9</xdr:row>
      <xdr:rowOff>198119</xdr:rowOff>
    </xdr:from>
    <xdr:to>
      <xdr:col>1</xdr:col>
      <xdr:colOff>80010</xdr:colOff>
      <xdr:row>13</xdr:row>
      <xdr:rowOff>22860</xdr:rowOff>
    </xdr:to>
    <xdr:pic>
      <xdr:nvPicPr>
        <xdr:cNvPr id="4" name="Gráfico 3" descr="Moedas com preenchimento sólid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99060" y="1807844"/>
          <a:ext cx="666750" cy="56769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457906</xdr:colOff>
      <xdr:row>5</xdr:row>
      <xdr:rowOff>0</xdr:rowOff>
    </xdr:from>
    <xdr:to>
      <xdr:col>8</xdr:col>
      <xdr:colOff>641350</xdr:colOff>
      <xdr:row>12</xdr:row>
      <xdr:rowOff>76199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53406" y="889000"/>
          <a:ext cx="3675944" cy="1320799"/>
        </a:xfrm>
        <a:prstGeom prst="round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i="0" u="none" strike="noStrike">
              <a:solidFill>
                <a:schemeClr val="tx1"/>
              </a:solidFill>
              <a:latin typeface="Aptos Narrow" panose="020B0004020202020204" pitchFamily="34" charset="0"/>
              <a:ea typeface="+mn-ea"/>
              <a:cs typeface="+mn-cs"/>
            </a:rPr>
            <a:t>Consulta</a:t>
          </a:r>
          <a:endParaRPr lang="pt-BR" sz="1800" b="1" i="0" u="none" strike="noStrike">
            <a:solidFill>
              <a:schemeClr val="tx1"/>
            </a:solidFill>
            <a:latin typeface="Aptos Narrow" panose="020B0004020202020204" pitchFamily="34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6</xdr:col>
      <xdr:colOff>171449</xdr:colOff>
      <xdr:row>0</xdr:row>
      <xdr:rowOff>0</xdr:rowOff>
    </xdr:from>
    <xdr:to>
      <xdr:col>7</xdr:col>
      <xdr:colOff>158750</xdr:colOff>
      <xdr:row>4</xdr:row>
      <xdr:rowOff>96375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4362449" y="0"/>
          <a:ext cx="647701" cy="807575"/>
        </a:xfrm>
        <a:prstGeom prst="rect">
          <a:avLst/>
        </a:prstGeom>
      </xdr:spPr>
    </xdr:pic>
    <xdr:clientData/>
  </xdr:twoCellAnchor>
  <xdr:twoCellAnchor editAs="oneCell">
    <xdr:from>
      <xdr:col>2</xdr:col>
      <xdr:colOff>410350</xdr:colOff>
      <xdr:row>2</xdr:row>
      <xdr:rowOff>105550</xdr:rowOff>
    </xdr:from>
    <xdr:to>
      <xdr:col>5</xdr:col>
      <xdr:colOff>349250</xdr:colOff>
      <xdr:row>10</xdr:row>
      <xdr:rowOff>152400</xdr:rowOff>
    </xdr:to>
    <xdr:pic>
      <xdr:nvPicPr>
        <xdr:cNvPr id="4" name="Gráfico 3" descr="Dois quadrados e uma linha em ziguezague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807350" y="461150"/>
          <a:ext cx="1920100" cy="1469250"/>
        </a:xfrm>
        <a:prstGeom prst="rect">
          <a:avLst/>
        </a:prstGeom>
      </xdr:spPr>
    </xdr:pic>
    <xdr:clientData/>
  </xdr:twoCellAnchor>
  <xdr:twoCellAnchor>
    <xdr:from>
      <xdr:col>9</xdr:col>
      <xdr:colOff>115006</xdr:colOff>
      <xdr:row>4</xdr:row>
      <xdr:rowOff>171450</xdr:rowOff>
    </xdr:from>
    <xdr:to>
      <xdr:col>14</xdr:col>
      <xdr:colOff>298450</xdr:colOff>
      <xdr:row>12</xdr:row>
      <xdr:rowOff>69849</xdr:rowOff>
    </xdr:to>
    <xdr:sp macro="" textlink="">
      <xdr:nvSpPr>
        <xdr:cNvPr id="5" name="Retângulo: Cantos Arredondados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6401506" y="882650"/>
          <a:ext cx="3675944" cy="1320799"/>
        </a:xfrm>
        <a:prstGeom prst="round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pt-BR" sz="1800" b="1" i="0" u="none" strike="noStrike">
              <a:solidFill>
                <a:schemeClr val="tx1"/>
              </a:solidFill>
              <a:latin typeface="Aptos Narrow" panose="020B0004020202020204" pitchFamily="34" charset="0"/>
              <a:ea typeface="+mn-ea"/>
              <a:cs typeface="+mn-cs"/>
            </a:rPr>
            <a:t>Tabela</a:t>
          </a:r>
        </a:p>
      </xdr:txBody>
    </xdr:sp>
    <xdr:clientData/>
  </xdr:twoCellAnchor>
  <xdr:twoCellAnchor editAs="oneCell">
    <xdr:from>
      <xdr:col>13</xdr:col>
      <xdr:colOff>361950</xdr:colOff>
      <xdr:row>2</xdr:row>
      <xdr:rowOff>120650</xdr:rowOff>
    </xdr:from>
    <xdr:to>
      <xdr:col>15</xdr:col>
      <xdr:colOff>425450</xdr:colOff>
      <xdr:row>8</xdr:row>
      <xdr:rowOff>133350</xdr:rowOff>
    </xdr:to>
    <xdr:pic>
      <xdr:nvPicPr>
        <xdr:cNvPr id="6" name="Gráfico 5" descr="Um círculo preenchido com pontos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442450" y="476250"/>
          <a:ext cx="1384300" cy="10795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209550</xdr:colOff>
      <xdr:row>7</xdr:row>
      <xdr:rowOff>153950</xdr:rowOff>
    </xdr:from>
    <xdr:to>
      <xdr:col>15</xdr:col>
      <xdr:colOff>606425</xdr:colOff>
      <xdr:row>16</xdr:row>
      <xdr:rowOff>1550</xdr:rowOff>
    </xdr:to>
    <xdr:pic>
      <xdr:nvPicPr>
        <xdr:cNvPr id="7" name="Gráfico 6" descr="Dois círculos, um sólido e um preenchido com pontos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90050" y="1398550"/>
          <a:ext cx="1765300" cy="1447800"/>
        </a:xfrm>
        <a:prstGeom prst="rect">
          <a:avLst/>
        </a:prstGeom>
      </xdr:spPr>
    </xdr:pic>
    <xdr:clientData/>
  </xdr:twoCellAnchor>
  <xdr:twoCellAnchor editAs="oneCell">
    <xdr:from>
      <xdr:col>2</xdr:col>
      <xdr:colOff>284900</xdr:colOff>
      <xdr:row>9</xdr:row>
      <xdr:rowOff>82550</xdr:rowOff>
    </xdr:from>
    <xdr:to>
      <xdr:col>4</xdr:col>
      <xdr:colOff>438150</xdr:colOff>
      <xdr:row>16</xdr:row>
      <xdr:rowOff>850</xdr:rowOff>
    </xdr:to>
    <xdr:pic>
      <xdr:nvPicPr>
        <xdr:cNvPr id="8" name="Gráfico 7" descr="Um círculo preenchido com linhas diagonais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81900" y="1682750"/>
          <a:ext cx="1474050" cy="1162900"/>
        </a:xfrm>
        <a:prstGeom prst="rect">
          <a:avLst/>
        </a:prstGeom>
      </xdr:spPr>
    </xdr:pic>
    <xdr:clientData/>
  </xdr:twoCellAnchor>
  <xdr:twoCellAnchor editAs="oneCell">
    <xdr:from>
      <xdr:col>9</xdr:col>
      <xdr:colOff>622300</xdr:colOff>
      <xdr:row>0</xdr:row>
      <xdr:rowOff>0</xdr:rowOff>
    </xdr:from>
    <xdr:to>
      <xdr:col>11</xdr:col>
      <xdr:colOff>381000</xdr:colOff>
      <xdr:row>4</xdr:row>
      <xdr:rowOff>76200</xdr:rowOff>
    </xdr:to>
    <xdr:pic>
      <xdr:nvPicPr>
        <xdr:cNvPr id="9" name="Gráfico 8" descr="Um quadrado feito de pontos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8800" y="0"/>
          <a:ext cx="1079500" cy="787400"/>
        </a:xfrm>
        <a:prstGeom prst="rect">
          <a:avLst/>
        </a:prstGeom>
      </xdr:spPr>
    </xdr:pic>
    <xdr:clientData/>
  </xdr:twoCellAnchor>
  <xdr:twoCellAnchor>
    <xdr:from>
      <xdr:col>7</xdr:col>
      <xdr:colOff>107950</xdr:colOff>
      <xdr:row>1</xdr:row>
      <xdr:rowOff>25400</xdr:rowOff>
    </xdr:from>
    <xdr:to>
      <xdr:col>10</xdr:col>
      <xdr:colOff>577850</xdr:colOff>
      <xdr:row>4</xdr:row>
      <xdr:rowOff>19050</xdr:rowOff>
    </xdr:to>
    <xdr:sp macro="" textlink="">
      <xdr:nvSpPr>
        <xdr:cNvPr id="10" name="Retângulo: Cantos Diagonais Arredondados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4997450" y="203200"/>
          <a:ext cx="2565400" cy="527050"/>
        </a:xfrm>
        <a:prstGeom prst="round2Diag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  <a:latin typeface="Leky Calgria" panose="02000600000000000000" pitchFamily="2" charset="0"/>
              <a:cs typeface="Gordita" pitchFamily="50" charset="0"/>
            </a:rPr>
            <a:t>Balanço</a:t>
          </a:r>
          <a:r>
            <a:rPr lang="pt-BR" sz="1100" b="1" baseline="0">
              <a:solidFill>
                <a:schemeClr val="tx1"/>
              </a:solidFill>
              <a:latin typeface="Leky Calgria" panose="02000600000000000000" pitchFamily="2" charset="0"/>
              <a:cs typeface="Gordita" pitchFamily="50" charset="0"/>
            </a:rPr>
            <a:t> dos Setores</a:t>
          </a:r>
          <a:endParaRPr lang="pt-BR" sz="1100" b="1">
            <a:solidFill>
              <a:schemeClr val="tx1"/>
            </a:solidFill>
            <a:latin typeface="Leky Calgria" panose="02000600000000000000" pitchFamily="2" charset="0"/>
            <a:cs typeface="Gordita" pitchFamily="50" charset="0"/>
          </a:endParaRPr>
        </a:p>
      </xdr:txBody>
    </xdr:sp>
    <xdr:clientData/>
  </xdr:twoCellAnchor>
  <xdr:twoCellAnchor editAs="oneCell">
    <xdr:from>
      <xdr:col>5</xdr:col>
      <xdr:colOff>82550</xdr:colOff>
      <xdr:row>1</xdr:row>
      <xdr:rowOff>31751</xdr:rowOff>
    </xdr:from>
    <xdr:to>
      <xdr:col>6</xdr:col>
      <xdr:colOff>105410</xdr:colOff>
      <xdr:row>4</xdr:row>
      <xdr:rowOff>101601</xdr:rowOff>
    </xdr:to>
    <xdr:pic>
      <xdr:nvPicPr>
        <xdr:cNvPr id="11" name="Gráfico 10" descr="Moedas com preenchimento sólido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3575050" y="209551"/>
          <a:ext cx="683260" cy="60325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457906</xdr:colOff>
      <xdr:row>5</xdr:row>
      <xdr:rowOff>0</xdr:rowOff>
    </xdr:from>
    <xdr:to>
      <xdr:col>8</xdr:col>
      <xdr:colOff>641350</xdr:colOff>
      <xdr:row>12</xdr:row>
      <xdr:rowOff>76199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53406" y="889000"/>
          <a:ext cx="3675944" cy="1320799"/>
        </a:xfrm>
        <a:prstGeom prst="round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i="0" u="none" strike="noStrike">
              <a:solidFill>
                <a:schemeClr val="tx1"/>
              </a:solidFill>
              <a:latin typeface="Aptos Narrow" panose="020B0004020202020204" pitchFamily="34" charset="0"/>
              <a:ea typeface="+mn-ea"/>
              <a:cs typeface="+mn-cs"/>
            </a:rPr>
            <a:t>Consulta</a:t>
          </a:r>
          <a:endParaRPr lang="pt-BR" sz="1800" b="1" i="0" u="none" strike="noStrike">
            <a:solidFill>
              <a:schemeClr val="tx1"/>
            </a:solidFill>
            <a:latin typeface="Aptos Narrow" panose="020B0004020202020204" pitchFamily="34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6</xdr:col>
      <xdr:colOff>171449</xdr:colOff>
      <xdr:row>0</xdr:row>
      <xdr:rowOff>0</xdr:rowOff>
    </xdr:from>
    <xdr:to>
      <xdr:col>7</xdr:col>
      <xdr:colOff>120650</xdr:colOff>
      <xdr:row>4</xdr:row>
      <xdr:rowOff>96375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4362449" y="0"/>
          <a:ext cx="609601" cy="807575"/>
        </a:xfrm>
        <a:prstGeom prst="rect">
          <a:avLst/>
        </a:prstGeom>
      </xdr:spPr>
    </xdr:pic>
    <xdr:clientData/>
  </xdr:twoCellAnchor>
  <xdr:twoCellAnchor editAs="oneCell">
    <xdr:from>
      <xdr:col>2</xdr:col>
      <xdr:colOff>410350</xdr:colOff>
      <xdr:row>2</xdr:row>
      <xdr:rowOff>105550</xdr:rowOff>
    </xdr:from>
    <xdr:to>
      <xdr:col>5</xdr:col>
      <xdr:colOff>234950</xdr:colOff>
      <xdr:row>10</xdr:row>
      <xdr:rowOff>152400</xdr:rowOff>
    </xdr:to>
    <xdr:pic>
      <xdr:nvPicPr>
        <xdr:cNvPr id="4" name="Gráfico 3" descr="Dois quadrados e uma linha em ziguezague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807350" y="461150"/>
          <a:ext cx="1805800" cy="1469250"/>
        </a:xfrm>
        <a:prstGeom prst="rect">
          <a:avLst/>
        </a:prstGeom>
      </xdr:spPr>
    </xdr:pic>
    <xdr:clientData/>
  </xdr:twoCellAnchor>
  <xdr:twoCellAnchor>
    <xdr:from>
      <xdr:col>9</xdr:col>
      <xdr:colOff>115006</xdr:colOff>
      <xdr:row>4</xdr:row>
      <xdr:rowOff>171450</xdr:rowOff>
    </xdr:from>
    <xdr:to>
      <xdr:col>14</xdr:col>
      <xdr:colOff>298450</xdr:colOff>
      <xdr:row>12</xdr:row>
      <xdr:rowOff>69849</xdr:rowOff>
    </xdr:to>
    <xdr:sp macro="" textlink="">
      <xdr:nvSpPr>
        <xdr:cNvPr id="5" name="Retângulo: Cantos Arredondados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6401506" y="882650"/>
          <a:ext cx="3675944" cy="1320799"/>
        </a:xfrm>
        <a:prstGeom prst="round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pt-BR" sz="1800" b="1" i="0" u="none" strike="noStrike">
              <a:solidFill>
                <a:schemeClr val="tx1"/>
              </a:solidFill>
              <a:latin typeface="Aptos Narrow" panose="020B0004020202020204" pitchFamily="34" charset="0"/>
              <a:ea typeface="+mn-ea"/>
              <a:cs typeface="+mn-cs"/>
            </a:rPr>
            <a:t>Tabela</a:t>
          </a:r>
        </a:p>
      </xdr:txBody>
    </xdr:sp>
    <xdr:clientData/>
  </xdr:twoCellAnchor>
  <xdr:twoCellAnchor editAs="oneCell">
    <xdr:from>
      <xdr:col>13</xdr:col>
      <xdr:colOff>361950</xdr:colOff>
      <xdr:row>2</xdr:row>
      <xdr:rowOff>120650</xdr:rowOff>
    </xdr:from>
    <xdr:to>
      <xdr:col>15</xdr:col>
      <xdr:colOff>349250</xdr:colOff>
      <xdr:row>8</xdr:row>
      <xdr:rowOff>133350</xdr:rowOff>
    </xdr:to>
    <xdr:pic>
      <xdr:nvPicPr>
        <xdr:cNvPr id="6" name="Gráfico 5" descr="Um círculo preenchido com pontos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442450" y="476250"/>
          <a:ext cx="1308100" cy="10795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209550</xdr:colOff>
      <xdr:row>7</xdr:row>
      <xdr:rowOff>153950</xdr:rowOff>
    </xdr:from>
    <xdr:to>
      <xdr:col>15</xdr:col>
      <xdr:colOff>577850</xdr:colOff>
      <xdr:row>16</xdr:row>
      <xdr:rowOff>1550</xdr:rowOff>
    </xdr:to>
    <xdr:pic>
      <xdr:nvPicPr>
        <xdr:cNvPr id="7" name="Gráfico 6" descr="Dois círculos, um sólido e um preenchido com pontos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90050" y="1398550"/>
          <a:ext cx="1689100" cy="1447800"/>
        </a:xfrm>
        <a:prstGeom prst="rect">
          <a:avLst/>
        </a:prstGeom>
      </xdr:spPr>
    </xdr:pic>
    <xdr:clientData/>
  </xdr:twoCellAnchor>
  <xdr:twoCellAnchor editAs="oneCell">
    <xdr:from>
      <xdr:col>2</xdr:col>
      <xdr:colOff>284900</xdr:colOff>
      <xdr:row>9</xdr:row>
      <xdr:rowOff>82550</xdr:rowOff>
    </xdr:from>
    <xdr:to>
      <xdr:col>4</xdr:col>
      <xdr:colOff>361950</xdr:colOff>
      <xdr:row>16</xdr:row>
      <xdr:rowOff>850</xdr:rowOff>
    </xdr:to>
    <xdr:pic>
      <xdr:nvPicPr>
        <xdr:cNvPr id="8" name="Gráfico 7" descr="Um círculo preenchido com linhas diagonais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81900" y="1682750"/>
          <a:ext cx="1397850" cy="1162900"/>
        </a:xfrm>
        <a:prstGeom prst="rect">
          <a:avLst/>
        </a:prstGeom>
      </xdr:spPr>
    </xdr:pic>
    <xdr:clientData/>
  </xdr:twoCellAnchor>
  <xdr:twoCellAnchor editAs="oneCell">
    <xdr:from>
      <xdr:col>9</xdr:col>
      <xdr:colOff>622300</xdr:colOff>
      <xdr:row>0</xdr:row>
      <xdr:rowOff>0</xdr:rowOff>
    </xdr:from>
    <xdr:to>
      <xdr:col>11</xdr:col>
      <xdr:colOff>304800</xdr:colOff>
      <xdr:row>4</xdr:row>
      <xdr:rowOff>76200</xdr:rowOff>
    </xdr:to>
    <xdr:pic>
      <xdr:nvPicPr>
        <xdr:cNvPr id="9" name="Gráfico 8" descr="Um quadrado feito de pontos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8800" y="0"/>
          <a:ext cx="1003300" cy="787400"/>
        </a:xfrm>
        <a:prstGeom prst="rect">
          <a:avLst/>
        </a:prstGeom>
      </xdr:spPr>
    </xdr:pic>
    <xdr:clientData/>
  </xdr:twoCellAnchor>
  <xdr:twoCellAnchor>
    <xdr:from>
      <xdr:col>7</xdr:col>
      <xdr:colOff>107950</xdr:colOff>
      <xdr:row>1</xdr:row>
      <xdr:rowOff>25400</xdr:rowOff>
    </xdr:from>
    <xdr:to>
      <xdr:col>10</xdr:col>
      <xdr:colOff>577850</xdr:colOff>
      <xdr:row>4</xdr:row>
      <xdr:rowOff>19050</xdr:rowOff>
    </xdr:to>
    <xdr:sp macro="" textlink="">
      <xdr:nvSpPr>
        <xdr:cNvPr id="10" name="Retângulo: Cantos Diagonais Arredondados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4997450" y="203200"/>
          <a:ext cx="2565400" cy="527050"/>
        </a:xfrm>
        <a:prstGeom prst="round2Diag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  <a:latin typeface="Leky Calgria" panose="02000600000000000000" pitchFamily="2" charset="0"/>
              <a:cs typeface="Gordita" pitchFamily="50" charset="0"/>
            </a:rPr>
            <a:t>Metas</a:t>
          </a:r>
        </a:p>
      </xdr:txBody>
    </xdr:sp>
    <xdr:clientData/>
  </xdr:twoCellAnchor>
  <xdr:twoCellAnchor editAs="oneCell">
    <xdr:from>
      <xdr:col>5</xdr:col>
      <xdr:colOff>82550</xdr:colOff>
      <xdr:row>1</xdr:row>
      <xdr:rowOff>31751</xdr:rowOff>
    </xdr:from>
    <xdr:to>
      <xdr:col>6</xdr:col>
      <xdr:colOff>67310</xdr:colOff>
      <xdr:row>4</xdr:row>
      <xdr:rowOff>101601</xdr:rowOff>
    </xdr:to>
    <xdr:pic>
      <xdr:nvPicPr>
        <xdr:cNvPr id="11" name="Gráfico 10" descr="Moedas com preenchimento sólido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3575050" y="209551"/>
          <a:ext cx="645160" cy="603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6</xdr:row>
      <xdr:rowOff>132080</xdr:rowOff>
    </xdr:from>
    <xdr:to>
      <xdr:col>0</xdr:col>
      <xdr:colOff>605239</xdr:colOff>
      <xdr:row>9</xdr:row>
      <xdr:rowOff>125523</xdr:rowOff>
    </xdr:to>
    <xdr:pic>
      <xdr:nvPicPr>
        <xdr:cNvPr id="2" name="Gráfico 6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3500" y="1198880"/>
          <a:ext cx="541739" cy="526843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2</xdr:row>
      <xdr:rowOff>0</xdr:rowOff>
    </xdr:from>
    <xdr:to>
      <xdr:col>0</xdr:col>
      <xdr:colOff>602064</xdr:colOff>
      <xdr:row>6</xdr:row>
      <xdr:rowOff>122555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133350" y="355600"/>
          <a:ext cx="468714" cy="833755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</xdr:colOff>
      <xdr:row>9</xdr:row>
      <xdr:rowOff>259080</xdr:rowOff>
    </xdr:from>
    <xdr:to>
      <xdr:col>1</xdr:col>
      <xdr:colOff>38100</xdr:colOff>
      <xdr:row>11</xdr:row>
      <xdr:rowOff>359041</xdr:rowOff>
    </xdr:to>
    <xdr:pic>
      <xdr:nvPicPr>
        <xdr:cNvPr id="4" name="Gráfico 3" descr="Moedas com preenchimento sólid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91440" y="1859280"/>
          <a:ext cx="607060" cy="53811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16</xdr:row>
      <xdr:rowOff>161925</xdr:rowOff>
    </xdr:from>
    <xdr:to>
      <xdr:col>6</xdr:col>
      <xdr:colOff>123825</xdr:colOff>
      <xdr:row>32</xdr:row>
      <xdr:rowOff>9525</xdr:rowOff>
    </xdr:to>
    <xdr:graphicFrame macro="">
      <xdr:nvGraphicFramePr>
        <xdr:cNvPr id="8" name="Gráfico 4">
          <a:extLst>
            <a:ext uri="{FF2B5EF4-FFF2-40B4-BE49-F238E27FC236}">
              <a16:creationId xmlns:a16="http://schemas.microsoft.com/office/drawing/2014/main" id="{00000000-0008-0000-0E00-000008000000}"/>
            </a:ext>
            <a:ext uri="{147F2762-F138-4A5C-976F-8EAC2B608ADB}">
              <a16:predDERef xmlns:a16="http://schemas.microsoft.com/office/drawing/2014/main" pre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63500</xdr:colOff>
      <xdr:row>6</xdr:row>
      <xdr:rowOff>132080</xdr:rowOff>
    </xdr:from>
    <xdr:to>
      <xdr:col>0</xdr:col>
      <xdr:colOff>605239</xdr:colOff>
      <xdr:row>9</xdr:row>
      <xdr:rowOff>125523</xdr:rowOff>
    </xdr:to>
    <xdr:pic>
      <xdr:nvPicPr>
        <xdr:cNvPr id="2" name="Gráfico 6" descr="Início com preenchiment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00" y="1198880"/>
          <a:ext cx="541739" cy="526843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2</xdr:row>
      <xdr:rowOff>0</xdr:rowOff>
    </xdr:from>
    <xdr:to>
      <xdr:col>0</xdr:col>
      <xdr:colOff>602064</xdr:colOff>
      <xdr:row>6</xdr:row>
      <xdr:rowOff>122555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133350" y="355600"/>
          <a:ext cx="468714" cy="833755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9</xdr:row>
      <xdr:rowOff>198119</xdr:rowOff>
    </xdr:from>
    <xdr:to>
      <xdr:col>1</xdr:col>
      <xdr:colOff>76200</xdr:colOff>
      <xdr:row>13</xdr:row>
      <xdr:rowOff>22860</xdr:rowOff>
    </xdr:to>
    <xdr:pic>
      <xdr:nvPicPr>
        <xdr:cNvPr id="4" name="Gráfico 3" descr="Moedas com preenchimento sólido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9060" y="1779269"/>
          <a:ext cx="637540" cy="554991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457906</xdr:colOff>
      <xdr:row>5</xdr:row>
      <xdr:rowOff>0</xdr:rowOff>
    </xdr:from>
    <xdr:to>
      <xdr:col>8</xdr:col>
      <xdr:colOff>641350</xdr:colOff>
      <xdr:row>12</xdr:row>
      <xdr:rowOff>76199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53406" y="889000"/>
          <a:ext cx="3675944" cy="1320799"/>
        </a:xfrm>
        <a:prstGeom prst="round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i="0" u="none" strike="noStrike">
              <a:solidFill>
                <a:schemeClr val="tx1"/>
              </a:solidFill>
              <a:latin typeface="Aptos Narrow" panose="020B0004020202020204" pitchFamily="34" charset="0"/>
              <a:ea typeface="+mn-ea"/>
              <a:cs typeface="+mn-cs"/>
            </a:rPr>
            <a:t>Consulta</a:t>
          </a:r>
          <a:endParaRPr lang="pt-BR" sz="1800" b="1" i="0" u="none" strike="noStrike">
            <a:solidFill>
              <a:schemeClr val="tx1"/>
            </a:solidFill>
            <a:latin typeface="Aptos Narrow" panose="020B0004020202020204" pitchFamily="34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6</xdr:col>
      <xdr:colOff>171449</xdr:colOff>
      <xdr:row>0</xdr:row>
      <xdr:rowOff>0</xdr:rowOff>
    </xdr:from>
    <xdr:to>
      <xdr:col>7</xdr:col>
      <xdr:colOff>82550</xdr:colOff>
      <xdr:row>4</xdr:row>
      <xdr:rowOff>96375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4362449" y="0"/>
          <a:ext cx="571501" cy="807575"/>
        </a:xfrm>
        <a:prstGeom prst="rect">
          <a:avLst/>
        </a:prstGeom>
      </xdr:spPr>
    </xdr:pic>
    <xdr:clientData/>
  </xdr:twoCellAnchor>
  <xdr:twoCellAnchor editAs="oneCell">
    <xdr:from>
      <xdr:col>2</xdr:col>
      <xdr:colOff>410350</xdr:colOff>
      <xdr:row>2</xdr:row>
      <xdr:rowOff>105550</xdr:rowOff>
    </xdr:from>
    <xdr:to>
      <xdr:col>5</xdr:col>
      <xdr:colOff>120650</xdr:colOff>
      <xdr:row>10</xdr:row>
      <xdr:rowOff>152400</xdr:rowOff>
    </xdr:to>
    <xdr:pic>
      <xdr:nvPicPr>
        <xdr:cNvPr id="4" name="Gráfico 3" descr="Dois quadrados e uma linha em ziguezague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807350" y="461150"/>
          <a:ext cx="1691500" cy="1469250"/>
        </a:xfrm>
        <a:prstGeom prst="rect">
          <a:avLst/>
        </a:prstGeom>
      </xdr:spPr>
    </xdr:pic>
    <xdr:clientData/>
  </xdr:twoCellAnchor>
  <xdr:twoCellAnchor>
    <xdr:from>
      <xdr:col>9</xdr:col>
      <xdr:colOff>115006</xdr:colOff>
      <xdr:row>4</xdr:row>
      <xdr:rowOff>171450</xdr:rowOff>
    </xdr:from>
    <xdr:to>
      <xdr:col>14</xdr:col>
      <xdr:colOff>298450</xdr:colOff>
      <xdr:row>12</xdr:row>
      <xdr:rowOff>69849</xdr:rowOff>
    </xdr:to>
    <xdr:sp macro="" textlink="">
      <xdr:nvSpPr>
        <xdr:cNvPr id="6" name="Retângulo: Cantos Arredondados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6401506" y="882650"/>
          <a:ext cx="3675944" cy="1320799"/>
        </a:xfrm>
        <a:prstGeom prst="round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pt-BR" sz="1800" b="1" i="0" u="none" strike="noStrike">
              <a:solidFill>
                <a:schemeClr val="tx1"/>
              </a:solidFill>
              <a:latin typeface="Aptos Narrow" panose="020B0004020202020204" pitchFamily="34" charset="0"/>
              <a:ea typeface="+mn-ea"/>
              <a:cs typeface="+mn-cs"/>
            </a:rPr>
            <a:t>Tabela</a:t>
          </a:r>
        </a:p>
      </xdr:txBody>
    </xdr:sp>
    <xdr:clientData/>
  </xdr:twoCellAnchor>
  <xdr:twoCellAnchor editAs="oneCell">
    <xdr:from>
      <xdr:col>13</xdr:col>
      <xdr:colOff>361950</xdr:colOff>
      <xdr:row>2</xdr:row>
      <xdr:rowOff>120650</xdr:rowOff>
    </xdr:from>
    <xdr:to>
      <xdr:col>15</xdr:col>
      <xdr:colOff>273050</xdr:colOff>
      <xdr:row>8</xdr:row>
      <xdr:rowOff>133350</xdr:rowOff>
    </xdr:to>
    <xdr:pic>
      <xdr:nvPicPr>
        <xdr:cNvPr id="8" name="Gráfico 7" descr="Um círculo preenchido com pontos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442450" y="476250"/>
          <a:ext cx="1231900" cy="10795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209550</xdr:colOff>
      <xdr:row>7</xdr:row>
      <xdr:rowOff>153950</xdr:rowOff>
    </xdr:from>
    <xdr:to>
      <xdr:col>15</xdr:col>
      <xdr:colOff>501650</xdr:colOff>
      <xdr:row>16</xdr:row>
      <xdr:rowOff>1550</xdr:rowOff>
    </xdr:to>
    <xdr:pic>
      <xdr:nvPicPr>
        <xdr:cNvPr id="9" name="Gráfico 8" descr="Dois círculos, um sólido e um preenchido com pontos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90050" y="1398550"/>
          <a:ext cx="1612900" cy="1447800"/>
        </a:xfrm>
        <a:prstGeom prst="rect">
          <a:avLst/>
        </a:prstGeom>
      </xdr:spPr>
    </xdr:pic>
    <xdr:clientData/>
  </xdr:twoCellAnchor>
  <xdr:twoCellAnchor editAs="oneCell">
    <xdr:from>
      <xdr:col>2</xdr:col>
      <xdr:colOff>284900</xdr:colOff>
      <xdr:row>9</xdr:row>
      <xdr:rowOff>82550</xdr:rowOff>
    </xdr:from>
    <xdr:to>
      <xdr:col>4</xdr:col>
      <xdr:colOff>285750</xdr:colOff>
      <xdr:row>16</xdr:row>
      <xdr:rowOff>850</xdr:rowOff>
    </xdr:to>
    <xdr:pic>
      <xdr:nvPicPr>
        <xdr:cNvPr id="10" name="Gráfico 9" descr="Um círculo preenchido com linhas diagonais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81900" y="1682750"/>
          <a:ext cx="1321650" cy="1162900"/>
        </a:xfrm>
        <a:prstGeom prst="rect">
          <a:avLst/>
        </a:prstGeom>
      </xdr:spPr>
    </xdr:pic>
    <xdr:clientData/>
  </xdr:twoCellAnchor>
  <xdr:twoCellAnchor editAs="oneCell">
    <xdr:from>
      <xdr:col>9</xdr:col>
      <xdr:colOff>622300</xdr:colOff>
      <xdr:row>0</xdr:row>
      <xdr:rowOff>0</xdr:rowOff>
    </xdr:from>
    <xdr:to>
      <xdr:col>11</xdr:col>
      <xdr:colOff>228600</xdr:colOff>
      <xdr:row>4</xdr:row>
      <xdr:rowOff>76200</xdr:rowOff>
    </xdr:to>
    <xdr:pic>
      <xdr:nvPicPr>
        <xdr:cNvPr id="11" name="Gráfico 10" descr="Um quadrado feito de pontos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8800" y="0"/>
          <a:ext cx="927100" cy="787400"/>
        </a:xfrm>
        <a:prstGeom prst="rect">
          <a:avLst/>
        </a:prstGeom>
      </xdr:spPr>
    </xdr:pic>
    <xdr:clientData/>
  </xdr:twoCellAnchor>
  <xdr:twoCellAnchor>
    <xdr:from>
      <xdr:col>7</xdr:col>
      <xdr:colOff>107950</xdr:colOff>
      <xdr:row>1</xdr:row>
      <xdr:rowOff>25400</xdr:rowOff>
    </xdr:from>
    <xdr:to>
      <xdr:col>10</xdr:col>
      <xdr:colOff>577850</xdr:colOff>
      <xdr:row>4</xdr:row>
      <xdr:rowOff>19050</xdr:rowOff>
    </xdr:to>
    <xdr:sp macro="" textlink="">
      <xdr:nvSpPr>
        <xdr:cNvPr id="12" name="Retângulo: Cantos Diagonais Arredondados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4997450" y="203200"/>
          <a:ext cx="2565400" cy="527050"/>
        </a:xfrm>
        <a:prstGeom prst="round2Diag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  <a:latin typeface="Leky Calgria" panose="02000600000000000000" pitchFamily="2" charset="0"/>
              <a:cs typeface="Gordita" pitchFamily="50" charset="0"/>
            </a:rPr>
            <a:t>Fluxo de Caixa</a:t>
          </a:r>
        </a:p>
      </xdr:txBody>
    </xdr:sp>
    <xdr:clientData/>
  </xdr:twoCellAnchor>
  <xdr:twoCellAnchor editAs="oneCell">
    <xdr:from>
      <xdr:col>5</xdr:col>
      <xdr:colOff>82550</xdr:colOff>
      <xdr:row>1</xdr:row>
      <xdr:rowOff>31751</xdr:rowOff>
    </xdr:from>
    <xdr:to>
      <xdr:col>6</xdr:col>
      <xdr:colOff>29210</xdr:colOff>
      <xdr:row>4</xdr:row>
      <xdr:rowOff>101601</xdr:rowOff>
    </xdr:to>
    <xdr:pic>
      <xdr:nvPicPr>
        <xdr:cNvPr id="13" name="Gráfico 12" descr="Moedas com preenchimento sólido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3575050" y="209551"/>
          <a:ext cx="645160" cy="60325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6</xdr:row>
      <xdr:rowOff>132080</xdr:rowOff>
    </xdr:from>
    <xdr:to>
      <xdr:col>0</xdr:col>
      <xdr:colOff>605239</xdr:colOff>
      <xdr:row>9</xdr:row>
      <xdr:rowOff>125523</xdr:rowOff>
    </xdr:to>
    <xdr:pic>
      <xdr:nvPicPr>
        <xdr:cNvPr id="2" name="Gráfico 6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3500" y="1198880"/>
          <a:ext cx="541739" cy="526843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2</xdr:row>
      <xdr:rowOff>0</xdr:rowOff>
    </xdr:from>
    <xdr:to>
      <xdr:col>0</xdr:col>
      <xdr:colOff>602064</xdr:colOff>
      <xdr:row>6</xdr:row>
      <xdr:rowOff>122555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133350" y="355600"/>
          <a:ext cx="468714" cy="833755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9</xdr:row>
      <xdr:rowOff>198119</xdr:rowOff>
    </xdr:from>
    <xdr:to>
      <xdr:col>1</xdr:col>
      <xdr:colOff>45720</xdr:colOff>
      <xdr:row>11</xdr:row>
      <xdr:rowOff>336550</xdr:rowOff>
    </xdr:to>
    <xdr:pic>
      <xdr:nvPicPr>
        <xdr:cNvPr id="4" name="Gráfico 3" descr="Moedas com preenchimento sólid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99060" y="1798319"/>
          <a:ext cx="645160" cy="678181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438856</xdr:colOff>
      <xdr:row>4</xdr:row>
      <xdr:rowOff>177800</xdr:rowOff>
    </xdr:from>
    <xdr:to>
      <xdr:col>8</xdr:col>
      <xdr:colOff>622300</xdr:colOff>
      <xdr:row>12</xdr:row>
      <xdr:rowOff>76199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362906" y="914400"/>
          <a:ext cx="3390194" cy="1371599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171449</xdr:colOff>
      <xdr:row>0</xdr:row>
      <xdr:rowOff>0</xdr:rowOff>
    </xdr:from>
    <xdr:to>
      <xdr:col>7</xdr:col>
      <xdr:colOff>44450</xdr:colOff>
      <xdr:row>4</xdr:row>
      <xdr:rowOff>96375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4019549" y="0"/>
          <a:ext cx="514351" cy="832975"/>
        </a:xfrm>
        <a:prstGeom prst="rect">
          <a:avLst/>
        </a:prstGeom>
      </xdr:spPr>
    </xdr:pic>
    <xdr:clientData/>
  </xdr:twoCellAnchor>
  <xdr:twoCellAnchor editAs="oneCell">
    <xdr:from>
      <xdr:col>2</xdr:col>
      <xdr:colOff>410350</xdr:colOff>
      <xdr:row>2</xdr:row>
      <xdr:rowOff>105550</xdr:rowOff>
    </xdr:from>
    <xdr:to>
      <xdr:col>5</xdr:col>
      <xdr:colOff>6350</xdr:colOff>
      <xdr:row>10</xdr:row>
      <xdr:rowOff>152400</xdr:rowOff>
    </xdr:to>
    <xdr:pic>
      <xdr:nvPicPr>
        <xdr:cNvPr id="4" name="Gráfico 3" descr="Dois quadrados e uma linha em ziguezague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3050" y="473850"/>
          <a:ext cx="1520050" cy="1520050"/>
        </a:xfrm>
        <a:prstGeom prst="rect">
          <a:avLst/>
        </a:prstGeom>
      </xdr:spPr>
    </xdr:pic>
    <xdr:clientData/>
  </xdr:twoCellAnchor>
  <xdr:twoCellAnchor>
    <xdr:from>
      <xdr:col>3</xdr:col>
      <xdr:colOff>445206</xdr:colOff>
      <xdr:row>12</xdr:row>
      <xdr:rowOff>165100</xdr:rowOff>
    </xdr:from>
    <xdr:to>
      <xdr:col>8</xdr:col>
      <xdr:colOff>628650</xdr:colOff>
      <xdr:row>20</xdr:row>
      <xdr:rowOff>63499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2369256" y="2374900"/>
          <a:ext cx="3390194" cy="1371599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115006</xdr:colOff>
      <xdr:row>4</xdr:row>
      <xdr:rowOff>171450</xdr:rowOff>
    </xdr:from>
    <xdr:to>
      <xdr:col>14</xdr:col>
      <xdr:colOff>298450</xdr:colOff>
      <xdr:row>12</xdr:row>
      <xdr:rowOff>69849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5887156" y="908050"/>
          <a:ext cx="3390194" cy="1371599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121356</xdr:colOff>
      <xdr:row>12</xdr:row>
      <xdr:rowOff>152400</xdr:rowOff>
    </xdr:from>
    <xdr:to>
      <xdr:col>14</xdr:col>
      <xdr:colOff>304800</xdr:colOff>
      <xdr:row>20</xdr:row>
      <xdr:rowOff>50799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5893506" y="2362200"/>
          <a:ext cx="3390194" cy="1371599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13</xdr:col>
      <xdr:colOff>361950</xdr:colOff>
      <xdr:row>2</xdr:row>
      <xdr:rowOff>120650</xdr:rowOff>
    </xdr:from>
    <xdr:to>
      <xdr:col>15</xdr:col>
      <xdr:colOff>196850</xdr:colOff>
      <xdr:row>8</xdr:row>
      <xdr:rowOff>133350</xdr:rowOff>
    </xdr:to>
    <xdr:pic>
      <xdr:nvPicPr>
        <xdr:cNvPr id="8" name="Gráfico 7" descr="Um círculo preenchido com pontos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699500" y="488950"/>
          <a:ext cx="1117600" cy="11176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209550</xdr:colOff>
      <xdr:row>7</xdr:row>
      <xdr:rowOff>153950</xdr:rowOff>
    </xdr:from>
    <xdr:to>
      <xdr:col>15</xdr:col>
      <xdr:colOff>425450</xdr:colOff>
      <xdr:row>15</xdr:row>
      <xdr:rowOff>169825</xdr:rowOff>
    </xdr:to>
    <xdr:pic>
      <xdr:nvPicPr>
        <xdr:cNvPr id="9" name="Gráfico 8" descr="Dois círculos, um sólido e um preenchido com pontos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47100" y="1443000"/>
          <a:ext cx="1498600" cy="1498600"/>
        </a:xfrm>
        <a:prstGeom prst="rect">
          <a:avLst/>
        </a:prstGeom>
      </xdr:spPr>
    </xdr:pic>
    <xdr:clientData/>
  </xdr:twoCellAnchor>
  <xdr:twoCellAnchor editAs="oneCell">
    <xdr:from>
      <xdr:col>2</xdr:col>
      <xdr:colOff>323000</xdr:colOff>
      <xdr:row>9</xdr:row>
      <xdr:rowOff>95250</xdr:rowOff>
    </xdr:from>
    <xdr:to>
      <xdr:col>4</xdr:col>
      <xdr:colOff>247650</xdr:colOff>
      <xdr:row>16</xdr:row>
      <xdr:rowOff>13550</xdr:rowOff>
    </xdr:to>
    <xdr:pic>
      <xdr:nvPicPr>
        <xdr:cNvPr id="10" name="Gráfico 9" descr="Um círculo preenchido com linhas diagonais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5700" y="1752600"/>
          <a:ext cx="1207350" cy="1207350"/>
        </a:xfrm>
        <a:prstGeom prst="rect">
          <a:avLst/>
        </a:prstGeom>
      </xdr:spPr>
    </xdr:pic>
    <xdr:clientData/>
  </xdr:twoCellAnchor>
  <xdr:twoCellAnchor editAs="oneCell">
    <xdr:from>
      <xdr:col>9</xdr:col>
      <xdr:colOff>622300</xdr:colOff>
      <xdr:row>0</xdr:row>
      <xdr:rowOff>0</xdr:rowOff>
    </xdr:from>
    <xdr:to>
      <xdr:col>11</xdr:col>
      <xdr:colOff>152400</xdr:colOff>
      <xdr:row>4</xdr:row>
      <xdr:rowOff>76200</xdr:rowOff>
    </xdr:to>
    <xdr:pic>
      <xdr:nvPicPr>
        <xdr:cNvPr id="11" name="Gráfico 10" descr="Um quadrado feito de pontos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394450" y="0"/>
          <a:ext cx="812800" cy="812800"/>
        </a:xfrm>
        <a:prstGeom prst="rect">
          <a:avLst/>
        </a:prstGeom>
      </xdr:spPr>
    </xdr:pic>
    <xdr:clientData/>
  </xdr:twoCellAnchor>
  <xdr:twoCellAnchor>
    <xdr:from>
      <xdr:col>7</xdr:col>
      <xdr:colOff>107950</xdr:colOff>
      <xdr:row>1</xdr:row>
      <xdr:rowOff>25400</xdr:rowOff>
    </xdr:from>
    <xdr:to>
      <xdr:col>10</xdr:col>
      <xdr:colOff>577850</xdr:colOff>
      <xdr:row>4</xdr:row>
      <xdr:rowOff>19050</xdr:rowOff>
    </xdr:to>
    <xdr:sp macro="" textlink="">
      <xdr:nvSpPr>
        <xdr:cNvPr id="12" name="Retângulo: Cantos Diagonais Arredondados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/>
      </xdr:nvSpPr>
      <xdr:spPr>
        <a:xfrm>
          <a:off x="4597400" y="209550"/>
          <a:ext cx="2393950" cy="546100"/>
        </a:xfrm>
        <a:prstGeom prst="round2Diag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>
              <a:solidFill>
                <a:schemeClr val="tx1"/>
              </a:solidFill>
              <a:latin typeface="Leky Calgria" panose="02000600000000000000" pitchFamily="2" charset="0"/>
              <a:cs typeface="Gordita" pitchFamily="50" charset="0"/>
            </a:rPr>
            <a:t>ESTOQUE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200025</xdr:colOff>
      <xdr:row>2</xdr:row>
      <xdr:rowOff>161925</xdr:rowOff>
    </xdr:from>
    <xdr:to>
      <xdr:col>14</xdr:col>
      <xdr:colOff>390525</xdr:colOff>
      <xdr:row>18</xdr:row>
      <xdr:rowOff>9525</xdr:rowOff>
    </xdr:to>
    <xdr:graphicFrame macro="">
      <xdr:nvGraphicFramePr>
        <xdr:cNvPr id="16" name="Gráfico 5">
          <a:extLst>
            <a:ext uri="{FF2B5EF4-FFF2-40B4-BE49-F238E27FC236}">
              <a16:creationId xmlns:a16="http://schemas.microsoft.com/office/drawing/2014/main" id="{00000000-0008-0000-1200-000010000000}"/>
            </a:ext>
            <a:ext uri="{147F2762-F138-4A5C-976F-8EAC2B608ADB}">
              <a16:predDERef xmlns:a16="http://schemas.microsoft.com/office/drawing/2014/main" pre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63500</xdr:colOff>
      <xdr:row>6</xdr:row>
      <xdr:rowOff>132080</xdr:rowOff>
    </xdr:from>
    <xdr:to>
      <xdr:col>0</xdr:col>
      <xdr:colOff>605239</xdr:colOff>
      <xdr:row>9</xdr:row>
      <xdr:rowOff>125523</xdr:rowOff>
    </xdr:to>
    <xdr:pic>
      <xdr:nvPicPr>
        <xdr:cNvPr id="2" name="Gráfico 6" descr="Início com preenchiment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00" y="1198880"/>
          <a:ext cx="541739" cy="526843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2</xdr:row>
      <xdr:rowOff>0</xdr:rowOff>
    </xdr:from>
    <xdr:to>
      <xdr:col>0</xdr:col>
      <xdr:colOff>602064</xdr:colOff>
      <xdr:row>6</xdr:row>
      <xdr:rowOff>122555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133350" y="355600"/>
          <a:ext cx="468714" cy="833755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9</xdr:row>
      <xdr:rowOff>198119</xdr:rowOff>
    </xdr:from>
    <xdr:to>
      <xdr:col>1</xdr:col>
      <xdr:colOff>60960</xdr:colOff>
      <xdr:row>13</xdr:row>
      <xdr:rowOff>22860</xdr:rowOff>
    </xdr:to>
    <xdr:pic>
      <xdr:nvPicPr>
        <xdr:cNvPr id="4" name="Gráfico 3" descr="Moedas com preenchimento sólido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9060" y="1779269"/>
          <a:ext cx="622300" cy="554991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171449</xdr:colOff>
      <xdr:row>0</xdr:row>
      <xdr:rowOff>0</xdr:rowOff>
    </xdr:from>
    <xdr:to>
      <xdr:col>7</xdr:col>
      <xdr:colOff>44450</xdr:colOff>
      <xdr:row>4</xdr:row>
      <xdr:rowOff>96375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4019549" y="0"/>
          <a:ext cx="514351" cy="832975"/>
        </a:xfrm>
        <a:prstGeom prst="rect">
          <a:avLst/>
        </a:prstGeom>
      </xdr:spPr>
    </xdr:pic>
    <xdr:clientData/>
  </xdr:twoCellAnchor>
  <xdr:twoCellAnchor editAs="oneCell">
    <xdr:from>
      <xdr:col>9</xdr:col>
      <xdr:colOff>622300</xdr:colOff>
      <xdr:row>0</xdr:row>
      <xdr:rowOff>0</xdr:rowOff>
    </xdr:from>
    <xdr:to>
      <xdr:col>11</xdr:col>
      <xdr:colOff>152400</xdr:colOff>
      <xdr:row>4</xdr:row>
      <xdr:rowOff>76200</xdr:rowOff>
    </xdr:to>
    <xdr:pic>
      <xdr:nvPicPr>
        <xdr:cNvPr id="11" name="Gráfico 10" descr="Um quadrado feito de pontos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94450" y="0"/>
          <a:ext cx="812800" cy="812800"/>
        </a:xfrm>
        <a:prstGeom prst="rect">
          <a:avLst/>
        </a:prstGeom>
      </xdr:spPr>
    </xdr:pic>
    <xdr:clientData/>
  </xdr:twoCellAnchor>
  <xdr:twoCellAnchor>
    <xdr:from>
      <xdr:col>7</xdr:col>
      <xdr:colOff>107950</xdr:colOff>
      <xdr:row>1</xdr:row>
      <xdr:rowOff>25400</xdr:rowOff>
    </xdr:from>
    <xdr:to>
      <xdr:col>10</xdr:col>
      <xdr:colOff>577850</xdr:colOff>
      <xdr:row>4</xdr:row>
      <xdr:rowOff>19050</xdr:rowOff>
    </xdr:to>
    <xdr:sp macro="" textlink="">
      <xdr:nvSpPr>
        <xdr:cNvPr id="12" name="Retângulo: Cantos Diagonais Arredondados 11">
          <a:extLst>
            <a:ext uri="{FF2B5EF4-FFF2-40B4-BE49-F238E27FC236}">
              <a16:creationId xmlns:a16="http://schemas.microsoft.com/office/drawing/2014/main" id="{00000000-0008-0000-1300-00000C000000}"/>
            </a:ext>
            <a:ext uri="{147F2762-F138-4A5C-976F-8EAC2B608ADB}">
              <a16:predDERef xmlns:a16="http://schemas.microsoft.com/office/drawing/2014/main" pred="{00000000-0008-0000-0300-00000B000000}"/>
            </a:ext>
          </a:extLst>
        </xdr:cNvPr>
        <xdr:cNvSpPr/>
      </xdr:nvSpPr>
      <xdr:spPr>
        <a:xfrm>
          <a:off x="4597400" y="209550"/>
          <a:ext cx="2393950" cy="546100"/>
        </a:xfrm>
        <a:prstGeom prst="round2Diag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100" b="0">
              <a:solidFill>
                <a:schemeClr val="tx1"/>
              </a:solidFill>
              <a:latin typeface="Leky Calgria"/>
            </a:rPr>
            <a:t>LOGÍSTICA</a:t>
          </a:r>
        </a:p>
      </xdr:txBody>
    </xdr:sp>
    <xdr:clientData/>
  </xdr:twoCellAnchor>
  <xdr:twoCellAnchor>
    <xdr:from>
      <xdr:col>3</xdr:col>
      <xdr:colOff>451556</xdr:colOff>
      <xdr:row>5</xdr:row>
      <xdr:rowOff>79374</xdr:rowOff>
    </xdr:from>
    <xdr:to>
      <xdr:col>8</xdr:col>
      <xdr:colOff>590550</xdr:colOff>
      <xdr:row>12</xdr:row>
      <xdr:rowOff>76199</xdr:rowOff>
    </xdr:to>
    <xdr:sp macro="" textlink="">
      <xdr:nvSpPr>
        <xdr:cNvPr id="13" name="Retângulo: Canto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300-00000D000000}"/>
            </a:ext>
            <a:ext uri="{147F2762-F138-4A5C-976F-8EAC2B608ADB}">
              <a16:predDERef xmlns:a16="http://schemas.microsoft.com/office/drawing/2014/main" pred="{00000000-0008-0000-0300-00000C000000}"/>
            </a:ext>
          </a:extLst>
        </xdr:cNvPr>
        <xdr:cNvSpPr/>
      </xdr:nvSpPr>
      <xdr:spPr>
        <a:xfrm>
          <a:off x="2375606" y="1000124"/>
          <a:ext cx="3345744" cy="1285875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200" b="0" baseline="0">
            <a:solidFill>
              <a:schemeClr val="tx1"/>
            </a:solidFill>
            <a:latin typeface="Gordita" pitchFamily="50" charset="0"/>
            <a:cs typeface="Gordita" pitchFamily="50" charset="0"/>
          </a:endParaRPr>
        </a:p>
        <a:p>
          <a:pPr algn="ctr"/>
          <a:r>
            <a:rPr lang="pt-BR" sz="1800" b="0" baseline="0">
              <a:solidFill>
                <a:schemeClr val="tx1"/>
              </a:solidFill>
              <a:latin typeface="Gordita" pitchFamily="50" charset="0"/>
              <a:cs typeface="Gordita" pitchFamily="50" charset="0"/>
            </a:rPr>
            <a:t>Inserção de</a:t>
          </a:r>
        </a:p>
        <a:p>
          <a:pPr algn="ctr"/>
          <a:r>
            <a:rPr lang="pt-BR" sz="1800" b="0" baseline="0">
              <a:solidFill>
                <a:schemeClr val="tx1"/>
              </a:solidFill>
              <a:latin typeface="Gordita" pitchFamily="50" charset="0"/>
              <a:cs typeface="Gordita" pitchFamily="50" charset="0"/>
            </a:rPr>
            <a:t>dados</a:t>
          </a:r>
          <a:endParaRPr lang="pt-BR" sz="1800" b="0">
            <a:latin typeface="Gordita" pitchFamily="50" charset="0"/>
            <a:cs typeface="Gordita" pitchFamily="50" charset="0"/>
          </a:endParaRPr>
        </a:p>
        <a:p>
          <a:pPr algn="l"/>
          <a:r>
            <a:rPr lang="pt-BR" sz="1100" b="0">
              <a:latin typeface="Gordita" pitchFamily="50" charset="0"/>
              <a:cs typeface="Gordita" pitchFamily="50" charset="0"/>
            </a:rPr>
            <a:t>                    </a:t>
          </a:r>
        </a:p>
      </xdr:txBody>
    </xdr:sp>
    <xdr:clientData/>
  </xdr:twoCellAnchor>
  <xdr:twoCellAnchor editAs="oneCell">
    <xdr:from>
      <xdr:col>2</xdr:col>
      <xdr:colOff>600075</xdr:colOff>
      <xdr:row>2</xdr:row>
      <xdr:rowOff>82550</xdr:rowOff>
    </xdr:from>
    <xdr:to>
      <xdr:col>5</xdr:col>
      <xdr:colOff>0</xdr:colOff>
      <xdr:row>9</xdr:row>
      <xdr:rowOff>107950</xdr:rowOff>
    </xdr:to>
    <xdr:pic>
      <xdr:nvPicPr>
        <xdr:cNvPr id="4" name="Gráfico 3" descr="Dois quadrados e uma linha em ziguezague">
          <a:extLst>
            <a:ext uri="{FF2B5EF4-FFF2-40B4-BE49-F238E27FC236}">
              <a16:creationId xmlns:a16="http://schemas.microsoft.com/office/drawing/2014/main" id="{00000000-0008-0000-1300-000004000000}"/>
            </a:ext>
            <a:ext uri="{147F2762-F138-4A5C-976F-8EAC2B608ADB}">
              <a16:predDERef xmlns:a16="http://schemas.microsoft.com/office/drawing/2014/main" pre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882775" y="450850"/>
          <a:ext cx="1320800" cy="1314450"/>
        </a:xfrm>
        <a:prstGeom prst="rect">
          <a:avLst/>
        </a:prstGeom>
      </xdr:spPr>
    </xdr:pic>
    <xdr:clientData/>
  </xdr:twoCellAnchor>
  <xdr:twoCellAnchor editAs="oneCell">
    <xdr:from>
      <xdr:col>3</xdr:col>
      <xdr:colOff>437300</xdr:colOff>
      <xdr:row>10</xdr:row>
      <xdr:rowOff>19050</xdr:rowOff>
    </xdr:from>
    <xdr:to>
      <xdr:col>4</xdr:col>
      <xdr:colOff>603250</xdr:colOff>
      <xdr:row>14</xdr:row>
      <xdr:rowOff>89750</xdr:rowOff>
    </xdr:to>
    <xdr:pic>
      <xdr:nvPicPr>
        <xdr:cNvPr id="10" name="Gráfico 9" descr="Um círculo preenchido com linhas diagonais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361350" y="1860550"/>
          <a:ext cx="807300" cy="807300"/>
        </a:xfrm>
        <a:prstGeom prst="rect">
          <a:avLst/>
        </a:prstGeom>
      </xdr:spPr>
    </xdr:pic>
    <xdr:clientData/>
  </xdr:twoCellAnchor>
  <xdr:twoCellAnchor>
    <xdr:from>
      <xdr:col>9</xdr:col>
      <xdr:colOff>140406</xdr:colOff>
      <xdr:row>5</xdr:row>
      <xdr:rowOff>79374</xdr:rowOff>
    </xdr:from>
    <xdr:to>
      <xdr:col>14</xdr:col>
      <xdr:colOff>279400</xdr:colOff>
      <xdr:row>12</xdr:row>
      <xdr:rowOff>76199</xdr:rowOff>
    </xdr:to>
    <xdr:sp macro="" textlink="">
      <xdr:nvSpPr>
        <xdr:cNvPr id="2" name="Retângulo: Cantos Arredondados 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300-000002000000}"/>
            </a:ext>
            <a:ext uri="{147F2762-F138-4A5C-976F-8EAC2B608ADB}">
              <a16:predDERef xmlns:a16="http://schemas.microsoft.com/office/drawing/2014/main" pred="{00000000-0008-0000-0300-00000C000000}"/>
            </a:ext>
          </a:extLst>
        </xdr:cNvPr>
        <xdr:cNvSpPr/>
      </xdr:nvSpPr>
      <xdr:spPr>
        <a:xfrm>
          <a:off x="5912556" y="1000124"/>
          <a:ext cx="3345744" cy="1285875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200" baseline="0">
            <a:solidFill>
              <a:schemeClr val="tx1"/>
            </a:solidFill>
            <a:latin typeface="Gordita" pitchFamily="50" charset="0"/>
            <a:cs typeface="Gordita" pitchFamily="50" charset="0"/>
          </a:endParaRPr>
        </a:p>
        <a:p>
          <a:pPr algn="ctr"/>
          <a:r>
            <a:rPr lang="pt-BR" sz="1800" baseline="0">
              <a:solidFill>
                <a:schemeClr val="tx1"/>
              </a:solidFill>
              <a:latin typeface="Gordita" pitchFamily="50" charset="0"/>
              <a:cs typeface="Gordita" pitchFamily="50" charset="0"/>
            </a:rPr>
            <a:t>Tabelas de</a:t>
          </a:r>
        </a:p>
        <a:p>
          <a:pPr algn="ctr"/>
          <a:r>
            <a:rPr lang="pt-BR" sz="1800" baseline="0">
              <a:solidFill>
                <a:schemeClr val="tx1"/>
              </a:solidFill>
              <a:latin typeface="Gordita" pitchFamily="50" charset="0"/>
              <a:cs typeface="Gordita" pitchFamily="50" charset="0"/>
            </a:rPr>
            <a:t>informações</a:t>
          </a:r>
          <a:endParaRPr lang="pt-BR" sz="1800">
            <a:latin typeface="Gordita" pitchFamily="50" charset="0"/>
            <a:cs typeface="Gordita" pitchFamily="50" charset="0"/>
          </a:endParaRPr>
        </a:p>
        <a:p>
          <a:pPr algn="l"/>
          <a:r>
            <a:rPr lang="pt-BR" sz="1100">
              <a:latin typeface="Gordita" pitchFamily="50" charset="0"/>
              <a:cs typeface="Gordita" pitchFamily="50" charset="0"/>
            </a:rPr>
            <a:t>                    </a:t>
          </a:r>
        </a:p>
      </xdr:txBody>
    </xdr:sp>
    <xdr:clientData/>
  </xdr:twoCellAnchor>
  <xdr:twoCellAnchor editAs="oneCell">
    <xdr:from>
      <xdr:col>13</xdr:col>
      <xdr:colOff>6350</xdr:colOff>
      <xdr:row>9</xdr:row>
      <xdr:rowOff>103150</xdr:rowOff>
    </xdr:from>
    <xdr:to>
      <xdr:col>14</xdr:col>
      <xdr:colOff>552450</xdr:colOff>
      <xdr:row>16</xdr:row>
      <xdr:rowOff>1550</xdr:rowOff>
    </xdr:to>
    <xdr:pic>
      <xdr:nvPicPr>
        <xdr:cNvPr id="9" name="Gráfico 8" descr="Dois círculos, um sólido e um preenchido com pontos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343900" y="1760500"/>
          <a:ext cx="1187450" cy="118745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317500</xdr:colOff>
      <xdr:row>2</xdr:row>
      <xdr:rowOff>107950</xdr:rowOff>
    </xdr:from>
    <xdr:to>
      <xdr:col>15</xdr:col>
      <xdr:colOff>6350</xdr:colOff>
      <xdr:row>7</xdr:row>
      <xdr:rowOff>127000</xdr:rowOff>
    </xdr:to>
    <xdr:pic>
      <xdr:nvPicPr>
        <xdr:cNvPr id="8" name="Gráfico 7" descr="Um círculo preenchido com pontos">
          <a:extLst>
            <a:ext uri="{FF2B5EF4-FFF2-40B4-BE49-F238E27FC236}">
              <a16:creationId xmlns:a16="http://schemas.microsoft.com/office/drawing/2014/main" id="{00000000-0008-0000-1300-000008000000}"/>
            </a:ext>
            <a:ext uri="{147F2762-F138-4A5C-976F-8EAC2B608ADB}">
              <a16:predDERef xmlns:a16="http://schemas.microsoft.com/office/drawing/2014/main" pre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655050" y="476250"/>
          <a:ext cx="971550" cy="9398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596899</xdr:colOff>
      <xdr:row>0</xdr:row>
      <xdr:rowOff>0</xdr:rowOff>
    </xdr:from>
    <xdr:to>
      <xdr:col>6</xdr:col>
      <xdr:colOff>469900</xdr:colOff>
      <xdr:row>4</xdr:row>
      <xdr:rowOff>96375</xdr:rowOff>
    </xdr:to>
    <xdr:pic>
      <xdr:nvPicPr>
        <xdr:cNvPr id="2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3803649" y="0"/>
          <a:ext cx="514351" cy="832975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514350</xdr:colOff>
      <xdr:row>4</xdr:row>
      <xdr:rowOff>76200</xdr:rowOff>
    </xdr:to>
    <xdr:pic>
      <xdr:nvPicPr>
        <xdr:cNvPr id="3" name="Gráfico 10" descr="Um quadrado feito de pontos">
          <a:extLst>
            <a:ext uri="{FF2B5EF4-FFF2-40B4-BE49-F238E27FC236}">
              <a16:creationId xmlns:a16="http://schemas.microsoft.com/office/drawing/2014/main" id="{00000000-0008-0000-1400-000003000000}"/>
            </a:ext>
            <a:ext uri="{147F2762-F138-4A5C-976F-8EAC2B608ADB}">
              <a16:predDERef xmlns:a16="http://schemas.microsoft.com/office/drawing/2014/main" pred="{DD724F87-38F3-4F83-9CAC-061D50582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756400" y="0"/>
          <a:ext cx="812800" cy="812800"/>
        </a:xfrm>
        <a:prstGeom prst="rect">
          <a:avLst/>
        </a:prstGeom>
      </xdr:spPr>
    </xdr:pic>
    <xdr:clientData/>
  </xdr:twoCellAnchor>
  <xdr:twoCellAnchor>
    <xdr:from>
      <xdr:col>6</xdr:col>
      <xdr:colOff>533400</xdr:colOff>
      <xdr:row>1</xdr:row>
      <xdr:rowOff>25400</xdr:rowOff>
    </xdr:from>
    <xdr:to>
      <xdr:col>11</xdr:col>
      <xdr:colOff>298450</xdr:colOff>
      <xdr:row>4</xdr:row>
      <xdr:rowOff>19050</xdr:rowOff>
    </xdr:to>
    <xdr:sp macro="" textlink="">
      <xdr:nvSpPr>
        <xdr:cNvPr id="4" name="Retângulo: Cantos Diagonais Arredondados 11">
          <a:extLst>
            <a:ext uri="{FF2B5EF4-FFF2-40B4-BE49-F238E27FC236}">
              <a16:creationId xmlns:a16="http://schemas.microsoft.com/office/drawing/2014/main" id="{00000000-0008-0000-1400-000004000000}"/>
            </a:ext>
            <a:ext uri="{147F2762-F138-4A5C-976F-8EAC2B608ADB}">
              <a16:predDERef xmlns:a16="http://schemas.microsoft.com/office/drawing/2014/main" pred="{E4FEC3E8-9D53-446D-9F88-D5430E99F9F4}"/>
            </a:ext>
          </a:extLst>
        </xdr:cNvPr>
        <xdr:cNvSpPr/>
      </xdr:nvSpPr>
      <xdr:spPr>
        <a:xfrm>
          <a:off x="4381500" y="209550"/>
          <a:ext cx="2971800" cy="546100"/>
        </a:xfrm>
        <a:prstGeom prst="round2Diag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100" b="0" i="0" u="none" strike="noStrike">
              <a:solidFill>
                <a:schemeClr val="tx1"/>
              </a:solidFill>
              <a:latin typeface="Leky Calgria"/>
            </a:rPr>
            <a:t>Telas de Inserções de Dados</a:t>
          </a:r>
        </a:p>
      </xdr:txBody>
    </xdr:sp>
    <xdr:clientData/>
  </xdr:twoCellAnchor>
  <xdr:twoCellAnchor editAs="oneCell">
    <xdr:from>
      <xdr:col>11</xdr:col>
      <xdr:colOff>400050</xdr:colOff>
      <xdr:row>12</xdr:row>
      <xdr:rowOff>96800</xdr:rowOff>
    </xdr:from>
    <xdr:to>
      <xdr:col>13</xdr:col>
      <xdr:colOff>304800</xdr:colOff>
      <xdr:row>18</xdr:row>
      <xdr:rowOff>169825</xdr:rowOff>
    </xdr:to>
    <xdr:pic>
      <xdr:nvPicPr>
        <xdr:cNvPr id="11" name="Gráfico 8" descr="Dois círculos, um sólido e um preenchido com pontos">
          <a:extLst>
            <a:ext uri="{FF2B5EF4-FFF2-40B4-BE49-F238E27FC236}">
              <a16:creationId xmlns:a16="http://schemas.microsoft.com/office/drawing/2014/main" id="{00000000-0008-0000-1400-00000B000000}"/>
            </a:ext>
            <a:ext uri="{147F2762-F138-4A5C-976F-8EAC2B608ADB}">
              <a16:predDERef xmlns:a16="http://schemas.microsoft.com/office/drawing/2014/main" pred="{EE0BB95D-E3D7-4F65-B339-F84CD13B6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2382800"/>
          <a:ext cx="1123950" cy="1225550"/>
        </a:xfrm>
        <a:prstGeom prst="rect">
          <a:avLst/>
        </a:prstGeom>
      </xdr:spPr>
    </xdr:pic>
    <xdr:clientData/>
  </xdr:twoCellAnchor>
  <xdr:twoCellAnchor editAs="oneCell">
    <xdr:from>
      <xdr:col>4</xdr:col>
      <xdr:colOff>202350</xdr:colOff>
      <xdr:row>11</xdr:row>
      <xdr:rowOff>76200</xdr:rowOff>
    </xdr:from>
    <xdr:to>
      <xdr:col>5</xdr:col>
      <xdr:colOff>368300</xdr:colOff>
      <xdr:row>15</xdr:row>
      <xdr:rowOff>146900</xdr:rowOff>
    </xdr:to>
    <xdr:pic>
      <xdr:nvPicPr>
        <xdr:cNvPr id="10" name="Gráfico 9" descr="Um círculo preenchido com linhas diagonais">
          <a:extLst>
            <a:ext uri="{FF2B5EF4-FFF2-40B4-BE49-F238E27FC236}">
              <a16:creationId xmlns:a16="http://schemas.microsoft.com/office/drawing/2014/main" id="{00000000-0008-0000-1400-00000A000000}"/>
            </a:ext>
            <a:ext uri="{147F2762-F138-4A5C-976F-8EAC2B608ADB}">
              <a16:predDERef xmlns:a16="http://schemas.microsoft.com/office/drawing/2014/main" pred="{4C64C5A6-B6AC-4888-8C37-4BA82E32A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40750" y="2171700"/>
          <a:ext cx="775550" cy="832700"/>
        </a:xfrm>
        <a:prstGeom prst="rect">
          <a:avLst/>
        </a:prstGeom>
      </xdr:spPr>
    </xdr:pic>
    <xdr:clientData/>
  </xdr:twoCellAnchor>
  <xdr:twoCellAnchor>
    <xdr:from>
      <xdr:col>5</xdr:col>
      <xdr:colOff>314325</xdr:colOff>
      <xdr:row>5</xdr:row>
      <xdr:rowOff>95250</xdr:rowOff>
    </xdr:from>
    <xdr:to>
      <xdr:col>9</xdr:col>
      <xdr:colOff>28575</xdr:colOff>
      <xdr:row>10</xdr:row>
      <xdr:rowOff>142875</xdr:rowOff>
    </xdr:to>
    <xdr:sp macro="" textlink="">
      <xdr:nvSpPr>
        <xdr:cNvPr id="45" name="Retângulo Arredondado 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400-00002D000000}"/>
            </a:ext>
            <a:ext uri="{147F2762-F138-4A5C-976F-8EAC2B608ADB}">
              <a16:predDERef xmlns:a16="http://schemas.microsoft.com/office/drawing/2014/main" pred="{00000000-0008-0000-0400-00000A000000}"/>
            </a:ext>
          </a:extLst>
        </xdr:cNvPr>
        <xdr:cNvSpPr/>
      </xdr:nvSpPr>
      <xdr:spPr>
        <a:xfrm>
          <a:off x="3362325" y="1000125"/>
          <a:ext cx="2152650" cy="952500"/>
        </a:xfrm>
        <a:prstGeom prst="round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 b="1" i="0" u="none" strike="noStrike">
              <a:solidFill>
                <a:schemeClr val="tx1"/>
              </a:solidFill>
              <a:latin typeface="Aptos Narrow" panose="020B0004020202020204" pitchFamily="34" charset="0"/>
            </a:rPr>
            <a:t>Dados e Produtos</a:t>
          </a:r>
        </a:p>
      </xdr:txBody>
    </xdr:sp>
    <xdr:clientData/>
  </xdr:twoCellAnchor>
  <xdr:twoCellAnchor>
    <xdr:from>
      <xdr:col>7</xdr:col>
      <xdr:colOff>257175</xdr:colOff>
      <xdr:row>11</xdr:row>
      <xdr:rowOff>95250</xdr:rowOff>
    </xdr:from>
    <xdr:to>
      <xdr:col>10</xdr:col>
      <xdr:colOff>581025</xdr:colOff>
      <xdr:row>16</xdr:row>
      <xdr:rowOff>142875</xdr:rowOff>
    </xdr:to>
    <xdr:sp macro="" textlink="">
      <xdr:nvSpPr>
        <xdr:cNvPr id="8" name="Retângulo Arredondado 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400-000008000000}"/>
            </a:ext>
            <a:ext uri="{147F2762-F138-4A5C-976F-8EAC2B608ADB}">
              <a16:predDERef xmlns:a16="http://schemas.microsoft.com/office/drawing/2014/main" pred="{BA2D447E-3E84-B0C3-B35A-6435BC85124B}"/>
            </a:ext>
          </a:extLst>
        </xdr:cNvPr>
        <xdr:cNvSpPr/>
      </xdr:nvSpPr>
      <xdr:spPr>
        <a:xfrm>
          <a:off x="4524375" y="2085975"/>
          <a:ext cx="2152650" cy="952500"/>
        </a:xfrm>
        <a:prstGeom prst="round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tx1"/>
              </a:solidFill>
              <a:latin typeface="Aptos Narrow" panose="020B0004020202020204" pitchFamily="34" charset="0"/>
            </a:rPr>
            <a:t>Frota</a:t>
          </a:r>
        </a:p>
      </xdr:txBody>
    </xdr:sp>
    <xdr:clientData/>
  </xdr:twoCellAnchor>
  <xdr:twoCellAnchor>
    <xdr:from>
      <xdr:col>9</xdr:col>
      <xdr:colOff>161925</xdr:colOff>
      <xdr:row>5</xdr:row>
      <xdr:rowOff>95250</xdr:rowOff>
    </xdr:from>
    <xdr:to>
      <xdr:col>12</xdr:col>
      <xdr:colOff>485775</xdr:colOff>
      <xdr:row>10</xdr:row>
      <xdr:rowOff>142875</xdr:rowOff>
    </xdr:to>
    <xdr:sp macro="" textlink="">
      <xdr:nvSpPr>
        <xdr:cNvPr id="14" name="Retângulo Arredondad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400-00000E000000}"/>
            </a:ext>
            <a:ext uri="{147F2762-F138-4A5C-976F-8EAC2B608ADB}">
              <a16:predDERef xmlns:a16="http://schemas.microsoft.com/office/drawing/2014/main" pred="{BDECB2BE-A120-449F-88F9-97907432B5D4}"/>
            </a:ext>
          </a:extLst>
        </xdr:cNvPr>
        <xdr:cNvSpPr/>
      </xdr:nvSpPr>
      <xdr:spPr>
        <a:xfrm>
          <a:off x="5648325" y="1000125"/>
          <a:ext cx="2152650" cy="952500"/>
        </a:xfrm>
        <a:prstGeom prst="round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tx1"/>
              </a:solidFill>
              <a:latin typeface="Aptos Narrow" panose="020B0004020202020204" pitchFamily="34" charset="0"/>
            </a:rPr>
            <a:t>Frete</a:t>
          </a:r>
        </a:p>
      </xdr:txBody>
    </xdr:sp>
    <xdr:clientData/>
  </xdr:twoCellAnchor>
  <xdr:twoCellAnchor editAs="oneCell">
    <xdr:from>
      <xdr:col>3</xdr:col>
      <xdr:colOff>546100</xdr:colOff>
      <xdr:row>2</xdr:row>
      <xdr:rowOff>57150</xdr:rowOff>
    </xdr:from>
    <xdr:to>
      <xdr:col>5</xdr:col>
      <xdr:colOff>584200</xdr:colOff>
      <xdr:row>9</xdr:row>
      <xdr:rowOff>88900</xdr:rowOff>
    </xdr:to>
    <xdr:pic>
      <xdr:nvPicPr>
        <xdr:cNvPr id="9" name="Gráfico 3" descr="Dois quadrados e uma linha em ziguezague">
          <a:extLst>
            <a:ext uri="{FF2B5EF4-FFF2-40B4-BE49-F238E27FC236}">
              <a16:creationId xmlns:a16="http://schemas.microsoft.com/office/drawing/2014/main" id="{00000000-0008-0000-1400-000009000000}"/>
            </a:ext>
            <a:ext uri="{147F2762-F138-4A5C-976F-8EAC2B608ADB}">
              <a16:predDERef xmlns:a16="http://schemas.microsoft.com/office/drawing/2014/main" pred="{288AF860-810E-4B90-82F0-9AA1A9438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2470150" y="425450"/>
          <a:ext cx="1320800" cy="132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171450</xdr:colOff>
      <xdr:row>3</xdr:row>
      <xdr:rowOff>146050</xdr:rowOff>
    </xdr:from>
    <xdr:to>
      <xdr:col>13</xdr:col>
      <xdr:colOff>469900</xdr:colOff>
      <xdr:row>8</xdr:row>
      <xdr:rowOff>165100</xdr:rowOff>
    </xdr:to>
    <xdr:pic>
      <xdr:nvPicPr>
        <xdr:cNvPr id="12" name="Gráfico 7" descr="Um círculo preenchido com pontos">
          <a:extLst>
            <a:ext uri="{FF2B5EF4-FFF2-40B4-BE49-F238E27FC236}">
              <a16:creationId xmlns:a16="http://schemas.microsoft.com/office/drawing/2014/main" id="{00000000-0008-0000-1400-00000C000000}"/>
            </a:ext>
            <a:ext uri="{147F2762-F138-4A5C-976F-8EAC2B608ADB}">
              <a16:predDERef xmlns:a16="http://schemas.microsoft.com/office/drawing/2014/main" pre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7867650" y="698500"/>
          <a:ext cx="939800" cy="9398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6349</xdr:colOff>
      <xdr:row>0</xdr:row>
      <xdr:rowOff>0</xdr:rowOff>
    </xdr:from>
    <xdr:to>
      <xdr:col>6</xdr:col>
      <xdr:colOff>520700</xdr:colOff>
      <xdr:row>4</xdr:row>
      <xdr:rowOff>96375</xdr:rowOff>
    </xdr:to>
    <xdr:pic>
      <xdr:nvPicPr>
        <xdr:cNvPr id="2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3854449" y="0"/>
          <a:ext cx="514351" cy="832975"/>
        </a:xfrm>
        <a:prstGeom prst="rect">
          <a:avLst/>
        </a:prstGeom>
      </xdr:spPr>
    </xdr:pic>
    <xdr:clientData/>
  </xdr:twoCellAnchor>
  <xdr:twoCellAnchor editAs="oneCell">
    <xdr:from>
      <xdr:col>10</xdr:col>
      <xdr:colOff>285750</xdr:colOff>
      <xdr:row>0</xdr:row>
      <xdr:rowOff>0</xdr:rowOff>
    </xdr:from>
    <xdr:to>
      <xdr:col>11</xdr:col>
      <xdr:colOff>457200</xdr:colOff>
      <xdr:row>4</xdr:row>
      <xdr:rowOff>76200</xdr:rowOff>
    </xdr:to>
    <xdr:pic>
      <xdr:nvPicPr>
        <xdr:cNvPr id="3" name="Gráfico 10" descr="Um quadrado feito de pontos">
          <a:extLst>
            <a:ext uri="{FF2B5EF4-FFF2-40B4-BE49-F238E27FC236}">
              <a16:creationId xmlns:a16="http://schemas.microsoft.com/office/drawing/2014/main" id="{00000000-0008-0000-1500-000003000000}"/>
            </a:ext>
            <a:ext uri="{147F2762-F138-4A5C-976F-8EAC2B608ADB}">
              <a16:predDERef xmlns:a16="http://schemas.microsoft.com/office/drawing/2014/main" pred="{67967D14-1C9B-4E9E-84C0-1160301B1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699250" y="0"/>
          <a:ext cx="812800" cy="812800"/>
        </a:xfrm>
        <a:prstGeom prst="rect">
          <a:avLst/>
        </a:prstGeom>
      </xdr:spPr>
    </xdr:pic>
    <xdr:clientData/>
  </xdr:twoCellAnchor>
  <xdr:twoCellAnchor>
    <xdr:from>
      <xdr:col>6</xdr:col>
      <xdr:colOff>584200</xdr:colOff>
      <xdr:row>1</xdr:row>
      <xdr:rowOff>25400</xdr:rowOff>
    </xdr:from>
    <xdr:to>
      <xdr:col>11</xdr:col>
      <xdr:colOff>228600</xdr:colOff>
      <xdr:row>4</xdr:row>
      <xdr:rowOff>25400</xdr:rowOff>
    </xdr:to>
    <xdr:sp macro="" textlink="">
      <xdr:nvSpPr>
        <xdr:cNvPr id="18" name="Retângulo: Cantos Diagonais Arredondados 11">
          <a:extLst>
            <a:ext uri="{FF2B5EF4-FFF2-40B4-BE49-F238E27FC236}">
              <a16:creationId xmlns:a16="http://schemas.microsoft.com/office/drawing/2014/main" id="{00000000-0008-0000-1500-000012000000}"/>
            </a:ext>
            <a:ext uri="{147F2762-F138-4A5C-976F-8EAC2B608ADB}">
              <a16:predDERef xmlns:a16="http://schemas.microsoft.com/office/drawing/2014/main" pred="{00000000-0008-0000-0500-000003000000}"/>
            </a:ext>
          </a:extLst>
        </xdr:cNvPr>
        <xdr:cNvSpPr/>
      </xdr:nvSpPr>
      <xdr:spPr>
        <a:xfrm>
          <a:off x="4432300" y="209550"/>
          <a:ext cx="2851150" cy="552450"/>
        </a:xfrm>
        <a:prstGeom prst="round2Diag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100" b="0" i="0" u="none" strike="noStrike">
              <a:solidFill>
                <a:schemeClr val="tx1"/>
              </a:solidFill>
              <a:latin typeface="Leky Calgria"/>
            </a:rPr>
            <a:t>Tabelas de Informações</a:t>
          </a:r>
        </a:p>
        <a:p>
          <a:pPr marL="0" indent="0" algn="ctr"/>
          <a:endParaRPr lang="en-US" sz="1100" b="0" i="0" u="none" strike="noStrike">
            <a:solidFill>
              <a:schemeClr val="tx1"/>
            </a:solidFill>
            <a:latin typeface="Leky Calgria"/>
          </a:endParaRPr>
        </a:p>
      </xdr:txBody>
    </xdr:sp>
    <xdr:clientData/>
  </xdr:twoCellAnchor>
  <xdr:twoCellAnchor editAs="oneCell">
    <xdr:from>
      <xdr:col>4</xdr:col>
      <xdr:colOff>202350</xdr:colOff>
      <xdr:row>11</xdr:row>
      <xdr:rowOff>76200</xdr:rowOff>
    </xdr:from>
    <xdr:to>
      <xdr:col>5</xdr:col>
      <xdr:colOff>368300</xdr:colOff>
      <xdr:row>15</xdr:row>
      <xdr:rowOff>146900</xdr:rowOff>
    </xdr:to>
    <xdr:pic>
      <xdr:nvPicPr>
        <xdr:cNvPr id="10" name="Gráfico 9" descr="Um círculo preenchido com linhas diagonais">
          <a:extLst>
            <a:ext uri="{FF2B5EF4-FFF2-40B4-BE49-F238E27FC236}">
              <a16:creationId xmlns:a16="http://schemas.microsoft.com/office/drawing/2014/main" id="{00000000-0008-0000-1500-00000A000000}"/>
            </a:ext>
            <a:ext uri="{147F2762-F138-4A5C-976F-8EAC2B608ADB}">
              <a16:predDERef xmlns:a16="http://schemas.microsoft.com/office/drawing/2014/main" pred="{5BB3769C-03EB-4CA7-BDCD-289D89209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40750" y="2171700"/>
          <a:ext cx="775550" cy="832700"/>
        </a:xfrm>
        <a:prstGeom prst="rect">
          <a:avLst/>
        </a:prstGeom>
      </xdr:spPr>
    </xdr:pic>
    <xdr:clientData/>
  </xdr:twoCellAnchor>
  <xdr:twoCellAnchor editAs="oneCell">
    <xdr:from>
      <xdr:col>11</xdr:col>
      <xdr:colOff>400050</xdr:colOff>
      <xdr:row>12</xdr:row>
      <xdr:rowOff>96800</xdr:rowOff>
    </xdr:from>
    <xdr:to>
      <xdr:col>13</xdr:col>
      <xdr:colOff>304800</xdr:colOff>
      <xdr:row>18</xdr:row>
      <xdr:rowOff>169825</xdr:rowOff>
    </xdr:to>
    <xdr:pic>
      <xdr:nvPicPr>
        <xdr:cNvPr id="14" name="Gráfico 8" descr="Dois círculos, um sólido e um preenchido com pontos">
          <a:extLst>
            <a:ext uri="{FF2B5EF4-FFF2-40B4-BE49-F238E27FC236}">
              <a16:creationId xmlns:a16="http://schemas.microsoft.com/office/drawing/2014/main" id="{00000000-0008-0000-1500-00000E000000}"/>
            </a:ext>
            <a:ext uri="{147F2762-F138-4A5C-976F-8EAC2B608ADB}">
              <a16:predDERef xmlns:a16="http://schemas.microsoft.com/office/drawing/2014/main" pred="{E857B73D-568A-4B0C-8121-C08A7A69D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105650" y="2382800"/>
          <a:ext cx="1123950" cy="1225550"/>
        </a:xfrm>
        <a:prstGeom prst="rect">
          <a:avLst/>
        </a:prstGeom>
      </xdr:spPr>
    </xdr:pic>
    <xdr:clientData/>
  </xdr:twoCellAnchor>
  <xdr:twoCellAnchor>
    <xdr:from>
      <xdr:col>5</xdr:col>
      <xdr:colOff>190500</xdr:colOff>
      <xdr:row>5</xdr:row>
      <xdr:rowOff>19050</xdr:rowOff>
    </xdr:from>
    <xdr:to>
      <xdr:col>8</xdr:col>
      <xdr:colOff>514350</xdr:colOff>
      <xdr:row>10</xdr:row>
      <xdr:rowOff>66675</xdr:rowOff>
    </xdr:to>
    <xdr:sp macro="" textlink="">
      <xdr:nvSpPr>
        <xdr:cNvPr id="4" name="Retângulo Arredondado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500-000004000000}"/>
            </a:ext>
            <a:ext uri="{147F2762-F138-4A5C-976F-8EAC2B608ADB}">
              <a16:predDERef xmlns:a16="http://schemas.microsoft.com/office/drawing/2014/main" pred="{00000000-0008-0000-0500-00000E000000}"/>
            </a:ext>
          </a:extLst>
        </xdr:cNvPr>
        <xdr:cNvSpPr/>
      </xdr:nvSpPr>
      <xdr:spPr>
        <a:xfrm>
          <a:off x="3238500" y="923925"/>
          <a:ext cx="2152650" cy="952500"/>
        </a:xfrm>
        <a:prstGeom prst="round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tx1"/>
              </a:solidFill>
              <a:latin typeface="Aptos Narrow" panose="020B0004020202020204" pitchFamily="34" charset="0"/>
            </a:rPr>
            <a:t>Dados e Produtos</a:t>
          </a:r>
        </a:p>
      </xdr:txBody>
    </xdr:sp>
    <xdr:clientData/>
  </xdr:twoCellAnchor>
  <xdr:twoCellAnchor>
    <xdr:from>
      <xdr:col>9</xdr:col>
      <xdr:colOff>38100</xdr:colOff>
      <xdr:row>5</xdr:row>
      <xdr:rowOff>19050</xdr:rowOff>
    </xdr:from>
    <xdr:to>
      <xdr:col>12</xdr:col>
      <xdr:colOff>361950</xdr:colOff>
      <xdr:row>10</xdr:row>
      <xdr:rowOff>66675</xdr:rowOff>
    </xdr:to>
    <xdr:sp macro="" textlink="">
      <xdr:nvSpPr>
        <xdr:cNvPr id="8" name="Retângulo Arredondado 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500-000008000000}"/>
            </a:ext>
            <a:ext uri="{147F2762-F138-4A5C-976F-8EAC2B608ADB}">
              <a16:predDERef xmlns:a16="http://schemas.microsoft.com/office/drawing/2014/main" pred="{35942775-FEA2-48A2-B34B-45F204866E90}"/>
            </a:ext>
          </a:extLst>
        </xdr:cNvPr>
        <xdr:cNvSpPr/>
      </xdr:nvSpPr>
      <xdr:spPr>
        <a:xfrm>
          <a:off x="5524500" y="923925"/>
          <a:ext cx="2152650" cy="952500"/>
        </a:xfrm>
        <a:prstGeom prst="round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tx1"/>
              </a:solidFill>
              <a:latin typeface="Aptos Narrow" panose="020B0004020202020204" pitchFamily="34" charset="0"/>
            </a:rPr>
            <a:t>Frete</a:t>
          </a:r>
        </a:p>
      </xdr:txBody>
    </xdr:sp>
    <xdr:clientData/>
  </xdr:twoCellAnchor>
  <xdr:twoCellAnchor>
    <xdr:from>
      <xdr:col>7</xdr:col>
      <xdr:colOff>152400</xdr:colOff>
      <xdr:row>11</xdr:row>
      <xdr:rowOff>9525</xdr:rowOff>
    </xdr:from>
    <xdr:to>
      <xdr:col>10</xdr:col>
      <xdr:colOff>476250</xdr:colOff>
      <xdr:row>16</xdr:row>
      <xdr:rowOff>57150</xdr:rowOff>
    </xdr:to>
    <xdr:sp macro="" textlink="">
      <xdr:nvSpPr>
        <xdr:cNvPr id="12" name="Retângulo Arredondad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500-00000C000000}"/>
            </a:ext>
            <a:ext uri="{147F2762-F138-4A5C-976F-8EAC2B608ADB}">
              <a16:predDERef xmlns:a16="http://schemas.microsoft.com/office/drawing/2014/main" pred="{FEB12BA8-2DAB-4E86-B905-359F7038B16F}"/>
            </a:ext>
          </a:extLst>
        </xdr:cNvPr>
        <xdr:cNvSpPr/>
      </xdr:nvSpPr>
      <xdr:spPr>
        <a:xfrm>
          <a:off x="4419600" y="2000250"/>
          <a:ext cx="2152650" cy="952500"/>
        </a:xfrm>
        <a:prstGeom prst="round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tx1"/>
              </a:solidFill>
              <a:latin typeface="Aptos Narrow" panose="020B0004020202020204" pitchFamily="34" charset="0"/>
            </a:rPr>
            <a:t>Frota</a:t>
          </a:r>
        </a:p>
      </xdr:txBody>
    </xdr:sp>
    <xdr:clientData/>
  </xdr:twoCellAnchor>
  <xdr:twoCellAnchor editAs="oneCell">
    <xdr:from>
      <xdr:col>4</xdr:col>
      <xdr:colOff>6350</xdr:colOff>
      <xdr:row>1</xdr:row>
      <xdr:rowOff>165100</xdr:rowOff>
    </xdr:from>
    <xdr:to>
      <xdr:col>6</xdr:col>
      <xdr:colOff>44450</xdr:colOff>
      <xdr:row>9</xdr:row>
      <xdr:rowOff>12700</xdr:rowOff>
    </xdr:to>
    <xdr:pic>
      <xdr:nvPicPr>
        <xdr:cNvPr id="9" name="Gráfico 3" descr="Dois quadrados e uma linha em ziguezague">
          <a:extLst>
            <a:ext uri="{FF2B5EF4-FFF2-40B4-BE49-F238E27FC236}">
              <a16:creationId xmlns:a16="http://schemas.microsoft.com/office/drawing/2014/main" id="{00000000-0008-0000-1500-000009000000}"/>
            </a:ext>
            <a:ext uri="{147F2762-F138-4A5C-976F-8EAC2B608ADB}">
              <a16:predDERef xmlns:a16="http://schemas.microsoft.com/office/drawing/2014/main" pred="{9F6E9D2C-7F53-4CBD-A3E3-14849581B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2571750" y="349250"/>
          <a:ext cx="1320800" cy="132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590550</xdr:colOff>
      <xdr:row>2</xdr:row>
      <xdr:rowOff>0</xdr:rowOff>
    </xdr:from>
    <xdr:to>
      <xdr:col>13</xdr:col>
      <xdr:colOff>247650</xdr:colOff>
      <xdr:row>7</xdr:row>
      <xdr:rowOff>19050</xdr:rowOff>
    </xdr:to>
    <xdr:pic>
      <xdr:nvPicPr>
        <xdr:cNvPr id="11" name="Gráfico 7" descr="Um círculo preenchido com pontos">
          <a:extLst>
            <a:ext uri="{FF2B5EF4-FFF2-40B4-BE49-F238E27FC236}">
              <a16:creationId xmlns:a16="http://schemas.microsoft.com/office/drawing/2014/main" id="{00000000-0008-0000-1500-00000B000000}"/>
            </a:ext>
            <a:ext uri="{147F2762-F138-4A5C-976F-8EAC2B608ADB}">
              <a16:predDERef xmlns:a16="http://schemas.microsoft.com/office/drawing/2014/main" pre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7645400" y="368300"/>
          <a:ext cx="939800" cy="93980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5</xdr:row>
      <xdr:rowOff>460375</xdr:rowOff>
    </xdr:from>
    <xdr:to>
      <xdr:col>1</xdr:col>
      <xdr:colOff>88900</xdr:colOff>
      <xdr:row>8</xdr:row>
      <xdr:rowOff>47625</xdr:rowOff>
    </xdr:to>
    <xdr:pic>
      <xdr:nvPicPr>
        <xdr:cNvPr id="11" name="Imagem 2" descr="Smart Logistic Icons - Free SVG &amp; PNG Smart Logistic Images - Noun Project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B000000}"/>
            </a:ext>
            <a:ext uri="{147F2762-F138-4A5C-976F-8EAC2B608ADB}">
              <a16:predDERef xmlns:a16="http://schemas.microsoft.com/office/drawing/2014/main" pred="{51108F4F-D6B3-45B8-90EE-BE43356E09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" y="1400175"/>
          <a:ext cx="679450" cy="682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114300</xdr:colOff>
      <xdr:row>4</xdr:row>
      <xdr:rowOff>127000</xdr:rowOff>
    </xdr:from>
    <xdr:to>
      <xdr:col>1</xdr:col>
      <xdr:colOff>31750</xdr:colOff>
      <xdr:row>6</xdr:row>
      <xdr:rowOff>53975</xdr:rowOff>
    </xdr:to>
    <xdr:pic>
      <xdr:nvPicPr>
        <xdr:cNvPr id="10" name="Gráfico 6" descr="Início com preenchimento sóli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14300" y="882650"/>
          <a:ext cx="558800" cy="558800"/>
        </a:xfrm>
        <a:prstGeom prst="rect">
          <a:avLst/>
        </a:prstGeom>
      </xdr:spPr>
    </xdr:pic>
    <xdr:clientData/>
  </xdr:twoCellAnchor>
  <xdr:twoCellAnchor editAs="oneCell">
    <xdr:from>
      <xdr:col>0</xdr:col>
      <xdr:colOff>184150</xdr:colOff>
      <xdr:row>0</xdr:row>
      <xdr:rowOff>25400</xdr:rowOff>
    </xdr:from>
    <xdr:to>
      <xdr:col>1</xdr:col>
      <xdr:colOff>28575</xdr:colOff>
      <xdr:row>4</xdr:row>
      <xdr:rowOff>117475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184150" y="25400"/>
          <a:ext cx="485775" cy="847725"/>
        </a:xfrm>
        <a:prstGeom prst="rect">
          <a:avLst/>
        </a:prstGeom>
      </xdr:spPr>
    </xdr:pic>
    <xdr:clientData/>
  </xdr:twoCellAnchor>
  <xdr:twoCellAnchor>
    <xdr:from>
      <xdr:col>10</xdr:col>
      <xdr:colOff>219075</xdr:colOff>
      <xdr:row>23</xdr:row>
      <xdr:rowOff>371475</xdr:rowOff>
    </xdr:from>
    <xdr:to>
      <xdr:col>12</xdr:col>
      <xdr:colOff>142875</xdr:colOff>
      <xdr:row>24</xdr:row>
      <xdr:rowOff>447675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1600-000002000000}"/>
            </a:ext>
            <a:ext uri="{147F2762-F138-4A5C-976F-8EAC2B608ADB}">
              <a16:predDERef xmlns:a16="http://schemas.microsoft.com/office/drawing/2014/main" pred="{B27AA660-F1A1-40E7-8141-CF9398D4A9C1}"/>
            </a:ext>
          </a:extLst>
        </xdr:cNvPr>
        <xdr:cNvSpPr/>
      </xdr:nvSpPr>
      <xdr:spPr>
        <a:xfrm>
          <a:off x="10877550" y="7391400"/>
          <a:ext cx="1409700" cy="514350"/>
        </a:xfrm>
        <a:prstGeom prst="roundRect">
          <a:avLst/>
        </a:prstGeom>
        <a:solidFill>
          <a:srgbClr val="FFBDC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600" b="0" i="0" u="none" strike="noStrike">
              <a:solidFill>
                <a:schemeClr val="tx1"/>
              </a:solidFill>
              <a:latin typeface="Aptos Narrow" panose="020B0004020202020204" pitchFamily="34" charset="0"/>
            </a:rPr>
            <a:t>Salvar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120650</xdr:colOff>
      <xdr:row>0</xdr:row>
      <xdr:rowOff>44450</xdr:rowOff>
    </xdr:from>
    <xdr:to>
      <xdr:col>0</xdr:col>
      <xdr:colOff>606425</xdr:colOff>
      <xdr:row>4</xdr:row>
      <xdr:rowOff>130175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120650" y="44450"/>
          <a:ext cx="485775" cy="8477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127000</xdr:rowOff>
    </xdr:from>
    <xdr:to>
      <xdr:col>1</xdr:col>
      <xdr:colOff>95250</xdr:colOff>
      <xdr:row>11</xdr:row>
      <xdr:rowOff>85725</xdr:rowOff>
    </xdr:to>
    <xdr:pic>
      <xdr:nvPicPr>
        <xdr:cNvPr id="4" name="Imagem 3" descr="Smart Logistic Icons - Free SVG &amp; PNG Smart Logistic Images - Noun Project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4000000}"/>
            </a:ext>
            <a:ext uri="{147F2762-F138-4A5C-976F-8EAC2B608ADB}">
              <a16:predDERef xmlns:a16="http://schemas.microsoft.com/office/drawing/2014/main" pred="{C45286F7-948A-47B1-9309-0C4A28EA0C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41450"/>
          <a:ext cx="736600" cy="695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82550</xdr:colOff>
      <xdr:row>4</xdr:row>
      <xdr:rowOff>158750</xdr:rowOff>
    </xdr:from>
    <xdr:to>
      <xdr:col>1</xdr:col>
      <xdr:colOff>1301</xdr:colOff>
      <xdr:row>7</xdr:row>
      <xdr:rowOff>164564</xdr:rowOff>
    </xdr:to>
    <xdr:pic>
      <xdr:nvPicPr>
        <xdr:cNvPr id="6" name="Gráfico 6" descr="Início com preenchiment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2550" y="920750"/>
          <a:ext cx="560101" cy="55826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107950</xdr:colOff>
      <xdr:row>0</xdr:row>
      <xdr:rowOff>57150</xdr:rowOff>
    </xdr:from>
    <xdr:to>
      <xdr:col>0</xdr:col>
      <xdr:colOff>593725</xdr:colOff>
      <xdr:row>3</xdr:row>
      <xdr:rowOff>85725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107950" y="57150"/>
          <a:ext cx="485775" cy="8350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142875</xdr:rowOff>
    </xdr:from>
    <xdr:to>
      <xdr:col>1</xdr:col>
      <xdr:colOff>38100</xdr:colOff>
      <xdr:row>8</xdr:row>
      <xdr:rowOff>12700</xdr:rowOff>
    </xdr:to>
    <xdr:pic>
      <xdr:nvPicPr>
        <xdr:cNvPr id="3" name="Imagem 2" descr="Smart Logistic Icons - Free SVG &amp; PNG Smart Logistic Images - Noun Project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  <a:ext uri="{147F2762-F138-4A5C-976F-8EAC2B608ADB}">
              <a16:predDERef xmlns:a16="http://schemas.microsoft.com/office/drawing/2014/main" pred="{326D2F70-60FC-4060-B4D4-ED606A4722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7625"/>
          <a:ext cx="679450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57150</xdr:colOff>
      <xdr:row>3</xdr:row>
      <xdr:rowOff>82550</xdr:rowOff>
    </xdr:from>
    <xdr:to>
      <xdr:col>0</xdr:col>
      <xdr:colOff>607726</xdr:colOff>
      <xdr:row>6</xdr:row>
      <xdr:rowOff>88364</xdr:rowOff>
    </xdr:to>
    <xdr:pic>
      <xdr:nvPicPr>
        <xdr:cNvPr id="4" name="Gráfico 6" descr="Início com preenchiment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150" y="889000"/>
          <a:ext cx="560101" cy="558264"/>
        </a:xfrm>
        <a:prstGeom prst="rect">
          <a:avLst/>
        </a:prstGeom>
      </xdr:spPr>
    </xdr:pic>
    <xdr:clientData/>
  </xdr:twoCellAnchor>
  <xdr:twoCellAnchor>
    <xdr:from>
      <xdr:col>11</xdr:col>
      <xdr:colOff>285750</xdr:colOff>
      <xdr:row>20</xdr:row>
      <xdr:rowOff>38100</xdr:rowOff>
    </xdr:from>
    <xdr:to>
      <xdr:col>13</xdr:col>
      <xdr:colOff>476250</xdr:colOff>
      <xdr:row>23</xdr:row>
      <xdr:rowOff>38100</xdr:rowOff>
    </xdr:to>
    <xdr:sp macro="[0]!logfrete" textlink="">
      <xdr:nvSpPr>
        <xdr:cNvPr id="5" name="Retângulo Arredondado 4">
          <a:extLst>
            <a:ext uri="{FF2B5EF4-FFF2-40B4-BE49-F238E27FC236}">
              <a16:creationId xmlns:a16="http://schemas.microsoft.com/office/drawing/2014/main" id="{00000000-0008-0000-1800-000005000000}"/>
            </a:ext>
            <a:ext uri="{147F2762-F138-4A5C-976F-8EAC2B608ADB}">
              <a16:predDERef xmlns:a16="http://schemas.microsoft.com/office/drawing/2014/main" pred="{00000000-0008-0000-0800-000004000000}"/>
            </a:ext>
          </a:extLst>
        </xdr:cNvPr>
        <xdr:cNvSpPr/>
      </xdr:nvSpPr>
      <xdr:spPr>
        <a:xfrm>
          <a:off x="9086850" y="4838700"/>
          <a:ext cx="1409700" cy="552450"/>
        </a:xfrm>
        <a:prstGeom prst="roundRect">
          <a:avLst/>
        </a:prstGeom>
        <a:solidFill>
          <a:srgbClr val="FFBDC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0" i="0" u="none" strike="noStrike">
              <a:solidFill>
                <a:schemeClr val="tx1"/>
              </a:solidFill>
              <a:latin typeface="Aptos Narrow" panose="020B0004020202020204" pitchFamily="34" charset="0"/>
            </a:rPr>
            <a:t>Salvar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</xdr:colOff>
      <xdr:row>1</xdr:row>
      <xdr:rowOff>76200</xdr:rowOff>
    </xdr:from>
    <xdr:to>
      <xdr:col>4</xdr:col>
      <xdr:colOff>504825</xdr:colOff>
      <xdr:row>5</xdr:row>
      <xdr:rowOff>161925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2584450" y="260350"/>
          <a:ext cx="485775" cy="822325"/>
        </a:xfrm>
        <a:prstGeom prst="rect">
          <a:avLst/>
        </a:prstGeom>
      </xdr:spPr>
    </xdr:pic>
    <xdr:clientData/>
  </xdr:twoCellAnchor>
  <xdr:twoCellAnchor editAs="oneCell">
    <xdr:from>
      <xdr:col>4</xdr:col>
      <xdr:colOff>1143000</xdr:colOff>
      <xdr:row>2</xdr:row>
      <xdr:rowOff>133350</xdr:rowOff>
    </xdr:from>
    <xdr:to>
      <xdr:col>4</xdr:col>
      <xdr:colOff>1822450</xdr:colOff>
      <xdr:row>6</xdr:row>
      <xdr:rowOff>73025</xdr:rowOff>
    </xdr:to>
    <xdr:pic>
      <xdr:nvPicPr>
        <xdr:cNvPr id="3" name="Imagem 2" descr="Smart Logistic Icons - Free SVG &amp; PNG Smart Logistic Images - Noun Project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900-000003000000}"/>
            </a:ext>
            <a:ext uri="{147F2762-F138-4A5C-976F-8EAC2B608ADB}">
              <a16:predDERef xmlns:a16="http://schemas.microsoft.com/office/drawing/2014/main" pred="{AAFA8299-A8D3-4246-934E-A40CABCF6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8400" y="501650"/>
          <a:ext cx="679450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590550</xdr:colOff>
      <xdr:row>2</xdr:row>
      <xdr:rowOff>158750</xdr:rowOff>
    </xdr:from>
    <xdr:to>
      <xdr:col>4</xdr:col>
      <xdr:colOff>1141126</xdr:colOff>
      <xdr:row>5</xdr:row>
      <xdr:rowOff>164564</xdr:rowOff>
    </xdr:to>
    <xdr:pic>
      <xdr:nvPicPr>
        <xdr:cNvPr id="4" name="Gráfico 6" descr="Início com preenchiment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55950" y="527050"/>
          <a:ext cx="550576" cy="55826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107950</xdr:colOff>
      <xdr:row>0</xdr:row>
      <xdr:rowOff>44450</xdr:rowOff>
    </xdr:from>
    <xdr:to>
      <xdr:col>0</xdr:col>
      <xdr:colOff>593725</xdr:colOff>
      <xdr:row>3</xdr:row>
      <xdr:rowOff>73025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107950" y="44450"/>
          <a:ext cx="485775" cy="8350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1</xdr:col>
      <xdr:colOff>38100</xdr:colOff>
      <xdr:row>7</xdr:row>
      <xdr:rowOff>415925</xdr:rowOff>
    </xdr:to>
    <xdr:pic>
      <xdr:nvPicPr>
        <xdr:cNvPr id="3" name="Imagem 2" descr="Smart Logistic Icons - Free SVG &amp; PNG Smart Logistic Images - Noun Project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A00-000003000000}"/>
            </a:ext>
            <a:ext uri="{147F2762-F138-4A5C-976F-8EAC2B608ADB}">
              <a16:predDERef xmlns:a16="http://schemas.microsoft.com/office/drawing/2014/main" pred="{59AEDF30-8AD2-4E65-AF20-5CAD502DD2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58900"/>
          <a:ext cx="679450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57150</xdr:colOff>
      <xdr:row>3</xdr:row>
      <xdr:rowOff>50800</xdr:rowOff>
    </xdr:from>
    <xdr:to>
      <xdr:col>0</xdr:col>
      <xdr:colOff>607726</xdr:colOff>
      <xdr:row>6</xdr:row>
      <xdr:rowOff>56614</xdr:rowOff>
    </xdr:to>
    <xdr:pic>
      <xdr:nvPicPr>
        <xdr:cNvPr id="4" name="Gráfico 6" descr="Início com preenchiment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150" y="857250"/>
          <a:ext cx="560101" cy="558264"/>
        </a:xfrm>
        <a:prstGeom prst="rect">
          <a:avLst/>
        </a:prstGeom>
      </xdr:spPr>
    </xdr:pic>
    <xdr:clientData/>
  </xdr:twoCellAnchor>
  <xdr:twoCellAnchor>
    <xdr:from>
      <xdr:col>11</xdr:col>
      <xdr:colOff>257175</xdr:colOff>
      <xdr:row>33</xdr:row>
      <xdr:rowOff>342900</xdr:rowOff>
    </xdr:from>
    <xdr:to>
      <xdr:col>13</xdr:col>
      <xdr:colOff>447675</xdr:colOff>
      <xdr:row>36</xdr:row>
      <xdr:rowOff>19050</xdr:rowOff>
    </xdr:to>
    <xdr:sp macro="" textlink="">
      <xdr:nvSpPr>
        <xdr:cNvPr id="5" name="Retângulo Arredondado 4">
          <a:extLst>
            <a:ext uri="{FF2B5EF4-FFF2-40B4-BE49-F238E27FC236}">
              <a16:creationId xmlns:a16="http://schemas.microsoft.com/office/drawing/2014/main" id="{00000000-0008-0000-1A00-000005000000}"/>
            </a:ext>
            <a:ext uri="{147F2762-F138-4A5C-976F-8EAC2B608ADB}">
              <a16:predDERef xmlns:a16="http://schemas.microsoft.com/office/drawing/2014/main" pred="{99156624-7E7C-4B52-826D-753AD091063D}"/>
            </a:ext>
          </a:extLst>
        </xdr:cNvPr>
        <xdr:cNvSpPr/>
      </xdr:nvSpPr>
      <xdr:spPr>
        <a:xfrm>
          <a:off x="9058275" y="8239125"/>
          <a:ext cx="1409700" cy="552450"/>
        </a:xfrm>
        <a:prstGeom prst="roundRect">
          <a:avLst/>
        </a:prstGeom>
        <a:solidFill>
          <a:srgbClr val="FFBDC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0" i="0" u="none" strike="noStrike">
              <a:solidFill>
                <a:schemeClr val="tx1"/>
              </a:solidFill>
              <a:latin typeface="Aptos Narrow" panose="020B0004020202020204" pitchFamily="34" charset="0"/>
            </a:rPr>
            <a:t>Salvar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101600</xdr:colOff>
      <xdr:row>0</xdr:row>
      <xdr:rowOff>19050</xdr:rowOff>
    </xdr:from>
    <xdr:to>
      <xdr:col>0</xdr:col>
      <xdr:colOff>587375</xdr:colOff>
      <xdr:row>4</xdr:row>
      <xdr:rowOff>123825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101600" y="19050"/>
          <a:ext cx="485775" cy="8477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25400</xdr:rowOff>
    </xdr:from>
    <xdr:to>
      <xdr:col>1</xdr:col>
      <xdr:colOff>38100</xdr:colOff>
      <xdr:row>10</xdr:row>
      <xdr:rowOff>142875</xdr:rowOff>
    </xdr:to>
    <xdr:pic>
      <xdr:nvPicPr>
        <xdr:cNvPr id="3" name="Imagem 2" descr="Smart Logistic Icons - Free SVG &amp; PNG Smart Logistic Images - Noun Project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B00-000003000000}"/>
            </a:ext>
            <a:ext uri="{147F2762-F138-4A5C-976F-8EAC2B608ADB}">
              <a16:predDERef xmlns:a16="http://schemas.microsoft.com/office/drawing/2014/main" pred="{CEDAA4FA-7247-49EC-9467-A3C67832D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9850"/>
          <a:ext cx="679450" cy="669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57150</xdr:colOff>
      <xdr:row>4</xdr:row>
      <xdr:rowOff>114300</xdr:rowOff>
    </xdr:from>
    <xdr:to>
      <xdr:col>0</xdr:col>
      <xdr:colOff>607726</xdr:colOff>
      <xdr:row>7</xdr:row>
      <xdr:rowOff>120114</xdr:rowOff>
    </xdr:to>
    <xdr:pic>
      <xdr:nvPicPr>
        <xdr:cNvPr id="4" name="Gráfico 6" descr="Início com preenchiment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150" y="876300"/>
          <a:ext cx="560101" cy="558264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483306</xdr:colOff>
      <xdr:row>12</xdr:row>
      <xdr:rowOff>98425</xdr:rowOff>
    </xdr:from>
    <xdr:to>
      <xdr:col>9</xdr:col>
      <xdr:colOff>38100</xdr:colOff>
      <xdr:row>19</xdr:row>
      <xdr:rowOff>187324</xdr:rowOff>
    </xdr:to>
    <xdr:sp macro="" textlink="">
      <xdr:nvSpPr>
        <xdr:cNvPr id="20" name="Retângulo: Cantos Arredondados 4">
          <a:extLst>
            <a:ext uri="{FF2B5EF4-FFF2-40B4-BE49-F238E27FC236}">
              <a16:creationId xmlns:a16="http://schemas.microsoft.com/office/drawing/2014/main" id="{00000000-0008-0000-1C00-000014000000}"/>
            </a:ext>
            <a:ext uri="{147F2762-F138-4A5C-976F-8EAC2B608ADB}">
              <a16:predDERef xmlns:a16="http://schemas.microsoft.com/office/drawing/2014/main" pred="{00000000-0008-0000-1700-000004000000}"/>
            </a:ext>
          </a:extLst>
        </xdr:cNvPr>
        <xdr:cNvSpPr/>
      </xdr:nvSpPr>
      <xdr:spPr>
        <a:xfrm>
          <a:off x="2312106" y="2384425"/>
          <a:ext cx="3212394" cy="1422399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en-US" sz="2800" b="0" i="0" u="none" strike="noStrike">
              <a:solidFill>
                <a:schemeClr val="tx1"/>
              </a:solidFill>
              <a:latin typeface="Aptos Narrow" panose="020B0004020202020204" pitchFamily="34" charset="0"/>
            </a:rPr>
            <a:t>Compras</a:t>
          </a:r>
        </a:p>
      </xdr:txBody>
    </xdr:sp>
    <xdr:clientData/>
  </xdr:twoCellAnchor>
  <xdr:twoCellAnchor>
    <xdr:from>
      <xdr:col>9</xdr:col>
      <xdr:colOff>104775</xdr:colOff>
      <xdr:row>12</xdr:row>
      <xdr:rowOff>85725</xdr:rowOff>
    </xdr:from>
    <xdr:to>
      <xdr:col>14</xdr:col>
      <xdr:colOff>285750</xdr:colOff>
      <xdr:row>20</xdr:row>
      <xdr:rowOff>38100</xdr:rowOff>
    </xdr:to>
    <xdr:sp macro="" textlink="">
      <xdr:nvSpPr>
        <xdr:cNvPr id="21" name="Retângulo: Cantos Arredondados 6">
          <a:extLst>
            <a:ext uri="{FF2B5EF4-FFF2-40B4-BE49-F238E27FC236}">
              <a16:creationId xmlns:a16="http://schemas.microsoft.com/office/drawing/2014/main" id="{00000000-0008-0000-1C00-000015000000}"/>
            </a:ext>
            <a:ext uri="{147F2762-F138-4A5C-976F-8EAC2B608ADB}">
              <a16:predDERef xmlns:a16="http://schemas.microsoft.com/office/drawing/2014/main" pred="{00000000-0008-0000-1700-000006000000}"/>
            </a:ext>
          </a:extLst>
        </xdr:cNvPr>
        <xdr:cNvSpPr/>
      </xdr:nvSpPr>
      <xdr:spPr>
        <a:xfrm>
          <a:off x="5591175" y="2371725"/>
          <a:ext cx="3228975" cy="1476375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en-US" sz="2800" b="0" i="0" u="none" strike="noStrike">
              <a:solidFill>
                <a:schemeClr val="tx1"/>
              </a:solidFill>
              <a:latin typeface="Aptos Narrow" panose="020B0004020202020204" pitchFamily="34" charset="0"/>
            </a:rPr>
            <a:t>Dashboard</a:t>
          </a:r>
        </a:p>
      </xdr:txBody>
    </xdr:sp>
    <xdr:clientData/>
  </xdr:twoCellAnchor>
  <xdr:twoCellAnchor>
    <xdr:from>
      <xdr:col>3</xdr:col>
      <xdr:colOff>496006</xdr:colOff>
      <xdr:row>4</xdr:row>
      <xdr:rowOff>139700</xdr:rowOff>
    </xdr:from>
    <xdr:to>
      <xdr:col>9</xdr:col>
      <xdr:colOff>60325</xdr:colOff>
      <xdr:row>12</xdr:row>
      <xdr:rowOff>38099</xdr:rowOff>
    </xdr:to>
    <xdr:sp macro="" textlink="">
      <xdr:nvSpPr>
        <xdr:cNvPr id="14" name="Retângulo: Cantos Arredondados 1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SpPr/>
      </xdr:nvSpPr>
      <xdr:spPr>
        <a:xfrm>
          <a:off x="2324806" y="901700"/>
          <a:ext cx="3221919" cy="1422399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en-US" sz="2800" b="0" i="0" u="none" strike="noStrike">
              <a:solidFill>
                <a:schemeClr val="tx1"/>
              </a:solidFill>
              <a:latin typeface="Aptos Narrow" panose="020B0004020202020204" pitchFamily="34" charset="0"/>
            </a:rPr>
            <a:t>Fornecedores</a:t>
          </a:r>
        </a:p>
      </xdr:txBody>
    </xdr:sp>
    <xdr:clientData/>
  </xdr:twoCellAnchor>
  <xdr:twoCellAnchor editAs="oneCell">
    <xdr:from>
      <xdr:col>6</xdr:col>
      <xdr:colOff>171449</xdr:colOff>
      <xdr:row>0</xdr:row>
      <xdr:rowOff>0</xdr:rowOff>
    </xdr:from>
    <xdr:to>
      <xdr:col>7</xdr:col>
      <xdr:colOff>44450</xdr:colOff>
      <xdr:row>4</xdr:row>
      <xdr:rowOff>58275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4019549" y="0"/>
          <a:ext cx="514351" cy="832975"/>
        </a:xfrm>
        <a:prstGeom prst="rect">
          <a:avLst/>
        </a:prstGeom>
      </xdr:spPr>
    </xdr:pic>
    <xdr:clientData/>
  </xdr:twoCellAnchor>
  <xdr:twoCellAnchor editAs="oneCell">
    <xdr:from>
      <xdr:col>2</xdr:col>
      <xdr:colOff>410350</xdr:colOff>
      <xdr:row>2</xdr:row>
      <xdr:rowOff>105550</xdr:rowOff>
    </xdr:from>
    <xdr:to>
      <xdr:col>5</xdr:col>
      <xdr:colOff>6350</xdr:colOff>
      <xdr:row>10</xdr:row>
      <xdr:rowOff>76200</xdr:rowOff>
    </xdr:to>
    <xdr:pic>
      <xdr:nvPicPr>
        <xdr:cNvPr id="4" name="Gráfico 3" descr="Dois quadrados e uma linha em ziguezague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3050" y="473850"/>
          <a:ext cx="1520050" cy="1520050"/>
        </a:xfrm>
        <a:prstGeom prst="rect">
          <a:avLst/>
        </a:prstGeom>
      </xdr:spPr>
    </xdr:pic>
    <xdr:clientData/>
  </xdr:twoCellAnchor>
  <xdr:twoCellAnchor>
    <xdr:from>
      <xdr:col>9</xdr:col>
      <xdr:colOff>134056</xdr:colOff>
      <xdr:row>4</xdr:row>
      <xdr:rowOff>123825</xdr:rowOff>
    </xdr:from>
    <xdr:to>
      <xdr:col>14</xdr:col>
      <xdr:colOff>317500</xdr:colOff>
      <xdr:row>12</xdr:row>
      <xdr:rowOff>22224</xdr:rowOff>
    </xdr:to>
    <xdr:sp macro="" textlink="">
      <xdr:nvSpPr>
        <xdr:cNvPr id="15" name="Retângulo: Cantos Arredondados 5">
          <a:extLst>
            <a:ext uri="{FF2B5EF4-FFF2-40B4-BE49-F238E27FC236}">
              <a16:creationId xmlns:a16="http://schemas.microsoft.com/office/drawing/2014/main" id="{00000000-0008-0000-1C00-00000F000000}"/>
            </a:ext>
            <a:ext uri="{147F2762-F138-4A5C-976F-8EAC2B608ADB}">
              <a16:predDERef xmlns:a16="http://schemas.microsoft.com/office/drawing/2014/main" pred="{00000000-0008-0000-1700-000005000000}"/>
            </a:ext>
          </a:extLst>
        </xdr:cNvPr>
        <xdr:cNvSpPr/>
      </xdr:nvSpPr>
      <xdr:spPr>
        <a:xfrm>
          <a:off x="5620456" y="885825"/>
          <a:ext cx="3231444" cy="1422399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en-US" sz="2800" b="0" i="0" u="none" strike="noStrike">
              <a:solidFill>
                <a:schemeClr val="tx1"/>
              </a:solidFill>
              <a:latin typeface="Aptos Narrow" panose="020B0004020202020204" pitchFamily="34" charset="0"/>
            </a:rPr>
            <a:t>Pedidos</a:t>
          </a:r>
        </a:p>
      </xdr:txBody>
    </xdr:sp>
    <xdr:clientData/>
  </xdr:twoCellAnchor>
  <xdr:twoCellAnchor editAs="oneCell">
    <xdr:from>
      <xdr:col>13</xdr:col>
      <xdr:colOff>361950</xdr:colOff>
      <xdr:row>2</xdr:row>
      <xdr:rowOff>120650</xdr:rowOff>
    </xdr:from>
    <xdr:to>
      <xdr:col>15</xdr:col>
      <xdr:colOff>196850</xdr:colOff>
      <xdr:row>8</xdr:row>
      <xdr:rowOff>76200</xdr:rowOff>
    </xdr:to>
    <xdr:pic>
      <xdr:nvPicPr>
        <xdr:cNvPr id="8" name="Gráfico 7" descr="Um círculo preenchido com pontos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699500" y="488950"/>
          <a:ext cx="1117600" cy="11176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209550</xdr:colOff>
      <xdr:row>7</xdr:row>
      <xdr:rowOff>153950</xdr:rowOff>
    </xdr:from>
    <xdr:to>
      <xdr:col>15</xdr:col>
      <xdr:colOff>425450</xdr:colOff>
      <xdr:row>15</xdr:row>
      <xdr:rowOff>93625</xdr:rowOff>
    </xdr:to>
    <xdr:pic>
      <xdr:nvPicPr>
        <xdr:cNvPr id="9" name="Gráfico 8" descr="Dois círculos, um sólido e um preenchido com pontos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47100" y="1443000"/>
          <a:ext cx="1498600" cy="1498600"/>
        </a:xfrm>
        <a:prstGeom prst="rect">
          <a:avLst/>
        </a:prstGeom>
      </xdr:spPr>
    </xdr:pic>
    <xdr:clientData/>
  </xdr:twoCellAnchor>
  <xdr:twoCellAnchor editAs="oneCell">
    <xdr:from>
      <xdr:col>2</xdr:col>
      <xdr:colOff>323000</xdr:colOff>
      <xdr:row>9</xdr:row>
      <xdr:rowOff>95250</xdr:rowOff>
    </xdr:from>
    <xdr:to>
      <xdr:col>4</xdr:col>
      <xdr:colOff>247650</xdr:colOff>
      <xdr:row>15</xdr:row>
      <xdr:rowOff>137375</xdr:rowOff>
    </xdr:to>
    <xdr:pic>
      <xdr:nvPicPr>
        <xdr:cNvPr id="10" name="Gráfico 9" descr="Um círculo preenchido com linhas diagonais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5700" y="1752600"/>
          <a:ext cx="1207350" cy="1207350"/>
        </a:xfrm>
        <a:prstGeom prst="rect">
          <a:avLst/>
        </a:prstGeom>
      </xdr:spPr>
    </xdr:pic>
    <xdr:clientData/>
  </xdr:twoCellAnchor>
  <xdr:twoCellAnchor editAs="oneCell">
    <xdr:from>
      <xdr:col>9</xdr:col>
      <xdr:colOff>622300</xdr:colOff>
      <xdr:row>0</xdr:row>
      <xdr:rowOff>0</xdr:rowOff>
    </xdr:from>
    <xdr:to>
      <xdr:col>11</xdr:col>
      <xdr:colOff>152400</xdr:colOff>
      <xdr:row>4</xdr:row>
      <xdr:rowOff>38100</xdr:rowOff>
    </xdr:to>
    <xdr:pic>
      <xdr:nvPicPr>
        <xdr:cNvPr id="11" name="Gráfico 10" descr="Um quadrado feito de pontos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394450" y="0"/>
          <a:ext cx="812800" cy="812800"/>
        </a:xfrm>
        <a:prstGeom prst="rect">
          <a:avLst/>
        </a:prstGeom>
      </xdr:spPr>
    </xdr:pic>
    <xdr:clientData/>
  </xdr:twoCellAnchor>
  <xdr:twoCellAnchor>
    <xdr:from>
      <xdr:col>7</xdr:col>
      <xdr:colOff>107950</xdr:colOff>
      <xdr:row>1</xdr:row>
      <xdr:rowOff>25400</xdr:rowOff>
    </xdr:from>
    <xdr:to>
      <xdr:col>10</xdr:col>
      <xdr:colOff>577850</xdr:colOff>
      <xdr:row>4</xdr:row>
      <xdr:rowOff>19050</xdr:rowOff>
    </xdr:to>
    <xdr:sp macro="" textlink="">
      <xdr:nvSpPr>
        <xdr:cNvPr id="12" name="Retângulo: Cantos Diagonais Arredondados 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SpPr/>
      </xdr:nvSpPr>
      <xdr:spPr>
        <a:xfrm>
          <a:off x="4597400" y="209550"/>
          <a:ext cx="2393950" cy="546100"/>
        </a:xfrm>
        <a:prstGeom prst="round2Diag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>
              <a:solidFill>
                <a:schemeClr val="tx1"/>
              </a:solidFill>
              <a:latin typeface="Leky Calgria" panose="02000600000000000000" pitchFamily="2" charset="0"/>
              <a:cs typeface="Gordita" pitchFamily="50" charset="0"/>
            </a:rPr>
            <a:t>COMPRAS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57150</xdr:rowOff>
    </xdr:from>
    <xdr:to>
      <xdr:col>1</xdr:col>
      <xdr:colOff>8339</xdr:colOff>
      <xdr:row>3</xdr:row>
      <xdr:rowOff>50593</xdr:rowOff>
    </xdr:to>
    <xdr:pic>
      <xdr:nvPicPr>
        <xdr:cNvPr id="22" name="Gráfico 6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6200" y="57150"/>
          <a:ext cx="541739" cy="564943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496006</xdr:colOff>
      <xdr:row>4</xdr:row>
      <xdr:rowOff>139700</xdr:rowOff>
    </xdr:from>
    <xdr:to>
      <xdr:col>9</xdr:col>
      <xdr:colOff>60325</xdr:colOff>
      <xdr:row>12</xdr:row>
      <xdr:rowOff>38099</xdr:rowOff>
    </xdr:to>
    <xdr:sp macro="" textlink="">
      <xdr:nvSpPr>
        <xdr:cNvPr id="4" name="Retângulo: Cantos Arredondados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2324806" y="901700"/>
          <a:ext cx="3221919" cy="1422399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en-US" sz="2800" b="0" i="0" u="none" strike="noStrike">
              <a:solidFill>
                <a:schemeClr val="tx1"/>
              </a:solidFill>
              <a:latin typeface="Aptos Narrow" panose="020B0004020202020204" pitchFamily="34" charset="0"/>
            </a:rPr>
            <a:t>Produtos internos</a:t>
          </a:r>
        </a:p>
      </xdr:txBody>
    </xdr:sp>
    <xdr:clientData/>
  </xdr:twoCellAnchor>
  <xdr:twoCellAnchor editAs="oneCell">
    <xdr:from>
      <xdr:col>6</xdr:col>
      <xdr:colOff>171449</xdr:colOff>
      <xdr:row>0</xdr:row>
      <xdr:rowOff>0</xdr:rowOff>
    </xdr:from>
    <xdr:to>
      <xdr:col>7</xdr:col>
      <xdr:colOff>44450</xdr:colOff>
      <xdr:row>4</xdr:row>
      <xdr:rowOff>58275</xdr:rowOff>
    </xdr:to>
    <xdr:pic>
      <xdr:nvPicPr>
        <xdr:cNvPr id="5" name="Imagem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3829049" y="0"/>
          <a:ext cx="482601" cy="820275"/>
        </a:xfrm>
        <a:prstGeom prst="rect">
          <a:avLst/>
        </a:prstGeom>
      </xdr:spPr>
    </xdr:pic>
    <xdr:clientData/>
  </xdr:twoCellAnchor>
  <xdr:twoCellAnchor editAs="oneCell">
    <xdr:from>
      <xdr:col>2</xdr:col>
      <xdr:colOff>410350</xdr:colOff>
      <xdr:row>2</xdr:row>
      <xdr:rowOff>105550</xdr:rowOff>
    </xdr:from>
    <xdr:to>
      <xdr:col>5</xdr:col>
      <xdr:colOff>6350</xdr:colOff>
      <xdr:row>10</xdr:row>
      <xdr:rowOff>76200</xdr:rowOff>
    </xdr:to>
    <xdr:pic>
      <xdr:nvPicPr>
        <xdr:cNvPr id="6" name="Gráfico 5" descr="Dois quadrados e uma linha em ziguezague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29550" y="486550"/>
          <a:ext cx="1424800" cy="1494650"/>
        </a:xfrm>
        <a:prstGeom prst="rect">
          <a:avLst/>
        </a:prstGeom>
      </xdr:spPr>
    </xdr:pic>
    <xdr:clientData/>
  </xdr:twoCellAnchor>
  <xdr:twoCellAnchor>
    <xdr:from>
      <xdr:col>9</xdr:col>
      <xdr:colOff>134056</xdr:colOff>
      <xdr:row>4</xdr:row>
      <xdr:rowOff>123825</xdr:rowOff>
    </xdr:from>
    <xdr:to>
      <xdr:col>14</xdr:col>
      <xdr:colOff>317500</xdr:colOff>
      <xdr:row>12</xdr:row>
      <xdr:rowOff>22224</xdr:rowOff>
    </xdr:to>
    <xdr:sp macro="" textlink="">
      <xdr:nvSpPr>
        <xdr:cNvPr id="7" name="Retângulo: Cantos Arredondados 5">
          <a:extLst>
            <a:ext uri="{FF2B5EF4-FFF2-40B4-BE49-F238E27FC236}">
              <a16:creationId xmlns:a16="http://schemas.microsoft.com/office/drawing/2014/main" id="{00000000-0008-0000-1D00-000007000000}"/>
            </a:ext>
            <a:ext uri="{147F2762-F138-4A5C-976F-8EAC2B608ADB}">
              <a16:predDERef xmlns:a16="http://schemas.microsoft.com/office/drawing/2014/main" pred="{00000000-0008-0000-1D00-000006000000}"/>
            </a:ext>
          </a:extLst>
        </xdr:cNvPr>
        <xdr:cNvSpPr/>
      </xdr:nvSpPr>
      <xdr:spPr>
        <a:xfrm>
          <a:off x="5620456" y="885825"/>
          <a:ext cx="3231444" cy="1422399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en-US" sz="2800" b="0" i="0" u="none" strike="noStrike">
              <a:solidFill>
                <a:schemeClr val="tx1"/>
              </a:solidFill>
              <a:latin typeface="Aptos Narrow" panose="020B0004020202020204" pitchFamily="34" charset="0"/>
            </a:rPr>
            <a:t>Matéria prima</a:t>
          </a:r>
        </a:p>
      </xdr:txBody>
    </xdr:sp>
    <xdr:clientData/>
  </xdr:twoCellAnchor>
  <xdr:twoCellAnchor editAs="oneCell">
    <xdr:from>
      <xdr:col>13</xdr:col>
      <xdr:colOff>361950</xdr:colOff>
      <xdr:row>2</xdr:row>
      <xdr:rowOff>120650</xdr:rowOff>
    </xdr:from>
    <xdr:to>
      <xdr:col>15</xdr:col>
      <xdr:colOff>196850</xdr:colOff>
      <xdr:row>8</xdr:row>
      <xdr:rowOff>76200</xdr:rowOff>
    </xdr:to>
    <xdr:pic>
      <xdr:nvPicPr>
        <xdr:cNvPr id="8" name="Gráfico 7" descr="Um círculo preenchido com pontos">
          <a:extLst>
            <a:ext uri="{FF2B5EF4-FFF2-40B4-BE49-F238E27FC236}">
              <a16:creationId xmlns:a16="http://schemas.microsoft.com/office/drawing/2014/main" id="{00000000-0008-0000-1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286750" y="501650"/>
          <a:ext cx="1054100" cy="1098550"/>
        </a:xfrm>
        <a:prstGeom prst="rect">
          <a:avLst/>
        </a:prstGeom>
      </xdr:spPr>
    </xdr:pic>
    <xdr:clientData/>
  </xdr:twoCellAnchor>
  <xdr:twoCellAnchor editAs="oneCell">
    <xdr:from>
      <xdr:col>13</xdr:col>
      <xdr:colOff>209550</xdr:colOff>
      <xdr:row>7</xdr:row>
      <xdr:rowOff>153950</xdr:rowOff>
    </xdr:from>
    <xdr:to>
      <xdr:col>15</xdr:col>
      <xdr:colOff>425450</xdr:colOff>
      <xdr:row>15</xdr:row>
      <xdr:rowOff>93625</xdr:rowOff>
    </xdr:to>
    <xdr:pic>
      <xdr:nvPicPr>
        <xdr:cNvPr id="9" name="Gráfico 8" descr="Dois círculos, um sólido e um preenchido com pontos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34350" y="1487450"/>
          <a:ext cx="1435100" cy="1463675"/>
        </a:xfrm>
        <a:prstGeom prst="rect">
          <a:avLst/>
        </a:prstGeom>
      </xdr:spPr>
    </xdr:pic>
    <xdr:clientData/>
  </xdr:twoCellAnchor>
  <xdr:twoCellAnchor editAs="oneCell">
    <xdr:from>
      <xdr:col>2</xdr:col>
      <xdr:colOff>323000</xdr:colOff>
      <xdr:row>9</xdr:row>
      <xdr:rowOff>95250</xdr:rowOff>
    </xdr:from>
    <xdr:to>
      <xdr:col>4</xdr:col>
      <xdr:colOff>247650</xdr:colOff>
      <xdr:row>15</xdr:row>
      <xdr:rowOff>137375</xdr:rowOff>
    </xdr:to>
    <xdr:pic>
      <xdr:nvPicPr>
        <xdr:cNvPr id="10" name="Gráfico 9" descr="Um círculo preenchido com linhas diagonais">
          <a:extLst>
            <a:ext uri="{FF2B5EF4-FFF2-40B4-BE49-F238E27FC236}">
              <a16:creationId xmlns:a16="http://schemas.microsoft.com/office/drawing/2014/main" id="{00000000-0008-0000-1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542200" y="1809750"/>
          <a:ext cx="1143850" cy="1185125"/>
        </a:xfrm>
        <a:prstGeom prst="rect">
          <a:avLst/>
        </a:prstGeom>
      </xdr:spPr>
    </xdr:pic>
    <xdr:clientData/>
  </xdr:twoCellAnchor>
  <xdr:twoCellAnchor editAs="oneCell">
    <xdr:from>
      <xdr:col>9</xdr:col>
      <xdr:colOff>622300</xdr:colOff>
      <xdr:row>0</xdr:row>
      <xdr:rowOff>0</xdr:rowOff>
    </xdr:from>
    <xdr:to>
      <xdr:col>11</xdr:col>
      <xdr:colOff>152400</xdr:colOff>
      <xdr:row>4</xdr:row>
      <xdr:rowOff>38100</xdr:rowOff>
    </xdr:to>
    <xdr:pic>
      <xdr:nvPicPr>
        <xdr:cNvPr id="11" name="Gráfico 10" descr="Um quadrado feito de pontos">
          <a:extLst>
            <a:ext uri="{FF2B5EF4-FFF2-40B4-BE49-F238E27FC236}">
              <a16:creationId xmlns:a16="http://schemas.microsoft.com/office/drawing/2014/main" id="{00000000-0008-0000-1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099175" y="0"/>
          <a:ext cx="758825" cy="800100"/>
        </a:xfrm>
        <a:prstGeom prst="rect">
          <a:avLst/>
        </a:prstGeom>
      </xdr:spPr>
    </xdr:pic>
    <xdr:clientData/>
  </xdr:twoCellAnchor>
  <xdr:twoCellAnchor>
    <xdr:from>
      <xdr:col>7</xdr:col>
      <xdr:colOff>107950</xdr:colOff>
      <xdr:row>1</xdr:row>
      <xdr:rowOff>25400</xdr:rowOff>
    </xdr:from>
    <xdr:to>
      <xdr:col>10</xdr:col>
      <xdr:colOff>577850</xdr:colOff>
      <xdr:row>4</xdr:row>
      <xdr:rowOff>19050</xdr:rowOff>
    </xdr:to>
    <xdr:sp macro="" textlink="">
      <xdr:nvSpPr>
        <xdr:cNvPr id="12" name="Retângulo: Cantos Diagonais Arredondados 11">
          <a:extLst>
            <a:ext uri="{FF2B5EF4-FFF2-40B4-BE49-F238E27FC236}">
              <a16:creationId xmlns:a16="http://schemas.microsoft.com/office/drawing/2014/main" id="{00000000-0008-0000-1D00-00000C000000}"/>
            </a:ext>
          </a:extLst>
        </xdr:cNvPr>
        <xdr:cNvSpPr/>
      </xdr:nvSpPr>
      <xdr:spPr>
        <a:xfrm>
          <a:off x="4375150" y="215900"/>
          <a:ext cx="2298700" cy="565150"/>
        </a:xfrm>
        <a:prstGeom prst="round2Diag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>
              <a:solidFill>
                <a:schemeClr val="tx1"/>
              </a:solidFill>
              <a:latin typeface="Leky Calgria" panose="02000600000000000000" pitchFamily="2" charset="0"/>
              <a:cs typeface="Gordita" pitchFamily="50" charset="0"/>
            </a:rPr>
            <a:t>COMPRAS</a:t>
          </a:r>
        </a:p>
      </xdr:txBody>
    </xdr:sp>
    <xdr:clientData/>
  </xdr:twoCellAnchor>
  <xdr:twoCellAnchor editAs="oneCell">
    <xdr:from>
      <xdr:col>0</xdr:col>
      <xdr:colOff>114300</xdr:colOff>
      <xdr:row>0</xdr:row>
      <xdr:rowOff>57150</xdr:rowOff>
    </xdr:from>
    <xdr:to>
      <xdr:col>1</xdr:col>
      <xdr:colOff>46439</xdr:colOff>
      <xdr:row>3</xdr:row>
      <xdr:rowOff>50593</xdr:rowOff>
    </xdr:to>
    <xdr:pic>
      <xdr:nvPicPr>
        <xdr:cNvPr id="13" name="Gráfico 6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14300" y="57150"/>
          <a:ext cx="541739" cy="564943"/>
        </a:xfrm>
        <a:prstGeom prst="rect">
          <a:avLst/>
        </a:prstGeom>
      </xdr:spPr>
    </xdr:pic>
    <xdr:clientData/>
  </xdr:twoCellAnchor>
  <xdr:twoCellAnchor>
    <xdr:from>
      <xdr:col>6</xdr:col>
      <xdr:colOff>161925</xdr:colOff>
      <xdr:row>12</xdr:row>
      <xdr:rowOff>133350</xdr:rowOff>
    </xdr:from>
    <xdr:to>
      <xdr:col>11</xdr:col>
      <xdr:colOff>345369</xdr:colOff>
      <xdr:row>20</xdr:row>
      <xdr:rowOff>31749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1D00-000002000000}"/>
            </a:ext>
            <a:ext uri="{147F2762-F138-4A5C-976F-8EAC2B608ADB}">
              <a16:predDERef xmlns:a16="http://schemas.microsoft.com/office/drawing/2014/main" pred="{00000000-0008-0000-1D00-00000D000000}"/>
            </a:ext>
          </a:extLst>
        </xdr:cNvPr>
        <xdr:cNvSpPr/>
      </xdr:nvSpPr>
      <xdr:spPr>
        <a:xfrm>
          <a:off x="3819525" y="2419350"/>
          <a:ext cx="3231444" cy="1422399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en-US" sz="2800" b="0" i="0" u="none" strike="noStrike">
              <a:solidFill>
                <a:schemeClr val="tx1"/>
              </a:solidFill>
              <a:latin typeface="Aptos Narrow" panose="020B0004020202020204" pitchFamily="34" charset="0"/>
            </a:rPr>
            <a:t>Items para</a:t>
          </a:r>
        </a:p>
        <a:p>
          <a:pPr marL="0" marR="0" indent="0"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en-US" sz="2800" b="0" i="0" u="none" strike="noStrike">
              <a:solidFill>
                <a:schemeClr val="tx1"/>
              </a:solidFill>
              <a:latin typeface="Aptos Narrow" panose="020B0004020202020204" pitchFamily="34" charset="0"/>
            </a:rPr>
            <a:t>Funcionários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6</xdr:row>
      <xdr:rowOff>85725</xdr:rowOff>
    </xdr:from>
    <xdr:to>
      <xdr:col>3</xdr:col>
      <xdr:colOff>27389</xdr:colOff>
      <xdr:row>9</xdr:row>
      <xdr:rowOff>79168</xdr:rowOff>
    </xdr:to>
    <xdr:pic>
      <xdr:nvPicPr>
        <xdr:cNvPr id="9" name="Gráfico 6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6200" y="2228850"/>
          <a:ext cx="541739" cy="564943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9</xdr:row>
      <xdr:rowOff>104775</xdr:rowOff>
    </xdr:from>
    <xdr:to>
      <xdr:col>3</xdr:col>
      <xdr:colOff>28320</xdr:colOff>
      <xdr:row>11</xdr:row>
      <xdr:rowOff>152400</xdr:rowOff>
    </xdr:to>
    <xdr:pic>
      <xdr:nvPicPr>
        <xdr:cNvPr id="10" name="Gráfico 3" descr="Carrinho de compras com preenchiment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725" y="2819400"/>
          <a:ext cx="533145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180975</xdr:colOff>
      <xdr:row>3</xdr:row>
      <xdr:rowOff>57150</xdr:rowOff>
    </xdr:from>
    <xdr:to>
      <xdr:col>2</xdr:col>
      <xdr:colOff>104775</xdr:colOff>
      <xdr:row>6</xdr:row>
      <xdr:rowOff>97187</xdr:rowOff>
    </xdr:to>
    <xdr:pic>
      <xdr:nvPicPr>
        <xdr:cNvPr id="8" name="Imagem 4">
          <a:extLst>
            <a:ext uri="{FF2B5EF4-FFF2-40B4-BE49-F238E27FC236}">
              <a16:creationId xmlns:a16="http://schemas.microsoft.com/office/drawing/2014/main" id="{00000000-0008-0000-1E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54" t="13267" r="32673" b="21716"/>
        <a:stretch/>
      </xdr:blipFill>
      <xdr:spPr>
        <a:xfrm>
          <a:off x="180975" y="1628775"/>
          <a:ext cx="381000" cy="6115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1885950</xdr:colOff>
          <xdr:row>27</xdr:row>
          <xdr:rowOff>0</xdr:rowOff>
        </xdr:from>
        <xdr:to>
          <xdr:col>17</xdr:col>
          <xdr:colOff>933450</xdr:colOff>
          <xdr:row>31</xdr:row>
          <xdr:rowOff>66675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E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152399</xdr:colOff>
      <xdr:row>2</xdr:row>
      <xdr:rowOff>542925</xdr:rowOff>
    </xdr:from>
    <xdr:to>
      <xdr:col>2</xdr:col>
      <xdr:colOff>104774</xdr:colOff>
      <xdr:row>2</xdr:row>
      <xdr:rowOff>1154462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54" t="13267" r="32673" b="21716"/>
        <a:stretch/>
      </xdr:blipFill>
      <xdr:spPr>
        <a:xfrm>
          <a:off x="152399" y="923925"/>
          <a:ext cx="409575" cy="611537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2</xdr:row>
      <xdr:rowOff>1181100</xdr:rowOff>
    </xdr:from>
    <xdr:to>
      <xdr:col>3</xdr:col>
      <xdr:colOff>36914</xdr:colOff>
      <xdr:row>5</xdr:row>
      <xdr:rowOff>174418</xdr:rowOff>
    </xdr:to>
    <xdr:pic>
      <xdr:nvPicPr>
        <xdr:cNvPr id="3" name="Gráfico 6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5725" y="1562100"/>
          <a:ext cx="541739" cy="56494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6</xdr:row>
      <xdr:rowOff>57150</xdr:rowOff>
    </xdr:from>
    <xdr:to>
      <xdr:col>3</xdr:col>
      <xdr:colOff>37845</xdr:colOff>
      <xdr:row>9</xdr:row>
      <xdr:rowOff>57150</xdr:rowOff>
    </xdr:to>
    <xdr:pic>
      <xdr:nvPicPr>
        <xdr:cNvPr id="4" name="Gráfico 3" descr="Carrinho de compras com preenchiment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5250" y="2200275"/>
          <a:ext cx="533145" cy="571500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3</xdr:row>
      <xdr:rowOff>123825</xdr:rowOff>
    </xdr:from>
    <xdr:to>
      <xdr:col>0</xdr:col>
      <xdr:colOff>598889</xdr:colOff>
      <xdr:row>5</xdr:row>
      <xdr:rowOff>136318</xdr:rowOff>
    </xdr:to>
    <xdr:pic>
      <xdr:nvPicPr>
        <xdr:cNvPr id="6" name="Gráfico 6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7150" y="666750"/>
          <a:ext cx="541739" cy="564943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5</xdr:row>
      <xdr:rowOff>66675</xdr:rowOff>
    </xdr:from>
    <xdr:to>
      <xdr:col>0</xdr:col>
      <xdr:colOff>599820</xdr:colOff>
      <xdr:row>8</xdr:row>
      <xdr:rowOff>38100</xdr:rowOff>
    </xdr:to>
    <xdr:pic>
      <xdr:nvPicPr>
        <xdr:cNvPr id="7" name="Gráfico 3" descr="Carrinho de compras com preenchiment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6675" y="1162050"/>
          <a:ext cx="533145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0</xdr:row>
      <xdr:rowOff>95250</xdr:rowOff>
    </xdr:from>
    <xdr:to>
      <xdr:col>0</xdr:col>
      <xdr:colOff>533400</xdr:colOff>
      <xdr:row>3</xdr:row>
      <xdr:rowOff>163862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54" t="13267" r="32673" b="21716"/>
        <a:stretch/>
      </xdr:blipFill>
      <xdr:spPr>
        <a:xfrm>
          <a:off x="152400" y="95250"/>
          <a:ext cx="381000" cy="611537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</xdr:row>
      <xdr:rowOff>66675</xdr:rowOff>
    </xdr:from>
    <xdr:to>
      <xdr:col>0</xdr:col>
      <xdr:colOff>589364</xdr:colOff>
      <xdr:row>6</xdr:row>
      <xdr:rowOff>50593</xdr:rowOff>
    </xdr:to>
    <xdr:pic>
      <xdr:nvPicPr>
        <xdr:cNvPr id="3" name="Gráfico 6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7625" y="781050"/>
          <a:ext cx="541739" cy="564943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5</xdr:row>
      <xdr:rowOff>47625</xdr:rowOff>
    </xdr:from>
    <xdr:to>
      <xdr:col>0</xdr:col>
      <xdr:colOff>609345</xdr:colOff>
      <xdr:row>8</xdr:row>
      <xdr:rowOff>19050</xdr:rowOff>
    </xdr:to>
    <xdr:pic>
      <xdr:nvPicPr>
        <xdr:cNvPr id="4" name="Gráfico 3" descr="Carrinho de compras com preenchiment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00" y="1362075"/>
          <a:ext cx="533145" cy="571500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5</xdr:row>
      <xdr:rowOff>9525</xdr:rowOff>
    </xdr:from>
    <xdr:to>
      <xdr:col>1</xdr:col>
      <xdr:colOff>456014</xdr:colOff>
      <xdr:row>8</xdr:row>
      <xdr:rowOff>2968</xdr:rowOff>
    </xdr:to>
    <xdr:pic>
      <xdr:nvPicPr>
        <xdr:cNvPr id="5" name="Gráfico 6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7625" y="657225"/>
          <a:ext cx="541739" cy="564943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</xdr:row>
      <xdr:rowOff>161925</xdr:rowOff>
    </xdr:from>
    <xdr:to>
      <xdr:col>1</xdr:col>
      <xdr:colOff>447420</xdr:colOff>
      <xdr:row>10</xdr:row>
      <xdr:rowOff>19050</xdr:rowOff>
    </xdr:to>
    <xdr:pic>
      <xdr:nvPicPr>
        <xdr:cNvPr id="6" name="Gráfico 3" descr="Carrinho de compras com preenchiment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" y="1190625"/>
          <a:ext cx="533145" cy="571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2076450</xdr:colOff>
          <xdr:row>30</xdr:row>
          <xdr:rowOff>0</xdr:rowOff>
        </xdr:from>
        <xdr:to>
          <xdr:col>14</xdr:col>
          <xdr:colOff>9525</xdr:colOff>
          <xdr:row>32</xdr:row>
          <xdr:rowOff>57150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20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219075</xdr:colOff>
          <xdr:row>15</xdr:row>
          <xdr:rowOff>19050</xdr:rowOff>
        </xdr:from>
        <xdr:to>
          <xdr:col>15</xdr:col>
          <xdr:colOff>47625</xdr:colOff>
          <xdr:row>16</xdr:row>
          <xdr:rowOff>19050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20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57150</xdr:rowOff>
    </xdr:from>
    <xdr:to>
      <xdr:col>1</xdr:col>
      <xdr:colOff>400050</xdr:colOff>
      <xdr:row>5</xdr:row>
      <xdr:rowOff>20987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54" t="13267" r="32673" b="21716"/>
        <a:stretch/>
      </xdr:blipFill>
      <xdr:spPr>
        <a:xfrm>
          <a:off x="133350" y="57150"/>
          <a:ext cx="400050" cy="611537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133350</xdr:rowOff>
    </xdr:from>
    <xdr:to>
      <xdr:col>1</xdr:col>
      <xdr:colOff>446489</xdr:colOff>
      <xdr:row>6</xdr:row>
      <xdr:rowOff>126793</xdr:rowOff>
    </xdr:to>
    <xdr:pic>
      <xdr:nvPicPr>
        <xdr:cNvPr id="3" name="Gráfico 6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8100" y="704850"/>
          <a:ext cx="541739" cy="564943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7</xdr:row>
      <xdr:rowOff>47625</xdr:rowOff>
    </xdr:from>
    <xdr:to>
      <xdr:col>1</xdr:col>
      <xdr:colOff>437895</xdr:colOff>
      <xdr:row>9</xdr:row>
      <xdr:rowOff>238125</xdr:rowOff>
    </xdr:to>
    <xdr:pic>
      <xdr:nvPicPr>
        <xdr:cNvPr id="4" name="Gráfico 3" descr="Carrinho de compras com preenchiment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" y="1381125"/>
          <a:ext cx="533145" cy="571500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104775</xdr:rowOff>
    </xdr:from>
    <xdr:to>
      <xdr:col>0</xdr:col>
      <xdr:colOff>485775</xdr:colOff>
      <xdr:row>1</xdr:row>
      <xdr:rowOff>30512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54" t="13267" r="32673" b="21716"/>
        <a:stretch/>
      </xdr:blipFill>
      <xdr:spPr>
        <a:xfrm>
          <a:off x="104775" y="104775"/>
          <a:ext cx="381000" cy="61153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47625</xdr:rowOff>
    </xdr:from>
    <xdr:to>
      <xdr:col>0</xdr:col>
      <xdr:colOff>541739</xdr:colOff>
      <xdr:row>4</xdr:row>
      <xdr:rowOff>88693</xdr:rowOff>
    </xdr:to>
    <xdr:pic>
      <xdr:nvPicPr>
        <xdr:cNvPr id="3" name="Gráfico 6" descr="Início com preenchiment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733425"/>
          <a:ext cx="541739" cy="5649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123825</xdr:rowOff>
    </xdr:from>
    <xdr:to>
      <xdr:col>0</xdr:col>
      <xdr:colOff>533145</xdr:colOff>
      <xdr:row>6</xdr:row>
      <xdr:rowOff>66675</xdr:rowOff>
    </xdr:to>
    <xdr:pic>
      <xdr:nvPicPr>
        <xdr:cNvPr id="4" name="Gráfico 3" descr="Carrinho de compras com preenchimento sólid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1333500"/>
          <a:ext cx="533145" cy="571500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2228850</xdr:colOff>
          <xdr:row>41</xdr:row>
          <xdr:rowOff>38100</xdr:rowOff>
        </xdr:from>
        <xdr:to>
          <xdr:col>17</xdr:col>
          <xdr:colOff>714375</xdr:colOff>
          <xdr:row>45</xdr:row>
          <xdr:rowOff>47625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22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142874</xdr:colOff>
      <xdr:row>0</xdr:row>
      <xdr:rowOff>95250</xdr:rowOff>
    </xdr:from>
    <xdr:to>
      <xdr:col>2</xdr:col>
      <xdr:colOff>38100</xdr:colOff>
      <xdr:row>18</xdr:row>
      <xdr:rowOff>106712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54" t="13267" r="32673" b="21716"/>
        <a:stretch/>
      </xdr:blipFill>
      <xdr:spPr>
        <a:xfrm>
          <a:off x="142874" y="95250"/>
          <a:ext cx="361951" cy="611537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</xdr:row>
      <xdr:rowOff>104775</xdr:rowOff>
    </xdr:from>
    <xdr:to>
      <xdr:col>3</xdr:col>
      <xdr:colOff>8339</xdr:colOff>
      <xdr:row>21</xdr:row>
      <xdr:rowOff>98218</xdr:rowOff>
    </xdr:to>
    <xdr:pic>
      <xdr:nvPicPr>
        <xdr:cNvPr id="3" name="Gráfico 6" descr="Início com preenchiment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7625" y="704850"/>
          <a:ext cx="541739" cy="564943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21</xdr:row>
      <xdr:rowOff>104775</xdr:rowOff>
    </xdr:from>
    <xdr:to>
      <xdr:col>3</xdr:col>
      <xdr:colOff>28320</xdr:colOff>
      <xdr:row>23</xdr:row>
      <xdr:rowOff>295275</xdr:rowOff>
    </xdr:to>
    <xdr:pic>
      <xdr:nvPicPr>
        <xdr:cNvPr id="4" name="Gráfico 3" descr="Carrinho de compras com preenchimento sólid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76200" y="1276350"/>
          <a:ext cx="533145" cy="571500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180974</xdr:colOff>
      <xdr:row>0</xdr:row>
      <xdr:rowOff>114300</xdr:rowOff>
    </xdr:from>
    <xdr:to>
      <xdr:col>0</xdr:col>
      <xdr:colOff>571499</xdr:colOff>
      <xdr:row>4</xdr:row>
      <xdr:rowOff>11462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54" t="13267" r="32673" b="21716"/>
        <a:stretch/>
      </xdr:blipFill>
      <xdr:spPr>
        <a:xfrm>
          <a:off x="180974" y="114300"/>
          <a:ext cx="390525" cy="611537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4</xdr:row>
      <xdr:rowOff>19050</xdr:rowOff>
    </xdr:from>
    <xdr:to>
      <xdr:col>1</xdr:col>
      <xdr:colOff>36914</xdr:colOff>
      <xdr:row>4</xdr:row>
      <xdr:rowOff>583993</xdr:rowOff>
    </xdr:to>
    <xdr:pic>
      <xdr:nvPicPr>
        <xdr:cNvPr id="3" name="Gráfico 6" descr="Início com preenchiment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" y="733425"/>
          <a:ext cx="541739" cy="56494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5</xdr:row>
      <xdr:rowOff>9525</xdr:rowOff>
    </xdr:from>
    <xdr:to>
      <xdr:col>1</xdr:col>
      <xdr:colOff>28320</xdr:colOff>
      <xdr:row>7</xdr:row>
      <xdr:rowOff>180975</xdr:rowOff>
    </xdr:to>
    <xdr:pic>
      <xdr:nvPicPr>
        <xdr:cNvPr id="4" name="Gráfico 3" descr="Carrinho de compras com preenchimento sólid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04775" y="1323975"/>
          <a:ext cx="533145" cy="571500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25</xdr:row>
      <xdr:rowOff>28574</xdr:rowOff>
    </xdr:from>
    <xdr:to>
      <xdr:col>6</xdr:col>
      <xdr:colOff>38100</xdr:colOff>
      <xdr:row>35</xdr:row>
      <xdr:rowOff>10885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2352675" y="4314824"/>
          <a:ext cx="3457575" cy="1696811"/>
        </a:xfrm>
        <a:prstGeom prst="roundRect">
          <a:avLst/>
        </a:prstGeom>
        <a:noFill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552785</xdr:colOff>
      <xdr:row>73</xdr:row>
      <xdr:rowOff>97827</xdr:rowOff>
    </xdr:from>
    <xdr:to>
      <xdr:col>8</xdr:col>
      <xdr:colOff>10886</xdr:colOff>
      <xdr:row>81</xdr:row>
      <xdr:rowOff>108472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SpPr/>
      </xdr:nvSpPr>
      <xdr:spPr>
        <a:xfrm>
          <a:off x="2362535" y="12613677"/>
          <a:ext cx="6354201" cy="1382245"/>
        </a:xfrm>
        <a:prstGeom prst="roundRect">
          <a:avLst/>
        </a:prstGeom>
        <a:noFill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558612</xdr:colOff>
      <xdr:row>97</xdr:row>
      <xdr:rowOff>117102</xdr:rowOff>
    </xdr:from>
    <xdr:to>
      <xdr:col>6</xdr:col>
      <xdr:colOff>53787</xdr:colOff>
      <xdr:row>106</xdr:row>
      <xdr:rowOff>43543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2368362" y="16747752"/>
          <a:ext cx="3457575" cy="1469491"/>
        </a:xfrm>
        <a:prstGeom prst="roundRect">
          <a:avLst/>
        </a:prstGeom>
        <a:noFill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0</xdr:colOff>
      <xdr:row>97</xdr:row>
      <xdr:rowOff>121920</xdr:rowOff>
    </xdr:from>
    <xdr:to>
      <xdr:col>5</xdr:col>
      <xdr:colOff>10886</xdr:colOff>
      <xdr:row>106</xdr:row>
      <xdr:rowOff>54429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CxnSpPr/>
      </xdr:nvCxnSpPr>
      <xdr:spPr>
        <a:xfrm>
          <a:off x="3200400" y="16752570"/>
          <a:ext cx="10886" cy="147555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73</xdr:row>
      <xdr:rowOff>106680</xdr:rowOff>
    </xdr:from>
    <xdr:to>
      <xdr:col>5</xdr:col>
      <xdr:colOff>7620</xdr:colOff>
      <xdr:row>81</xdr:row>
      <xdr:rowOff>114300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CxnSpPr/>
      </xdr:nvCxnSpPr>
      <xdr:spPr>
        <a:xfrm>
          <a:off x="3200400" y="12622530"/>
          <a:ext cx="7620" cy="1379220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25</xdr:row>
      <xdr:rowOff>30480</xdr:rowOff>
    </xdr:from>
    <xdr:to>
      <xdr:col>5</xdr:col>
      <xdr:colOff>7620</xdr:colOff>
      <xdr:row>34</xdr:row>
      <xdr:rowOff>163285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CxnSpPr/>
      </xdr:nvCxnSpPr>
      <xdr:spPr>
        <a:xfrm flipH="1">
          <a:off x="3200400" y="4316730"/>
          <a:ext cx="7620" cy="1675855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114300</xdr:colOff>
      <xdr:row>0</xdr:row>
      <xdr:rowOff>114300</xdr:rowOff>
    </xdr:from>
    <xdr:to>
      <xdr:col>0</xdr:col>
      <xdr:colOff>533400</xdr:colOff>
      <xdr:row>4</xdr:row>
      <xdr:rowOff>40037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2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54" t="13267" r="32673" b="21716"/>
        <a:stretch/>
      </xdr:blipFill>
      <xdr:spPr>
        <a:xfrm>
          <a:off x="114300" y="114300"/>
          <a:ext cx="419100" cy="611537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4</xdr:row>
      <xdr:rowOff>114300</xdr:rowOff>
    </xdr:from>
    <xdr:to>
      <xdr:col>0</xdr:col>
      <xdr:colOff>598889</xdr:colOff>
      <xdr:row>7</xdr:row>
      <xdr:rowOff>164893</xdr:rowOff>
    </xdr:to>
    <xdr:pic>
      <xdr:nvPicPr>
        <xdr:cNvPr id="9" name="Gráfico 6" descr="Início com preenchiment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150" y="800100"/>
          <a:ext cx="541739" cy="564943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8</xdr:row>
      <xdr:rowOff>19050</xdr:rowOff>
    </xdr:from>
    <xdr:to>
      <xdr:col>0</xdr:col>
      <xdr:colOff>609345</xdr:colOff>
      <xdr:row>11</xdr:row>
      <xdr:rowOff>76200</xdr:rowOff>
    </xdr:to>
    <xdr:pic>
      <xdr:nvPicPr>
        <xdr:cNvPr id="11" name="Gráfico 10" descr="Carrinho de compras com preenchimento sólid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76200" y="1390650"/>
          <a:ext cx="533145" cy="571500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5</xdr:row>
      <xdr:rowOff>0</xdr:rowOff>
    </xdr:from>
    <xdr:to>
      <xdr:col>8</xdr:col>
      <xdr:colOff>600075</xdr:colOff>
      <xdr:row>12</xdr:row>
      <xdr:rowOff>85725</xdr:rowOff>
    </xdr:to>
    <xdr:sp macro="" textlink="">
      <xdr:nvSpPr>
        <xdr:cNvPr id="15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500-00000F000000}"/>
            </a:ext>
          </a:extLst>
        </xdr:cNvPr>
        <xdr:cNvSpPr/>
      </xdr:nvSpPr>
      <xdr:spPr>
        <a:xfrm>
          <a:off x="2266950" y="904875"/>
          <a:ext cx="3209925" cy="1352550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0" i="0" u="none" strike="noStrike">
              <a:solidFill>
                <a:schemeClr val="tx1"/>
              </a:solidFill>
              <a:latin typeface="Aptos Narrow" panose="020B0004020202020204" pitchFamily="34" charset="0"/>
            </a:rPr>
            <a:t>tabela</a:t>
          </a:r>
          <a:r>
            <a:rPr lang="en-US" sz="2000" b="0" i="0" u="none" strike="noStrike" baseline="0">
              <a:solidFill>
                <a:schemeClr val="tx1"/>
              </a:solidFill>
              <a:latin typeface="Aptos Narrow" panose="020B0004020202020204" pitchFamily="34" charset="0"/>
            </a:rPr>
            <a:t> de vendas</a:t>
          </a:r>
          <a:endParaRPr lang="en-US" sz="2000" b="0" i="0" u="none" strike="noStrike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 editAs="oneCell">
    <xdr:from>
      <xdr:col>6</xdr:col>
      <xdr:colOff>171449</xdr:colOff>
      <xdr:row>0</xdr:row>
      <xdr:rowOff>0</xdr:rowOff>
    </xdr:from>
    <xdr:to>
      <xdr:col>7</xdr:col>
      <xdr:colOff>44450</xdr:colOff>
      <xdr:row>4</xdr:row>
      <xdr:rowOff>96375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4019549" y="0"/>
          <a:ext cx="514351" cy="832975"/>
        </a:xfrm>
        <a:prstGeom prst="rect">
          <a:avLst/>
        </a:prstGeom>
      </xdr:spPr>
    </xdr:pic>
    <xdr:clientData/>
  </xdr:twoCellAnchor>
  <xdr:twoCellAnchor editAs="oneCell">
    <xdr:from>
      <xdr:col>2</xdr:col>
      <xdr:colOff>410350</xdr:colOff>
      <xdr:row>2</xdr:row>
      <xdr:rowOff>134125</xdr:rowOff>
    </xdr:from>
    <xdr:to>
      <xdr:col>5</xdr:col>
      <xdr:colOff>6350</xdr:colOff>
      <xdr:row>11</xdr:row>
      <xdr:rowOff>0</xdr:rowOff>
    </xdr:to>
    <xdr:pic>
      <xdr:nvPicPr>
        <xdr:cNvPr id="4" name="Gráfico 3" descr="Dois quadrados e uma linha em ziguezague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629550" y="515125"/>
          <a:ext cx="1424800" cy="1570850"/>
        </a:xfrm>
        <a:prstGeom prst="rect">
          <a:avLst/>
        </a:prstGeom>
      </xdr:spPr>
    </xdr:pic>
    <xdr:clientData/>
  </xdr:twoCellAnchor>
  <xdr:twoCellAnchor>
    <xdr:from>
      <xdr:col>9</xdr:col>
      <xdr:colOff>115006</xdr:colOff>
      <xdr:row>4</xdr:row>
      <xdr:rowOff>171450</xdr:rowOff>
    </xdr:from>
    <xdr:to>
      <xdr:col>14</xdr:col>
      <xdr:colOff>298450</xdr:colOff>
      <xdr:row>12</xdr:row>
      <xdr:rowOff>69849</xdr:rowOff>
    </xdr:to>
    <xdr:sp macro="" textlink="">
      <xdr:nvSpPr>
        <xdr:cNvPr id="6" name="Retângulo: Cantos Arredondados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500-000006000000}"/>
            </a:ext>
            <a:ext uri="{147F2762-F138-4A5C-976F-8EAC2B608ADB}">
              <a16:predDERef xmlns:a16="http://schemas.microsoft.com/office/drawing/2014/main" pred="{00000000-0008-0000-1500-000005000000}"/>
            </a:ext>
          </a:extLst>
        </xdr:cNvPr>
        <xdr:cNvSpPr/>
      </xdr:nvSpPr>
      <xdr:spPr>
        <a:xfrm>
          <a:off x="5887156" y="908050"/>
          <a:ext cx="3390194" cy="1371599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20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Cadastro</a:t>
          </a:r>
          <a:r>
            <a:rPr lang="pt-BR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de </a:t>
          </a:r>
          <a:r>
            <a:rPr lang="pt-BR" sz="20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venda</a:t>
          </a:r>
          <a:endParaRPr lang="pt-BR" sz="2000">
            <a:solidFill>
              <a:schemeClr val="tx1"/>
            </a:solidFill>
            <a:effectLst/>
          </a:endParaRPr>
        </a:p>
        <a:p>
          <a:pPr marL="0" indent="0" algn="ctr"/>
          <a:endParaRPr lang="en-US" sz="2000">
            <a:solidFill>
              <a:schemeClr val="lt1"/>
            </a:solidFill>
            <a:latin typeface="+mn-lt"/>
            <a:ea typeface="+mn-lt"/>
            <a:cs typeface="+mn-lt"/>
          </a:endParaRPr>
        </a:p>
      </xdr:txBody>
    </xdr:sp>
    <xdr:clientData/>
  </xdr:twoCellAnchor>
  <xdr:twoCellAnchor>
    <xdr:from>
      <xdr:col>3</xdr:col>
      <xdr:colOff>397581</xdr:colOff>
      <xdr:row>12</xdr:row>
      <xdr:rowOff>171450</xdr:rowOff>
    </xdr:from>
    <xdr:to>
      <xdr:col>8</xdr:col>
      <xdr:colOff>581025</xdr:colOff>
      <xdr:row>20</xdr:row>
      <xdr:rowOff>60324</xdr:rowOff>
    </xdr:to>
    <xdr:sp macro="" textlink="">
      <xdr:nvSpPr>
        <xdr:cNvPr id="7" name="Retângulo: Cantos Arredondados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500-000007000000}"/>
            </a:ext>
          </a:extLst>
        </xdr:cNvPr>
        <xdr:cNvSpPr/>
      </xdr:nvSpPr>
      <xdr:spPr>
        <a:xfrm>
          <a:off x="2226381" y="2457450"/>
          <a:ext cx="3231444" cy="1412874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tx1"/>
              </a:solidFill>
            </a:rPr>
            <a:t>Gráficos</a:t>
          </a:r>
        </a:p>
      </xdr:txBody>
    </xdr:sp>
    <xdr:clientData/>
  </xdr:twoCellAnchor>
  <xdr:twoCellAnchor editAs="oneCell">
    <xdr:from>
      <xdr:col>13</xdr:col>
      <xdr:colOff>361950</xdr:colOff>
      <xdr:row>2</xdr:row>
      <xdr:rowOff>120650</xdr:rowOff>
    </xdr:from>
    <xdr:to>
      <xdr:col>15</xdr:col>
      <xdr:colOff>196850</xdr:colOff>
      <xdr:row>8</xdr:row>
      <xdr:rowOff>133350</xdr:rowOff>
    </xdr:to>
    <xdr:pic>
      <xdr:nvPicPr>
        <xdr:cNvPr id="8" name="Gráfico 7" descr="Um círculo preenchido com pontos">
          <a:extLst>
            <a:ext uri="{FF2B5EF4-FFF2-40B4-BE49-F238E27FC236}">
              <a16:creationId xmlns:a16="http://schemas.microsoft.com/office/drawing/2014/main" id="{00000000-0008-0000-2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8699500" y="488950"/>
          <a:ext cx="1117600" cy="11176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209550</xdr:colOff>
      <xdr:row>7</xdr:row>
      <xdr:rowOff>153950</xdr:rowOff>
    </xdr:from>
    <xdr:to>
      <xdr:col>15</xdr:col>
      <xdr:colOff>425450</xdr:colOff>
      <xdr:row>15</xdr:row>
      <xdr:rowOff>169825</xdr:rowOff>
    </xdr:to>
    <xdr:pic>
      <xdr:nvPicPr>
        <xdr:cNvPr id="9" name="Gráfico 8" descr="Dois círculos, um sólido e um preenchido com pontos">
          <a:extLst>
            <a:ext uri="{FF2B5EF4-FFF2-40B4-BE49-F238E27FC236}">
              <a16:creationId xmlns:a16="http://schemas.microsoft.com/office/drawing/2014/main" id="{00000000-0008-0000-2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547100" y="1443000"/>
          <a:ext cx="1498600" cy="1498600"/>
        </a:xfrm>
        <a:prstGeom prst="rect">
          <a:avLst/>
        </a:prstGeom>
      </xdr:spPr>
    </xdr:pic>
    <xdr:clientData/>
  </xdr:twoCellAnchor>
  <xdr:twoCellAnchor editAs="oneCell">
    <xdr:from>
      <xdr:col>2</xdr:col>
      <xdr:colOff>323000</xdr:colOff>
      <xdr:row>9</xdr:row>
      <xdr:rowOff>123825</xdr:rowOff>
    </xdr:from>
    <xdr:to>
      <xdr:col>4</xdr:col>
      <xdr:colOff>247650</xdr:colOff>
      <xdr:row>16</xdr:row>
      <xdr:rowOff>42125</xdr:rowOff>
    </xdr:to>
    <xdr:pic>
      <xdr:nvPicPr>
        <xdr:cNvPr id="10" name="Gráfico 9" descr="Um círculo preenchido com linhas diagonais">
          <a:extLst>
            <a:ext uri="{FF2B5EF4-FFF2-40B4-BE49-F238E27FC236}">
              <a16:creationId xmlns:a16="http://schemas.microsoft.com/office/drawing/2014/main" id="{00000000-0008-0000-2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542200" y="1838325"/>
          <a:ext cx="1143850" cy="1251800"/>
        </a:xfrm>
        <a:prstGeom prst="rect">
          <a:avLst/>
        </a:prstGeom>
      </xdr:spPr>
    </xdr:pic>
    <xdr:clientData/>
  </xdr:twoCellAnchor>
  <xdr:twoCellAnchor editAs="oneCell">
    <xdr:from>
      <xdr:col>9</xdr:col>
      <xdr:colOff>622300</xdr:colOff>
      <xdr:row>0</xdr:row>
      <xdr:rowOff>0</xdr:rowOff>
    </xdr:from>
    <xdr:to>
      <xdr:col>11</xdr:col>
      <xdr:colOff>152400</xdr:colOff>
      <xdr:row>4</xdr:row>
      <xdr:rowOff>76200</xdr:rowOff>
    </xdr:to>
    <xdr:pic>
      <xdr:nvPicPr>
        <xdr:cNvPr id="11" name="Gráfico 10" descr="Um quadrado feito de pontos">
          <a:extLst>
            <a:ext uri="{FF2B5EF4-FFF2-40B4-BE49-F238E27FC236}">
              <a16:creationId xmlns:a16="http://schemas.microsoft.com/office/drawing/2014/main" id="{00000000-0008-0000-2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6394450" y="0"/>
          <a:ext cx="812800" cy="812800"/>
        </a:xfrm>
        <a:prstGeom prst="rect">
          <a:avLst/>
        </a:prstGeom>
      </xdr:spPr>
    </xdr:pic>
    <xdr:clientData/>
  </xdr:twoCellAnchor>
  <xdr:twoCellAnchor>
    <xdr:from>
      <xdr:col>7</xdr:col>
      <xdr:colOff>107950</xdr:colOff>
      <xdr:row>1</xdr:row>
      <xdr:rowOff>25400</xdr:rowOff>
    </xdr:from>
    <xdr:to>
      <xdr:col>10</xdr:col>
      <xdr:colOff>577850</xdr:colOff>
      <xdr:row>4</xdr:row>
      <xdr:rowOff>19050</xdr:rowOff>
    </xdr:to>
    <xdr:sp macro="" textlink="">
      <xdr:nvSpPr>
        <xdr:cNvPr id="12" name="Retângulo: Cantos Diagonais Arredondados 11">
          <a:extLst>
            <a:ext uri="{FF2B5EF4-FFF2-40B4-BE49-F238E27FC236}">
              <a16:creationId xmlns:a16="http://schemas.microsoft.com/office/drawing/2014/main" id="{00000000-0008-0000-2500-00000C000000}"/>
            </a:ext>
            <a:ext uri="{147F2762-F138-4A5C-976F-8EAC2B608ADB}">
              <a16:predDERef xmlns:a16="http://schemas.microsoft.com/office/drawing/2014/main" pred="{00000000-0008-0000-1500-00000B000000}"/>
            </a:ext>
          </a:extLst>
        </xdr:cNvPr>
        <xdr:cNvSpPr/>
      </xdr:nvSpPr>
      <xdr:spPr>
        <a:xfrm>
          <a:off x="4597400" y="209550"/>
          <a:ext cx="2393950" cy="546100"/>
        </a:xfrm>
        <a:prstGeom prst="round2Diag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tx1"/>
              </a:solidFill>
              <a:latin typeface="Leky Calgria"/>
            </a:rPr>
            <a:t>VENDAS</a:t>
          </a:r>
        </a:p>
      </xdr:txBody>
    </xdr:sp>
    <xdr:clientData/>
  </xdr:twoCellAnchor>
  <xdr:twoCellAnchor>
    <xdr:from>
      <xdr:col>9</xdr:col>
      <xdr:colOff>140406</xdr:colOff>
      <xdr:row>12</xdr:row>
      <xdr:rowOff>171450</xdr:rowOff>
    </xdr:from>
    <xdr:to>
      <xdr:col>14</xdr:col>
      <xdr:colOff>323850</xdr:colOff>
      <xdr:row>20</xdr:row>
      <xdr:rowOff>60324</xdr:rowOff>
    </xdr:to>
    <xdr:sp macro="" textlink="">
      <xdr:nvSpPr>
        <xdr:cNvPr id="2" name="Retângulo: Cantos Arredondados 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5626806" y="2457450"/>
          <a:ext cx="3231444" cy="1412874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tx1"/>
              </a:solidFill>
            </a:rPr>
            <a:t>Database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152399</xdr:colOff>
      <xdr:row>0</xdr:row>
      <xdr:rowOff>76200</xdr:rowOff>
    </xdr:from>
    <xdr:to>
      <xdr:col>1</xdr:col>
      <xdr:colOff>25400</xdr:colOff>
      <xdr:row>4</xdr:row>
      <xdr:rowOff>172575</xdr:rowOff>
    </xdr:to>
    <xdr:pic>
      <xdr:nvPicPr>
        <xdr:cNvPr id="2" name="Imagem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02000000}"/>
            </a:ext>
            <a:ext uri="{147F2762-F138-4A5C-976F-8EAC2B608ADB}">
              <a16:predDERef xmlns:a16="http://schemas.microsoft.com/office/drawing/2014/main" pred="{A80A4909-FA8A-4FFD-88DF-64FDE726C3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152399" y="76200"/>
          <a:ext cx="482601" cy="858375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5</xdr:row>
      <xdr:rowOff>95250</xdr:rowOff>
    </xdr:from>
    <xdr:to>
      <xdr:col>1</xdr:col>
      <xdr:colOff>74326</xdr:colOff>
      <xdr:row>8</xdr:row>
      <xdr:rowOff>95250</xdr:rowOff>
    </xdr:to>
    <xdr:pic>
      <xdr:nvPicPr>
        <xdr:cNvPr id="3" name="Imagem 1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03000000}"/>
            </a:ext>
            <a:ext uri="{147F2762-F138-4A5C-976F-8EAC2B608ADB}">
              <a16:predDERef xmlns:a16="http://schemas.microsoft.com/office/drawing/2014/main" pred="{E52ECBB2-5D26-4EC9-8535-D3BD3374E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3350" y="1047750"/>
          <a:ext cx="550576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8</xdr:row>
      <xdr:rowOff>66675</xdr:rowOff>
    </xdr:from>
    <xdr:to>
      <xdr:col>1</xdr:col>
      <xdr:colOff>85725</xdr:colOff>
      <xdr:row>11</xdr:row>
      <xdr:rowOff>171450</xdr:rowOff>
    </xdr:to>
    <xdr:pic>
      <xdr:nvPicPr>
        <xdr:cNvPr id="4" name="Imagem 3" descr="Dinheiro com preenchimento sólid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600-000004000000}"/>
            </a:ext>
            <a:ext uri="{147F2762-F138-4A5C-976F-8EAC2B608ADB}">
              <a16:predDERef xmlns:a16="http://schemas.microsoft.com/office/drawing/2014/main" pred="{B79E324D-AC81-465B-BB85-FF07972F6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95250" y="1590675"/>
          <a:ext cx="600075" cy="676275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419950</xdr:colOff>
      <xdr:row>5</xdr:row>
      <xdr:rowOff>66675</xdr:rowOff>
    </xdr:from>
    <xdr:to>
      <xdr:col>7</xdr:col>
      <xdr:colOff>581875</xdr:colOff>
      <xdr:row>12</xdr:row>
      <xdr:rowOff>152400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1639150" y="1019175"/>
          <a:ext cx="3209925" cy="1419225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0" i="0" u="none" strike="noStrike">
              <a:solidFill>
                <a:schemeClr val="tx1"/>
              </a:solidFill>
              <a:latin typeface="Aptos Narrow" panose="020B0004020202020204" pitchFamily="34" charset="0"/>
            </a:rPr>
            <a:t>Gráfico</a:t>
          </a:r>
          <a:r>
            <a:rPr lang="en-US" sz="2000" b="0" i="0" u="none" strike="noStrike" baseline="0">
              <a:solidFill>
                <a:schemeClr val="tx1"/>
              </a:solidFill>
              <a:latin typeface="Aptos Narrow" panose="020B0004020202020204" pitchFamily="34" charset="0"/>
            </a:rPr>
            <a:t> de Clientes</a:t>
          </a:r>
          <a:endParaRPr lang="en-US" sz="2000" b="0" i="0" u="none" strike="noStrike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 editAs="oneCell">
    <xdr:from>
      <xdr:col>5</xdr:col>
      <xdr:colOff>153249</xdr:colOff>
      <xdr:row>0</xdr:row>
      <xdr:rowOff>66675</xdr:rowOff>
    </xdr:from>
    <xdr:to>
      <xdr:col>6</xdr:col>
      <xdr:colOff>26250</xdr:colOff>
      <xdr:row>4</xdr:row>
      <xdr:rowOff>163050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3201249" y="66675"/>
          <a:ext cx="482601" cy="858375"/>
        </a:xfrm>
        <a:prstGeom prst="rect">
          <a:avLst/>
        </a:prstGeom>
      </xdr:spPr>
    </xdr:pic>
    <xdr:clientData/>
  </xdr:twoCellAnchor>
  <xdr:twoCellAnchor editAs="oneCell">
    <xdr:from>
      <xdr:col>1</xdr:col>
      <xdr:colOff>392150</xdr:colOff>
      <xdr:row>3</xdr:row>
      <xdr:rowOff>10300</xdr:rowOff>
    </xdr:from>
    <xdr:to>
      <xdr:col>3</xdr:col>
      <xdr:colOff>597750</xdr:colOff>
      <xdr:row>11</xdr:row>
      <xdr:rowOff>57150</xdr:rowOff>
    </xdr:to>
    <xdr:pic>
      <xdr:nvPicPr>
        <xdr:cNvPr id="4" name="Gráfico 3" descr="Dois quadrados e uma linha em ziguezague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001750" y="581800"/>
          <a:ext cx="1424800" cy="1570850"/>
        </a:xfrm>
        <a:prstGeom prst="rect">
          <a:avLst/>
        </a:prstGeom>
      </xdr:spPr>
    </xdr:pic>
    <xdr:clientData/>
  </xdr:twoCellAnchor>
  <xdr:twoCellAnchor>
    <xdr:from>
      <xdr:col>8</xdr:col>
      <xdr:colOff>96806</xdr:colOff>
      <xdr:row>5</xdr:row>
      <xdr:rowOff>47625</xdr:rowOff>
    </xdr:from>
    <xdr:to>
      <xdr:col>13</xdr:col>
      <xdr:colOff>280250</xdr:colOff>
      <xdr:row>12</xdr:row>
      <xdr:rowOff>136524</xdr:rowOff>
    </xdr:to>
    <xdr:sp macro="" textlink="">
      <xdr:nvSpPr>
        <xdr:cNvPr id="5" name="Retângulo: Cantos Arredondados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700-000005000000}"/>
            </a:ext>
            <a:ext uri="{147F2762-F138-4A5C-976F-8EAC2B608ADB}">
              <a16:predDERef xmlns:a16="http://schemas.microsoft.com/office/drawing/2014/main" pred="{00000000-0008-0000-1500-000005000000}"/>
            </a:ext>
          </a:extLst>
        </xdr:cNvPr>
        <xdr:cNvSpPr/>
      </xdr:nvSpPr>
      <xdr:spPr>
        <a:xfrm>
          <a:off x="4973606" y="1000125"/>
          <a:ext cx="3231444" cy="1422399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20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Gráfico</a:t>
          </a:r>
          <a:r>
            <a:rPr lang="pt-BR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de vendas</a:t>
          </a:r>
          <a:endParaRPr lang="pt-BR" sz="2000">
            <a:solidFill>
              <a:schemeClr val="tx1"/>
            </a:solidFill>
            <a:effectLst/>
          </a:endParaRPr>
        </a:p>
        <a:p>
          <a:pPr marL="0" indent="0" algn="ctr"/>
          <a:endParaRPr lang="en-US" sz="2000">
            <a:solidFill>
              <a:schemeClr val="lt1"/>
            </a:solidFill>
            <a:latin typeface="+mn-lt"/>
            <a:ea typeface="+mn-lt"/>
            <a:cs typeface="+mn-lt"/>
          </a:endParaRPr>
        </a:p>
      </xdr:txBody>
    </xdr:sp>
    <xdr:clientData/>
  </xdr:twoCellAnchor>
  <xdr:twoCellAnchor editAs="oneCell">
    <xdr:from>
      <xdr:col>12</xdr:col>
      <xdr:colOff>343750</xdr:colOff>
      <xdr:row>2</xdr:row>
      <xdr:rowOff>187325</xdr:rowOff>
    </xdr:from>
    <xdr:to>
      <xdr:col>14</xdr:col>
      <xdr:colOff>178650</xdr:colOff>
      <xdr:row>9</xdr:row>
      <xdr:rowOff>9525</xdr:rowOff>
    </xdr:to>
    <xdr:pic>
      <xdr:nvPicPr>
        <xdr:cNvPr id="6" name="Gráfico 5" descr="Um círculo preenchido com pontos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58950" y="568325"/>
          <a:ext cx="1054100" cy="1155700"/>
        </a:xfrm>
        <a:prstGeom prst="rect">
          <a:avLst/>
        </a:prstGeom>
      </xdr:spPr>
    </xdr:pic>
    <xdr:clientData/>
  </xdr:twoCellAnchor>
  <xdr:twoCellAnchor editAs="oneCell">
    <xdr:from>
      <xdr:col>12</xdr:col>
      <xdr:colOff>191350</xdr:colOff>
      <xdr:row>8</xdr:row>
      <xdr:rowOff>30125</xdr:rowOff>
    </xdr:from>
    <xdr:to>
      <xdr:col>14</xdr:col>
      <xdr:colOff>407250</xdr:colOff>
      <xdr:row>16</xdr:row>
      <xdr:rowOff>46000</xdr:rowOff>
    </xdr:to>
    <xdr:pic>
      <xdr:nvPicPr>
        <xdr:cNvPr id="7" name="Gráfico 6" descr="Dois círculos, um sólido e um preenchido com pontos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506550" y="1554125"/>
          <a:ext cx="1435100" cy="1539875"/>
        </a:xfrm>
        <a:prstGeom prst="rect">
          <a:avLst/>
        </a:prstGeom>
      </xdr:spPr>
    </xdr:pic>
    <xdr:clientData/>
  </xdr:twoCellAnchor>
  <xdr:twoCellAnchor editAs="oneCell">
    <xdr:from>
      <xdr:col>1</xdr:col>
      <xdr:colOff>304800</xdr:colOff>
      <xdr:row>10</xdr:row>
      <xdr:rowOff>0</xdr:rowOff>
    </xdr:from>
    <xdr:to>
      <xdr:col>3</xdr:col>
      <xdr:colOff>229450</xdr:colOff>
      <xdr:row>16</xdr:row>
      <xdr:rowOff>108800</xdr:rowOff>
    </xdr:to>
    <xdr:pic>
      <xdr:nvPicPr>
        <xdr:cNvPr id="8" name="Gráfico 7" descr="Um círculo preenchido com linhas diagonais">
          <a:extLst>
            <a:ext uri="{FF2B5EF4-FFF2-40B4-BE49-F238E27FC236}">
              <a16:creationId xmlns:a16="http://schemas.microsoft.com/office/drawing/2014/main" id="{00000000-0008-0000-2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4400" y="1905000"/>
          <a:ext cx="1143850" cy="1251800"/>
        </a:xfrm>
        <a:prstGeom prst="rect">
          <a:avLst/>
        </a:prstGeom>
      </xdr:spPr>
    </xdr:pic>
    <xdr:clientData/>
  </xdr:twoCellAnchor>
  <xdr:twoCellAnchor>
    <xdr:from>
      <xdr:col>6</xdr:col>
      <xdr:colOff>89750</xdr:colOff>
      <xdr:row>1</xdr:row>
      <xdr:rowOff>92075</xdr:rowOff>
    </xdr:from>
    <xdr:to>
      <xdr:col>9</xdr:col>
      <xdr:colOff>559650</xdr:colOff>
      <xdr:row>4</xdr:row>
      <xdr:rowOff>85725</xdr:rowOff>
    </xdr:to>
    <xdr:sp macro="" textlink="">
      <xdr:nvSpPr>
        <xdr:cNvPr id="9" name="Retângulo: Cantos Diagonais Arredondados 8">
          <a:extLst>
            <a:ext uri="{FF2B5EF4-FFF2-40B4-BE49-F238E27FC236}">
              <a16:creationId xmlns:a16="http://schemas.microsoft.com/office/drawing/2014/main" id="{00000000-0008-0000-2700-000009000000}"/>
            </a:ext>
            <a:ext uri="{147F2762-F138-4A5C-976F-8EAC2B608ADB}">
              <a16:predDERef xmlns:a16="http://schemas.microsoft.com/office/drawing/2014/main" pred="{00000000-0008-0000-1500-00000B000000}"/>
            </a:ext>
          </a:extLst>
        </xdr:cNvPr>
        <xdr:cNvSpPr/>
      </xdr:nvSpPr>
      <xdr:spPr>
        <a:xfrm>
          <a:off x="3747350" y="282575"/>
          <a:ext cx="2298700" cy="565150"/>
        </a:xfrm>
        <a:prstGeom prst="round2Diag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tx1"/>
              </a:solidFill>
              <a:latin typeface="Leky Calgria"/>
            </a:rPr>
            <a:t>VENDAS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57149</xdr:colOff>
      <xdr:row>0</xdr:row>
      <xdr:rowOff>9525</xdr:rowOff>
    </xdr:from>
    <xdr:to>
      <xdr:col>0</xdr:col>
      <xdr:colOff>539750</xdr:colOff>
      <xdr:row>4</xdr:row>
      <xdr:rowOff>105900</xdr:rowOff>
    </xdr:to>
    <xdr:pic>
      <xdr:nvPicPr>
        <xdr:cNvPr id="8" name="Imagem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800-000008000000}"/>
            </a:ext>
            <a:ext uri="{147F2762-F138-4A5C-976F-8EAC2B608ADB}">
              <a16:predDERef xmlns:a16="http://schemas.microsoft.com/office/drawing/2014/main" pred="{A80A4909-FA8A-4FFD-88DF-64FDE726C3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57149" y="200025"/>
          <a:ext cx="482601" cy="85837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5</xdr:row>
      <xdr:rowOff>28575</xdr:rowOff>
    </xdr:from>
    <xdr:to>
      <xdr:col>0</xdr:col>
      <xdr:colOff>588676</xdr:colOff>
      <xdr:row>8</xdr:row>
      <xdr:rowOff>28575</xdr:rowOff>
    </xdr:to>
    <xdr:pic>
      <xdr:nvPicPr>
        <xdr:cNvPr id="9" name="Imagem 1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800-000009000000}"/>
            </a:ext>
            <a:ext uri="{147F2762-F138-4A5C-976F-8EAC2B608ADB}">
              <a16:predDERef xmlns:a16="http://schemas.microsoft.com/office/drawing/2014/main" pred="{E52ECBB2-5D26-4EC9-8535-D3BD3374E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" y="1171575"/>
          <a:ext cx="550576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11</xdr:row>
      <xdr:rowOff>104775</xdr:rowOff>
    </xdr:to>
    <xdr:pic>
      <xdr:nvPicPr>
        <xdr:cNvPr id="10" name="Imagem 3" descr="Dinheiro com preenchimento sólid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800-00000A000000}"/>
            </a:ext>
            <a:ext uri="{147F2762-F138-4A5C-976F-8EAC2B608ADB}">
              <a16:predDERef xmlns:a16="http://schemas.microsoft.com/office/drawing/2014/main" pred="{B79E324D-AC81-465B-BB85-FF07972F6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1714500"/>
          <a:ext cx="600075" cy="676275"/>
        </a:xfrm>
        <a:prstGeom prst="rect">
          <a:avLst/>
        </a:prstGeom>
      </xdr:spPr>
    </xdr:pic>
    <xdr:clientData/>
  </xdr:twoCellAnchor>
  <xdr:twoCellAnchor>
    <xdr:from>
      <xdr:col>1</xdr:col>
      <xdr:colOff>504825</xdr:colOff>
      <xdr:row>1</xdr:row>
      <xdr:rowOff>104775</xdr:rowOff>
    </xdr:from>
    <xdr:to>
      <xdr:col>12</xdr:col>
      <xdr:colOff>552450</xdr:colOff>
      <xdr:row>21</xdr:row>
      <xdr:rowOff>85725</xdr:rowOff>
    </xdr:to>
    <xdr:graphicFrame macro="">
      <xdr:nvGraphicFramePr>
        <xdr:cNvPr id="11" name="Gráfico 1">
          <a:extLst>
            <a:ext uri="{FF2B5EF4-FFF2-40B4-BE49-F238E27FC236}">
              <a16:creationId xmlns:a16="http://schemas.microsoft.com/office/drawing/2014/main" id="{00000000-0008-0000-2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2</xdr:row>
      <xdr:rowOff>104775</xdr:rowOff>
    </xdr:from>
    <xdr:to>
      <xdr:col>11</xdr:col>
      <xdr:colOff>485775</xdr:colOff>
      <xdr:row>20</xdr:row>
      <xdr:rowOff>38100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57149</xdr:colOff>
      <xdr:row>1</xdr:row>
      <xdr:rowOff>9525</xdr:rowOff>
    </xdr:from>
    <xdr:to>
      <xdr:col>0</xdr:col>
      <xdr:colOff>539750</xdr:colOff>
      <xdr:row>5</xdr:row>
      <xdr:rowOff>105900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3000000}"/>
            </a:ext>
            <a:ext uri="{147F2762-F138-4A5C-976F-8EAC2B608ADB}">
              <a16:predDERef xmlns:a16="http://schemas.microsoft.com/office/drawing/2014/main" pred="{A80A4909-FA8A-4FFD-88DF-64FDE726C3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57149" y="9525"/>
          <a:ext cx="482601" cy="85837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6</xdr:row>
      <xdr:rowOff>28575</xdr:rowOff>
    </xdr:from>
    <xdr:to>
      <xdr:col>0</xdr:col>
      <xdr:colOff>588676</xdr:colOff>
      <xdr:row>9</xdr:row>
      <xdr:rowOff>28575</xdr:rowOff>
    </xdr:to>
    <xdr:pic>
      <xdr:nvPicPr>
        <xdr:cNvPr id="4" name="Imagem 1" descr="Início com preenchiment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4000000}"/>
            </a:ext>
            <a:ext uri="{147F2762-F138-4A5C-976F-8EAC2B608ADB}">
              <a16:predDERef xmlns:a16="http://schemas.microsoft.com/office/drawing/2014/main" pred="{E52ECBB2-5D26-4EC9-8535-D3BD3374E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8100" y="981075"/>
          <a:ext cx="550576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12</xdr:row>
      <xdr:rowOff>104775</xdr:rowOff>
    </xdr:to>
    <xdr:pic>
      <xdr:nvPicPr>
        <xdr:cNvPr id="5" name="Imagem 3" descr="Dinheiro com preenchimento sólido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900-000005000000}"/>
            </a:ext>
            <a:ext uri="{147F2762-F138-4A5C-976F-8EAC2B608ADB}">
              <a16:predDERef xmlns:a16="http://schemas.microsoft.com/office/drawing/2014/main" pred="{B79E324D-AC81-465B-BB85-FF07972F6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524000"/>
          <a:ext cx="600075" cy="676275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57149</xdr:colOff>
      <xdr:row>0</xdr:row>
      <xdr:rowOff>95250</xdr:rowOff>
    </xdr:from>
    <xdr:to>
      <xdr:col>0</xdr:col>
      <xdr:colOff>539750</xdr:colOff>
      <xdr:row>5</xdr:row>
      <xdr:rowOff>1125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A00-000002000000}"/>
            </a:ext>
            <a:ext uri="{147F2762-F138-4A5C-976F-8EAC2B608ADB}">
              <a16:predDERef xmlns:a16="http://schemas.microsoft.com/office/drawing/2014/main" pred="{A80A4909-FA8A-4FFD-88DF-64FDE726C3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57149" y="95250"/>
          <a:ext cx="482601" cy="85837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6</xdr:row>
      <xdr:rowOff>57150</xdr:rowOff>
    </xdr:from>
    <xdr:to>
      <xdr:col>0</xdr:col>
      <xdr:colOff>588676</xdr:colOff>
      <xdr:row>8</xdr:row>
      <xdr:rowOff>62964</xdr:rowOff>
    </xdr:to>
    <xdr:pic>
      <xdr:nvPicPr>
        <xdr:cNvPr id="3" name="Imagem 1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A00-000003000000}"/>
            </a:ext>
            <a:ext uri="{147F2762-F138-4A5C-976F-8EAC2B608ADB}">
              <a16:predDERef xmlns:a16="http://schemas.microsoft.com/office/drawing/2014/main" pred="{E52ECBB2-5D26-4EC9-8535-D3BD3374E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" y="1276350"/>
          <a:ext cx="550576" cy="5773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142875</xdr:rowOff>
    </xdr:from>
    <xdr:to>
      <xdr:col>0</xdr:col>
      <xdr:colOff>600075</xdr:colOff>
      <xdr:row>11</xdr:row>
      <xdr:rowOff>19050</xdr:rowOff>
    </xdr:to>
    <xdr:pic>
      <xdr:nvPicPr>
        <xdr:cNvPr id="4" name="Imagem 3" descr="Dinheiro com preenchimento sólid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A00-000004000000}"/>
            </a:ext>
            <a:ext uri="{147F2762-F138-4A5C-976F-8EAC2B608ADB}">
              <a16:predDERef xmlns:a16="http://schemas.microsoft.com/office/drawing/2014/main" pred="{B79E324D-AC81-465B-BB85-FF07972F6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1819275"/>
          <a:ext cx="600075" cy="676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42</xdr:row>
          <xdr:rowOff>152400</xdr:rowOff>
        </xdr:from>
        <xdr:to>
          <xdr:col>7</xdr:col>
          <xdr:colOff>1571625</xdr:colOff>
          <xdr:row>46</xdr:row>
          <xdr:rowOff>9525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2A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57149</xdr:colOff>
      <xdr:row>1</xdr:row>
      <xdr:rowOff>9525</xdr:rowOff>
    </xdr:from>
    <xdr:to>
      <xdr:col>0</xdr:col>
      <xdr:colOff>539750</xdr:colOff>
      <xdr:row>5</xdr:row>
      <xdr:rowOff>105900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B00-000003000000}"/>
            </a:ext>
            <a:ext uri="{147F2762-F138-4A5C-976F-8EAC2B608ADB}">
              <a16:predDERef xmlns:a16="http://schemas.microsoft.com/office/drawing/2014/main" pred="{A80A4909-FA8A-4FFD-88DF-64FDE726C3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57149" y="9525"/>
          <a:ext cx="482601" cy="85837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6</xdr:row>
      <xdr:rowOff>28575</xdr:rowOff>
    </xdr:from>
    <xdr:to>
      <xdr:col>0</xdr:col>
      <xdr:colOff>588676</xdr:colOff>
      <xdr:row>9</xdr:row>
      <xdr:rowOff>28575</xdr:rowOff>
    </xdr:to>
    <xdr:pic>
      <xdr:nvPicPr>
        <xdr:cNvPr id="2" name="Imagem 1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B00-000002000000}"/>
            </a:ext>
            <a:ext uri="{147F2762-F138-4A5C-976F-8EAC2B608ADB}">
              <a16:predDERef xmlns:a16="http://schemas.microsoft.com/office/drawing/2014/main" pred="{E52ECBB2-5D26-4EC9-8535-D3BD3374E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" y="1171575"/>
          <a:ext cx="550576" cy="5773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600075</xdr:colOff>
      <xdr:row>12</xdr:row>
      <xdr:rowOff>104775</xdr:rowOff>
    </xdr:to>
    <xdr:pic>
      <xdr:nvPicPr>
        <xdr:cNvPr id="4" name="Imagem 3" descr="Dinheiro com preenchimento sólid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B00-000004000000}"/>
            </a:ext>
            <a:ext uri="{147F2762-F138-4A5C-976F-8EAC2B608ADB}">
              <a16:predDERef xmlns:a16="http://schemas.microsoft.com/office/drawing/2014/main" pred="{B79E324D-AC81-465B-BB85-FF07972F6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1714500"/>
          <a:ext cx="600075" cy="676275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13406</xdr:colOff>
      <xdr:row>5</xdr:row>
      <xdr:rowOff>12700</xdr:rowOff>
    </xdr:from>
    <xdr:to>
      <xdr:col>7</xdr:col>
      <xdr:colOff>635000</xdr:colOff>
      <xdr:row>10</xdr:row>
      <xdr:rowOff>127000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/>
      </xdr:nvSpPr>
      <xdr:spPr>
        <a:xfrm>
          <a:off x="3220156" y="933450"/>
          <a:ext cx="1904294" cy="1035050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  <a:p>
          <a:pPr algn="ctr"/>
          <a:r>
            <a:rPr lang="pt-BR" sz="1100"/>
            <a:t> </a:t>
          </a:r>
          <a:r>
            <a:rPr lang="pt-BR" sz="1200">
              <a:solidFill>
                <a:schemeClr val="tx1"/>
              </a:solidFill>
              <a:latin typeface="Gordita" pitchFamily="50" charset="0"/>
              <a:cs typeface="Gordita" pitchFamily="50" charset="0"/>
            </a:rPr>
            <a:t>Folha</a:t>
          </a:r>
          <a:r>
            <a:rPr lang="pt-BR" sz="1200" baseline="0">
              <a:solidFill>
                <a:schemeClr val="tx1"/>
              </a:solidFill>
              <a:latin typeface="Gordita" pitchFamily="50" charset="0"/>
              <a:cs typeface="Gordita" pitchFamily="50" charset="0"/>
            </a:rPr>
            <a:t> de</a:t>
          </a:r>
        </a:p>
        <a:p>
          <a:pPr algn="ctr"/>
          <a:r>
            <a:rPr lang="pt-BR" sz="1200" baseline="0">
              <a:solidFill>
                <a:schemeClr val="tx1"/>
              </a:solidFill>
              <a:latin typeface="Gordita" pitchFamily="50" charset="0"/>
              <a:cs typeface="Gordita" pitchFamily="50" charset="0"/>
            </a:rPr>
            <a:t>pagamento</a:t>
          </a:r>
          <a:endParaRPr lang="pt-BR" sz="1200"/>
        </a:p>
      </xdr:txBody>
    </xdr:sp>
    <xdr:clientData/>
  </xdr:twoCellAnchor>
  <xdr:twoCellAnchor editAs="oneCell">
    <xdr:from>
      <xdr:col>3</xdr:col>
      <xdr:colOff>416700</xdr:colOff>
      <xdr:row>3</xdr:row>
      <xdr:rowOff>118250</xdr:rowOff>
    </xdr:from>
    <xdr:to>
      <xdr:col>5</xdr:col>
      <xdr:colOff>571500</xdr:colOff>
      <xdr:row>11</xdr:row>
      <xdr:rowOff>82550</xdr:rowOff>
    </xdr:to>
    <xdr:pic>
      <xdr:nvPicPr>
        <xdr:cNvPr id="5" name="Gráfico 4" descr="Dois quadrados e uma linha em ziguezague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40750" y="670700"/>
          <a:ext cx="1437500" cy="1437500"/>
        </a:xfrm>
        <a:prstGeom prst="rect">
          <a:avLst/>
        </a:prstGeom>
      </xdr:spPr>
    </xdr:pic>
    <xdr:clientData/>
  </xdr:twoCellAnchor>
  <xdr:twoCellAnchor>
    <xdr:from>
      <xdr:col>9</xdr:col>
      <xdr:colOff>426156</xdr:colOff>
      <xdr:row>11</xdr:row>
      <xdr:rowOff>12700</xdr:rowOff>
    </xdr:from>
    <xdr:to>
      <xdr:col>12</xdr:col>
      <xdr:colOff>406400</xdr:colOff>
      <xdr:row>16</xdr:row>
      <xdr:rowOff>127000</xdr:rowOff>
    </xdr:to>
    <xdr:sp macro="" textlink="">
      <xdr:nvSpPr>
        <xdr:cNvPr id="14" name="Retângulo: Cantos Arredondados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C00-00000E000000}"/>
            </a:ext>
          </a:extLst>
        </xdr:cNvPr>
        <xdr:cNvSpPr/>
      </xdr:nvSpPr>
      <xdr:spPr>
        <a:xfrm>
          <a:off x="6198306" y="2038350"/>
          <a:ext cx="1904294" cy="1035050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  <a:p>
          <a:pPr algn="l"/>
          <a:endParaRPr lang="pt-BR" sz="1100"/>
        </a:p>
        <a:p>
          <a:pPr algn="ctr"/>
          <a:r>
            <a:rPr lang="pt-BR" sz="1200">
              <a:solidFill>
                <a:schemeClr val="tx1"/>
              </a:solidFill>
              <a:latin typeface="Gordita" pitchFamily="50" charset="0"/>
              <a:cs typeface="Gordita" pitchFamily="50" charset="0"/>
            </a:rPr>
            <a:t>Database</a:t>
          </a:r>
        </a:p>
      </xdr:txBody>
    </xdr:sp>
    <xdr:clientData/>
  </xdr:twoCellAnchor>
  <xdr:twoCellAnchor>
    <xdr:from>
      <xdr:col>11</xdr:col>
      <xdr:colOff>115006</xdr:colOff>
      <xdr:row>5</xdr:row>
      <xdr:rowOff>19050</xdr:rowOff>
    </xdr:from>
    <xdr:to>
      <xdr:col>14</xdr:col>
      <xdr:colOff>95250</xdr:colOff>
      <xdr:row>10</xdr:row>
      <xdr:rowOff>133350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2C00-00000F000000}"/>
            </a:ext>
          </a:extLst>
        </xdr:cNvPr>
        <xdr:cNvSpPr/>
      </xdr:nvSpPr>
      <xdr:spPr>
        <a:xfrm>
          <a:off x="7169856" y="939800"/>
          <a:ext cx="1904294" cy="1035050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  <a:p>
          <a:pPr algn="ctr"/>
          <a:r>
            <a:rPr lang="pt-BR" sz="1200">
              <a:solidFill>
                <a:schemeClr val="tx1"/>
              </a:solidFill>
              <a:latin typeface="Gordita" pitchFamily="50" charset="0"/>
              <a:cs typeface="Gordita" pitchFamily="50" charset="0"/>
            </a:rPr>
            <a:t>Novos</a:t>
          </a:r>
        </a:p>
        <a:p>
          <a:pPr algn="ctr"/>
          <a:r>
            <a:rPr lang="pt-BR" sz="1200">
              <a:solidFill>
                <a:schemeClr val="tx1"/>
              </a:solidFill>
              <a:latin typeface="Gordita" pitchFamily="50" charset="0"/>
              <a:cs typeface="Gordita" pitchFamily="50" charset="0"/>
            </a:rPr>
            <a:t>cadastros</a:t>
          </a:r>
          <a:endParaRPr lang="pt-BR" sz="1100"/>
        </a:p>
      </xdr:txBody>
    </xdr:sp>
    <xdr:clientData/>
  </xdr:twoCellAnchor>
  <xdr:twoCellAnchor>
    <xdr:from>
      <xdr:col>8</xdr:col>
      <xdr:colOff>64206</xdr:colOff>
      <xdr:row>5</xdr:row>
      <xdr:rowOff>25400</xdr:rowOff>
    </xdr:from>
    <xdr:to>
      <xdr:col>11</xdr:col>
      <xdr:colOff>44450</xdr:colOff>
      <xdr:row>10</xdr:row>
      <xdr:rowOff>139700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2C00-000010000000}"/>
            </a:ext>
          </a:extLst>
        </xdr:cNvPr>
        <xdr:cNvSpPr/>
      </xdr:nvSpPr>
      <xdr:spPr>
        <a:xfrm>
          <a:off x="5195006" y="946150"/>
          <a:ext cx="1904294" cy="1035050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>
            <a:solidFill>
              <a:schemeClr val="lt1"/>
            </a:solidFill>
            <a:latin typeface="+mn-lt"/>
            <a:cs typeface="+mn-cs"/>
          </a:endParaRPr>
        </a:p>
        <a:p>
          <a:pPr algn="ctr"/>
          <a:r>
            <a:rPr lang="pt-BR" sz="1200">
              <a:solidFill>
                <a:schemeClr val="tx1"/>
              </a:solidFill>
              <a:latin typeface="Gordita" pitchFamily="50" charset="0"/>
              <a:cs typeface="Gordita" pitchFamily="50" charset="0"/>
            </a:rPr>
            <a:t>Adc</a:t>
          </a:r>
          <a:r>
            <a:rPr lang="pt-BR" sz="1200" baseline="0">
              <a:solidFill>
                <a:schemeClr val="tx1"/>
              </a:solidFill>
              <a:latin typeface="Gordita" pitchFamily="50" charset="0"/>
              <a:cs typeface="Gordita" pitchFamily="50" charset="0"/>
            </a:rPr>
            <a:t> </a:t>
          </a:r>
        </a:p>
        <a:p>
          <a:pPr algn="ctr"/>
          <a:r>
            <a:rPr lang="pt-BR" sz="1200" baseline="0">
              <a:solidFill>
                <a:schemeClr val="tx1"/>
              </a:solidFill>
              <a:latin typeface="Gordita" pitchFamily="50" charset="0"/>
              <a:cs typeface="Gordita" pitchFamily="50" charset="0"/>
            </a:rPr>
            <a:t>funcionário</a:t>
          </a:r>
          <a:endParaRPr lang="pt-BR" sz="1200">
            <a:solidFill>
              <a:schemeClr val="tx1"/>
            </a:solidFill>
            <a:latin typeface="Gordita" pitchFamily="50" charset="0"/>
            <a:cs typeface="Gordita" pitchFamily="50" charset="0"/>
          </a:endParaRPr>
        </a:p>
      </xdr:txBody>
    </xdr:sp>
    <xdr:clientData/>
  </xdr:twoCellAnchor>
  <xdr:twoCellAnchor editAs="oneCell">
    <xdr:from>
      <xdr:col>13</xdr:col>
      <xdr:colOff>266700</xdr:colOff>
      <xdr:row>2</xdr:row>
      <xdr:rowOff>95250</xdr:rowOff>
    </xdr:from>
    <xdr:to>
      <xdr:col>15</xdr:col>
      <xdr:colOff>0</xdr:colOff>
      <xdr:row>7</xdr:row>
      <xdr:rowOff>158750</xdr:rowOff>
    </xdr:to>
    <xdr:pic>
      <xdr:nvPicPr>
        <xdr:cNvPr id="9" name="Gráfico 8" descr="Um círculo preenchido com pontos">
          <a:extLst>
            <a:ext uri="{FF2B5EF4-FFF2-40B4-BE49-F238E27FC236}">
              <a16:creationId xmlns:a16="http://schemas.microsoft.com/office/drawing/2014/main" id="{00000000-0008-0000-2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8604250" y="463550"/>
          <a:ext cx="984250" cy="984250"/>
        </a:xfrm>
        <a:prstGeom prst="rect">
          <a:avLst/>
        </a:prstGeom>
      </xdr:spPr>
    </xdr:pic>
    <xdr:clientData/>
  </xdr:twoCellAnchor>
  <xdr:twoCellAnchor>
    <xdr:from>
      <xdr:col>6</xdr:col>
      <xdr:colOff>375356</xdr:colOff>
      <xdr:row>11</xdr:row>
      <xdr:rowOff>12700</xdr:rowOff>
    </xdr:from>
    <xdr:to>
      <xdr:col>9</xdr:col>
      <xdr:colOff>355600</xdr:colOff>
      <xdr:row>16</xdr:row>
      <xdr:rowOff>127000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2C00-000014000000}"/>
            </a:ext>
          </a:extLst>
        </xdr:cNvPr>
        <xdr:cNvSpPr/>
      </xdr:nvSpPr>
      <xdr:spPr>
        <a:xfrm>
          <a:off x="4223456" y="2038350"/>
          <a:ext cx="1904294" cy="1035050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  <a:p>
          <a:pPr algn="l"/>
          <a:endParaRPr lang="pt-BR" sz="1100"/>
        </a:p>
        <a:p>
          <a:pPr algn="ctr"/>
          <a:r>
            <a:rPr lang="pt-BR" sz="1200">
              <a:solidFill>
                <a:schemeClr val="tx1"/>
              </a:solidFill>
              <a:latin typeface="Gordita" pitchFamily="50" charset="0"/>
              <a:cs typeface="Gordita" pitchFamily="50" charset="0"/>
            </a:rPr>
            <a:t>Gráficos</a:t>
          </a:r>
        </a:p>
      </xdr:txBody>
    </xdr:sp>
    <xdr:clientData/>
  </xdr:twoCellAnchor>
  <xdr:twoCellAnchor editAs="oneCell">
    <xdr:from>
      <xdr:col>11</xdr:col>
      <xdr:colOff>476250</xdr:colOff>
      <xdr:row>11</xdr:row>
      <xdr:rowOff>122200</xdr:rowOff>
    </xdr:from>
    <xdr:to>
      <xdr:col>13</xdr:col>
      <xdr:colOff>447675</xdr:colOff>
      <xdr:row>18</xdr:row>
      <xdr:rowOff>115850</xdr:rowOff>
    </xdr:to>
    <xdr:pic>
      <xdr:nvPicPr>
        <xdr:cNvPr id="10" name="Gráfico 9" descr="Dois círculos, um sólido e um preenchido com pontos">
          <a:extLst>
            <a:ext uri="{FF2B5EF4-FFF2-40B4-BE49-F238E27FC236}">
              <a16:creationId xmlns:a16="http://schemas.microsoft.com/office/drawing/2014/main" id="{00000000-0008-0000-2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7531100" y="2147850"/>
          <a:ext cx="1254125" cy="1282700"/>
        </a:xfrm>
        <a:prstGeom prst="rect">
          <a:avLst/>
        </a:prstGeom>
      </xdr:spPr>
    </xdr:pic>
    <xdr:clientData/>
  </xdr:twoCellAnchor>
  <xdr:twoCellAnchor editAs="oneCell">
    <xdr:from>
      <xdr:col>6</xdr:col>
      <xdr:colOff>495300</xdr:colOff>
      <xdr:row>0</xdr:row>
      <xdr:rowOff>0</xdr:rowOff>
    </xdr:from>
    <xdr:to>
      <xdr:col>7</xdr:col>
      <xdr:colOff>368301</xdr:colOff>
      <xdr:row>4</xdr:row>
      <xdr:rowOff>96375</xdr:rowOff>
    </xdr:to>
    <xdr:pic>
      <xdr:nvPicPr>
        <xdr:cNvPr id="21" name="Imagem 2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C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4343400" y="0"/>
          <a:ext cx="514351" cy="832975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317500</xdr:colOff>
      <xdr:row>0</xdr:row>
      <xdr:rowOff>0</xdr:rowOff>
    </xdr:from>
    <xdr:to>
      <xdr:col>11</xdr:col>
      <xdr:colOff>488950</xdr:colOff>
      <xdr:row>4</xdr:row>
      <xdr:rowOff>76200</xdr:rowOff>
    </xdr:to>
    <xdr:pic>
      <xdr:nvPicPr>
        <xdr:cNvPr id="23" name="Gráfico 22" descr="Um quadrado feito de pontos">
          <a:extLst>
            <a:ext uri="{FF2B5EF4-FFF2-40B4-BE49-F238E27FC236}">
              <a16:creationId xmlns:a16="http://schemas.microsoft.com/office/drawing/2014/main" id="{00000000-0008-0000-2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6731000" y="0"/>
          <a:ext cx="812800" cy="812800"/>
        </a:xfrm>
        <a:prstGeom prst="rect">
          <a:avLst/>
        </a:prstGeom>
      </xdr:spPr>
    </xdr:pic>
    <xdr:clientData/>
  </xdr:twoCellAnchor>
  <xdr:twoCellAnchor>
    <xdr:from>
      <xdr:col>7</xdr:col>
      <xdr:colOff>431801</xdr:colOff>
      <xdr:row>1</xdr:row>
      <xdr:rowOff>25400</xdr:rowOff>
    </xdr:from>
    <xdr:to>
      <xdr:col>11</xdr:col>
      <xdr:colOff>260351</xdr:colOff>
      <xdr:row>4</xdr:row>
      <xdr:rowOff>19050</xdr:rowOff>
    </xdr:to>
    <xdr:sp macro="" textlink="">
      <xdr:nvSpPr>
        <xdr:cNvPr id="22" name="Retângulo: Cantos Diagonais Arredondados 21">
          <a:extLst>
            <a:ext uri="{FF2B5EF4-FFF2-40B4-BE49-F238E27FC236}">
              <a16:creationId xmlns:a16="http://schemas.microsoft.com/office/drawing/2014/main" id="{00000000-0008-0000-2C00-000016000000}"/>
            </a:ext>
          </a:extLst>
        </xdr:cNvPr>
        <xdr:cNvSpPr/>
      </xdr:nvSpPr>
      <xdr:spPr>
        <a:xfrm>
          <a:off x="4921251" y="209550"/>
          <a:ext cx="2393950" cy="546100"/>
        </a:xfrm>
        <a:prstGeom prst="round2Diag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>
              <a:solidFill>
                <a:schemeClr val="tx1"/>
              </a:solidFill>
              <a:latin typeface="Leky Calgria" panose="02000600000000000000" pitchFamily="2" charset="0"/>
              <a:cs typeface="Gordita" pitchFamily="50" charset="0"/>
            </a:rPr>
            <a:t>RH</a:t>
          </a:r>
        </a:p>
      </xdr:txBody>
    </xdr:sp>
    <xdr:clientData/>
  </xdr:twoCellAnchor>
  <xdr:twoCellAnchor editAs="oneCell">
    <xdr:from>
      <xdr:col>5</xdr:col>
      <xdr:colOff>424600</xdr:colOff>
      <xdr:row>12</xdr:row>
      <xdr:rowOff>88900</xdr:rowOff>
    </xdr:from>
    <xdr:to>
      <xdr:col>7</xdr:col>
      <xdr:colOff>69850</xdr:colOff>
      <xdr:row>17</xdr:row>
      <xdr:rowOff>96100</xdr:rowOff>
    </xdr:to>
    <xdr:pic>
      <xdr:nvPicPr>
        <xdr:cNvPr id="11" name="Gráfico 10" descr="Um círculo preenchido com linhas diagonais">
          <a:extLst>
            <a:ext uri="{FF2B5EF4-FFF2-40B4-BE49-F238E27FC236}">
              <a16:creationId xmlns:a16="http://schemas.microsoft.com/office/drawing/2014/main" id="{00000000-0008-0000-2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3631350" y="2298700"/>
          <a:ext cx="927950" cy="927950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177800</xdr:colOff>
      <xdr:row>0</xdr:row>
      <xdr:rowOff>38100</xdr:rowOff>
    </xdr:from>
    <xdr:to>
      <xdr:col>0</xdr:col>
      <xdr:colOff>488950</xdr:colOff>
      <xdr:row>3</xdr:row>
      <xdr:rowOff>1937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54" t="13267" r="32673" b="21716"/>
        <a:stretch/>
      </xdr:blipFill>
      <xdr:spPr>
        <a:xfrm>
          <a:off x="177800" y="38100"/>
          <a:ext cx="311150" cy="592487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</xdr:colOff>
      <xdr:row>2</xdr:row>
      <xdr:rowOff>165100</xdr:rowOff>
    </xdr:from>
    <xdr:to>
      <xdr:col>1</xdr:col>
      <xdr:colOff>1301</xdr:colOff>
      <xdr:row>5</xdr:row>
      <xdr:rowOff>94714</xdr:rowOff>
    </xdr:to>
    <xdr:pic>
      <xdr:nvPicPr>
        <xdr:cNvPr id="2" name="Gráfico 6" descr="Início com preenchiment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1750" y="584200"/>
          <a:ext cx="560101" cy="55826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82550</xdr:rowOff>
    </xdr:from>
    <xdr:to>
      <xdr:col>1</xdr:col>
      <xdr:colOff>12700</xdr:colOff>
      <xdr:row>8</xdr:row>
      <xdr:rowOff>76200</xdr:rowOff>
    </xdr:to>
    <xdr:pic>
      <xdr:nvPicPr>
        <xdr:cNvPr id="5" name="Imagem 4" descr="Human resources Generic Glyph ico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D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30300"/>
          <a:ext cx="622300" cy="622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438856</xdr:colOff>
      <xdr:row>4</xdr:row>
      <xdr:rowOff>177801</xdr:rowOff>
    </xdr:from>
    <xdr:to>
      <xdr:col>7</xdr:col>
      <xdr:colOff>165100</xdr:colOff>
      <xdr:row>10</xdr:row>
      <xdr:rowOff>19051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2362906" y="914401"/>
          <a:ext cx="2291644" cy="946150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aseline="0">
              <a:solidFill>
                <a:schemeClr val="tx1"/>
              </a:solidFill>
              <a:latin typeface="Gordita" pitchFamily="50" charset="0"/>
              <a:cs typeface="Gordita" pitchFamily="50" charset="0"/>
            </a:rPr>
            <a:t>Produzir</a:t>
          </a:r>
          <a:endParaRPr lang="pt-BR" sz="1200">
            <a:latin typeface="Gordita" pitchFamily="50" charset="0"/>
            <a:cs typeface="Gordita" pitchFamily="50" charset="0"/>
          </a:endParaRPr>
        </a:p>
        <a:p>
          <a:pPr algn="l"/>
          <a:r>
            <a:rPr lang="pt-BR" sz="1100">
              <a:latin typeface="Gordita" pitchFamily="50" charset="0"/>
              <a:cs typeface="Gordita" pitchFamily="50" charset="0"/>
            </a:rPr>
            <a:t>                    </a:t>
          </a:r>
        </a:p>
      </xdr:txBody>
    </xdr:sp>
    <xdr:clientData/>
  </xdr:twoCellAnchor>
  <xdr:twoCellAnchor editAs="oneCell">
    <xdr:from>
      <xdr:col>2</xdr:col>
      <xdr:colOff>410350</xdr:colOff>
      <xdr:row>2</xdr:row>
      <xdr:rowOff>105550</xdr:rowOff>
    </xdr:from>
    <xdr:to>
      <xdr:col>5</xdr:col>
      <xdr:colOff>6350</xdr:colOff>
      <xdr:row>10</xdr:row>
      <xdr:rowOff>152400</xdr:rowOff>
    </xdr:to>
    <xdr:pic>
      <xdr:nvPicPr>
        <xdr:cNvPr id="5" name="Gráfico 4" descr="Dois quadrados e uma linha em ziguezague">
          <a:extLst>
            <a:ext uri="{FF2B5EF4-FFF2-40B4-BE49-F238E27FC236}">
              <a16:creationId xmlns:a16="http://schemas.microsoft.com/office/drawing/2014/main" id="{00000000-0008-0000-2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693050" y="473850"/>
          <a:ext cx="1520050" cy="1520050"/>
        </a:xfrm>
        <a:prstGeom prst="rect">
          <a:avLst/>
        </a:prstGeom>
      </xdr:spPr>
    </xdr:pic>
    <xdr:clientData/>
  </xdr:twoCellAnchor>
  <xdr:twoCellAnchor>
    <xdr:from>
      <xdr:col>7</xdr:col>
      <xdr:colOff>267406</xdr:colOff>
      <xdr:row>4</xdr:row>
      <xdr:rowOff>177801</xdr:rowOff>
    </xdr:from>
    <xdr:to>
      <xdr:col>10</xdr:col>
      <xdr:colOff>635000</xdr:colOff>
      <xdr:row>10</xdr:row>
      <xdr:rowOff>19051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E00-00000C000000}"/>
            </a:ext>
          </a:extLst>
        </xdr:cNvPr>
        <xdr:cNvSpPr/>
      </xdr:nvSpPr>
      <xdr:spPr>
        <a:xfrm>
          <a:off x="4756856" y="914401"/>
          <a:ext cx="2291644" cy="946150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tx1"/>
              </a:solidFill>
              <a:latin typeface="Gordita" pitchFamily="50" charset="0"/>
              <a:cs typeface="Gordita" pitchFamily="50" charset="0"/>
            </a:rPr>
            <a:t>Receita</a:t>
          </a:r>
          <a:r>
            <a:rPr lang="pt-BR" sz="1200" baseline="0">
              <a:solidFill>
                <a:schemeClr val="tx1"/>
              </a:solidFill>
              <a:latin typeface="Gordita" pitchFamily="50" charset="0"/>
              <a:cs typeface="Gordita" pitchFamily="50" charset="0"/>
            </a:rPr>
            <a:t> e Quantidade no         Estoque </a:t>
          </a:r>
          <a:endParaRPr lang="pt-BR" sz="1200">
            <a:solidFill>
              <a:schemeClr val="tx1"/>
            </a:solidFill>
            <a:latin typeface="Gordita" pitchFamily="50" charset="0"/>
            <a:cs typeface="Gordita" pitchFamily="50" charset="0"/>
          </a:endParaRPr>
        </a:p>
      </xdr:txBody>
    </xdr:sp>
    <xdr:clientData/>
  </xdr:twoCellAnchor>
  <xdr:twoCellAnchor>
    <xdr:from>
      <xdr:col>11</xdr:col>
      <xdr:colOff>127706</xdr:colOff>
      <xdr:row>5</xdr:row>
      <xdr:rowOff>6351</xdr:rowOff>
    </xdr:from>
    <xdr:to>
      <xdr:col>14</xdr:col>
      <xdr:colOff>495300</xdr:colOff>
      <xdr:row>10</xdr:row>
      <xdr:rowOff>31751</xdr:rowOff>
    </xdr:to>
    <xdr:sp macro="" textlink="">
      <xdr:nvSpPr>
        <xdr:cNvPr id="13" name="Retângulo: Canto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E00-00000D000000}"/>
            </a:ext>
          </a:extLst>
        </xdr:cNvPr>
        <xdr:cNvSpPr/>
      </xdr:nvSpPr>
      <xdr:spPr>
        <a:xfrm>
          <a:off x="7182556" y="927101"/>
          <a:ext cx="2291644" cy="946150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200">
            <a:solidFill>
              <a:schemeClr val="tx1"/>
            </a:solidFill>
            <a:latin typeface="Gordita" pitchFamily="50" charset="0"/>
            <a:cs typeface="Gordita" pitchFamily="50" charset="0"/>
          </a:endParaRPr>
        </a:p>
        <a:p>
          <a:pPr algn="ctr"/>
          <a:r>
            <a:rPr lang="pt-BR" sz="1200">
              <a:solidFill>
                <a:schemeClr val="tx1"/>
              </a:solidFill>
              <a:latin typeface="Gordita" pitchFamily="50" charset="0"/>
              <a:cs typeface="Gordita" pitchFamily="50" charset="0"/>
            </a:rPr>
            <a:t>Yogurtes</a:t>
          </a:r>
        </a:p>
        <a:p>
          <a:pPr algn="ctr"/>
          <a:endParaRPr lang="pt-BR" sz="1200">
            <a:solidFill>
              <a:schemeClr val="tx1"/>
            </a:solidFill>
            <a:latin typeface="Gordita" pitchFamily="50" charset="0"/>
            <a:cs typeface="Gordita" pitchFamily="50" charset="0"/>
          </a:endParaRPr>
        </a:p>
      </xdr:txBody>
    </xdr:sp>
    <xdr:clientData/>
  </xdr:twoCellAnchor>
  <xdr:twoCellAnchor>
    <xdr:from>
      <xdr:col>5</xdr:col>
      <xdr:colOff>178506</xdr:colOff>
      <xdr:row>10</xdr:row>
      <xdr:rowOff>158751</xdr:rowOff>
    </xdr:from>
    <xdr:to>
      <xdr:col>8</xdr:col>
      <xdr:colOff>546100</xdr:colOff>
      <xdr:row>16</xdr:row>
      <xdr:rowOff>1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E00-00000E000000}"/>
            </a:ext>
          </a:extLst>
        </xdr:cNvPr>
        <xdr:cNvSpPr/>
      </xdr:nvSpPr>
      <xdr:spPr>
        <a:xfrm>
          <a:off x="3385256" y="2000251"/>
          <a:ext cx="2291644" cy="946150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tx1"/>
              </a:solidFill>
              <a:latin typeface="Gordita" pitchFamily="50" charset="0"/>
              <a:cs typeface="Gordita" pitchFamily="50" charset="0"/>
            </a:rPr>
            <a:t>Cadastro</a:t>
          </a:r>
          <a:r>
            <a:rPr lang="pt-BR" sz="1200" baseline="0">
              <a:solidFill>
                <a:schemeClr val="tx1"/>
              </a:solidFill>
              <a:latin typeface="Gordita" pitchFamily="50" charset="0"/>
              <a:cs typeface="Gordita" pitchFamily="50" charset="0"/>
            </a:rPr>
            <a:t> de Produtos</a:t>
          </a:r>
          <a:endParaRPr lang="pt-BR" sz="1200">
            <a:solidFill>
              <a:schemeClr val="tx1"/>
            </a:solidFill>
            <a:latin typeface="Gordita" pitchFamily="50" charset="0"/>
            <a:cs typeface="Gordita" pitchFamily="50" charset="0"/>
          </a:endParaRPr>
        </a:p>
      </xdr:txBody>
    </xdr:sp>
    <xdr:clientData/>
  </xdr:twoCellAnchor>
  <xdr:twoCellAnchor>
    <xdr:from>
      <xdr:col>9</xdr:col>
      <xdr:colOff>286456</xdr:colOff>
      <xdr:row>10</xdr:row>
      <xdr:rowOff>165101</xdr:rowOff>
    </xdr:from>
    <xdr:to>
      <xdr:col>13</xdr:col>
      <xdr:colOff>12700</xdr:colOff>
      <xdr:row>16</xdr:row>
      <xdr:rowOff>6351</xdr:rowOff>
    </xdr:to>
    <xdr:sp macro="" textlink="">
      <xdr:nvSpPr>
        <xdr:cNvPr id="16" name="Retângulo: Cantos Arredondados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E00-000010000000}"/>
            </a:ext>
          </a:extLst>
        </xdr:cNvPr>
        <xdr:cNvSpPr/>
      </xdr:nvSpPr>
      <xdr:spPr>
        <a:xfrm>
          <a:off x="6058606" y="2006601"/>
          <a:ext cx="2291644" cy="946150"/>
        </a:xfrm>
        <a:prstGeom prst="roundRect">
          <a:avLst/>
        </a:prstGeom>
        <a:solidFill>
          <a:srgbClr val="FFEBF0"/>
        </a:solidFill>
        <a:effectLst>
          <a:outerShdw blurRad="50800" dist="50800" dir="8160000" algn="ctr" rotWithShape="0">
            <a:schemeClr val="accent5">
              <a:lumMod val="60000"/>
              <a:lumOff val="40000"/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tx1"/>
              </a:solidFill>
              <a:latin typeface="Gordita" pitchFamily="50" charset="0"/>
              <a:cs typeface="Gordita" pitchFamily="50" charset="0"/>
            </a:rPr>
            <a:t>Pedidos</a:t>
          </a:r>
        </a:p>
      </xdr:txBody>
    </xdr:sp>
    <xdr:clientData/>
  </xdr:twoCellAnchor>
  <xdr:twoCellAnchor editAs="oneCell">
    <xdr:from>
      <xdr:col>13</xdr:col>
      <xdr:colOff>209550</xdr:colOff>
      <xdr:row>7</xdr:row>
      <xdr:rowOff>153950</xdr:rowOff>
    </xdr:from>
    <xdr:to>
      <xdr:col>15</xdr:col>
      <xdr:colOff>425450</xdr:colOff>
      <xdr:row>15</xdr:row>
      <xdr:rowOff>169825</xdr:rowOff>
    </xdr:to>
    <xdr:pic>
      <xdr:nvPicPr>
        <xdr:cNvPr id="10" name="Gráfico 9" descr="Dois círculos, um sólido e um preenchido com pontos">
          <a:extLst>
            <a:ext uri="{FF2B5EF4-FFF2-40B4-BE49-F238E27FC236}">
              <a16:creationId xmlns:a16="http://schemas.microsoft.com/office/drawing/2014/main" id="{00000000-0008-0000-2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8547100" y="1443000"/>
          <a:ext cx="1498600" cy="1498600"/>
        </a:xfrm>
        <a:prstGeom prst="rect">
          <a:avLst/>
        </a:prstGeom>
      </xdr:spPr>
    </xdr:pic>
    <xdr:clientData/>
  </xdr:twoCellAnchor>
  <xdr:twoCellAnchor editAs="oneCell">
    <xdr:from>
      <xdr:col>13</xdr:col>
      <xdr:colOff>361950</xdr:colOff>
      <xdr:row>2</xdr:row>
      <xdr:rowOff>120650</xdr:rowOff>
    </xdr:from>
    <xdr:to>
      <xdr:col>15</xdr:col>
      <xdr:colOff>196850</xdr:colOff>
      <xdr:row>8</xdr:row>
      <xdr:rowOff>133350</xdr:rowOff>
    </xdr:to>
    <xdr:pic>
      <xdr:nvPicPr>
        <xdr:cNvPr id="9" name="Gráfico 8" descr="Um círculo preenchido com pontos">
          <a:extLst>
            <a:ext uri="{FF2B5EF4-FFF2-40B4-BE49-F238E27FC236}">
              <a16:creationId xmlns:a16="http://schemas.microsoft.com/office/drawing/2014/main" id="{00000000-0008-0000-2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99500" y="488950"/>
          <a:ext cx="1117600" cy="1117600"/>
        </a:xfrm>
        <a:prstGeom prst="rect">
          <a:avLst/>
        </a:prstGeom>
      </xdr:spPr>
    </xdr:pic>
    <xdr:clientData/>
  </xdr:twoCellAnchor>
  <xdr:twoCellAnchor editAs="oneCell">
    <xdr:from>
      <xdr:col>2</xdr:col>
      <xdr:colOff>323000</xdr:colOff>
      <xdr:row>9</xdr:row>
      <xdr:rowOff>95250</xdr:rowOff>
    </xdr:from>
    <xdr:to>
      <xdr:col>4</xdr:col>
      <xdr:colOff>247650</xdr:colOff>
      <xdr:row>16</xdr:row>
      <xdr:rowOff>13550</xdr:rowOff>
    </xdr:to>
    <xdr:pic>
      <xdr:nvPicPr>
        <xdr:cNvPr id="11" name="Gráfico 10" descr="Um círculo preenchido com linhas diagonais">
          <a:extLst>
            <a:ext uri="{FF2B5EF4-FFF2-40B4-BE49-F238E27FC236}">
              <a16:creationId xmlns:a16="http://schemas.microsoft.com/office/drawing/2014/main" id="{00000000-0008-0000-2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605700" y="1752600"/>
          <a:ext cx="1207350" cy="1207350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0</xdr:row>
      <xdr:rowOff>12700</xdr:rowOff>
    </xdr:from>
    <xdr:to>
      <xdr:col>7</xdr:col>
      <xdr:colOff>158751</xdr:colOff>
      <xdr:row>4</xdr:row>
      <xdr:rowOff>109075</xdr:rowOff>
    </xdr:to>
    <xdr:pic>
      <xdr:nvPicPr>
        <xdr:cNvPr id="17" name="Imagem 1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2E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77" t="15626" r="32764" b="25596"/>
        <a:stretch/>
      </xdr:blipFill>
      <xdr:spPr>
        <a:xfrm>
          <a:off x="4133850" y="12700"/>
          <a:ext cx="514351" cy="832975"/>
        </a:xfrm>
        <a:prstGeom prst="rect">
          <a:avLst/>
        </a:prstGeom>
      </xdr:spPr>
    </xdr:pic>
    <xdr:clientData/>
  </xdr:twoCellAnchor>
  <xdr:twoCellAnchor editAs="oneCell">
    <xdr:from>
      <xdr:col>10</xdr:col>
      <xdr:colOff>107950</xdr:colOff>
      <xdr:row>0</xdr:row>
      <xdr:rowOff>12700</xdr:rowOff>
    </xdr:from>
    <xdr:to>
      <xdr:col>11</xdr:col>
      <xdr:colOff>279400</xdr:colOff>
      <xdr:row>4</xdr:row>
      <xdr:rowOff>88900</xdr:rowOff>
    </xdr:to>
    <xdr:pic>
      <xdr:nvPicPr>
        <xdr:cNvPr id="18" name="Gráfico 17" descr="Um quadrado feito de pontos">
          <a:extLst>
            <a:ext uri="{FF2B5EF4-FFF2-40B4-BE49-F238E27FC236}">
              <a16:creationId xmlns:a16="http://schemas.microsoft.com/office/drawing/2014/main" id="{00000000-0008-0000-2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6521450" y="12700"/>
          <a:ext cx="812800" cy="812800"/>
        </a:xfrm>
        <a:prstGeom prst="rect">
          <a:avLst/>
        </a:prstGeom>
      </xdr:spPr>
    </xdr:pic>
    <xdr:clientData/>
  </xdr:twoCellAnchor>
  <xdr:twoCellAnchor>
    <xdr:from>
      <xdr:col>7</xdr:col>
      <xdr:colOff>222251</xdr:colOff>
      <xdr:row>1</xdr:row>
      <xdr:rowOff>38100</xdr:rowOff>
    </xdr:from>
    <xdr:to>
      <xdr:col>11</xdr:col>
      <xdr:colOff>50801</xdr:colOff>
      <xdr:row>4</xdr:row>
      <xdr:rowOff>31750</xdr:rowOff>
    </xdr:to>
    <xdr:sp macro="" textlink="">
      <xdr:nvSpPr>
        <xdr:cNvPr id="19" name="Retângulo: Cantos Diagonais Arredondados 18">
          <a:extLst>
            <a:ext uri="{FF2B5EF4-FFF2-40B4-BE49-F238E27FC236}">
              <a16:creationId xmlns:a16="http://schemas.microsoft.com/office/drawing/2014/main" id="{00000000-0008-0000-2E00-000013000000}"/>
            </a:ext>
          </a:extLst>
        </xdr:cNvPr>
        <xdr:cNvSpPr/>
      </xdr:nvSpPr>
      <xdr:spPr>
        <a:xfrm>
          <a:off x="4711701" y="222250"/>
          <a:ext cx="2393950" cy="546100"/>
        </a:xfrm>
        <a:prstGeom prst="round2DiagRect">
          <a:avLst/>
        </a:prstGeom>
        <a:solidFill>
          <a:srgbClr val="FFEB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tx1"/>
              </a:solidFill>
              <a:latin typeface="Leky Calgria" panose="02000600000000000000" pitchFamily="2" charset="0"/>
              <a:cs typeface="Gordita" pitchFamily="50" charset="0"/>
            </a:rPr>
            <a:t>Produção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323850</xdr:colOff>
          <xdr:row>22</xdr:row>
          <xdr:rowOff>142875</xdr:rowOff>
        </xdr:from>
        <xdr:to>
          <xdr:col>16</xdr:col>
          <xdr:colOff>342900</xdr:colOff>
          <xdr:row>25</xdr:row>
          <xdr:rowOff>123825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F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Gordita"/>
                </a:rPr>
                <a:t>Produzir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158631</xdr:colOff>
      <xdr:row>0</xdr:row>
      <xdr:rowOff>34325</xdr:rowOff>
    </xdr:from>
    <xdr:to>
      <xdr:col>1</xdr:col>
      <xdr:colOff>43421</xdr:colOff>
      <xdr:row>5</xdr:row>
      <xdr:rowOff>8580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54" t="13267" r="32673" b="21716"/>
        <a:stretch/>
      </xdr:blipFill>
      <xdr:spPr>
        <a:xfrm>
          <a:off x="158631" y="34325"/>
          <a:ext cx="494047" cy="875269"/>
        </a:xfrm>
        <a:prstGeom prst="rect">
          <a:avLst/>
        </a:prstGeom>
      </xdr:spPr>
    </xdr:pic>
    <xdr:clientData/>
  </xdr:twoCellAnchor>
  <xdr:twoCellAnchor editAs="oneCell">
    <xdr:from>
      <xdr:col>0</xdr:col>
      <xdr:colOff>34325</xdr:colOff>
      <xdr:row>4</xdr:row>
      <xdr:rowOff>111554</xdr:rowOff>
    </xdr:from>
    <xdr:to>
      <xdr:col>1</xdr:col>
      <xdr:colOff>128716</xdr:colOff>
      <xdr:row>8</xdr:row>
      <xdr:rowOff>92083</xdr:rowOff>
    </xdr:to>
    <xdr:pic>
      <xdr:nvPicPr>
        <xdr:cNvPr id="2" name="Gráfico 6" descr="Início com preenchiment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325" y="832365"/>
          <a:ext cx="703648" cy="701340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184150</xdr:colOff>
      <xdr:row>0</xdr:row>
      <xdr:rowOff>0</xdr:rowOff>
    </xdr:from>
    <xdr:to>
      <xdr:col>0</xdr:col>
      <xdr:colOff>495300</xdr:colOff>
      <xdr:row>3</xdr:row>
      <xdr:rowOff>40037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54" t="13267" r="32673" b="21716"/>
        <a:stretch/>
      </xdr:blipFill>
      <xdr:spPr>
        <a:xfrm>
          <a:off x="184150" y="0"/>
          <a:ext cx="311150" cy="592487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6350</xdr:rowOff>
    </xdr:from>
    <xdr:to>
      <xdr:col>0</xdr:col>
      <xdr:colOff>560101</xdr:colOff>
      <xdr:row>5</xdr:row>
      <xdr:rowOff>86755</xdr:rowOff>
    </xdr:to>
    <xdr:pic>
      <xdr:nvPicPr>
        <xdr:cNvPr id="3" name="Gráfico 6" descr="Início com preenchiment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" y="558800"/>
          <a:ext cx="560101" cy="558264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158750</xdr:colOff>
      <xdr:row>0</xdr:row>
      <xdr:rowOff>31750</xdr:rowOff>
    </xdr:from>
    <xdr:to>
      <xdr:col>0</xdr:col>
      <xdr:colOff>469900</xdr:colOff>
      <xdr:row>3</xdr:row>
      <xdr:rowOff>71787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54" t="13267" r="32673" b="21716"/>
        <a:stretch/>
      </xdr:blipFill>
      <xdr:spPr>
        <a:xfrm>
          <a:off x="158750" y="31750"/>
          <a:ext cx="311150" cy="592487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3</xdr:row>
      <xdr:rowOff>12700</xdr:rowOff>
    </xdr:from>
    <xdr:to>
      <xdr:col>1</xdr:col>
      <xdr:colOff>1301</xdr:colOff>
      <xdr:row>5</xdr:row>
      <xdr:rowOff>101064</xdr:rowOff>
    </xdr:to>
    <xdr:pic>
      <xdr:nvPicPr>
        <xdr:cNvPr id="2" name="Gráfico 6" descr="Início com preenchiment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565150"/>
          <a:ext cx="560101" cy="558264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13</xdr:row>
          <xdr:rowOff>85725</xdr:rowOff>
        </xdr:from>
        <xdr:to>
          <xdr:col>8</xdr:col>
          <xdr:colOff>1257300</xdr:colOff>
          <xdr:row>15</xdr:row>
          <xdr:rowOff>152400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3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Gordita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177800</xdr:colOff>
      <xdr:row>0</xdr:row>
      <xdr:rowOff>12700</xdr:rowOff>
    </xdr:from>
    <xdr:to>
      <xdr:col>0</xdr:col>
      <xdr:colOff>488950</xdr:colOff>
      <xdr:row>3</xdr:row>
      <xdr:rowOff>52737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54" t="13267" r="32673" b="21716"/>
        <a:stretch/>
      </xdr:blipFill>
      <xdr:spPr>
        <a:xfrm>
          <a:off x="177800" y="12700"/>
          <a:ext cx="311150" cy="592487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</xdr:row>
      <xdr:rowOff>19050</xdr:rowOff>
    </xdr:from>
    <xdr:to>
      <xdr:col>1</xdr:col>
      <xdr:colOff>4476</xdr:colOff>
      <xdr:row>6</xdr:row>
      <xdr:rowOff>24864</xdr:rowOff>
    </xdr:to>
    <xdr:pic>
      <xdr:nvPicPr>
        <xdr:cNvPr id="2" name="Gráfico 6" descr="Início com preenchiment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571500"/>
          <a:ext cx="560101" cy="558264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165100</xdr:colOff>
      <xdr:row>0</xdr:row>
      <xdr:rowOff>69850</xdr:rowOff>
    </xdr:from>
    <xdr:to>
      <xdr:col>0</xdr:col>
      <xdr:colOff>476250</xdr:colOff>
      <xdr:row>3</xdr:row>
      <xdr:rowOff>109887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54" t="13267" r="32673" b="21716"/>
        <a:stretch/>
      </xdr:blipFill>
      <xdr:spPr>
        <a:xfrm>
          <a:off x="165100" y="69850"/>
          <a:ext cx="311150" cy="592487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</xdr:colOff>
      <xdr:row>3</xdr:row>
      <xdr:rowOff>76200</xdr:rowOff>
    </xdr:from>
    <xdr:to>
      <xdr:col>1</xdr:col>
      <xdr:colOff>1301</xdr:colOff>
      <xdr:row>6</xdr:row>
      <xdr:rowOff>31214</xdr:rowOff>
    </xdr:to>
    <xdr:pic>
      <xdr:nvPicPr>
        <xdr:cNvPr id="2" name="Gráfico 6" descr="Início com preenchiment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1750" y="628650"/>
          <a:ext cx="560101" cy="55826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enan\Downloads\ComprasCadastroDefinitiv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fatecspgov-my.sharepoint.com/personal/jhennifer_oliveira3_fatec_sp_gov_br/Documents/ERP%20BASE%20RH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fatecspgov-my.sharepoint.com/personal/lucas_rocha56_fatec_sp_gov_br/Documents/Arquivos%20de%20Chat%20do%20Microsoft%20Teams/Setor%20Produ&#231;&#227;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|MATERIAPRIMA"/>
      <sheetName val="COMP|PRD_INT"/>
      <sheetName val="COMP|FUNC"/>
      <sheetName val="NOTA|MAT_PRIMA"/>
      <sheetName val="NOTA|PRD_INT"/>
      <sheetName val="NOTA|FUNC"/>
      <sheetName val="banco de dados_compras"/>
      <sheetName val="ComprasCadastroDefinitivo"/>
    </sheetNames>
    <definedNames>
      <definedName name="caucular1"/>
      <definedName name="Macro1"/>
      <definedName name="Macro2COMPINT"/>
      <definedName name="Macro3Func"/>
    </definedNames>
    <sheetDataSet>
      <sheetData sheetId="0">
        <row r="10">
          <cell r="L10" t="str">
            <v>Aromatizante de banana</v>
          </cell>
        </row>
        <row r="13">
          <cell r="L13">
            <v>1</v>
          </cell>
        </row>
        <row r="16">
          <cell r="L16">
            <v>7</v>
          </cell>
        </row>
        <row r="21">
          <cell r="J21" t="str">
            <v>100-10</v>
          </cell>
        </row>
        <row r="23">
          <cell r="J23" t="str">
            <v>BioCultivar</v>
          </cell>
        </row>
        <row r="31">
          <cell r="J31" t="str">
            <v>KG</v>
          </cell>
        </row>
        <row r="33">
          <cell r="J33">
            <v>7</v>
          </cell>
        </row>
        <row r="35">
          <cell r="J35">
            <v>45447</v>
          </cell>
        </row>
      </sheetData>
      <sheetData sheetId="1">
        <row r="10">
          <cell r="M10" t="str">
            <v>Caneta</v>
          </cell>
        </row>
        <row r="13">
          <cell r="M13">
            <v>7</v>
          </cell>
        </row>
        <row r="16">
          <cell r="M16">
            <v>21000</v>
          </cell>
        </row>
        <row r="21">
          <cell r="K21" t="str">
            <v>100-50</v>
          </cell>
        </row>
        <row r="23">
          <cell r="K23" t="str">
            <v>PrintMaster Supplies</v>
          </cell>
        </row>
        <row r="31">
          <cell r="K31" t="str">
            <v>Material de Escritório</v>
          </cell>
        </row>
        <row r="33">
          <cell r="K33">
            <v>3000</v>
          </cell>
        </row>
        <row r="35">
          <cell r="K35">
            <v>45447</v>
          </cell>
        </row>
      </sheetData>
      <sheetData sheetId="2">
        <row r="24">
          <cell r="P24" t="str">
            <v>Protetores Auriculares</v>
          </cell>
        </row>
        <row r="27">
          <cell r="P27">
            <v>15</v>
          </cell>
        </row>
        <row r="30">
          <cell r="P30">
            <v>750</v>
          </cell>
        </row>
        <row r="35">
          <cell r="N35" t="str">
            <v>100-81</v>
          </cell>
        </row>
        <row r="37">
          <cell r="N37" t="str">
            <v>SafeWear Brasil</v>
          </cell>
        </row>
        <row r="45">
          <cell r="N45" t="str">
            <v>Produtos para Funcionarios</v>
          </cell>
        </row>
        <row r="47">
          <cell r="N47">
            <v>50</v>
          </cell>
        </row>
        <row r="49">
          <cell r="N49">
            <v>45447</v>
          </cell>
        </row>
      </sheetData>
      <sheetData sheetId="3">
        <row r="2">
          <cell r="N2">
            <v>1177</v>
          </cell>
        </row>
        <row r="3">
          <cell r="N3">
            <v>5323</v>
          </cell>
        </row>
      </sheetData>
      <sheetData sheetId="4">
        <row r="2">
          <cell r="N2">
            <v>42000</v>
          </cell>
        </row>
        <row r="5">
          <cell r="J5" t="str">
            <v xml:space="preserve">Valor </v>
          </cell>
        </row>
        <row r="8">
          <cell r="J8">
            <v>21000</v>
          </cell>
        </row>
        <row r="9">
          <cell r="J9">
            <v>21000</v>
          </cell>
        </row>
      </sheetData>
      <sheetData sheetId="5">
        <row r="2">
          <cell r="N2">
            <v>1500</v>
          </cell>
        </row>
        <row r="5">
          <cell r="J5" t="str">
            <v xml:space="preserve">Valor </v>
          </cell>
        </row>
        <row r="8">
          <cell r="J8">
            <v>750</v>
          </cell>
        </row>
        <row r="9">
          <cell r="J9">
            <v>750</v>
          </cell>
        </row>
      </sheetData>
      <sheetData sheetId="6">
        <row r="5">
          <cell r="E5" t="str">
            <v>100-02</v>
          </cell>
          <cell r="F5" t="str">
            <v>Leite de vaca</v>
          </cell>
          <cell r="G5" t="str">
            <v>NutriMat</v>
          </cell>
          <cell r="H5" t="str">
            <v>(55) 1234-5678</v>
          </cell>
          <cell r="I5" t="str">
            <v>info@nutrimat.com</v>
          </cell>
          <cell r="J5" t="str">
            <v>Litro</v>
          </cell>
          <cell r="K5">
            <v>3</v>
          </cell>
          <cell r="M5" t="e">
            <v>#REF!</v>
          </cell>
          <cell r="N5" t="str">
            <v>Avenida Sete de Setembro, 131 - Centro, Salvador, BA</v>
          </cell>
        </row>
        <row r="6">
          <cell r="E6" t="str">
            <v>100-04</v>
          </cell>
          <cell r="F6" t="str">
            <v>Lactobacillus bulgricus</v>
          </cell>
          <cell r="G6" t="str">
            <v>AgroInsumos Alimentares</v>
          </cell>
          <cell r="H6" t="str">
            <v>(55) 2345-6789</v>
          </cell>
          <cell r="I6" t="str">
            <v>contato@agroinsumos.com</v>
          </cell>
          <cell r="J6" t="str">
            <v>KG</v>
          </cell>
          <cell r="K6">
            <v>20</v>
          </cell>
          <cell r="M6" t="e">
            <v>#REF!</v>
          </cell>
          <cell r="N6" t="str">
            <v>Rua dos Jacarandás, 242 - Jardim das Américas, Curitiba, PR</v>
          </cell>
        </row>
        <row r="7">
          <cell r="E7" t="str">
            <v>100-06</v>
          </cell>
          <cell r="F7" t="str">
            <v>Streptococcus thermophilus</v>
          </cell>
          <cell r="G7" t="str">
            <v>FrutaVida</v>
          </cell>
          <cell r="H7" t="str">
            <v>(55) 3456-7890</v>
          </cell>
          <cell r="I7" t="str">
            <v>contato@frutavida.com</v>
          </cell>
          <cell r="J7" t="str">
            <v>KG</v>
          </cell>
          <cell r="K7">
            <v>15</v>
          </cell>
          <cell r="M7" t="e">
            <v>#REF!</v>
          </cell>
          <cell r="N7" t="str">
            <v>Avenida Presidente Vargas, 353 - Centro, Rio de Janeiro, RJ</v>
          </cell>
        </row>
        <row r="8">
          <cell r="E8" t="str">
            <v>100-08</v>
          </cell>
          <cell r="F8" t="str">
            <v>Açucar</v>
          </cell>
          <cell r="G8" t="str">
            <v>SementeSabor</v>
          </cell>
          <cell r="H8" t="str">
            <v>(55) 4567-8901</v>
          </cell>
          <cell r="I8" t="str">
            <v>contato@sementesabor.com</v>
          </cell>
          <cell r="J8" t="str">
            <v>KG</v>
          </cell>
          <cell r="K8">
            <v>2</v>
          </cell>
          <cell r="M8" t="e">
            <v>#REF!</v>
          </cell>
          <cell r="N8" t="str">
            <v>Rua das Amendoeiras, 464 - Centro, Vitória, ES</v>
          </cell>
        </row>
        <row r="9">
          <cell r="E9" t="str">
            <v>100-10</v>
          </cell>
          <cell r="F9" t="str">
            <v>Aromatizante de banana</v>
          </cell>
          <cell r="G9" t="str">
            <v>BioCultivar</v>
          </cell>
          <cell r="H9" t="str">
            <v>(55) 5678-9012</v>
          </cell>
          <cell r="I9" t="str">
            <v>info@biocultivar.com</v>
          </cell>
          <cell r="J9" t="str">
            <v>KG</v>
          </cell>
          <cell r="K9">
            <v>7</v>
          </cell>
          <cell r="M9">
            <v>7</v>
          </cell>
          <cell r="N9" t="str">
            <v>Avenida Almirante Barroso, 575 - Centro, Belém, PA</v>
          </cell>
        </row>
        <row r="10">
          <cell r="E10" t="str">
            <v>100-12</v>
          </cell>
          <cell r="F10" t="str">
            <v>Aromatizante de ameixa</v>
          </cell>
          <cell r="G10" t="str">
            <v>TerraFertil</v>
          </cell>
          <cell r="H10" t="str">
            <v>(55) 6789-0123</v>
          </cell>
          <cell r="I10" t="str">
            <v>contato@terrafertil.com</v>
          </cell>
          <cell r="J10" t="str">
            <v>KG</v>
          </cell>
          <cell r="K10">
            <v>7</v>
          </cell>
          <cell r="M10" t="e">
            <v>#REF!</v>
          </cell>
          <cell r="N10" t="str">
            <v>Rua das Garças, 686 - Zona Oeste, Rio de Janeiro, RJ</v>
          </cell>
        </row>
        <row r="11">
          <cell r="E11" t="str">
            <v>100-14</v>
          </cell>
          <cell r="F11" t="str">
            <v>Aromatizante de pesssego</v>
          </cell>
          <cell r="G11" t="str">
            <v>GrãoVerde</v>
          </cell>
          <cell r="H11" t="str">
            <v>(55) 7890-1234</v>
          </cell>
          <cell r="I11" t="str">
            <v>contato@graoverde.com</v>
          </cell>
          <cell r="J11" t="str">
            <v>KG</v>
          </cell>
          <cell r="K11">
            <v>7</v>
          </cell>
          <cell r="M11" t="e">
            <v>#REF!</v>
          </cell>
          <cell r="N11" t="str">
            <v>Avenida Carlos Gomes, 797 - Três Figueiras, Porto Alegre, RS</v>
          </cell>
        </row>
        <row r="12">
          <cell r="E12" t="str">
            <v>100-16</v>
          </cell>
          <cell r="F12" t="str">
            <v>Aromatizante de coco</v>
          </cell>
          <cell r="G12" t="str">
            <v>SafraDourada</v>
          </cell>
          <cell r="H12" t="str">
            <v>(55) 8901-2345</v>
          </cell>
          <cell r="I12" t="str">
            <v>info@safradourada.com</v>
          </cell>
          <cell r="J12" t="str">
            <v>KG</v>
          </cell>
          <cell r="K12">
            <v>7</v>
          </cell>
          <cell r="M12" t="e">
            <v>#REF!</v>
          </cell>
          <cell r="N12" t="str">
            <v>Rua das Águas, 808 - Centro, Teresina, PI</v>
          </cell>
        </row>
        <row r="13">
          <cell r="E13" t="str">
            <v>100-18</v>
          </cell>
          <cell r="F13" t="str">
            <v>Aromatizante de morango</v>
          </cell>
          <cell r="G13" t="str">
            <v>EcoPlantio Alimentar</v>
          </cell>
          <cell r="H13" t="str">
            <v>(55) 9012-3456</v>
          </cell>
          <cell r="I13" t="str">
            <v>contato@ecoplantio.com</v>
          </cell>
          <cell r="J13" t="str">
            <v>KG</v>
          </cell>
          <cell r="K13">
            <v>7</v>
          </cell>
          <cell r="M13" t="e">
            <v>#REF!</v>
          </cell>
          <cell r="N13" t="str">
            <v>Avenida 23 de Maio, 919 - Paraíso, São Paulo, SP</v>
          </cell>
        </row>
        <row r="14">
          <cell r="E14" t="str">
            <v>100-20</v>
          </cell>
          <cell r="F14" t="str">
            <v>Flavorizante</v>
          </cell>
          <cell r="G14" t="str">
            <v>AgroOrgânico</v>
          </cell>
          <cell r="H14" t="str">
            <v>(55) 0123-4567</v>
          </cell>
          <cell r="I14" t="str">
            <v>info@agroorganico.com</v>
          </cell>
          <cell r="J14" t="str">
            <v>KG</v>
          </cell>
          <cell r="K14">
            <v>5</v>
          </cell>
          <cell r="M14" t="e">
            <v>#REF!</v>
          </cell>
          <cell r="N14" t="str">
            <v>Rua dos Girassóis, 120 - Centro, Goiânia, GO</v>
          </cell>
        </row>
        <row r="15">
          <cell r="E15" t="str">
            <v>100-22</v>
          </cell>
          <cell r="F15" t="str">
            <v>Extrato de banana</v>
          </cell>
          <cell r="G15" t="str">
            <v>NaturalHarvest</v>
          </cell>
          <cell r="H15" t="str">
            <v>(55) 1234-5678</v>
          </cell>
          <cell r="I15" t="str">
            <v>contato@naturalharvest.com</v>
          </cell>
          <cell r="J15" t="str">
            <v>KG</v>
          </cell>
          <cell r="K15">
            <v>20</v>
          </cell>
          <cell r="M15" t="e">
            <v>#REF!</v>
          </cell>
          <cell r="N15" t="str">
            <v>Avenida Borges de Medeiros, 231 - Centro, Gramado, RS</v>
          </cell>
        </row>
        <row r="16">
          <cell r="E16" t="str">
            <v>100-24</v>
          </cell>
          <cell r="F16" t="str">
            <v>Extrato de ameixa</v>
          </cell>
          <cell r="G16" t="str">
            <v>BioCosecha</v>
          </cell>
          <cell r="H16" t="str">
            <v>(55) 2345-6789</v>
          </cell>
          <cell r="I16" t="str">
            <v>info@biocosecha.com</v>
          </cell>
          <cell r="J16" t="str">
            <v>KG</v>
          </cell>
          <cell r="K16">
            <v>20</v>
          </cell>
          <cell r="M16" t="e">
            <v>#REF!</v>
          </cell>
          <cell r="N16" t="str">
            <v>Rua dos Coqueiros, 342 - Centro, Maceió, AL</v>
          </cell>
        </row>
        <row r="17">
          <cell r="E17" t="str">
            <v>100-26</v>
          </cell>
          <cell r="F17" t="str">
            <v>Extrato de pessego</v>
          </cell>
          <cell r="G17" t="str">
            <v>ColheitaFresca</v>
          </cell>
          <cell r="H17" t="str">
            <v>(55) 3456-7890</v>
          </cell>
          <cell r="I17" t="str">
            <v>contato@colheitafresca.com</v>
          </cell>
          <cell r="J17" t="str">
            <v>KG</v>
          </cell>
          <cell r="K17">
            <v>20</v>
          </cell>
          <cell r="M17" t="e">
            <v>#REF!</v>
          </cell>
          <cell r="N17" t="str">
            <v>Avenida Presidente Kennedy, 453 - Centro, Recife, PE</v>
          </cell>
        </row>
        <row r="18">
          <cell r="E18" t="str">
            <v>100-28</v>
          </cell>
          <cell r="F18" t="str">
            <v>Extrato de coco</v>
          </cell>
          <cell r="G18" t="str">
            <v>VerdeCampo Ingredientes</v>
          </cell>
          <cell r="H18" t="str">
            <v>(55) 4567-8901</v>
          </cell>
          <cell r="I18" t="str">
            <v>contato@verdecampo.com</v>
          </cell>
          <cell r="J18" t="str">
            <v>KG</v>
          </cell>
          <cell r="K18">
            <v>20</v>
          </cell>
          <cell r="M18" t="e">
            <v>#REF!</v>
          </cell>
          <cell r="N18" t="str">
            <v>Rua das Palmeiras Reais, 564 - Centro, João Pessoa, PB</v>
          </cell>
        </row>
        <row r="19">
          <cell r="E19" t="str">
            <v>100-30</v>
          </cell>
          <cell r="F19" t="str">
            <v>Extrato de morango</v>
          </cell>
          <cell r="G19" t="str">
            <v>AgroMatriz Alimentícia</v>
          </cell>
          <cell r="H19" t="str">
            <v>(55) 5678-9012</v>
          </cell>
          <cell r="I19" t="str">
            <v>info@agromatriz.com</v>
          </cell>
          <cell r="J19" t="str">
            <v>KG</v>
          </cell>
          <cell r="K19">
            <v>20</v>
          </cell>
          <cell r="M19" t="e">
            <v>#REF!</v>
          </cell>
          <cell r="N19" t="str">
            <v>Avenida Ministro Gabriel Passos, 675 - Lourdes, Belo Horizonte, MG</v>
          </cell>
        </row>
        <row r="20">
          <cell r="E20" t="str">
            <v>100-32</v>
          </cell>
          <cell r="F20" t="str">
            <v>Baunilha</v>
          </cell>
          <cell r="G20" t="str">
            <v>SaborSustentável</v>
          </cell>
          <cell r="H20" t="str">
            <v>(55) 6789-0123</v>
          </cell>
          <cell r="I20" t="str">
            <v>contato@saborsustentavel.com</v>
          </cell>
          <cell r="J20" t="str">
            <v>KG</v>
          </cell>
          <cell r="K20">
            <v>30</v>
          </cell>
          <cell r="M20" t="e">
            <v>#REF!</v>
          </cell>
          <cell r="N20" t="str">
            <v>Rua das Azaleias, 786 - Centro, Porto Velho, RO</v>
          </cell>
        </row>
        <row r="21">
          <cell r="E21" t="str">
            <v>100-34</v>
          </cell>
          <cell r="F21" t="str">
            <v>Cacau</v>
          </cell>
          <cell r="G21" t="str">
            <v>EcoSafra Alimentos</v>
          </cell>
          <cell r="H21" t="str">
            <v>(55) 7890-1234</v>
          </cell>
          <cell r="I21" t="str">
            <v>contato@ecosafra.com</v>
          </cell>
          <cell r="J21" t="str">
            <v>KG</v>
          </cell>
          <cell r="K21">
            <v>35</v>
          </cell>
          <cell r="M21" t="e">
            <v>#REF!</v>
          </cell>
          <cell r="N21" t="str">
            <v>Avenida Pedro Álvares Cabral, 897 - Ibirapuera, São Paulo, SP</v>
          </cell>
        </row>
        <row r="22">
          <cell r="E22" t="str">
            <v>100-36</v>
          </cell>
          <cell r="F22" t="str">
            <v>Estabilizante</v>
          </cell>
          <cell r="G22" t="str">
            <v>AgriFoods Naturais</v>
          </cell>
          <cell r="H22" t="str">
            <v>(55) 8901-2345</v>
          </cell>
          <cell r="I22" t="str">
            <v>info@agrifoodsnaturais.com</v>
          </cell>
          <cell r="J22" t="str">
            <v>KG</v>
          </cell>
          <cell r="K22">
            <v>30</v>
          </cell>
          <cell r="M22" t="e">
            <v>#REF!</v>
          </cell>
          <cell r="N22" t="str">
            <v>Rua dos Pinheiros, 908 - Centro, Natal, RN</v>
          </cell>
        </row>
        <row r="23">
          <cell r="E23" t="str">
            <v>100-38</v>
          </cell>
          <cell r="F23" t="str">
            <v>Espessante</v>
          </cell>
          <cell r="G23" t="str">
            <v>CerealVale</v>
          </cell>
          <cell r="H23" t="str">
            <v>(55) 9012-3456</v>
          </cell>
          <cell r="I23" t="str">
            <v>contato@cerealvale.com</v>
          </cell>
          <cell r="J23" t="str">
            <v>KG</v>
          </cell>
          <cell r="K23">
            <v>15</v>
          </cell>
          <cell r="M23" t="e">
            <v>#REF!</v>
          </cell>
          <cell r="N23" t="str">
            <v>Avenida Marechal Rondon, 101 - Centro, Campo Grande, MS</v>
          </cell>
        </row>
        <row r="24">
          <cell r="E24" t="str">
            <v>100-40</v>
          </cell>
          <cell r="F24" t="str">
            <v>Corantes naturais</v>
          </cell>
          <cell r="G24" t="str">
            <v>NutriCultivar</v>
          </cell>
          <cell r="H24" t="str">
            <v>(55) 0123-4567</v>
          </cell>
          <cell r="I24" t="str">
            <v>info@nutricultivar.com</v>
          </cell>
          <cell r="J24" t="str">
            <v>KG</v>
          </cell>
          <cell r="K24">
            <v>20</v>
          </cell>
          <cell r="M24" t="e">
            <v>#REF!</v>
          </cell>
          <cell r="N24" t="str">
            <v>Rua das Hortênsias, 212 - Centro, Macapá, AP</v>
          </cell>
        </row>
        <row r="27">
          <cell r="F27" t="str">
            <v>Aromatizante de banana</v>
          </cell>
        </row>
        <row r="28">
          <cell r="F28">
            <v>1</v>
          </cell>
        </row>
        <row r="29">
          <cell r="F29">
            <v>7</v>
          </cell>
        </row>
        <row r="30">
          <cell r="F30" t="str">
            <v>100-10</v>
          </cell>
        </row>
        <row r="31">
          <cell r="F31" t="str">
            <v>BioCultivar</v>
          </cell>
        </row>
        <row r="32">
          <cell r="F32" t="str">
            <v>KG</v>
          </cell>
        </row>
        <row r="33">
          <cell r="F33">
            <v>7</v>
          </cell>
        </row>
        <row r="34">
          <cell r="F34">
            <v>45447</v>
          </cell>
        </row>
        <row r="38">
          <cell r="F38" t="str">
            <v>Produto</v>
          </cell>
        </row>
        <row r="39">
          <cell r="E39" t="str">
            <v>100-41</v>
          </cell>
          <cell r="F39" t="str">
            <v>Computadores e laptops</v>
          </cell>
          <cell r="G39" t="str">
            <v>TechOffice Solutions</v>
          </cell>
          <cell r="H39" t="str">
            <v>(11) 98765-4321</v>
          </cell>
          <cell r="I39" t="str">
            <v>contato@techoffice.com</v>
          </cell>
          <cell r="J39" t="str">
            <v>Equipamentos de Escritório</v>
          </cell>
          <cell r="K39">
            <v>3500</v>
          </cell>
          <cell r="M39" t="e">
            <v>#REF!</v>
          </cell>
          <cell r="N39" t="str">
            <v>Rua das Flores, 123 - Bairro Primavera, São Paulo, SP</v>
          </cell>
        </row>
        <row r="40">
          <cell r="E40" t="str">
            <v>100-42</v>
          </cell>
          <cell r="F40" t="str">
            <v>Monitores</v>
          </cell>
          <cell r="G40" t="str">
            <v>TechOffice Solutions</v>
          </cell>
          <cell r="H40" t="str">
            <v>(21) 91234-5678</v>
          </cell>
          <cell r="I40" t="str">
            <v>contato@techoffice.com</v>
          </cell>
          <cell r="J40" t="str">
            <v>Equipamentos de Escritório</v>
          </cell>
          <cell r="K40">
            <v>4200</v>
          </cell>
          <cell r="M40" t="e">
            <v>#REF!</v>
          </cell>
          <cell r="N40" t="str">
            <v>Avenida Central, 456 - Centro, Rio de Janeiro, RJ</v>
          </cell>
        </row>
        <row r="41">
          <cell r="E41" t="str">
            <v>100-43</v>
          </cell>
          <cell r="F41" t="str">
            <v>Teclados e mouses</v>
          </cell>
          <cell r="G41" t="str">
            <v>TechOffice Solutions</v>
          </cell>
          <cell r="H41" t="str">
            <v>(31) 87654-3210</v>
          </cell>
          <cell r="I41" t="str">
            <v>contato@techoffice.com</v>
          </cell>
          <cell r="J41" t="str">
            <v>Equipamentos de Escritório</v>
          </cell>
          <cell r="K41">
            <v>800</v>
          </cell>
          <cell r="M41" t="e">
            <v>#REF!</v>
          </cell>
          <cell r="N41" t="str">
            <v>Rua da Paz, 789 - Jardim Bela Vista, Belo Horizonte, MG</v>
          </cell>
        </row>
        <row r="42">
          <cell r="E42" t="str">
            <v>100-44</v>
          </cell>
          <cell r="F42" t="str">
            <v>Impressoras e scanners</v>
          </cell>
          <cell r="G42" t="str">
            <v>TechOffice Solutions</v>
          </cell>
          <cell r="H42" t="str">
            <v>(41) 89012-3456</v>
          </cell>
          <cell r="I42" t="str">
            <v>contato@techoffice.com</v>
          </cell>
          <cell r="J42" t="str">
            <v>Equipamentos de Escritório</v>
          </cell>
          <cell r="K42">
            <v>150</v>
          </cell>
          <cell r="M42" t="e">
            <v>#REF!</v>
          </cell>
          <cell r="N42" t="str">
            <v>Alameda dos Anjos, 101 - Vila Nova, Porto Alegre, RS</v>
          </cell>
        </row>
        <row r="43">
          <cell r="E43" t="str">
            <v>100-45</v>
          </cell>
          <cell r="F43" t="str">
            <v>Telefones (fixos e móveis)</v>
          </cell>
          <cell r="G43" t="str">
            <v>TechOffice Solutions</v>
          </cell>
          <cell r="H43" t="str">
            <v>(51) 80123-4567</v>
          </cell>
          <cell r="I43" t="str">
            <v>contato@techoffice.com</v>
          </cell>
          <cell r="J43" t="str">
            <v>Equipamentos de Escritório</v>
          </cell>
          <cell r="K43">
            <v>100</v>
          </cell>
          <cell r="M43" t="e">
            <v>#REF!</v>
          </cell>
          <cell r="N43" t="str">
            <v>Avenida Brasil, 202 - Copacabana, Rio de Janeiro, RJ</v>
          </cell>
        </row>
        <row r="44">
          <cell r="E44" t="str">
            <v>100-46</v>
          </cell>
          <cell r="F44" t="str">
            <v>Equipamentos de videoconferência</v>
          </cell>
          <cell r="G44" t="str">
            <v>TechOffice Solutions</v>
          </cell>
          <cell r="H44" t="str">
            <v>(61) 76543-2109</v>
          </cell>
          <cell r="I44" t="str">
            <v>contato@techoffice.com</v>
          </cell>
          <cell r="J44" t="str">
            <v>Equipamentos de Escritório</v>
          </cell>
          <cell r="K44">
            <v>900</v>
          </cell>
          <cell r="M44" t="e">
            <v>#REF!</v>
          </cell>
          <cell r="N44" t="str">
            <v>Rua do Comércio, 303 - Centro, Curitiba, PR</v>
          </cell>
        </row>
        <row r="45">
          <cell r="E45" t="str">
            <v>100-47</v>
          </cell>
          <cell r="F45" t="str">
            <v>Mesas e cadeiras ergonômicas</v>
          </cell>
          <cell r="G45" t="str">
            <v>TechOffice Solutions</v>
          </cell>
          <cell r="H45" t="str">
            <v>(71) 89012-3456</v>
          </cell>
          <cell r="I45" t="str">
            <v>contato@techoffice.com</v>
          </cell>
          <cell r="J45" t="str">
            <v>Equipamentos de Escritório</v>
          </cell>
          <cell r="K45">
            <v>600</v>
          </cell>
          <cell r="M45" t="e">
            <v>#REF!</v>
          </cell>
          <cell r="N45" t="str">
            <v>Avenida Paulista, 404 - Bela Vista, São Paulo, SP</v>
          </cell>
        </row>
        <row r="46">
          <cell r="E46" t="str">
            <v>100-48</v>
          </cell>
          <cell r="F46" t="str">
            <v>Projetores e telas de projeção</v>
          </cell>
          <cell r="G46" t="str">
            <v>TechOffice Solutions</v>
          </cell>
          <cell r="H46" t="str">
            <v>(81) 84321-0987</v>
          </cell>
          <cell r="I46" t="str">
            <v>contato@techoffice.com</v>
          </cell>
          <cell r="J46" t="str">
            <v>Equipamentos de Escritório</v>
          </cell>
          <cell r="K46">
            <v>200</v>
          </cell>
          <cell r="M46" t="e">
            <v>#REF!</v>
          </cell>
          <cell r="N46" t="str">
            <v>Rua das Palmeiras, 505 - Boa Viagem, Recife, PE</v>
          </cell>
        </row>
        <row r="47">
          <cell r="E47" t="str">
            <v>100-49</v>
          </cell>
          <cell r="F47" t="str">
            <v>Papel (A4, A3, etc.)</v>
          </cell>
          <cell r="G47" t="str">
            <v>PrintMaster Supplies</v>
          </cell>
          <cell r="H47" t="str">
            <v>(91) 87098-7654</v>
          </cell>
          <cell r="I47" t="str">
            <v>vendas@printmaster.com</v>
          </cell>
          <cell r="J47" t="str">
            <v>Material de Escritório</v>
          </cell>
          <cell r="K47">
            <v>1200</v>
          </cell>
          <cell r="M47" t="e">
            <v>#REF!</v>
          </cell>
          <cell r="N47" t="str">
            <v>Avenida Atlântica, 606 - Centro, Florianópolis, SC</v>
          </cell>
        </row>
        <row r="48">
          <cell r="E48" t="str">
            <v>100-50</v>
          </cell>
          <cell r="F48" t="str">
            <v>Caneta</v>
          </cell>
          <cell r="G48" t="str">
            <v>PrintMaster Supplies</v>
          </cell>
          <cell r="H48" t="str">
            <v>(12) 80123-4567</v>
          </cell>
          <cell r="I48" t="str">
            <v>vendas@printmaster.com</v>
          </cell>
          <cell r="J48" t="str">
            <v>Material de Escritório</v>
          </cell>
          <cell r="K48">
            <v>3000</v>
          </cell>
          <cell r="M48">
            <v>21000</v>
          </cell>
          <cell r="N48" t="str">
            <v>Rua da Independência, 707 - Liberdade, Salvador, BA</v>
          </cell>
        </row>
        <row r="49">
          <cell r="E49" t="str">
            <v>100-51</v>
          </cell>
          <cell r="F49" t="str">
            <v>Marcadores e highlighters</v>
          </cell>
          <cell r="G49" t="str">
            <v>PrintMaster Supplies</v>
          </cell>
          <cell r="H49" t="str">
            <v>(22) 86543-2109</v>
          </cell>
          <cell r="I49" t="str">
            <v>vendas@printmaster.com</v>
          </cell>
          <cell r="J49" t="str">
            <v>Material de Escritório</v>
          </cell>
          <cell r="K49">
            <v>1500</v>
          </cell>
          <cell r="M49" t="e">
            <v>#REF!</v>
          </cell>
          <cell r="N49" t="str">
            <v>Avenida Getúlio Vargas, 808 - Centro, Manaus, AM</v>
          </cell>
        </row>
        <row r="50">
          <cell r="E50" t="str">
            <v>100-52</v>
          </cell>
          <cell r="F50" t="str">
            <v>Cadernos e blocos de notas</v>
          </cell>
          <cell r="G50" t="str">
            <v>PrintMaster Supplies</v>
          </cell>
          <cell r="H50" t="str">
            <v>(32) 89012-3456</v>
          </cell>
          <cell r="I50" t="str">
            <v>vendas@printmaster.com</v>
          </cell>
          <cell r="J50" t="str">
            <v>Material de Escritório</v>
          </cell>
          <cell r="K50">
            <v>700</v>
          </cell>
          <cell r="M50" t="e">
            <v>#REF!</v>
          </cell>
          <cell r="N50" t="str">
            <v>Rua dos Pioneiros, 909 - Jardim América, Goiânia, GO</v>
          </cell>
        </row>
        <row r="51">
          <cell r="E51" t="str">
            <v>100-53</v>
          </cell>
          <cell r="F51" t="str">
            <v>Post-its e adesivos</v>
          </cell>
          <cell r="G51" t="str">
            <v>PrintMaster Supplies</v>
          </cell>
          <cell r="H51" t="str">
            <v>(42) 84321-0987</v>
          </cell>
          <cell r="I51" t="str">
            <v>vendas@printmaster.com</v>
          </cell>
          <cell r="J51" t="str">
            <v>Material de Escritório</v>
          </cell>
          <cell r="K51">
            <v>20</v>
          </cell>
          <cell r="M51" t="e">
            <v>#REF!</v>
          </cell>
          <cell r="N51" t="str">
            <v>Avenida Rio Branco, 111 - Centro, Fortaleza, CE</v>
          </cell>
        </row>
        <row r="52">
          <cell r="E52" t="str">
            <v>100-54</v>
          </cell>
          <cell r="F52" t="str">
            <v>Grampeadores e grampos</v>
          </cell>
          <cell r="G52" t="str">
            <v>PrintMaster Supplies</v>
          </cell>
          <cell r="H52" t="str">
            <v>(52) 87098-7654</v>
          </cell>
          <cell r="I52" t="str">
            <v>vendas@printmaster.com</v>
          </cell>
          <cell r="J52" t="str">
            <v>Material de Escritório</v>
          </cell>
          <cell r="K52">
            <v>5</v>
          </cell>
          <cell r="M52" t="e">
            <v>#REF!</v>
          </cell>
          <cell r="N52" t="str">
            <v>Rua da República, 222 - Vila Madalena, São Paulo, SP</v>
          </cell>
        </row>
        <row r="53">
          <cell r="E53" t="str">
            <v>100-55</v>
          </cell>
          <cell r="F53" t="str">
            <v>Clips de papel e alfinetes</v>
          </cell>
          <cell r="G53" t="str">
            <v>PrintMaster Supplies</v>
          </cell>
          <cell r="H53" t="str">
            <v>(62) 80123-4567</v>
          </cell>
          <cell r="I53" t="str">
            <v>vendas@printmaster.com</v>
          </cell>
          <cell r="J53" t="str">
            <v>Material de Escritório</v>
          </cell>
          <cell r="K53">
            <v>4</v>
          </cell>
          <cell r="M53" t="e">
            <v>#REF!</v>
          </cell>
          <cell r="N53" t="str">
            <v>Avenida Santos Dumont, 333 - Centro, Aracaju, SE</v>
          </cell>
        </row>
        <row r="54">
          <cell r="E54" t="str">
            <v>100-56</v>
          </cell>
          <cell r="F54" t="str">
            <v>Pastas e arquivos</v>
          </cell>
          <cell r="G54" t="str">
            <v>PrintMaster Supplies</v>
          </cell>
          <cell r="H54" t="str">
            <v>(72) 86543-2109</v>
          </cell>
          <cell r="I54" t="str">
            <v>vendas@printmaster.com</v>
          </cell>
          <cell r="J54" t="str">
            <v>Material de Escritório</v>
          </cell>
          <cell r="K54">
            <v>8</v>
          </cell>
          <cell r="M54" t="e">
            <v>#REF!</v>
          </cell>
          <cell r="N54" t="str">
            <v>Rua do Sol, 444 - Ponta Verde, Maceió, AL</v>
          </cell>
        </row>
        <row r="55">
          <cell r="E55" t="str">
            <v>100-57</v>
          </cell>
          <cell r="F55" t="str">
            <v>Lápis</v>
          </cell>
          <cell r="G55" t="str">
            <v>PrintMaster Supplies</v>
          </cell>
          <cell r="H55" t="str">
            <v>(82) 89012-3456</v>
          </cell>
          <cell r="I55" t="str">
            <v>vendas@printmaster.com</v>
          </cell>
          <cell r="J55" t="str">
            <v>Material de Escritório</v>
          </cell>
          <cell r="K55">
            <v>15</v>
          </cell>
          <cell r="M55" t="e">
            <v>#REF!</v>
          </cell>
          <cell r="N55" t="str">
            <v>Avenida Tiradentes, 555 - Centro, Londrina, PR</v>
          </cell>
        </row>
        <row r="56">
          <cell r="E56" t="str">
            <v>100-58</v>
          </cell>
          <cell r="F56" t="str">
            <v>Borracha</v>
          </cell>
          <cell r="G56" t="str">
            <v>PrintMaster Supplies</v>
          </cell>
          <cell r="H56" t="str">
            <v>(92) 84321-0987</v>
          </cell>
          <cell r="I56" t="str">
            <v>vendas@printmaster.com</v>
          </cell>
          <cell r="J56" t="str">
            <v>Material de Escritório</v>
          </cell>
          <cell r="K56">
            <v>25</v>
          </cell>
          <cell r="M56" t="e">
            <v>#REF!</v>
          </cell>
          <cell r="N56" t="str">
            <v>Rua da Glória, 666 - Santa Teresa, Rio de Janeiro, RJ</v>
          </cell>
        </row>
        <row r="57">
          <cell r="E57" t="str">
            <v>100-59</v>
          </cell>
          <cell r="F57" t="str">
            <v>Detergentes e desinfetantes</v>
          </cell>
          <cell r="G57" t="str">
            <v>ConferTech Equipment</v>
          </cell>
          <cell r="H57" t="str">
            <v>(13) 87098-7654</v>
          </cell>
          <cell r="I57" t="str">
            <v>info@confertech.com</v>
          </cell>
          <cell r="J57" t="str">
            <v>Produtos de Limpeza e Manutenção</v>
          </cell>
          <cell r="K57">
            <v>10</v>
          </cell>
          <cell r="M57" t="e">
            <v>#REF!</v>
          </cell>
          <cell r="N57" t="str">
            <v>Avenida dos Bandeirantes, 777 - Moema, São Paulo, SP</v>
          </cell>
        </row>
        <row r="58">
          <cell r="E58" t="str">
            <v>100-60</v>
          </cell>
          <cell r="F58" t="str">
            <v>Panos de limpeza e esponjas</v>
          </cell>
          <cell r="G58" t="str">
            <v>ConferTech Equipment</v>
          </cell>
          <cell r="H58" t="str">
            <v>(23) 80123-4567</v>
          </cell>
          <cell r="I58" t="str">
            <v>info@confertech.com</v>
          </cell>
          <cell r="J58" t="str">
            <v>Produtos de Limpeza e Manutenção</v>
          </cell>
          <cell r="K58">
            <v>2</v>
          </cell>
          <cell r="M58" t="e">
            <v>#REF!</v>
          </cell>
          <cell r="N58" t="str">
            <v>Rua das Acácias, 888 - Jardim Botânico, Porto Alegre, RS</v>
          </cell>
        </row>
        <row r="59">
          <cell r="E59" t="str">
            <v>100-61</v>
          </cell>
          <cell r="F59" t="str">
            <v>Aspiradores de pó</v>
          </cell>
          <cell r="G59" t="str">
            <v>ConferTech Equipment</v>
          </cell>
          <cell r="H59" t="str">
            <v>(33) 86543-2109</v>
          </cell>
          <cell r="I59" t="str">
            <v>info@confertech.com</v>
          </cell>
          <cell r="J59" t="str">
            <v>Produtos de Limpeza e Manutenção</v>
          </cell>
          <cell r="K59">
            <v>5</v>
          </cell>
          <cell r="M59" t="e">
            <v>#REF!</v>
          </cell>
          <cell r="N59" t="str">
            <v>Avenida Pedro II, 999 - Centro, Belo Horizonte, MG</v>
          </cell>
        </row>
        <row r="60">
          <cell r="E60" t="str">
            <v>100-62</v>
          </cell>
          <cell r="F60" t="str">
            <v>Baldes e rodos</v>
          </cell>
          <cell r="G60" t="str">
            <v>ConferTech Equipment</v>
          </cell>
          <cell r="H60" t="str">
            <v>(43) 89012-3456</v>
          </cell>
          <cell r="I60" t="str">
            <v>info@confertech.com</v>
          </cell>
          <cell r="J60" t="str">
            <v>Produtos de Limpeza e Manutenção</v>
          </cell>
          <cell r="K60">
            <v>50</v>
          </cell>
          <cell r="M60" t="e">
            <v>#REF!</v>
          </cell>
          <cell r="N60" t="str">
            <v>Rua das Hortênsias, 121 - Gramado, RS</v>
          </cell>
        </row>
        <row r="61">
          <cell r="E61" t="str">
            <v>100-63</v>
          </cell>
          <cell r="F61" t="str">
            <v>Equipamentos de limpeza especializados</v>
          </cell>
          <cell r="G61" t="str">
            <v>ConferTech Equipment</v>
          </cell>
          <cell r="H61" t="str">
            <v>(53) 84321-0987</v>
          </cell>
          <cell r="I61" t="str">
            <v>info@confertech.com</v>
          </cell>
          <cell r="J61" t="str">
            <v>Produtos de Limpeza e Manutenção</v>
          </cell>
          <cell r="K61">
            <v>30</v>
          </cell>
          <cell r="M61" t="e">
            <v>#REF!</v>
          </cell>
          <cell r="N61" t="str">
            <v>Avenida 9 de Julho, 232 - Jardim Paulista, São Paulo, SP</v>
          </cell>
        </row>
        <row r="62">
          <cell r="E62" t="str">
            <v>100-64</v>
          </cell>
          <cell r="F62" t="str">
            <v>Sacos de lixo</v>
          </cell>
          <cell r="G62" t="str">
            <v>ConferTech Equipment</v>
          </cell>
          <cell r="H62" t="str">
            <v>(63) 87098-7654</v>
          </cell>
          <cell r="I62" t="str">
            <v>info@confertech.com</v>
          </cell>
          <cell r="J62" t="str">
            <v>Produtos de Limpeza e Manutenção</v>
          </cell>
          <cell r="K62">
            <v>20</v>
          </cell>
          <cell r="M62" t="e">
            <v>#REF!</v>
          </cell>
          <cell r="N62" t="str">
            <v>Rua do Cruzeiro, 343 - Bairro da Penha, São Luís, MA</v>
          </cell>
        </row>
        <row r="63">
          <cell r="E63" t="str">
            <v>100-65</v>
          </cell>
          <cell r="F63" t="str">
            <v>Papel higiênico e toalhas de papel</v>
          </cell>
          <cell r="G63" t="str">
            <v>ConferTech Equipment</v>
          </cell>
          <cell r="H63" t="str">
            <v>(73) 80123-4567</v>
          </cell>
          <cell r="I63" t="str">
            <v>info@confertech.com</v>
          </cell>
          <cell r="J63" t="str">
            <v>Produtos de Limpeza e Manutenção</v>
          </cell>
          <cell r="K63">
            <v>15</v>
          </cell>
          <cell r="M63" t="e">
            <v>#REF!</v>
          </cell>
          <cell r="N63" t="str">
            <v>Avenida João Pessoa, 454 - Centro, Natal, RN</v>
          </cell>
        </row>
        <row r="64">
          <cell r="E64" t="str">
            <v>100-66</v>
          </cell>
          <cell r="F64" t="str">
            <v>Servidores</v>
          </cell>
          <cell r="G64" t="str">
            <v>Stationery Hub</v>
          </cell>
          <cell r="H64" t="str">
            <v>(83) 86543-2109</v>
          </cell>
          <cell r="I64" t="str">
            <v>atendimento@stationeryhub.com</v>
          </cell>
          <cell r="J64" t="str">
            <v>Equipamentos de TI e Infraestrutura</v>
          </cell>
          <cell r="K64">
            <v>8000</v>
          </cell>
          <cell r="M64" t="e">
            <v>#REF!</v>
          </cell>
          <cell r="N64" t="str">
            <v>Rua das Laranjeiras, 565 - Botafogo, Rio de Janeiro, RJ</v>
          </cell>
        </row>
        <row r="65">
          <cell r="E65" t="str">
            <v>100-67</v>
          </cell>
          <cell r="F65" t="str">
            <v>Roteadores e switches</v>
          </cell>
          <cell r="G65" t="str">
            <v>Stationery Hub</v>
          </cell>
          <cell r="H65" t="str">
            <v>(93) 89012-3456</v>
          </cell>
          <cell r="I65" t="str">
            <v>atendimento@stationeryhub.com</v>
          </cell>
          <cell r="J65" t="str">
            <v>Equipamentos de TI e Infraestrutura</v>
          </cell>
          <cell r="K65">
            <v>500</v>
          </cell>
          <cell r="M65" t="e">
            <v>#REF!</v>
          </cell>
          <cell r="N65" t="str">
            <v>Avenida Tancredo Neves, 676 - Caminho das Árvores, Salvador, BA</v>
          </cell>
        </row>
        <row r="66">
          <cell r="E66" t="str">
            <v>100-68</v>
          </cell>
          <cell r="F66" t="str">
            <v>Cabos de rede</v>
          </cell>
          <cell r="G66" t="str">
            <v>Stationery Hub</v>
          </cell>
          <cell r="H66" t="str">
            <v>(14) 84321-0987</v>
          </cell>
          <cell r="I66" t="str">
            <v>atendimento@stationeryhub.com</v>
          </cell>
          <cell r="J66" t="str">
            <v>Equipamentos de TI e Infraestrutura</v>
          </cell>
          <cell r="K66">
            <v>300</v>
          </cell>
          <cell r="M66" t="e">
            <v>#REF!</v>
          </cell>
          <cell r="N66" t="str">
            <v>Rua das Margaridas, 787 - Tijuca, Rio de Janeiro, RJ</v>
          </cell>
        </row>
        <row r="67">
          <cell r="E67" t="str">
            <v>100-69</v>
          </cell>
          <cell r="F67" t="str">
            <v>Nobreaks e estabilizadores</v>
          </cell>
          <cell r="G67" t="str">
            <v>Stationery Hub</v>
          </cell>
          <cell r="H67" t="str">
            <v>(24) 87098-7654</v>
          </cell>
          <cell r="I67" t="str">
            <v>atendimento@stationeryhub.com</v>
          </cell>
          <cell r="J67" t="str">
            <v>Equipamentos de TI e Infraestrutura</v>
          </cell>
          <cell r="K67">
            <v>20</v>
          </cell>
          <cell r="M67" t="e">
            <v>#REF!</v>
          </cell>
          <cell r="N67" t="str">
            <v>Avenida das Nações Unidas, 898 - Brooklin, São Paulo, SP</v>
          </cell>
        </row>
        <row r="68">
          <cell r="E68" t="str">
            <v>100-70</v>
          </cell>
          <cell r="F68" t="str">
            <v>Softwares de gerenciamento e segurança</v>
          </cell>
          <cell r="G68" t="str">
            <v>Stationery Hub</v>
          </cell>
          <cell r="H68" t="str">
            <v>(34) 80123-4567</v>
          </cell>
          <cell r="I68" t="str">
            <v>atendimento@stationeryhub.com</v>
          </cell>
          <cell r="J68" t="str">
            <v>Equipamentos de TI e Infraestrutura</v>
          </cell>
          <cell r="K68">
            <v>600</v>
          </cell>
          <cell r="M68" t="e">
            <v>#REF!</v>
          </cell>
          <cell r="N68" t="str">
            <v>Rua do Farol, 909 - Centro, Fortaleza, CE</v>
          </cell>
        </row>
        <row r="69">
          <cell r="E69" t="str">
            <v>100-71</v>
          </cell>
          <cell r="F69" t="str">
            <v>Sistemas de backup e armazenamento</v>
          </cell>
          <cell r="G69" t="str">
            <v>Stationery Hub</v>
          </cell>
          <cell r="H69" t="str">
            <v>(44) 86543-2109</v>
          </cell>
          <cell r="I69" t="str">
            <v>atendimento@stationeryhub.com</v>
          </cell>
          <cell r="J69" t="str">
            <v>Equipamentos de TI e Infraestrutura</v>
          </cell>
          <cell r="K69">
            <v>2000</v>
          </cell>
          <cell r="M69" t="e">
            <v>#REF!</v>
          </cell>
          <cell r="N69" t="str">
            <v>Avenida Fernando Corrêa, 1010 - Boa Esperança, Cuiabá, MT</v>
          </cell>
        </row>
        <row r="70">
          <cell r="E70" t="str">
            <v>100-72</v>
          </cell>
          <cell r="F70" t="str">
            <v xml:space="preserve">Cafeteiras </v>
          </cell>
          <cell r="G70" t="str">
            <v>BreakTime Essentials</v>
          </cell>
          <cell r="H70" t="str">
            <v>(54) 89012-3456</v>
          </cell>
          <cell r="I70" t="str">
            <v>breaktime@al.ons.com</v>
          </cell>
          <cell r="J70" t="str">
            <v>Materiais para Café e Cozinha</v>
          </cell>
          <cell r="K70">
            <v>1000</v>
          </cell>
          <cell r="M70" t="e">
            <v>#REF!</v>
          </cell>
          <cell r="N70" t="str">
            <v>Rua das Camélias, 112 - Zona 7, Maringá, PR</v>
          </cell>
        </row>
        <row r="71">
          <cell r="E71" t="str">
            <v>100-73</v>
          </cell>
          <cell r="F71" t="str">
            <v xml:space="preserve">Micro-ondas </v>
          </cell>
          <cell r="G71" t="str">
            <v>BreakTime Essentials</v>
          </cell>
          <cell r="H71" t="str">
            <v>(64) 84321-0987</v>
          </cell>
          <cell r="I71" t="str">
            <v>breaktime@al.ons.com</v>
          </cell>
          <cell r="J71" t="str">
            <v>Materiais para Café e Cozinha</v>
          </cell>
          <cell r="K71">
            <v>400</v>
          </cell>
          <cell r="M71" t="e">
            <v>#REF!</v>
          </cell>
          <cell r="N71" t="str">
            <v>Avenida Independência, 223 - Porto Alegre, RS</v>
          </cell>
        </row>
        <row r="72">
          <cell r="E72" t="str">
            <v>100-74</v>
          </cell>
          <cell r="F72" t="str">
            <v>Copos, xícaras e talheres</v>
          </cell>
          <cell r="G72" t="str">
            <v>BreakTime Essentials</v>
          </cell>
          <cell r="H72" t="str">
            <v>(74) 87098-7654</v>
          </cell>
          <cell r="I72" t="str">
            <v>breaktime@al.ons.com</v>
          </cell>
          <cell r="J72" t="str">
            <v>Materiais para Café e Cozinha</v>
          </cell>
          <cell r="K72">
            <v>1200</v>
          </cell>
          <cell r="M72" t="e">
            <v>#REF!</v>
          </cell>
          <cell r="N72" t="str">
            <v>Rua dos Jasmins, 334 - Meireles, Fortaleza, CE</v>
          </cell>
        </row>
        <row r="73">
          <cell r="E73" t="str">
            <v>100-75</v>
          </cell>
          <cell r="F73" t="str">
            <v>Filtros de café e açúcar</v>
          </cell>
          <cell r="G73" t="str">
            <v>BreakTime Essentials</v>
          </cell>
          <cell r="H73" t="str">
            <v>(84) 80123-4567</v>
          </cell>
          <cell r="I73" t="str">
            <v>breaktime@al.ons.com</v>
          </cell>
          <cell r="J73" t="str">
            <v>Materiais para Café e Cozinha</v>
          </cell>
          <cell r="K73">
            <v>60</v>
          </cell>
          <cell r="M73" t="e">
            <v>#REF!</v>
          </cell>
          <cell r="N73" t="str">
            <v>Avenida das Palmeiras, 445 - Zona Sul, Rio de Janeiro, RJ</v>
          </cell>
        </row>
        <row r="75">
          <cell r="F75" t="str">
            <v>Caneta</v>
          </cell>
        </row>
        <row r="76">
          <cell r="F76">
            <v>7</v>
          </cell>
        </row>
        <row r="77">
          <cell r="F77">
            <v>21000</v>
          </cell>
        </row>
        <row r="78">
          <cell r="F78" t="str">
            <v>100-50</v>
          </cell>
        </row>
        <row r="79">
          <cell r="F79" t="str">
            <v>PrintMaster Supplies</v>
          </cell>
        </row>
        <row r="80">
          <cell r="F80" t="str">
            <v>Material de Escritório</v>
          </cell>
        </row>
        <row r="81">
          <cell r="F81">
            <v>3000</v>
          </cell>
        </row>
        <row r="85">
          <cell r="F85" t="str">
            <v>Produto</v>
          </cell>
        </row>
        <row r="86">
          <cell r="E86" t="str">
            <v>100-75</v>
          </cell>
          <cell r="F86" t="str">
            <v xml:space="preserve">Aventais\Jalecos </v>
          </cell>
          <cell r="G86" t="str">
            <v>ProtegeMais Equipamentos</v>
          </cell>
          <cell r="H86" t="str">
            <v>(11) 91234-5678</v>
          </cell>
          <cell r="I86" t="str">
            <v>protegemais@equipamentos.com</v>
          </cell>
          <cell r="J86" t="str">
            <v>Produtos para Funcionarios</v>
          </cell>
          <cell r="K86">
            <v>60</v>
          </cell>
          <cell r="M86" t="e">
            <v>#REF!</v>
          </cell>
          <cell r="N86" t="str">
            <v>Rua das Palmeiras, 123 - Jardim América, São Paulo, SP</v>
          </cell>
        </row>
        <row r="87">
          <cell r="E87" t="str">
            <v>100-76</v>
          </cell>
          <cell r="F87" t="str">
            <v>Luvas Descartaveis</v>
          </cell>
          <cell r="G87" t="str">
            <v>EPI Safe Solutions</v>
          </cell>
          <cell r="H87" t="str">
            <v>(21) 98765-4321</v>
          </cell>
          <cell r="I87" t="str">
            <v>contato@episafesolutions.com</v>
          </cell>
          <cell r="J87" t="str">
            <v>Produtos para Funcionarios</v>
          </cell>
          <cell r="K87">
            <v>200</v>
          </cell>
          <cell r="M87" t="e">
            <v>#REF!</v>
          </cell>
          <cell r="N87" t="str">
            <v>Avenida Atlântica, 456 - Copacabana, Rio de Janeiro, RJ</v>
          </cell>
        </row>
        <row r="88">
          <cell r="E88" t="str">
            <v>100-77</v>
          </cell>
          <cell r="F88" t="str">
            <v>Rede para Cabelo</v>
          </cell>
          <cell r="G88" t="str">
            <v>GuardPlus Uniformes</v>
          </cell>
          <cell r="H88" t="str">
            <v>(31) 92345-6789</v>
          </cell>
          <cell r="I88" t="str">
            <v>atendimento@guardplusuniformes.com</v>
          </cell>
          <cell r="J88" t="str">
            <v>Produtos para Funcionarios</v>
          </cell>
          <cell r="K88">
            <v>100</v>
          </cell>
          <cell r="M88" t="e">
            <v>#REF!</v>
          </cell>
          <cell r="N88" t="str">
            <v>Rua do Comércio, 789 - Centro, Belo Horizonte, MG</v>
          </cell>
        </row>
        <row r="89">
          <cell r="E89" t="str">
            <v>100-78</v>
          </cell>
          <cell r="F89" t="str">
            <v>Óculos de Proteção</v>
          </cell>
          <cell r="G89" t="str">
            <v>SeguraTec EPI</v>
          </cell>
          <cell r="H89" t="str">
            <v>(41) 93456-7890</v>
          </cell>
          <cell r="I89" t="str">
            <v>vendas@seguratecepi.com</v>
          </cell>
          <cell r="J89" t="str">
            <v>Produtos para Funcionarios</v>
          </cell>
          <cell r="K89">
            <v>30</v>
          </cell>
          <cell r="M89" t="e">
            <v>#REF!</v>
          </cell>
          <cell r="N89" t="str">
            <v>Avenida Brasil, 101 - Boa Viagem, Recife, PE</v>
          </cell>
        </row>
        <row r="90">
          <cell r="E90" t="str">
            <v>100-79</v>
          </cell>
          <cell r="F90" t="str">
            <v>Calçados de Segurança</v>
          </cell>
          <cell r="G90" t="str">
            <v>UniPro Vestuário</v>
          </cell>
          <cell r="H90" t="str">
            <v>(51) 94567-8901</v>
          </cell>
          <cell r="I90" t="str">
            <v>suporte@uniproveste.com</v>
          </cell>
          <cell r="J90" t="str">
            <v>Produtos para Funcionarios</v>
          </cell>
          <cell r="K90">
            <v>70</v>
          </cell>
          <cell r="M90" t="e">
            <v>#REF!</v>
          </cell>
          <cell r="N90" t="str">
            <v>Rua das Flores, 202 - Centro, Curitiba, PR</v>
          </cell>
        </row>
        <row r="91">
          <cell r="E91" t="str">
            <v>100-80</v>
          </cell>
          <cell r="F91" t="str">
            <v xml:space="preserve">Mácaras Descartáves </v>
          </cell>
          <cell r="G91" t="str">
            <v>MaxProtec Segurança</v>
          </cell>
          <cell r="H91" t="str">
            <v>(61) 95678-9012</v>
          </cell>
          <cell r="I91" t="str">
            <v>contato@maxprotecequipamentos.com</v>
          </cell>
          <cell r="J91" t="str">
            <v>Produtos para Funcionarios</v>
          </cell>
          <cell r="K91">
            <v>80</v>
          </cell>
          <cell r="M91" t="e">
            <v>#REF!</v>
          </cell>
          <cell r="N91" t="str">
            <v>Avenida Paulista, 303 - Bela Vista, São Paulo, SP</v>
          </cell>
        </row>
        <row r="92">
          <cell r="E92" t="str">
            <v>100-81</v>
          </cell>
          <cell r="F92" t="str">
            <v>Protetores Auriculares</v>
          </cell>
          <cell r="G92" t="str">
            <v>SafeWear Brasil</v>
          </cell>
          <cell r="H92" t="str">
            <v>(71) 96789-0123</v>
          </cell>
          <cell r="I92" t="str">
            <v>atendimento@safewearbrasil.com</v>
          </cell>
          <cell r="J92" t="str">
            <v>Produtos para Funcionarios</v>
          </cell>
          <cell r="K92">
            <v>50</v>
          </cell>
          <cell r="M92">
            <v>750</v>
          </cell>
          <cell r="N92" t="str">
            <v>Rua dos Pioneiros, 404 - Jardim Europa, Porto Alegre, RS</v>
          </cell>
        </row>
        <row r="93">
          <cell r="E93" t="str">
            <v>100-82</v>
          </cell>
          <cell r="F93" t="str">
            <v>Luvas de Proteção</v>
          </cell>
          <cell r="G93" t="str">
            <v>Segurança Total EPIs</v>
          </cell>
          <cell r="H93" t="str">
            <v>(81) 97890-1234</v>
          </cell>
          <cell r="I93" t="str">
            <v>vendas@segurancatotalepis.com</v>
          </cell>
          <cell r="J93" t="str">
            <v>Produtos para Funcionarios</v>
          </cell>
          <cell r="K93">
            <v>10</v>
          </cell>
          <cell r="M93" t="e">
            <v>#REF!</v>
          </cell>
          <cell r="N93" t="str">
            <v>Avenida Central, 505 - Centro, Brasília, DF</v>
          </cell>
        </row>
        <row r="94">
          <cell r="E94" t="str">
            <v>100-83</v>
          </cell>
          <cell r="F94" t="str">
            <v>Capacete de Segurança</v>
          </cell>
          <cell r="G94" t="str">
            <v>WorkShield Equipamentos</v>
          </cell>
          <cell r="H94" t="str">
            <v>(91) 98901-2345</v>
          </cell>
          <cell r="I94" t="str">
            <v>contato@workshieldequipamentos.com</v>
          </cell>
          <cell r="J94" t="str">
            <v>Produtos para Funcionarios</v>
          </cell>
          <cell r="K94">
            <v>50</v>
          </cell>
          <cell r="M94" t="e">
            <v>#REF!</v>
          </cell>
          <cell r="N94" t="str">
            <v>Rua da Paz, 606 - Liberdade, Salvador, BA</v>
          </cell>
        </row>
        <row r="95">
          <cell r="E95" t="str">
            <v>100-84</v>
          </cell>
          <cell r="F95" t="str">
            <v>Vestimenta de Alta Visibilidade</v>
          </cell>
          <cell r="G95" t="str">
            <v>ProTec Uniformes</v>
          </cell>
          <cell r="H95" t="str">
            <v>(12) 99012-3456</v>
          </cell>
          <cell r="I95" t="str">
            <v>suporte@proteceuniformes.com</v>
          </cell>
          <cell r="J95" t="str">
            <v>Produtos para Funcionarios</v>
          </cell>
          <cell r="K95">
            <v>200</v>
          </cell>
          <cell r="M95" t="e">
            <v>#REF!</v>
          </cell>
          <cell r="N95" t="str">
            <v>Avenida Santos Dumont, 707 - Centro, Fortaleza, CE</v>
          </cell>
        </row>
        <row r="96">
          <cell r="E96" t="str">
            <v>100-85</v>
          </cell>
          <cell r="F96" t="str">
            <v>Uniformes Adequados</v>
          </cell>
          <cell r="G96" t="str">
            <v>EPI Global</v>
          </cell>
          <cell r="H96" t="str">
            <v>(22) 90123-4567</v>
          </cell>
          <cell r="I96" t="str">
            <v>atendimento@epiglobal.com</v>
          </cell>
          <cell r="J96" t="str">
            <v>Produtos para Funcionarios</v>
          </cell>
          <cell r="K96">
            <v>80</v>
          </cell>
          <cell r="M96" t="e">
            <v>#REF!</v>
          </cell>
          <cell r="N96" t="str">
            <v>Rua das Acácias, 808 - Ponta Verde, Maceió, AL</v>
          </cell>
        </row>
        <row r="97">
          <cell r="E97" t="str">
            <v>100-86</v>
          </cell>
          <cell r="F97" t="str">
            <v xml:space="preserve">Máscaras Faciais </v>
          </cell>
          <cell r="G97" t="str">
            <v>VesteSegura</v>
          </cell>
          <cell r="H97" t="str">
            <v>(32) 91234-5678</v>
          </cell>
          <cell r="I97" t="str">
            <v>contato@vestesegura.com</v>
          </cell>
          <cell r="J97" t="str">
            <v>Produtos para Funcionarios</v>
          </cell>
          <cell r="K97">
            <v>30</v>
          </cell>
          <cell r="M97" t="e">
            <v>#REF!</v>
          </cell>
          <cell r="N97" t="str">
            <v>Avenida Getúlio Vargas, 909 - Centro, Manaus, AM</v>
          </cell>
        </row>
        <row r="99">
          <cell r="F99" t="str">
            <v>Protetores Auriculares</v>
          </cell>
        </row>
        <row r="100">
          <cell r="F100">
            <v>15</v>
          </cell>
        </row>
        <row r="101">
          <cell r="F101">
            <v>750</v>
          </cell>
        </row>
        <row r="102">
          <cell r="F102" t="str">
            <v>100-81</v>
          </cell>
        </row>
        <row r="103">
          <cell r="F103" t="str">
            <v>SafeWear Brasil</v>
          </cell>
        </row>
        <row r="104">
          <cell r="F104" t="str">
            <v>Produtos para Funcionarios</v>
          </cell>
        </row>
        <row r="105">
          <cell r="F105">
            <v>50</v>
          </cell>
        </row>
        <row r="106">
          <cell r="F106">
            <v>45447</v>
          </cell>
        </row>
      </sheetData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BASE RH"/>
      <sheetName val="DATABASE FOLHA DE PAGAMENTO RH"/>
      <sheetName val="Adc Funcionário"/>
      <sheetName val="Novos Cadastros"/>
      <sheetName val="Planilha2"/>
      <sheetName val="TESTES"/>
      <sheetName val="Planilha1"/>
      <sheetName val="ERP BASE RH"/>
    </sheetNames>
    <sheetDataSet>
      <sheetData sheetId="0"/>
      <sheetData sheetId="1">
        <row r="3">
          <cell r="S3" t="str">
            <v>BOM</v>
          </cell>
        </row>
        <row r="4">
          <cell r="S4" t="str">
            <v>ÓTIMO</v>
          </cell>
        </row>
        <row r="5">
          <cell r="S5" t="str">
            <v>BOM</v>
          </cell>
        </row>
        <row r="6">
          <cell r="S6" t="str">
            <v>ÓTIMO</v>
          </cell>
        </row>
        <row r="7">
          <cell r="S7" t="str">
            <v>RUIM</v>
          </cell>
        </row>
        <row r="8">
          <cell r="S8" t="str">
            <v>BOM</v>
          </cell>
        </row>
        <row r="9">
          <cell r="S9" t="str">
            <v>BOM</v>
          </cell>
        </row>
        <row r="10">
          <cell r="S10" t="str">
            <v>ÓTIMO</v>
          </cell>
        </row>
        <row r="11">
          <cell r="S11" t="str">
            <v>ÓTIMO</v>
          </cell>
        </row>
        <row r="12">
          <cell r="S12" t="str">
            <v>ÓTIMO</v>
          </cell>
        </row>
        <row r="13">
          <cell r="S13" t="str">
            <v>BOM</v>
          </cell>
        </row>
        <row r="14">
          <cell r="S14" t="str">
            <v>ÓTIMO</v>
          </cell>
        </row>
        <row r="15">
          <cell r="S15" t="str">
            <v>RUIM</v>
          </cell>
        </row>
        <row r="16">
          <cell r="S16" t="str">
            <v>RUIM</v>
          </cell>
        </row>
        <row r="17">
          <cell r="S17" t="str">
            <v>RUIM</v>
          </cell>
        </row>
        <row r="18">
          <cell r="S18" t="str">
            <v>ÓTIMO</v>
          </cell>
        </row>
        <row r="19">
          <cell r="S19" t="str">
            <v>ÓTIMO</v>
          </cell>
        </row>
        <row r="20">
          <cell r="S20" t="str">
            <v>ÓTIMO</v>
          </cell>
        </row>
        <row r="21">
          <cell r="S21" t="str">
            <v>ÓTIMO</v>
          </cell>
        </row>
        <row r="22">
          <cell r="S22" t="str">
            <v>BOM</v>
          </cell>
        </row>
        <row r="23">
          <cell r="S23" t="str">
            <v>BOM</v>
          </cell>
        </row>
        <row r="24">
          <cell r="S24" t="str">
            <v>ÓTIMO</v>
          </cell>
        </row>
        <row r="25">
          <cell r="S25" t="str">
            <v>ÓTIMO</v>
          </cell>
        </row>
        <row r="26">
          <cell r="S26" t="str">
            <v>BOM</v>
          </cell>
        </row>
        <row r="27">
          <cell r="S27" t="str">
            <v>BOM</v>
          </cell>
        </row>
        <row r="28">
          <cell r="S28" t="str">
            <v>ÓTIMO</v>
          </cell>
        </row>
        <row r="29">
          <cell r="S29" t="str">
            <v>ÓTIMO</v>
          </cell>
        </row>
        <row r="30">
          <cell r="S30" t="str">
            <v>BOM</v>
          </cell>
        </row>
        <row r="31">
          <cell r="S31" t="str">
            <v>BOM</v>
          </cell>
        </row>
        <row r="32">
          <cell r="S32" t="str">
            <v>RUIM</v>
          </cell>
        </row>
        <row r="33">
          <cell r="S33" t="str">
            <v>BOM</v>
          </cell>
        </row>
        <row r="34">
          <cell r="S34" t="str">
            <v>BOM</v>
          </cell>
        </row>
        <row r="35">
          <cell r="S35" t="str">
            <v>BOM</v>
          </cell>
        </row>
        <row r="36">
          <cell r="S36" t="str">
            <v>ÓTIMO</v>
          </cell>
        </row>
        <row r="37">
          <cell r="S37" t="str">
            <v>ÓTIMO</v>
          </cell>
        </row>
        <row r="38">
          <cell r="S38" t="str">
            <v>BOM</v>
          </cell>
        </row>
        <row r="39">
          <cell r="S39" t="str">
            <v>BOM</v>
          </cell>
        </row>
        <row r="40">
          <cell r="S40" t="str">
            <v>RUIM</v>
          </cell>
        </row>
        <row r="41">
          <cell r="S41" t="str">
            <v>ÓTIMO</v>
          </cell>
        </row>
      </sheetData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duzir"/>
      <sheetName val="Yogurtes"/>
      <sheetName val="Receita e Quantidades"/>
      <sheetName val="Produtos no Setor"/>
      <sheetName val="Cadastro de Produtos"/>
      <sheetName val="Pedidos"/>
      <sheetName val="Setor Produção"/>
    </sheetNames>
    <definedNames>
      <definedName name="Botão1_Clique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4" Type="http://schemas.openxmlformats.org/officeDocument/2006/relationships/ctrlProp" Target="../ctrlProps/ctrlProp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hyperlink" Target="mailto:breaktime@al.ons.com" TargetMode="External"/><Relationship Id="rId1" Type="http://schemas.openxmlformats.org/officeDocument/2006/relationships/hyperlink" Target="mailto:breaktime@al.ons.com" TargetMode="Externa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3" Type="http://schemas.openxmlformats.org/officeDocument/2006/relationships/hyperlink" Target="mailto:isabella.sacoman@yourgucci.com.br" TargetMode="External"/><Relationship Id="rId18" Type="http://schemas.openxmlformats.org/officeDocument/2006/relationships/hyperlink" Target="mailto:leonardo.paganini@yourgucci.com.br" TargetMode="External"/><Relationship Id="rId26" Type="http://schemas.openxmlformats.org/officeDocument/2006/relationships/hyperlink" Target="mailto:matheus.martin@yourgucci.com.br" TargetMode="External"/><Relationship Id="rId39" Type="http://schemas.openxmlformats.org/officeDocument/2006/relationships/hyperlink" Target="mailto:gabriel.yoshimura@yourgucci.com.br" TargetMode="External"/><Relationship Id="rId21" Type="http://schemas.openxmlformats.org/officeDocument/2006/relationships/hyperlink" Target="mailto:lucas.barbosa@yourgucci.com.br" TargetMode="External"/><Relationship Id="rId34" Type="http://schemas.openxmlformats.org/officeDocument/2006/relationships/hyperlink" Target="mailto:renato.junior@yourgucci.com.br" TargetMode="External"/><Relationship Id="rId7" Type="http://schemas.openxmlformats.org/officeDocument/2006/relationships/hyperlink" Target="mailto:enrique.navea@yourgucci.com.br" TargetMode="External"/><Relationship Id="rId12" Type="http://schemas.openxmlformats.org/officeDocument/2006/relationships/hyperlink" Target="mailto:igor.franzolin@yourgucci.com.br" TargetMode="External"/><Relationship Id="rId17" Type="http://schemas.openxmlformats.org/officeDocument/2006/relationships/hyperlink" Target="mailto:julia.frazao@yourgucci.com.br" TargetMode="External"/><Relationship Id="rId25" Type="http://schemas.openxmlformats.org/officeDocument/2006/relationships/hyperlink" Target="mailto:matheus.pinheiro@yourgucci.com.br" TargetMode="External"/><Relationship Id="rId33" Type="http://schemas.openxmlformats.org/officeDocument/2006/relationships/hyperlink" Target="mailto:pericles.pereira@yourgucci.com.br" TargetMode="External"/><Relationship Id="rId38" Type="http://schemas.openxmlformats.org/officeDocument/2006/relationships/hyperlink" Target="mailto:eduardo.costa@yourgucci.com.br" TargetMode="External"/><Relationship Id="rId2" Type="http://schemas.openxmlformats.org/officeDocument/2006/relationships/hyperlink" Target="mailto:aline.santana@yourgucci.com.br" TargetMode="External"/><Relationship Id="rId16" Type="http://schemas.openxmlformats.org/officeDocument/2006/relationships/hyperlink" Target="mailto:jhennifer.oliveira@yourgucci.com.br" TargetMode="External"/><Relationship Id="rId20" Type="http://schemas.openxmlformats.org/officeDocument/2006/relationships/hyperlink" Target="mailto:lucas.fiore@yourgucci.com.br" TargetMode="External"/><Relationship Id="rId29" Type="http://schemas.openxmlformats.org/officeDocument/2006/relationships/hyperlink" Target="mailto:mizael.santos@yourgucci.com.br" TargetMode="External"/><Relationship Id="rId1" Type="http://schemas.openxmlformats.org/officeDocument/2006/relationships/hyperlink" Target="mailto:adler.lima@yourgucci.com.br" TargetMode="External"/><Relationship Id="rId6" Type="http://schemas.openxmlformats.org/officeDocument/2006/relationships/hyperlink" Target="mailto:emily.alexandre@yourgucci.com.br" TargetMode="External"/><Relationship Id="rId11" Type="http://schemas.openxmlformats.org/officeDocument/2006/relationships/hyperlink" Target="mailto:giovanni.torres@yourgucci.com.br" TargetMode="External"/><Relationship Id="rId24" Type="http://schemas.openxmlformats.org/officeDocument/2006/relationships/hyperlink" Target="mailto:marcos.bernardes@yourgucci.com.br" TargetMode="External"/><Relationship Id="rId32" Type="http://schemas.openxmlformats.org/officeDocument/2006/relationships/hyperlink" Target="mailto:paulo.santos@yourgucci.com.br" TargetMode="External"/><Relationship Id="rId37" Type="http://schemas.openxmlformats.org/officeDocument/2006/relationships/hyperlink" Target="mailto:thalia.sladek@yourgucci.com.br" TargetMode="External"/><Relationship Id="rId40" Type="http://schemas.openxmlformats.org/officeDocument/2006/relationships/drawing" Target="../drawings/drawing46.xml"/><Relationship Id="rId5" Type="http://schemas.openxmlformats.org/officeDocument/2006/relationships/hyperlink" Target="mailto:cauevaz.lima@yourgucci.com.br" TargetMode="External"/><Relationship Id="rId15" Type="http://schemas.openxmlformats.org/officeDocument/2006/relationships/hyperlink" Target="mailto:isaias.lira@yourgucci.com.br" TargetMode="External"/><Relationship Id="rId23" Type="http://schemas.openxmlformats.org/officeDocument/2006/relationships/hyperlink" Target="mailto:luis.borges@yourgucci.com.br" TargetMode="External"/><Relationship Id="rId28" Type="http://schemas.openxmlformats.org/officeDocument/2006/relationships/hyperlink" Target="mailto:matheus.arantes@yourgucci.com.br" TargetMode="External"/><Relationship Id="rId36" Type="http://schemas.openxmlformats.org/officeDocument/2006/relationships/hyperlink" Target="mailto:thales.prado@yourgucci.com.br" TargetMode="External"/><Relationship Id="rId10" Type="http://schemas.openxmlformats.org/officeDocument/2006/relationships/hyperlink" Target="mailto:giovanni.paschoal@yourgucci.com.br" TargetMode="External"/><Relationship Id="rId19" Type="http://schemas.openxmlformats.org/officeDocument/2006/relationships/hyperlink" Target="mailto:lucas.rocha@yourgucci.com.br" TargetMode="External"/><Relationship Id="rId31" Type="http://schemas.openxmlformats.org/officeDocument/2006/relationships/hyperlink" Target="mailto:nicolas.fumani@yourgucci.com.br" TargetMode="External"/><Relationship Id="rId4" Type="http://schemas.openxmlformats.org/officeDocument/2006/relationships/hyperlink" Target="mailto:andre.romano@yourgucci.com.br" TargetMode="External"/><Relationship Id="rId9" Type="http://schemas.openxmlformats.org/officeDocument/2006/relationships/hyperlink" Target="mailto:geisiele.souza@yourgucci.com.br" TargetMode="External"/><Relationship Id="rId14" Type="http://schemas.openxmlformats.org/officeDocument/2006/relationships/hyperlink" Target="mailto:isabelly.batista@yourgucci.com.br" TargetMode="External"/><Relationship Id="rId22" Type="http://schemas.openxmlformats.org/officeDocument/2006/relationships/hyperlink" Target="mailto:lucas.teixeira@yourgucci.com.br" TargetMode="External"/><Relationship Id="rId27" Type="http://schemas.openxmlformats.org/officeDocument/2006/relationships/hyperlink" Target="mailto:matheus.almeida@yourgucci.com.br" TargetMode="External"/><Relationship Id="rId30" Type="http://schemas.openxmlformats.org/officeDocument/2006/relationships/hyperlink" Target="mailto:nicolas.pereira@yourgucci.com.br" TargetMode="External"/><Relationship Id="rId35" Type="http://schemas.openxmlformats.org/officeDocument/2006/relationships/hyperlink" Target="mailto:rodrigo.martins@yourgucci.com.br" TargetMode="External"/><Relationship Id="rId8" Type="http://schemas.openxmlformats.org/officeDocument/2006/relationships/hyperlink" Target="mailto:breno.hirakawa@yourgucci.com.br" TargetMode="External"/><Relationship Id="rId3" Type="http://schemas.openxmlformats.org/officeDocument/2006/relationships/hyperlink" Target="mailto:andre.vasques@yourgucci.com.br" TargetMode="Externa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"/>
  <sheetViews>
    <sheetView tabSelected="1" zoomScaleNormal="100" workbookViewId="0">
      <selection activeCell="T10" sqref="T10"/>
    </sheetView>
  </sheetViews>
  <sheetFormatPr defaultColWidth="9.140625" defaultRowHeight="15"/>
  <cols>
    <col min="1" max="16384" width="9.14062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"/>
  <sheetViews>
    <sheetView zoomScaleNormal="100" workbookViewId="0"/>
  </sheetViews>
  <sheetFormatPr defaultColWidth="9.140625" defaultRowHeight="15"/>
  <cols>
    <col min="1" max="16384" width="9.140625" style="1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9E362-945C-47D0-AD94-4CDAAD190C0A}">
  <sheetPr codeName="Planilha41"/>
  <dimension ref="C6:F9"/>
  <sheetViews>
    <sheetView workbookViewId="0">
      <selection activeCell="I30" sqref="I30"/>
    </sheetView>
  </sheetViews>
  <sheetFormatPr defaultColWidth="9.140625" defaultRowHeight="15"/>
  <cols>
    <col min="1" max="2" width="9.140625" style="1"/>
    <col min="3" max="3" width="15.42578125" style="1" bestFit="1" customWidth="1"/>
    <col min="4" max="4" width="9.140625" style="1"/>
    <col min="5" max="5" width="11.85546875" style="1" customWidth="1"/>
    <col min="6" max="6" width="13.42578125" style="1" customWidth="1"/>
    <col min="7" max="7" width="14.42578125" style="1" customWidth="1"/>
    <col min="8" max="8" width="19" style="1" customWidth="1"/>
    <col min="9" max="9" width="31.42578125" style="1" bestFit="1" customWidth="1"/>
    <col min="10" max="10" width="17" style="1" customWidth="1"/>
    <col min="11" max="11" width="10.42578125" style="1" customWidth="1"/>
    <col min="12" max="12" width="23.28515625" style="1" customWidth="1"/>
    <col min="13" max="13" width="11.42578125" style="1" customWidth="1"/>
    <col min="14" max="14" width="17.42578125" style="1" customWidth="1"/>
    <col min="15" max="16384" width="9.140625" style="1"/>
  </cols>
  <sheetData>
    <row r="6" spans="3:6">
      <c r="C6" s="256" t="s">
        <v>0</v>
      </c>
      <c r="D6" s="256"/>
      <c r="E6" s="256"/>
      <c r="F6" s="256"/>
    </row>
    <row r="7" spans="3:6">
      <c r="C7" s="257" t="s">
        <v>1</v>
      </c>
      <c r="D7" s="258"/>
      <c r="E7" s="257" cm="1">
        <f t="array" ref="E7">SUMPRODUCT(--ISNUMBER('VENDA-TABELA-VENDA'!N3:N1210))</f>
        <v>0</v>
      </c>
      <c r="F7" s="258"/>
    </row>
    <row r="8" spans="3:6">
      <c r="C8" s="257" t="s">
        <v>2</v>
      </c>
      <c r="D8" s="258"/>
      <c r="E8" s="259">
        <f>SUM('VENDA-TABELA-VENDA'!N3:N1210)</f>
        <v>0</v>
      </c>
      <c r="F8" s="260"/>
    </row>
    <row r="9" spans="3:6">
      <c r="C9" s="257" t="s">
        <v>3</v>
      </c>
      <c r="D9" s="258"/>
      <c r="E9" s="254" t="e">
        <f>E8/E7</f>
        <v>#DIV/0!</v>
      </c>
      <c r="F9" s="255"/>
    </row>
  </sheetData>
  <mergeCells count="7">
    <mergeCell ref="E9:F9"/>
    <mergeCell ref="C6:F6"/>
    <mergeCell ref="C7:D7"/>
    <mergeCell ref="C8:D8"/>
    <mergeCell ref="C9:D9"/>
    <mergeCell ref="E7:F7"/>
    <mergeCell ref="E8:F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4"/>
  <dimension ref="C4:G9"/>
  <sheetViews>
    <sheetView workbookViewId="0">
      <selection activeCell="C17" sqref="C17"/>
    </sheetView>
  </sheetViews>
  <sheetFormatPr defaultColWidth="9.140625" defaultRowHeight="15"/>
  <cols>
    <col min="1" max="2" width="9.140625" style="1"/>
    <col min="3" max="3" width="15.42578125" style="1" bestFit="1" customWidth="1"/>
    <col min="4" max="4" width="9.140625" style="1"/>
    <col min="5" max="5" width="11.85546875" style="1" customWidth="1"/>
    <col min="6" max="6" width="13.42578125" style="1" customWidth="1"/>
    <col min="7" max="7" width="14.42578125" style="1" customWidth="1"/>
    <col min="8" max="8" width="19" style="1" customWidth="1"/>
    <col min="9" max="9" width="31.42578125" style="1" bestFit="1" customWidth="1"/>
    <col min="10" max="10" width="29.42578125" style="1" bestFit="1" customWidth="1"/>
    <col min="11" max="11" width="29.42578125" style="1" customWidth="1"/>
    <col min="12" max="12" width="9.140625" style="1"/>
    <col min="13" max="13" width="11.42578125" style="1" customWidth="1"/>
    <col min="14" max="14" width="17.42578125" style="1" customWidth="1"/>
    <col min="15" max="16384" width="9.140625" style="1"/>
  </cols>
  <sheetData>
    <row r="4" spans="3:7">
      <c r="C4" s="31" t="s">
        <v>4</v>
      </c>
      <c r="E4" s="261" t="s">
        <v>5</v>
      </c>
      <c r="F4" s="262"/>
      <c r="G4" s="263"/>
    </row>
    <row r="5" spans="3:7">
      <c r="C5" s="9" t="s">
        <v>6</v>
      </c>
      <c r="E5" s="9" t="s">
        <v>7</v>
      </c>
      <c r="F5" s="90">
        <v>0.3</v>
      </c>
      <c r="G5" s="91">
        <v>1.2E-2</v>
      </c>
    </row>
    <row r="6" spans="3:7">
      <c r="C6" s="9" t="s">
        <v>8</v>
      </c>
      <c r="E6" s="9" t="s">
        <v>7</v>
      </c>
      <c r="F6" s="90">
        <v>0.2</v>
      </c>
      <c r="G6" s="91">
        <v>0.01</v>
      </c>
    </row>
    <row r="7" spans="3:7">
      <c r="E7" s="9" t="s">
        <v>7</v>
      </c>
      <c r="F7" s="90">
        <v>0.1</v>
      </c>
      <c r="G7" s="91">
        <v>8.0000000000000002E-3</v>
      </c>
    </row>
    <row r="8" spans="3:7">
      <c r="E8" s="9" t="s">
        <v>9</v>
      </c>
      <c r="F8" s="90">
        <v>0.1</v>
      </c>
      <c r="G8" s="91">
        <v>6.0000000000000001E-3</v>
      </c>
    </row>
    <row r="9" spans="3:7">
      <c r="E9" s="264" t="s">
        <v>10</v>
      </c>
      <c r="F9" s="265"/>
      <c r="G9" s="91">
        <v>-0.01</v>
      </c>
    </row>
  </sheetData>
  <mergeCells count="2">
    <mergeCell ref="E4:G4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3"/>
  <dimension ref="A1"/>
  <sheetViews>
    <sheetView workbookViewId="0"/>
  </sheetViews>
  <sheetFormatPr defaultColWidth="9.140625" defaultRowHeight="15"/>
  <cols>
    <col min="1" max="16384" width="9.140625" style="1"/>
  </cols>
  <sheetData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20D46-CB55-4117-B7BF-84EEA4FD2DB8}">
  <dimension ref="A1:A46"/>
  <sheetViews>
    <sheetView workbookViewId="0"/>
  </sheetViews>
  <sheetFormatPr defaultColWidth="9.140625" defaultRowHeight="15"/>
  <cols>
    <col min="1" max="16384" width="9.140625" style="1"/>
  </cols>
  <sheetData>
    <row r="1" s="1" customFormat="1"/>
    <row r="2" s="1" customFormat="1"/>
    <row r="3" s="1" customFormat="1"/>
    <row r="4" s="1" customFormat="1"/>
    <row r="5" s="1" customFormat="1"/>
    <row r="6" s="1" customFormat="1"/>
    <row r="7" s="1" customFormat="1"/>
    <row r="8" s="1" customFormat="1"/>
    <row r="9" s="1" customFormat="1"/>
    <row r="10" s="1" customFormat="1"/>
    <row r="11" s="1" customFormat="1"/>
    <row r="12" s="1" customFormat="1"/>
    <row r="13" s="1" customFormat="1"/>
    <row r="14" s="1" customFormat="1"/>
    <row r="15" s="1" customFormat="1"/>
    <row r="16" s="1" customFormat="1"/>
    <row r="17" s="1" customFormat="1"/>
    <row r="18" s="1" customFormat="1"/>
    <row r="19" s="1" customFormat="1"/>
    <row r="20" s="1" customFormat="1"/>
    <row r="21" s="1" customFormat="1"/>
    <row r="22" s="1" customFormat="1"/>
    <row r="23" s="1" customFormat="1"/>
    <row r="24" s="1" customFormat="1"/>
    <row r="25" s="1" customFormat="1"/>
    <row r="26" s="1" customFormat="1"/>
    <row r="27" s="1" customFormat="1"/>
    <row r="28" s="1" customFormat="1"/>
    <row r="29" s="1" customFormat="1"/>
    <row r="30" s="1" customFormat="1"/>
    <row r="31" s="1" customFormat="1"/>
    <row r="32" s="1" customFormat="1"/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4"/>
  <dimension ref="A1:V43"/>
  <sheetViews>
    <sheetView workbookViewId="0">
      <selection activeCell="K16" sqref="K16"/>
    </sheetView>
  </sheetViews>
  <sheetFormatPr defaultRowHeight="15"/>
  <cols>
    <col min="3" max="3" width="3" customWidth="1"/>
    <col min="4" max="4" width="19.5703125" customWidth="1"/>
    <col min="5" max="5" width="2.7109375" customWidth="1"/>
    <col min="6" max="6" width="20.7109375" customWidth="1"/>
    <col min="7" max="8" width="7.140625" customWidth="1"/>
    <col min="9" max="9" width="5.42578125" customWidth="1"/>
  </cols>
  <sheetData>
    <row r="1" spans="1:2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1:2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</row>
    <row r="4" spans="1:22" ht="18.75">
      <c r="A4" s="1"/>
      <c r="B4" s="1"/>
      <c r="C4" s="266" t="s">
        <v>11</v>
      </c>
      <c r="D4" s="267"/>
      <c r="E4" s="267"/>
      <c r="F4" s="267"/>
      <c r="G4" s="267"/>
      <c r="H4" s="267"/>
      <c r="I4" s="267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>
      <c r="A7" s="1"/>
      <c r="B7" s="1"/>
      <c r="C7" s="109"/>
      <c r="D7" s="109"/>
      <c r="E7" s="109"/>
      <c r="F7" s="109"/>
      <c r="G7" s="109"/>
      <c r="H7" s="109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6.5" customHeight="1">
      <c r="A8" s="1"/>
      <c r="B8" s="1"/>
      <c r="C8" s="109"/>
      <c r="D8" s="110" t="s">
        <v>12</v>
      </c>
      <c r="E8" s="109"/>
      <c r="F8" s="113"/>
      <c r="G8" s="109"/>
      <c r="H8" s="109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ht="15.75">
      <c r="A9" s="1"/>
      <c r="B9" s="1"/>
      <c r="C9" s="109"/>
      <c r="D9" s="110" t="s">
        <v>13</v>
      </c>
      <c r="E9" s="109"/>
      <c r="F9" s="113"/>
      <c r="G9" s="111"/>
      <c r="H9" s="109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5.75">
      <c r="A10" s="1"/>
      <c r="B10" s="1"/>
      <c r="C10" s="109"/>
      <c r="D10" s="110" t="s">
        <v>14</v>
      </c>
      <c r="E10" s="109"/>
      <c r="F10" s="113"/>
      <c r="G10" s="111"/>
      <c r="H10" s="109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5.75">
      <c r="A11" s="1"/>
      <c r="B11" s="1"/>
      <c r="C11" s="109"/>
      <c r="D11" s="110" t="s">
        <v>15</v>
      </c>
      <c r="E11" s="109"/>
      <c r="F11" s="113"/>
      <c r="G11" s="111"/>
      <c r="H11" s="109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5.75">
      <c r="A12" s="1"/>
      <c r="B12" s="1"/>
      <c r="C12" s="109"/>
      <c r="D12" s="110" t="s">
        <v>16</v>
      </c>
      <c r="E12" s="109"/>
      <c r="F12" s="113"/>
      <c r="G12" s="111"/>
      <c r="H12" s="109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5.75">
      <c r="A13" s="1"/>
      <c r="B13" s="1"/>
      <c r="C13" s="109"/>
      <c r="D13" s="110" t="s">
        <v>17</v>
      </c>
      <c r="E13" s="109"/>
      <c r="F13" s="113"/>
      <c r="G13" s="111"/>
      <c r="H13" s="109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ht="15.75">
      <c r="A14" s="1"/>
      <c r="B14" s="1"/>
      <c r="C14" s="109"/>
      <c r="D14" s="110" t="s">
        <v>18</v>
      </c>
      <c r="E14" s="109"/>
      <c r="F14" s="113"/>
      <c r="G14" s="111"/>
      <c r="H14" s="109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</row>
    <row r="15" spans="1:22" ht="15.75">
      <c r="A15" s="1"/>
      <c r="B15" s="1"/>
      <c r="C15" s="109"/>
      <c r="D15" s="110" t="s">
        <v>19</v>
      </c>
      <c r="E15" s="109"/>
      <c r="F15" s="113"/>
      <c r="G15" s="111"/>
      <c r="H15" s="109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</row>
    <row r="16" spans="1:22" ht="15.75">
      <c r="A16" s="1"/>
      <c r="B16" s="1"/>
      <c r="C16" s="109"/>
      <c r="D16" s="110" t="s">
        <v>20</v>
      </c>
      <c r="E16" s="109"/>
      <c r="F16" s="113"/>
      <c r="G16" s="111"/>
      <c r="H16" s="109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</row>
    <row r="17" spans="1:22" ht="15.75">
      <c r="A17" s="1"/>
      <c r="B17" s="1"/>
      <c r="C17" s="109"/>
      <c r="D17" s="110" t="s">
        <v>21</v>
      </c>
      <c r="E17" s="109"/>
      <c r="F17" s="113"/>
      <c r="G17" s="111"/>
      <c r="H17" s="109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</row>
    <row r="18" spans="1:22" ht="15.75">
      <c r="A18" s="1"/>
      <c r="B18" s="1"/>
      <c r="C18" s="109"/>
      <c r="D18" s="110" t="s">
        <v>22</v>
      </c>
      <c r="E18" s="109"/>
      <c r="F18" s="113">
        <f>F9+F10+F11+F12+F13+F14+F15+F16+F17</f>
        <v>0</v>
      </c>
      <c r="G18" s="111"/>
      <c r="H18" s="109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</row>
    <row r="19" spans="1:22">
      <c r="A19" s="1"/>
      <c r="B19" s="1"/>
      <c r="C19" s="109"/>
      <c r="D19" s="109"/>
      <c r="E19" s="109"/>
      <c r="F19" s="109"/>
      <c r="G19" s="109"/>
      <c r="H19" s="109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</row>
    <row r="20" spans="1:22">
      <c r="A20" s="1"/>
      <c r="B20" s="1"/>
      <c r="C20" s="109"/>
      <c r="D20" s="109"/>
      <c r="E20" s="109"/>
      <c r="F20" s="109"/>
      <c r="G20" s="109"/>
      <c r="H20" s="109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</row>
    <row r="21" spans="1:22">
      <c r="A21" s="1"/>
      <c r="B21" s="1"/>
      <c r="C21" s="109"/>
      <c r="D21" s="109"/>
      <c r="E21" s="109"/>
      <c r="F21" s="109"/>
      <c r="G21" s="109"/>
      <c r="H21" s="109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</row>
    <row r="22" spans="1:2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</row>
    <row r="23" spans="1:22">
      <c r="A23" s="112" t="s">
        <v>23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</row>
    <row r="24" spans="1:22">
      <c r="A24" s="11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</row>
    <row r="25" spans="1:22">
      <c r="A25" s="112" t="s">
        <v>24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</row>
    <row r="26" spans="1:22">
      <c r="A26" s="112" t="s">
        <v>25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</row>
    <row r="27" spans="1:22">
      <c r="A27" s="112" t="s">
        <v>26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</row>
    <row r="28" spans="1:22">
      <c r="A28" s="112" t="s">
        <v>27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</row>
    <row r="29" spans="1:22">
      <c r="A29" s="112" t="s">
        <v>28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</row>
    <row r="30" spans="1:22">
      <c r="A30" s="112" t="s">
        <v>29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</row>
    <row r="31" spans="1:22">
      <c r="A31" s="112" t="s">
        <v>30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</row>
    <row r="32" spans="1:22">
      <c r="A32" s="112" t="s">
        <v>31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</row>
    <row r="33" spans="1:22">
      <c r="A33" s="112" t="s">
        <v>32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</row>
    <row r="34" spans="1:22">
      <c r="A34" s="112" t="s">
        <v>33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35" spans="1:22">
      <c r="A35" s="112" t="s">
        <v>34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</row>
    <row r="36" spans="1:22">
      <c r="A36" s="112" t="s">
        <v>35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</row>
    <row r="37" spans="1:2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</row>
    <row r="38" spans="1:2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</row>
    <row r="39" spans="1:2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</row>
    <row r="40" spans="1:2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</row>
    <row r="41" spans="1:2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</row>
    <row r="42" spans="1:2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</row>
    <row r="43" spans="1:2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</row>
  </sheetData>
  <mergeCells count="1">
    <mergeCell ref="C4:I4"/>
  </mergeCells>
  <dataValidations count="1">
    <dataValidation type="list" allowBlank="1" showInputMessage="1" showErrorMessage="1" sqref="F8" xr:uid="{00000000-0002-0000-0400-000000000000}">
      <formula1>$A$25:$A$36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Custos_Fixos">
                <anchor moveWithCells="1" sizeWithCells="1">
                  <from>
                    <xdr:col>5</xdr:col>
                    <xdr:colOff>1371600</xdr:colOff>
                    <xdr:row>18</xdr:row>
                    <xdr:rowOff>95250</xdr:rowOff>
                  </from>
                  <to>
                    <xdr:col>7</xdr:col>
                    <xdr:colOff>381000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D8148-CBB1-4404-8D29-9898A008C487}">
  <dimension ref="C4:M5"/>
  <sheetViews>
    <sheetView workbookViewId="0">
      <selection activeCell="D17" sqref="D17"/>
    </sheetView>
  </sheetViews>
  <sheetFormatPr defaultColWidth="9.140625" defaultRowHeight="15"/>
  <cols>
    <col min="1" max="2" width="9.140625" style="1"/>
    <col min="3" max="3" width="14.42578125" style="1" customWidth="1"/>
    <col min="4" max="4" width="16.42578125" style="1" bestFit="1" customWidth="1"/>
    <col min="5" max="5" width="21.42578125" style="1" bestFit="1" customWidth="1"/>
    <col min="6" max="6" width="15" style="1" bestFit="1" customWidth="1"/>
    <col min="7" max="7" width="16" style="1" bestFit="1" customWidth="1"/>
    <col min="8" max="9" width="15" style="1" bestFit="1" customWidth="1"/>
    <col min="10" max="10" width="14" style="1" bestFit="1" customWidth="1"/>
    <col min="11" max="12" width="13" style="1" customWidth="1"/>
    <col min="13" max="13" width="13.140625" style="1" bestFit="1" customWidth="1"/>
    <col min="14" max="14" width="9.140625" style="1"/>
    <col min="15" max="15" width="11.42578125" style="1" customWidth="1"/>
    <col min="16" max="16" width="17.42578125" style="1" customWidth="1"/>
    <col min="17" max="16384" width="9.140625" style="1"/>
  </cols>
  <sheetData>
    <row r="4" spans="3:13">
      <c r="C4" s="31" t="s">
        <v>36</v>
      </c>
      <c r="D4" s="31" t="s">
        <v>37</v>
      </c>
      <c r="E4" s="31" t="s">
        <v>38</v>
      </c>
      <c r="F4" s="31" t="s">
        <v>39</v>
      </c>
      <c r="G4" s="31" t="s">
        <v>40</v>
      </c>
      <c r="H4" s="31" t="s">
        <v>41</v>
      </c>
      <c r="I4" s="31" t="s">
        <v>42</v>
      </c>
      <c r="J4" s="31" t="s">
        <v>43</v>
      </c>
      <c r="K4" s="31" t="s">
        <v>44</v>
      </c>
      <c r="L4" s="31" t="s">
        <v>45</v>
      </c>
      <c r="M4" s="31" t="s">
        <v>46</v>
      </c>
    </row>
    <row r="5" spans="3:13">
      <c r="C5" s="113" t="s">
        <v>24</v>
      </c>
      <c r="D5" s="113">
        <v>50</v>
      </c>
      <c r="E5" s="113">
        <v>50</v>
      </c>
      <c r="F5" s="113">
        <v>50</v>
      </c>
      <c r="G5" s="113">
        <v>50</v>
      </c>
      <c r="H5" s="113">
        <v>50</v>
      </c>
      <c r="I5" s="113">
        <v>50</v>
      </c>
      <c r="J5" s="113">
        <v>50</v>
      </c>
      <c r="K5" s="113">
        <v>50</v>
      </c>
      <c r="L5" s="113">
        <v>50</v>
      </c>
      <c r="M5" s="113">
        <v>450</v>
      </c>
    </row>
  </sheetData>
  <dataValidations count="1">
    <dataValidation type="list" allowBlank="1" showInputMessage="1" showErrorMessage="1" sqref="C5" xr:uid="{E0CE712F-34DF-47E0-8645-AB7FCB1ACDF1}">
      <formula1>$A$25:$A$36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0"/>
  <dimension ref="A1"/>
  <sheetViews>
    <sheetView workbookViewId="0"/>
  </sheetViews>
  <sheetFormatPr defaultColWidth="9.140625" defaultRowHeight="15"/>
  <cols>
    <col min="1" max="16384" width="9.140625" style="1"/>
  </cols>
  <sheetData/>
  <dataValidations count="1">
    <dataValidation type="list" allowBlank="1" showInputMessage="1" showErrorMessage="1" sqref="F8 M8" xr:uid="{00000000-0002-0000-0500-000000000000}">
      <formula1>$A$23:$A$34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948C6-6251-4064-87E7-4B2930279801}">
  <dimension ref="A1:Z46"/>
  <sheetViews>
    <sheetView workbookViewId="0">
      <selection activeCell="J16" sqref="J16"/>
    </sheetView>
  </sheetViews>
  <sheetFormatPr defaultRowHeight="15"/>
  <cols>
    <col min="3" max="3" width="4.140625" customWidth="1"/>
    <col min="4" max="4" width="28.42578125" customWidth="1"/>
    <col min="5" max="5" width="3.42578125" customWidth="1"/>
    <col min="6" max="6" width="19.85546875" customWidth="1"/>
    <col min="7" max="8" width="7.42578125" customWidth="1"/>
    <col min="9" max="9" width="5.42578125" customWidth="1"/>
    <col min="10" max="10" width="4.28515625" customWidth="1"/>
  </cols>
  <sheetData>
    <row r="1" spans="1:26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8.75">
      <c r="A4" s="1"/>
      <c r="B4" s="1"/>
      <c r="C4" s="266" t="s">
        <v>47</v>
      </c>
      <c r="D4" s="266"/>
      <c r="E4" s="266"/>
      <c r="F4" s="266"/>
      <c r="G4" s="266"/>
      <c r="H4" s="266"/>
      <c r="I4" s="266"/>
      <c r="J4" s="266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>
      <c r="A7" s="1"/>
      <c r="B7" s="1"/>
      <c r="C7" s="109"/>
      <c r="D7" s="109"/>
      <c r="E7" s="109"/>
      <c r="F7" s="109"/>
      <c r="G7" s="109"/>
      <c r="H7" s="109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5.75">
      <c r="A8" s="1"/>
      <c r="B8" s="1"/>
      <c r="C8" s="109"/>
      <c r="D8" s="110" t="s">
        <v>12</v>
      </c>
      <c r="E8" s="109"/>
      <c r="F8" s="113"/>
      <c r="G8" s="109"/>
      <c r="H8" s="109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5.75">
      <c r="A9" s="1"/>
      <c r="B9" s="1"/>
      <c r="C9" s="109"/>
      <c r="D9" s="110" t="s">
        <v>48</v>
      </c>
      <c r="E9" s="109"/>
      <c r="F9" s="113"/>
      <c r="G9" s="109"/>
      <c r="H9" s="109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5.75">
      <c r="A10" s="1"/>
      <c r="B10" s="1"/>
      <c r="C10" s="109"/>
      <c r="D10" s="110" t="s">
        <v>49</v>
      </c>
      <c r="E10" s="109"/>
      <c r="F10" s="113"/>
      <c r="G10" s="109"/>
      <c r="H10" s="109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5.75">
      <c r="A11" s="1"/>
      <c r="B11" s="1"/>
      <c r="C11" s="109"/>
      <c r="D11" s="110" t="s">
        <v>50</v>
      </c>
      <c r="E11" s="109"/>
      <c r="F11" s="113"/>
      <c r="G11" s="109"/>
      <c r="H11" s="109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5.75">
      <c r="A12" s="1"/>
      <c r="B12" s="1"/>
      <c r="C12" s="109"/>
      <c r="D12" s="110" t="s">
        <v>51</v>
      </c>
      <c r="E12" s="109"/>
      <c r="F12" s="113"/>
      <c r="G12" s="109"/>
      <c r="H12" s="109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5.75">
      <c r="A13" s="1"/>
      <c r="B13" s="1"/>
      <c r="C13" s="109"/>
      <c r="D13" s="110" t="s">
        <v>52</v>
      </c>
      <c r="E13" s="109"/>
      <c r="F13" s="113"/>
      <c r="G13" s="109"/>
      <c r="H13" s="109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5.75">
      <c r="A14" s="1"/>
      <c r="B14" s="1"/>
      <c r="C14" s="109"/>
      <c r="D14" s="110" t="s">
        <v>53</v>
      </c>
      <c r="E14" s="109"/>
      <c r="F14" s="113"/>
      <c r="G14" s="109"/>
      <c r="H14" s="109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5.75">
      <c r="A15" s="1"/>
      <c r="B15" s="1"/>
      <c r="C15" s="109"/>
      <c r="D15" s="110" t="s">
        <v>54</v>
      </c>
      <c r="E15" s="109"/>
      <c r="F15" s="113"/>
      <c r="G15" s="109"/>
      <c r="H15" s="109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5.75">
      <c r="A16" s="1"/>
      <c r="B16" s="1"/>
      <c r="C16" s="109"/>
      <c r="D16" s="110" t="s">
        <v>55</v>
      </c>
      <c r="E16" s="109"/>
      <c r="F16" s="113">
        <f>F9+F10+F11+F12+F13+F14+F15</f>
        <v>0</v>
      </c>
      <c r="G16" s="109"/>
      <c r="H16" s="109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1"/>
      <c r="B17" s="1"/>
      <c r="C17" s="109"/>
      <c r="D17" s="109"/>
      <c r="E17" s="109"/>
      <c r="F17" s="109"/>
      <c r="G17" s="109"/>
      <c r="H17" s="109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"/>
      <c r="B18" s="1"/>
      <c r="C18" s="109"/>
      <c r="D18" s="109"/>
      <c r="E18" s="109"/>
      <c r="F18" s="109"/>
      <c r="G18" s="109"/>
      <c r="H18" s="109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"/>
      <c r="B19" s="1"/>
      <c r="C19" s="109"/>
      <c r="D19" s="109"/>
      <c r="E19" s="109"/>
      <c r="F19" s="109"/>
      <c r="G19" s="109"/>
      <c r="H19" s="109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"/>
      <c r="B20" s="1"/>
      <c r="C20" s="109"/>
      <c r="D20" s="109"/>
      <c r="E20" s="109"/>
      <c r="F20" s="109"/>
      <c r="G20" s="109"/>
      <c r="H20" s="109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>
      <c r="A21" s="112" t="s">
        <v>23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>
      <c r="A22" s="11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>
      <c r="A23" s="112" t="s">
        <v>56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>
      <c r="A24" s="112" t="s">
        <v>25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>
      <c r="A25" s="112" t="s">
        <v>26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>
      <c r="A26" s="112" t="s">
        <v>27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112" t="s">
        <v>28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112" t="s">
        <v>29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112" t="s">
        <v>30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A30" s="112" t="s">
        <v>31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A31" s="112" t="s">
        <v>32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112" t="s">
        <v>33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112" t="s">
        <v>34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112" t="s">
        <v>35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11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</sheetData>
  <mergeCells count="1">
    <mergeCell ref="C4:J4"/>
  </mergeCells>
  <dataValidations count="1">
    <dataValidation type="list" allowBlank="1" showInputMessage="1" showErrorMessage="1" sqref="F8" xr:uid="{6BFEEBE2-637C-4CD6-8085-CD25E103ACD7}">
      <formula1>$A$23:$A$34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09" r:id="rId3" name="Button 1">
              <controlPr defaultSize="0" print="0" autoFill="0" autoPict="0" macro="[0]!Custos_Variavel">
                <anchor moveWithCells="1" sizeWithCells="1">
                  <from>
                    <xdr:col>5</xdr:col>
                    <xdr:colOff>1038225</xdr:colOff>
                    <xdr:row>17</xdr:row>
                    <xdr:rowOff>104775</xdr:rowOff>
                  </from>
                  <to>
                    <xdr:col>7</xdr:col>
                    <xdr:colOff>314325</xdr:colOff>
                    <xdr:row>19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700F6-3A70-4894-88E1-48292BAA13F0}">
  <dimension ref="C4:K5"/>
  <sheetViews>
    <sheetView workbookViewId="0">
      <selection activeCell="G22" sqref="G22"/>
    </sheetView>
  </sheetViews>
  <sheetFormatPr defaultColWidth="9.140625" defaultRowHeight="15"/>
  <cols>
    <col min="1" max="2" width="9.140625" style="1"/>
    <col min="3" max="3" width="14.42578125" style="1" customWidth="1"/>
    <col min="4" max="4" width="16.42578125" style="1" bestFit="1" customWidth="1"/>
    <col min="5" max="5" width="21.42578125" style="1" bestFit="1" customWidth="1"/>
    <col min="6" max="6" width="15" style="1" bestFit="1" customWidth="1"/>
    <col min="7" max="7" width="17.140625" style="1" bestFit="1" customWidth="1"/>
    <col min="8" max="8" width="20.140625" style="1" bestFit="1" customWidth="1"/>
    <col min="9" max="9" width="18.140625" style="1" bestFit="1" customWidth="1"/>
    <col min="10" max="10" width="21.28515625" style="1" bestFit="1" customWidth="1"/>
    <col min="11" max="11" width="16" style="1" bestFit="1" customWidth="1"/>
    <col min="12" max="12" width="9.140625" style="1"/>
    <col min="13" max="13" width="11.42578125" style="1" customWidth="1"/>
    <col min="14" max="14" width="17.42578125" style="1" customWidth="1"/>
    <col min="15" max="16384" width="9.140625" style="1"/>
  </cols>
  <sheetData>
    <row r="4" spans="3:11">
      <c r="C4" s="31" t="s">
        <v>36</v>
      </c>
      <c r="D4" s="31" t="s">
        <v>57</v>
      </c>
      <c r="E4" s="31" t="s">
        <v>58</v>
      </c>
      <c r="F4" s="31" t="s">
        <v>59</v>
      </c>
      <c r="G4" s="31" t="s">
        <v>60</v>
      </c>
      <c r="H4" s="31" t="s">
        <v>61</v>
      </c>
      <c r="I4" s="31" t="s">
        <v>62</v>
      </c>
      <c r="J4" s="31" t="s">
        <v>63</v>
      </c>
      <c r="K4" s="31" t="s">
        <v>64</v>
      </c>
    </row>
    <row r="5" spans="3:11">
      <c r="C5" s="113" t="s">
        <v>56</v>
      </c>
      <c r="D5" s="113">
        <v>50</v>
      </c>
      <c r="E5" s="113">
        <v>50</v>
      </c>
      <c r="F5" s="113">
        <v>50</v>
      </c>
      <c r="G5" s="113">
        <v>50</v>
      </c>
      <c r="H5" s="113">
        <v>50</v>
      </c>
      <c r="I5" s="113">
        <v>50</v>
      </c>
      <c r="J5" s="113">
        <v>50</v>
      </c>
      <c r="K5" s="113">
        <v>350</v>
      </c>
    </row>
  </sheetData>
  <dataValidations count="1">
    <dataValidation type="list" allowBlank="1" showInputMessage="1" showErrorMessage="1" sqref="C5" xr:uid="{CC0C163B-0BEA-4D35-92EA-B03093C37FF6}">
      <formula1>$A$23:$A$34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/>
  <dimension ref="A1"/>
  <sheetViews>
    <sheetView workbookViewId="0"/>
  </sheetViews>
  <sheetFormatPr defaultColWidth="9.140625" defaultRowHeight="15"/>
  <cols>
    <col min="1" max="16384" width="9.140625" style="1"/>
  </cols>
  <sheetData/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/>
  <dimension ref="A1"/>
  <sheetViews>
    <sheetView workbookViewId="0"/>
  </sheetViews>
  <sheetFormatPr defaultColWidth="9.140625" defaultRowHeight="15"/>
  <cols>
    <col min="1" max="16384" width="9.140625" style="1"/>
  </cols>
  <sheetData/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/>
  <dimension ref="C3:J19"/>
  <sheetViews>
    <sheetView workbookViewId="0"/>
  </sheetViews>
  <sheetFormatPr defaultColWidth="9.140625" defaultRowHeight="15"/>
  <cols>
    <col min="1" max="7" width="9.140625" style="1"/>
    <col min="8" max="8" width="11.42578125" style="1" customWidth="1"/>
    <col min="9" max="9" width="43.42578125" style="1" bestFit="1" customWidth="1"/>
    <col min="10" max="16384" width="9.140625" style="1"/>
  </cols>
  <sheetData>
    <row r="3" spans="3:10">
      <c r="C3" s="268" t="s">
        <v>65</v>
      </c>
      <c r="D3" s="269"/>
      <c r="E3" s="269"/>
      <c r="F3" s="269"/>
      <c r="G3" s="269"/>
      <c r="H3" s="269"/>
      <c r="I3" s="269"/>
      <c r="J3" s="270"/>
    </row>
    <row r="4" spans="3:10">
      <c r="C4" s="271"/>
      <c r="D4" s="272"/>
      <c r="E4" s="272"/>
      <c r="F4" s="272"/>
      <c r="G4" s="272"/>
      <c r="H4" s="272"/>
      <c r="I4" s="272"/>
      <c r="J4" s="273"/>
    </row>
    <row r="5" spans="3:10">
      <c r="C5" s="274"/>
      <c r="D5" s="275"/>
      <c r="E5" s="275"/>
      <c r="F5" s="275"/>
      <c r="G5" s="275"/>
      <c r="H5" s="275"/>
      <c r="I5" s="275"/>
      <c r="J5" s="276"/>
    </row>
    <row r="6" spans="3:10">
      <c r="C6" s="6"/>
      <c r="D6" s="7"/>
      <c r="E6" s="7"/>
      <c r="F6" s="7"/>
      <c r="G6" s="7"/>
      <c r="H6" s="7"/>
      <c r="I6" s="7"/>
      <c r="J6" s="8"/>
    </row>
    <row r="7" spans="3:10">
      <c r="C7" s="6"/>
      <c r="D7" s="7"/>
      <c r="E7" s="7"/>
      <c r="F7" s="7"/>
      <c r="G7" s="7"/>
      <c r="H7" s="7"/>
      <c r="I7" s="7"/>
      <c r="J7" s="8"/>
    </row>
    <row r="8" spans="3:10">
      <c r="C8" s="6"/>
      <c r="D8" s="7"/>
      <c r="E8" s="7"/>
      <c r="F8" s="7"/>
      <c r="G8" s="7"/>
      <c r="H8" s="7"/>
      <c r="I8" s="7"/>
      <c r="J8" s="8"/>
    </row>
    <row r="9" spans="3:10">
      <c r="C9" s="6"/>
      <c r="D9" s="7"/>
      <c r="E9" s="7"/>
      <c r="F9" s="7"/>
      <c r="G9" s="7"/>
      <c r="H9" s="7"/>
      <c r="I9" s="7"/>
      <c r="J9" s="8"/>
    </row>
    <row r="10" spans="3:10" ht="34.5">
      <c r="C10" s="6"/>
      <c r="D10" s="20" t="s">
        <v>36</v>
      </c>
      <c r="E10" s="7"/>
      <c r="F10" s="7"/>
      <c r="G10" s="7"/>
      <c r="H10" s="7"/>
      <c r="I10" s="77" t="s">
        <v>34</v>
      </c>
      <c r="J10" s="8"/>
    </row>
    <row r="11" spans="3:10">
      <c r="C11" s="6"/>
      <c r="D11" s="7"/>
      <c r="E11" s="7"/>
      <c r="F11" s="7"/>
      <c r="G11" s="7"/>
      <c r="H11" s="7"/>
      <c r="I11" s="7"/>
      <c r="J11" s="8"/>
    </row>
    <row r="12" spans="3:10" ht="34.5">
      <c r="C12" s="6"/>
      <c r="D12" s="20" t="s">
        <v>66</v>
      </c>
      <c r="E12" s="7"/>
      <c r="F12" s="7"/>
      <c r="G12" s="7"/>
      <c r="H12" s="7"/>
      <c r="I12" s="92">
        <f>VLOOKUP(I10,'Fianceiro MetasDB'!C5:I16,2,0)</f>
        <v>10891.28931203102</v>
      </c>
      <c r="J12" s="8"/>
    </row>
    <row r="13" spans="3:10">
      <c r="C13" s="6"/>
      <c r="D13" s="7"/>
      <c r="E13" s="7"/>
      <c r="F13" s="7"/>
      <c r="G13" s="7"/>
      <c r="H13" s="7"/>
      <c r="I13" s="7"/>
      <c r="J13" s="8"/>
    </row>
    <row r="14" spans="3:10" ht="34.5">
      <c r="C14" s="6"/>
      <c r="D14" s="20" t="s">
        <v>67</v>
      </c>
      <c r="E14" s="7"/>
      <c r="F14" s="7"/>
      <c r="G14" s="7"/>
      <c r="H14" s="7"/>
      <c r="I14" s="92">
        <f>VLOOKUP(I10,'Fianceiro MetasDB'!C5:I16,3,0)</f>
        <v>35082</v>
      </c>
      <c r="J14" s="8"/>
    </row>
    <row r="15" spans="3:10">
      <c r="C15" s="6"/>
      <c r="D15" s="7"/>
      <c r="E15" s="7"/>
      <c r="F15" s="7"/>
      <c r="G15" s="7"/>
      <c r="H15" s="7"/>
      <c r="I15" s="7"/>
      <c r="J15" s="8"/>
    </row>
    <row r="16" spans="3:10" ht="34.5">
      <c r="C16" s="74"/>
      <c r="D16" s="68" t="s">
        <v>68</v>
      </c>
      <c r="E16" s="7"/>
      <c r="F16" s="7"/>
      <c r="G16" s="7"/>
      <c r="H16" s="7"/>
      <c r="I16" s="92" t="str">
        <f>VLOOKUP(I10,'Fianceiro MetasDB'!C5:I16,4,0)</f>
        <v>Atingiu</v>
      </c>
      <c r="J16" s="75"/>
    </row>
    <row r="17" spans="3:10">
      <c r="C17" s="74"/>
      <c r="D17" s="7"/>
      <c r="E17" s="7"/>
      <c r="F17" s="7"/>
      <c r="G17" s="7"/>
      <c r="H17" s="7"/>
      <c r="I17" s="7"/>
      <c r="J17" s="75"/>
    </row>
    <row r="18" spans="3:10" ht="34.5">
      <c r="C18" s="74"/>
      <c r="D18" s="68" t="s">
        <v>69</v>
      </c>
      <c r="E18" s="7"/>
      <c r="F18" s="7"/>
      <c r="G18" s="7"/>
      <c r="H18" s="7"/>
      <c r="I18" s="92">
        <f>VLOOKUP(I10,'Fianceiro MetasDB'!C5:I16,7,0)</f>
        <v>11021.984783775391</v>
      </c>
      <c r="J18" s="75"/>
    </row>
    <row r="19" spans="3:10">
      <c r="C19" s="78"/>
      <c r="D19" s="72"/>
      <c r="E19" s="72"/>
      <c r="F19" s="72"/>
      <c r="G19" s="72"/>
      <c r="H19" s="72"/>
      <c r="I19" s="72"/>
      <c r="J19" s="79"/>
    </row>
  </sheetData>
  <mergeCells count="1">
    <mergeCell ref="C3:J5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'Fianceiro MetasDB'!$C$5:$C$16</xm:f>
          </x14:formula1>
          <xm:sqref>I10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28"/>
  <dimension ref="C4:I16"/>
  <sheetViews>
    <sheetView workbookViewId="0">
      <selection activeCell="D23" sqref="D23"/>
    </sheetView>
  </sheetViews>
  <sheetFormatPr defaultColWidth="9.140625" defaultRowHeight="15"/>
  <cols>
    <col min="1" max="2" width="9.140625" style="1"/>
    <col min="3" max="3" width="13.42578125" style="1" customWidth="1"/>
    <col min="4" max="4" width="18.42578125" style="1" customWidth="1"/>
    <col min="5" max="5" width="17.42578125" style="1" customWidth="1"/>
    <col min="6" max="6" width="19" style="1" customWidth="1"/>
    <col min="7" max="7" width="31.42578125" style="1" bestFit="1" customWidth="1"/>
    <col min="8" max="8" width="29.42578125" style="1" bestFit="1" customWidth="1"/>
    <col min="9" max="9" width="25.140625" style="1" customWidth="1"/>
    <col min="10" max="10" width="9.140625" style="1"/>
    <col min="11" max="11" width="11.42578125" style="1" customWidth="1"/>
    <col min="12" max="12" width="17.42578125" style="1" customWidth="1"/>
    <col min="13" max="16384" width="9.140625" style="1"/>
  </cols>
  <sheetData>
    <row r="4" spans="3:9">
      <c r="C4" s="31" t="s">
        <v>36</v>
      </c>
      <c r="D4" s="31" t="s">
        <v>70</v>
      </c>
      <c r="E4" s="31" t="s">
        <v>71</v>
      </c>
      <c r="F4" s="31" t="s">
        <v>68</v>
      </c>
      <c r="G4" s="31" t="s">
        <v>72</v>
      </c>
      <c r="H4" s="31" t="s">
        <v>73</v>
      </c>
      <c r="I4" s="31" t="s">
        <v>69</v>
      </c>
    </row>
    <row r="5" spans="3:9">
      <c r="C5" s="9" t="s">
        <v>56</v>
      </c>
      <c r="D5" s="93">
        <v>10000</v>
      </c>
      <c r="E5" s="93">
        <f>'Financeiro FluxoCaixaDB'!H5</f>
        <v>9998</v>
      </c>
      <c r="F5" s="93" t="str">
        <f>IF(E5&gt;=D5,'Financeiro DB'!$C$5,'Financeiro DB'!$C$6)</f>
        <v>Não Atingiu</v>
      </c>
      <c r="G5" s="90">
        <f>IF(F5='Financeiro DB'!$C$5,100%-(D5/E5),0)</f>
        <v>0</v>
      </c>
      <c r="H5" s="93">
        <f>IF(AND(F5='Financeiro DB'!$C$6,F4='Financeiro DB'!$C$6),D5*'Financeiro DB'!$G$9,IF(F5='Financeiro DB'!$C$6,0,IF(G5&gt;'Financeiro DB'!$F$5,D5*'Financeiro DB'!$G$5,IF(G5&gt;'Financeiro DB'!$F$6,D5*'Financeiro DB'!$G$6,IF(G5&gt;'Financeiro DB'!$F$7,D5*'Financeiro DB'!$G$7,D5*'Financeiro DB'!$G$8)))))</f>
        <v>0</v>
      </c>
      <c r="I5" s="93">
        <f>IF(AND(F5='Financeiro DB'!$C$6,F4='Financeiro DB'!$C$6),D5+D5*'Financeiro DB'!$G$9,IF(F5='Financeiro DB'!$C$6,D5,IF(G5&gt;'Financeiro DB'!$F$5,D5+D5*'Financeiro DB'!$G$5,IF(G5&gt;'Financeiro DB'!$F$6,D5+D5*'Financeiro DB'!$G$6,IF(G5&gt;'Financeiro DB'!$F$7,D5+D5*'Financeiro DB'!$G$7,D5+D5*'Financeiro DB'!$G$8)))))</f>
        <v>10000</v>
      </c>
    </row>
    <row r="6" spans="3:9">
      <c r="C6" s="9" t="s">
        <v>25</v>
      </c>
      <c r="D6" s="93">
        <f>I5</f>
        <v>10000</v>
      </c>
      <c r="E6" s="93">
        <f>'Financeiro FluxoCaixaDB'!H6</f>
        <v>9998</v>
      </c>
      <c r="F6" s="93" t="str">
        <f>IF(E6&gt;=D6,'Financeiro DB'!$C$5,'Financeiro DB'!$C$6)</f>
        <v>Não Atingiu</v>
      </c>
      <c r="G6" s="90">
        <f>IF(F6='Financeiro DB'!$C$5,100%-(D6/E6),0)</f>
        <v>0</v>
      </c>
      <c r="H6" s="93">
        <f>IF(AND(F6='Financeiro DB'!$C$6,F5='Financeiro DB'!$C$6),D6*'Financeiro DB'!$G$9,IF(F6='Financeiro DB'!$C$6,0,IF(G6&gt;'Financeiro DB'!$F$5,D6*'Financeiro DB'!$G$5,IF(G6&gt;'Financeiro DB'!$F$6,D6*'Financeiro DB'!$G$6,IF(G6&gt;'Financeiro DB'!$F$7,D6*'Financeiro DB'!$G$7,D6*'Financeiro DB'!$G$8)))))</f>
        <v>-100</v>
      </c>
      <c r="I6" s="93">
        <f>IF(AND(F6='Financeiro DB'!$C$6,F5='Financeiro DB'!$C$6),D6+D6*'Financeiro DB'!$G$9,IF(F6='Financeiro DB'!$C$6,D6,IF(G6&gt;'Financeiro DB'!$F$5,D6+D6*'Financeiro DB'!$G$5,IF(G6&gt;'Financeiro DB'!$F$6,D6+D6*'Financeiro DB'!$G$6,IF(G6&gt;'Financeiro DB'!$F$7,D6+D6*'Financeiro DB'!$G$7,D6+D6*'Financeiro DB'!$G$8)))))</f>
        <v>9900</v>
      </c>
    </row>
    <row r="7" spans="3:9">
      <c r="C7" s="9" t="s">
        <v>26</v>
      </c>
      <c r="D7" s="93">
        <f t="shared" ref="D7:D16" si="0">I6</f>
        <v>9900</v>
      </c>
      <c r="E7" s="93">
        <f>'Financeiro FluxoCaixaDB'!H7</f>
        <v>35082</v>
      </c>
      <c r="F7" s="93" t="str">
        <f>IF(E7&gt;=D7,'Financeiro DB'!$C$5,'Financeiro DB'!$C$6)</f>
        <v>Atingiu</v>
      </c>
      <c r="G7" s="90">
        <f>IF(F7='Financeiro DB'!$C$5,100%-(D7/E7),0)</f>
        <v>0.71780400205233452</v>
      </c>
      <c r="H7" s="93">
        <f>IF(AND(F7='Financeiro DB'!$C$6,F6='Financeiro DB'!$C$6),D7*'Financeiro DB'!$G$9,IF(F7='Financeiro DB'!$C$6,0,IF(G7&gt;'Financeiro DB'!$F$5,D7*'Financeiro DB'!$G$5,IF(G7&gt;'Financeiro DB'!$F$6,D7*'Financeiro DB'!$G$6,IF(G7&gt;'Financeiro DB'!$F$7,D7*'Financeiro DB'!$G$7,D7*'Financeiro DB'!$G$8)))))</f>
        <v>118.8</v>
      </c>
      <c r="I7" s="93">
        <f>IF(AND(F7='Financeiro DB'!$C$6,F6='Financeiro DB'!$C$6),D7+D7*'Financeiro DB'!$G$9,IF(F7='Financeiro DB'!$C$6,D7,IF(G7&gt;'Financeiro DB'!$F$5,D7+D7*'Financeiro DB'!$G$5,IF(G7&gt;'Financeiro DB'!$F$6,D7+D7*'Financeiro DB'!$G$6,IF(G7&gt;'Financeiro DB'!$F$7,D7+D7*'Financeiro DB'!$G$7,D7+D7*'Financeiro DB'!$G$8)))))</f>
        <v>10018.799999999999</v>
      </c>
    </row>
    <row r="8" spans="3:9">
      <c r="C8" s="9" t="s">
        <v>27</v>
      </c>
      <c r="D8" s="93">
        <f t="shared" si="0"/>
        <v>10018.799999999999</v>
      </c>
      <c r="E8" s="93">
        <f>'Financeiro FluxoCaixaDB'!H8</f>
        <v>35082</v>
      </c>
      <c r="F8" s="93" t="str">
        <f>IF(E8&gt;=D8,'Financeiro DB'!$C$5,'Financeiro DB'!$C$6)</f>
        <v>Atingiu</v>
      </c>
      <c r="G8" s="90">
        <f>IF(F8='Financeiro DB'!$C$5,100%-(D8/E8),0)</f>
        <v>0.71441765007696256</v>
      </c>
      <c r="H8" s="93">
        <f>IF(AND(F8='Financeiro DB'!$C$6,F7='Financeiro DB'!$C$6),D8*'Financeiro DB'!$G$9,IF(F8='Financeiro DB'!$C$6,0,IF(G8&gt;'Financeiro DB'!$F$5,D8*'Financeiro DB'!$G$5,IF(G8&gt;'Financeiro DB'!$F$6,D8*'Financeiro DB'!$G$6,IF(G8&gt;'Financeiro DB'!$F$7,D8*'Financeiro DB'!$G$7,D8*'Financeiro DB'!$G$8)))))</f>
        <v>120.2256</v>
      </c>
      <c r="I8" s="93">
        <f>IF(AND(F8='Financeiro DB'!$C$6,F7='Financeiro DB'!$C$6),D8+D8*'Financeiro DB'!$G$9,IF(F8='Financeiro DB'!$C$6,D8,IF(G8&gt;'Financeiro DB'!$F$5,D8+D8*'Financeiro DB'!$G$5,IF(G8&gt;'Financeiro DB'!$F$6,D8+D8*'Financeiro DB'!$G$6,IF(G8&gt;'Financeiro DB'!$F$7,D8+D8*'Financeiro DB'!$G$7,D8+D8*'Financeiro DB'!$G$8)))))</f>
        <v>10139.025599999999</v>
      </c>
    </row>
    <row r="9" spans="3:9">
      <c r="C9" s="9" t="s">
        <v>28</v>
      </c>
      <c r="D9" s="93">
        <f t="shared" si="0"/>
        <v>10139.025599999999</v>
      </c>
      <c r="E9" s="93">
        <f>'Financeiro FluxoCaixaDB'!H9</f>
        <v>35082</v>
      </c>
      <c r="F9" s="93" t="str">
        <f>IF(E9&gt;=D9,'Financeiro DB'!$C$5,'Financeiro DB'!$C$6)</f>
        <v>Atingiu</v>
      </c>
      <c r="G9" s="90">
        <f>IF(F9='Financeiro DB'!$C$5,100%-(D9/E9),0)</f>
        <v>0.71099066187788607</v>
      </c>
      <c r="H9" s="93">
        <f>IF(AND(F9='Financeiro DB'!$C$6,F8='Financeiro DB'!$C$6),D9*'Financeiro DB'!$G$9,IF(F9='Financeiro DB'!$C$6,0,IF(G9&gt;'Financeiro DB'!$F$5,D9*'Financeiro DB'!$G$5,IF(G9&gt;'Financeiro DB'!$F$6,D9*'Financeiro DB'!$G$6,IF(G9&gt;'Financeiro DB'!$F$7,D9*'Financeiro DB'!$G$7,D9*'Financeiro DB'!$G$8)))))</f>
        <v>121.66830719999999</v>
      </c>
      <c r="I9" s="93">
        <f>IF(AND(F9='Financeiro DB'!$C$6,F8='Financeiro DB'!$C$6),D9+D9*'Financeiro DB'!$G$9,IF(F9='Financeiro DB'!$C$6,D9,IF(G9&gt;'Financeiro DB'!$F$5,D9+D9*'Financeiro DB'!$G$5,IF(G9&gt;'Financeiro DB'!$F$6,D9+D9*'Financeiro DB'!$G$6,IF(G9&gt;'Financeiro DB'!$F$7,D9+D9*'Financeiro DB'!$G$7,D9+D9*'Financeiro DB'!$G$8)))))</f>
        <v>10260.693907199999</v>
      </c>
    </row>
    <row r="10" spans="3:9">
      <c r="C10" s="9" t="s">
        <v>29</v>
      </c>
      <c r="D10" s="93">
        <f t="shared" si="0"/>
        <v>10260.693907199999</v>
      </c>
      <c r="E10" s="93">
        <f>'Financeiro FluxoCaixaDB'!H10</f>
        <v>35082</v>
      </c>
      <c r="F10" s="93" t="str">
        <f>IF(E10&gt;=D10,'Financeiro DB'!$C$5,'Financeiro DB'!$C$6)</f>
        <v>Atingiu</v>
      </c>
      <c r="G10" s="90">
        <f>IF(F10='Financeiro DB'!$C$5,100%-(D10/E10),0)</f>
        <v>0.70752254982042073</v>
      </c>
      <c r="H10" s="93">
        <f>IF(AND(F10='Financeiro DB'!$C$6,F9='Financeiro DB'!$C$6),D10*'Financeiro DB'!$G$9,IF(F10='Financeiro DB'!$C$6,0,IF(G10&gt;'Financeiro DB'!$F$5,D10*'Financeiro DB'!$G$5,IF(G10&gt;'Financeiro DB'!$F$6,D10*'Financeiro DB'!$G$6,IF(G10&gt;'Financeiro DB'!$F$7,D10*'Financeiro DB'!$G$7,D10*'Financeiro DB'!$G$8)))))</f>
        <v>123.12832688639999</v>
      </c>
      <c r="I10" s="93">
        <f>IF(AND(F10='Financeiro DB'!$C$6,F9='Financeiro DB'!$C$6),D10+D10*'Financeiro DB'!$G$9,IF(F10='Financeiro DB'!$C$6,D10,IF(G10&gt;'Financeiro DB'!$F$5,D10+D10*'Financeiro DB'!$G$5,IF(G10&gt;'Financeiro DB'!$F$6,D10+D10*'Financeiro DB'!$G$6,IF(G10&gt;'Financeiro DB'!$F$7,D10+D10*'Financeiro DB'!$G$7,D10+D10*'Financeiro DB'!$G$8)))))</f>
        <v>10383.822234086399</v>
      </c>
    </row>
    <row r="11" spans="3:9">
      <c r="C11" s="9" t="s">
        <v>30</v>
      </c>
      <c r="D11" s="93">
        <f t="shared" si="0"/>
        <v>10383.822234086399</v>
      </c>
      <c r="E11" s="93">
        <f>'Financeiro FluxoCaixaDB'!H11</f>
        <v>35082</v>
      </c>
      <c r="F11" s="93" t="str">
        <f>IF(E11&gt;=D11,'Financeiro DB'!$C$5,'Financeiro DB'!$C$6)</f>
        <v>Atingiu</v>
      </c>
      <c r="G11" s="90">
        <f>IF(F11='Financeiro DB'!$C$5,100%-(D11/E11),0)</f>
        <v>0.70401282041826585</v>
      </c>
      <c r="H11" s="93">
        <f>IF(AND(F11='Financeiro DB'!$C$6,F10='Financeiro DB'!$C$6),D11*'Financeiro DB'!$G$9,IF(F11='Financeiro DB'!$C$6,0,IF(G11&gt;'Financeiro DB'!$F$5,D11*'Financeiro DB'!$G$5,IF(G11&gt;'Financeiro DB'!$F$6,D11*'Financeiro DB'!$G$6,IF(G11&gt;'Financeiro DB'!$F$7,D11*'Financeiro DB'!$G$7,D11*'Financeiro DB'!$G$8)))))</f>
        <v>124.6058668090368</v>
      </c>
      <c r="I11" s="93">
        <f>IF(AND(F11='Financeiro DB'!$C$6,F10='Financeiro DB'!$C$6),D11+D11*'Financeiro DB'!$G$9,IF(F11='Financeiro DB'!$C$6,D11,IF(G11&gt;'Financeiro DB'!$F$5,D11+D11*'Financeiro DB'!$G$5,IF(G11&gt;'Financeiro DB'!$F$6,D11+D11*'Financeiro DB'!$G$6,IF(G11&gt;'Financeiro DB'!$F$7,D11+D11*'Financeiro DB'!$G$7,D11+D11*'Financeiro DB'!$G$8)))))</f>
        <v>10508.428100895437</v>
      </c>
    </row>
    <row r="12" spans="3:9">
      <c r="C12" s="9" t="s">
        <v>31</v>
      </c>
      <c r="D12" s="93">
        <f t="shared" si="0"/>
        <v>10508.428100895437</v>
      </c>
      <c r="E12" s="93">
        <f>'Financeiro FluxoCaixaDB'!H12</f>
        <v>35082</v>
      </c>
      <c r="F12" s="93" t="str">
        <f>IF(E12&gt;=D12,'Financeiro DB'!$C$5,'Financeiro DB'!$C$6)</f>
        <v>Atingiu</v>
      </c>
      <c r="G12" s="90">
        <f>IF(F12='Financeiro DB'!$C$5,100%-(D12/E12),0)</f>
        <v>0.70046097426328502</v>
      </c>
      <c r="H12" s="93">
        <f>IF(AND(F12='Financeiro DB'!$C$6,F11='Financeiro DB'!$C$6),D12*'Financeiro DB'!$G$9,IF(F12='Financeiro DB'!$C$6,0,IF(G12&gt;'Financeiro DB'!$F$5,D12*'Financeiro DB'!$G$5,IF(G12&gt;'Financeiro DB'!$F$6,D12*'Financeiro DB'!$G$6,IF(G12&gt;'Financeiro DB'!$F$7,D12*'Financeiro DB'!$G$7,D12*'Financeiro DB'!$G$8)))))</f>
        <v>126.10113721074525</v>
      </c>
      <c r="I12" s="93">
        <f>IF(AND(F12='Financeiro DB'!$C$6,F11='Financeiro DB'!$C$6),D12+D12*'Financeiro DB'!$G$9,IF(F12='Financeiro DB'!$C$6,D12,IF(G12&gt;'Financeiro DB'!$F$5,D12+D12*'Financeiro DB'!$G$5,IF(G12&gt;'Financeiro DB'!$F$6,D12+D12*'Financeiro DB'!$G$6,IF(G12&gt;'Financeiro DB'!$F$7,D12+D12*'Financeiro DB'!$G$7,D12+D12*'Financeiro DB'!$G$8)))))</f>
        <v>10634.529238106183</v>
      </c>
    </row>
    <row r="13" spans="3:9">
      <c r="C13" s="9" t="s">
        <v>32</v>
      </c>
      <c r="D13" s="93">
        <f t="shared" si="0"/>
        <v>10634.529238106183</v>
      </c>
      <c r="E13" s="93">
        <f>'Financeiro FluxoCaixaDB'!H13</f>
        <v>35082</v>
      </c>
      <c r="F13" s="93" t="str">
        <f>IF(E13&gt;=D13,'Financeiro DB'!$C$5,'Financeiro DB'!$C$6)</f>
        <v>Atingiu</v>
      </c>
      <c r="G13" s="90">
        <f>IF(F13='Financeiro DB'!$C$5,100%-(D13/E13),0)</f>
        <v>0.69686650595444433</v>
      </c>
      <c r="H13" s="93">
        <f>IF(AND(F13='Financeiro DB'!$C$6,F12='Financeiro DB'!$C$6),D13*'Financeiro DB'!$G$9,IF(F13='Financeiro DB'!$C$6,0,IF(G13&gt;'Financeiro DB'!$F$5,D13*'Financeiro DB'!$G$5,IF(G13&gt;'Financeiro DB'!$F$6,D13*'Financeiro DB'!$G$6,IF(G13&gt;'Financeiro DB'!$F$7,D13*'Financeiro DB'!$G$7,D13*'Financeiro DB'!$G$8)))))</f>
        <v>127.61435085727419</v>
      </c>
      <c r="I13" s="93">
        <f>IF(AND(F13='Financeiro DB'!$C$6,F12='Financeiro DB'!$C$6),D13+D13*'Financeiro DB'!$G$9,IF(F13='Financeiro DB'!$C$6,D13,IF(G13&gt;'Financeiro DB'!$F$5,D13+D13*'Financeiro DB'!$G$5,IF(G13&gt;'Financeiro DB'!$F$6,D13+D13*'Financeiro DB'!$G$6,IF(G13&gt;'Financeiro DB'!$F$7,D13+D13*'Financeiro DB'!$G$7,D13+D13*'Financeiro DB'!$G$8)))))</f>
        <v>10762.143588963458</v>
      </c>
    </row>
    <row r="14" spans="3:9">
      <c r="C14" s="9" t="s">
        <v>33</v>
      </c>
      <c r="D14" s="93">
        <f t="shared" si="0"/>
        <v>10762.143588963458</v>
      </c>
      <c r="E14" s="93">
        <f>'Financeiro FluxoCaixaDB'!H14</f>
        <v>35082</v>
      </c>
      <c r="F14" s="93" t="str">
        <f>IF(E14&gt;=D14,'Financeiro DB'!$C$5,'Financeiro DB'!$C$6)</f>
        <v>Atingiu</v>
      </c>
      <c r="G14" s="90">
        <f>IF(F14='Financeiro DB'!$C$5,100%-(D14/E14),0)</f>
        <v>0.69322890402589765</v>
      </c>
      <c r="H14" s="93">
        <f>IF(AND(F14='Financeiro DB'!$C$6,F13='Financeiro DB'!$C$6),D14*'Financeiro DB'!$G$9,IF(F14='Financeiro DB'!$C$6,0,IF(G14&gt;'Financeiro DB'!$F$5,D14*'Financeiro DB'!$G$5,IF(G14&gt;'Financeiro DB'!$F$6,D14*'Financeiro DB'!$G$6,IF(G14&gt;'Financeiro DB'!$F$7,D14*'Financeiro DB'!$G$7,D14*'Financeiro DB'!$G$8)))))</f>
        <v>129.14572306756151</v>
      </c>
      <c r="I14" s="93">
        <f>IF(AND(F14='Financeiro DB'!$C$6,F13='Financeiro DB'!$C$6),D14+D14*'Financeiro DB'!$G$9,IF(F14='Financeiro DB'!$C$6,D14,IF(G14&gt;'Financeiro DB'!$F$5,D14+D14*'Financeiro DB'!$G$5,IF(G14&gt;'Financeiro DB'!$F$6,D14+D14*'Financeiro DB'!$G$6,IF(G14&gt;'Financeiro DB'!$F$7,D14+D14*'Financeiro DB'!$G$7,D14+D14*'Financeiro DB'!$G$8)))))</f>
        <v>10891.28931203102</v>
      </c>
    </row>
    <row r="15" spans="3:9">
      <c r="C15" s="9" t="s">
        <v>34</v>
      </c>
      <c r="D15" s="93">
        <f t="shared" si="0"/>
        <v>10891.28931203102</v>
      </c>
      <c r="E15" s="93">
        <f>'Financeiro FluxoCaixaDB'!H15</f>
        <v>35082</v>
      </c>
      <c r="F15" s="93" t="str">
        <f>IF(E15&gt;=D15,'Financeiro DB'!$C$5,'Financeiro DB'!$C$6)</f>
        <v>Atingiu</v>
      </c>
      <c r="G15" s="90">
        <f>IF(F15='Financeiro DB'!$C$5,100%-(D15/E15),0)</f>
        <v>0.68954765087420844</v>
      </c>
      <c r="H15" s="93">
        <f>IF(AND(F15='Financeiro DB'!$C$6,F14='Financeiro DB'!$C$6),D15*'Financeiro DB'!$G$9,IF(F15='Financeiro DB'!$C$6,0,IF(G15&gt;'Financeiro DB'!$F$5,D15*'Financeiro DB'!$G$5,IF(G15&gt;'Financeiro DB'!$F$6,D15*'Financeiro DB'!$G$6,IF(G15&gt;'Financeiro DB'!$F$7,D15*'Financeiro DB'!$G$7,D15*'Financeiro DB'!$G$8)))))</f>
        <v>130.69547174437224</v>
      </c>
      <c r="I15" s="93">
        <f>IF(AND(F15='Financeiro DB'!$C$6,F14='Financeiro DB'!$C$6),D15+D15*'Financeiro DB'!$G$9,IF(F15='Financeiro DB'!$C$6,D15,IF(G15&gt;'Financeiro DB'!$F$5,D15+D15*'Financeiro DB'!$G$5,IF(G15&gt;'Financeiro DB'!$F$6,D15+D15*'Financeiro DB'!$G$6,IF(G15&gt;'Financeiro DB'!$F$7,D15+D15*'Financeiro DB'!$G$7,D15+D15*'Financeiro DB'!$G$8)))))</f>
        <v>11021.984783775391</v>
      </c>
    </row>
    <row r="16" spans="3:9">
      <c r="C16" s="9" t="s">
        <v>35</v>
      </c>
      <c r="D16" s="93">
        <f t="shared" si="0"/>
        <v>11021.984783775391</v>
      </c>
      <c r="E16" s="93">
        <f>'Financeiro FluxoCaixaDB'!H16</f>
        <v>35082</v>
      </c>
      <c r="F16" s="93" t="str">
        <f>IF(E16&gt;=D16,'Financeiro DB'!$C$5,'Financeiro DB'!$C$6)</f>
        <v>Atingiu</v>
      </c>
      <c r="G16" s="90">
        <f>IF(F16='Financeiro DB'!$C$5,100%-(D16/E16),0)</f>
        <v>0.68582222268469895</v>
      </c>
      <c r="H16" s="93">
        <f>IF(AND(F16='Financeiro DB'!$C$6,F15='Financeiro DB'!$C$6),D16*'Financeiro DB'!$G$9,IF(F16='Financeiro DB'!$C$6,0,IF(G16&gt;'Financeiro DB'!$F$5,D16*'Financeiro DB'!$G$5,IF(G16&gt;'Financeiro DB'!$F$6,D16*'Financeiro DB'!$G$6,IF(G16&gt;'Financeiro DB'!$F$7,D16*'Financeiro DB'!$G$7,D16*'Financeiro DB'!$G$8)))))</f>
        <v>132.26381740530471</v>
      </c>
      <c r="I16" s="93">
        <f>IF(AND(F16='Financeiro DB'!$C$6,F15='Financeiro DB'!$C$6),D16+D16*'Financeiro DB'!$G$9,IF(F16='Financeiro DB'!$C$6,D16,IF(G16&gt;'Financeiro DB'!$F$5,D16+D16*'Financeiro DB'!$G$5,IF(G16&gt;'Financeiro DB'!$F$6,D16+D16*'Financeiro DB'!$G$6,IF(G16&gt;'Financeiro DB'!$F$7,D16+D16*'Financeiro DB'!$G$7,D16+D16*'Financeiro DB'!$G$8)))))</f>
        <v>11154.248601180696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29"/>
  <dimension ref="A1"/>
  <sheetViews>
    <sheetView workbookViewId="0"/>
  </sheetViews>
  <sheetFormatPr defaultColWidth="9.140625" defaultRowHeight="15"/>
  <cols>
    <col min="1" max="16384" width="9.140625" style="1"/>
  </cols>
  <sheetData/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30"/>
  <dimension ref="C3:J19"/>
  <sheetViews>
    <sheetView workbookViewId="0">
      <selection activeCell="E6" sqref="E6"/>
    </sheetView>
  </sheetViews>
  <sheetFormatPr defaultColWidth="9.140625" defaultRowHeight="15"/>
  <cols>
    <col min="1" max="7" width="9.140625" style="1"/>
    <col min="8" max="8" width="11.42578125" style="1" customWidth="1"/>
    <col min="9" max="9" width="43.42578125" style="1" bestFit="1" customWidth="1"/>
    <col min="10" max="16384" width="9.140625" style="1"/>
  </cols>
  <sheetData>
    <row r="3" spans="3:10">
      <c r="C3" s="268" t="s">
        <v>74</v>
      </c>
      <c r="D3" s="269"/>
      <c r="E3" s="269"/>
      <c r="F3" s="269"/>
      <c r="G3" s="269"/>
      <c r="H3" s="269"/>
      <c r="I3" s="269"/>
      <c r="J3" s="270"/>
    </row>
    <row r="4" spans="3:10">
      <c r="C4" s="271"/>
      <c r="D4" s="272"/>
      <c r="E4" s="272"/>
      <c r="F4" s="272"/>
      <c r="G4" s="272"/>
      <c r="H4" s="272"/>
      <c r="I4" s="272"/>
      <c r="J4" s="273"/>
    </row>
    <row r="5" spans="3:10">
      <c r="C5" s="274"/>
      <c r="D5" s="275"/>
      <c r="E5" s="275"/>
      <c r="F5" s="275"/>
      <c r="G5" s="275"/>
      <c r="H5" s="275"/>
      <c r="I5" s="275"/>
      <c r="J5" s="276"/>
    </row>
    <row r="6" spans="3:10">
      <c r="C6" s="6"/>
      <c r="D6" s="7"/>
      <c r="E6" s="7"/>
      <c r="F6" s="7"/>
      <c r="G6" s="7"/>
      <c r="H6" s="7"/>
      <c r="I6" s="7"/>
      <c r="J6" s="8"/>
    </row>
    <row r="7" spans="3:10">
      <c r="C7" s="6"/>
      <c r="D7" s="7"/>
      <c r="E7" s="7"/>
      <c r="F7" s="7"/>
      <c r="G7" s="7"/>
      <c r="H7" s="7"/>
      <c r="I7" s="7"/>
      <c r="J7" s="8"/>
    </row>
    <row r="8" spans="3:10">
      <c r="C8" s="6"/>
      <c r="D8" s="7"/>
      <c r="E8" s="7"/>
      <c r="F8" s="7"/>
      <c r="G8" s="7"/>
      <c r="H8" s="7"/>
      <c r="I8" s="7"/>
      <c r="J8" s="8"/>
    </row>
    <row r="9" spans="3:10">
      <c r="C9" s="6"/>
      <c r="D9" s="7"/>
      <c r="E9" s="7"/>
      <c r="F9" s="7"/>
      <c r="G9" s="7"/>
      <c r="H9" s="7"/>
      <c r="I9" s="7"/>
      <c r="J9" s="8"/>
    </row>
    <row r="10" spans="3:10" ht="28.5">
      <c r="C10" s="6"/>
      <c r="D10" s="94" t="s">
        <v>36</v>
      </c>
      <c r="E10" s="7"/>
      <c r="F10" s="7"/>
      <c r="G10" s="7"/>
      <c r="H10" s="7"/>
      <c r="I10" s="95" t="s">
        <v>56</v>
      </c>
      <c r="J10" s="8"/>
    </row>
    <row r="11" spans="3:10">
      <c r="C11" s="6"/>
      <c r="D11" s="7"/>
      <c r="E11" s="7"/>
      <c r="F11" s="7"/>
      <c r="G11" s="7"/>
      <c r="H11" s="7"/>
      <c r="I11" s="7"/>
      <c r="J11" s="8"/>
    </row>
    <row r="12" spans="3:10" ht="28.5">
      <c r="C12" s="6"/>
      <c r="D12" s="94" t="s">
        <v>75</v>
      </c>
      <c r="E12" s="7"/>
      <c r="F12" s="7"/>
      <c r="G12" s="7"/>
      <c r="H12" s="7"/>
      <c r="I12" s="97">
        <f>VLOOKUP(I10,'Financeiro FluxoCaixaDB'!$C$5:$H$16,3,0)</f>
        <v>10000</v>
      </c>
      <c r="J12" s="8"/>
    </row>
    <row r="13" spans="3:10">
      <c r="C13" s="6"/>
      <c r="D13" s="7"/>
      <c r="E13" s="7"/>
      <c r="F13" s="7"/>
      <c r="G13" s="7"/>
      <c r="H13" s="7"/>
      <c r="I13" s="7"/>
      <c r="J13" s="8"/>
    </row>
    <row r="14" spans="3:10" ht="28.5">
      <c r="C14" s="6"/>
      <c r="D14" s="94" t="s">
        <v>76</v>
      </c>
      <c r="E14" s="7"/>
      <c r="F14" s="7"/>
      <c r="G14" s="7"/>
      <c r="H14" s="7"/>
      <c r="I14" s="97">
        <f>VLOOKUP($I$10,'Financeiro FluxoCaixaDB'!$C$5:$H$16,4,0)</f>
        <v>0</v>
      </c>
      <c r="J14" s="8"/>
    </row>
    <row r="15" spans="3:10">
      <c r="C15" s="74"/>
      <c r="D15" s="7"/>
      <c r="E15" s="7"/>
      <c r="F15" s="7"/>
      <c r="G15" s="7"/>
      <c r="H15" s="7"/>
      <c r="I15" s="7"/>
      <c r="J15" s="75"/>
    </row>
    <row r="16" spans="3:10" ht="28.5">
      <c r="C16" s="74"/>
      <c r="D16" s="96" t="s">
        <v>77</v>
      </c>
      <c r="E16" s="7"/>
      <c r="F16" s="7"/>
      <c r="G16" s="7"/>
      <c r="H16" s="7"/>
      <c r="I16" s="97">
        <f>VLOOKUP($I$10,'Financeiro FluxoCaixaDB'!$C$5:$H$16,5,0)</f>
        <v>2</v>
      </c>
      <c r="J16" s="75"/>
    </row>
    <row r="17" spans="3:10">
      <c r="C17" s="74"/>
      <c r="D17" s="7"/>
      <c r="E17" s="7"/>
      <c r="F17" s="7"/>
      <c r="G17" s="7"/>
      <c r="H17" s="7"/>
      <c r="I17" s="7"/>
      <c r="J17" s="75"/>
    </row>
    <row r="18" spans="3:10" ht="28.5">
      <c r="C18" s="74"/>
      <c r="D18" s="96" t="s">
        <v>78</v>
      </c>
      <c r="E18" s="7"/>
      <c r="F18" s="7"/>
      <c r="G18" s="7"/>
      <c r="H18" s="7"/>
      <c r="I18" s="97">
        <f>VLOOKUP($I$10,'Financeiro FluxoCaixaDB'!$C$5:$H$16,6,0)</f>
        <v>9998</v>
      </c>
      <c r="J18" s="75"/>
    </row>
    <row r="19" spans="3:10">
      <c r="C19" s="78"/>
      <c r="D19" s="72"/>
      <c r="E19" s="72"/>
      <c r="F19" s="72"/>
      <c r="G19" s="72"/>
      <c r="H19" s="72"/>
      <c r="I19" s="72"/>
      <c r="J19" s="79"/>
    </row>
  </sheetData>
  <mergeCells count="1">
    <mergeCell ref="C3:J5"/>
  </mergeCells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'Financeiro FluxoCaixaDB'!$C$5:$C$16</xm:f>
          </x14:formula1>
          <xm:sqref>I10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3"/>
  <dimension ref="A1"/>
  <sheetViews>
    <sheetView zoomScaleNormal="100" workbookViewId="0"/>
  </sheetViews>
  <sheetFormatPr defaultColWidth="9.140625" defaultRowHeight="15"/>
  <cols>
    <col min="1" max="16384" width="9.140625" style="1"/>
  </cols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31"/>
  <dimension ref="C4:H16"/>
  <sheetViews>
    <sheetView workbookViewId="0">
      <selection sqref="A1:XFD1048576"/>
    </sheetView>
  </sheetViews>
  <sheetFormatPr defaultColWidth="9.140625" defaultRowHeight="15"/>
  <cols>
    <col min="1" max="2" width="9.140625" style="1"/>
    <col min="3" max="3" width="14.42578125" style="1" customWidth="1"/>
    <col min="4" max="4" width="16.42578125" style="1" bestFit="1" customWidth="1"/>
    <col min="5" max="5" width="21.42578125" style="1" bestFit="1" customWidth="1"/>
    <col min="6" max="6" width="19" style="1" bestFit="1" customWidth="1"/>
    <col min="7" max="7" width="29.42578125" style="1" bestFit="1" customWidth="1"/>
    <col min="8" max="8" width="29.42578125" style="1" customWidth="1"/>
    <col min="9" max="9" width="9.140625" style="1"/>
    <col min="10" max="10" width="11.42578125" style="1" customWidth="1"/>
    <col min="11" max="11" width="17.42578125" style="1" customWidth="1"/>
    <col min="12" max="16384" width="9.140625" style="1"/>
  </cols>
  <sheetData>
    <row r="4" spans="3:8">
      <c r="C4" s="31" t="s">
        <v>36</v>
      </c>
      <c r="D4" s="31" t="s">
        <v>79</v>
      </c>
      <c r="E4" s="31" t="s">
        <v>75</v>
      </c>
      <c r="F4" s="31" t="s">
        <v>76</v>
      </c>
      <c r="G4" s="31" t="s">
        <v>77</v>
      </c>
      <c r="H4" s="31" t="s">
        <v>78</v>
      </c>
    </row>
    <row r="5" spans="3:8">
      <c r="C5" s="9" t="s">
        <v>56</v>
      </c>
      <c r="D5" s="9">
        <v>2024</v>
      </c>
      <c r="E5" s="93">
        <v>10000</v>
      </c>
      <c r="F5" s="93">
        <f>'Financeiro Entradas'!E8</f>
        <v>0</v>
      </c>
      <c r="G5" s="93">
        <v>2</v>
      </c>
      <c r="H5" s="93">
        <f>E5+F5-G5</f>
        <v>9998</v>
      </c>
    </row>
    <row r="6" spans="3:8">
      <c r="C6" s="9" t="s">
        <v>25</v>
      </c>
      <c r="D6" s="9">
        <v>2024</v>
      </c>
      <c r="E6" s="93">
        <f>H5</f>
        <v>9998</v>
      </c>
      <c r="F6" s="93">
        <f>'Financeiro Entradas'!E8</f>
        <v>0</v>
      </c>
      <c r="G6" s="93"/>
      <c r="H6" s="93">
        <f t="shared" ref="H6:H16" si="0">E6+F6-G6</f>
        <v>9998</v>
      </c>
    </row>
    <row r="7" spans="3:8">
      <c r="C7" s="9" t="s">
        <v>26</v>
      </c>
      <c r="D7" s="9">
        <v>2024</v>
      </c>
      <c r="E7" s="93">
        <f t="shared" ref="E7:E16" si="1">H6</f>
        <v>9998</v>
      </c>
      <c r="F7" s="93">
        <v>25084</v>
      </c>
      <c r="G7" s="93"/>
      <c r="H7" s="93">
        <f t="shared" si="0"/>
        <v>35082</v>
      </c>
    </row>
    <row r="8" spans="3:8">
      <c r="C8" s="9" t="s">
        <v>27</v>
      </c>
      <c r="D8" s="9">
        <v>2024</v>
      </c>
      <c r="E8" s="93">
        <f t="shared" si="1"/>
        <v>35082</v>
      </c>
      <c r="F8" s="93"/>
      <c r="G8" s="93"/>
      <c r="H8" s="93">
        <f t="shared" si="0"/>
        <v>35082</v>
      </c>
    </row>
    <row r="9" spans="3:8">
      <c r="C9" s="9" t="s">
        <v>28</v>
      </c>
      <c r="D9" s="9">
        <v>2024</v>
      </c>
      <c r="E9" s="93">
        <f t="shared" si="1"/>
        <v>35082</v>
      </c>
      <c r="F9" s="93"/>
      <c r="G9" s="93"/>
      <c r="H9" s="93">
        <f t="shared" si="0"/>
        <v>35082</v>
      </c>
    </row>
    <row r="10" spans="3:8">
      <c r="C10" s="9" t="s">
        <v>29</v>
      </c>
      <c r="D10" s="9">
        <v>2024</v>
      </c>
      <c r="E10" s="93">
        <f t="shared" si="1"/>
        <v>35082</v>
      </c>
      <c r="F10" s="93"/>
      <c r="G10" s="93"/>
      <c r="H10" s="93">
        <f t="shared" si="0"/>
        <v>35082</v>
      </c>
    </row>
    <row r="11" spans="3:8">
      <c r="C11" s="9" t="s">
        <v>30</v>
      </c>
      <c r="D11" s="9">
        <v>2024</v>
      </c>
      <c r="E11" s="93">
        <f t="shared" si="1"/>
        <v>35082</v>
      </c>
      <c r="F11" s="93"/>
      <c r="G11" s="93"/>
      <c r="H11" s="93">
        <f t="shared" si="0"/>
        <v>35082</v>
      </c>
    </row>
    <row r="12" spans="3:8">
      <c r="C12" s="9" t="s">
        <v>31</v>
      </c>
      <c r="D12" s="9">
        <v>2024</v>
      </c>
      <c r="E12" s="93">
        <f t="shared" si="1"/>
        <v>35082</v>
      </c>
      <c r="F12" s="93"/>
      <c r="G12" s="93"/>
      <c r="H12" s="93">
        <f t="shared" si="0"/>
        <v>35082</v>
      </c>
    </row>
    <row r="13" spans="3:8">
      <c r="C13" s="9" t="s">
        <v>32</v>
      </c>
      <c r="D13" s="9">
        <v>2024</v>
      </c>
      <c r="E13" s="93">
        <f t="shared" si="1"/>
        <v>35082</v>
      </c>
      <c r="F13" s="93"/>
      <c r="G13" s="93"/>
      <c r="H13" s="93">
        <f t="shared" si="0"/>
        <v>35082</v>
      </c>
    </row>
    <row r="14" spans="3:8">
      <c r="C14" s="9" t="s">
        <v>33</v>
      </c>
      <c r="D14" s="9">
        <v>2024</v>
      </c>
      <c r="E14" s="93">
        <f t="shared" si="1"/>
        <v>35082</v>
      </c>
      <c r="F14" s="93"/>
      <c r="G14" s="93"/>
      <c r="H14" s="93">
        <f t="shared" si="0"/>
        <v>35082</v>
      </c>
    </row>
    <row r="15" spans="3:8">
      <c r="C15" s="9" t="s">
        <v>34</v>
      </c>
      <c r="D15" s="9">
        <v>2024</v>
      </c>
      <c r="E15" s="93">
        <f t="shared" si="1"/>
        <v>35082</v>
      </c>
      <c r="F15" s="93"/>
      <c r="G15" s="93"/>
      <c r="H15" s="93">
        <f t="shared" si="0"/>
        <v>35082</v>
      </c>
    </row>
    <row r="16" spans="3:8">
      <c r="C16" s="9" t="s">
        <v>35</v>
      </c>
      <c r="D16" s="9">
        <v>2024</v>
      </c>
      <c r="E16" s="93">
        <f t="shared" si="1"/>
        <v>35082</v>
      </c>
      <c r="F16" s="93"/>
      <c r="G16" s="93"/>
      <c r="H16" s="93">
        <f t="shared" si="0"/>
        <v>35082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4"/>
  <dimension ref="A1"/>
  <sheetViews>
    <sheetView zoomScaleNormal="100" workbookViewId="0"/>
  </sheetViews>
  <sheetFormatPr defaultColWidth="9.140625" defaultRowHeight="15"/>
  <cols>
    <col min="1" max="16384" width="9.140625" style="1"/>
  </cols>
  <sheetData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5"/>
  <dimension ref="A1"/>
  <sheetViews>
    <sheetView zoomScaleNormal="100" workbookViewId="0"/>
  </sheetViews>
  <sheetFormatPr defaultColWidth="9.140625" defaultRowHeight="15"/>
  <cols>
    <col min="1" max="16384" width="9.140625" style="1"/>
  </cols>
  <sheetData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6"/>
  <dimension ref="A1"/>
  <sheetViews>
    <sheetView zoomScaleNormal="100" workbookViewId="0"/>
  </sheetViews>
  <sheetFormatPr defaultColWidth="9.140625" defaultRowHeight="15"/>
  <cols>
    <col min="1" max="16384" width="9.140625" style="1"/>
  </cols>
  <sheetData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7"/>
  <dimension ref="A1:V25"/>
  <sheetViews>
    <sheetView zoomScale="55" zoomScaleNormal="55" workbookViewId="0"/>
  </sheetViews>
  <sheetFormatPr defaultColWidth="9.140625" defaultRowHeight="15"/>
  <cols>
    <col min="1" max="3" width="9.140625" style="1"/>
    <col min="4" max="4" width="60.85546875" style="1" bestFit="1" customWidth="1"/>
    <col min="5" max="7" width="9.140625" style="1"/>
    <col min="8" max="8" width="0" style="1" hidden="1" customWidth="1"/>
    <col min="9" max="9" width="13.42578125" style="1" hidden="1" customWidth="1"/>
    <col min="10" max="10" width="44.140625" style="1" customWidth="1"/>
    <col min="11" max="11" width="15.42578125" style="1" customWidth="1"/>
    <col min="12" max="12" width="6.42578125" style="1" customWidth="1"/>
    <col min="13" max="13" width="5.140625" style="1" customWidth="1"/>
    <col min="14" max="17" width="9.140625" style="1"/>
    <col min="18" max="18" width="37.140625" style="1" customWidth="1"/>
    <col min="19" max="19" width="0.140625" style="1" customWidth="1"/>
    <col min="20" max="20" width="0.7109375" style="1" hidden="1" customWidth="1"/>
    <col min="21" max="21" width="0.42578125" style="1" hidden="1" customWidth="1"/>
    <col min="22" max="16384" width="9.140625" style="1"/>
  </cols>
  <sheetData>
    <row r="1" spans="1:22" ht="15" customHeight="1">
      <c r="C1" s="268" t="s">
        <v>80</v>
      </c>
      <c r="D1" s="269"/>
      <c r="E1" s="269"/>
      <c r="F1" s="269"/>
      <c r="G1" s="269"/>
      <c r="H1" s="269"/>
      <c r="I1" s="269"/>
      <c r="J1" s="269"/>
      <c r="K1" s="269"/>
      <c r="L1" s="269"/>
      <c r="M1" s="270"/>
    </row>
    <row r="2" spans="1:22" ht="15" customHeight="1">
      <c r="C2" s="271"/>
      <c r="D2" s="272"/>
      <c r="E2" s="272"/>
      <c r="F2" s="272"/>
      <c r="G2" s="272"/>
      <c r="H2" s="272"/>
      <c r="I2" s="272"/>
      <c r="J2" s="272"/>
      <c r="K2" s="272"/>
      <c r="L2" s="272"/>
      <c r="M2" s="273"/>
    </row>
    <row r="3" spans="1:22" ht="15" customHeight="1"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6"/>
    </row>
    <row r="4" spans="1:22">
      <c r="C4" s="6"/>
      <c r="D4" s="7"/>
      <c r="E4" s="7"/>
      <c r="F4" s="7"/>
      <c r="G4" s="7"/>
      <c r="H4" s="7"/>
      <c r="I4" s="7"/>
      <c r="J4" s="7"/>
      <c r="K4" s="7"/>
      <c r="L4" s="7"/>
      <c r="M4" s="8"/>
    </row>
    <row r="5" spans="1:22">
      <c r="A5" s="80"/>
      <c r="C5" s="6"/>
      <c r="D5" s="7"/>
      <c r="E5" s="7"/>
      <c r="F5" s="7"/>
      <c r="G5" s="7"/>
      <c r="H5" s="7"/>
      <c r="I5" s="7"/>
      <c r="J5" s="7"/>
      <c r="K5" s="7"/>
      <c r="L5" s="7"/>
      <c r="M5" s="8"/>
    </row>
    <row r="6" spans="1:22" ht="34.5" customHeight="1">
      <c r="C6" s="6"/>
      <c r="D6" s="69" t="s">
        <v>81</v>
      </c>
      <c r="E6" s="7"/>
      <c r="F6" s="7"/>
      <c r="G6" s="7"/>
      <c r="H6" s="7"/>
      <c r="I6" s="7"/>
      <c r="J6" s="76"/>
      <c r="K6" s="7"/>
      <c r="L6" s="7"/>
      <c r="M6" s="8"/>
      <c r="P6" s="277" t="s">
        <v>82</v>
      </c>
      <c r="Q6" s="278"/>
      <c r="R6" s="278"/>
      <c r="S6" s="278"/>
      <c r="T6" s="278"/>
      <c r="U6" s="278"/>
      <c r="V6" s="279"/>
    </row>
    <row r="7" spans="1:22" ht="15" customHeight="1">
      <c r="C7" s="6"/>
      <c r="D7" s="7"/>
      <c r="E7" s="7"/>
      <c r="F7" s="7"/>
      <c r="G7" s="7"/>
      <c r="H7" s="7"/>
      <c r="I7" s="7"/>
      <c r="J7" s="7"/>
      <c r="K7" s="7"/>
      <c r="L7" s="7"/>
      <c r="M7" s="8"/>
      <c r="P7" s="74"/>
      <c r="Q7" s="7"/>
      <c r="R7" s="7"/>
      <c r="S7" s="7"/>
      <c r="T7" s="7"/>
      <c r="U7" s="7"/>
      <c r="V7" s="75"/>
    </row>
    <row r="8" spans="1:22" ht="34.5" customHeight="1">
      <c r="C8" s="6"/>
      <c r="D8" s="68" t="s">
        <v>83</v>
      </c>
      <c r="E8" s="7"/>
      <c r="F8" s="7"/>
      <c r="G8" s="7"/>
      <c r="H8" s="7"/>
      <c r="I8" s="7"/>
      <c r="J8" s="76"/>
      <c r="K8" s="7"/>
      <c r="L8" s="7"/>
      <c r="M8" s="8"/>
      <c r="P8" s="81" t="s">
        <v>84</v>
      </c>
      <c r="Q8" s="7"/>
      <c r="R8" s="239" t="s">
        <v>85</v>
      </c>
      <c r="S8" s="235"/>
      <c r="T8" s="235"/>
      <c r="U8" s="236"/>
      <c r="V8" s="75"/>
    </row>
    <row r="9" spans="1:22">
      <c r="C9" s="6"/>
      <c r="D9" s="7"/>
      <c r="E9" s="7"/>
      <c r="F9" s="7"/>
      <c r="G9" s="7"/>
      <c r="H9" s="7"/>
      <c r="I9" s="7"/>
      <c r="J9" s="7"/>
      <c r="K9" s="7"/>
      <c r="L9" s="7"/>
      <c r="M9" s="8"/>
      <c r="P9" s="74"/>
      <c r="Q9" s="7"/>
      <c r="R9" s="7"/>
      <c r="S9" s="7"/>
      <c r="T9" s="7"/>
      <c r="U9" s="7"/>
      <c r="V9" s="75"/>
    </row>
    <row r="10" spans="1:22" ht="34.5">
      <c r="C10" s="6"/>
      <c r="D10" s="69" t="s">
        <v>86</v>
      </c>
      <c r="E10" s="7"/>
      <c r="F10" s="7"/>
      <c r="G10" s="7"/>
      <c r="H10" s="7"/>
      <c r="I10" s="7"/>
      <c r="J10" s="76"/>
      <c r="K10" s="7"/>
      <c r="L10" s="7"/>
      <c r="M10" s="8"/>
      <c r="P10" s="82" t="s">
        <v>87</v>
      </c>
      <c r="Q10" s="7"/>
      <c r="R10" s="240" t="str" cm="1">
        <f t="array" ref="R10:U10">_xlfn.IFS('Logistica 1'!R8:U8="Yogurte de Ameixa",'Produção-Yogurtes'!M12,'Logistica 1'!R8:U8="Yogurte de Banana",'Produção-Yogurtes'!M11,'Logistica 1'!R8:U8="Yogurte de Morango",'Produção-Yogurtes'!M10,'Logistica 1'!R8:U8="Yogurte de Uva",'Produção-Yogurtes'!M9,'Logistica 1'!R8:U8="Yogurte de Pêssego",'Produção-Yogurtes'!M8)</f>
        <v>#Y002</v>
      </c>
      <c r="S10" s="237" t="e">
        <v>#N/A</v>
      </c>
      <c r="T10" s="237" t="e">
        <v>#N/A</v>
      </c>
      <c r="U10" s="238" t="e">
        <v>#N/A</v>
      </c>
      <c r="V10" s="75"/>
    </row>
    <row r="11" spans="1:22">
      <c r="C11" s="6"/>
      <c r="D11" s="7"/>
      <c r="E11" s="7"/>
      <c r="F11" s="7"/>
      <c r="G11" s="7"/>
      <c r="H11" s="7"/>
      <c r="I11" s="7"/>
      <c r="J11" s="7"/>
      <c r="K11" s="7"/>
      <c r="L11" s="7"/>
      <c r="M11" s="8"/>
      <c r="P11" s="74"/>
      <c r="Q11" s="7"/>
      <c r="R11" s="7"/>
      <c r="S11" s="7"/>
      <c r="T11" s="7"/>
      <c r="U11" s="7"/>
      <c r="V11" s="75"/>
    </row>
    <row r="12" spans="1:22" ht="34.5">
      <c r="C12" s="6"/>
      <c r="D12" s="69" t="s">
        <v>88</v>
      </c>
      <c r="E12" s="7"/>
      <c r="F12" s="7"/>
      <c r="G12" s="7"/>
      <c r="H12" s="7"/>
      <c r="I12" s="7"/>
      <c r="J12" s="76"/>
      <c r="K12" s="7"/>
      <c r="L12" s="7"/>
      <c r="M12" s="8"/>
      <c r="P12" s="78"/>
      <c r="Q12" s="72"/>
      <c r="R12" s="72"/>
      <c r="S12" s="72"/>
      <c r="T12" s="72"/>
      <c r="U12" s="72"/>
      <c r="V12" s="79"/>
    </row>
    <row r="13" spans="1:22">
      <c r="C13" s="6"/>
      <c r="D13" s="7"/>
      <c r="E13" s="7"/>
      <c r="F13" s="7"/>
      <c r="G13" s="7"/>
      <c r="H13" s="7"/>
      <c r="I13" s="7"/>
      <c r="J13" s="7"/>
      <c r="K13" s="7"/>
      <c r="L13" s="7"/>
      <c r="M13" s="8"/>
    </row>
    <row r="14" spans="1:22" ht="34.5">
      <c r="C14" s="6"/>
      <c r="D14" s="69" t="s">
        <v>89</v>
      </c>
      <c r="E14" s="7"/>
      <c r="F14" s="7"/>
      <c r="G14" s="7"/>
      <c r="H14" s="7"/>
      <c r="I14" s="7"/>
      <c r="J14" s="76"/>
      <c r="K14" s="7"/>
      <c r="L14" s="7"/>
      <c r="M14" s="8"/>
    </row>
    <row r="15" spans="1:22">
      <c r="C15" s="6"/>
      <c r="D15" s="7"/>
      <c r="E15" s="7"/>
      <c r="F15" s="7"/>
      <c r="G15" s="7"/>
      <c r="H15" s="7"/>
      <c r="I15" s="7"/>
      <c r="J15" s="7"/>
      <c r="K15" s="7"/>
      <c r="L15" s="7"/>
      <c r="M15" s="8"/>
    </row>
    <row r="16" spans="1:22" ht="34.5">
      <c r="C16" s="6"/>
      <c r="D16" s="69" t="s">
        <v>90</v>
      </c>
      <c r="E16" s="7"/>
      <c r="F16" s="7"/>
      <c r="G16" s="7"/>
      <c r="H16" s="7"/>
      <c r="I16" s="7"/>
      <c r="J16" s="76"/>
      <c r="K16" s="7"/>
      <c r="L16" s="7"/>
      <c r="M16" s="8"/>
    </row>
    <row r="17" spans="3:13">
      <c r="C17" s="6"/>
      <c r="D17" s="7"/>
      <c r="E17" s="7"/>
      <c r="F17" s="7"/>
      <c r="G17" s="7"/>
      <c r="H17" s="7"/>
      <c r="I17" s="7"/>
      <c r="J17" s="7"/>
      <c r="K17" s="7"/>
      <c r="L17" s="7"/>
      <c r="M17" s="8"/>
    </row>
    <row r="18" spans="3:13" ht="34.5">
      <c r="C18" s="6"/>
      <c r="D18" s="69" t="s">
        <v>91</v>
      </c>
      <c r="E18" s="7"/>
      <c r="F18" s="7"/>
      <c r="G18" s="7"/>
      <c r="H18" s="7"/>
      <c r="I18" s="7"/>
      <c r="J18" s="76"/>
      <c r="K18" s="7"/>
      <c r="L18" s="7"/>
      <c r="M18" s="8"/>
    </row>
    <row r="19" spans="3:13" ht="15" customHeight="1">
      <c r="C19" s="6"/>
      <c r="D19" s="7"/>
      <c r="E19" s="7"/>
      <c r="F19" s="7"/>
      <c r="G19" s="7"/>
      <c r="H19" s="7"/>
      <c r="I19" s="7"/>
      <c r="J19" s="7"/>
      <c r="K19" s="7"/>
      <c r="L19" s="7"/>
      <c r="M19" s="8"/>
    </row>
    <row r="20" spans="3:13" ht="34.5">
      <c r="C20" s="6"/>
      <c r="D20" s="69" t="s">
        <v>92</v>
      </c>
      <c r="E20" s="7"/>
      <c r="F20" s="7"/>
      <c r="G20" s="7"/>
      <c r="H20" s="7"/>
      <c r="I20" s="7"/>
      <c r="J20" s="76"/>
      <c r="K20" s="7"/>
      <c r="L20" s="7"/>
      <c r="M20" s="8"/>
    </row>
    <row r="21" spans="3:13" ht="15" customHeight="1">
      <c r="C21" s="6"/>
      <c r="D21" s="20"/>
      <c r="E21" s="7"/>
      <c r="F21" s="7"/>
      <c r="G21" s="7"/>
      <c r="H21" s="7"/>
      <c r="I21" s="7"/>
      <c r="J21" s="7"/>
      <c r="K21" s="7"/>
      <c r="L21" s="7"/>
      <c r="M21" s="8"/>
    </row>
    <row r="22" spans="3:13" ht="34.5">
      <c r="C22" s="6"/>
      <c r="D22" s="69" t="s">
        <v>93</v>
      </c>
      <c r="E22" s="7"/>
      <c r="F22" s="7"/>
      <c r="G22" s="7"/>
      <c r="H22" s="7"/>
      <c r="I22" s="7"/>
      <c r="J22" s="76"/>
      <c r="K22" s="7"/>
      <c r="L22" s="7"/>
      <c r="M22" s="8"/>
    </row>
    <row r="23" spans="3:13" ht="15.75" customHeight="1">
      <c r="C23" s="6"/>
      <c r="D23" s="20"/>
      <c r="E23" s="7"/>
      <c r="F23" s="7"/>
      <c r="G23" s="7"/>
      <c r="H23" s="7"/>
      <c r="I23" s="7"/>
      <c r="J23" s="7"/>
      <c r="K23" s="7"/>
      <c r="L23" s="7"/>
      <c r="M23" s="8"/>
    </row>
    <row r="24" spans="3:13" ht="37.5" customHeight="1">
      <c r="C24" s="74"/>
      <c r="D24" s="69" t="s">
        <v>94</v>
      </c>
      <c r="E24" s="7"/>
      <c r="F24" s="7"/>
      <c r="G24" s="7"/>
      <c r="H24" s="7"/>
      <c r="I24" s="7"/>
      <c r="J24" s="76"/>
      <c r="K24" s="7"/>
      <c r="L24" s="7"/>
      <c r="M24" s="75"/>
    </row>
    <row r="25" spans="3:13" ht="53.25" customHeight="1">
      <c r="C25" s="71"/>
      <c r="D25" s="70"/>
      <c r="E25" s="72"/>
      <c r="F25" s="72"/>
      <c r="G25" s="72"/>
      <c r="H25" s="72"/>
      <c r="I25" s="72"/>
      <c r="J25" s="72"/>
      <c r="K25" s="72"/>
      <c r="L25" s="72"/>
      <c r="M25" s="73"/>
    </row>
  </sheetData>
  <mergeCells count="2">
    <mergeCell ref="C1:M3"/>
    <mergeCell ref="P6:V6"/>
  </mergeCells>
  <dataValidations count="1">
    <dataValidation type="list" allowBlank="1" showInputMessage="1" showErrorMessage="1" sqref="R8" xr:uid="{00000000-0002-0000-1100-000000000000}">
      <formula1>"Yogurte de Pêssego,Yogurte de Uva, Yogurte de Banana, Yogurte de Morango, Yogurte de Ameixa"</formula1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8"/>
  <dimension ref="E4:N27"/>
  <sheetViews>
    <sheetView workbookViewId="0"/>
  </sheetViews>
  <sheetFormatPr defaultColWidth="9.140625" defaultRowHeight="15"/>
  <cols>
    <col min="1" max="4" width="9.140625" style="1"/>
    <col min="5" max="5" width="20.85546875" style="1" customWidth="1"/>
    <col min="6" max="6" width="19" style="1" customWidth="1"/>
    <col min="7" max="7" width="21.42578125" style="1" customWidth="1"/>
    <col min="8" max="8" width="20" style="1" customWidth="1"/>
    <col min="9" max="9" width="26.42578125" style="1" customWidth="1"/>
    <col min="10" max="10" width="22" style="1" customWidth="1"/>
    <col min="11" max="11" width="12.140625" style="1" customWidth="1"/>
    <col min="12" max="12" width="17.42578125" style="1" customWidth="1"/>
    <col min="13" max="14" width="19" style="1" customWidth="1"/>
    <col min="15" max="16384" width="9.140625" style="1"/>
  </cols>
  <sheetData>
    <row r="4" spans="5:14">
      <c r="E4" s="31" t="s">
        <v>81</v>
      </c>
      <c r="F4" s="31" t="s">
        <v>83</v>
      </c>
      <c r="G4" s="31" t="s">
        <v>86</v>
      </c>
      <c r="H4" s="31" t="s">
        <v>88</v>
      </c>
      <c r="I4" s="31" t="s">
        <v>89</v>
      </c>
      <c r="J4" s="31" t="s">
        <v>90</v>
      </c>
      <c r="K4" s="31" t="s">
        <v>91</v>
      </c>
      <c r="L4" s="31" t="s">
        <v>92</v>
      </c>
      <c r="M4" s="31" t="s">
        <v>93</v>
      </c>
      <c r="N4" s="31" t="s">
        <v>94</v>
      </c>
    </row>
    <row r="5" spans="5:14">
      <c r="E5" s="9"/>
      <c r="F5" s="9"/>
      <c r="G5" s="14"/>
      <c r="H5" s="14"/>
      <c r="I5" s="14"/>
      <c r="J5" s="14"/>
      <c r="K5" s="14"/>
      <c r="L5" s="14"/>
      <c r="M5" s="14"/>
      <c r="N5" s="14"/>
    </row>
    <row r="6" spans="5:14">
      <c r="E6" s="9"/>
      <c r="F6" s="9"/>
      <c r="G6" s="9"/>
      <c r="H6" s="9"/>
      <c r="I6" s="9"/>
      <c r="J6" s="9"/>
      <c r="K6" s="9"/>
      <c r="L6" s="9"/>
      <c r="M6" s="9"/>
      <c r="N6" s="9"/>
    </row>
    <row r="7" spans="5:14">
      <c r="E7" s="9"/>
      <c r="F7" s="9"/>
      <c r="G7" s="9"/>
      <c r="H7" s="9"/>
      <c r="I7" s="9"/>
      <c r="J7" s="9"/>
      <c r="K7" s="9"/>
      <c r="L7" s="9"/>
      <c r="M7" s="9"/>
      <c r="N7" s="9"/>
    </row>
    <row r="8" spans="5:14">
      <c r="E8" s="9"/>
      <c r="F8" s="9"/>
      <c r="G8" s="9"/>
      <c r="H8" s="9"/>
      <c r="I8" s="9"/>
      <c r="J8" s="9"/>
      <c r="K8" s="9"/>
      <c r="L8" s="9"/>
      <c r="M8" s="9"/>
      <c r="N8" s="9"/>
    </row>
    <row r="9" spans="5:14">
      <c r="E9" s="9"/>
      <c r="F9" s="9"/>
      <c r="G9" s="9"/>
      <c r="H9" s="9"/>
      <c r="I9" s="9"/>
      <c r="J9" s="9"/>
      <c r="K9" s="9"/>
      <c r="L9" s="9"/>
      <c r="M9" s="9"/>
      <c r="N9" s="9"/>
    </row>
    <row r="10" spans="5:14">
      <c r="E10" s="9"/>
      <c r="F10" s="9"/>
      <c r="G10" s="9"/>
      <c r="H10" s="9"/>
      <c r="I10" s="9"/>
      <c r="J10" s="9"/>
      <c r="K10" s="9"/>
      <c r="L10" s="9"/>
      <c r="M10" s="9"/>
      <c r="N10" s="9"/>
    </row>
    <row r="11" spans="5:14">
      <c r="E11" s="9"/>
      <c r="F11" s="9"/>
      <c r="G11" s="9"/>
      <c r="H11" s="9"/>
      <c r="I11" s="9"/>
      <c r="J11" s="9"/>
      <c r="K11" s="9"/>
      <c r="L11" s="9"/>
      <c r="M11" s="9"/>
      <c r="N11" s="9"/>
    </row>
    <row r="12" spans="5:14">
      <c r="E12" s="9"/>
      <c r="F12" s="9"/>
      <c r="G12" s="9"/>
      <c r="H12" s="9"/>
      <c r="I12" s="9"/>
      <c r="J12" s="9"/>
      <c r="K12" s="9"/>
      <c r="L12" s="9"/>
      <c r="M12" s="9"/>
      <c r="N12" s="9"/>
    </row>
    <row r="13" spans="5:14">
      <c r="E13" s="9"/>
      <c r="F13" s="9"/>
      <c r="G13" s="9"/>
      <c r="H13" s="9"/>
      <c r="I13" s="9"/>
      <c r="J13" s="9"/>
      <c r="K13" s="9"/>
      <c r="L13" s="9"/>
      <c r="M13" s="9"/>
      <c r="N13" s="9"/>
    </row>
    <row r="14" spans="5:14">
      <c r="E14" s="9"/>
      <c r="F14" s="9"/>
      <c r="G14" s="9"/>
      <c r="H14" s="9"/>
      <c r="I14" s="9"/>
      <c r="J14" s="9"/>
      <c r="K14" s="9"/>
      <c r="L14" s="9"/>
      <c r="M14" s="9"/>
      <c r="N14" s="9"/>
    </row>
    <row r="15" spans="5:14">
      <c r="E15" s="9"/>
      <c r="F15" s="9"/>
      <c r="G15" s="9"/>
      <c r="H15" s="9"/>
      <c r="I15" s="9"/>
      <c r="J15" s="9"/>
      <c r="K15" s="9"/>
      <c r="L15" s="9"/>
      <c r="M15" s="9"/>
      <c r="N15" s="9"/>
    </row>
    <row r="16" spans="5:14">
      <c r="E16" s="9"/>
      <c r="F16" s="9"/>
      <c r="G16" s="9"/>
      <c r="H16" s="9"/>
      <c r="I16" s="9"/>
      <c r="J16" s="9"/>
      <c r="K16" s="9"/>
      <c r="L16" s="9"/>
      <c r="M16" s="9"/>
      <c r="N16" s="9"/>
    </row>
    <row r="17" spans="5:14">
      <c r="E17" s="9"/>
      <c r="F17" s="9"/>
      <c r="G17" s="9"/>
      <c r="H17" s="9"/>
      <c r="I17" s="9"/>
      <c r="J17" s="9"/>
      <c r="K17" s="9"/>
      <c r="L17" s="9"/>
      <c r="M17" s="9"/>
      <c r="N17" s="9"/>
    </row>
    <row r="18" spans="5:14">
      <c r="E18" s="9"/>
      <c r="F18" s="9"/>
      <c r="G18" s="9"/>
      <c r="H18" s="9"/>
      <c r="I18" s="9"/>
      <c r="J18" s="9"/>
      <c r="K18" s="9"/>
      <c r="L18" s="9"/>
      <c r="M18" s="9"/>
      <c r="N18" s="9"/>
    </row>
    <row r="19" spans="5:14">
      <c r="E19" s="9"/>
      <c r="F19" s="9"/>
      <c r="G19" s="9"/>
      <c r="H19" s="9"/>
      <c r="I19" s="9"/>
      <c r="J19" s="9"/>
      <c r="K19" s="9"/>
      <c r="L19" s="9"/>
      <c r="M19" s="9"/>
      <c r="N19" s="9"/>
    </row>
    <row r="20" spans="5:14">
      <c r="E20" s="9"/>
      <c r="F20" s="9"/>
      <c r="G20" s="9"/>
      <c r="H20" s="9"/>
      <c r="I20" s="9"/>
      <c r="J20" s="9"/>
      <c r="K20" s="9"/>
      <c r="L20" s="9"/>
      <c r="M20" s="9"/>
      <c r="N20" s="9"/>
    </row>
    <row r="21" spans="5:14">
      <c r="E21" s="9"/>
      <c r="F21" s="9"/>
      <c r="G21" s="9"/>
      <c r="H21" s="9"/>
      <c r="I21" s="9"/>
      <c r="J21" s="9"/>
      <c r="K21" s="9"/>
      <c r="L21" s="9"/>
      <c r="M21" s="9"/>
      <c r="N21" s="9"/>
    </row>
    <row r="22" spans="5:14">
      <c r="E22" s="9"/>
      <c r="F22" s="9"/>
      <c r="G22" s="9"/>
      <c r="H22" s="9"/>
      <c r="I22" s="9"/>
      <c r="J22" s="9"/>
      <c r="K22" s="9"/>
      <c r="L22" s="9"/>
      <c r="M22" s="9"/>
      <c r="N22" s="9"/>
    </row>
    <row r="23" spans="5:14">
      <c r="E23" s="9"/>
      <c r="F23" s="9"/>
      <c r="G23" s="9"/>
      <c r="H23" s="9"/>
      <c r="I23" s="9"/>
      <c r="J23" s="9"/>
      <c r="K23" s="9"/>
      <c r="L23" s="9"/>
      <c r="M23" s="9"/>
      <c r="N23" s="9"/>
    </row>
    <row r="24" spans="5:14">
      <c r="E24" s="9"/>
      <c r="F24" s="9"/>
      <c r="G24" s="9"/>
      <c r="H24" s="9"/>
      <c r="I24" s="9"/>
      <c r="J24" s="9"/>
      <c r="K24" s="9"/>
      <c r="L24" s="9"/>
      <c r="M24" s="9"/>
      <c r="N24" s="9"/>
    </row>
    <row r="25" spans="5:14">
      <c r="E25" s="9"/>
      <c r="F25" s="9"/>
      <c r="G25" s="9"/>
      <c r="H25" s="9"/>
      <c r="I25" s="9"/>
      <c r="J25" s="9"/>
      <c r="K25" s="9"/>
      <c r="L25" s="9"/>
      <c r="M25" s="9"/>
      <c r="N25" s="9"/>
    </row>
    <row r="26" spans="5:14">
      <c r="E26" s="9"/>
      <c r="F26" s="9"/>
      <c r="G26" s="9"/>
      <c r="H26" s="9"/>
      <c r="I26" s="9"/>
      <c r="J26" s="9"/>
      <c r="K26" s="9"/>
      <c r="L26" s="9"/>
      <c r="M26" s="9"/>
      <c r="N26" s="9"/>
    </row>
    <row r="27" spans="5:14">
      <c r="E27" s="9"/>
      <c r="F27" s="9"/>
      <c r="G27" s="9"/>
      <c r="H27" s="9"/>
      <c r="I27" s="9"/>
      <c r="J27" s="9"/>
      <c r="K27" s="9"/>
      <c r="L27" s="9"/>
      <c r="M27" s="9"/>
      <c r="N27" s="9"/>
    </row>
  </sheetData>
  <autoFilter ref="E4:N4" xr:uid="{00000000-0009-0000-0000-000012000000}"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9"/>
  <dimension ref="D1:N24"/>
  <sheetViews>
    <sheetView zoomScale="70" zoomScaleNormal="70" workbookViewId="0">
      <selection activeCell="Q13" sqref="Q13"/>
    </sheetView>
  </sheetViews>
  <sheetFormatPr defaultColWidth="9.140625" defaultRowHeight="15"/>
  <cols>
    <col min="1" max="10" width="9.140625" style="1"/>
    <col min="11" max="11" width="40.42578125" style="1" customWidth="1"/>
    <col min="12" max="16384" width="9.140625" style="1"/>
  </cols>
  <sheetData>
    <row r="1" spans="4:14" ht="34.5" customHeight="1">
      <c r="D1" s="268" t="s">
        <v>95</v>
      </c>
      <c r="E1" s="269"/>
      <c r="F1" s="269"/>
      <c r="G1" s="269"/>
      <c r="H1" s="269"/>
      <c r="I1" s="269"/>
      <c r="J1" s="269"/>
      <c r="K1" s="269"/>
      <c r="L1" s="269"/>
      <c r="M1" s="269"/>
      <c r="N1" s="270"/>
    </row>
    <row r="2" spans="4:14">
      <c r="D2" s="271"/>
      <c r="E2" s="272"/>
      <c r="F2" s="272"/>
      <c r="G2" s="272"/>
      <c r="H2" s="272"/>
      <c r="I2" s="272"/>
      <c r="J2" s="272"/>
      <c r="K2" s="272"/>
      <c r="L2" s="272"/>
      <c r="M2" s="272"/>
      <c r="N2" s="273"/>
    </row>
    <row r="3" spans="4:14">
      <c r="D3" s="274"/>
      <c r="E3" s="275"/>
      <c r="F3" s="275"/>
      <c r="G3" s="275"/>
      <c r="H3" s="275"/>
      <c r="I3" s="275"/>
      <c r="J3" s="275"/>
      <c r="K3" s="275"/>
      <c r="L3" s="275"/>
      <c r="M3" s="275"/>
      <c r="N3" s="276"/>
    </row>
    <row r="4" spans="4:14">
      <c r="D4" s="6"/>
      <c r="E4" s="7"/>
      <c r="F4" s="7"/>
      <c r="G4" s="7"/>
      <c r="H4" s="7"/>
      <c r="I4" s="7"/>
      <c r="J4" s="7"/>
      <c r="K4" s="7"/>
      <c r="L4" s="7"/>
      <c r="M4" s="7"/>
      <c r="N4" s="8"/>
    </row>
    <row r="5" spans="4:14">
      <c r="D5" s="6"/>
      <c r="E5" s="7"/>
      <c r="F5" s="7"/>
      <c r="G5" s="7"/>
      <c r="H5" s="7"/>
      <c r="I5" s="7"/>
      <c r="J5" s="7"/>
      <c r="K5" s="7"/>
      <c r="L5" s="7"/>
      <c r="M5" s="7"/>
      <c r="N5" s="8"/>
    </row>
    <row r="6" spans="4:14">
      <c r="D6" s="6"/>
      <c r="E6" s="7"/>
      <c r="F6" s="7"/>
      <c r="G6" s="7"/>
      <c r="H6" s="7"/>
      <c r="I6" s="7"/>
      <c r="J6" s="7"/>
      <c r="K6" s="7"/>
      <c r="L6" s="7"/>
      <c r="M6" s="7"/>
      <c r="N6" s="8"/>
    </row>
    <row r="7" spans="4:14">
      <c r="D7" s="6"/>
      <c r="E7" s="7"/>
      <c r="F7" s="7"/>
      <c r="G7" s="7"/>
      <c r="H7" s="7"/>
      <c r="I7" s="7"/>
      <c r="J7" s="7"/>
      <c r="K7" s="7"/>
      <c r="L7" s="7"/>
      <c r="M7" s="7"/>
      <c r="N7" s="8"/>
    </row>
    <row r="8" spans="4:14" ht="34.5">
      <c r="D8" s="6"/>
      <c r="E8" s="20" t="s">
        <v>96</v>
      </c>
      <c r="F8" s="7"/>
      <c r="G8" s="7"/>
      <c r="H8" s="7"/>
      <c r="I8" s="7"/>
      <c r="J8" s="7"/>
      <c r="K8" s="77"/>
      <c r="L8" s="7"/>
      <c r="M8" s="7"/>
      <c r="N8" s="8"/>
    </row>
    <row r="9" spans="4:14">
      <c r="D9" s="6"/>
      <c r="E9" s="7"/>
      <c r="F9" s="7"/>
      <c r="G9" s="7"/>
      <c r="H9" s="7"/>
      <c r="I9" s="7"/>
      <c r="J9" s="7"/>
      <c r="K9" s="7"/>
      <c r="L9" s="7"/>
      <c r="M9" s="7"/>
      <c r="N9" s="8"/>
    </row>
    <row r="10" spans="4:14">
      <c r="D10" s="6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4:14" ht="37.5" customHeight="1">
      <c r="D11" s="6"/>
      <c r="E11" s="251" t="s">
        <v>97</v>
      </c>
      <c r="F11" s="7"/>
      <c r="G11" s="7"/>
      <c r="H11" s="7"/>
      <c r="I11" s="7"/>
      <c r="J11" s="7"/>
      <c r="K11" s="250"/>
      <c r="L11" s="7"/>
      <c r="M11" s="7"/>
      <c r="N11" s="8"/>
    </row>
    <row r="12" spans="4:14">
      <c r="D12" s="6"/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4:14">
      <c r="D13" s="6"/>
      <c r="E13" s="7"/>
      <c r="F13" s="7"/>
      <c r="G13" s="7"/>
      <c r="H13" s="7"/>
      <c r="I13" s="7"/>
      <c r="J13" s="7"/>
      <c r="K13" s="7"/>
      <c r="L13" s="7"/>
      <c r="M13" s="7"/>
      <c r="N13" s="8"/>
    </row>
    <row r="14" spans="4:14" ht="34.5">
      <c r="D14" s="6"/>
      <c r="E14" s="20" t="s">
        <v>98</v>
      </c>
      <c r="F14" s="7"/>
      <c r="G14" s="7"/>
      <c r="H14" s="7"/>
      <c r="I14" s="7"/>
      <c r="J14" s="7"/>
      <c r="K14" s="249"/>
      <c r="L14" s="7"/>
      <c r="M14" s="7"/>
      <c r="N14" s="8"/>
    </row>
    <row r="15" spans="4:14">
      <c r="D15" s="6"/>
      <c r="E15" s="7"/>
      <c r="F15" s="7"/>
      <c r="G15" s="7"/>
      <c r="H15" s="7"/>
      <c r="I15" s="7"/>
      <c r="J15" s="7"/>
      <c r="K15" s="7"/>
      <c r="L15" s="7"/>
      <c r="M15" s="7"/>
      <c r="N15" s="8"/>
    </row>
    <row r="16" spans="4:14">
      <c r="D16" s="6"/>
      <c r="E16" s="7"/>
      <c r="F16" s="7"/>
      <c r="G16" s="7"/>
      <c r="H16" s="7"/>
      <c r="I16" s="7"/>
      <c r="J16" s="7"/>
      <c r="K16" s="7"/>
      <c r="L16" s="7"/>
      <c r="M16" s="7"/>
      <c r="N16" s="8"/>
    </row>
    <row r="17" spans="4:14">
      <c r="D17" s="6"/>
      <c r="E17" s="7"/>
      <c r="F17" s="7"/>
      <c r="G17" s="7"/>
      <c r="H17" s="7"/>
      <c r="I17" s="7"/>
      <c r="J17" s="7"/>
      <c r="K17" s="7"/>
      <c r="L17" s="7"/>
      <c r="M17" s="7"/>
      <c r="N17" s="8"/>
    </row>
    <row r="18" spans="4:14">
      <c r="D18" s="6"/>
      <c r="E18" s="7"/>
      <c r="F18" s="7"/>
      <c r="G18" s="7"/>
      <c r="H18" s="7"/>
      <c r="I18" s="7"/>
      <c r="J18" s="7"/>
      <c r="K18" s="7"/>
      <c r="L18" s="7"/>
      <c r="M18" s="7"/>
      <c r="N18" s="8"/>
    </row>
    <row r="19" spans="4:14" ht="34.5">
      <c r="D19" s="6"/>
      <c r="E19" s="20" t="s">
        <v>91</v>
      </c>
      <c r="F19" s="7"/>
      <c r="G19" s="7"/>
      <c r="H19" s="7"/>
      <c r="I19" s="7"/>
      <c r="J19" s="7"/>
      <c r="K19" s="84"/>
      <c r="L19" s="7"/>
      <c r="M19" s="7"/>
      <c r="N19" s="8"/>
    </row>
    <row r="20" spans="4:14">
      <c r="D20" s="6"/>
      <c r="E20" s="7"/>
      <c r="F20" s="7"/>
      <c r="G20" s="7"/>
      <c r="H20" s="7"/>
      <c r="I20" s="7"/>
      <c r="J20" s="7"/>
      <c r="K20" s="7"/>
      <c r="L20" s="7"/>
      <c r="M20" s="7"/>
      <c r="N20" s="8"/>
    </row>
    <row r="21" spans="4:14">
      <c r="D21" s="6"/>
      <c r="E21" s="7"/>
      <c r="F21" s="7"/>
      <c r="G21" s="7"/>
      <c r="H21" s="7"/>
      <c r="I21" s="7"/>
      <c r="J21" s="7"/>
      <c r="K21" s="7"/>
      <c r="L21" s="7"/>
      <c r="M21" s="7"/>
      <c r="N21" s="8"/>
    </row>
    <row r="22" spans="4:14">
      <c r="D22" s="6"/>
      <c r="E22" s="7"/>
      <c r="F22" s="7"/>
      <c r="G22" s="7"/>
      <c r="H22" s="7"/>
      <c r="I22" s="7"/>
      <c r="J22" s="7"/>
      <c r="K22" s="7"/>
      <c r="L22" s="7"/>
      <c r="M22" s="7"/>
      <c r="N22" s="8"/>
    </row>
    <row r="23" spans="4:14">
      <c r="D23" s="6"/>
      <c r="E23" s="7"/>
      <c r="F23" s="7"/>
      <c r="G23" s="7"/>
      <c r="H23" s="7"/>
      <c r="I23" s="7"/>
      <c r="J23" s="7"/>
      <c r="K23" s="7"/>
      <c r="L23" s="7"/>
      <c r="M23" s="7"/>
      <c r="N23" s="8"/>
    </row>
    <row r="24" spans="4:14">
      <c r="D24" s="10"/>
      <c r="E24" s="11"/>
      <c r="F24" s="11"/>
      <c r="G24" s="11"/>
      <c r="H24" s="11"/>
      <c r="I24" s="11"/>
      <c r="J24" s="11"/>
      <c r="K24" s="11"/>
      <c r="L24" s="11"/>
      <c r="M24" s="11"/>
      <c r="N24" s="12"/>
    </row>
  </sheetData>
  <mergeCells count="1">
    <mergeCell ref="D1:N3"/>
  </mergeCells>
  <dataValidations count="1">
    <dataValidation type="list" allowBlank="1" showInputMessage="1" showErrorMessage="1" sqref="K8" xr:uid="{00000000-0002-0000-1300-000000000000}">
      <formula1>"VIP,Recorrente,Novos"</formula1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10"/>
  <dimension ref="E7:H33"/>
  <sheetViews>
    <sheetView topLeftCell="B4" zoomScaleNormal="100" workbookViewId="0">
      <selection activeCell="F11" sqref="F11"/>
    </sheetView>
  </sheetViews>
  <sheetFormatPr defaultColWidth="9.140625" defaultRowHeight="15"/>
  <cols>
    <col min="1" max="4" width="9.140625" style="1"/>
    <col min="5" max="5" width="44.42578125" style="1" customWidth="1"/>
    <col min="6" max="6" width="39.42578125" style="1" customWidth="1"/>
    <col min="7" max="7" width="45.42578125" style="1" customWidth="1"/>
    <col min="8" max="8" width="22.85546875" style="1" customWidth="1"/>
    <col min="9" max="16384" width="9.140625" style="1"/>
  </cols>
  <sheetData>
    <row r="7" spans="5:8" ht="15.95" customHeight="1">
      <c r="E7" s="31" t="s">
        <v>96</v>
      </c>
      <c r="F7" s="31" t="s">
        <v>97</v>
      </c>
      <c r="G7" s="31" t="s">
        <v>98</v>
      </c>
      <c r="H7" s="31" t="s">
        <v>91</v>
      </c>
    </row>
    <row r="8" spans="5:8" ht="15.95" customHeight="1">
      <c r="E8" s="88" t="s">
        <v>99</v>
      </c>
      <c r="F8" s="88" t="s">
        <v>100</v>
      </c>
      <c r="G8" s="89">
        <v>140</v>
      </c>
      <c r="H8" s="252">
        <v>12</v>
      </c>
    </row>
    <row r="9" spans="5:8" ht="15.95" customHeight="1">
      <c r="E9" s="88" t="s">
        <v>99</v>
      </c>
      <c r="F9" s="88" t="s">
        <v>101</v>
      </c>
      <c r="G9" s="89">
        <v>280</v>
      </c>
      <c r="H9" s="252">
        <v>45</v>
      </c>
    </row>
    <row r="10" spans="5:8" ht="15.95" customHeight="1">
      <c r="E10" s="88" t="s">
        <v>102</v>
      </c>
      <c r="F10" s="88" t="s">
        <v>103</v>
      </c>
      <c r="G10" s="89">
        <v>60</v>
      </c>
      <c r="H10" s="252">
        <v>23</v>
      </c>
    </row>
    <row r="11" spans="5:8" ht="15.95" customHeight="1">
      <c r="E11" s="88"/>
      <c r="F11" s="88"/>
      <c r="G11" s="89"/>
      <c r="H11" s="89"/>
    </row>
    <row r="12" spans="5:8" ht="15.95" customHeight="1">
      <c r="E12" s="85"/>
      <c r="F12" s="85"/>
      <c r="G12" s="86"/>
      <c r="H12" s="87"/>
    </row>
    <row r="13" spans="5:8">
      <c r="E13" s="83"/>
      <c r="F13" s="83"/>
      <c r="G13" s="9"/>
      <c r="H13" s="9"/>
    </row>
    <row r="14" spans="5:8">
      <c r="E14" s="83"/>
      <c r="F14" s="83"/>
      <c r="G14" s="9"/>
      <c r="H14" s="9"/>
    </row>
    <row r="15" spans="5:8">
      <c r="E15" s="9"/>
      <c r="F15" s="9"/>
      <c r="G15" s="9"/>
      <c r="H15" s="9"/>
    </row>
    <row r="16" spans="5:8">
      <c r="E16" s="9"/>
      <c r="F16" s="9"/>
      <c r="G16" s="9"/>
      <c r="H16" s="9"/>
    </row>
    <row r="17" spans="5:8">
      <c r="E17" s="9"/>
      <c r="F17" s="9"/>
      <c r="G17" s="9"/>
      <c r="H17" s="9"/>
    </row>
    <row r="18" spans="5:8">
      <c r="E18" s="9"/>
      <c r="F18" s="9"/>
      <c r="G18" s="9"/>
      <c r="H18" s="9"/>
    </row>
    <row r="19" spans="5:8">
      <c r="E19" s="9"/>
      <c r="F19" s="9"/>
      <c r="G19" s="9"/>
      <c r="H19" s="9"/>
    </row>
    <row r="20" spans="5:8">
      <c r="E20" s="9"/>
      <c r="F20" s="9"/>
      <c r="G20" s="9"/>
      <c r="H20" s="9"/>
    </row>
    <row r="21" spans="5:8">
      <c r="E21" s="9"/>
      <c r="F21" s="9"/>
      <c r="G21" s="9"/>
      <c r="H21" s="9"/>
    </row>
    <row r="22" spans="5:8">
      <c r="E22" s="9"/>
      <c r="F22" s="9"/>
      <c r="G22" s="9"/>
      <c r="H22" s="9"/>
    </row>
    <row r="23" spans="5:8">
      <c r="E23" s="9"/>
      <c r="F23" s="9"/>
      <c r="G23" s="9"/>
      <c r="H23" s="9"/>
    </row>
    <row r="24" spans="5:8">
      <c r="E24" s="9"/>
      <c r="F24" s="9"/>
      <c r="G24" s="9"/>
      <c r="H24" s="9"/>
    </row>
    <row r="25" spans="5:8">
      <c r="E25" s="9"/>
      <c r="F25" s="9"/>
      <c r="G25" s="9"/>
      <c r="H25" s="9"/>
    </row>
    <row r="26" spans="5:8">
      <c r="E26" s="9"/>
      <c r="F26" s="9"/>
      <c r="G26" s="9"/>
      <c r="H26" s="9"/>
    </row>
    <row r="27" spans="5:8">
      <c r="E27" s="9"/>
      <c r="F27" s="9"/>
      <c r="G27" s="9"/>
      <c r="H27" s="9"/>
    </row>
    <row r="28" spans="5:8">
      <c r="E28" s="9"/>
      <c r="F28" s="9"/>
      <c r="G28" s="9"/>
      <c r="H28" s="9"/>
    </row>
    <row r="29" spans="5:8">
      <c r="E29" s="9"/>
      <c r="F29" s="9"/>
      <c r="G29" s="9"/>
      <c r="H29" s="9"/>
    </row>
    <row r="30" spans="5:8">
      <c r="E30" s="9"/>
      <c r="F30" s="9"/>
      <c r="G30" s="9"/>
      <c r="H30" s="9"/>
    </row>
    <row r="31" spans="5:8">
      <c r="E31" s="9"/>
      <c r="F31" s="9"/>
      <c r="G31" s="9"/>
      <c r="H31" s="9"/>
    </row>
    <row r="32" spans="5:8">
      <c r="E32" s="9"/>
      <c r="F32" s="9"/>
      <c r="G32" s="9"/>
      <c r="H32" s="9"/>
    </row>
    <row r="33" spans="5:8">
      <c r="E33" s="9"/>
      <c r="F33" s="9"/>
      <c r="G33" s="9"/>
      <c r="H33" s="9"/>
    </row>
  </sheetData>
  <autoFilter ref="E7:G7" xr:uid="{00000000-0009-0000-0000-000014000000}"/>
  <dataValidations count="1">
    <dataValidation allowBlank="1" showInputMessage="1" showErrorMessage="1" sqref="E8:F10 E12:F12" xr:uid="{00000000-0002-0000-1400-000000000000}"/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11"/>
  <dimension ref="D1:N37"/>
  <sheetViews>
    <sheetView zoomScale="70" zoomScaleNormal="70" workbookViewId="0">
      <selection activeCell="K14" sqref="K14"/>
    </sheetView>
  </sheetViews>
  <sheetFormatPr defaultColWidth="9.140625" defaultRowHeight="15"/>
  <cols>
    <col min="1" max="10" width="9.140625" style="1"/>
    <col min="11" max="11" width="40.42578125" style="1" customWidth="1"/>
    <col min="12" max="16384" width="9.140625" style="1"/>
  </cols>
  <sheetData>
    <row r="1" spans="4:14" ht="34.5" customHeight="1">
      <c r="D1" s="268" t="s">
        <v>104</v>
      </c>
      <c r="E1" s="269"/>
      <c r="F1" s="269"/>
      <c r="G1" s="269"/>
      <c r="H1" s="269"/>
      <c r="I1" s="269"/>
      <c r="J1" s="269"/>
      <c r="K1" s="269"/>
      <c r="L1" s="269"/>
      <c r="M1" s="269"/>
      <c r="N1" s="270"/>
    </row>
    <row r="2" spans="4:14">
      <c r="D2" s="271"/>
      <c r="E2" s="272"/>
      <c r="F2" s="272"/>
      <c r="G2" s="272"/>
      <c r="H2" s="272"/>
      <c r="I2" s="272"/>
      <c r="J2" s="272"/>
      <c r="K2" s="272"/>
      <c r="L2" s="272"/>
      <c r="M2" s="272"/>
      <c r="N2" s="273"/>
    </row>
    <row r="3" spans="4:14">
      <c r="D3" s="274"/>
      <c r="E3" s="275"/>
      <c r="F3" s="275"/>
      <c r="G3" s="275"/>
      <c r="H3" s="275"/>
      <c r="I3" s="275"/>
      <c r="J3" s="275"/>
      <c r="K3" s="275"/>
      <c r="L3" s="275"/>
      <c r="M3" s="275"/>
      <c r="N3" s="276"/>
    </row>
    <row r="4" spans="4:14">
      <c r="D4" s="6"/>
      <c r="E4" s="7"/>
      <c r="F4" s="7"/>
      <c r="G4" s="7"/>
      <c r="H4" s="7"/>
      <c r="I4" s="7"/>
      <c r="J4" s="7"/>
      <c r="K4" s="7"/>
      <c r="L4" s="7"/>
      <c r="M4" s="7"/>
      <c r="N4" s="8"/>
    </row>
    <row r="5" spans="4:14">
      <c r="D5" s="6"/>
      <c r="E5" s="7"/>
      <c r="F5" s="7"/>
      <c r="G5" s="7"/>
      <c r="H5" s="7"/>
      <c r="I5" s="7"/>
      <c r="J5" s="7"/>
      <c r="K5" s="7"/>
      <c r="L5" s="7"/>
      <c r="M5" s="7"/>
      <c r="N5" s="8"/>
    </row>
    <row r="6" spans="4:14">
      <c r="D6" s="6"/>
      <c r="E6" s="7"/>
      <c r="F6" s="7"/>
      <c r="G6" s="7"/>
      <c r="H6" s="7"/>
      <c r="I6" s="7"/>
      <c r="J6" s="7"/>
      <c r="K6" s="7"/>
      <c r="L6" s="7"/>
      <c r="M6" s="7"/>
      <c r="N6" s="8"/>
    </row>
    <row r="7" spans="4:14">
      <c r="D7" s="6"/>
      <c r="E7" s="7"/>
      <c r="F7" s="7"/>
      <c r="G7" s="7"/>
      <c r="H7" s="7"/>
      <c r="I7" s="7"/>
      <c r="J7" s="7"/>
      <c r="K7" s="7"/>
      <c r="L7" s="7"/>
      <c r="M7" s="7"/>
      <c r="N7" s="8"/>
    </row>
    <row r="8" spans="4:14" ht="34.5">
      <c r="D8" s="6"/>
      <c r="E8" s="20" t="s">
        <v>105</v>
      </c>
      <c r="F8" s="7"/>
      <c r="G8" s="7"/>
      <c r="H8" s="7"/>
      <c r="I8" s="7"/>
      <c r="J8" s="7"/>
      <c r="K8" s="77">
        <v>4</v>
      </c>
      <c r="L8" s="7"/>
      <c r="M8" s="7"/>
      <c r="N8" s="8"/>
    </row>
    <row r="9" spans="4:14">
      <c r="D9" s="6"/>
      <c r="E9" s="7"/>
      <c r="F9" s="7"/>
      <c r="G9" s="7"/>
      <c r="H9" s="7"/>
      <c r="I9" s="7"/>
      <c r="J9" s="7"/>
      <c r="K9" s="7"/>
      <c r="L9" s="7"/>
      <c r="M9" s="7"/>
      <c r="N9" s="8"/>
    </row>
    <row r="10" spans="4:14">
      <c r="D10" s="6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4:14">
      <c r="D11" s="6"/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4:14">
      <c r="D12" s="6"/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4:14">
      <c r="D13" s="6"/>
      <c r="E13" s="7"/>
      <c r="F13" s="7"/>
      <c r="G13" s="7"/>
      <c r="H13" s="7"/>
      <c r="I13" s="7"/>
      <c r="J13" s="7"/>
      <c r="K13" s="7"/>
      <c r="L13" s="7"/>
      <c r="M13" s="7"/>
      <c r="N13" s="8"/>
    </row>
    <row r="14" spans="4:14" ht="34.5">
      <c r="D14" s="6"/>
      <c r="E14" s="20" t="s">
        <v>106</v>
      </c>
      <c r="F14" s="7"/>
      <c r="G14" s="7"/>
      <c r="H14" s="7"/>
      <c r="I14" s="7"/>
      <c r="J14" s="7"/>
      <c r="K14" s="76">
        <v>43043</v>
      </c>
      <c r="L14" s="7"/>
      <c r="M14" s="7"/>
      <c r="N14" s="8"/>
    </row>
    <row r="15" spans="4:14">
      <c r="D15" s="6"/>
      <c r="E15" s="7"/>
      <c r="F15" s="7"/>
      <c r="G15" s="7"/>
      <c r="H15" s="7"/>
      <c r="I15" s="7"/>
      <c r="J15" s="7"/>
      <c r="K15" s="7"/>
      <c r="L15" s="7"/>
      <c r="M15" s="7"/>
      <c r="N15" s="8"/>
    </row>
    <row r="16" spans="4:14">
      <c r="D16" s="6"/>
      <c r="E16" s="7"/>
      <c r="F16" s="7"/>
      <c r="G16" s="7"/>
      <c r="H16" s="7"/>
      <c r="I16" s="7"/>
      <c r="J16" s="7"/>
      <c r="K16" s="7"/>
      <c r="L16" s="7"/>
      <c r="M16" s="7"/>
      <c r="N16" s="8"/>
    </row>
    <row r="17" spans="4:14">
      <c r="D17" s="6"/>
      <c r="E17" s="7"/>
      <c r="F17" s="7"/>
      <c r="G17" s="7"/>
      <c r="H17" s="7"/>
      <c r="I17" s="7"/>
      <c r="J17" s="7"/>
      <c r="K17" s="7"/>
      <c r="L17" s="7"/>
      <c r="M17" s="7"/>
      <c r="N17" s="8"/>
    </row>
    <row r="18" spans="4:14">
      <c r="D18" s="6"/>
      <c r="E18" s="7"/>
      <c r="F18" s="7"/>
      <c r="G18" s="7"/>
      <c r="H18" s="7"/>
      <c r="I18" s="7"/>
      <c r="J18" s="7"/>
      <c r="K18" s="7"/>
      <c r="L18" s="7"/>
      <c r="M18" s="7"/>
      <c r="N18" s="8"/>
    </row>
    <row r="19" spans="4:14" ht="34.5">
      <c r="D19" s="6"/>
      <c r="E19" s="20" t="s">
        <v>107</v>
      </c>
      <c r="F19" s="7"/>
      <c r="G19" s="7"/>
      <c r="H19" s="7"/>
      <c r="I19" s="7"/>
      <c r="J19" s="7"/>
      <c r="K19" s="76" t="s">
        <v>108</v>
      </c>
      <c r="L19" s="7"/>
      <c r="M19" s="7"/>
      <c r="N19" s="8"/>
    </row>
    <row r="20" spans="4:14">
      <c r="D20" s="6"/>
      <c r="E20" s="7"/>
      <c r="F20" s="7"/>
      <c r="G20" s="7"/>
      <c r="H20" s="7"/>
      <c r="I20" s="7"/>
      <c r="J20" s="7"/>
      <c r="K20" s="7"/>
      <c r="L20" s="7"/>
      <c r="M20" s="7"/>
      <c r="N20" s="8"/>
    </row>
    <row r="21" spans="4:14">
      <c r="D21" s="6"/>
      <c r="E21" s="7"/>
      <c r="F21" s="7"/>
      <c r="G21" s="7"/>
      <c r="H21" s="7"/>
      <c r="I21" s="7"/>
      <c r="J21" s="7"/>
      <c r="K21" s="7"/>
      <c r="L21" s="7"/>
      <c r="M21" s="7"/>
      <c r="N21" s="8"/>
    </row>
    <row r="22" spans="4:14">
      <c r="D22" s="74"/>
      <c r="E22" s="7"/>
      <c r="F22" s="7"/>
      <c r="G22" s="7"/>
      <c r="H22" s="7"/>
      <c r="I22" s="7"/>
      <c r="J22" s="7"/>
      <c r="K22" s="7"/>
      <c r="L22" s="7"/>
      <c r="M22" s="7"/>
      <c r="N22" s="75"/>
    </row>
    <row r="23" spans="4:14">
      <c r="D23" s="74"/>
      <c r="E23" s="7"/>
      <c r="F23" s="7"/>
      <c r="G23" s="7"/>
      <c r="H23" s="7"/>
      <c r="I23" s="7"/>
      <c r="J23" s="7"/>
      <c r="K23" s="7"/>
      <c r="L23" s="7"/>
      <c r="M23" s="7"/>
      <c r="N23" s="75"/>
    </row>
    <row r="24" spans="4:14" ht="34.5">
      <c r="D24" s="74"/>
      <c r="E24" s="68" t="s">
        <v>109</v>
      </c>
      <c r="F24" s="7"/>
      <c r="G24" s="7"/>
      <c r="H24" s="7"/>
      <c r="I24" s="7"/>
      <c r="J24" s="7"/>
      <c r="K24" s="76"/>
      <c r="L24" s="7"/>
      <c r="M24" s="7"/>
      <c r="N24" s="75"/>
    </row>
    <row r="25" spans="4:14">
      <c r="D25" s="74"/>
      <c r="E25" s="7"/>
      <c r="F25" s="7"/>
      <c r="G25" s="7"/>
      <c r="H25" s="7"/>
      <c r="I25" s="7"/>
      <c r="J25" s="7"/>
      <c r="K25" s="7"/>
      <c r="L25" s="7"/>
      <c r="M25" s="7"/>
      <c r="N25" s="75"/>
    </row>
    <row r="26" spans="4:14">
      <c r="D26" s="74"/>
      <c r="E26" s="7"/>
      <c r="F26" s="7"/>
      <c r="G26" s="7"/>
      <c r="H26" s="7"/>
      <c r="I26" s="7"/>
      <c r="J26" s="7"/>
      <c r="K26" s="7"/>
      <c r="L26" s="7"/>
      <c r="M26" s="7"/>
      <c r="N26" s="75"/>
    </row>
    <row r="27" spans="4:14">
      <c r="D27" s="74"/>
      <c r="E27" s="7"/>
      <c r="F27" s="7"/>
      <c r="G27" s="7"/>
      <c r="H27" s="7"/>
      <c r="I27" s="7"/>
      <c r="J27" s="7"/>
      <c r="K27" s="7"/>
      <c r="L27" s="7"/>
      <c r="M27" s="7"/>
      <c r="N27" s="75"/>
    </row>
    <row r="28" spans="4:14">
      <c r="D28" s="74"/>
      <c r="E28" s="7"/>
      <c r="F28" s="7"/>
      <c r="G28" s="7"/>
      <c r="H28" s="7"/>
      <c r="I28" s="7"/>
      <c r="J28" s="7"/>
      <c r="K28" s="7"/>
      <c r="L28" s="7"/>
      <c r="M28" s="7"/>
      <c r="N28" s="75"/>
    </row>
    <row r="29" spans="4:14" ht="34.5">
      <c r="D29" s="74"/>
      <c r="E29" s="68" t="s">
        <v>110</v>
      </c>
      <c r="F29" s="7"/>
      <c r="G29" s="7"/>
      <c r="H29" s="7"/>
      <c r="I29" s="7"/>
      <c r="J29" s="7"/>
      <c r="K29" s="76"/>
      <c r="L29" s="7"/>
      <c r="M29" s="7"/>
      <c r="N29" s="75"/>
    </row>
    <row r="30" spans="4:14">
      <c r="D30" s="74"/>
      <c r="E30" s="7"/>
      <c r="F30" s="7"/>
      <c r="G30" s="7"/>
      <c r="H30" s="7"/>
      <c r="I30" s="7"/>
      <c r="J30" s="7"/>
      <c r="K30" s="7"/>
      <c r="L30" s="7"/>
      <c r="M30" s="7"/>
      <c r="N30" s="75"/>
    </row>
    <row r="31" spans="4:14">
      <c r="D31" s="74"/>
      <c r="E31" s="7"/>
      <c r="F31" s="7"/>
      <c r="G31" s="7"/>
      <c r="H31" s="7"/>
      <c r="I31" s="7"/>
      <c r="J31" s="7"/>
      <c r="K31" s="7"/>
      <c r="L31" s="7"/>
      <c r="M31" s="7"/>
      <c r="N31" s="75"/>
    </row>
    <row r="32" spans="4:14">
      <c r="D32" s="74"/>
      <c r="E32" s="7"/>
      <c r="F32" s="7"/>
      <c r="G32" s="7"/>
      <c r="H32" s="7"/>
      <c r="I32" s="7"/>
      <c r="J32" s="7"/>
      <c r="K32" s="7"/>
      <c r="L32" s="7"/>
      <c r="M32" s="7"/>
      <c r="N32" s="75"/>
    </row>
    <row r="33" spans="4:14">
      <c r="D33" s="74"/>
      <c r="E33" s="7"/>
      <c r="F33" s="7"/>
      <c r="G33" s="7"/>
      <c r="H33" s="7"/>
      <c r="I33" s="7"/>
      <c r="J33" s="7"/>
      <c r="K33" s="7"/>
      <c r="L33" s="7"/>
      <c r="M33" s="7"/>
      <c r="N33" s="75"/>
    </row>
    <row r="34" spans="4:14" ht="34.5">
      <c r="D34" s="74"/>
      <c r="E34" s="68" t="s">
        <v>111</v>
      </c>
      <c r="F34" s="7"/>
      <c r="G34" s="7"/>
      <c r="H34" s="7"/>
      <c r="I34" s="7"/>
      <c r="J34" s="7"/>
      <c r="K34" s="76"/>
      <c r="L34" s="7"/>
      <c r="M34" s="7"/>
      <c r="N34" s="75"/>
    </row>
    <row r="35" spans="4:14">
      <c r="D35" s="74"/>
      <c r="E35" s="7"/>
      <c r="F35" s="7"/>
      <c r="G35" s="7"/>
      <c r="H35" s="7"/>
      <c r="I35" s="7"/>
      <c r="J35" s="7"/>
      <c r="K35" s="7"/>
      <c r="L35" s="7"/>
      <c r="M35" s="7"/>
      <c r="N35" s="75"/>
    </row>
    <row r="36" spans="4:14">
      <c r="D36" s="74"/>
      <c r="E36" s="7"/>
      <c r="F36" s="7"/>
      <c r="G36" s="7"/>
      <c r="H36" s="7"/>
      <c r="I36" s="7"/>
      <c r="J36" s="7"/>
      <c r="K36" s="7"/>
      <c r="L36" s="7"/>
      <c r="M36" s="7"/>
      <c r="N36" s="75"/>
    </row>
    <row r="37" spans="4:14">
      <c r="D37" s="78"/>
      <c r="E37" s="72"/>
      <c r="F37" s="72"/>
      <c r="G37" s="72"/>
      <c r="H37" s="72"/>
      <c r="I37" s="72"/>
      <c r="J37" s="72"/>
      <c r="K37" s="72"/>
      <c r="L37" s="72"/>
      <c r="M37" s="72"/>
      <c r="N37" s="79"/>
    </row>
  </sheetData>
  <mergeCells count="1">
    <mergeCell ref="D1:N3"/>
  </mergeCells>
  <dataValidations count="1">
    <dataValidation type="list" allowBlank="1" showInputMessage="1" showErrorMessage="1" sqref="K8" xr:uid="{00000000-0002-0000-1500-000000000000}">
      <formula1>"1,2,3,4,5,6,7,8,9,10"</formula1>
    </dataValidation>
  </dataValidation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12"/>
  <dimension ref="E4:J27"/>
  <sheetViews>
    <sheetView workbookViewId="0"/>
  </sheetViews>
  <sheetFormatPr defaultColWidth="9.140625" defaultRowHeight="15"/>
  <cols>
    <col min="1" max="4" width="9.140625" style="1"/>
    <col min="5" max="5" width="44.42578125" style="1" customWidth="1"/>
    <col min="6" max="6" width="39.42578125" style="1" customWidth="1"/>
    <col min="7" max="7" width="45.42578125" style="1" customWidth="1"/>
    <col min="8" max="8" width="38" style="1" customWidth="1"/>
    <col min="9" max="9" width="24" style="1" customWidth="1"/>
    <col min="10" max="10" width="23.140625" style="1" customWidth="1"/>
    <col min="11" max="16384" width="9.140625" style="1"/>
  </cols>
  <sheetData>
    <row r="4" spans="5:10">
      <c r="E4" s="31" t="s">
        <v>105</v>
      </c>
      <c r="F4" s="31" t="s">
        <v>106</v>
      </c>
      <c r="G4" s="31" t="s">
        <v>107</v>
      </c>
      <c r="H4" s="31" t="s">
        <v>109</v>
      </c>
      <c r="I4" s="31" t="s">
        <v>110</v>
      </c>
      <c r="J4" s="31" t="s">
        <v>111</v>
      </c>
    </row>
    <row r="5" spans="5:10">
      <c r="E5" s="9"/>
      <c r="F5" s="9"/>
      <c r="G5" s="14"/>
      <c r="H5" s="14"/>
      <c r="I5" s="14"/>
      <c r="J5" s="14"/>
    </row>
    <row r="6" spans="5:10">
      <c r="E6" s="9"/>
      <c r="F6" s="9"/>
      <c r="G6" s="9"/>
      <c r="H6" s="9"/>
      <c r="I6" s="9"/>
      <c r="J6" s="9"/>
    </row>
    <row r="7" spans="5:10">
      <c r="E7" s="9"/>
      <c r="F7" s="9"/>
      <c r="G7" s="9"/>
      <c r="H7" s="9"/>
      <c r="I7" s="9"/>
      <c r="J7" s="9"/>
    </row>
    <row r="8" spans="5:10">
      <c r="E8" s="9"/>
      <c r="F8" s="9"/>
      <c r="G8" s="9"/>
      <c r="H8" s="9"/>
      <c r="I8" s="9"/>
      <c r="J8" s="9"/>
    </row>
    <row r="9" spans="5:10">
      <c r="E9" s="9"/>
      <c r="F9" s="9"/>
      <c r="G9" s="9"/>
      <c r="H9" s="9"/>
      <c r="I9" s="9"/>
      <c r="J9" s="9"/>
    </row>
    <row r="10" spans="5:10">
      <c r="E10" s="9"/>
      <c r="F10" s="9"/>
      <c r="G10" s="9"/>
      <c r="H10" s="9"/>
      <c r="I10" s="9"/>
      <c r="J10" s="9"/>
    </row>
    <row r="11" spans="5:10">
      <c r="E11" s="9"/>
      <c r="F11" s="9"/>
      <c r="G11" s="9"/>
      <c r="H11" s="9"/>
      <c r="I11" s="9"/>
      <c r="J11" s="9"/>
    </row>
    <row r="12" spans="5:10">
      <c r="E12" s="9"/>
      <c r="F12" s="9"/>
      <c r="G12" s="9"/>
      <c r="H12" s="9"/>
      <c r="I12" s="9"/>
      <c r="J12" s="9"/>
    </row>
    <row r="13" spans="5:10">
      <c r="E13" s="9"/>
      <c r="F13" s="9"/>
      <c r="G13" s="9"/>
      <c r="H13" s="9"/>
      <c r="I13" s="9"/>
      <c r="J13" s="9"/>
    </row>
    <row r="14" spans="5:10">
      <c r="E14" s="9"/>
      <c r="F14" s="9"/>
      <c r="G14" s="9"/>
      <c r="H14" s="9"/>
      <c r="I14" s="9"/>
      <c r="J14" s="9"/>
    </row>
    <row r="15" spans="5:10">
      <c r="E15" s="9"/>
      <c r="F15" s="9"/>
      <c r="G15" s="9"/>
      <c r="H15" s="9"/>
      <c r="I15" s="9"/>
      <c r="J15" s="9"/>
    </row>
    <row r="16" spans="5:10">
      <c r="E16" s="9"/>
      <c r="F16" s="9"/>
      <c r="G16" s="9"/>
      <c r="H16" s="9"/>
      <c r="I16" s="9"/>
      <c r="J16" s="9"/>
    </row>
    <row r="17" spans="5:10">
      <c r="E17" s="9"/>
      <c r="F17" s="9"/>
      <c r="G17" s="9"/>
      <c r="H17" s="9"/>
      <c r="I17" s="9"/>
      <c r="J17" s="9"/>
    </row>
    <row r="18" spans="5:10">
      <c r="E18" s="9"/>
      <c r="F18" s="9"/>
      <c r="G18" s="9"/>
      <c r="H18" s="9"/>
      <c r="I18" s="9"/>
      <c r="J18" s="9"/>
    </row>
    <row r="19" spans="5:10">
      <c r="E19" s="9"/>
      <c r="F19" s="9"/>
      <c r="G19" s="9"/>
      <c r="H19" s="9"/>
      <c r="I19" s="9"/>
      <c r="J19" s="9"/>
    </row>
    <row r="20" spans="5:10">
      <c r="E20" s="9"/>
      <c r="F20" s="9"/>
      <c r="G20" s="9"/>
      <c r="H20" s="9"/>
      <c r="I20" s="9"/>
      <c r="J20" s="9"/>
    </row>
    <row r="21" spans="5:10">
      <c r="E21" s="9"/>
      <c r="F21" s="9"/>
      <c r="G21" s="9"/>
      <c r="H21" s="9"/>
      <c r="I21" s="9"/>
      <c r="J21" s="9"/>
    </row>
    <row r="22" spans="5:10">
      <c r="E22" s="9"/>
      <c r="F22" s="9"/>
      <c r="G22" s="9"/>
      <c r="H22" s="9"/>
      <c r="I22" s="9"/>
      <c r="J22" s="9"/>
    </row>
    <row r="23" spans="5:10">
      <c r="E23" s="9"/>
      <c r="F23" s="9"/>
      <c r="G23" s="9"/>
      <c r="H23" s="9"/>
      <c r="I23" s="9"/>
      <c r="J23" s="9"/>
    </row>
    <row r="24" spans="5:10">
      <c r="E24" s="9"/>
      <c r="F24" s="9"/>
      <c r="G24" s="9"/>
      <c r="H24" s="9"/>
      <c r="I24" s="9"/>
      <c r="J24" s="9"/>
    </row>
    <row r="25" spans="5:10">
      <c r="E25" s="9"/>
      <c r="F25" s="9"/>
      <c r="G25" s="9"/>
      <c r="H25" s="9"/>
      <c r="I25" s="9"/>
      <c r="J25" s="9"/>
    </row>
    <row r="26" spans="5:10">
      <c r="E26" s="9"/>
      <c r="F26" s="9"/>
      <c r="G26" s="9"/>
      <c r="H26" s="9"/>
      <c r="I26" s="9"/>
      <c r="J26" s="9"/>
    </row>
    <row r="27" spans="5:10">
      <c r="E27" s="9"/>
      <c r="F27" s="9"/>
      <c r="G27" s="9"/>
      <c r="H27" s="9"/>
      <c r="I27" s="9"/>
      <c r="J27" s="9"/>
    </row>
  </sheetData>
  <autoFilter ref="E4:J4" xr:uid="{00000000-0009-0000-0000-000016000000}"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13"/>
  <dimension ref="A1"/>
  <sheetViews>
    <sheetView zoomScaleNormal="100" workbookViewId="0">
      <selection activeCell="W1" sqref="W1"/>
    </sheetView>
  </sheetViews>
  <sheetFormatPr defaultColWidth="9.140625" defaultRowHeight="15"/>
  <cols>
    <col min="1" max="16384" width="9.140625" style="1"/>
  </cols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B5577-F0E5-4AF0-A575-94BFFD56F47C}">
  <sheetPr codeName="Planilha50"/>
  <dimension ref="A1"/>
  <sheetViews>
    <sheetView zoomScaleNormal="100" workbookViewId="0">
      <selection activeCell="M17" sqref="M17"/>
    </sheetView>
  </sheetViews>
  <sheetFormatPr defaultColWidth="9.140625" defaultRowHeight="15"/>
  <cols>
    <col min="1" max="16384" width="9.140625" style="1"/>
  </cols>
  <sheetData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8754D-9709-4C79-8513-8722703DE07B}">
  <sheetPr codeName="Planilha42"/>
  <dimension ref="H3:R36"/>
  <sheetViews>
    <sheetView topLeftCell="A4" workbookViewId="0">
      <selection activeCell="R5" sqref="R5"/>
    </sheetView>
  </sheetViews>
  <sheetFormatPr defaultColWidth="9.140625" defaultRowHeight="15"/>
  <cols>
    <col min="1" max="1" width="3.85546875" style="1" customWidth="1"/>
    <col min="2" max="2" width="3" style="1" customWidth="1"/>
    <col min="3" max="3" width="2" style="1" customWidth="1"/>
    <col min="4" max="4" width="1.7109375" style="1" customWidth="1"/>
    <col min="5" max="5" width="2.42578125" style="1" customWidth="1"/>
    <col min="6" max="6" width="2.28515625" style="1" customWidth="1"/>
    <col min="7" max="7" width="3.42578125" style="1" customWidth="1"/>
    <col min="8" max="8" width="1.28515625" style="1" customWidth="1"/>
    <col min="9" max="9" width="20.42578125" style="1" customWidth="1"/>
    <col min="10" max="10" width="35.7109375" style="1" customWidth="1"/>
    <col min="11" max="11" width="1.7109375" style="1" customWidth="1"/>
    <col min="12" max="12" width="45.140625" style="1" customWidth="1"/>
    <col min="13" max="13" width="10.140625" style="1" customWidth="1"/>
    <col min="14" max="14" width="19.28515625" style="1" hidden="1" customWidth="1"/>
    <col min="15" max="15" width="8.85546875" style="1" hidden="1" customWidth="1"/>
    <col min="16" max="16" width="8.140625" style="1" hidden="1" customWidth="1"/>
    <col min="17" max="17" width="8.85546875" style="1" hidden="1" customWidth="1"/>
    <col min="18" max="18" width="21.42578125" style="1" customWidth="1"/>
    <col min="19" max="16384" width="9.140625" style="1"/>
  </cols>
  <sheetData>
    <row r="3" spans="8:18" ht="93.75" customHeight="1"/>
    <row r="5" spans="8:18">
      <c r="I5" s="280" t="s">
        <v>112</v>
      </c>
      <c r="J5" s="281"/>
      <c r="K5" s="281"/>
      <c r="L5" s="281"/>
      <c r="M5" s="281"/>
      <c r="N5" s="218"/>
      <c r="O5" s="218"/>
      <c r="P5" s="218"/>
      <c r="Q5" s="218"/>
      <c r="R5" s="5"/>
    </row>
    <row r="6" spans="8:18">
      <c r="H6" s="174"/>
      <c r="I6" s="282"/>
      <c r="J6" s="283"/>
      <c r="K6" s="283"/>
      <c r="L6" s="283"/>
      <c r="M6" s="283"/>
      <c r="N6" s="219"/>
      <c r="O6" s="219"/>
      <c r="P6" s="219"/>
      <c r="Q6" s="219"/>
      <c r="R6" s="12"/>
    </row>
    <row r="8" spans="8:18">
      <c r="I8" s="3"/>
      <c r="J8" s="4"/>
      <c r="K8" s="4"/>
      <c r="L8" s="4"/>
      <c r="M8" s="4"/>
      <c r="N8" s="4"/>
      <c r="O8" s="4"/>
      <c r="P8" s="4"/>
      <c r="Q8" s="4"/>
      <c r="R8" s="5"/>
    </row>
    <row r="9" spans="8:18">
      <c r="I9" s="6"/>
      <c r="J9" s="7"/>
      <c r="K9" s="7"/>
      <c r="L9" s="7"/>
      <c r="M9" s="7"/>
      <c r="N9" s="7"/>
      <c r="O9" s="7"/>
      <c r="P9" s="7"/>
      <c r="Q9" s="7"/>
      <c r="R9" s="8"/>
    </row>
    <row r="10" spans="8:18" ht="26.25">
      <c r="I10" s="6"/>
      <c r="J10" s="24" t="s">
        <v>113</v>
      </c>
      <c r="K10" s="7"/>
      <c r="L10" s="200" t="s">
        <v>114</v>
      </c>
      <c r="M10" s="7"/>
      <c r="N10" s="7"/>
      <c r="O10" s="7"/>
      <c r="P10" s="7"/>
      <c r="Q10" s="7"/>
      <c r="R10" s="8"/>
    </row>
    <row r="11" spans="8:18">
      <c r="I11" s="6"/>
      <c r="J11" s="7"/>
      <c r="K11" s="7"/>
      <c r="L11" s="7"/>
      <c r="M11" s="7"/>
      <c r="N11" s="7"/>
      <c r="O11" s="7"/>
      <c r="P11" s="7"/>
      <c r="Q11" s="7"/>
      <c r="R11" s="8"/>
    </row>
    <row r="12" spans="8:18">
      <c r="I12" s="6"/>
      <c r="J12" s="7"/>
      <c r="K12" s="7"/>
      <c r="L12" s="7"/>
      <c r="M12" s="7"/>
      <c r="N12" s="7"/>
      <c r="O12" s="7"/>
      <c r="P12" s="7"/>
      <c r="Q12" s="7"/>
      <c r="R12" s="8"/>
    </row>
    <row r="13" spans="8:18" ht="26.25">
      <c r="I13" s="6"/>
      <c r="J13" s="24" t="s">
        <v>115</v>
      </c>
      <c r="K13" s="7"/>
      <c r="L13" s="200">
        <v>1</v>
      </c>
      <c r="M13" s="7"/>
      <c r="N13" s="7"/>
      <c r="O13" s="7"/>
      <c r="P13" s="7"/>
      <c r="Q13" s="7"/>
      <c r="R13" s="8"/>
    </row>
    <row r="14" spans="8:18">
      <c r="I14" s="6"/>
      <c r="J14" s="7"/>
      <c r="K14" s="7"/>
      <c r="L14" s="7"/>
      <c r="M14" s="7"/>
      <c r="N14" s="7"/>
      <c r="O14" s="7"/>
      <c r="P14" s="7"/>
      <c r="Q14" s="7"/>
      <c r="R14" s="8"/>
    </row>
    <row r="15" spans="8:18">
      <c r="I15" s="6"/>
      <c r="J15" s="7"/>
      <c r="K15" s="7"/>
      <c r="L15" s="7"/>
      <c r="M15" s="7"/>
      <c r="N15" s="7"/>
      <c r="O15" s="7"/>
      <c r="P15" s="7"/>
      <c r="Q15" s="7"/>
      <c r="R15" s="8"/>
    </row>
    <row r="16" spans="8:18" ht="26.25">
      <c r="I16" s="6"/>
      <c r="J16" s="24" t="s">
        <v>116</v>
      </c>
      <c r="K16" s="7"/>
      <c r="L16" s="197">
        <f>INDEX('[1]banco de dados_compras'!M5:M24,MATCH('[1]COMP|MATERIAPRIMA'!L10,'[1]banco de dados_compras'!F5:F24,0))</f>
        <v>7</v>
      </c>
      <c r="M16" s="7"/>
      <c r="N16" s="7"/>
      <c r="O16" s="7"/>
      <c r="P16" s="7"/>
      <c r="Q16" s="7"/>
      <c r="R16" s="8"/>
    </row>
    <row r="17" spans="9:18">
      <c r="I17" s="6"/>
      <c r="J17" s="7"/>
      <c r="K17" s="7"/>
      <c r="L17" s="7"/>
      <c r="M17" s="7"/>
      <c r="N17" s="7"/>
      <c r="O17" s="7"/>
      <c r="P17" s="7"/>
      <c r="Q17" s="7"/>
      <c r="R17" s="8"/>
    </row>
    <row r="18" spans="9:18">
      <c r="I18" s="6"/>
      <c r="J18" s="7"/>
      <c r="K18" s="7"/>
      <c r="L18" s="7"/>
      <c r="M18" s="7"/>
      <c r="N18" s="7"/>
      <c r="O18" s="7"/>
      <c r="P18" s="7"/>
      <c r="Q18" s="7"/>
      <c r="R18" s="8"/>
    </row>
    <row r="19" spans="9:18" ht="21">
      <c r="I19" s="203" t="s">
        <v>117</v>
      </c>
      <c r="J19" s="7"/>
      <c r="K19" s="7"/>
      <c r="L19" s="199" t="s">
        <v>118</v>
      </c>
      <c r="M19" s="7"/>
      <c r="N19" s="7"/>
      <c r="O19" s="7"/>
      <c r="P19" s="7"/>
      <c r="Q19" s="7"/>
      <c r="R19" s="8"/>
    </row>
    <row r="20" spans="9:18">
      <c r="I20" s="6"/>
      <c r="J20" s="7"/>
      <c r="K20" s="7"/>
      <c r="L20" s="7"/>
      <c r="M20" s="7"/>
      <c r="N20" s="7"/>
      <c r="O20" s="7"/>
      <c r="P20" s="7"/>
      <c r="Q20" s="7"/>
      <c r="R20" s="8"/>
    </row>
    <row r="21" spans="9:18">
      <c r="I21" s="6" t="s">
        <v>119</v>
      </c>
      <c r="J21" s="200" t="str">
        <f>INDEX('[1]banco de dados_compras'!E5:E24,MATCH('[1]COMP|MATERIAPRIMA'!L10,'[1]banco de dados_compras'!F5:F24,0))</f>
        <v>100-10</v>
      </c>
      <c r="K21" s="7"/>
      <c r="L21" s="197">
        <f>'[1]NOTA|MAT_PRIMA'!N2</f>
        <v>1177</v>
      </c>
      <c r="M21" s="7" t="s">
        <v>120</v>
      </c>
      <c r="N21" s="7"/>
      <c r="O21" s="7"/>
      <c r="P21" s="7"/>
      <c r="Q21" s="7"/>
      <c r="R21" s="8"/>
    </row>
    <row r="22" spans="9:18">
      <c r="I22" s="6"/>
      <c r="J22" s="7"/>
      <c r="K22" s="7"/>
      <c r="L22" s="7"/>
      <c r="M22" s="7"/>
      <c r="N22" s="7"/>
      <c r="O22" s="7"/>
      <c r="P22" s="7"/>
      <c r="Q22" s="7"/>
      <c r="R22" s="8"/>
    </row>
    <row r="23" spans="9:18">
      <c r="I23" s="6" t="s">
        <v>121</v>
      </c>
      <c r="J23" s="200" t="str">
        <f>INDEX('[1]banco de dados_compras'!G5:G24,MATCH('[1]COMP|MATERIAPRIMA'!L10,'[1]banco de dados_compras'!F5:F24,0))</f>
        <v>BioCultivar</v>
      </c>
      <c r="K23" s="7"/>
      <c r="L23" s="197">
        <f>'[1]NOTA|MAT_PRIMA'!N3</f>
        <v>5323</v>
      </c>
      <c r="M23" s="7" t="s">
        <v>122</v>
      </c>
      <c r="N23" s="7"/>
      <c r="O23" s="7"/>
      <c r="P23" s="7"/>
      <c r="Q23" s="7"/>
      <c r="R23" s="8"/>
    </row>
    <row r="24" spans="9:18">
      <c r="I24" s="6"/>
      <c r="J24" s="7"/>
      <c r="K24" s="7"/>
      <c r="L24" s="7"/>
      <c r="M24" s="7"/>
      <c r="N24" s="7"/>
      <c r="O24" s="7"/>
      <c r="P24" s="7"/>
      <c r="Q24" s="7"/>
      <c r="R24" s="8"/>
    </row>
    <row r="25" spans="9:18">
      <c r="I25" s="6" t="s">
        <v>123</v>
      </c>
      <c r="J25" s="200" t="str">
        <f>INDEX('[1]banco de dados_compras'!H5:H24,MATCH('[1]COMP|MATERIAPRIMA'!L10,'[1]banco de dados_compras'!F5:F24,0))</f>
        <v>(55) 5678-9012</v>
      </c>
      <c r="K25" s="7"/>
      <c r="L25" s="7"/>
      <c r="M25" s="7"/>
      <c r="N25" s="7"/>
      <c r="O25" s="7"/>
      <c r="P25" s="7"/>
      <c r="Q25" s="7"/>
      <c r="R25" s="8"/>
    </row>
    <row r="26" spans="9:18">
      <c r="I26" s="6"/>
      <c r="J26" s="7"/>
      <c r="K26" s="7"/>
      <c r="L26" s="7"/>
      <c r="M26" s="7"/>
      <c r="N26" s="7"/>
      <c r="O26" s="7"/>
      <c r="P26" s="7"/>
      <c r="Q26" s="7"/>
      <c r="R26" s="8"/>
    </row>
    <row r="27" spans="9:18">
      <c r="I27" s="6" t="s">
        <v>124</v>
      </c>
      <c r="J27" s="200" t="str">
        <f>INDEX('[1]banco de dados_compras'!I5:I24,MATCH('[1]COMP|MATERIAPRIMA'!L10,'[1]banco de dados_compras'!F5:F24,0))</f>
        <v>info@biocultivar.com</v>
      </c>
      <c r="K27" s="7"/>
      <c r="L27" s="7"/>
      <c r="M27" s="7"/>
      <c r="N27" s="7"/>
      <c r="O27" s="7"/>
      <c r="P27" s="7"/>
      <c r="Q27" s="7"/>
      <c r="R27" s="8"/>
    </row>
    <row r="28" spans="9:18">
      <c r="I28" s="6"/>
      <c r="J28" s="7"/>
      <c r="K28" s="7"/>
      <c r="L28" s="7"/>
      <c r="M28" s="7"/>
      <c r="N28" s="7"/>
      <c r="O28" s="7"/>
      <c r="P28" s="7"/>
      <c r="Q28" s="7"/>
      <c r="R28" s="8"/>
    </row>
    <row r="29" spans="9:18">
      <c r="I29" s="6" t="s">
        <v>125</v>
      </c>
      <c r="J29" s="200" t="str">
        <f>INDEX('[1]banco de dados_compras'!N5:N24,MATCH('[1]COMP|MATERIAPRIMA'!L10,'[1]banco de dados_compras'!F5:F24,0))</f>
        <v>Avenida Almirante Barroso, 575 - Centro, Belém, PA</v>
      </c>
      <c r="K29" s="7"/>
      <c r="L29" s="7"/>
      <c r="M29" s="7"/>
      <c r="N29" s="7"/>
      <c r="O29" s="7"/>
      <c r="P29" s="7"/>
      <c r="Q29" s="7"/>
      <c r="R29" s="8"/>
    </row>
    <row r="30" spans="9:18">
      <c r="I30" s="6"/>
      <c r="J30" s="7"/>
      <c r="K30" s="7"/>
      <c r="L30" s="7"/>
      <c r="M30" s="7"/>
      <c r="N30" s="7"/>
      <c r="O30" s="7"/>
      <c r="P30" s="7"/>
      <c r="Q30" s="7"/>
      <c r="R30" s="8"/>
    </row>
    <row r="31" spans="9:18">
      <c r="I31" s="6" t="s">
        <v>126</v>
      </c>
      <c r="J31" s="200" t="str">
        <f>INDEX('[1]banco de dados_compras'!J5:J24,MATCH('[1]COMP|MATERIAPRIMA'!L10,'[1]banco de dados_compras'!F5:F24,0))</f>
        <v>KG</v>
      </c>
      <c r="K31" s="7"/>
      <c r="L31" s="7"/>
      <c r="M31" s="7"/>
      <c r="N31" s="7"/>
      <c r="O31" s="7"/>
      <c r="P31" s="7"/>
      <c r="Q31" s="7"/>
      <c r="R31" s="8"/>
    </row>
    <row r="32" spans="9:18">
      <c r="I32" s="6"/>
      <c r="J32" s="7"/>
      <c r="K32" s="7"/>
      <c r="L32" s="7"/>
      <c r="M32" s="7"/>
      <c r="N32" s="7"/>
      <c r="O32" s="7"/>
      <c r="P32" s="7"/>
      <c r="Q32" s="7"/>
      <c r="R32" s="8"/>
    </row>
    <row r="33" spans="9:18">
      <c r="I33" s="6" t="s">
        <v>127</v>
      </c>
      <c r="J33" s="204">
        <f>INDEX('[1]banco de dados_compras'!K5:K24,MATCH('[1]COMP|MATERIAPRIMA'!L10,'[1]banco de dados_compras'!F5:F24,0))</f>
        <v>7</v>
      </c>
      <c r="K33" s="7"/>
      <c r="L33" s="7"/>
      <c r="M33" s="7"/>
      <c r="N33" s="7"/>
      <c r="O33" s="7"/>
      <c r="P33" s="7"/>
      <c r="Q33" s="7"/>
      <c r="R33" s="8"/>
    </row>
    <row r="34" spans="9:18">
      <c r="I34" s="6"/>
      <c r="J34" s="7"/>
      <c r="K34" s="7"/>
      <c r="L34" s="7"/>
      <c r="M34" s="7"/>
      <c r="N34" s="7"/>
      <c r="O34" s="7"/>
      <c r="P34" s="7"/>
      <c r="Q34" s="7"/>
      <c r="R34" s="8"/>
    </row>
    <row r="35" spans="9:18">
      <c r="I35" s="6" t="s">
        <v>128</v>
      </c>
      <c r="J35" s="202">
        <f ca="1">TODAY()</f>
        <v>45449</v>
      </c>
      <c r="K35" s="7"/>
      <c r="L35" s="7"/>
      <c r="M35" s="7"/>
      <c r="N35" s="7"/>
      <c r="O35" s="7"/>
      <c r="P35" s="7"/>
      <c r="Q35" s="7"/>
      <c r="R35" s="8"/>
    </row>
    <row r="36" spans="9:18">
      <c r="I36" s="10"/>
      <c r="J36" s="11"/>
      <c r="K36" s="11"/>
      <c r="L36" s="11"/>
      <c r="M36" s="11"/>
      <c r="N36" s="11"/>
      <c r="O36" s="11"/>
      <c r="P36" s="11"/>
      <c r="Q36" s="11"/>
      <c r="R36" s="12"/>
    </row>
  </sheetData>
  <mergeCells count="1">
    <mergeCell ref="I5:M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 macro="[1]!Macro1">
                <anchor moveWithCells="1" sizeWithCells="1">
                  <from>
                    <xdr:col>11</xdr:col>
                    <xdr:colOff>1885950</xdr:colOff>
                    <xdr:row>27</xdr:row>
                    <xdr:rowOff>0</xdr:rowOff>
                  </from>
                  <to>
                    <xdr:col>17</xdr:col>
                    <xdr:colOff>933450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B7BF76-928A-4275-959C-DDADE527AF7B}">
          <x14:formula1>
            <xm:f>BD_COMPRAS!$F$5:$F$24</xm:f>
          </x14:formula1>
          <xm:sqref>L10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7DC8-F4BE-4C3C-9442-BF842AB2A0F5}">
  <sheetPr codeName="Planilha43"/>
  <dimension ref="D2:W37"/>
  <sheetViews>
    <sheetView topLeftCell="B1" workbookViewId="0">
      <selection activeCell="H23" sqref="H23:H34"/>
    </sheetView>
  </sheetViews>
  <sheetFormatPr defaultColWidth="9.140625" defaultRowHeight="15"/>
  <cols>
    <col min="1" max="3" width="9.140625" style="1"/>
    <col min="4" max="4" width="17.28515625" style="1" customWidth="1"/>
    <col min="5" max="5" width="32.42578125" style="172" customWidth="1"/>
    <col min="6" max="6" width="17.42578125" style="1" customWidth="1"/>
    <col min="7" max="7" width="15" style="1" customWidth="1"/>
    <col min="8" max="8" width="18.7109375" style="173" customWidth="1"/>
    <col min="9" max="9" width="11.42578125" style="1" customWidth="1"/>
    <col min="10" max="10" width="20.42578125" style="174" customWidth="1"/>
    <col min="11" max="11" width="16.28515625" style="164" customWidth="1"/>
    <col min="12" max="12" width="9.140625" style="1"/>
    <col min="13" max="13" width="13.7109375" style="1" customWidth="1"/>
    <col min="14" max="14" width="16.42578125" style="1" bestFit="1" customWidth="1"/>
    <col min="15" max="15" width="9.140625" style="1"/>
    <col min="16" max="16" width="8.85546875" style="1" customWidth="1"/>
    <col min="17" max="16384" width="9.140625" style="1"/>
  </cols>
  <sheetData>
    <row r="2" spans="4:23" ht="13.9" customHeight="1">
      <c r="M2" s="3" t="s">
        <v>120</v>
      </c>
      <c r="N2" s="220">
        <f>SUM(J:J)</f>
        <v>1177</v>
      </c>
    </row>
    <row r="3" spans="4:23" ht="14.45" customHeight="1">
      <c r="D3" s="284" t="s">
        <v>129</v>
      </c>
      <c r="E3" s="284"/>
      <c r="F3" s="284"/>
      <c r="G3" s="284"/>
      <c r="H3" s="284"/>
      <c r="I3" s="284"/>
      <c r="J3" s="284"/>
      <c r="K3" s="284"/>
      <c r="M3" s="10" t="s">
        <v>130</v>
      </c>
      <c r="N3" s="221">
        <f>(-SUM(J:J))+(-SUM('[1]NOTA|PRD_INT'!J:J))+(-SUM('[1]NOTA|FUNC'!J:J))+(50000)</f>
        <v>5323</v>
      </c>
    </row>
    <row r="4" spans="4:23" ht="13.9" customHeight="1">
      <c r="D4" s="284"/>
      <c r="E4" s="284"/>
      <c r="F4" s="284"/>
      <c r="G4" s="284"/>
      <c r="H4" s="284"/>
      <c r="I4" s="284"/>
      <c r="J4" s="284"/>
      <c r="K4" s="284"/>
    </row>
    <row r="5" spans="4:23" ht="30" customHeight="1">
      <c r="D5" s="165" t="s">
        <v>131</v>
      </c>
      <c r="E5" s="166" t="s">
        <v>113</v>
      </c>
      <c r="F5" s="167" t="s">
        <v>121</v>
      </c>
      <c r="G5" s="168" t="s">
        <v>132</v>
      </c>
      <c r="H5" s="169" t="s">
        <v>127</v>
      </c>
      <c r="I5" s="170" t="s">
        <v>133</v>
      </c>
      <c r="J5" s="171" t="s">
        <v>134</v>
      </c>
      <c r="K5" s="14" t="s">
        <v>135</v>
      </c>
    </row>
    <row r="6" spans="4:23" ht="15.75">
      <c r="D6" s="9"/>
      <c r="E6" s="178"/>
      <c r="F6" s="9"/>
      <c r="G6" s="9"/>
      <c r="H6" s="179"/>
      <c r="I6" s="9"/>
      <c r="J6" s="180"/>
      <c r="K6" s="14"/>
    </row>
    <row r="7" spans="4:23" ht="15.75">
      <c r="D7" s="9"/>
      <c r="E7" s="178"/>
      <c r="F7" s="9"/>
      <c r="G7" s="9"/>
      <c r="H7" s="179"/>
      <c r="I7" s="9"/>
      <c r="J7" s="180"/>
      <c r="K7" s="14"/>
      <c r="V7" s="175"/>
      <c r="W7" s="176"/>
    </row>
    <row r="8" spans="4:23" ht="15.75">
      <c r="D8" s="9" t="s">
        <v>136</v>
      </c>
      <c r="E8" s="178" t="s">
        <v>137</v>
      </c>
      <c r="F8" s="9" t="s">
        <v>138</v>
      </c>
      <c r="G8" s="9" t="s">
        <v>139</v>
      </c>
      <c r="H8" s="179">
        <v>7</v>
      </c>
      <c r="I8" s="9">
        <v>1</v>
      </c>
      <c r="J8" s="180">
        <v>7</v>
      </c>
      <c r="K8" s="14">
        <v>45447</v>
      </c>
    </row>
    <row r="9" spans="4:23" ht="15.75">
      <c r="D9" s="9" t="s">
        <v>140</v>
      </c>
      <c r="E9" s="178" t="s">
        <v>141</v>
      </c>
      <c r="F9" s="9" t="s">
        <v>142</v>
      </c>
      <c r="G9" s="9" t="s">
        <v>139</v>
      </c>
      <c r="H9" s="179">
        <v>15</v>
      </c>
      <c r="I9" s="9">
        <v>78</v>
      </c>
      <c r="J9" s="180">
        <v>1170</v>
      </c>
      <c r="K9" s="14">
        <v>45447</v>
      </c>
    </row>
    <row r="10" spans="4:23" ht="15.75">
      <c r="D10" s="9"/>
      <c r="E10" s="178"/>
      <c r="F10" s="9"/>
      <c r="G10" s="9"/>
      <c r="H10" s="179"/>
      <c r="I10" s="9"/>
      <c r="J10" s="180"/>
      <c r="K10" s="14"/>
    </row>
    <row r="11" spans="4:23" ht="15.75">
      <c r="D11" s="9"/>
      <c r="E11" s="178"/>
      <c r="F11" s="9"/>
      <c r="G11" s="9"/>
      <c r="H11" s="179"/>
      <c r="I11" s="9"/>
      <c r="J11" s="180"/>
      <c r="K11" s="14"/>
    </row>
    <row r="12" spans="4:23" ht="15.75">
      <c r="D12" s="9"/>
      <c r="E12" s="178"/>
      <c r="F12" s="9"/>
      <c r="G12" s="9"/>
      <c r="H12" s="179"/>
      <c r="I12" s="9"/>
      <c r="J12" s="180"/>
      <c r="K12" s="14"/>
    </row>
    <row r="13" spans="4:23" ht="15.75">
      <c r="D13" s="9"/>
      <c r="E13" s="178"/>
      <c r="F13" s="9"/>
      <c r="G13" s="9"/>
      <c r="H13" s="179"/>
      <c r="I13" s="9"/>
      <c r="J13" s="180"/>
      <c r="K13" s="14"/>
    </row>
    <row r="14" spans="4:23" ht="15.75">
      <c r="D14" s="9"/>
      <c r="E14" s="178"/>
      <c r="F14" s="9"/>
      <c r="G14" s="9"/>
      <c r="H14" s="179"/>
      <c r="I14" s="9"/>
      <c r="J14" s="180"/>
      <c r="K14" s="14"/>
    </row>
    <row r="15" spans="4:23" ht="15.75">
      <c r="D15" s="9"/>
      <c r="E15" s="178"/>
      <c r="F15" s="9"/>
      <c r="G15" s="9"/>
      <c r="H15" s="179"/>
      <c r="I15" s="9"/>
      <c r="J15" s="180"/>
      <c r="K15" s="14"/>
    </row>
    <row r="16" spans="4:23" ht="15.75">
      <c r="D16" s="9"/>
      <c r="E16" s="178"/>
      <c r="F16" s="9"/>
      <c r="G16" s="9"/>
      <c r="H16" s="179"/>
      <c r="I16" s="9"/>
      <c r="J16" s="180"/>
      <c r="K16" s="14"/>
    </row>
    <row r="17" spans="4:11" ht="15.75">
      <c r="D17" s="9"/>
      <c r="E17" s="178"/>
      <c r="F17" s="9"/>
      <c r="G17" s="9"/>
      <c r="H17" s="179"/>
      <c r="I17" s="9"/>
      <c r="J17" s="180"/>
      <c r="K17" s="14"/>
    </row>
    <row r="18" spans="4:11" ht="15.75">
      <c r="D18" s="9"/>
      <c r="E18" s="178"/>
      <c r="F18" s="9"/>
      <c r="G18" s="9"/>
      <c r="H18" s="179"/>
      <c r="I18" s="9"/>
      <c r="J18" s="180"/>
      <c r="K18" s="14"/>
    </row>
    <row r="19" spans="4:11" ht="15.75">
      <c r="D19" s="9"/>
      <c r="E19" s="178"/>
      <c r="F19" s="9"/>
      <c r="G19" s="9"/>
      <c r="H19" s="179"/>
      <c r="I19" s="9"/>
      <c r="J19" s="180"/>
      <c r="K19" s="14"/>
    </row>
    <row r="20" spans="4:11" ht="15.75">
      <c r="D20" s="9"/>
      <c r="E20" s="178"/>
      <c r="F20" s="9"/>
      <c r="G20" s="9"/>
      <c r="H20" s="179"/>
      <c r="I20" s="9"/>
      <c r="J20" s="180"/>
      <c r="K20" s="14"/>
    </row>
    <row r="21" spans="4:11" ht="15.75">
      <c r="D21" s="9"/>
      <c r="E21" s="178"/>
      <c r="F21" s="9"/>
      <c r="G21" s="9"/>
      <c r="H21" s="179"/>
      <c r="I21" s="9"/>
      <c r="J21" s="180"/>
      <c r="K21" s="14"/>
    </row>
    <row r="22" spans="4:11" ht="15.75">
      <c r="D22" s="9"/>
      <c r="E22" s="178"/>
      <c r="F22" s="9"/>
      <c r="G22" s="9"/>
      <c r="H22" s="179"/>
      <c r="I22" s="9"/>
      <c r="J22" s="180"/>
      <c r="K22" s="14"/>
    </row>
    <row r="23" spans="4:11" ht="15.75">
      <c r="D23" s="9"/>
      <c r="E23" s="178"/>
      <c r="F23" s="9"/>
      <c r="G23" s="9"/>
      <c r="H23" s="179"/>
      <c r="I23" s="9"/>
      <c r="J23" s="180"/>
      <c r="K23" s="14"/>
    </row>
    <row r="24" spans="4:11" ht="15.75">
      <c r="D24" s="9"/>
      <c r="E24" s="178"/>
      <c r="F24" s="9"/>
      <c r="G24" s="9"/>
      <c r="H24" s="179"/>
      <c r="I24" s="9"/>
      <c r="J24" s="180"/>
      <c r="K24" s="14"/>
    </row>
    <row r="25" spans="4:11" ht="15.75">
      <c r="D25" s="9"/>
      <c r="E25" s="178"/>
      <c r="F25" s="9"/>
      <c r="G25" s="9"/>
      <c r="H25" s="179"/>
      <c r="I25" s="9"/>
      <c r="J25" s="180"/>
      <c r="K25" s="14"/>
    </row>
    <row r="26" spans="4:11" ht="15.75">
      <c r="D26" s="9"/>
      <c r="E26" s="178"/>
      <c r="F26" s="9"/>
      <c r="G26" s="9"/>
      <c r="H26" s="179"/>
      <c r="I26" s="9"/>
      <c r="J26" s="180"/>
      <c r="K26" s="14"/>
    </row>
    <row r="27" spans="4:11" ht="15.75">
      <c r="D27" s="9"/>
      <c r="E27" s="178"/>
      <c r="F27" s="9"/>
      <c r="G27" s="9"/>
      <c r="H27" s="179"/>
      <c r="I27" s="9"/>
      <c r="J27" s="180"/>
      <c r="K27" s="14"/>
    </row>
    <row r="28" spans="4:11" ht="15.75">
      <c r="D28" s="9"/>
      <c r="E28" s="178"/>
      <c r="F28" s="9"/>
      <c r="G28" s="9"/>
      <c r="H28" s="179"/>
      <c r="I28" s="9"/>
      <c r="J28" s="180"/>
      <c r="K28" s="14"/>
    </row>
    <row r="29" spans="4:11" ht="15.75">
      <c r="D29" s="9"/>
      <c r="E29" s="178"/>
      <c r="F29" s="9"/>
      <c r="G29" s="9"/>
      <c r="H29" s="179"/>
      <c r="I29" s="9"/>
      <c r="J29" s="180"/>
      <c r="K29" s="14"/>
    </row>
    <row r="30" spans="4:11" ht="15.75">
      <c r="D30" s="9"/>
      <c r="E30" s="178"/>
      <c r="F30" s="9"/>
      <c r="G30" s="9"/>
      <c r="H30" s="179"/>
      <c r="I30" s="9"/>
      <c r="J30" s="180"/>
      <c r="K30" s="14"/>
    </row>
    <row r="31" spans="4:11" ht="15.75">
      <c r="D31" s="9"/>
      <c r="E31" s="178"/>
      <c r="F31" s="9"/>
      <c r="G31" s="9"/>
      <c r="H31" s="179"/>
      <c r="I31" s="9"/>
      <c r="J31" s="180"/>
      <c r="K31" s="14"/>
    </row>
    <row r="32" spans="4:11" ht="15.75">
      <c r="D32" s="9"/>
      <c r="E32" s="178"/>
      <c r="F32" s="9"/>
      <c r="G32" s="9"/>
      <c r="H32" s="179"/>
      <c r="I32" s="9"/>
      <c r="J32" s="180"/>
      <c r="K32" s="14"/>
    </row>
    <row r="33" spans="4:11" ht="15.75">
      <c r="D33" s="9"/>
      <c r="E33" s="178"/>
      <c r="F33" s="9"/>
      <c r="G33" s="9"/>
      <c r="H33" s="179"/>
      <c r="I33" s="9"/>
      <c r="J33" s="180"/>
      <c r="K33" s="14"/>
    </row>
    <row r="34" spans="4:11">
      <c r="D34" s="9"/>
      <c r="E34" s="181"/>
      <c r="F34" s="9"/>
      <c r="G34" s="9"/>
      <c r="H34" s="179"/>
      <c r="I34" s="9"/>
      <c r="J34" s="180"/>
      <c r="K34" s="14"/>
    </row>
    <row r="35" spans="4:11">
      <c r="D35" s="9"/>
      <c r="E35" s="181"/>
      <c r="F35" s="9"/>
      <c r="G35" s="9"/>
      <c r="H35" s="179"/>
      <c r="I35" s="9"/>
      <c r="J35" s="180"/>
      <c r="K35" s="14"/>
    </row>
    <row r="37" spans="4:11" ht="13.9" customHeight="1">
      <c r="D37" s="175"/>
      <c r="F37" s="175"/>
      <c r="G37" s="175"/>
      <c r="H37" s="177"/>
      <c r="I37" s="176"/>
    </row>
  </sheetData>
  <mergeCells count="1">
    <mergeCell ref="D3:K4"/>
  </mergeCells>
  <pageMargins left="0.511811024" right="0.511811024" top="0.78740157499999996" bottom="0.78740157499999996" header="0.31496062000000002" footer="0.31496062000000002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00EAF-1975-4AF7-BB48-97F0D857FE81}">
  <sheetPr codeName="Planilha46"/>
  <dimension ref="A1:AM43"/>
  <sheetViews>
    <sheetView workbookViewId="0">
      <selection activeCell="V16" sqref="V16"/>
    </sheetView>
  </sheetViews>
  <sheetFormatPr defaultRowHeight="15"/>
  <cols>
    <col min="1" max="1" width="2" customWidth="1"/>
    <col min="2" max="2" width="15.28515625" customWidth="1"/>
    <col min="3" max="3" width="9.140625" hidden="1" customWidth="1"/>
    <col min="4" max="4" width="2.85546875" customWidth="1"/>
    <col min="5" max="5" width="9.140625" hidden="1" customWidth="1"/>
    <col min="6" max="6" width="0.85546875" customWidth="1"/>
    <col min="7" max="7" width="6.42578125" hidden="1" customWidth="1"/>
    <col min="8" max="8" width="9.140625" hidden="1" customWidth="1"/>
    <col min="9" max="9" width="11.28515625" customWidth="1"/>
    <col min="10" max="10" width="25" customWidth="1"/>
    <col min="11" max="11" width="35.42578125" customWidth="1"/>
    <col min="12" max="12" width="1.85546875" customWidth="1"/>
    <col min="13" max="13" width="43.42578125" customWidth="1"/>
    <col min="14" max="14" width="10.7109375" customWidth="1"/>
    <col min="15" max="15" width="4" customWidth="1"/>
    <col min="16" max="16" width="4.7109375" customWidth="1"/>
    <col min="18" max="18" width="2.85546875" customWidth="1"/>
  </cols>
  <sheetData>
    <row r="1" spans="1:39" ht="6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</row>
    <row r="2" spans="1:39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</row>
    <row r="3" spans="1:39" hidden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  <row r="4" spans="1:39">
      <c r="A4" s="1"/>
      <c r="B4" s="1"/>
      <c r="C4" s="1"/>
      <c r="D4" s="1"/>
      <c r="E4" s="1"/>
      <c r="F4" s="1"/>
      <c r="G4" s="1"/>
      <c r="H4" s="1"/>
      <c r="I4" s="212"/>
      <c r="J4" s="285" t="s">
        <v>143</v>
      </c>
      <c r="K4" s="286"/>
      <c r="L4" s="286"/>
      <c r="M4" s="286"/>
      <c r="N4" s="213"/>
      <c r="O4" s="213"/>
      <c r="P4" s="213"/>
      <c r="Q4" s="213"/>
      <c r="R4" s="214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</row>
    <row r="5" spans="1:39">
      <c r="A5" s="1"/>
      <c r="B5" s="1"/>
      <c r="C5" s="1"/>
      <c r="D5" s="1"/>
      <c r="E5" s="1"/>
      <c r="F5" s="1"/>
      <c r="G5" s="1"/>
      <c r="H5" s="1"/>
      <c r="I5" s="215"/>
      <c r="J5" s="287"/>
      <c r="K5" s="287"/>
      <c r="L5" s="287"/>
      <c r="M5" s="287"/>
      <c r="N5" s="216"/>
      <c r="O5" s="216"/>
      <c r="P5" s="216"/>
      <c r="Q5" s="216"/>
      <c r="R5" s="217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</row>
    <row r="6" spans="1:39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</row>
    <row r="7" spans="1:39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</row>
    <row r="8" spans="1:39">
      <c r="A8" s="1"/>
      <c r="B8" s="1"/>
      <c r="C8" s="1"/>
      <c r="D8" s="1"/>
      <c r="E8" s="1"/>
      <c r="F8" s="1"/>
      <c r="G8" s="1"/>
      <c r="H8" s="1"/>
      <c r="I8" s="3"/>
      <c r="J8" s="4"/>
      <c r="K8" s="4"/>
      <c r="L8" s="4"/>
      <c r="M8" s="4"/>
      <c r="N8" s="4"/>
      <c r="O8" s="4"/>
      <c r="P8" s="4"/>
      <c r="Q8" s="4"/>
      <c r="R8" s="5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39">
      <c r="A9" s="1"/>
      <c r="B9" s="1"/>
      <c r="C9" s="1"/>
      <c r="D9" s="1"/>
      <c r="E9" s="1"/>
      <c r="F9" s="1"/>
      <c r="G9" s="1"/>
      <c r="H9" s="1"/>
      <c r="I9" s="6"/>
      <c r="J9" s="7"/>
      <c r="K9" s="7"/>
      <c r="L9" s="7"/>
      <c r="M9" s="7"/>
      <c r="N9" s="7"/>
      <c r="O9" s="7"/>
      <c r="P9" s="7"/>
      <c r="Q9" s="7"/>
      <c r="R9" s="8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</row>
    <row r="10" spans="1:39" ht="26.25">
      <c r="A10" s="1"/>
      <c r="B10" s="1"/>
      <c r="C10" s="1"/>
      <c r="D10" s="1"/>
      <c r="E10" s="1"/>
      <c r="F10" s="1"/>
      <c r="G10" s="1"/>
      <c r="H10" s="1"/>
      <c r="I10" s="6"/>
      <c r="J10" s="7"/>
      <c r="K10" s="24" t="s">
        <v>113</v>
      </c>
      <c r="L10" s="7"/>
      <c r="M10" s="109" t="s">
        <v>144</v>
      </c>
      <c r="N10" s="7"/>
      <c r="O10" s="7"/>
      <c r="P10" s="7"/>
      <c r="Q10" s="7"/>
      <c r="R10" s="8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</row>
    <row r="11" spans="1:39">
      <c r="A11" s="1"/>
      <c r="B11" s="1"/>
      <c r="C11" s="1"/>
      <c r="D11" s="1"/>
      <c r="E11" s="1"/>
      <c r="F11" s="1"/>
      <c r="G11" s="1"/>
      <c r="H11" s="1"/>
      <c r="I11" s="6"/>
      <c r="J11" s="7"/>
      <c r="K11" s="7"/>
      <c r="L11" s="7"/>
      <c r="M11" s="7"/>
      <c r="N11" s="7"/>
      <c r="O11" s="7"/>
      <c r="P11" s="7"/>
      <c r="Q11" s="7"/>
      <c r="R11" s="8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39">
      <c r="A12" s="1"/>
      <c r="B12" s="1"/>
      <c r="C12" s="1"/>
      <c r="D12" s="1"/>
      <c r="E12" s="1"/>
      <c r="F12" s="1"/>
      <c r="G12" s="1"/>
      <c r="H12" s="1"/>
      <c r="I12" s="6"/>
      <c r="J12" s="7"/>
      <c r="K12" s="7"/>
      <c r="L12" s="7"/>
      <c r="M12" s="7"/>
      <c r="N12" s="7"/>
      <c r="O12" s="7"/>
      <c r="P12" s="7"/>
      <c r="Q12" s="7"/>
      <c r="R12" s="8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</row>
    <row r="13" spans="1:39" ht="26.25">
      <c r="A13" s="1"/>
      <c r="B13" s="1"/>
      <c r="C13" s="1"/>
      <c r="D13" s="1"/>
      <c r="E13" s="1"/>
      <c r="F13" s="1"/>
      <c r="G13" s="1"/>
      <c r="H13" s="1"/>
      <c r="I13" s="6"/>
      <c r="J13" s="7"/>
      <c r="K13" s="24" t="s">
        <v>115</v>
      </c>
      <c r="L13" s="7"/>
      <c r="M13" s="163">
        <v>7</v>
      </c>
      <c r="N13" s="7"/>
      <c r="O13" s="7"/>
      <c r="P13" s="7"/>
      <c r="Q13" s="7"/>
      <c r="R13" s="8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</row>
    <row r="14" spans="1:39">
      <c r="A14" s="1"/>
      <c r="B14" s="1"/>
      <c r="C14" s="1"/>
      <c r="D14" s="1"/>
      <c r="E14" s="1"/>
      <c r="F14" s="1"/>
      <c r="G14" s="1"/>
      <c r="H14" s="1"/>
      <c r="I14" s="6"/>
      <c r="J14" s="7"/>
      <c r="K14" s="7"/>
      <c r="L14" s="7"/>
      <c r="M14" s="7"/>
      <c r="N14" s="7"/>
      <c r="O14" s="7"/>
      <c r="P14" s="7"/>
      <c r="Q14" s="7"/>
      <c r="R14" s="8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</row>
    <row r="15" spans="1:39">
      <c r="A15" s="1"/>
      <c r="B15" s="1"/>
      <c r="C15" s="1"/>
      <c r="D15" s="1"/>
      <c r="E15" s="1"/>
      <c r="F15" s="1"/>
      <c r="G15" s="1"/>
      <c r="H15" s="1"/>
      <c r="I15" s="6"/>
      <c r="J15" s="7"/>
      <c r="K15" s="7"/>
      <c r="L15" s="7"/>
      <c r="M15" s="7"/>
      <c r="N15" s="7"/>
      <c r="O15" s="7"/>
      <c r="P15" s="7"/>
      <c r="Q15" s="7"/>
      <c r="R15" s="8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</row>
    <row r="16" spans="1:39" ht="26.25">
      <c r="A16" s="1"/>
      <c r="B16" s="1"/>
      <c r="C16" s="1"/>
      <c r="D16" s="1"/>
      <c r="E16" s="1"/>
      <c r="F16" s="1"/>
      <c r="G16" s="1"/>
      <c r="H16" s="1"/>
      <c r="I16" s="6"/>
      <c r="J16" s="7"/>
      <c r="K16" s="24" t="s">
        <v>116</v>
      </c>
      <c r="L16" s="7"/>
      <c r="M16" s="197">
        <f>INDEX('[1]banco de dados_compras'!M39:M74,MATCH('[1]COMP|PRD_INT'!M10,'[1]banco de dados_compras'!F39:F73,0))</f>
        <v>21000</v>
      </c>
      <c r="N16" s="7"/>
      <c r="O16" s="7"/>
      <c r="P16" s="7"/>
      <c r="Q16" s="7"/>
      <c r="R16" s="8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</row>
    <row r="17" spans="1:39">
      <c r="A17" s="1"/>
      <c r="B17" s="1"/>
      <c r="C17" s="1"/>
      <c r="D17" s="1"/>
      <c r="E17" s="1"/>
      <c r="F17" s="1"/>
      <c r="G17" s="1"/>
      <c r="H17" s="1"/>
      <c r="I17" s="6"/>
      <c r="J17" s="7"/>
      <c r="K17" s="7"/>
      <c r="L17" s="7"/>
      <c r="M17" s="7"/>
      <c r="N17" s="7"/>
      <c r="O17" s="7"/>
      <c r="P17" s="7"/>
      <c r="Q17" s="7"/>
      <c r="R17" s="8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</row>
    <row r="18" spans="1:39">
      <c r="A18" s="1"/>
      <c r="B18" s="1"/>
      <c r="C18" s="1"/>
      <c r="D18" s="1"/>
      <c r="E18" s="1"/>
      <c r="F18" s="1"/>
      <c r="G18" s="1"/>
      <c r="H18" s="1"/>
      <c r="I18" s="6"/>
      <c r="J18" s="7"/>
      <c r="K18" s="7"/>
      <c r="L18" s="7"/>
      <c r="M18" s="7"/>
      <c r="N18" s="7"/>
      <c r="O18" s="7"/>
      <c r="P18" s="7"/>
      <c r="Q18" s="7"/>
      <c r="R18" s="8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</row>
    <row r="19" spans="1:39" ht="21">
      <c r="A19" s="1"/>
      <c r="B19" s="1"/>
      <c r="C19" s="1"/>
      <c r="D19" s="1"/>
      <c r="E19" s="1"/>
      <c r="F19" s="1"/>
      <c r="G19" s="1"/>
      <c r="H19" s="1"/>
      <c r="I19" s="6"/>
      <c r="J19" s="198" t="s">
        <v>117</v>
      </c>
      <c r="K19" s="7"/>
      <c r="L19" s="7"/>
      <c r="M19" s="199" t="s">
        <v>118</v>
      </c>
      <c r="N19" s="7"/>
      <c r="O19" s="7"/>
      <c r="P19" s="7"/>
      <c r="Q19" s="7"/>
      <c r="R19" s="8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</row>
    <row r="20" spans="1:39">
      <c r="A20" s="1"/>
      <c r="B20" s="1"/>
      <c r="C20" s="1"/>
      <c r="D20" s="1"/>
      <c r="E20" s="1"/>
      <c r="F20" s="1"/>
      <c r="G20" s="1"/>
      <c r="H20" s="1"/>
      <c r="I20" s="6"/>
      <c r="J20" s="7"/>
      <c r="K20" s="7"/>
      <c r="L20" s="7"/>
      <c r="M20" s="7"/>
      <c r="N20" s="7"/>
      <c r="O20" s="7"/>
      <c r="P20" s="7"/>
      <c r="Q20" s="7"/>
      <c r="R20" s="8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</row>
    <row r="21" spans="1:39">
      <c r="A21" s="1"/>
      <c r="B21" s="1"/>
      <c r="C21" s="1"/>
      <c r="D21" s="1"/>
      <c r="E21" s="1"/>
      <c r="F21" s="1"/>
      <c r="G21" s="1"/>
      <c r="H21" s="1"/>
      <c r="I21" s="6"/>
      <c r="J21" s="7" t="s">
        <v>119</v>
      </c>
      <c r="K21" s="200" t="str">
        <f>INDEX('[1]banco de dados_compras'!E39:E73,MATCH(M10,'[1]banco de dados_compras'!F39:F73,0))</f>
        <v>100-50</v>
      </c>
      <c r="L21" s="7"/>
      <c r="M21" s="197">
        <f>'[1]NOTA|PRD_INT'!N2</f>
        <v>42000</v>
      </c>
      <c r="N21" s="7" t="s">
        <v>120</v>
      </c>
      <c r="O21" s="7"/>
      <c r="P21" s="7"/>
      <c r="Q21" s="7"/>
      <c r="R21" s="8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</row>
    <row r="22" spans="1:39">
      <c r="A22" s="1"/>
      <c r="B22" s="1"/>
      <c r="C22" s="1"/>
      <c r="D22" s="1"/>
      <c r="E22" s="1"/>
      <c r="F22" s="1"/>
      <c r="G22" s="1"/>
      <c r="H22" s="1"/>
      <c r="I22" s="6"/>
      <c r="J22" s="7"/>
      <c r="K22" s="7"/>
      <c r="L22" s="7"/>
      <c r="M22" s="7"/>
      <c r="N22" s="7"/>
      <c r="O22" s="7"/>
      <c r="P22" s="7"/>
      <c r="Q22" s="7"/>
      <c r="R22" s="8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</row>
    <row r="23" spans="1:39">
      <c r="A23" s="1"/>
      <c r="B23" s="1"/>
      <c r="C23" s="1"/>
      <c r="D23" s="1"/>
      <c r="E23" s="1"/>
      <c r="F23" s="1"/>
      <c r="G23" s="1"/>
      <c r="H23" s="1"/>
      <c r="I23" s="6"/>
      <c r="J23" s="7" t="s">
        <v>121</v>
      </c>
      <c r="K23" s="200" t="str">
        <f>INDEX('[1]banco de dados_compras'!G39:G73,MATCH('[1]COMP|PRD_INT'!M10,'[1]banco de dados_compras'!F39:F73,0))</f>
        <v>PrintMaster Supplies</v>
      </c>
      <c r="L23" s="7"/>
      <c r="M23" s="197">
        <f>'[1]NOTA|MAT_PRIMA'!N3</f>
        <v>5323</v>
      </c>
      <c r="N23" s="7" t="s">
        <v>122</v>
      </c>
      <c r="O23" s="7"/>
      <c r="P23" s="7"/>
      <c r="Q23" s="7"/>
      <c r="R23" s="8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</row>
    <row r="24" spans="1:39">
      <c r="A24" s="1"/>
      <c r="B24" s="1"/>
      <c r="C24" s="1"/>
      <c r="D24" s="1"/>
      <c r="E24" s="1"/>
      <c r="F24" s="1"/>
      <c r="G24" s="1"/>
      <c r="H24" s="1"/>
      <c r="I24" s="6"/>
      <c r="J24" s="7"/>
      <c r="K24" s="7"/>
      <c r="L24" s="7"/>
      <c r="M24" s="7"/>
      <c r="N24" s="7"/>
      <c r="O24" s="7"/>
      <c r="P24" s="7"/>
      <c r="Q24" s="7"/>
      <c r="R24" s="8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</row>
    <row r="25" spans="1:39">
      <c r="A25" s="1"/>
      <c r="B25" s="1"/>
      <c r="C25" s="1"/>
      <c r="D25" s="1"/>
      <c r="E25" s="1"/>
      <c r="F25" s="1"/>
      <c r="G25" s="1"/>
      <c r="H25" s="1"/>
      <c r="I25" s="6"/>
      <c r="J25" s="7" t="s">
        <v>123</v>
      </c>
      <c r="K25" s="200" t="str">
        <f>INDEX('[1]banco de dados_compras'!H39:H73,MATCH('[1]COMP|PRD_INT'!M10,'[1]banco de dados_compras'!F39:F73,0))</f>
        <v>(12) 80123-4567</v>
      </c>
      <c r="L25" s="7"/>
      <c r="M25" s="7"/>
      <c r="N25" s="7"/>
      <c r="O25" s="7"/>
      <c r="P25" s="7"/>
      <c r="Q25" s="7"/>
      <c r="R25" s="8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</row>
    <row r="26" spans="1:39">
      <c r="A26" s="1"/>
      <c r="B26" s="1"/>
      <c r="C26" s="1"/>
      <c r="D26" s="1"/>
      <c r="E26" s="1"/>
      <c r="F26" s="1"/>
      <c r="G26" s="1"/>
      <c r="H26" s="1"/>
      <c r="I26" s="6"/>
      <c r="J26" s="7"/>
      <c r="K26" s="7"/>
      <c r="L26" s="7"/>
      <c r="M26" s="7"/>
      <c r="N26" s="7"/>
      <c r="O26" s="7"/>
      <c r="P26" s="7"/>
      <c r="Q26" s="7"/>
      <c r="R26" s="8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</row>
    <row r="27" spans="1:39">
      <c r="A27" s="1"/>
      <c r="B27" s="1"/>
      <c r="C27" s="1"/>
      <c r="D27" s="1"/>
      <c r="E27" s="1"/>
      <c r="F27" s="1"/>
      <c r="G27" s="1"/>
      <c r="H27" s="1"/>
      <c r="I27" s="6"/>
      <c r="J27" s="7" t="s">
        <v>124</v>
      </c>
      <c r="K27" s="200" t="str">
        <f>INDEX('[1]banco de dados_compras'!I39:I73,MATCH('[1]COMP|PRD_INT'!M10,'[1]banco de dados_compras'!F39:F73,0))</f>
        <v>vendas@printmaster.com</v>
      </c>
      <c r="L27" s="7"/>
      <c r="M27" s="7"/>
      <c r="N27" s="7"/>
      <c r="O27" s="7"/>
      <c r="P27" s="7"/>
      <c r="Q27" s="7"/>
      <c r="R27" s="8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</row>
    <row r="28" spans="1:39">
      <c r="A28" s="1"/>
      <c r="B28" s="1"/>
      <c r="C28" s="1"/>
      <c r="D28" s="1"/>
      <c r="E28" s="1"/>
      <c r="F28" s="1"/>
      <c r="G28" s="1"/>
      <c r="H28" s="1"/>
      <c r="I28" s="6"/>
      <c r="J28" s="7"/>
      <c r="K28" s="7"/>
      <c r="L28" s="7"/>
      <c r="M28" s="7"/>
      <c r="N28" s="7"/>
      <c r="O28" s="7"/>
      <c r="P28" s="7"/>
      <c r="Q28" s="7"/>
      <c r="R28" s="8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</row>
    <row r="29" spans="1:39">
      <c r="A29" s="1"/>
      <c r="B29" s="1"/>
      <c r="C29" s="1"/>
      <c r="D29" s="1"/>
      <c r="E29" s="1"/>
      <c r="F29" s="1"/>
      <c r="G29" s="1"/>
      <c r="H29" s="1"/>
      <c r="I29" s="6"/>
      <c r="J29" s="7" t="s">
        <v>125</v>
      </c>
      <c r="K29" s="200" t="str">
        <f>INDEX('[1]banco de dados_compras'!N39:N74,MATCH('[1]COMP|PRD_INT'!M10,'[1]banco de dados_compras'!F39:F73,0))</f>
        <v>Rua da Independência, 707 - Liberdade, Salvador, BA</v>
      </c>
      <c r="L29" s="7"/>
      <c r="M29" s="7"/>
      <c r="N29" s="7"/>
      <c r="O29" s="7"/>
      <c r="P29" s="7"/>
      <c r="Q29" s="7"/>
      <c r="R29" s="8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</row>
    <row r="30" spans="1:39">
      <c r="A30" s="1"/>
      <c r="B30" s="1"/>
      <c r="C30" s="1"/>
      <c r="D30" s="1"/>
      <c r="E30" s="1"/>
      <c r="F30" s="1"/>
      <c r="G30" s="1"/>
      <c r="H30" s="1"/>
      <c r="I30" s="6"/>
      <c r="J30" s="7"/>
      <c r="K30" s="7"/>
      <c r="L30" s="7"/>
      <c r="M30" s="7"/>
      <c r="N30" s="7"/>
      <c r="O30" s="7"/>
      <c r="P30" s="7"/>
      <c r="Q30" s="7"/>
      <c r="R30" s="8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</row>
    <row r="31" spans="1:39">
      <c r="A31" s="1"/>
      <c r="B31" s="1"/>
      <c r="C31" s="1"/>
      <c r="D31" s="1"/>
      <c r="E31" s="1"/>
      <c r="F31" s="1"/>
      <c r="G31" s="1"/>
      <c r="H31" s="1"/>
      <c r="I31" s="6"/>
      <c r="J31" s="7" t="s">
        <v>145</v>
      </c>
      <c r="K31" s="200" t="str">
        <f>INDEX('[1]banco de dados_compras'!J39:J73,MATCH('[1]COMP|PRD_INT'!M10,'[1]banco de dados_compras'!F39:F73,0))</f>
        <v>Material de Escritório</v>
      </c>
      <c r="L31" s="7"/>
      <c r="M31" s="7"/>
      <c r="N31" s="7"/>
      <c r="O31" s="7"/>
      <c r="P31" s="7"/>
      <c r="Q31" s="7"/>
      <c r="R31" s="8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</row>
    <row r="32" spans="1:39">
      <c r="A32" s="1"/>
      <c r="B32" s="1"/>
      <c r="C32" s="1"/>
      <c r="D32" s="1"/>
      <c r="E32" s="1"/>
      <c r="F32" s="1"/>
      <c r="G32" s="1"/>
      <c r="H32" s="1"/>
      <c r="I32" s="6"/>
      <c r="J32" s="7"/>
      <c r="K32" s="7"/>
      <c r="L32" s="7"/>
      <c r="M32" s="7"/>
      <c r="N32" s="7"/>
      <c r="O32" s="7"/>
      <c r="P32" s="7"/>
      <c r="Q32" s="7"/>
      <c r="R32" s="8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</row>
    <row r="33" spans="1:39">
      <c r="A33" s="1"/>
      <c r="B33" s="1"/>
      <c r="C33" s="1"/>
      <c r="D33" s="1"/>
      <c r="E33" s="1"/>
      <c r="F33" s="1"/>
      <c r="G33" s="1"/>
      <c r="H33" s="1"/>
      <c r="I33" s="6"/>
      <c r="J33" s="7" t="s">
        <v>127</v>
      </c>
      <c r="K33" s="201">
        <f>INDEX('[1]banco de dados_compras'!K39:K73,MATCH('[1]COMP|PRD_INT'!M10,'[1]banco de dados_compras'!F39:F73,0))</f>
        <v>3000</v>
      </c>
      <c r="L33" s="7"/>
      <c r="M33" s="7"/>
      <c r="N33" s="7"/>
      <c r="O33" s="7"/>
      <c r="P33" s="7"/>
      <c r="Q33" s="7"/>
      <c r="R33" s="8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</row>
    <row r="34" spans="1:39">
      <c r="A34" s="1"/>
      <c r="B34" s="1"/>
      <c r="C34" s="1"/>
      <c r="D34" s="1"/>
      <c r="E34" s="1"/>
      <c r="F34" s="1"/>
      <c r="G34" s="1"/>
      <c r="H34" s="1"/>
      <c r="I34" s="6"/>
      <c r="J34" s="7"/>
      <c r="K34" s="7"/>
      <c r="L34" s="7"/>
      <c r="M34" s="7"/>
      <c r="N34" s="7"/>
      <c r="O34" s="7"/>
      <c r="P34" s="7"/>
      <c r="Q34" s="7"/>
      <c r="R34" s="8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</row>
    <row r="35" spans="1:39">
      <c r="A35" s="1"/>
      <c r="B35" s="1"/>
      <c r="C35" s="1"/>
      <c r="D35" s="1"/>
      <c r="E35" s="1"/>
      <c r="F35" s="1"/>
      <c r="G35" s="1"/>
      <c r="H35" s="1"/>
      <c r="I35" s="6"/>
      <c r="J35" s="7" t="s">
        <v>128</v>
      </c>
      <c r="K35" s="202">
        <f ca="1">TODAY()</f>
        <v>45449</v>
      </c>
      <c r="L35" s="7"/>
      <c r="M35" s="7"/>
      <c r="N35" s="7"/>
      <c r="O35" s="7"/>
      <c r="P35" s="7"/>
      <c r="Q35" s="7"/>
      <c r="R35" s="8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</row>
    <row r="36" spans="1:39">
      <c r="A36" s="1"/>
      <c r="B36" s="1"/>
      <c r="C36" s="1"/>
      <c r="D36" s="1"/>
      <c r="E36" s="1"/>
      <c r="F36" s="1"/>
      <c r="G36" s="1"/>
      <c r="H36" s="1"/>
      <c r="I36" s="6"/>
      <c r="J36" s="7"/>
      <c r="K36" s="7"/>
      <c r="L36" s="7"/>
      <c r="M36" s="7"/>
      <c r="N36" s="7"/>
      <c r="O36" s="7"/>
      <c r="P36" s="7"/>
      <c r="Q36" s="7"/>
      <c r="R36" s="8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</row>
    <row r="37" spans="1:39">
      <c r="A37" s="1"/>
      <c r="B37" s="1"/>
      <c r="C37" s="1"/>
      <c r="D37" s="1"/>
      <c r="E37" s="1"/>
      <c r="F37" s="1"/>
      <c r="G37" s="1"/>
      <c r="H37" s="1"/>
      <c r="I37" s="10"/>
      <c r="J37" s="11"/>
      <c r="K37" s="11"/>
      <c r="L37" s="11"/>
      <c r="M37" s="11"/>
      <c r="N37" s="11"/>
      <c r="O37" s="11"/>
      <c r="P37" s="11"/>
      <c r="Q37" s="11"/>
      <c r="R37" s="12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</row>
    <row r="38" spans="1:39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</row>
    <row r="39" spans="1:3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</row>
    <row r="40" spans="1:39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</row>
    <row r="42" spans="1:39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</row>
    <row r="43" spans="1:39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</row>
  </sheetData>
  <mergeCells count="1">
    <mergeCell ref="J4:M5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3" name="Button 1">
              <controlPr defaultSize="0" print="0" autoFill="0" autoPict="0" macro="[1]!Macro2COMPINT">
                <anchor moveWithCells="1" sizeWithCells="1">
                  <from>
                    <xdr:col>12</xdr:col>
                    <xdr:colOff>2076450</xdr:colOff>
                    <xdr:row>30</xdr:row>
                    <xdr:rowOff>0</xdr:rowOff>
                  </from>
                  <to>
                    <xdr:col>14</xdr:col>
                    <xdr:colOff>9525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4" name="Button 2">
              <controlPr defaultSize="0" print="0" autoFill="0" autoPict="0" macro="[1]!caucular1">
                <anchor moveWithCells="1" sizeWithCells="1">
                  <from>
                    <xdr:col>13</xdr:col>
                    <xdr:colOff>219075</xdr:colOff>
                    <xdr:row>15</xdr:row>
                    <xdr:rowOff>19050</xdr:rowOff>
                  </from>
                  <to>
                    <xdr:col>15</xdr:col>
                    <xdr:colOff>47625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579D3-FFA1-452F-8D9C-304C8360DFEB}">
  <sheetPr codeName="Planilha47"/>
  <dimension ref="D1:W36"/>
  <sheetViews>
    <sheetView topLeftCell="B1" workbookViewId="0">
      <selection activeCell="N10" sqref="N10"/>
    </sheetView>
  </sheetViews>
  <sheetFormatPr defaultColWidth="9.140625" defaultRowHeight="13.9" customHeight="1"/>
  <cols>
    <col min="1" max="3" width="9.140625" style="1"/>
    <col min="4" max="4" width="17.28515625" style="1" customWidth="1"/>
    <col min="5" max="5" width="26.85546875" style="172" customWidth="1"/>
    <col min="6" max="6" width="22.42578125" style="1" customWidth="1"/>
    <col min="7" max="7" width="28.28515625" style="1" customWidth="1"/>
    <col min="8" max="8" width="18.7109375" style="173" customWidth="1"/>
    <col min="9" max="9" width="10.7109375" style="1" customWidth="1"/>
    <col min="10" max="10" width="18.140625" style="174" customWidth="1"/>
    <col min="11" max="11" width="13.42578125" style="164" customWidth="1"/>
    <col min="12" max="12" width="9.140625" style="1"/>
    <col min="13" max="13" width="13.7109375" style="1" customWidth="1"/>
    <col min="14" max="14" width="12.85546875" style="1" bestFit="1" customWidth="1"/>
    <col min="15" max="15" width="9.140625" style="1"/>
    <col min="16" max="16" width="8.85546875" style="1" customWidth="1"/>
    <col min="17" max="16384" width="9.140625" style="1"/>
  </cols>
  <sheetData>
    <row r="1" spans="4:23" ht="54" customHeight="1"/>
    <row r="2" spans="4:23" ht="13.9" customHeight="1">
      <c r="D2" s="3"/>
      <c r="E2" s="193"/>
      <c r="F2" s="4"/>
      <c r="G2" s="4"/>
      <c r="H2" s="194"/>
      <c r="I2" s="4"/>
      <c r="J2" s="195"/>
      <c r="K2" s="196"/>
      <c r="M2" s="3" t="s">
        <v>120</v>
      </c>
      <c r="N2" s="220">
        <f>SUM(J:J)</f>
        <v>42000</v>
      </c>
    </row>
    <row r="3" spans="4:23" ht="14.45" customHeight="1">
      <c r="D3" s="288" t="s">
        <v>146</v>
      </c>
      <c r="E3" s="289"/>
      <c r="F3" s="289"/>
      <c r="G3" s="289"/>
      <c r="H3" s="289"/>
      <c r="I3" s="289"/>
      <c r="J3" s="289"/>
      <c r="K3" s="290"/>
      <c r="M3" s="10" t="s">
        <v>130</v>
      </c>
      <c r="N3" s="221">
        <f>'[1]NOTA|MAT_PRIMA'!N3</f>
        <v>5323</v>
      </c>
    </row>
    <row r="4" spans="4:23" ht="13.9" customHeight="1">
      <c r="D4" s="291"/>
      <c r="E4" s="292"/>
      <c r="F4" s="292"/>
      <c r="G4" s="292"/>
      <c r="H4" s="292"/>
      <c r="I4" s="292"/>
      <c r="J4" s="292"/>
      <c r="K4" s="293"/>
    </row>
    <row r="5" spans="4:23" ht="33.75" customHeight="1">
      <c r="D5" s="185" t="s">
        <v>131</v>
      </c>
      <c r="E5" s="186" t="s">
        <v>113</v>
      </c>
      <c r="F5" s="187" t="s">
        <v>121</v>
      </c>
      <c r="G5" s="188" t="s">
        <v>145</v>
      </c>
      <c r="H5" s="189" t="s">
        <v>127</v>
      </c>
      <c r="I5" s="190" t="s">
        <v>133</v>
      </c>
      <c r="J5" s="191" t="s">
        <v>134</v>
      </c>
      <c r="K5" s="192" t="s">
        <v>135</v>
      </c>
    </row>
    <row r="6" spans="4:23" ht="15.75">
      <c r="D6" s="9"/>
      <c r="E6" s="178"/>
      <c r="F6" s="9"/>
      <c r="G6" s="9"/>
      <c r="H6" s="179"/>
      <c r="I6" s="9"/>
      <c r="J6" s="180"/>
      <c r="K6" s="14"/>
    </row>
    <row r="7" spans="4:23" ht="15.75">
      <c r="D7" s="9"/>
      <c r="E7" s="178"/>
      <c r="F7" s="9"/>
      <c r="G7" s="9"/>
      <c r="H7" s="179"/>
      <c r="I7" s="9"/>
      <c r="J7" s="180"/>
      <c r="K7" s="14"/>
      <c r="V7" s="175"/>
      <c r="W7" s="176"/>
    </row>
    <row r="8" spans="4:23" ht="15.75">
      <c r="D8" s="9" t="s">
        <v>147</v>
      </c>
      <c r="E8" s="178" t="s">
        <v>144</v>
      </c>
      <c r="F8" s="9" t="s">
        <v>148</v>
      </c>
      <c r="G8" s="9" t="s">
        <v>149</v>
      </c>
      <c r="H8" s="179">
        <v>3000</v>
      </c>
      <c r="I8" s="9">
        <v>7</v>
      </c>
      <c r="J8" s="180">
        <v>21000</v>
      </c>
      <c r="K8" s="14">
        <v>45447</v>
      </c>
    </row>
    <row r="9" spans="4:23" ht="15.75">
      <c r="D9" s="9" t="s">
        <v>147</v>
      </c>
      <c r="E9" s="178" t="s">
        <v>144</v>
      </c>
      <c r="F9" s="9" t="s">
        <v>148</v>
      </c>
      <c r="G9" s="9" t="s">
        <v>149</v>
      </c>
      <c r="H9" s="179">
        <v>3000</v>
      </c>
      <c r="I9" s="9">
        <v>7</v>
      </c>
      <c r="J9" s="180">
        <v>21000</v>
      </c>
      <c r="K9" s="14">
        <v>45447</v>
      </c>
    </row>
    <row r="10" spans="4:23" ht="15.75">
      <c r="D10" s="9"/>
      <c r="E10" s="178"/>
      <c r="F10" s="9"/>
      <c r="G10" s="9"/>
      <c r="H10" s="179"/>
      <c r="I10" s="9"/>
      <c r="J10" s="180"/>
      <c r="K10" s="14"/>
    </row>
    <row r="11" spans="4:23" ht="15.75">
      <c r="D11" s="9"/>
      <c r="E11" s="178"/>
      <c r="F11" s="9"/>
      <c r="G11" s="9"/>
      <c r="H11" s="179"/>
      <c r="I11" s="9"/>
      <c r="J11" s="180"/>
      <c r="K11" s="14"/>
    </row>
    <row r="12" spans="4:23" ht="15.75">
      <c r="D12" s="9"/>
      <c r="E12" s="178"/>
      <c r="F12" s="9"/>
      <c r="G12" s="9"/>
      <c r="H12" s="179"/>
      <c r="I12" s="9"/>
      <c r="J12" s="180"/>
      <c r="K12" s="14"/>
    </row>
    <row r="13" spans="4:23" ht="15.75">
      <c r="D13" s="9"/>
      <c r="E13" s="178"/>
      <c r="F13" s="9"/>
      <c r="G13" s="9"/>
      <c r="H13" s="179"/>
      <c r="I13" s="9"/>
      <c r="J13" s="180"/>
      <c r="K13" s="14"/>
    </row>
    <row r="14" spans="4:23" ht="15.75">
      <c r="D14" s="9"/>
      <c r="E14" s="178"/>
      <c r="F14" s="9"/>
      <c r="G14" s="9"/>
      <c r="H14" s="179"/>
      <c r="I14" s="9"/>
      <c r="J14" s="180"/>
      <c r="K14" s="14"/>
    </row>
    <row r="15" spans="4:23" ht="15.75">
      <c r="D15" s="9"/>
      <c r="E15" s="178"/>
      <c r="F15" s="9"/>
      <c r="G15" s="9"/>
      <c r="H15" s="179"/>
      <c r="I15" s="9"/>
      <c r="J15" s="180"/>
      <c r="K15" s="14"/>
    </row>
    <row r="16" spans="4:23" ht="15.75">
      <c r="D16" s="9"/>
      <c r="E16" s="178"/>
      <c r="F16" s="9"/>
      <c r="G16" s="9"/>
      <c r="H16" s="179"/>
      <c r="I16" s="9"/>
      <c r="J16" s="180"/>
      <c r="K16" s="14"/>
    </row>
    <row r="17" spans="4:11" ht="15.75">
      <c r="D17" s="9"/>
      <c r="E17" s="178"/>
      <c r="F17" s="9"/>
      <c r="G17" s="9"/>
      <c r="H17" s="179"/>
      <c r="I17" s="9"/>
      <c r="J17" s="180"/>
      <c r="K17" s="14"/>
    </row>
    <row r="18" spans="4:11" ht="15.75">
      <c r="D18" s="9"/>
      <c r="E18" s="178"/>
      <c r="F18" s="9"/>
      <c r="G18" s="9"/>
      <c r="H18" s="179"/>
      <c r="I18" s="9"/>
      <c r="J18" s="180"/>
      <c r="K18" s="14"/>
    </row>
    <row r="19" spans="4:11" ht="15.75">
      <c r="D19" s="9"/>
      <c r="E19" s="178"/>
      <c r="F19" s="9"/>
      <c r="G19" s="9"/>
      <c r="H19" s="179"/>
      <c r="I19" s="9"/>
      <c r="J19" s="180"/>
      <c r="K19" s="14"/>
    </row>
    <row r="20" spans="4:11" ht="15.75">
      <c r="D20" s="9"/>
      <c r="E20" s="178"/>
      <c r="F20" s="9"/>
      <c r="G20" s="9"/>
      <c r="H20" s="179"/>
      <c r="I20" s="9"/>
      <c r="J20" s="180"/>
      <c r="K20" s="14"/>
    </row>
    <row r="21" spans="4:11" ht="15.75">
      <c r="D21" s="9"/>
      <c r="E21" s="178"/>
      <c r="F21" s="9"/>
      <c r="G21" s="9"/>
      <c r="H21" s="179"/>
      <c r="I21" s="9"/>
      <c r="J21" s="180"/>
      <c r="K21" s="14"/>
    </row>
    <row r="22" spans="4:11" ht="15.75">
      <c r="D22" s="9"/>
      <c r="E22" s="178"/>
      <c r="F22" s="9"/>
      <c r="G22" s="9"/>
      <c r="H22" s="179"/>
      <c r="I22" s="9"/>
      <c r="J22" s="180"/>
      <c r="K22" s="14"/>
    </row>
    <row r="23" spans="4:11" ht="15.75">
      <c r="D23" s="9"/>
      <c r="E23" s="178"/>
      <c r="F23" s="9"/>
      <c r="G23" s="9"/>
      <c r="H23" s="179"/>
      <c r="I23" s="9"/>
      <c r="J23" s="180"/>
      <c r="K23" s="14"/>
    </row>
    <row r="24" spans="4:11" ht="15.75">
      <c r="D24" s="9"/>
      <c r="E24" s="178"/>
      <c r="F24" s="9"/>
      <c r="G24" s="9"/>
      <c r="H24" s="179"/>
      <c r="I24" s="9"/>
      <c r="J24" s="180"/>
      <c r="K24" s="14"/>
    </row>
    <row r="25" spans="4:11" ht="15.75">
      <c r="D25" s="9"/>
      <c r="E25" s="178"/>
      <c r="F25" s="9"/>
      <c r="G25" s="9"/>
      <c r="H25" s="179"/>
      <c r="I25" s="9"/>
      <c r="J25" s="180"/>
      <c r="K25" s="14"/>
    </row>
    <row r="26" spans="4:11" ht="15.75">
      <c r="D26" s="9"/>
      <c r="E26" s="178"/>
      <c r="F26" s="9"/>
      <c r="G26" s="9"/>
      <c r="H26" s="179"/>
      <c r="I26" s="9"/>
      <c r="J26" s="180"/>
      <c r="K26" s="14"/>
    </row>
    <row r="27" spans="4:11" ht="15.75">
      <c r="D27" s="9"/>
      <c r="E27" s="178"/>
      <c r="F27" s="9"/>
      <c r="G27" s="9"/>
      <c r="H27" s="179"/>
      <c r="I27" s="9"/>
      <c r="J27" s="180"/>
      <c r="K27" s="14"/>
    </row>
    <row r="28" spans="4:11" ht="15.75">
      <c r="D28" s="9"/>
      <c r="E28" s="178"/>
      <c r="F28" s="9"/>
      <c r="G28" s="9"/>
      <c r="H28" s="179"/>
      <c r="I28" s="9"/>
      <c r="J28" s="180"/>
      <c r="K28" s="14"/>
    </row>
    <row r="29" spans="4:11" ht="15.75">
      <c r="D29" s="9"/>
      <c r="E29" s="178"/>
      <c r="F29" s="9"/>
      <c r="G29" s="9"/>
      <c r="H29" s="179"/>
      <c r="I29" s="9"/>
      <c r="J29" s="180"/>
      <c r="K29" s="14"/>
    </row>
    <row r="30" spans="4:11" ht="15.75">
      <c r="D30" s="9"/>
      <c r="E30" s="178"/>
      <c r="F30" s="9"/>
      <c r="G30" s="9"/>
      <c r="H30" s="179"/>
      <c r="I30" s="9"/>
      <c r="J30" s="180"/>
      <c r="K30" s="14"/>
    </row>
    <row r="31" spans="4:11" ht="15.75">
      <c r="D31" s="9"/>
      <c r="E31" s="178"/>
      <c r="F31" s="9"/>
      <c r="G31" s="9"/>
      <c r="H31" s="179"/>
      <c r="I31" s="9"/>
      <c r="J31" s="180"/>
      <c r="K31" s="14"/>
    </row>
    <row r="32" spans="4:11" ht="15.75">
      <c r="D32" s="9"/>
      <c r="E32" s="178"/>
      <c r="F32" s="9"/>
      <c r="G32" s="9"/>
      <c r="H32" s="179"/>
      <c r="I32" s="9"/>
      <c r="J32" s="180"/>
      <c r="K32" s="14"/>
    </row>
    <row r="33" spans="4:11" ht="13.9" customHeight="1">
      <c r="D33" s="9"/>
      <c r="E33" s="181"/>
      <c r="F33" s="9"/>
      <c r="G33" s="9"/>
      <c r="H33" s="179"/>
      <c r="I33" s="9"/>
      <c r="J33" s="180"/>
      <c r="K33" s="14"/>
    </row>
    <row r="36" spans="4:11" ht="13.9" customHeight="1">
      <c r="D36" s="175"/>
      <c r="F36" s="175"/>
      <c r="G36" s="175"/>
      <c r="H36" s="177"/>
      <c r="I36" s="176"/>
    </row>
  </sheetData>
  <mergeCells count="1">
    <mergeCell ref="D3:K4"/>
  </mergeCells>
  <pageMargins left="0.511811024" right="0.511811024" top="0.78740157499999996" bottom="0.78740157499999996" header="0.31496062000000002" footer="0.31496062000000002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05117-B44E-4B23-9070-35F89BD6D149}">
  <sheetPr codeName="Planilha48"/>
  <dimension ref="L3:T50"/>
  <sheetViews>
    <sheetView workbookViewId="0">
      <selection activeCell="V35" sqref="V35"/>
    </sheetView>
  </sheetViews>
  <sheetFormatPr defaultColWidth="9.140625" defaultRowHeight="15"/>
  <cols>
    <col min="1" max="1" width="5.140625" style="1" customWidth="1"/>
    <col min="2" max="2" width="1.85546875" style="1" customWidth="1"/>
    <col min="3" max="3" width="1.7109375" style="1" customWidth="1"/>
    <col min="4" max="4" width="2.140625" style="1" customWidth="1"/>
    <col min="5" max="6" width="2" style="1" customWidth="1"/>
    <col min="7" max="7" width="3.28515625" style="1" customWidth="1"/>
    <col min="8" max="8" width="2.42578125" style="1" customWidth="1"/>
    <col min="9" max="9" width="2.140625" style="1" customWidth="1"/>
    <col min="10" max="10" width="2.85546875" style="1" customWidth="1"/>
    <col min="11" max="11" width="2.42578125" style="1" customWidth="1"/>
    <col min="12" max="12" width="9.140625" style="1"/>
    <col min="13" max="13" width="20.42578125" style="1" customWidth="1"/>
    <col min="14" max="14" width="26.7109375" style="1" customWidth="1"/>
    <col min="15" max="15" width="1.42578125" style="1" customWidth="1"/>
    <col min="16" max="16" width="36.28515625" style="1" customWidth="1"/>
    <col min="17" max="17" width="9.140625" style="1"/>
    <col min="18" max="18" width="14" style="1" customWidth="1"/>
    <col min="19" max="19" width="6.140625" style="1" customWidth="1"/>
    <col min="20" max="20" width="2.28515625" style="1" customWidth="1"/>
    <col min="21" max="16384" width="9.140625" style="1"/>
  </cols>
  <sheetData>
    <row r="3" ht="2.25" customHeight="1"/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spans="12:20" hidden="1"/>
    <row r="18" spans="12:20">
      <c r="L18" s="3"/>
      <c r="M18" s="294" t="s">
        <v>150</v>
      </c>
      <c r="N18" s="281"/>
      <c r="O18" s="281"/>
      <c r="P18" s="281"/>
      <c r="Q18" s="281"/>
      <c r="R18" s="281"/>
      <c r="S18" s="4"/>
      <c r="T18" s="5"/>
    </row>
    <row r="19" spans="12:20">
      <c r="L19" s="10"/>
      <c r="M19" s="283"/>
      <c r="N19" s="283"/>
      <c r="O19" s="283"/>
      <c r="P19" s="283"/>
      <c r="Q19" s="283"/>
      <c r="R19" s="283"/>
      <c r="S19" s="11"/>
      <c r="T19" s="12"/>
    </row>
    <row r="23" spans="12:20">
      <c r="L23" s="3"/>
      <c r="M23" s="4"/>
      <c r="N23" s="4"/>
      <c r="O23" s="4"/>
      <c r="P23" s="4"/>
      <c r="Q23" s="4"/>
      <c r="R23" s="4"/>
      <c r="S23" s="4"/>
      <c r="T23" s="5"/>
    </row>
    <row r="24" spans="12:20" ht="26.25">
      <c r="L24" s="6"/>
      <c r="M24" s="7"/>
      <c r="N24" s="24" t="s">
        <v>113</v>
      </c>
      <c r="O24" s="7"/>
      <c r="P24" s="109" t="s">
        <v>151</v>
      </c>
      <c r="Q24" s="7"/>
      <c r="R24" s="7"/>
      <c r="S24" s="7"/>
      <c r="T24" s="8"/>
    </row>
    <row r="25" spans="12:20">
      <c r="L25" s="6"/>
      <c r="M25" s="7"/>
      <c r="N25" s="7"/>
      <c r="O25" s="7"/>
      <c r="P25" s="7"/>
      <c r="Q25" s="7"/>
      <c r="R25" s="7"/>
      <c r="S25" s="7"/>
      <c r="T25" s="8"/>
    </row>
    <row r="26" spans="12:20">
      <c r="L26" s="6"/>
      <c r="M26" s="7"/>
      <c r="N26" s="7"/>
      <c r="O26" s="7"/>
      <c r="P26" s="7"/>
      <c r="Q26" s="7"/>
      <c r="R26" s="7"/>
      <c r="S26" s="7"/>
      <c r="T26" s="8"/>
    </row>
    <row r="27" spans="12:20" ht="26.25">
      <c r="L27" s="6"/>
      <c r="M27" s="7"/>
      <c r="N27" s="24" t="s">
        <v>115</v>
      </c>
      <c r="O27" s="7"/>
      <c r="P27" s="163">
        <v>15</v>
      </c>
      <c r="Q27" s="7"/>
      <c r="R27" s="7"/>
      <c r="S27" s="182"/>
      <c r="T27" s="8"/>
    </row>
    <row r="28" spans="12:20">
      <c r="L28" s="6"/>
      <c r="M28" s="7"/>
      <c r="N28" s="7"/>
      <c r="O28" s="7"/>
      <c r="P28" s="7"/>
      <c r="Q28" s="7"/>
      <c r="R28" s="7"/>
      <c r="S28" s="7"/>
      <c r="T28" s="8"/>
    </row>
    <row r="29" spans="12:20">
      <c r="L29" s="6"/>
      <c r="M29" s="7"/>
      <c r="N29" s="7"/>
      <c r="O29" s="7"/>
      <c r="P29" s="7"/>
      <c r="Q29" s="7"/>
      <c r="R29" s="7"/>
      <c r="S29" s="7"/>
      <c r="T29" s="8"/>
    </row>
    <row r="30" spans="12:20" ht="26.25">
      <c r="L30" s="6"/>
      <c r="M30" s="7"/>
      <c r="N30" s="24" t="s">
        <v>116</v>
      </c>
      <c r="O30" s="7"/>
      <c r="P30" s="197">
        <f>INDEX('[1]banco de dados_compras'!M86:M97,MATCH('[1]COMP|FUNC'!P24,'[1]banco de dados_compras'!F86:F97,0))</f>
        <v>750</v>
      </c>
      <c r="Q30" s="7"/>
      <c r="R30" s="7"/>
      <c r="S30" s="7"/>
      <c r="T30" s="8"/>
    </row>
    <row r="31" spans="12:20">
      <c r="L31" s="6"/>
      <c r="M31" s="7"/>
      <c r="N31" s="7"/>
      <c r="O31" s="7"/>
      <c r="P31" s="7"/>
      <c r="Q31" s="7"/>
      <c r="R31" s="7"/>
      <c r="S31" s="7"/>
      <c r="T31" s="8"/>
    </row>
    <row r="32" spans="12:20">
      <c r="L32" s="6"/>
      <c r="M32" s="7"/>
      <c r="N32" s="7"/>
      <c r="O32" s="7"/>
      <c r="P32" s="7"/>
      <c r="Q32" s="7"/>
      <c r="R32" s="7"/>
      <c r="S32" s="7"/>
      <c r="T32" s="8"/>
    </row>
    <row r="33" spans="12:20" ht="21">
      <c r="L33" s="6"/>
      <c r="M33" s="198" t="s">
        <v>117</v>
      </c>
      <c r="N33" s="7"/>
      <c r="O33" s="7"/>
      <c r="P33" s="199" t="s">
        <v>118</v>
      </c>
      <c r="Q33" s="7"/>
      <c r="R33" s="7"/>
      <c r="S33" s="7"/>
      <c r="T33" s="8"/>
    </row>
    <row r="34" spans="12:20">
      <c r="L34" s="6"/>
      <c r="M34" s="7"/>
      <c r="N34" s="7"/>
      <c r="O34" s="7"/>
      <c r="P34" s="7"/>
      <c r="Q34" s="7"/>
      <c r="R34" s="7"/>
      <c r="S34" s="7"/>
      <c r="T34" s="8"/>
    </row>
    <row r="35" spans="12:20">
      <c r="L35" s="6"/>
      <c r="M35" s="7" t="s">
        <v>119</v>
      </c>
      <c r="N35" s="200" t="str">
        <f>INDEX('[1]banco de dados_compras'!E86:E97,MATCH('[1]COMP|FUNC'!P24,'[1]banco de dados_compras'!F86:F97,0))</f>
        <v>100-81</v>
      </c>
      <c r="O35" s="7"/>
      <c r="P35" s="197">
        <f>'[1]NOTA|FUNC'!N2</f>
        <v>1500</v>
      </c>
      <c r="Q35" s="7" t="s">
        <v>120</v>
      </c>
      <c r="R35" s="7"/>
      <c r="S35" s="7"/>
      <c r="T35" s="8"/>
    </row>
    <row r="36" spans="12:20">
      <c r="L36" s="6"/>
      <c r="M36" s="7"/>
      <c r="N36" s="7"/>
      <c r="O36" s="7"/>
      <c r="P36" s="7"/>
      <c r="Q36" s="7"/>
      <c r="R36" s="7"/>
      <c r="S36" s="7"/>
      <c r="T36" s="8"/>
    </row>
    <row r="37" spans="12:20">
      <c r="L37" s="6"/>
      <c r="M37" s="7" t="s">
        <v>121</v>
      </c>
      <c r="N37" s="200" t="str">
        <f>INDEX('[1]banco de dados_compras'!G86:G97,MATCH('[1]COMP|FUNC'!P24,'[1]banco de dados_compras'!F86:F97,0))</f>
        <v>SafeWear Brasil</v>
      </c>
      <c r="O37" s="7"/>
      <c r="P37" s="197">
        <f>'[1]NOTA|MAT_PRIMA'!N3</f>
        <v>5323</v>
      </c>
      <c r="Q37" s="7" t="s">
        <v>122</v>
      </c>
      <c r="R37" s="7"/>
      <c r="S37" s="7"/>
      <c r="T37" s="8"/>
    </row>
    <row r="38" spans="12:20">
      <c r="L38" s="6"/>
      <c r="M38" s="7"/>
      <c r="N38" s="7"/>
      <c r="O38" s="7"/>
      <c r="P38" s="7"/>
      <c r="Q38" s="7"/>
      <c r="R38" s="7"/>
      <c r="S38" s="7"/>
      <c r="T38" s="8"/>
    </row>
    <row r="39" spans="12:20">
      <c r="L39" s="6"/>
      <c r="M39" s="7" t="s">
        <v>123</v>
      </c>
      <c r="N39" s="200" t="str">
        <f>INDEX('[1]banco de dados_compras'!H86:H97,MATCH('[1]COMP|FUNC'!P24,'[1]banco de dados_compras'!F86:F97,0))</f>
        <v>(71) 96789-0123</v>
      </c>
      <c r="O39" s="7"/>
      <c r="P39" s="7"/>
      <c r="Q39" s="7"/>
      <c r="R39" s="7"/>
      <c r="S39" s="7"/>
      <c r="T39" s="8"/>
    </row>
    <row r="40" spans="12:20">
      <c r="L40" s="6"/>
      <c r="M40" s="7"/>
      <c r="N40" s="7"/>
      <c r="O40" s="7"/>
      <c r="P40" s="7"/>
      <c r="Q40" s="7"/>
      <c r="R40" s="7"/>
      <c r="S40" s="7"/>
      <c r="T40" s="8"/>
    </row>
    <row r="41" spans="12:20">
      <c r="L41" s="6"/>
      <c r="M41" s="7" t="s">
        <v>124</v>
      </c>
      <c r="N41" s="200" t="str">
        <f>INDEX('[1]banco de dados_compras'!I86:I97,MATCH('[1]COMP|FUNC'!P24,'[1]banco de dados_compras'!F86:F97,0))</f>
        <v>atendimento@safewearbrasil.com</v>
      </c>
      <c r="O41" s="7"/>
      <c r="P41" s="7"/>
      <c r="Q41" s="7"/>
      <c r="R41" s="7"/>
      <c r="S41" s="7"/>
      <c r="T41" s="8"/>
    </row>
    <row r="42" spans="12:20">
      <c r="L42" s="6"/>
      <c r="M42" s="7"/>
      <c r="N42" s="7"/>
      <c r="O42" s="7"/>
      <c r="P42" s="7"/>
      <c r="Q42" s="7"/>
      <c r="R42" s="7"/>
      <c r="S42" s="7"/>
      <c r="T42" s="8"/>
    </row>
    <row r="43" spans="12:20">
      <c r="L43" s="6"/>
      <c r="M43" s="7" t="s">
        <v>125</v>
      </c>
      <c r="N43" s="200" t="str">
        <f>INDEX('[1]banco de dados_compras'!N86:N97,MATCH('[1]COMP|FUNC'!P24,'[1]banco de dados_compras'!F86:F97,0))</f>
        <v>Rua dos Pioneiros, 404 - Jardim Europa, Porto Alegre, RS</v>
      </c>
      <c r="O43" s="7"/>
      <c r="P43" s="7"/>
      <c r="Q43" s="7"/>
      <c r="R43" s="7"/>
      <c r="S43" s="7"/>
      <c r="T43" s="8"/>
    </row>
    <row r="44" spans="12:20">
      <c r="L44" s="6"/>
      <c r="M44" s="7"/>
      <c r="N44" s="7"/>
      <c r="O44" s="7"/>
      <c r="P44" s="7"/>
      <c r="Q44" s="7"/>
      <c r="R44" s="7"/>
      <c r="S44" s="7"/>
      <c r="T44" s="8"/>
    </row>
    <row r="45" spans="12:20">
      <c r="L45" s="6"/>
      <c r="M45" s="7" t="s">
        <v>145</v>
      </c>
      <c r="N45" s="200" t="str">
        <f>INDEX('[1]banco de dados_compras'!J86:J97,MATCH('[1]COMP|FUNC'!P24,'[1]banco de dados_compras'!F86:F97,0))</f>
        <v>Produtos para Funcionarios</v>
      </c>
      <c r="O45" s="7"/>
      <c r="P45" s="7"/>
      <c r="Q45" s="7"/>
      <c r="R45" s="7"/>
      <c r="S45" s="7"/>
      <c r="T45" s="8"/>
    </row>
    <row r="46" spans="12:20">
      <c r="L46" s="6"/>
      <c r="M46" s="7"/>
      <c r="N46" s="7"/>
      <c r="O46" s="7"/>
      <c r="P46" s="7"/>
      <c r="Q46" s="7"/>
      <c r="R46" s="7"/>
      <c r="S46" s="7"/>
      <c r="T46" s="8"/>
    </row>
    <row r="47" spans="12:20">
      <c r="L47" s="6"/>
      <c r="M47" s="7" t="s">
        <v>127</v>
      </c>
      <c r="N47" s="201">
        <f>INDEX('[1]banco de dados_compras'!K86:K97,MATCH('[1]COMP|FUNC'!P24,'[1]banco de dados_compras'!F86:F97,0))</f>
        <v>50</v>
      </c>
      <c r="O47" s="7"/>
      <c r="P47" s="7"/>
      <c r="Q47" s="7"/>
      <c r="R47" s="7"/>
      <c r="S47" s="7"/>
      <c r="T47" s="8"/>
    </row>
    <row r="48" spans="12:20">
      <c r="L48" s="6"/>
      <c r="M48" s="7"/>
      <c r="N48" s="7"/>
      <c r="O48" s="7"/>
      <c r="P48" s="7"/>
      <c r="Q48" s="7"/>
      <c r="R48" s="7"/>
      <c r="S48" s="7"/>
      <c r="T48" s="8"/>
    </row>
    <row r="49" spans="12:20">
      <c r="L49" s="6"/>
      <c r="M49" s="7" t="s">
        <v>128</v>
      </c>
      <c r="N49" s="202">
        <f ca="1">TODAY()</f>
        <v>45449</v>
      </c>
      <c r="O49" s="7"/>
      <c r="P49" s="7"/>
      <c r="Q49" s="7"/>
      <c r="R49" s="7"/>
      <c r="S49" s="7"/>
      <c r="T49" s="8"/>
    </row>
    <row r="50" spans="12:20">
      <c r="L50" s="10"/>
      <c r="M50" s="11"/>
      <c r="N50" s="11"/>
      <c r="O50" s="11"/>
      <c r="P50" s="11"/>
      <c r="Q50" s="11"/>
      <c r="R50" s="11"/>
      <c r="S50" s="11"/>
      <c r="T50" s="12"/>
    </row>
  </sheetData>
  <mergeCells count="1">
    <mergeCell ref="M18:R19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3" name="Button 1">
              <controlPr defaultSize="0" print="0" autoFill="0" autoPict="0" macro="[1]!Macro3Func">
                <anchor moveWithCells="1" sizeWithCells="1">
                  <from>
                    <xdr:col>15</xdr:col>
                    <xdr:colOff>2228850</xdr:colOff>
                    <xdr:row>41</xdr:row>
                    <xdr:rowOff>38100</xdr:rowOff>
                  </from>
                  <to>
                    <xdr:col>17</xdr:col>
                    <xdr:colOff>714375</xdr:colOff>
                    <xdr:row>45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3B41CC3-54A3-44BD-8F12-EB698851DA57}">
          <x14:formula1>
            <xm:f>BD_COMPRAS!$F$5:$F$24</xm:f>
          </x14:formula1>
          <xm:sqref>P24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3A40F-2226-48E8-9527-66322DFAC7B1}">
  <sheetPr codeName="Planilha49"/>
  <dimension ref="D2:W40"/>
  <sheetViews>
    <sheetView workbookViewId="0">
      <selection activeCell="R2" sqref="R2"/>
    </sheetView>
  </sheetViews>
  <sheetFormatPr defaultColWidth="9.140625" defaultRowHeight="15"/>
  <cols>
    <col min="1" max="3" width="9.140625" style="1"/>
    <col min="4" max="4" width="17.28515625" style="1" customWidth="1"/>
    <col min="5" max="5" width="26.85546875" style="172" customWidth="1"/>
    <col min="6" max="6" width="17.42578125" style="1" customWidth="1"/>
    <col min="7" max="7" width="36.42578125" style="1" customWidth="1"/>
    <col min="8" max="8" width="18.7109375" style="173" customWidth="1"/>
    <col min="9" max="9" width="7" style="1" customWidth="1"/>
    <col min="10" max="10" width="18.140625" style="174" customWidth="1"/>
    <col min="11" max="11" width="12.85546875" style="183" bestFit="1" customWidth="1"/>
    <col min="12" max="12" width="9.140625" style="1"/>
    <col min="13" max="13" width="13.7109375" style="1" customWidth="1"/>
    <col min="14" max="14" width="12.85546875" style="1" bestFit="1" customWidth="1"/>
    <col min="15" max="15" width="9.140625" style="1"/>
    <col min="16" max="16" width="8.85546875" style="1" customWidth="1"/>
    <col min="17" max="16384" width="9.140625" style="1"/>
  </cols>
  <sheetData>
    <row r="2" spans="4:23" ht="13.9" customHeight="1">
      <c r="M2" s="3" t="s">
        <v>120</v>
      </c>
      <c r="N2" s="220">
        <f>SUM(J:J)</f>
        <v>1500</v>
      </c>
    </row>
    <row r="3" spans="4:23" ht="14.45" customHeight="1">
      <c r="D3" s="295" t="s">
        <v>152</v>
      </c>
      <c r="E3" s="295"/>
      <c r="F3" s="295"/>
      <c r="G3" s="295"/>
      <c r="H3" s="295"/>
      <c r="I3" s="295"/>
      <c r="J3" s="295"/>
      <c r="K3" s="295"/>
      <c r="M3" s="10" t="s">
        <v>130</v>
      </c>
      <c r="N3" s="221">
        <f>'[1]NOTA|MAT_PRIMA'!N3</f>
        <v>5323</v>
      </c>
    </row>
    <row r="4" spans="4:23" ht="13.9" customHeight="1">
      <c r="D4" s="295"/>
      <c r="E4" s="295"/>
      <c r="F4" s="295"/>
      <c r="G4" s="295"/>
      <c r="H4" s="295"/>
      <c r="I4" s="295"/>
      <c r="J4" s="295"/>
      <c r="K4" s="295"/>
    </row>
    <row r="5" spans="4:23" ht="47.25">
      <c r="D5" s="165" t="s">
        <v>131</v>
      </c>
      <c r="E5" s="166" t="s">
        <v>113</v>
      </c>
      <c r="F5" s="167" t="s">
        <v>121</v>
      </c>
      <c r="G5" s="168" t="s">
        <v>145</v>
      </c>
      <c r="H5" s="169" t="s">
        <v>127</v>
      </c>
      <c r="I5" s="170" t="s">
        <v>133</v>
      </c>
      <c r="J5" s="171" t="s">
        <v>134</v>
      </c>
      <c r="K5" s="184" t="s">
        <v>135</v>
      </c>
    </row>
    <row r="6" spans="4:23" ht="15.75">
      <c r="D6" s="9"/>
      <c r="E6" s="178"/>
      <c r="F6" s="9"/>
      <c r="G6" s="9"/>
      <c r="H6" s="179"/>
      <c r="I6" s="9"/>
      <c r="J6" s="180"/>
      <c r="K6" s="184"/>
    </row>
    <row r="7" spans="4:23" ht="15.75">
      <c r="D7" s="9"/>
      <c r="E7" s="178"/>
      <c r="F7" s="9"/>
      <c r="G7" s="9"/>
      <c r="H7" s="179"/>
      <c r="I7" s="9"/>
      <c r="J7" s="180"/>
      <c r="K7" s="184"/>
      <c r="V7" s="175"/>
      <c r="W7" s="176"/>
    </row>
    <row r="8" spans="4:23" ht="15.75">
      <c r="D8" s="9" t="s">
        <v>153</v>
      </c>
      <c r="E8" s="178" t="s">
        <v>154</v>
      </c>
      <c r="F8" s="9" t="s">
        <v>155</v>
      </c>
      <c r="G8" s="9" t="s">
        <v>156</v>
      </c>
      <c r="H8" s="179">
        <v>50</v>
      </c>
      <c r="I8" s="9">
        <v>15</v>
      </c>
      <c r="J8" s="180">
        <v>750</v>
      </c>
      <c r="K8" s="184">
        <v>45447</v>
      </c>
    </row>
    <row r="9" spans="4:23" ht="15.75">
      <c r="D9" s="9" t="s">
        <v>153</v>
      </c>
      <c r="E9" s="178" t="s">
        <v>154</v>
      </c>
      <c r="F9" s="9" t="s">
        <v>155</v>
      </c>
      <c r="G9" s="9" t="s">
        <v>156</v>
      </c>
      <c r="H9" s="179">
        <v>50</v>
      </c>
      <c r="I9" s="9">
        <v>15</v>
      </c>
      <c r="J9" s="180">
        <v>750</v>
      </c>
      <c r="K9" s="184">
        <v>45447</v>
      </c>
    </row>
    <row r="10" spans="4:23" ht="15.75">
      <c r="D10" s="9"/>
      <c r="E10" s="178"/>
      <c r="F10" s="9"/>
      <c r="G10" s="9"/>
      <c r="H10" s="179"/>
      <c r="I10" s="9"/>
      <c r="J10" s="180"/>
      <c r="K10" s="184"/>
    </row>
    <row r="11" spans="4:23" ht="15.75">
      <c r="D11" s="9"/>
      <c r="E11" s="178"/>
      <c r="F11" s="9"/>
      <c r="G11" s="9"/>
      <c r="H11" s="179"/>
      <c r="I11" s="9"/>
      <c r="J11" s="180"/>
      <c r="K11" s="184"/>
    </row>
    <row r="12" spans="4:23" ht="15.75">
      <c r="D12" s="9"/>
      <c r="E12" s="178"/>
      <c r="F12" s="9"/>
      <c r="G12" s="9"/>
      <c r="H12" s="179"/>
      <c r="I12" s="9"/>
      <c r="J12" s="180"/>
      <c r="K12" s="184"/>
    </row>
    <row r="13" spans="4:23" ht="15.75">
      <c r="D13" s="9"/>
      <c r="E13" s="178"/>
      <c r="F13" s="9"/>
      <c r="G13" s="9"/>
      <c r="H13" s="179"/>
      <c r="I13" s="9"/>
      <c r="J13" s="180"/>
      <c r="K13" s="184"/>
    </row>
    <row r="14" spans="4:23" ht="15.75">
      <c r="D14" s="9"/>
      <c r="E14" s="178"/>
      <c r="F14" s="9"/>
      <c r="G14" s="9"/>
      <c r="H14" s="179"/>
      <c r="I14" s="9"/>
      <c r="J14" s="180"/>
      <c r="K14" s="184"/>
    </row>
    <row r="15" spans="4:23" ht="15.75">
      <c r="D15" s="9"/>
      <c r="E15" s="178"/>
      <c r="F15" s="9"/>
      <c r="G15" s="9"/>
      <c r="H15" s="179"/>
      <c r="I15" s="9"/>
      <c r="J15" s="180"/>
      <c r="K15" s="184"/>
    </row>
    <row r="16" spans="4:23" ht="15.75">
      <c r="D16" s="9"/>
      <c r="E16" s="178"/>
      <c r="F16" s="9"/>
      <c r="G16" s="9"/>
      <c r="H16" s="179"/>
      <c r="I16" s="9"/>
      <c r="J16" s="180"/>
      <c r="K16" s="184"/>
    </row>
    <row r="17" spans="4:11" ht="15.75">
      <c r="D17" s="9"/>
      <c r="E17" s="178"/>
      <c r="F17" s="9"/>
      <c r="G17" s="9"/>
      <c r="H17" s="179"/>
      <c r="I17" s="9"/>
      <c r="J17" s="180"/>
      <c r="K17" s="184"/>
    </row>
    <row r="18" spans="4:11" ht="15.75">
      <c r="D18" s="9"/>
      <c r="E18" s="178"/>
      <c r="F18" s="9"/>
      <c r="G18" s="9"/>
      <c r="H18" s="179"/>
      <c r="I18" s="9"/>
      <c r="J18" s="180"/>
      <c r="K18" s="184"/>
    </row>
    <row r="19" spans="4:11" ht="15.75">
      <c r="D19" s="9"/>
      <c r="E19" s="178"/>
      <c r="F19" s="9"/>
      <c r="G19" s="9"/>
      <c r="H19" s="179"/>
      <c r="I19" s="9"/>
      <c r="J19" s="180"/>
      <c r="K19" s="184"/>
    </row>
    <row r="20" spans="4:11" ht="15.75">
      <c r="D20" s="9"/>
      <c r="E20" s="178"/>
      <c r="F20" s="9"/>
      <c r="G20" s="9"/>
      <c r="H20" s="179"/>
      <c r="I20" s="9"/>
      <c r="J20" s="180"/>
      <c r="K20" s="184"/>
    </row>
    <row r="21" spans="4:11" ht="15.75">
      <c r="D21" s="9"/>
      <c r="E21" s="178"/>
      <c r="F21" s="9"/>
      <c r="G21" s="9"/>
      <c r="H21" s="179"/>
      <c r="I21" s="9"/>
      <c r="J21" s="180"/>
      <c r="K21" s="184"/>
    </row>
    <row r="22" spans="4:11" ht="15.75">
      <c r="D22" s="9"/>
      <c r="E22" s="178"/>
      <c r="F22" s="9"/>
      <c r="G22" s="9"/>
      <c r="H22" s="179"/>
      <c r="I22" s="9"/>
      <c r="J22" s="180"/>
      <c r="K22" s="184"/>
    </row>
    <row r="23" spans="4:11" ht="15.75">
      <c r="D23" s="9"/>
      <c r="E23" s="178"/>
      <c r="F23" s="9"/>
      <c r="G23" s="9"/>
      <c r="H23" s="179"/>
      <c r="I23" s="9"/>
      <c r="J23" s="180"/>
      <c r="K23" s="184"/>
    </row>
    <row r="24" spans="4:11" ht="15.75">
      <c r="D24" s="9"/>
      <c r="E24" s="178"/>
      <c r="F24" s="9"/>
      <c r="G24" s="9"/>
      <c r="H24" s="179"/>
      <c r="I24" s="9"/>
      <c r="J24" s="180"/>
      <c r="K24" s="184"/>
    </row>
    <row r="25" spans="4:11" ht="15.75">
      <c r="D25" s="9"/>
      <c r="E25" s="178"/>
      <c r="F25" s="9"/>
      <c r="G25" s="9"/>
      <c r="H25" s="179"/>
      <c r="I25" s="9"/>
      <c r="J25" s="180"/>
      <c r="K25" s="184"/>
    </row>
    <row r="26" spans="4:11" ht="15.75">
      <c r="D26" s="9"/>
      <c r="E26" s="178"/>
      <c r="F26" s="9"/>
      <c r="G26" s="9"/>
      <c r="H26" s="179"/>
      <c r="I26" s="9"/>
      <c r="J26" s="180"/>
      <c r="K26" s="184"/>
    </row>
    <row r="27" spans="4:11" ht="15.75">
      <c r="D27" s="9"/>
      <c r="E27" s="178"/>
      <c r="F27" s="9"/>
      <c r="G27" s="9"/>
      <c r="H27" s="179"/>
      <c r="I27" s="9"/>
      <c r="J27" s="180"/>
      <c r="K27" s="184"/>
    </row>
    <row r="28" spans="4:11" ht="15.75">
      <c r="D28" s="9"/>
      <c r="E28" s="178"/>
      <c r="F28" s="9"/>
      <c r="G28" s="9"/>
      <c r="H28" s="179"/>
      <c r="I28" s="9"/>
      <c r="J28" s="180"/>
      <c r="K28" s="184"/>
    </row>
    <row r="29" spans="4:11" ht="15.75">
      <c r="D29" s="9"/>
      <c r="E29" s="178"/>
      <c r="F29" s="9"/>
      <c r="G29" s="9"/>
      <c r="H29" s="179"/>
      <c r="I29" s="9"/>
      <c r="J29" s="180"/>
      <c r="K29" s="184"/>
    </row>
    <row r="30" spans="4:11" ht="15.75">
      <c r="D30" s="9"/>
      <c r="E30" s="178"/>
      <c r="F30" s="9"/>
      <c r="G30" s="9"/>
      <c r="H30" s="179"/>
      <c r="I30" s="9"/>
      <c r="J30" s="180"/>
      <c r="K30" s="184"/>
    </row>
    <row r="31" spans="4:11" ht="15.75">
      <c r="D31" s="9"/>
      <c r="E31" s="178"/>
      <c r="F31" s="9"/>
      <c r="G31" s="9"/>
      <c r="H31" s="179"/>
      <c r="I31" s="9"/>
      <c r="J31" s="180"/>
      <c r="K31" s="184"/>
    </row>
    <row r="32" spans="4:11" ht="15.75">
      <c r="D32" s="9"/>
      <c r="E32" s="178"/>
      <c r="F32" s="9"/>
      <c r="G32" s="9"/>
      <c r="H32" s="179"/>
      <c r="I32" s="9"/>
      <c r="J32" s="180"/>
      <c r="K32" s="184"/>
    </row>
    <row r="33" spans="4:11" ht="15.75">
      <c r="D33" s="9"/>
      <c r="E33" s="178"/>
      <c r="F33" s="9"/>
      <c r="G33" s="9"/>
      <c r="H33" s="179"/>
      <c r="I33" s="9"/>
      <c r="J33" s="180"/>
      <c r="K33" s="184"/>
    </row>
    <row r="34" spans="4:11" ht="15.75">
      <c r="D34" s="9"/>
      <c r="E34" s="178"/>
      <c r="F34" s="9"/>
      <c r="G34" s="9"/>
      <c r="H34" s="179"/>
      <c r="I34" s="9"/>
      <c r="J34" s="180"/>
      <c r="K34" s="184"/>
    </row>
    <row r="35" spans="4:11" ht="15.75">
      <c r="D35" s="9"/>
      <c r="E35" s="178"/>
      <c r="F35" s="9"/>
      <c r="G35" s="9"/>
      <c r="H35" s="179"/>
      <c r="I35" s="9"/>
      <c r="J35" s="180"/>
      <c r="K35" s="184"/>
    </row>
    <row r="36" spans="4:11" ht="15.75">
      <c r="D36" s="9"/>
      <c r="E36" s="178"/>
      <c r="F36" s="9"/>
      <c r="G36" s="9"/>
      <c r="H36" s="179"/>
      <c r="I36" s="9"/>
      <c r="J36" s="180"/>
      <c r="K36" s="184"/>
    </row>
    <row r="40" spans="4:11" ht="13.9" customHeight="1">
      <c r="D40" s="175"/>
      <c r="F40" s="175"/>
      <c r="G40" s="175"/>
      <c r="H40" s="177"/>
      <c r="I40" s="176"/>
    </row>
  </sheetData>
  <mergeCells count="1">
    <mergeCell ref="D3:K4"/>
  </mergeCells>
  <pageMargins left="0.511811024" right="0.511811024" top="0.78740157499999996" bottom="0.78740157499999996" header="0.31496062000000002" footer="0.31496062000000002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3D096-3EF2-43E6-A383-C48E59CC2372}">
  <sheetPr codeName="Planilha44"/>
  <dimension ref="E2:N110"/>
  <sheetViews>
    <sheetView topLeftCell="A42" workbookViewId="0">
      <selection activeCell="C12" sqref="C12"/>
    </sheetView>
  </sheetViews>
  <sheetFormatPr defaultRowHeight="13.9" customHeight="1"/>
  <cols>
    <col min="3" max="4" width="8.85546875" customWidth="1"/>
    <col min="5" max="5" width="12" customWidth="1"/>
    <col min="6" max="6" width="38.42578125" customWidth="1"/>
    <col min="7" max="7" width="26.7109375" customWidth="1"/>
    <col min="8" max="8" width="17.28515625" customWidth="1"/>
    <col min="9" max="9" width="38.7109375" customWidth="1"/>
    <col min="10" max="10" width="35.42578125" customWidth="1"/>
    <col min="11" max="11" width="19.7109375" style="144" customWidth="1"/>
    <col min="12" max="12" width="19" customWidth="1"/>
    <col min="13" max="13" width="15.85546875" customWidth="1"/>
    <col min="14" max="14" width="70.7109375" customWidth="1"/>
    <col min="15" max="15" width="12.42578125" customWidth="1"/>
  </cols>
  <sheetData>
    <row r="2" spans="5:14" ht="13.9" customHeight="1">
      <c r="E2" s="296" t="s">
        <v>157</v>
      </c>
      <c r="F2" s="297"/>
      <c r="G2" s="297"/>
      <c r="H2" s="297"/>
      <c r="I2" s="297"/>
      <c r="J2" s="297"/>
      <c r="K2" s="297"/>
      <c r="L2" s="297"/>
      <c r="M2" s="297"/>
      <c r="N2" s="297"/>
    </row>
    <row r="3" spans="5:14" ht="13.9" customHeight="1">
      <c r="E3" s="297"/>
      <c r="F3" s="297"/>
      <c r="G3" s="297"/>
      <c r="H3" s="297"/>
      <c r="I3" s="297"/>
      <c r="J3" s="297"/>
      <c r="K3" s="297"/>
      <c r="L3" s="297"/>
      <c r="M3" s="297"/>
      <c r="N3" s="297"/>
    </row>
    <row r="4" spans="5:14" ht="13.9" customHeight="1">
      <c r="E4" s="132" t="s">
        <v>131</v>
      </c>
      <c r="F4" s="133" t="s">
        <v>113</v>
      </c>
      <c r="G4" s="134" t="s">
        <v>121</v>
      </c>
      <c r="H4" s="134" t="s">
        <v>158</v>
      </c>
      <c r="I4" s="134" t="s">
        <v>159</v>
      </c>
      <c r="J4" s="135" t="s">
        <v>132</v>
      </c>
      <c r="K4" s="136" t="s">
        <v>160</v>
      </c>
      <c r="L4" s="137" t="s">
        <v>133</v>
      </c>
      <c r="M4" s="134" t="s">
        <v>161</v>
      </c>
      <c r="N4" s="137" t="s">
        <v>162</v>
      </c>
    </row>
    <row r="5" spans="5:14" ht="13.9" customHeight="1">
      <c r="E5" s="138" t="s">
        <v>163</v>
      </c>
      <c r="F5" s="139" t="s">
        <v>151</v>
      </c>
      <c r="G5" s="140" t="s">
        <v>164</v>
      </c>
      <c r="H5" s="140" t="s">
        <v>165</v>
      </c>
      <c r="I5" s="140" t="s">
        <v>166</v>
      </c>
      <c r="J5" s="140" t="s">
        <v>167</v>
      </c>
      <c r="K5" s="141">
        <v>3</v>
      </c>
      <c r="L5" s="2" t="e">
        <f>INDEX('[1]COMP|MATERIAPRIMA'!$L$13,MATCH('[1]COMP|MATERIAPRIMA'!$L$10,'[1]banco de dados_compras'!F5:F24,0))</f>
        <v>#REF!</v>
      </c>
      <c r="M5" s="141" t="e">
        <f>K5*L5</f>
        <v>#REF!</v>
      </c>
      <c r="N5" s="142" t="s">
        <v>168</v>
      </c>
    </row>
    <row r="6" spans="5:14" ht="13.9" customHeight="1">
      <c r="E6" s="138" t="s">
        <v>169</v>
      </c>
      <c r="F6" s="139" t="s">
        <v>114</v>
      </c>
      <c r="G6" s="140" t="s">
        <v>170</v>
      </c>
      <c r="H6" s="140" t="s">
        <v>171</v>
      </c>
      <c r="I6" s="140" t="s">
        <v>172</v>
      </c>
      <c r="J6" s="140" t="s">
        <v>139</v>
      </c>
      <c r="K6" s="141">
        <v>20</v>
      </c>
      <c r="L6" s="2" t="e">
        <f>INDEX('[1]COMP|MATERIAPRIMA'!$L$13,MATCH('[1]COMP|MATERIAPRIMA'!$L$10,'[1]banco de dados_compras'!F6:F25,0))</f>
        <v>#REF!</v>
      </c>
      <c r="M6" s="141" t="e">
        <f t="shared" ref="M6:M24" si="0">K6*L6</f>
        <v>#REF!</v>
      </c>
      <c r="N6" s="142" t="s">
        <v>173</v>
      </c>
    </row>
    <row r="7" spans="5:14" ht="13.9" customHeight="1">
      <c r="E7" s="138" t="s">
        <v>140</v>
      </c>
      <c r="F7" s="139" t="s">
        <v>141</v>
      </c>
      <c r="G7" s="140" t="s">
        <v>142</v>
      </c>
      <c r="H7" s="140" t="s">
        <v>174</v>
      </c>
      <c r="I7" s="140" t="s">
        <v>175</v>
      </c>
      <c r="J7" s="140" t="s">
        <v>139</v>
      </c>
      <c r="K7" s="141">
        <v>15</v>
      </c>
      <c r="L7" s="2" t="e">
        <f>INDEX('[1]COMP|MATERIAPRIMA'!$L$13,MATCH('[1]COMP|MATERIAPRIMA'!$L$10,'[1]banco de dados_compras'!F7:F26,0))</f>
        <v>#REF!</v>
      </c>
      <c r="M7" s="141" t="e">
        <f t="shared" si="0"/>
        <v>#REF!</v>
      </c>
      <c r="N7" s="142" t="s">
        <v>176</v>
      </c>
    </row>
    <row r="8" spans="5:14" ht="13.9" customHeight="1">
      <c r="E8" s="138" t="s">
        <v>177</v>
      </c>
      <c r="F8" s="139" t="s">
        <v>178</v>
      </c>
      <c r="G8" s="140" t="s">
        <v>179</v>
      </c>
      <c r="H8" s="140" t="s">
        <v>180</v>
      </c>
      <c r="I8" s="140" t="s">
        <v>181</v>
      </c>
      <c r="J8" s="140" t="s">
        <v>139</v>
      </c>
      <c r="K8" s="141">
        <v>2</v>
      </c>
      <c r="L8" s="2" t="e">
        <f>INDEX('[1]COMP|MATERIAPRIMA'!$L$13,MATCH('[1]COMP|MATERIAPRIMA'!$L$10,'[1]banco de dados_compras'!F8:F27,0))</f>
        <v>#REF!</v>
      </c>
      <c r="M8" s="141" t="e">
        <f t="shared" si="0"/>
        <v>#REF!</v>
      </c>
      <c r="N8" s="142" t="s">
        <v>182</v>
      </c>
    </row>
    <row r="9" spans="5:14" ht="13.9" customHeight="1">
      <c r="E9" s="138" t="s">
        <v>136</v>
      </c>
      <c r="F9" s="139" t="s">
        <v>137</v>
      </c>
      <c r="G9" s="140" t="s">
        <v>138</v>
      </c>
      <c r="H9" s="140" t="s">
        <v>183</v>
      </c>
      <c r="I9" s="140" t="s">
        <v>184</v>
      </c>
      <c r="J9" s="140" t="s">
        <v>139</v>
      </c>
      <c r="K9" s="141">
        <v>7</v>
      </c>
      <c r="L9" s="2">
        <f>INDEX('[1]COMP|MATERIAPRIMA'!$L$13,MATCH('[1]COMP|MATERIAPRIMA'!$L$10,'[1]banco de dados_compras'!F9:F28,0))</f>
        <v>1</v>
      </c>
      <c r="M9" s="141">
        <f t="shared" si="0"/>
        <v>7</v>
      </c>
      <c r="N9" s="142" t="s">
        <v>185</v>
      </c>
    </row>
    <row r="10" spans="5:14" ht="13.9" customHeight="1">
      <c r="E10" s="138" t="s">
        <v>186</v>
      </c>
      <c r="F10" s="139" t="s">
        <v>187</v>
      </c>
      <c r="G10" s="140" t="s">
        <v>188</v>
      </c>
      <c r="H10" s="140" t="s">
        <v>189</v>
      </c>
      <c r="I10" s="140" t="s">
        <v>190</v>
      </c>
      <c r="J10" s="140" t="s">
        <v>139</v>
      </c>
      <c r="K10" s="141">
        <v>7</v>
      </c>
      <c r="L10" s="2" t="e">
        <f>INDEX('[1]COMP|MATERIAPRIMA'!$L$13,MATCH('[1]COMP|MATERIAPRIMA'!$L$10,'[1]banco de dados_compras'!F10:F29,0))</f>
        <v>#REF!</v>
      </c>
      <c r="M10" s="141" t="e">
        <f t="shared" si="0"/>
        <v>#REF!</v>
      </c>
      <c r="N10" s="142" t="s">
        <v>191</v>
      </c>
    </row>
    <row r="11" spans="5:14" ht="13.9" customHeight="1">
      <c r="E11" s="138" t="s">
        <v>192</v>
      </c>
      <c r="F11" s="139" t="s">
        <v>193</v>
      </c>
      <c r="G11" s="140" t="s">
        <v>194</v>
      </c>
      <c r="H11" s="140" t="s">
        <v>195</v>
      </c>
      <c r="I11" s="140" t="s">
        <v>196</v>
      </c>
      <c r="J11" s="140" t="s">
        <v>139</v>
      </c>
      <c r="K11" s="141">
        <v>7</v>
      </c>
      <c r="L11" s="2" t="e">
        <f>INDEX('[1]COMP|MATERIAPRIMA'!$L$13,MATCH('[1]COMP|MATERIAPRIMA'!$L$10,'[1]banco de dados_compras'!F11:F30,0))</f>
        <v>#REF!</v>
      </c>
      <c r="M11" s="141" t="e">
        <f>K11*L11</f>
        <v>#REF!</v>
      </c>
      <c r="N11" s="142" t="s">
        <v>197</v>
      </c>
    </row>
    <row r="12" spans="5:14" ht="13.9" customHeight="1">
      <c r="E12" s="138" t="s">
        <v>198</v>
      </c>
      <c r="F12" s="139" t="s">
        <v>199</v>
      </c>
      <c r="G12" s="140" t="s">
        <v>200</v>
      </c>
      <c r="H12" s="140" t="s">
        <v>201</v>
      </c>
      <c r="I12" s="140" t="s">
        <v>202</v>
      </c>
      <c r="J12" s="140" t="s">
        <v>139</v>
      </c>
      <c r="K12" s="141">
        <v>7</v>
      </c>
      <c r="L12" s="2" t="e">
        <f>INDEX('[1]COMP|MATERIAPRIMA'!$L$13,MATCH('[1]COMP|MATERIAPRIMA'!$L$10,'[1]banco de dados_compras'!F12:F31,0))</f>
        <v>#REF!</v>
      </c>
      <c r="M12" s="141" t="e">
        <f t="shared" si="0"/>
        <v>#REF!</v>
      </c>
      <c r="N12" s="142" t="s">
        <v>203</v>
      </c>
    </row>
    <row r="13" spans="5:14" ht="13.9" customHeight="1">
      <c r="E13" s="138" t="s">
        <v>204</v>
      </c>
      <c r="F13" s="139" t="s">
        <v>205</v>
      </c>
      <c r="G13" s="140" t="s">
        <v>206</v>
      </c>
      <c r="H13" s="140" t="s">
        <v>207</v>
      </c>
      <c r="I13" s="140" t="s">
        <v>208</v>
      </c>
      <c r="J13" s="140" t="s">
        <v>139</v>
      </c>
      <c r="K13" s="141">
        <v>7</v>
      </c>
      <c r="L13" s="2" t="e">
        <f>INDEX('[1]COMP|MATERIAPRIMA'!$L$13,MATCH('[1]COMP|MATERIAPRIMA'!$L$10,'[1]banco de dados_compras'!F13:F32,0))</f>
        <v>#REF!</v>
      </c>
      <c r="M13" s="141" t="e">
        <f t="shared" si="0"/>
        <v>#REF!</v>
      </c>
      <c r="N13" s="142" t="s">
        <v>209</v>
      </c>
    </row>
    <row r="14" spans="5:14" ht="13.9" customHeight="1">
      <c r="E14" s="138" t="s">
        <v>210</v>
      </c>
      <c r="F14" s="139" t="s">
        <v>211</v>
      </c>
      <c r="G14" s="140" t="s">
        <v>212</v>
      </c>
      <c r="H14" s="140" t="s">
        <v>213</v>
      </c>
      <c r="I14" s="140" t="s">
        <v>214</v>
      </c>
      <c r="J14" s="140" t="s">
        <v>139</v>
      </c>
      <c r="K14" s="141">
        <v>5</v>
      </c>
      <c r="L14" s="2" t="e">
        <f>INDEX('[1]COMP|MATERIAPRIMA'!$L$13,MATCH('[1]COMP|MATERIAPRIMA'!$L$10,'[1]banco de dados_compras'!F14:F33,0))</f>
        <v>#REF!</v>
      </c>
      <c r="M14" s="141" t="e">
        <f t="shared" si="0"/>
        <v>#REF!</v>
      </c>
      <c r="N14" s="142" t="s">
        <v>215</v>
      </c>
    </row>
    <row r="15" spans="5:14" ht="13.9" customHeight="1">
      <c r="E15" s="138" t="s">
        <v>216</v>
      </c>
      <c r="F15" s="139" t="s">
        <v>217</v>
      </c>
      <c r="G15" s="140" t="s">
        <v>218</v>
      </c>
      <c r="H15" s="140" t="s">
        <v>165</v>
      </c>
      <c r="I15" s="140" t="s">
        <v>219</v>
      </c>
      <c r="J15" s="140" t="s">
        <v>139</v>
      </c>
      <c r="K15" s="141">
        <v>20</v>
      </c>
      <c r="L15" s="2" t="e">
        <f>INDEX('[1]COMP|MATERIAPRIMA'!$L$13,MATCH('[1]COMP|MATERIAPRIMA'!$L$10,'[1]banco de dados_compras'!F15:F34,0))</f>
        <v>#REF!</v>
      </c>
      <c r="M15" s="141" t="e">
        <f t="shared" si="0"/>
        <v>#REF!</v>
      </c>
      <c r="N15" s="142" t="s">
        <v>220</v>
      </c>
    </row>
    <row r="16" spans="5:14" ht="13.9" customHeight="1">
      <c r="E16" s="138" t="s">
        <v>221</v>
      </c>
      <c r="F16" s="139" t="s">
        <v>222</v>
      </c>
      <c r="G16" s="140" t="s">
        <v>223</v>
      </c>
      <c r="H16" s="140" t="s">
        <v>171</v>
      </c>
      <c r="I16" s="140" t="s">
        <v>224</v>
      </c>
      <c r="J16" s="140" t="s">
        <v>139</v>
      </c>
      <c r="K16" s="141">
        <v>20</v>
      </c>
      <c r="L16" s="2" t="e">
        <f>INDEX('[1]COMP|MATERIAPRIMA'!$L$13,MATCH('[1]COMP|MATERIAPRIMA'!$L$10,'[1]banco de dados_compras'!F16:F35,0))</f>
        <v>#REF!</v>
      </c>
      <c r="M16" s="141" t="e">
        <f t="shared" si="0"/>
        <v>#REF!</v>
      </c>
      <c r="N16" s="142" t="s">
        <v>225</v>
      </c>
    </row>
    <row r="17" spans="5:14" ht="13.9" customHeight="1">
      <c r="E17" s="138" t="s">
        <v>226</v>
      </c>
      <c r="F17" s="139" t="s">
        <v>227</v>
      </c>
      <c r="G17" s="140" t="s">
        <v>228</v>
      </c>
      <c r="H17" s="140" t="s">
        <v>174</v>
      </c>
      <c r="I17" s="140" t="s">
        <v>229</v>
      </c>
      <c r="J17" s="140" t="s">
        <v>139</v>
      </c>
      <c r="K17" s="141">
        <v>20</v>
      </c>
      <c r="L17" s="2" t="e">
        <f>INDEX('[1]COMP|MATERIAPRIMA'!$L$13,MATCH('[1]COMP|MATERIAPRIMA'!$L$10,'[1]banco de dados_compras'!F17:F36,0))</f>
        <v>#REF!</v>
      </c>
      <c r="M17" s="141" t="e">
        <f t="shared" si="0"/>
        <v>#REF!</v>
      </c>
      <c r="N17" s="142" t="s">
        <v>230</v>
      </c>
    </row>
    <row r="18" spans="5:14" ht="13.9" customHeight="1">
      <c r="E18" s="138" t="s">
        <v>231</v>
      </c>
      <c r="F18" s="139" t="s">
        <v>232</v>
      </c>
      <c r="G18" s="140" t="s">
        <v>233</v>
      </c>
      <c r="H18" s="140" t="s">
        <v>180</v>
      </c>
      <c r="I18" s="140" t="s">
        <v>234</v>
      </c>
      <c r="J18" s="140" t="s">
        <v>139</v>
      </c>
      <c r="K18" s="141">
        <v>20</v>
      </c>
      <c r="L18" s="2" t="e">
        <f>INDEX('[1]COMP|MATERIAPRIMA'!$L$13,MATCH('[1]COMP|MATERIAPRIMA'!$L$10,'[1]banco de dados_compras'!F18:F37,0))</f>
        <v>#REF!</v>
      </c>
      <c r="M18" s="141" t="e">
        <f t="shared" si="0"/>
        <v>#REF!</v>
      </c>
      <c r="N18" s="142" t="s">
        <v>235</v>
      </c>
    </row>
    <row r="19" spans="5:14" ht="13.9" customHeight="1">
      <c r="E19" s="138" t="s">
        <v>236</v>
      </c>
      <c r="F19" s="139" t="s">
        <v>237</v>
      </c>
      <c r="G19" s="140" t="s">
        <v>238</v>
      </c>
      <c r="H19" s="140" t="s">
        <v>183</v>
      </c>
      <c r="I19" s="140" t="s">
        <v>239</v>
      </c>
      <c r="J19" s="140" t="s">
        <v>139</v>
      </c>
      <c r="K19" s="141">
        <v>20</v>
      </c>
      <c r="L19" s="2" t="e">
        <f>INDEX('[1]COMP|MATERIAPRIMA'!$L$13,MATCH('[1]COMP|MATERIAPRIMA'!$L$10,'[1]banco de dados_compras'!F19:F38,0))</f>
        <v>#REF!</v>
      </c>
      <c r="M19" s="141" t="e">
        <f t="shared" si="0"/>
        <v>#REF!</v>
      </c>
      <c r="N19" s="142" t="s">
        <v>240</v>
      </c>
    </row>
    <row r="20" spans="5:14" ht="13.9" customHeight="1">
      <c r="E20" s="138" t="s">
        <v>241</v>
      </c>
      <c r="F20" s="139" t="s">
        <v>242</v>
      </c>
      <c r="G20" s="140" t="s">
        <v>243</v>
      </c>
      <c r="H20" s="140" t="s">
        <v>189</v>
      </c>
      <c r="I20" s="140" t="s">
        <v>244</v>
      </c>
      <c r="J20" s="140" t="s">
        <v>139</v>
      </c>
      <c r="K20" s="141">
        <v>30</v>
      </c>
      <c r="L20" s="2" t="e">
        <f>INDEX('[1]COMP|MATERIAPRIMA'!$L$13,MATCH('[1]COMP|MATERIAPRIMA'!$L$10,'[1]banco de dados_compras'!F20:F40,0))</f>
        <v>#REF!</v>
      </c>
      <c r="M20" s="141" t="e">
        <f t="shared" si="0"/>
        <v>#REF!</v>
      </c>
      <c r="N20" s="142" t="s">
        <v>245</v>
      </c>
    </row>
    <row r="21" spans="5:14" ht="13.9" customHeight="1">
      <c r="E21" s="138" t="s">
        <v>246</v>
      </c>
      <c r="F21" s="139" t="s">
        <v>247</v>
      </c>
      <c r="G21" s="140" t="s">
        <v>248</v>
      </c>
      <c r="H21" s="140" t="s">
        <v>195</v>
      </c>
      <c r="I21" s="140" t="s">
        <v>249</v>
      </c>
      <c r="J21" s="140" t="s">
        <v>139</v>
      </c>
      <c r="K21" s="141">
        <v>35</v>
      </c>
      <c r="L21" s="2" t="e">
        <f>INDEX('[1]COMP|MATERIAPRIMA'!$L$13,MATCH('[1]COMP|MATERIAPRIMA'!$L$10,'[1]banco de dados_compras'!F21:F41,0))</f>
        <v>#REF!</v>
      </c>
      <c r="M21" s="141" t="e">
        <f t="shared" si="0"/>
        <v>#REF!</v>
      </c>
      <c r="N21" s="142" t="s">
        <v>250</v>
      </c>
    </row>
    <row r="22" spans="5:14" ht="13.9" customHeight="1">
      <c r="E22" s="138" t="s">
        <v>251</v>
      </c>
      <c r="F22" s="139" t="s">
        <v>252</v>
      </c>
      <c r="G22" s="140" t="s">
        <v>253</v>
      </c>
      <c r="H22" s="140" t="s">
        <v>201</v>
      </c>
      <c r="I22" s="140" t="s">
        <v>254</v>
      </c>
      <c r="J22" s="140" t="s">
        <v>139</v>
      </c>
      <c r="K22" s="141">
        <v>30</v>
      </c>
      <c r="L22" s="2" t="e">
        <f>INDEX('[1]COMP|MATERIAPRIMA'!$L$13,MATCH('[1]COMP|MATERIAPRIMA'!$L$10,'[1]banco de dados_compras'!F22:F42,0))</f>
        <v>#REF!</v>
      </c>
      <c r="M22" s="141" t="e">
        <f t="shared" si="0"/>
        <v>#REF!</v>
      </c>
      <c r="N22" s="142" t="s">
        <v>255</v>
      </c>
    </row>
    <row r="23" spans="5:14" ht="13.9" customHeight="1">
      <c r="E23" s="138" t="s">
        <v>256</v>
      </c>
      <c r="F23" s="139" t="s">
        <v>257</v>
      </c>
      <c r="G23" s="140" t="s">
        <v>258</v>
      </c>
      <c r="H23" s="140" t="s">
        <v>207</v>
      </c>
      <c r="I23" s="140" t="s">
        <v>259</v>
      </c>
      <c r="J23" s="140" t="s">
        <v>139</v>
      </c>
      <c r="K23" s="141">
        <v>15</v>
      </c>
      <c r="L23" s="2" t="e">
        <f>INDEX('[1]COMP|MATERIAPRIMA'!$L$13,MATCH('[1]COMP|MATERIAPRIMA'!$L$10,'[1]banco de dados_compras'!F23:F43,0))</f>
        <v>#REF!</v>
      </c>
      <c r="M23" s="141" t="e">
        <f t="shared" si="0"/>
        <v>#REF!</v>
      </c>
      <c r="N23" s="142" t="s">
        <v>260</v>
      </c>
    </row>
    <row r="24" spans="5:14" ht="13.9" customHeight="1">
      <c r="E24" s="138" t="s">
        <v>261</v>
      </c>
      <c r="F24" s="139" t="s">
        <v>262</v>
      </c>
      <c r="G24" s="140" t="s">
        <v>263</v>
      </c>
      <c r="H24" s="140" t="s">
        <v>213</v>
      </c>
      <c r="I24" s="140" t="s">
        <v>264</v>
      </c>
      <c r="J24" s="140" t="s">
        <v>139</v>
      </c>
      <c r="K24" s="141">
        <v>20</v>
      </c>
      <c r="L24" s="2" t="e">
        <f>INDEX('[1]COMP|MATERIAPRIMA'!$L$13,MATCH('[1]COMP|MATERIAPRIMA'!$L$10,'[1]banco de dados_compras'!F24:F44,0))</f>
        <v>#REF!</v>
      </c>
      <c r="M24" s="141" t="e">
        <f t="shared" si="0"/>
        <v>#REF!</v>
      </c>
      <c r="N24" s="142" t="s">
        <v>265</v>
      </c>
    </row>
    <row r="26" spans="5:14" ht="13.9" customHeight="1">
      <c r="H26" s="143"/>
    </row>
    <row r="27" spans="5:14" ht="13.9" customHeight="1">
      <c r="E27" s="145" t="s">
        <v>113</v>
      </c>
      <c r="F27" s="146" t="str">
        <f>'[1]COMP|MATERIAPRIMA'!L10</f>
        <v>Aromatizante de banana</v>
      </c>
      <c r="G27" s="146"/>
      <c r="H27" s="143"/>
    </row>
    <row r="28" spans="5:14" ht="13.9" customHeight="1">
      <c r="E28" s="145" t="s">
        <v>266</v>
      </c>
      <c r="F28" s="146">
        <f>'[1]COMP|MATERIAPRIMA'!L13</f>
        <v>1</v>
      </c>
    </row>
    <row r="29" spans="5:14" ht="13.9" customHeight="1">
      <c r="E29" s="145" t="s">
        <v>267</v>
      </c>
      <c r="F29" s="146">
        <f>'[1]COMP|MATERIAPRIMA'!L16</f>
        <v>7</v>
      </c>
    </row>
    <row r="30" spans="5:14" ht="13.9" customHeight="1">
      <c r="E30" s="145" t="s">
        <v>131</v>
      </c>
      <c r="F30" s="146" t="str">
        <f>'[1]COMP|MATERIAPRIMA'!J21</f>
        <v>100-10</v>
      </c>
    </row>
    <row r="31" spans="5:14" ht="13.9" customHeight="1">
      <c r="E31" s="145" t="s">
        <v>121</v>
      </c>
      <c r="F31" s="146" t="str">
        <f>'[1]COMP|MATERIAPRIMA'!J23</f>
        <v>BioCultivar</v>
      </c>
    </row>
    <row r="32" spans="5:14" ht="13.9" customHeight="1">
      <c r="E32" s="145" t="s">
        <v>132</v>
      </c>
      <c r="F32" s="146" t="str">
        <f>'[1]COMP|MATERIAPRIMA'!J31</f>
        <v>KG</v>
      </c>
    </row>
    <row r="33" spans="5:14" ht="13.9" customHeight="1">
      <c r="E33" s="145" t="s">
        <v>268</v>
      </c>
      <c r="F33" s="146">
        <f>'[1]COMP|MATERIAPRIMA'!J33</f>
        <v>7</v>
      </c>
    </row>
    <row r="34" spans="5:14" ht="13.9" customHeight="1">
      <c r="E34" s="145" t="s">
        <v>135</v>
      </c>
      <c r="F34" s="147">
        <f>'[1]COMP|MATERIAPRIMA'!J35</f>
        <v>45447</v>
      </c>
      <c r="H34" s="143"/>
    </row>
    <row r="35" spans="5:14" ht="13.9" customHeight="1">
      <c r="H35" s="143"/>
    </row>
    <row r="36" spans="5:14" ht="13.9" customHeight="1">
      <c r="E36" s="298" t="s">
        <v>269</v>
      </c>
      <c r="F36" s="297"/>
      <c r="G36" s="297"/>
      <c r="H36" s="297"/>
      <c r="I36" s="297"/>
      <c r="J36" s="297"/>
      <c r="K36" s="297"/>
      <c r="L36" s="297"/>
      <c r="M36" s="297"/>
      <c r="N36" s="297"/>
    </row>
    <row r="37" spans="5:14" ht="13.9" customHeight="1">
      <c r="E37" s="297"/>
      <c r="F37" s="297"/>
      <c r="G37" s="297"/>
      <c r="H37" s="297"/>
      <c r="I37" s="297"/>
      <c r="J37" s="297"/>
      <c r="K37" s="297"/>
      <c r="L37" s="297"/>
      <c r="M37" s="297"/>
      <c r="N37" s="297"/>
    </row>
    <row r="38" spans="5:14" ht="13.9" customHeight="1">
      <c r="E38" s="132" t="s">
        <v>131</v>
      </c>
      <c r="F38" s="148" t="s">
        <v>113</v>
      </c>
      <c r="G38" s="137" t="s">
        <v>121</v>
      </c>
      <c r="H38" s="137" t="s">
        <v>158</v>
      </c>
      <c r="I38" s="137" t="s">
        <v>159</v>
      </c>
      <c r="J38" s="149" t="s">
        <v>145</v>
      </c>
      <c r="K38" s="150" t="s">
        <v>270</v>
      </c>
      <c r="L38" s="137" t="s">
        <v>133</v>
      </c>
      <c r="M38" s="137" t="s">
        <v>161</v>
      </c>
      <c r="N38" s="137" t="s">
        <v>162</v>
      </c>
    </row>
    <row r="39" spans="5:14" ht="13.9" customHeight="1">
      <c r="E39" s="151" t="s">
        <v>271</v>
      </c>
      <c r="F39" s="142" t="s">
        <v>272</v>
      </c>
      <c r="G39" s="142" t="s">
        <v>273</v>
      </c>
      <c r="H39" s="142" t="s">
        <v>274</v>
      </c>
      <c r="I39" s="142" t="s">
        <v>275</v>
      </c>
      <c r="J39" s="142" t="s">
        <v>276</v>
      </c>
      <c r="K39" s="141">
        <v>3500</v>
      </c>
      <c r="L39" s="142" t="e">
        <f>INDEX('[1]COMP|PRD_INT'!$M$13,MATCH('[1]COMP|PRD_INT'!$M$10,'[1]banco de dados_compras'!F39:F73,0))</f>
        <v>#REF!</v>
      </c>
      <c r="M39" s="141" t="e">
        <f>K39*L39</f>
        <v>#REF!</v>
      </c>
      <c r="N39" s="142" t="s">
        <v>277</v>
      </c>
    </row>
    <row r="40" spans="5:14" ht="13.9" customHeight="1">
      <c r="E40" s="151" t="s">
        <v>278</v>
      </c>
      <c r="F40" s="142" t="s">
        <v>279</v>
      </c>
      <c r="G40" s="142" t="s">
        <v>273</v>
      </c>
      <c r="H40" s="142" t="s">
        <v>280</v>
      </c>
      <c r="I40" s="142" t="s">
        <v>275</v>
      </c>
      <c r="J40" s="142" t="s">
        <v>276</v>
      </c>
      <c r="K40" s="141">
        <v>4200</v>
      </c>
      <c r="L40" s="142" t="e">
        <f>INDEX('[1]COMP|PRD_INT'!$M$13,MATCH('[1]COMP|PRD_INT'!$M$10,'[1]banco de dados_compras'!F40:F74,0))</f>
        <v>#REF!</v>
      </c>
      <c r="M40" s="141" t="e">
        <f t="shared" ref="M40:M73" si="1">K40*L40</f>
        <v>#REF!</v>
      </c>
      <c r="N40" s="142" t="s">
        <v>281</v>
      </c>
    </row>
    <row r="41" spans="5:14" ht="13.9" customHeight="1">
      <c r="E41" s="151" t="s">
        <v>282</v>
      </c>
      <c r="F41" s="142" t="s">
        <v>283</v>
      </c>
      <c r="G41" s="142" t="s">
        <v>273</v>
      </c>
      <c r="H41" s="142" t="s">
        <v>284</v>
      </c>
      <c r="I41" s="142" t="s">
        <v>275</v>
      </c>
      <c r="J41" s="142" t="s">
        <v>276</v>
      </c>
      <c r="K41" s="141">
        <v>800</v>
      </c>
      <c r="L41" s="142" t="e">
        <f>INDEX('[1]COMP|PRD_INT'!$M$13,MATCH('[1]COMP|PRD_INT'!$M$10,'[1]banco de dados_compras'!F41:F75,0))</f>
        <v>#REF!</v>
      </c>
      <c r="M41" s="141" t="e">
        <f t="shared" si="1"/>
        <v>#REF!</v>
      </c>
      <c r="N41" s="142" t="s">
        <v>285</v>
      </c>
    </row>
    <row r="42" spans="5:14" ht="13.9" customHeight="1">
      <c r="E42" s="151" t="s">
        <v>286</v>
      </c>
      <c r="F42" s="142" t="s">
        <v>287</v>
      </c>
      <c r="G42" s="142" t="s">
        <v>273</v>
      </c>
      <c r="H42" s="142" t="s">
        <v>288</v>
      </c>
      <c r="I42" s="142" t="s">
        <v>275</v>
      </c>
      <c r="J42" s="142" t="s">
        <v>276</v>
      </c>
      <c r="K42" s="141">
        <v>150</v>
      </c>
      <c r="L42" s="142" t="e">
        <f>INDEX('[1]COMP|PRD_INT'!$M$13,MATCH('[1]COMP|PRD_INT'!$M$10,'[1]banco de dados_compras'!F42:F76,0))</f>
        <v>#REF!</v>
      </c>
      <c r="M42" s="141" t="e">
        <f t="shared" si="1"/>
        <v>#REF!</v>
      </c>
      <c r="N42" s="142" t="s">
        <v>289</v>
      </c>
    </row>
    <row r="43" spans="5:14" ht="13.9" customHeight="1">
      <c r="E43" s="151" t="s">
        <v>290</v>
      </c>
      <c r="F43" s="142" t="s">
        <v>291</v>
      </c>
      <c r="G43" s="142" t="s">
        <v>273</v>
      </c>
      <c r="H43" s="142" t="s">
        <v>292</v>
      </c>
      <c r="I43" s="142" t="s">
        <v>275</v>
      </c>
      <c r="J43" s="142" t="s">
        <v>276</v>
      </c>
      <c r="K43" s="141">
        <v>100</v>
      </c>
      <c r="L43" s="142" t="e">
        <f>INDEX('[1]COMP|PRD_INT'!$M$13,MATCH('[1]COMP|PRD_INT'!$M$10,'[1]banco de dados_compras'!F43:F77,0))</f>
        <v>#REF!</v>
      </c>
      <c r="M43" s="141" t="e">
        <f t="shared" si="1"/>
        <v>#REF!</v>
      </c>
      <c r="N43" s="142" t="s">
        <v>293</v>
      </c>
    </row>
    <row r="44" spans="5:14" ht="13.9" customHeight="1">
      <c r="E44" s="151" t="s">
        <v>294</v>
      </c>
      <c r="F44" s="142" t="s">
        <v>295</v>
      </c>
      <c r="G44" s="142" t="s">
        <v>273</v>
      </c>
      <c r="H44" s="142" t="s">
        <v>296</v>
      </c>
      <c r="I44" s="142" t="s">
        <v>275</v>
      </c>
      <c r="J44" s="142" t="s">
        <v>276</v>
      </c>
      <c r="K44" s="141">
        <v>900</v>
      </c>
      <c r="L44" s="142" t="e">
        <f>INDEX('[1]COMP|PRD_INT'!$M$13,MATCH('[1]COMP|PRD_INT'!$M$10,'[1]banco de dados_compras'!F44:F78,0))</f>
        <v>#REF!</v>
      </c>
      <c r="M44" s="141" t="e">
        <f t="shared" si="1"/>
        <v>#REF!</v>
      </c>
      <c r="N44" s="142" t="s">
        <v>297</v>
      </c>
    </row>
    <row r="45" spans="5:14" ht="13.9" customHeight="1">
      <c r="E45" s="151" t="s">
        <v>298</v>
      </c>
      <c r="F45" s="142" t="s">
        <v>299</v>
      </c>
      <c r="G45" s="142" t="s">
        <v>273</v>
      </c>
      <c r="H45" s="142" t="s">
        <v>300</v>
      </c>
      <c r="I45" s="142" t="s">
        <v>275</v>
      </c>
      <c r="J45" s="142" t="s">
        <v>276</v>
      </c>
      <c r="K45" s="141">
        <v>600</v>
      </c>
      <c r="L45" s="142" t="e">
        <f>INDEX('[1]COMP|PRD_INT'!$M$13,MATCH('[1]COMP|PRD_INT'!$M$10,'[1]banco de dados_compras'!F45:F79,0))</f>
        <v>#REF!</v>
      </c>
      <c r="M45" s="141" t="e">
        <f t="shared" si="1"/>
        <v>#REF!</v>
      </c>
      <c r="N45" s="142" t="s">
        <v>301</v>
      </c>
    </row>
    <row r="46" spans="5:14" ht="13.9" customHeight="1">
      <c r="E46" s="151" t="s">
        <v>302</v>
      </c>
      <c r="F46" s="142" t="s">
        <v>303</v>
      </c>
      <c r="G46" s="142" t="s">
        <v>273</v>
      </c>
      <c r="H46" s="142" t="s">
        <v>304</v>
      </c>
      <c r="I46" s="142" t="s">
        <v>275</v>
      </c>
      <c r="J46" s="142" t="s">
        <v>276</v>
      </c>
      <c r="K46" s="141">
        <v>200</v>
      </c>
      <c r="L46" s="142" t="e">
        <f>INDEX('[1]COMP|PRD_INT'!$M$13,MATCH('[1]COMP|PRD_INT'!$M$10,'[1]banco de dados_compras'!F46:F80,0))</f>
        <v>#REF!</v>
      </c>
      <c r="M46" s="141" t="e">
        <f t="shared" si="1"/>
        <v>#REF!</v>
      </c>
      <c r="N46" s="142" t="s">
        <v>305</v>
      </c>
    </row>
    <row r="47" spans="5:14" ht="13.9" customHeight="1">
      <c r="E47" s="151" t="s">
        <v>306</v>
      </c>
      <c r="F47" s="142" t="s">
        <v>307</v>
      </c>
      <c r="G47" s="142" t="s">
        <v>148</v>
      </c>
      <c r="H47" s="142" t="s">
        <v>308</v>
      </c>
      <c r="I47" s="142" t="s">
        <v>309</v>
      </c>
      <c r="J47" s="142" t="s">
        <v>149</v>
      </c>
      <c r="K47" s="141">
        <v>1200</v>
      </c>
      <c r="L47" s="142" t="e">
        <f>INDEX('[1]COMP|PRD_INT'!$M$13,MATCH('[1]COMP|PRD_INT'!$M$10,'[1]banco de dados_compras'!F47:F81,0))</f>
        <v>#REF!</v>
      </c>
      <c r="M47" s="141" t="e">
        <f t="shared" si="1"/>
        <v>#REF!</v>
      </c>
      <c r="N47" s="142" t="s">
        <v>310</v>
      </c>
    </row>
    <row r="48" spans="5:14" ht="13.9" customHeight="1">
      <c r="E48" s="151" t="s">
        <v>147</v>
      </c>
      <c r="F48" s="142" t="s">
        <v>144</v>
      </c>
      <c r="G48" s="142" t="s">
        <v>148</v>
      </c>
      <c r="H48" s="142" t="s">
        <v>311</v>
      </c>
      <c r="I48" s="142" t="s">
        <v>309</v>
      </c>
      <c r="J48" s="142" t="s">
        <v>149</v>
      </c>
      <c r="K48" s="141">
        <v>3000</v>
      </c>
      <c r="L48" s="142">
        <f>INDEX('[1]COMP|PRD_INT'!$M$13,MATCH('[1]COMP|PRD_INT'!$M$10,'[1]banco de dados_compras'!F48:F82,0))</f>
        <v>7</v>
      </c>
      <c r="M48" s="141">
        <f t="shared" si="1"/>
        <v>21000</v>
      </c>
      <c r="N48" s="142" t="s">
        <v>312</v>
      </c>
    </row>
    <row r="49" spans="5:14" ht="13.9" customHeight="1">
      <c r="E49" s="151" t="s">
        <v>313</v>
      </c>
      <c r="F49" s="142" t="s">
        <v>314</v>
      </c>
      <c r="G49" s="142" t="s">
        <v>148</v>
      </c>
      <c r="H49" s="142" t="s">
        <v>315</v>
      </c>
      <c r="I49" s="142" t="s">
        <v>309</v>
      </c>
      <c r="J49" s="142" t="s">
        <v>149</v>
      </c>
      <c r="K49" s="141">
        <v>1500</v>
      </c>
      <c r="L49" s="142" t="e">
        <f>INDEX('[1]COMP|PRD_INT'!$M$13,MATCH('[1]COMP|PRD_INT'!$M$10,'[1]banco de dados_compras'!F49:F83,0))</f>
        <v>#REF!</v>
      </c>
      <c r="M49" s="141" t="e">
        <f t="shared" si="1"/>
        <v>#REF!</v>
      </c>
      <c r="N49" s="142" t="s">
        <v>316</v>
      </c>
    </row>
    <row r="50" spans="5:14" ht="13.9" customHeight="1">
      <c r="E50" s="151" t="s">
        <v>317</v>
      </c>
      <c r="F50" s="142" t="s">
        <v>318</v>
      </c>
      <c r="G50" s="142" t="s">
        <v>148</v>
      </c>
      <c r="H50" s="142" t="s">
        <v>319</v>
      </c>
      <c r="I50" s="142" t="s">
        <v>309</v>
      </c>
      <c r="J50" s="142" t="s">
        <v>149</v>
      </c>
      <c r="K50" s="141">
        <v>700</v>
      </c>
      <c r="L50" s="142" t="e">
        <f>INDEX('[1]COMP|PRD_INT'!$M$13,MATCH('[1]COMP|PRD_INT'!$M$10,'[1]banco de dados_compras'!F50:F84,0))</f>
        <v>#REF!</v>
      </c>
      <c r="M50" s="141" t="e">
        <f t="shared" si="1"/>
        <v>#REF!</v>
      </c>
      <c r="N50" s="142" t="s">
        <v>320</v>
      </c>
    </row>
    <row r="51" spans="5:14" ht="13.9" customHeight="1">
      <c r="E51" s="151" t="s">
        <v>321</v>
      </c>
      <c r="F51" s="142" t="s">
        <v>322</v>
      </c>
      <c r="G51" s="142" t="s">
        <v>148</v>
      </c>
      <c r="H51" s="142" t="s">
        <v>323</v>
      </c>
      <c r="I51" s="142" t="s">
        <v>309</v>
      </c>
      <c r="J51" s="142" t="s">
        <v>149</v>
      </c>
      <c r="K51" s="141">
        <v>20</v>
      </c>
      <c r="L51" s="142" t="e">
        <f>INDEX('[1]COMP|PRD_INT'!$M$13,MATCH('[1]COMP|PRD_INT'!$M$10,'[1]banco de dados_compras'!F51:F85,0))</f>
        <v>#REF!</v>
      </c>
      <c r="M51" s="141" t="e">
        <f t="shared" si="1"/>
        <v>#REF!</v>
      </c>
      <c r="N51" s="142" t="s">
        <v>324</v>
      </c>
    </row>
    <row r="52" spans="5:14" ht="13.9" customHeight="1">
      <c r="E52" s="151" t="s">
        <v>325</v>
      </c>
      <c r="F52" s="142" t="s">
        <v>326</v>
      </c>
      <c r="G52" s="142" t="s">
        <v>148</v>
      </c>
      <c r="H52" s="142" t="s">
        <v>327</v>
      </c>
      <c r="I52" s="142" t="s">
        <v>309</v>
      </c>
      <c r="J52" s="142" t="s">
        <v>149</v>
      </c>
      <c r="K52" s="141">
        <v>5</v>
      </c>
      <c r="L52" s="142" t="e">
        <f>INDEX('[1]COMP|PRD_INT'!$M$13,MATCH('[1]COMP|PRD_INT'!$M$10,'[1]banco de dados_compras'!F52:F85,0))</f>
        <v>#REF!</v>
      </c>
      <c r="M52" s="141" t="e">
        <f t="shared" si="1"/>
        <v>#REF!</v>
      </c>
      <c r="N52" s="142" t="s">
        <v>328</v>
      </c>
    </row>
    <row r="53" spans="5:14" ht="13.9" customHeight="1">
      <c r="E53" s="151" t="s">
        <v>329</v>
      </c>
      <c r="F53" s="142" t="s">
        <v>330</v>
      </c>
      <c r="G53" s="142" t="s">
        <v>148</v>
      </c>
      <c r="H53" s="142" t="s">
        <v>331</v>
      </c>
      <c r="I53" s="142" t="s">
        <v>309</v>
      </c>
      <c r="J53" s="142" t="s">
        <v>149</v>
      </c>
      <c r="K53" s="141">
        <v>4</v>
      </c>
      <c r="L53" s="142" t="e">
        <f>INDEX('[1]COMP|PRD_INT'!$M$13,MATCH('[1]COMP|PRD_INT'!$M$10,'[1]banco de dados_compras'!F53:F85,0))</f>
        <v>#REF!</v>
      </c>
      <c r="M53" s="141" t="e">
        <f t="shared" si="1"/>
        <v>#REF!</v>
      </c>
      <c r="N53" s="142" t="s">
        <v>332</v>
      </c>
    </row>
    <row r="54" spans="5:14" ht="13.9" customHeight="1">
      <c r="E54" s="151" t="s">
        <v>333</v>
      </c>
      <c r="F54" s="142" t="s">
        <v>334</v>
      </c>
      <c r="G54" s="142" t="s">
        <v>148</v>
      </c>
      <c r="H54" s="142" t="s">
        <v>335</v>
      </c>
      <c r="I54" s="142" t="s">
        <v>309</v>
      </c>
      <c r="J54" s="142" t="s">
        <v>149</v>
      </c>
      <c r="K54" s="141">
        <v>8</v>
      </c>
      <c r="L54" s="142" t="e">
        <f>INDEX('[1]COMP|PRD_INT'!$M$13,MATCH('[1]COMP|PRD_INT'!$M$10,'[1]banco de dados_compras'!F54:F85,0))</f>
        <v>#REF!</v>
      </c>
      <c r="M54" s="141" t="e">
        <f t="shared" si="1"/>
        <v>#REF!</v>
      </c>
      <c r="N54" s="142" t="s">
        <v>336</v>
      </c>
    </row>
    <row r="55" spans="5:14" ht="13.9" customHeight="1">
      <c r="E55" s="151" t="s">
        <v>337</v>
      </c>
      <c r="F55" s="142" t="s">
        <v>338</v>
      </c>
      <c r="G55" s="142" t="s">
        <v>148</v>
      </c>
      <c r="H55" s="142" t="s">
        <v>339</v>
      </c>
      <c r="I55" s="142" t="s">
        <v>309</v>
      </c>
      <c r="J55" s="142" t="s">
        <v>149</v>
      </c>
      <c r="K55" s="141">
        <v>15</v>
      </c>
      <c r="L55" s="142" t="e">
        <f>INDEX('[1]COMP|PRD_INT'!$M$13,MATCH('[1]COMP|PRD_INT'!$M$10,'[1]banco de dados_compras'!F55:F85,0))</f>
        <v>#REF!</v>
      </c>
      <c r="M55" s="141" t="e">
        <f t="shared" si="1"/>
        <v>#REF!</v>
      </c>
      <c r="N55" s="142" t="s">
        <v>340</v>
      </c>
    </row>
    <row r="56" spans="5:14" ht="13.9" customHeight="1">
      <c r="E56" s="151" t="s">
        <v>341</v>
      </c>
      <c r="F56" s="142" t="s">
        <v>342</v>
      </c>
      <c r="G56" s="142" t="s">
        <v>148</v>
      </c>
      <c r="H56" s="142" t="s">
        <v>343</v>
      </c>
      <c r="I56" s="142" t="s">
        <v>309</v>
      </c>
      <c r="J56" s="142" t="s">
        <v>149</v>
      </c>
      <c r="K56" s="141">
        <v>25</v>
      </c>
      <c r="L56" s="142" t="e">
        <f>INDEX('[1]COMP|PRD_INT'!$M$13,MATCH('[1]COMP|PRD_INT'!$M$10,'[1]banco de dados_compras'!F56:F85,0))</f>
        <v>#REF!</v>
      </c>
      <c r="M56" s="141" t="e">
        <f t="shared" si="1"/>
        <v>#REF!</v>
      </c>
      <c r="N56" s="142" t="s">
        <v>344</v>
      </c>
    </row>
    <row r="57" spans="5:14" ht="13.9" customHeight="1">
      <c r="E57" s="151" t="s">
        <v>345</v>
      </c>
      <c r="F57" s="142" t="s">
        <v>346</v>
      </c>
      <c r="G57" s="142" t="s">
        <v>347</v>
      </c>
      <c r="H57" s="142" t="s">
        <v>348</v>
      </c>
      <c r="I57" s="142" t="s">
        <v>349</v>
      </c>
      <c r="J57" s="142" t="s">
        <v>350</v>
      </c>
      <c r="K57" s="141">
        <v>10</v>
      </c>
      <c r="L57" s="142" t="e">
        <f>INDEX('[1]COMP|PRD_INT'!$M$13,MATCH('[1]COMP|PRD_INT'!$M$10,'[1]banco de dados_compras'!F57:F85,0))</f>
        <v>#REF!</v>
      </c>
      <c r="M57" s="141" t="e">
        <f t="shared" si="1"/>
        <v>#REF!</v>
      </c>
      <c r="N57" s="142" t="s">
        <v>351</v>
      </c>
    </row>
    <row r="58" spans="5:14" ht="13.9" customHeight="1">
      <c r="E58" s="151" t="s">
        <v>352</v>
      </c>
      <c r="F58" s="142" t="s">
        <v>353</v>
      </c>
      <c r="G58" s="142" t="s">
        <v>347</v>
      </c>
      <c r="H58" s="142" t="s">
        <v>354</v>
      </c>
      <c r="I58" s="142" t="s">
        <v>349</v>
      </c>
      <c r="J58" s="142" t="s">
        <v>350</v>
      </c>
      <c r="K58" s="141">
        <v>2</v>
      </c>
      <c r="L58" s="142" t="e">
        <f>INDEX('[1]COMP|PRD_INT'!$M$13,MATCH('[1]COMP|PRD_INT'!$M$10,'[1]banco de dados_compras'!F58:F85,0))</f>
        <v>#REF!</v>
      </c>
      <c r="M58" s="141" t="e">
        <f t="shared" si="1"/>
        <v>#REF!</v>
      </c>
      <c r="N58" s="142" t="s">
        <v>355</v>
      </c>
    </row>
    <row r="59" spans="5:14" ht="13.9" customHeight="1">
      <c r="E59" s="151" t="s">
        <v>356</v>
      </c>
      <c r="F59" s="142" t="s">
        <v>357</v>
      </c>
      <c r="G59" s="142" t="s">
        <v>347</v>
      </c>
      <c r="H59" s="142" t="s">
        <v>358</v>
      </c>
      <c r="I59" s="142" t="s">
        <v>349</v>
      </c>
      <c r="J59" s="142" t="s">
        <v>350</v>
      </c>
      <c r="K59" s="141">
        <v>5</v>
      </c>
      <c r="L59" s="142" t="e">
        <f>INDEX('[1]COMP|PRD_INT'!$M$13,MATCH('[1]COMP|PRD_INT'!$M$10,'[1]banco de dados_compras'!F59:F85,0))</f>
        <v>#REF!</v>
      </c>
      <c r="M59" s="141" t="e">
        <f t="shared" si="1"/>
        <v>#REF!</v>
      </c>
      <c r="N59" s="142" t="s">
        <v>359</v>
      </c>
    </row>
    <row r="60" spans="5:14" ht="13.9" customHeight="1">
      <c r="E60" s="151" t="s">
        <v>360</v>
      </c>
      <c r="F60" s="142" t="s">
        <v>361</v>
      </c>
      <c r="G60" s="142" t="s">
        <v>347</v>
      </c>
      <c r="H60" s="142" t="s">
        <v>362</v>
      </c>
      <c r="I60" s="142" t="s">
        <v>349</v>
      </c>
      <c r="J60" s="142" t="s">
        <v>350</v>
      </c>
      <c r="K60" s="141">
        <v>50</v>
      </c>
      <c r="L60" s="142" t="e">
        <f>INDEX('[1]COMP|PRD_INT'!$M$13,MATCH('[1]COMP|PRD_INT'!$M$10,'[1]banco de dados_compras'!F60:F85,0))</f>
        <v>#REF!</v>
      </c>
      <c r="M60" s="141" t="e">
        <f t="shared" si="1"/>
        <v>#REF!</v>
      </c>
      <c r="N60" s="142" t="s">
        <v>363</v>
      </c>
    </row>
    <row r="61" spans="5:14" ht="13.9" customHeight="1">
      <c r="E61" s="151" t="s">
        <v>364</v>
      </c>
      <c r="F61" s="142" t="s">
        <v>365</v>
      </c>
      <c r="G61" s="142" t="s">
        <v>347</v>
      </c>
      <c r="H61" s="142" t="s">
        <v>366</v>
      </c>
      <c r="I61" s="142" t="s">
        <v>349</v>
      </c>
      <c r="J61" s="142" t="s">
        <v>350</v>
      </c>
      <c r="K61" s="141">
        <v>30</v>
      </c>
      <c r="L61" s="142" t="e">
        <f>INDEX('[1]COMP|PRD_INT'!$M$13,MATCH('[1]COMP|PRD_INT'!$M$10,'[1]banco de dados_compras'!F61:F85,0))</f>
        <v>#REF!</v>
      </c>
      <c r="M61" s="141" t="e">
        <f t="shared" si="1"/>
        <v>#REF!</v>
      </c>
      <c r="N61" s="142" t="s">
        <v>367</v>
      </c>
    </row>
    <row r="62" spans="5:14" ht="13.9" customHeight="1">
      <c r="E62" s="151" t="s">
        <v>368</v>
      </c>
      <c r="F62" s="142" t="s">
        <v>369</v>
      </c>
      <c r="G62" s="142" t="s">
        <v>347</v>
      </c>
      <c r="H62" s="142" t="s">
        <v>370</v>
      </c>
      <c r="I62" s="142" t="s">
        <v>349</v>
      </c>
      <c r="J62" s="142" t="s">
        <v>350</v>
      </c>
      <c r="K62" s="141">
        <v>20</v>
      </c>
      <c r="L62" s="142" t="e">
        <f>INDEX('[1]COMP|PRD_INT'!$M$13,MATCH('[1]COMP|PRD_INT'!$M$10,'[1]banco de dados_compras'!F62:F85,0))</f>
        <v>#REF!</v>
      </c>
      <c r="M62" s="141" t="e">
        <f t="shared" si="1"/>
        <v>#REF!</v>
      </c>
      <c r="N62" s="142" t="s">
        <v>371</v>
      </c>
    </row>
    <row r="63" spans="5:14" ht="13.9" customHeight="1">
      <c r="E63" s="151" t="s">
        <v>372</v>
      </c>
      <c r="F63" s="142" t="s">
        <v>373</v>
      </c>
      <c r="G63" s="142" t="s">
        <v>347</v>
      </c>
      <c r="H63" s="142" t="s">
        <v>374</v>
      </c>
      <c r="I63" s="142" t="s">
        <v>349</v>
      </c>
      <c r="J63" s="142" t="s">
        <v>350</v>
      </c>
      <c r="K63" s="141">
        <v>15</v>
      </c>
      <c r="L63" s="142" t="e">
        <f>INDEX('[1]COMP|PRD_INT'!$M$13,MATCH('[1]COMP|PRD_INT'!$M$10,'[1]banco de dados_compras'!F63:F97,0))</f>
        <v>#REF!</v>
      </c>
      <c r="M63" s="141" t="e">
        <f t="shared" si="1"/>
        <v>#REF!</v>
      </c>
      <c r="N63" s="142" t="s">
        <v>375</v>
      </c>
    </row>
    <row r="64" spans="5:14" ht="13.9" customHeight="1">
      <c r="E64" s="151" t="s">
        <v>376</v>
      </c>
      <c r="F64" s="142" t="s">
        <v>377</v>
      </c>
      <c r="G64" s="142" t="s">
        <v>378</v>
      </c>
      <c r="H64" s="142" t="s">
        <v>379</v>
      </c>
      <c r="I64" s="142" t="s">
        <v>380</v>
      </c>
      <c r="J64" s="142" t="s">
        <v>381</v>
      </c>
      <c r="K64" s="141">
        <v>8000</v>
      </c>
      <c r="L64" s="142" t="e">
        <f>INDEX('[1]COMP|PRD_INT'!$M$13,MATCH('[1]COMP|PRD_INT'!$M$10,'[1]banco de dados_compras'!F64:F98,0))</f>
        <v>#REF!</v>
      </c>
      <c r="M64" s="141" t="e">
        <f t="shared" si="1"/>
        <v>#REF!</v>
      </c>
      <c r="N64" s="142" t="s">
        <v>382</v>
      </c>
    </row>
    <row r="65" spans="5:14" ht="13.9" customHeight="1">
      <c r="E65" s="151" t="s">
        <v>383</v>
      </c>
      <c r="F65" s="142" t="s">
        <v>384</v>
      </c>
      <c r="G65" s="142" t="s">
        <v>378</v>
      </c>
      <c r="H65" s="142" t="s">
        <v>385</v>
      </c>
      <c r="I65" s="142" t="s">
        <v>380</v>
      </c>
      <c r="J65" s="142" t="s">
        <v>381</v>
      </c>
      <c r="K65" s="141">
        <v>500</v>
      </c>
      <c r="L65" s="142" t="e">
        <f>INDEX('[1]COMP|PRD_INT'!$M$13,MATCH('[1]COMP|PRD_INT'!$M$10,'[1]banco de dados_compras'!F65:F99,0))</f>
        <v>#REF!</v>
      </c>
      <c r="M65" s="141" t="e">
        <f t="shared" si="1"/>
        <v>#REF!</v>
      </c>
      <c r="N65" s="142" t="s">
        <v>386</v>
      </c>
    </row>
    <row r="66" spans="5:14" ht="13.9" customHeight="1">
      <c r="E66" s="151" t="s">
        <v>387</v>
      </c>
      <c r="F66" s="142" t="s">
        <v>388</v>
      </c>
      <c r="G66" s="142" t="s">
        <v>378</v>
      </c>
      <c r="H66" s="142" t="s">
        <v>389</v>
      </c>
      <c r="I66" s="142" t="s">
        <v>380</v>
      </c>
      <c r="J66" s="142" t="s">
        <v>381</v>
      </c>
      <c r="K66" s="141">
        <v>300</v>
      </c>
      <c r="L66" s="142" t="e">
        <f>INDEX('[1]COMP|PRD_INT'!$M$13,MATCH('[1]COMP|PRD_INT'!$M$10,'[1]banco de dados_compras'!F66:F100,0))</f>
        <v>#REF!</v>
      </c>
      <c r="M66" s="141" t="e">
        <f t="shared" si="1"/>
        <v>#REF!</v>
      </c>
      <c r="N66" s="142" t="s">
        <v>390</v>
      </c>
    </row>
    <row r="67" spans="5:14" ht="13.9" customHeight="1">
      <c r="E67" s="151" t="s">
        <v>391</v>
      </c>
      <c r="F67" s="142" t="s">
        <v>392</v>
      </c>
      <c r="G67" s="142" t="s">
        <v>378</v>
      </c>
      <c r="H67" s="142" t="s">
        <v>393</v>
      </c>
      <c r="I67" s="142" t="s">
        <v>380</v>
      </c>
      <c r="J67" s="142" t="s">
        <v>381</v>
      </c>
      <c r="K67" s="141">
        <v>20</v>
      </c>
      <c r="L67" s="142" t="e">
        <f>INDEX('[1]COMP|PRD_INT'!$M$13,MATCH('[1]COMP|PRD_INT'!$M$10,'[1]banco de dados_compras'!F67:F101,0))</f>
        <v>#REF!</v>
      </c>
      <c r="M67" s="141" t="e">
        <f t="shared" si="1"/>
        <v>#REF!</v>
      </c>
      <c r="N67" s="142" t="s">
        <v>394</v>
      </c>
    </row>
    <row r="68" spans="5:14" ht="13.9" customHeight="1">
      <c r="E68" s="151" t="s">
        <v>395</v>
      </c>
      <c r="F68" s="142" t="s">
        <v>396</v>
      </c>
      <c r="G68" s="142" t="s">
        <v>378</v>
      </c>
      <c r="H68" s="142" t="s">
        <v>397</v>
      </c>
      <c r="I68" s="142" t="s">
        <v>380</v>
      </c>
      <c r="J68" s="142" t="s">
        <v>381</v>
      </c>
      <c r="K68" s="141">
        <v>600</v>
      </c>
      <c r="L68" s="142" t="e">
        <f>INDEX('[1]COMP|PRD_INT'!$M$13,MATCH('[1]COMP|PRD_INT'!$M$10,'[1]banco de dados_compras'!F68:F102,0))</f>
        <v>#REF!</v>
      </c>
      <c r="M68" s="141" t="e">
        <f t="shared" si="1"/>
        <v>#REF!</v>
      </c>
      <c r="N68" s="142" t="s">
        <v>398</v>
      </c>
    </row>
    <row r="69" spans="5:14" ht="13.9" customHeight="1">
      <c r="E69" s="151" t="s">
        <v>399</v>
      </c>
      <c r="F69" s="142" t="s">
        <v>400</v>
      </c>
      <c r="G69" s="142" t="s">
        <v>378</v>
      </c>
      <c r="H69" s="142" t="s">
        <v>401</v>
      </c>
      <c r="I69" s="142" t="s">
        <v>380</v>
      </c>
      <c r="J69" s="142" t="s">
        <v>381</v>
      </c>
      <c r="K69" s="141">
        <v>2000</v>
      </c>
      <c r="L69" s="142" t="e">
        <f>INDEX('[1]COMP|PRD_INT'!$M$13,MATCH('[1]COMP|PRD_INT'!$M$10,'[1]banco de dados_compras'!F69:F103,0))</f>
        <v>#REF!</v>
      </c>
      <c r="M69" s="141" t="e">
        <f t="shared" si="1"/>
        <v>#REF!</v>
      </c>
      <c r="N69" s="142" t="s">
        <v>402</v>
      </c>
    </row>
    <row r="70" spans="5:14" ht="13.9" customHeight="1">
      <c r="E70" s="151" t="s">
        <v>403</v>
      </c>
      <c r="F70" s="142" t="s">
        <v>404</v>
      </c>
      <c r="G70" s="142" t="s">
        <v>405</v>
      </c>
      <c r="H70" s="142" t="s">
        <v>406</v>
      </c>
      <c r="I70" s="152" t="s">
        <v>407</v>
      </c>
      <c r="J70" s="142" t="s">
        <v>408</v>
      </c>
      <c r="K70" s="141">
        <v>1000</v>
      </c>
      <c r="L70" s="142" t="e">
        <f>INDEX('[1]COMP|PRD_INT'!$M$13,MATCH('[1]COMP|PRD_INT'!$M$10,'[1]banco de dados_compras'!F70:F104,0))</f>
        <v>#REF!</v>
      </c>
      <c r="M70" s="141" t="e">
        <f t="shared" si="1"/>
        <v>#REF!</v>
      </c>
      <c r="N70" s="142" t="s">
        <v>409</v>
      </c>
    </row>
    <row r="71" spans="5:14" ht="13.9" customHeight="1">
      <c r="E71" s="151" t="s">
        <v>410</v>
      </c>
      <c r="F71" s="142" t="s">
        <v>411</v>
      </c>
      <c r="G71" s="142" t="s">
        <v>405</v>
      </c>
      <c r="H71" s="142" t="s">
        <v>412</v>
      </c>
      <c r="I71" s="152" t="s">
        <v>407</v>
      </c>
      <c r="J71" s="142" t="s">
        <v>408</v>
      </c>
      <c r="K71" s="141">
        <v>400</v>
      </c>
      <c r="L71" s="142" t="e">
        <f>INDEX('[1]COMP|PRD_INT'!$M$13,MATCH('[1]COMP|PRD_INT'!$M$10,'[1]banco de dados_compras'!F71:F105,0))</f>
        <v>#REF!</v>
      </c>
      <c r="M71" s="141" t="e">
        <f t="shared" si="1"/>
        <v>#REF!</v>
      </c>
      <c r="N71" s="142" t="s">
        <v>413</v>
      </c>
    </row>
    <row r="72" spans="5:14" ht="13.9" customHeight="1">
      <c r="E72" s="151" t="s">
        <v>414</v>
      </c>
      <c r="F72" s="142" t="s">
        <v>415</v>
      </c>
      <c r="G72" s="142" t="s">
        <v>405</v>
      </c>
      <c r="H72" s="142" t="s">
        <v>416</v>
      </c>
      <c r="I72" s="152" t="s">
        <v>407</v>
      </c>
      <c r="J72" s="142" t="s">
        <v>408</v>
      </c>
      <c r="K72" s="141">
        <v>1200</v>
      </c>
      <c r="L72" s="142" t="e">
        <f>INDEX('[1]COMP|PRD_INT'!$M$13,MATCH('[1]COMP|PRD_INT'!$M$10,'[1]banco de dados_compras'!F72:F106,0))</f>
        <v>#REF!</v>
      </c>
      <c r="M72" s="141" t="e">
        <f t="shared" si="1"/>
        <v>#REF!</v>
      </c>
      <c r="N72" s="142" t="s">
        <v>417</v>
      </c>
    </row>
    <row r="73" spans="5:14" ht="13.9" customHeight="1">
      <c r="E73" s="151" t="s">
        <v>418</v>
      </c>
      <c r="F73" s="142" t="s">
        <v>419</v>
      </c>
      <c r="G73" s="142" t="s">
        <v>405</v>
      </c>
      <c r="H73" s="142" t="s">
        <v>420</v>
      </c>
      <c r="I73" s="152" t="s">
        <v>407</v>
      </c>
      <c r="J73" s="142" t="s">
        <v>408</v>
      </c>
      <c r="K73" s="141">
        <v>60</v>
      </c>
      <c r="L73" s="142" t="e">
        <f>INDEX('[1]COMP|PRD_INT'!$M$13,MATCH('[1]COMP|PRD_INT'!$M$10,'[1]banco de dados_compras'!F73:F107,0))</f>
        <v>#REF!</v>
      </c>
      <c r="M73" s="141" t="e">
        <f t="shared" si="1"/>
        <v>#REF!</v>
      </c>
      <c r="N73" s="142" t="s">
        <v>421</v>
      </c>
    </row>
    <row r="74" spans="5:14" ht="13.9" customHeight="1">
      <c r="K74"/>
    </row>
    <row r="75" spans="5:14" ht="13.9" customHeight="1">
      <c r="E75" s="145" t="s">
        <v>113</v>
      </c>
      <c r="F75" s="153" t="str">
        <f>'[1]COMP|PRD_INT'!M10</f>
        <v>Caneta</v>
      </c>
      <c r="G75" t="s">
        <v>135</v>
      </c>
    </row>
    <row r="76" spans="5:14" ht="13.9" customHeight="1">
      <c r="E76" s="145" t="s">
        <v>266</v>
      </c>
      <c r="F76" s="154">
        <f>'[1]COMP|PRD_INT'!M13</f>
        <v>7</v>
      </c>
      <c r="G76" s="147">
        <f>'[1]COMP|PRD_INT'!K35</f>
        <v>45447</v>
      </c>
    </row>
    <row r="77" spans="5:14" ht="13.9" customHeight="1">
      <c r="E77" s="145" t="s">
        <v>267</v>
      </c>
      <c r="F77" s="155">
        <f>'[1]COMP|PRD_INT'!M16</f>
        <v>21000</v>
      </c>
    </row>
    <row r="78" spans="5:14" ht="13.9" customHeight="1">
      <c r="E78" s="145" t="s">
        <v>131</v>
      </c>
      <c r="F78" s="153" t="str">
        <f>'[1]COMP|PRD_INT'!K21</f>
        <v>100-50</v>
      </c>
    </row>
    <row r="79" spans="5:14" ht="13.9" customHeight="1">
      <c r="E79" s="145" t="s">
        <v>121</v>
      </c>
      <c r="F79" s="153" t="str">
        <f>'[1]COMP|PRD_INT'!K23</f>
        <v>PrintMaster Supplies</v>
      </c>
    </row>
    <row r="80" spans="5:14" ht="13.9" customHeight="1">
      <c r="E80" s="145" t="s">
        <v>145</v>
      </c>
      <c r="F80" s="153" t="str">
        <f>'[1]COMP|PRD_INT'!K31</f>
        <v>Material de Escritório</v>
      </c>
    </row>
    <row r="81" spans="5:14" ht="13.9" customHeight="1">
      <c r="E81" s="145" t="s">
        <v>268</v>
      </c>
      <c r="F81" s="155">
        <f>'[1]COMP|PRD_INT'!K33</f>
        <v>3000</v>
      </c>
    </row>
    <row r="83" spans="5:14" ht="13.9" customHeight="1">
      <c r="E83" s="299" t="s">
        <v>422</v>
      </c>
      <c r="F83" s="300"/>
      <c r="G83" s="300"/>
      <c r="H83" s="300"/>
      <c r="I83" s="300"/>
      <c r="J83" s="300"/>
      <c r="K83" s="300"/>
      <c r="L83" s="300"/>
      <c r="M83" s="300"/>
      <c r="N83" s="300"/>
    </row>
    <row r="84" spans="5:14" ht="13.9" customHeight="1">
      <c r="E84" s="300"/>
      <c r="F84" s="300"/>
      <c r="G84" s="300"/>
      <c r="H84" s="300"/>
      <c r="I84" s="300"/>
      <c r="J84" s="300"/>
      <c r="K84" s="300"/>
      <c r="L84" s="300"/>
      <c r="M84" s="300"/>
      <c r="N84" s="300"/>
    </row>
    <row r="85" spans="5:14" ht="13.9" customHeight="1">
      <c r="E85" s="156" t="s">
        <v>131</v>
      </c>
      <c r="F85" s="157" t="s">
        <v>113</v>
      </c>
      <c r="G85" s="158" t="s">
        <v>121</v>
      </c>
      <c r="H85" s="158" t="s">
        <v>158</v>
      </c>
      <c r="I85" s="158" t="s">
        <v>159</v>
      </c>
      <c r="J85" s="159" t="s">
        <v>145</v>
      </c>
      <c r="K85" s="160" t="s">
        <v>270</v>
      </c>
      <c r="L85" s="158" t="s">
        <v>133</v>
      </c>
      <c r="M85" s="158" t="s">
        <v>161</v>
      </c>
      <c r="N85" s="158" t="s">
        <v>162</v>
      </c>
    </row>
    <row r="86" spans="5:14" ht="13.9" customHeight="1">
      <c r="E86" s="142" t="s">
        <v>418</v>
      </c>
      <c r="F86" s="2" t="s">
        <v>423</v>
      </c>
      <c r="G86" s="142" t="s">
        <v>424</v>
      </c>
      <c r="H86" s="142" t="s">
        <v>425</v>
      </c>
      <c r="I86" s="142" t="s">
        <v>426</v>
      </c>
      <c r="J86" s="142" t="s">
        <v>156</v>
      </c>
      <c r="K86" s="141">
        <v>60</v>
      </c>
      <c r="L86" s="142" t="e">
        <f>INDEX('[1]COMP|FUNC'!$P$27,MATCH('[1]COMP|FUNC'!$P$24,'[1]banco de dados_compras'!F86:F97,))</f>
        <v>#REF!</v>
      </c>
      <c r="M86" s="141" t="e">
        <f>K86*L86</f>
        <v>#REF!</v>
      </c>
      <c r="N86" s="142" t="s">
        <v>427</v>
      </c>
    </row>
    <row r="87" spans="5:14" ht="13.9" customHeight="1">
      <c r="E87" s="142" t="s">
        <v>428</v>
      </c>
      <c r="F87" s="2" t="s">
        <v>429</v>
      </c>
      <c r="G87" s="142" t="s">
        <v>430</v>
      </c>
      <c r="H87" s="142" t="s">
        <v>431</v>
      </c>
      <c r="I87" s="142" t="s">
        <v>432</v>
      </c>
      <c r="J87" s="142" t="s">
        <v>156</v>
      </c>
      <c r="K87" s="141">
        <v>200</v>
      </c>
      <c r="L87" s="142" t="e">
        <f>INDEX('[1]COMP|FUNC'!$P$27,MATCH('[1]COMP|FUNC'!$P$24,'[1]banco de dados_compras'!F87:F98,))</f>
        <v>#REF!</v>
      </c>
      <c r="M87" s="141" t="e">
        <f t="shared" ref="M87:M97" si="2">K87*L87</f>
        <v>#REF!</v>
      </c>
      <c r="N87" s="142" t="s">
        <v>433</v>
      </c>
    </row>
    <row r="88" spans="5:14" ht="13.9" customHeight="1">
      <c r="E88" s="142" t="s">
        <v>434</v>
      </c>
      <c r="F88" s="2" t="s">
        <v>435</v>
      </c>
      <c r="G88" s="142" t="s">
        <v>436</v>
      </c>
      <c r="H88" s="142" t="s">
        <v>437</v>
      </c>
      <c r="I88" s="142" t="s">
        <v>438</v>
      </c>
      <c r="J88" s="142" t="s">
        <v>156</v>
      </c>
      <c r="K88" s="141">
        <v>100</v>
      </c>
      <c r="L88" s="142" t="e">
        <f>INDEX('[1]COMP|FUNC'!$P$27,MATCH('[1]COMP|FUNC'!$P$24,'[1]banco de dados_compras'!F88:F99,))</f>
        <v>#REF!</v>
      </c>
      <c r="M88" s="141" t="e">
        <f t="shared" si="2"/>
        <v>#REF!</v>
      </c>
      <c r="N88" s="142" t="s">
        <v>439</v>
      </c>
    </row>
    <row r="89" spans="5:14" ht="13.9" customHeight="1">
      <c r="E89" s="142" t="s">
        <v>440</v>
      </c>
      <c r="F89" s="2" t="s">
        <v>441</v>
      </c>
      <c r="G89" s="142" t="s">
        <v>442</v>
      </c>
      <c r="H89" s="142" t="s">
        <v>443</v>
      </c>
      <c r="I89" s="142" t="s">
        <v>444</v>
      </c>
      <c r="J89" s="142" t="s">
        <v>156</v>
      </c>
      <c r="K89" s="141">
        <v>30</v>
      </c>
      <c r="L89" s="142" t="e">
        <f>INDEX('[1]COMP|FUNC'!$P$27,MATCH('[1]COMP|FUNC'!$P$24,'[1]banco de dados_compras'!F89:F100,))</f>
        <v>#REF!</v>
      </c>
      <c r="M89" s="141" t="e">
        <f t="shared" si="2"/>
        <v>#REF!</v>
      </c>
      <c r="N89" s="142" t="s">
        <v>445</v>
      </c>
    </row>
    <row r="90" spans="5:14" ht="13.9" customHeight="1">
      <c r="E90" s="142" t="s">
        <v>446</v>
      </c>
      <c r="F90" s="2" t="s">
        <v>447</v>
      </c>
      <c r="G90" s="142" t="s">
        <v>448</v>
      </c>
      <c r="H90" s="142" t="s">
        <v>449</v>
      </c>
      <c r="I90" s="142" t="s">
        <v>450</v>
      </c>
      <c r="J90" s="142" t="s">
        <v>156</v>
      </c>
      <c r="K90" s="141">
        <v>70</v>
      </c>
      <c r="L90" s="142" t="e">
        <f>INDEX('[1]COMP|FUNC'!$P$27,MATCH('[1]COMP|FUNC'!$P$24,'[1]banco de dados_compras'!F90:F101,))</f>
        <v>#REF!</v>
      </c>
      <c r="M90" s="141" t="e">
        <f t="shared" si="2"/>
        <v>#REF!</v>
      </c>
      <c r="N90" s="142" t="s">
        <v>451</v>
      </c>
    </row>
    <row r="91" spans="5:14" ht="13.9" customHeight="1">
      <c r="E91" s="142" t="s">
        <v>452</v>
      </c>
      <c r="F91" s="2" t="s">
        <v>453</v>
      </c>
      <c r="G91" s="142" t="s">
        <v>454</v>
      </c>
      <c r="H91" s="142" t="s">
        <v>455</v>
      </c>
      <c r="I91" s="142" t="s">
        <v>456</v>
      </c>
      <c r="J91" s="142" t="s">
        <v>156</v>
      </c>
      <c r="K91" s="141">
        <v>80</v>
      </c>
      <c r="L91" s="142" t="e">
        <f>INDEX('[1]COMP|FUNC'!$P$27,MATCH('[1]COMP|FUNC'!$P$24,'[1]banco de dados_compras'!F91:F102,))</f>
        <v>#REF!</v>
      </c>
      <c r="M91" s="141" t="e">
        <f t="shared" si="2"/>
        <v>#REF!</v>
      </c>
      <c r="N91" s="142" t="s">
        <v>457</v>
      </c>
    </row>
    <row r="92" spans="5:14" ht="13.9" customHeight="1">
      <c r="E92" s="142" t="s">
        <v>153</v>
      </c>
      <c r="F92" s="2" t="s">
        <v>154</v>
      </c>
      <c r="G92" s="142" t="s">
        <v>155</v>
      </c>
      <c r="H92" s="142" t="s">
        <v>458</v>
      </c>
      <c r="I92" s="142" t="s">
        <v>459</v>
      </c>
      <c r="J92" s="142" t="s">
        <v>156</v>
      </c>
      <c r="K92" s="141">
        <v>50</v>
      </c>
      <c r="L92" s="142">
        <f>INDEX('[1]COMP|FUNC'!$P$27,MATCH('[1]COMP|FUNC'!$P$24,'[1]banco de dados_compras'!F92:F103,))</f>
        <v>15</v>
      </c>
      <c r="M92" s="141">
        <f t="shared" si="2"/>
        <v>750</v>
      </c>
      <c r="N92" s="142" t="s">
        <v>460</v>
      </c>
    </row>
    <row r="93" spans="5:14" ht="13.9" customHeight="1">
      <c r="E93" s="142" t="s">
        <v>461</v>
      </c>
      <c r="F93" s="2" t="s">
        <v>462</v>
      </c>
      <c r="G93" s="142" t="s">
        <v>463</v>
      </c>
      <c r="H93" s="142" t="s">
        <v>464</v>
      </c>
      <c r="I93" s="142" t="s">
        <v>465</v>
      </c>
      <c r="J93" s="142" t="s">
        <v>156</v>
      </c>
      <c r="K93" s="141">
        <v>10</v>
      </c>
      <c r="L93" s="142" t="e">
        <f>INDEX('[1]COMP|FUNC'!$P$27,MATCH('[1]COMP|FUNC'!$P$24,'[1]banco de dados_compras'!F93:F104,))</f>
        <v>#REF!</v>
      </c>
      <c r="M93" s="141" t="e">
        <f t="shared" si="2"/>
        <v>#REF!</v>
      </c>
      <c r="N93" s="142" t="s">
        <v>466</v>
      </c>
    </row>
    <row r="94" spans="5:14" ht="13.9" customHeight="1">
      <c r="E94" s="142" t="s">
        <v>467</v>
      </c>
      <c r="F94" s="2" t="s">
        <v>468</v>
      </c>
      <c r="G94" s="142" t="s">
        <v>469</v>
      </c>
      <c r="H94" s="142" t="s">
        <v>470</v>
      </c>
      <c r="I94" s="142" t="s">
        <v>471</v>
      </c>
      <c r="J94" s="142" t="s">
        <v>156</v>
      </c>
      <c r="K94" s="141">
        <v>50</v>
      </c>
      <c r="L94" s="142" t="e">
        <f>INDEX('[1]COMP|FUNC'!$P$27,MATCH('[1]COMP|FUNC'!$P$24,'[1]banco de dados_compras'!F94:F105,))</f>
        <v>#REF!</v>
      </c>
      <c r="M94" s="141" t="e">
        <f t="shared" si="2"/>
        <v>#REF!</v>
      </c>
      <c r="N94" s="142" t="s">
        <v>472</v>
      </c>
    </row>
    <row r="95" spans="5:14" ht="13.9" customHeight="1">
      <c r="E95" s="142" t="s">
        <v>473</v>
      </c>
      <c r="F95" s="2" t="s">
        <v>474</v>
      </c>
      <c r="G95" s="142" t="s">
        <v>475</v>
      </c>
      <c r="H95" s="142" t="s">
        <v>476</v>
      </c>
      <c r="I95" s="142" t="s">
        <v>477</v>
      </c>
      <c r="J95" s="142" t="s">
        <v>156</v>
      </c>
      <c r="K95" s="141">
        <v>200</v>
      </c>
      <c r="L95" s="142" t="e">
        <f>INDEX('[1]COMP|FUNC'!$P$27,MATCH('[1]COMP|FUNC'!$P$24,'[1]banco de dados_compras'!F95:F106,))</f>
        <v>#REF!</v>
      </c>
      <c r="M95" s="141" t="e">
        <f t="shared" si="2"/>
        <v>#REF!</v>
      </c>
      <c r="N95" s="142" t="s">
        <v>478</v>
      </c>
    </row>
    <row r="96" spans="5:14" ht="13.9" customHeight="1">
      <c r="E96" s="142" t="s">
        <v>479</v>
      </c>
      <c r="F96" s="2" t="s">
        <v>480</v>
      </c>
      <c r="G96" s="142" t="s">
        <v>481</v>
      </c>
      <c r="H96" s="142" t="s">
        <v>482</v>
      </c>
      <c r="I96" s="142" t="s">
        <v>483</v>
      </c>
      <c r="J96" s="142" t="s">
        <v>156</v>
      </c>
      <c r="K96" s="141">
        <v>80</v>
      </c>
      <c r="L96" s="142" t="e">
        <f>INDEX('[1]COMP|FUNC'!$P$27,MATCH('[1]COMP|FUNC'!$P$24,'[1]banco de dados_compras'!F96:F107,))</f>
        <v>#REF!</v>
      </c>
      <c r="M96" s="141" t="e">
        <f t="shared" si="2"/>
        <v>#REF!</v>
      </c>
      <c r="N96" s="142" t="s">
        <v>484</v>
      </c>
    </row>
    <row r="97" spans="5:14" ht="13.9" customHeight="1">
      <c r="E97" s="142" t="s">
        <v>485</v>
      </c>
      <c r="F97" s="2" t="s">
        <v>486</v>
      </c>
      <c r="G97" s="142" t="s">
        <v>487</v>
      </c>
      <c r="H97" s="142" t="s">
        <v>488</v>
      </c>
      <c r="I97" s="142" t="s">
        <v>489</v>
      </c>
      <c r="J97" s="142" t="s">
        <v>156</v>
      </c>
      <c r="K97" s="141">
        <v>30</v>
      </c>
      <c r="L97" s="142" t="e">
        <f>INDEX('[1]COMP|FUNC'!$P$27,MATCH('[1]COMP|FUNC'!$P$24,'[1]banco de dados_compras'!F97:F108,))</f>
        <v>#REF!</v>
      </c>
      <c r="M97" s="141" t="e">
        <f t="shared" si="2"/>
        <v>#REF!</v>
      </c>
      <c r="N97" s="142" t="s">
        <v>490</v>
      </c>
    </row>
    <row r="98" spans="5:14" ht="13.9" customHeight="1">
      <c r="G98" s="161"/>
    </row>
    <row r="99" spans="5:14" ht="13.9" customHeight="1">
      <c r="E99" s="145" t="s">
        <v>113</v>
      </c>
      <c r="F99" s="153" t="str">
        <f>'[1]COMP|FUNC'!P24</f>
        <v>Protetores Auriculares</v>
      </c>
      <c r="G99" s="161"/>
    </row>
    <row r="100" spans="5:14" ht="13.9" customHeight="1">
      <c r="E100" s="145" t="s">
        <v>266</v>
      </c>
      <c r="F100" s="155">
        <f>'[1]COMP|FUNC'!P27</f>
        <v>15</v>
      </c>
      <c r="G100" s="161"/>
    </row>
    <row r="101" spans="5:14" ht="13.9" customHeight="1">
      <c r="E101" s="145" t="s">
        <v>267</v>
      </c>
      <c r="F101" s="153">
        <f>'[1]COMP|FUNC'!P30</f>
        <v>750</v>
      </c>
      <c r="G101" s="161"/>
    </row>
    <row r="102" spans="5:14" ht="13.9" customHeight="1">
      <c r="E102" s="145" t="s">
        <v>131</v>
      </c>
      <c r="F102" s="153" t="str">
        <f>'[1]COMP|FUNC'!N35</f>
        <v>100-81</v>
      </c>
      <c r="G102" s="161"/>
    </row>
    <row r="103" spans="5:14" ht="13.9" customHeight="1">
      <c r="E103" s="145" t="s">
        <v>121</v>
      </c>
      <c r="F103" s="153" t="str">
        <f>'[1]COMP|FUNC'!N37</f>
        <v>SafeWear Brasil</v>
      </c>
      <c r="G103" s="161"/>
    </row>
    <row r="104" spans="5:14" ht="13.9" customHeight="1">
      <c r="E104" s="145" t="s">
        <v>145</v>
      </c>
      <c r="F104" s="153" t="str">
        <f>'[1]COMP|FUNC'!N45</f>
        <v>Produtos para Funcionarios</v>
      </c>
      <c r="G104" s="161"/>
    </row>
    <row r="105" spans="5:14" ht="13.9" customHeight="1">
      <c r="E105" s="145" t="s">
        <v>268</v>
      </c>
      <c r="F105" s="162">
        <f>'[1]COMP|FUNC'!N47</f>
        <v>50</v>
      </c>
      <c r="G105" s="161"/>
    </row>
    <row r="106" spans="5:14" ht="13.9" customHeight="1">
      <c r="E106" s="145" t="s">
        <v>135</v>
      </c>
      <c r="F106" s="147">
        <f>'[1]COMP|FUNC'!N49</f>
        <v>45447</v>
      </c>
      <c r="G106" s="161"/>
    </row>
    <row r="107" spans="5:14" ht="13.9" customHeight="1">
      <c r="G107" s="161"/>
    </row>
    <row r="108" spans="5:14" ht="13.9" customHeight="1">
      <c r="G108" s="161"/>
    </row>
    <row r="109" spans="5:14" ht="13.9" customHeight="1">
      <c r="G109" s="161"/>
    </row>
    <row r="110" spans="5:14" ht="13.9" customHeight="1">
      <c r="G110" s="161"/>
    </row>
  </sheetData>
  <mergeCells count="3">
    <mergeCell ref="E2:N3"/>
    <mergeCell ref="E36:N37"/>
    <mergeCell ref="E83:N84"/>
  </mergeCells>
  <hyperlinks>
    <hyperlink ref="I70" r:id="rId1" xr:uid="{93E8A647-55D5-4EFE-AC37-309EF8B3E53D}"/>
    <hyperlink ref="I71:I73" r:id="rId2" display="breaktime@al.ons.com" xr:uid="{DA30F498-2FF3-4587-A1D6-AF4CEAF65404}"/>
  </hyperlinks>
  <pageMargins left="0.511811024" right="0.511811024" top="0.78740157499999996" bottom="0.78740157499999996" header="0.31496062000000002" footer="0.31496062000000002"/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14"/>
  <dimension ref="A1"/>
  <sheetViews>
    <sheetView zoomScaleNormal="100" workbookViewId="0"/>
  </sheetViews>
  <sheetFormatPr defaultColWidth="9.140625" defaultRowHeight="15"/>
  <cols>
    <col min="1" max="16384" width="9.140625" style="1"/>
  </cols>
  <sheetData/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8E326-0BCB-4E5F-BCF5-96E68DC686F2}">
  <sheetPr codeName="Planilha51"/>
  <dimension ref="C4:E9"/>
  <sheetViews>
    <sheetView workbookViewId="0"/>
  </sheetViews>
  <sheetFormatPr defaultColWidth="9.140625" defaultRowHeight="15"/>
  <cols>
    <col min="1" max="2" width="9.140625" style="1"/>
    <col min="3" max="3" width="23.7109375" style="1" customWidth="1"/>
    <col min="4" max="4" width="15.7109375" style="1" customWidth="1"/>
    <col min="5" max="5" width="25.7109375" style="1" customWidth="1"/>
    <col min="6" max="16384" width="9.140625" style="1"/>
  </cols>
  <sheetData>
    <row r="4" spans="3:5">
      <c r="C4" s="21" t="s">
        <v>491</v>
      </c>
      <c r="D4" s="21" t="s">
        <v>492</v>
      </c>
      <c r="E4" s="21" t="s">
        <v>493</v>
      </c>
    </row>
    <row r="5" spans="3:5">
      <c r="C5" s="22" t="s">
        <v>494</v>
      </c>
      <c r="D5" s="225">
        <v>10</v>
      </c>
      <c r="E5" s="22" t="s">
        <v>495</v>
      </c>
    </row>
    <row r="6" spans="3:5">
      <c r="C6" s="22" t="s">
        <v>85</v>
      </c>
      <c r="D6" s="225">
        <v>12</v>
      </c>
      <c r="E6" s="22" t="s">
        <v>496</v>
      </c>
    </row>
    <row r="7" spans="3:5">
      <c r="C7" s="22" t="s">
        <v>497</v>
      </c>
      <c r="D7" s="225">
        <v>12</v>
      </c>
      <c r="E7" s="22" t="s">
        <v>498</v>
      </c>
    </row>
    <row r="8" spans="3:5">
      <c r="C8" s="22" t="s">
        <v>499</v>
      </c>
      <c r="D8" s="225">
        <v>13</v>
      </c>
      <c r="E8" s="22" t="s">
        <v>500</v>
      </c>
    </row>
    <row r="9" spans="3:5">
      <c r="C9" s="22" t="s">
        <v>501</v>
      </c>
      <c r="D9" s="225">
        <v>15</v>
      </c>
      <c r="E9" s="22" t="s">
        <v>502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35"/>
  <dimension ref="A1"/>
  <sheetViews>
    <sheetView workbookViewId="0"/>
  </sheetViews>
  <sheetFormatPr defaultColWidth="9.140625" defaultRowHeight="15"/>
  <cols>
    <col min="1" max="16384" width="9.140625" style="1"/>
  </cols>
  <sheetData/>
  <pageMargins left="0.511811024" right="0.511811024" top="0.78740157499999996" bottom="0.78740157499999996" header="0.31496062000000002" footer="0.31496062000000002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36"/>
  <dimension ref="A1"/>
  <sheetViews>
    <sheetView workbookViewId="0">
      <selection activeCell="B8" sqref="B8"/>
    </sheetView>
  </sheetViews>
  <sheetFormatPr defaultColWidth="9" defaultRowHeight="15"/>
  <cols>
    <col min="1" max="16384" width="9" style="1"/>
  </cols>
  <sheetData/>
  <pageMargins left="0.511811024" right="0.511811024" top="0.78740157499999996" bottom="0.78740157499999996" header="0.31496062000000002" footer="0.31496062000000002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37"/>
  <dimension ref="A1"/>
  <sheetViews>
    <sheetView workbookViewId="0">
      <selection activeCell="Q22" sqref="Q22"/>
    </sheetView>
  </sheetViews>
  <sheetFormatPr defaultColWidth="9" defaultRowHeight="15"/>
  <cols>
    <col min="1" max="16384" width="9" style="1"/>
  </cols>
  <sheetData/>
  <pageMargins left="0.511811024" right="0.511811024" top="0.78740157499999996" bottom="0.78740157499999996" header="0.31496062000000002" footer="0.31496062000000002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38"/>
  <dimension ref="C4:S45"/>
  <sheetViews>
    <sheetView zoomScale="115" zoomScaleNormal="115" workbookViewId="0"/>
  </sheetViews>
  <sheetFormatPr defaultColWidth="9.140625" defaultRowHeight="15"/>
  <cols>
    <col min="1" max="7" width="9.140625" style="1"/>
    <col min="8" max="8" width="44.28515625" style="1" customWidth="1"/>
    <col min="9" max="13" width="9.140625" style="1"/>
    <col min="14" max="14" width="12.28515625" style="1" customWidth="1"/>
    <col min="15" max="15" width="3.140625" style="1" customWidth="1"/>
    <col min="16" max="16384" width="9.140625" style="1"/>
  </cols>
  <sheetData>
    <row r="4" spans="3:19">
      <c r="C4" s="3"/>
      <c r="D4" s="4"/>
      <c r="E4" s="4"/>
      <c r="F4" s="4"/>
      <c r="G4" s="4"/>
      <c r="H4" s="4"/>
      <c r="I4" s="4"/>
      <c r="J4" s="5"/>
    </row>
    <row r="5" spans="3:19" ht="14.25" customHeight="1">
      <c r="C5" s="6"/>
      <c r="D5" s="7"/>
      <c r="E5" s="7"/>
      <c r="F5" s="7"/>
      <c r="G5" s="7"/>
      <c r="H5" s="7"/>
      <c r="I5" s="7"/>
      <c r="J5" s="8"/>
    </row>
    <row r="6" spans="3:19" ht="24">
      <c r="C6" s="6"/>
      <c r="D6" s="7"/>
      <c r="E6" s="105" t="s">
        <v>503</v>
      </c>
      <c r="F6" s="103"/>
      <c r="G6" s="103"/>
      <c r="H6" s="226"/>
      <c r="I6" s="7"/>
      <c r="J6" s="8"/>
      <c r="N6" s="222"/>
      <c r="O6" s="223"/>
      <c r="P6" s="301"/>
      <c r="Q6" s="301"/>
      <c r="R6" s="301"/>
      <c r="S6" s="301"/>
    </row>
    <row r="7" spans="3:19" ht="20.25" customHeight="1">
      <c r="C7" s="6"/>
      <c r="D7" s="7"/>
      <c r="E7" s="103"/>
      <c r="F7" s="103"/>
      <c r="G7" s="103"/>
      <c r="H7" s="7"/>
      <c r="I7" s="7"/>
      <c r="J7" s="8"/>
      <c r="N7" s="223"/>
      <c r="O7" s="223"/>
      <c r="P7" s="223"/>
      <c r="Q7" s="223"/>
      <c r="R7" s="223"/>
    </row>
    <row r="8" spans="3:19" ht="24">
      <c r="C8" s="6"/>
      <c r="D8" s="7"/>
      <c r="E8" s="7"/>
      <c r="F8" s="7"/>
      <c r="G8" s="7"/>
      <c r="H8" s="7"/>
      <c r="I8" s="7"/>
      <c r="J8" s="8"/>
      <c r="N8" s="222"/>
      <c r="O8" s="223"/>
      <c r="P8" s="301"/>
      <c r="Q8" s="301"/>
      <c r="R8" s="301"/>
    </row>
    <row r="9" spans="3:19" ht="24">
      <c r="C9" s="6"/>
      <c r="D9" s="7"/>
      <c r="E9" s="104" t="s">
        <v>504</v>
      </c>
      <c r="F9" s="7"/>
      <c r="G9" s="7"/>
      <c r="H9" s="224"/>
      <c r="I9" s="7"/>
      <c r="J9" s="8"/>
      <c r="N9" s="223"/>
      <c r="O9" s="223"/>
      <c r="P9" s="223"/>
      <c r="Q9" s="223"/>
      <c r="R9" s="223"/>
    </row>
    <row r="10" spans="3:19" ht="24">
      <c r="C10" s="6"/>
      <c r="D10" s="7"/>
      <c r="E10" s="7"/>
      <c r="F10" s="7"/>
      <c r="G10" s="7"/>
      <c r="H10" s="7"/>
      <c r="I10" s="7"/>
      <c r="J10" s="8"/>
      <c r="N10" s="222"/>
      <c r="O10" s="223"/>
      <c r="P10" s="301"/>
      <c r="Q10" s="301"/>
      <c r="R10" s="301"/>
      <c r="S10" s="301"/>
    </row>
    <row r="11" spans="3:19">
      <c r="C11" s="6"/>
      <c r="D11" s="7"/>
      <c r="E11" s="7"/>
      <c r="F11" s="7"/>
      <c r="G11" s="7"/>
      <c r="H11" s="7"/>
      <c r="I11" s="7"/>
      <c r="J11" s="8"/>
      <c r="N11" s="223"/>
      <c r="O11" s="223"/>
      <c r="P11" s="223"/>
      <c r="Q11" s="223"/>
      <c r="R11" s="223"/>
    </row>
    <row r="12" spans="3:19" ht="24">
      <c r="C12" s="6"/>
      <c r="D12" s="7"/>
      <c r="E12" s="104" t="s">
        <v>505</v>
      </c>
      <c r="F12" s="7"/>
      <c r="G12" s="7"/>
      <c r="H12" s="224"/>
      <c r="I12" s="7"/>
      <c r="J12" s="8"/>
      <c r="N12" s="222"/>
      <c r="O12" s="223"/>
      <c r="P12" s="301"/>
      <c r="Q12" s="301"/>
      <c r="R12" s="301"/>
    </row>
    <row r="13" spans="3:19">
      <c r="C13" s="6"/>
      <c r="D13" s="7"/>
      <c r="E13" s="7"/>
      <c r="F13" s="7"/>
      <c r="G13" s="7"/>
      <c r="H13" s="7"/>
      <c r="I13" s="7"/>
      <c r="J13" s="8"/>
      <c r="N13" s="223"/>
      <c r="O13" s="223"/>
      <c r="P13" s="223"/>
      <c r="Q13" s="223"/>
      <c r="R13" s="223"/>
    </row>
    <row r="14" spans="3:19" ht="24">
      <c r="C14" s="6"/>
      <c r="D14" s="7"/>
      <c r="E14" s="7"/>
      <c r="F14" s="7"/>
      <c r="G14" s="7"/>
      <c r="H14" s="7"/>
      <c r="I14" s="7"/>
      <c r="J14" s="8"/>
      <c r="N14" s="222"/>
      <c r="O14" s="223"/>
      <c r="P14" s="301"/>
      <c r="Q14" s="301"/>
      <c r="R14" s="301"/>
    </row>
    <row r="15" spans="3:19" ht="24">
      <c r="C15" s="6"/>
      <c r="D15" s="7"/>
      <c r="E15" s="104" t="s">
        <v>506</v>
      </c>
      <c r="F15" s="7"/>
      <c r="G15" s="7"/>
      <c r="H15" s="224"/>
      <c r="I15" s="7"/>
      <c r="J15" s="8"/>
    </row>
    <row r="16" spans="3:19">
      <c r="C16" s="6"/>
      <c r="D16" s="7"/>
      <c r="E16" s="7"/>
      <c r="F16" s="7"/>
      <c r="G16" s="7"/>
      <c r="H16" s="7"/>
      <c r="I16" s="7"/>
      <c r="J16" s="8"/>
    </row>
    <row r="17" spans="3:10">
      <c r="C17" s="6"/>
      <c r="D17" s="7"/>
      <c r="E17" s="7"/>
      <c r="F17" s="7"/>
      <c r="G17" s="7"/>
      <c r="H17" s="7"/>
      <c r="I17" s="7"/>
      <c r="J17" s="8"/>
    </row>
    <row r="18" spans="3:10" ht="24">
      <c r="C18" s="6"/>
      <c r="D18" s="7"/>
      <c r="E18" s="106" t="s">
        <v>507</v>
      </c>
      <c r="F18" s="7"/>
      <c r="G18" s="7"/>
      <c r="H18" s="227"/>
      <c r="I18" s="7"/>
      <c r="J18" s="8"/>
    </row>
    <row r="19" spans="3:10">
      <c r="C19" s="6"/>
      <c r="D19" s="7"/>
      <c r="E19" s="7"/>
      <c r="F19" s="7"/>
      <c r="G19" s="7"/>
      <c r="H19" s="7"/>
      <c r="I19" s="7"/>
      <c r="J19" s="8"/>
    </row>
    <row r="20" spans="3:10">
      <c r="C20" s="6"/>
      <c r="D20" s="7"/>
      <c r="E20" s="7"/>
      <c r="F20" s="7"/>
      <c r="G20" s="7"/>
      <c r="H20" s="7"/>
      <c r="I20" s="7"/>
      <c r="J20" s="8"/>
    </row>
    <row r="21" spans="3:10" ht="24">
      <c r="C21" s="6"/>
      <c r="D21" s="7"/>
      <c r="E21" s="107" t="s">
        <v>508</v>
      </c>
      <c r="F21" s="7"/>
      <c r="G21" s="7"/>
      <c r="H21" s="224"/>
      <c r="I21" s="7"/>
      <c r="J21" s="8"/>
    </row>
    <row r="22" spans="3:10">
      <c r="C22" s="6"/>
      <c r="D22" s="7"/>
      <c r="E22" s="7"/>
      <c r="F22" s="7"/>
      <c r="G22" s="7"/>
      <c r="H22" s="7"/>
      <c r="I22" s="7"/>
      <c r="J22" s="8"/>
    </row>
    <row r="23" spans="3:10">
      <c r="C23" s="6"/>
      <c r="D23" s="7"/>
      <c r="E23" s="7"/>
      <c r="F23" s="7"/>
      <c r="G23" s="7"/>
      <c r="H23" s="7"/>
      <c r="I23" s="7"/>
      <c r="J23" s="8"/>
    </row>
    <row r="24" spans="3:10" ht="24.75" customHeight="1">
      <c r="C24" s="6"/>
      <c r="D24" s="7"/>
      <c r="E24" s="105" t="s">
        <v>509</v>
      </c>
      <c r="F24" s="7"/>
      <c r="G24" s="7"/>
      <c r="H24" s="114"/>
      <c r="I24" s="7"/>
      <c r="J24" s="8"/>
    </row>
    <row r="25" spans="3:10">
      <c r="C25" s="6"/>
      <c r="D25" s="7"/>
      <c r="E25" s="7"/>
      <c r="F25" s="7"/>
      <c r="G25" s="7"/>
      <c r="H25" s="7"/>
      <c r="I25" s="7"/>
      <c r="J25" s="8"/>
    </row>
    <row r="26" spans="3:10">
      <c r="C26" s="6"/>
      <c r="D26" s="7"/>
      <c r="E26" s="7"/>
      <c r="F26" s="7"/>
      <c r="G26" s="7"/>
      <c r="H26" s="7"/>
      <c r="I26" s="7"/>
      <c r="J26" s="8"/>
    </row>
    <row r="27" spans="3:10" ht="24">
      <c r="C27" s="6"/>
      <c r="D27" s="7"/>
      <c r="E27" s="107" t="s">
        <v>510</v>
      </c>
      <c r="F27" s="7"/>
      <c r="G27" s="7"/>
      <c r="H27" s="114"/>
      <c r="I27" s="7"/>
      <c r="J27" s="8"/>
    </row>
    <row r="28" spans="3:10">
      <c r="C28" s="6"/>
      <c r="D28" s="7"/>
      <c r="E28" s="7"/>
      <c r="F28" s="7"/>
      <c r="G28" s="7"/>
      <c r="H28" s="7"/>
      <c r="I28" s="7"/>
      <c r="J28" s="8"/>
    </row>
    <row r="29" spans="3:10" ht="14.25" customHeight="1">
      <c r="C29" s="6"/>
      <c r="D29" s="7"/>
      <c r="E29" s="7"/>
      <c r="F29" s="7"/>
      <c r="G29" s="7"/>
      <c r="H29" s="7"/>
      <c r="I29" s="7"/>
      <c r="J29" s="8"/>
    </row>
    <row r="30" spans="3:10" ht="24">
      <c r="C30" s="6"/>
      <c r="D30" s="7"/>
      <c r="E30" s="108" t="s">
        <v>492</v>
      </c>
      <c r="F30" s="7"/>
      <c r="G30" s="7"/>
      <c r="H30" s="117"/>
      <c r="I30" s="7"/>
      <c r="J30" s="8"/>
    </row>
    <row r="31" spans="3:10">
      <c r="C31" s="6"/>
      <c r="D31" s="7"/>
      <c r="E31" s="7"/>
      <c r="F31" s="7"/>
      <c r="G31" s="7"/>
      <c r="H31" s="7"/>
      <c r="I31" s="7"/>
      <c r="J31" s="8"/>
    </row>
    <row r="32" spans="3:10">
      <c r="C32" s="6"/>
      <c r="D32" s="7"/>
      <c r="E32" s="7"/>
      <c r="F32" s="7"/>
      <c r="G32" s="7"/>
      <c r="H32" s="7"/>
      <c r="I32" s="7"/>
      <c r="J32" s="8"/>
    </row>
    <row r="33" spans="3:10" ht="22.5" customHeight="1">
      <c r="C33" s="6"/>
      <c r="D33" s="7"/>
      <c r="E33" s="104" t="s">
        <v>511</v>
      </c>
      <c r="F33" s="7"/>
      <c r="G33" s="7"/>
      <c r="H33" s="114"/>
      <c r="I33" s="7"/>
      <c r="J33" s="8"/>
    </row>
    <row r="34" spans="3:10" ht="14.25" customHeight="1">
      <c r="C34" s="6"/>
      <c r="D34" s="7"/>
      <c r="E34" s="104"/>
      <c r="F34" s="7"/>
      <c r="G34" s="7"/>
      <c r="H34" s="7"/>
      <c r="I34" s="7"/>
      <c r="J34" s="8"/>
    </row>
    <row r="35" spans="3:10" ht="15" customHeight="1">
      <c r="C35" s="6"/>
      <c r="D35" s="7"/>
      <c r="E35" s="104"/>
      <c r="F35" s="7"/>
      <c r="G35" s="7"/>
      <c r="H35" s="7"/>
      <c r="I35" s="7"/>
      <c r="J35" s="8"/>
    </row>
    <row r="36" spans="3:10" ht="24">
      <c r="C36" s="6"/>
      <c r="D36" s="7"/>
      <c r="E36" s="104" t="s">
        <v>512</v>
      </c>
      <c r="F36" s="7"/>
      <c r="G36" s="7"/>
      <c r="H36" s="116"/>
      <c r="I36" s="7"/>
      <c r="J36" s="8"/>
    </row>
    <row r="37" spans="3:10">
      <c r="C37" s="6"/>
      <c r="D37" s="7"/>
      <c r="E37" s="7"/>
      <c r="F37" s="7"/>
      <c r="G37" s="7"/>
      <c r="H37" s="7"/>
      <c r="I37" s="7"/>
      <c r="J37" s="8"/>
    </row>
    <row r="38" spans="3:10">
      <c r="C38" s="6"/>
      <c r="D38" s="7"/>
      <c r="E38" s="7"/>
      <c r="F38" s="7"/>
      <c r="G38" s="7"/>
      <c r="H38" s="7"/>
      <c r="I38" s="7"/>
      <c r="J38" s="8"/>
    </row>
    <row r="39" spans="3:10">
      <c r="C39" s="6"/>
      <c r="D39" s="7"/>
      <c r="E39" s="7"/>
      <c r="F39" s="7"/>
      <c r="G39" s="7"/>
      <c r="H39" s="7"/>
      <c r="I39" s="7"/>
      <c r="J39" s="8"/>
    </row>
    <row r="40" spans="3:10" ht="24">
      <c r="C40" s="6"/>
      <c r="D40" s="7"/>
      <c r="E40" s="104" t="s">
        <v>513</v>
      </c>
      <c r="F40" s="7"/>
      <c r="G40" s="7"/>
      <c r="H40" s="117">
        <f>H30*H33</f>
        <v>0</v>
      </c>
      <c r="I40" s="7"/>
      <c r="J40" s="8"/>
    </row>
    <row r="41" spans="3:10">
      <c r="C41" s="6"/>
      <c r="D41" s="7"/>
      <c r="E41" s="7"/>
      <c r="F41" s="7"/>
      <c r="G41" s="7"/>
      <c r="H41" s="7"/>
      <c r="I41" s="7"/>
      <c r="J41" s="8"/>
    </row>
    <row r="42" spans="3:10">
      <c r="C42" s="6"/>
      <c r="D42" s="7"/>
      <c r="E42" s="7"/>
      <c r="F42" s="7"/>
      <c r="G42" s="7"/>
      <c r="H42" s="7"/>
      <c r="I42" s="7"/>
      <c r="J42" s="8"/>
    </row>
    <row r="43" spans="3:10">
      <c r="C43" s="6"/>
      <c r="D43" s="7"/>
      <c r="E43" s="7"/>
      <c r="F43" s="7"/>
      <c r="G43" s="7"/>
      <c r="H43" s="7"/>
      <c r="I43" s="7"/>
      <c r="J43" s="8"/>
    </row>
    <row r="44" spans="3:10">
      <c r="C44" s="6"/>
      <c r="D44" s="7"/>
      <c r="E44" s="7"/>
      <c r="F44" s="7"/>
      <c r="G44" s="7"/>
      <c r="H44" s="7"/>
      <c r="I44" s="7"/>
      <c r="J44" s="8"/>
    </row>
    <row r="45" spans="3:10">
      <c r="C45" s="10"/>
      <c r="D45" s="11"/>
      <c r="E45" s="11"/>
      <c r="F45" s="11"/>
      <c r="G45" s="11"/>
      <c r="H45" s="11"/>
      <c r="I45" s="11"/>
      <c r="J45" s="12"/>
    </row>
  </sheetData>
  <mergeCells count="5">
    <mergeCell ref="P14:R14"/>
    <mergeCell ref="P12:R12"/>
    <mergeCell ref="P10:S10"/>
    <mergeCell ref="P8:R8"/>
    <mergeCell ref="P6:S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3" name="Button 3">
              <controlPr defaultSize="0" print="0" autoFill="0" autoPict="0" macro="[0]!cadastrarvenda">
                <anchor moveWithCells="1" sizeWithCells="1">
                  <from>
                    <xdr:col>4</xdr:col>
                    <xdr:colOff>95250</xdr:colOff>
                    <xdr:row>42</xdr:row>
                    <xdr:rowOff>152400</xdr:rowOff>
                  </from>
                  <to>
                    <xdr:col>7</xdr:col>
                    <xdr:colOff>1571625</xdr:colOff>
                    <xdr:row>46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C00-000000000000}">
          <x14:formula1>
            <xm:f>'VENDA-DATABASE'!$E$5:$E$9</xm:f>
          </x14:formula1>
          <xm:sqref>H24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32"/>
  <dimension ref="C2:P76"/>
  <sheetViews>
    <sheetView zoomScale="85" zoomScaleNormal="85" workbookViewId="0"/>
  </sheetViews>
  <sheetFormatPr defaultColWidth="9.140625" defaultRowHeight="15"/>
  <cols>
    <col min="1" max="1" width="9.140625" style="1"/>
    <col min="2" max="2" width="5.140625" style="1" customWidth="1"/>
    <col min="3" max="3" width="17.140625" style="1" customWidth="1"/>
    <col min="4" max="4" width="11.42578125" style="1" customWidth="1"/>
    <col min="5" max="5" width="16.140625" style="1" customWidth="1"/>
    <col min="6" max="6" width="26.85546875" style="1" customWidth="1"/>
    <col min="7" max="7" width="16" style="1" customWidth="1"/>
    <col min="8" max="8" width="35" style="1" customWidth="1"/>
    <col min="9" max="9" width="20.85546875" style="1" customWidth="1"/>
    <col min="10" max="10" width="9.140625" style="1"/>
    <col min="11" max="11" width="21" style="1" customWidth="1"/>
    <col min="12" max="12" width="14.42578125" style="1" customWidth="1"/>
    <col min="13" max="13" width="12.85546875" style="1" customWidth="1"/>
    <col min="14" max="14" width="14" style="1" customWidth="1"/>
    <col min="15" max="15" width="11.140625" style="1" customWidth="1"/>
    <col min="16" max="16384" width="9.140625" style="1"/>
  </cols>
  <sheetData>
    <row r="2" spans="3:16">
      <c r="C2" s="233" t="s">
        <v>135</v>
      </c>
      <c r="D2" s="234" t="s">
        <v>514</v>
      </c>
      <c r="E2" s="234" t="s">
        <v>515</v>
      </c>
      <c r="F2" s="234" t="s">
        <v>516</v>
      </c>
      <c r="G2" s="234" t="s">
        <v>517</v>
      </c>
      <c r="H2" s="234" t="s">
        <v>159</v>
      </c>
      <c r="I2" s="234" t="s">
        <v>518</v>
      </c>
      <c r="J2" s="234" t="s">
        <v>519</v>
      </c>
      <c r="K2" s="234" t="s">
        <v>113</v>
      </c>
      <c r="L2" s="234" t="s">
        <v>520</v>
      </c>
      <c r="M2" s="234" t="s">
        <v>521</v>
      </c>
      <c r="N2" s="234" t="s">
        <v>522</v>
      </c>
      <c r="O2" s="101"/>
      <c r="P2" s="101"/>
    </row>
    <row r="3" spans="3:16">
      <c r="C3" s="118"/>
      <c r="D3" s="118"/>
      <c r="E3" s="119"/>
      <c r="F3" s="120"/>
      <c r="G3" s="120"/>
      <c r="H3" s="121"/>
      <c r="I3" s="120"/>
      <c r="J3" s="120"/>
      <c r="K3" s="120"/>
      <c r="L3" s="122"/>
      <c r="M3" s="123"/>
      <c r="N3" s="124"/>
      <c r="O3" s="228"/>
      <c r="P3" s="102"/>
    </row>
    <row r="4" spans="3:16">
      <c r="C4" s="118"/>
      <c r="D4" s="118"/>
      <c r="E4" s="120"/>
      <c r="F4" s="120"/>
      <c r="G4" s="120"/>
      <c r="H4" s="121"/>
      <c r="I4" s="120"/>
      <c r="J4" s="120"/>
      <c r="K4" s="120"/>
      <c r="L4" s="122"/>
      <c r="M4" s="123"/>
      <c r="N4" s="124"/>
      <c r="O4" s="228"/>
      <c r="P4" s="102"/>
    </row>
    <row r="5" spans="3:16">
      <c r="C5" s="125"/>
      <c r="D5" s="118"/>
      <c r="E5" s="120"/>
      <c r="F5" s="120"/>
      <c r="G5" s="126"/>
      <c r="H5" s="121"/>
      <c r="I5" s="120"/>
      <c r="J5" s="120"/>
      <c r="K5" s="120"/>
      <c r="L5" s="122"/>
      <c r="M5" s="123"/>
      <c r="N5" s="124"/>
      <c r="O5" s="228"/>
      <c r="P5" s="102"/>
    </row>
    <row r="6" spans="3:16">
      <c r="C6" s="125"/>
      <c r="D6" s="118"/>
      <c r="E6" s="120"/>
      <c r="F6" s="120"/>
      <c r="G6" s="120"/>
      <c r="H6" s="121"/>
      <c r="I6" s="120"/>
      <c r="J6" s="120"/>
      <c r="K6" s="120"/>
      <c r="L6" s="122"/>
      <c r="M6" s="123"/>
      <c r="N6" s="124"/>
      <c r="O6" s="228"/>
      <c r="P6" s="102"/>
    </row>
    <row r="7" spans="3:16">
      <c r="C7" s="118"/>
      <c r="D7" s="118"/>
      <c r="E7" s="120"/>
      <c r="F7" s="120"/>
      <c r="G7" s="120"/>
      <c r="H7" s="121"/>
      <c r="I7" s="120"/>
      <c r="J7" s="120"/>
      <c r="K7" s="120"/>
      <c r="L7" s="122"/>
      <c r="M7" s="123"/>
      <c r="N7" s="124"/>
      <c r="O7" s="228"/>
      <c r="P7" s="102"/>
    </row>
    <row r="8" spans="3:16">
      <c r="C8" s="125"/>
      <c r="D8" s="118"/>
      <c r="E8" s="120"/>
      <c r="F8" s="120"/>
      <c r="G8" s="120"/>
      <c r="H8" s="121"/>
      <c r="I8" s="120"/>
      <c r="J8" s="120"/>
      <c r="K8" s="120"/>
      <c r="L8" s="122"/>
      <c r="M8" s="123"/>
      <c r="N8" s="124"/>
      <c r="O8" s="228"/>
      <c r="P8" s="102"/>
    </row>
    <row r="9" spans="3:16">
      <c r="C9" s="118"/>
      <c r="D9" s="118"/>
      <c r="E9" s="120"/>
      <c r="F9" s="120"/>
      <c r="G9" s="120"/>
      <c r="H9" s="127"/>
      <c r="I9" s="120"/>
      <c r="J9" s="120"/>
      <c r="K9" s="120"/>
      <c r="L9" s="122"/>
      <c r="M9" s="123"/>
      <c r="N9" s="124"/>
      <c r="O9" s="228"/>
      <c r="P9" s="102"/>
    </row>
    <row r="10" spans="3:16">
      <c r="C10" s="118"/>
      <c r="D10" s="118"/>
      <c r="E10" s="120"/>
      <c r="F10" s="120"/>
      <c r="G10" s="120"/>
      <c r="H10" s="121"/>
      <c r="I10" s="120"/>
      <c r="J10" s="120"/>
      <c r="K10" s="120"/>
      <c r="L10" s="122"/>
      <c r="M10" s="123"/>
      <c r="N10" s="124"/>
      <c r="O10" s="228"/>
      <c r="P10" s="102"/>
    </row>
    <row r="11" spans="3:16">
      <c r="C11" s="125"/>
      <c r="D11" s="118"/>
      <c r="E11" s="120"/>
      <c r="F11" s="120"/>
      <c r="G11" s="120"/>
      <c r="H11" s="121"/>
      <c r="I11" s="120"/>
      <c r="J11" s="120"/>
      <c r="K11" s="120"/>
      <c r="L11" s="122"/>
      <c r="M11" s="123"/>
      <c r="N11" s="124"/>
      <c r="O11" s="228"/>
      <c r="P11" s="102"/>
    </row>
    <row r="12" spans="3:16">
      <c r="C12" s="118"/>
      <c r="D12" s="210"/>
      <c r="E12" s="128"/>
      <c r="F12" s="120"/>
      <c r="G12" s="129"/>
      <c r="H12" s="120"/>
      <c r="I12" s="207"/>
      <c r="J12" s="120"/>
      <c r="K12" s="120"/>
      <c r="L12" s="122"/>
      <c r="M12" s="123"/>
      <c r="N12" s="124"/>
      <c r="O12" s="228"/>
      <c r="P12" s="102"/>
    </row>
    <row r="13" spans="3:16" ht="21">
      <c r="C13" s="116"/>
      <c r="D13" s="2"/>
      <c r="E13" s="224"/>
      <c r="F13" s="224"/>
      <c r="G13" s="224"/>
      <c r="H13" s="227"/>
      <c r="I13" s="224"/>
      <c r="J13" s="120"/>
      <c r="K13" s="120"/>
      <c r="L13" s="117"/>
      <c r="M13" s="114"/>
      <c r="N13" s="124"/>
      <c r="O13" s="228"/>
      <c r="P13" s="102"/>
    </row>
    <row r="14" spans="3:16" ht="19.5">
      <c r="C14" s="209"/>
      <c r="D14" s="2"/>
      <c r="E14" s="16"/>
      <c r="F14" s="114"/>
      <c r="G14" s="114"/>
      <c r="H14" s="131"/>
      <c r="I14" s="114"/>
      <c r="J14" s="120"/>
      <c r="K14" s="120"/>
      <c r="L14" s="208"/>
      <c r="M14" s="114"/>
      <c r="N14" s="124"/>
      <c r="O14" s="228"/>
      <c r="P14" s="102"/>
    </row>
    <row r="15" spans="3:16" ht="19.5">
      <c r="C15" s="209"/>
      <c r="D15" s="2"/>
      <c r="E15" s="16"/>
      <c r="F15" s="114"/>
      <c r="G15" s="114"/>
      <c r="H15" s="115"/>
      <c r="I15" s="206"/>
      <c r="J15" s="120"/>
      <c r="K15" s="120"/>
      <c r="L15" s="117"/>
      <c r="M15" s="114"/>
      <c r="N15" s="124"/>
      <c r="O15" s="228"/>
      <c r="P15" s="102"/>
    </row>
    <row r="16" spans="3:16" ht="19.5">
      <c r="C16" s="209"/>
      <c r="D16" s="2"/>
      <c r="E16" s="16"/>
      <c r="F16" s="114"/>
      <c r="G16" s="114"/>
      <c r="H16" s="115"/>
      <c r="I16" s="206"/>
      <c r="J16" s="120"/>
      <c r="K16" s="120"/>
      <c r="L16" s="117"/>
      <c r="M16" s="114"/>
      <c r="N16" s="124"/>
      <c r="O16" s="228"/>
      <c r="P16" s="102"/>
    </row>
    <row r="17" spans="3:16" ht="19.5">
      <c r="C17" s="116"/>
      <c r="D17" s="211"/>
      <c r="E17" s="2"/>
      <c r="F17" s="114"/>
      <c r="G17" s="114"/>
      <c r="H17" s="115"/>
      <c r="I17" s="206"/>
      <c r="J17" s="120"/>
      <c r="K17" s="120"/>
      <c r="L17" s="117"/>
      <c r="M17" s="114"/>
      <c r="N17" s="124"/>
      <c r="O17" s="228"/>
      <c r="P17" s="102"/>
    </row>
    <row r="18" spans="3:16">
      <c r="C18" s="118"/>
      <c r="D18" s="125"/>
      <c r="E18" s="128"/>
      <c r="F18" s="120"/>
      <c r="G18" s="129"/>
      <c r="H18" s="120"/>
      <c r="I18" s="205"/>
      <c r="J18" s="120"/>
      <c r="K18" s="120"/>
      <c r="L18" s="122"/>
      <c r="M18" s="123"/>
      <c r="N18" s="124"/>
      <c r="O18" s="228"/>
      <c r="P18" s="102"/>
    </row>
    <row r="19" spans="3:16" ht="19.5">
      <c r="C19" s="116"/>
      <c r="D19" s="114"/>
      <c r="E19" s="2"/>
      <c r="F19" s="114"/>
      <c r="G19" s="114"/>
      <c r="H19" s="115"/>
      <c r="I19" s="206"/>
      <c r="J19" s="120"/>
      <c r="K19" s="120"/>
      <c r="L19" s="117"/>
      <c r="M19" s="114"/>
      <c r="N19" s="124"/>
      <c r="O19" s="228"/>
      <c r="P19" s="102"/>
    </row>
    <row r="20" spans="3:16" ht="19.5">
      <c r="C20" s="116"/>
      <c r="D20" s="114"/>
      <c r="E20" s="2"/>
      <c r="F20" s="114"/>
      <c r="G20" s="114"/>
      <c r="H20" s="115"/>
      <c r="I20" s="206"/>
      <c r="J20" s="120"/>
      <c r="K20" s="120"/>
      <c r="L20" s="117"/>
      <c r="M20" s="114"/>
      <c r="N20" s="124"/>
      <c r="O20" s="228"/>
      <c r="P20" s="102"/>
    </row>
    <row r="21" spans="3:16" ht="19.5">
      <c r="C21" s="116"/>
      <c r="D21" s="114"/>
      <c r="E21" s="2"/>
      <c r="F21" s="114"/>
      <c r="G21" s="114"/>
      <c r="H21" s="115"/>
      <c r="I21" s="206"/>
      <c r="J21" s="120"/>
      <c r="K21" s="120"/>
      <c r="L21" s="117"/>
      <c r="M21" s="114"/>
      <c r="N21" s="124"/>
      <c r="O21" s="228"/>
      <c r="P21" s="102"/>
    </row>
    <row r="22" spans="3:16">
      <c r="C22" s="118"/>
      <c r="D22" s="125"/>
      <c r="E22" s="128"/>
      <c r="F22" s="120"/>
      <c r="G22" s="120"/>
      <c r="H22" s="120"/>
      <c r="I22" s="205"/>
      <c r="J22" s="120"/>
      <c r="K22" s="120"/>
      <c r="L22" s="122"/>
      <c r="M22" s="123"/>
      <c r="N22" s="124"/>
      <c r="O22" s="228"/>
      <c r="P22" s="102"/>
    </row>
    <row r="23" spans="3:16">
      <c r="C23" s="125"/>
      <c r="D23" s="125"/>
      <c r="E23" s="128"/>
      <c r="F23" s="120"/>
      <c r="G23" s="120"/>
      <c r="H23" s="120"/>
      <c r="I23" s="205"/>
      <c r="J23" s="120"/>
      <c r="K23" s="120"/>
      <c r="L23" s="122"/>
      <c r="M23" s="123"/>
      <c r="N23" s="124"/>
      <c r="O23" s="228"/>
    </row>
    <row r="24" spans="3:16">
      <c r="C24" s="125"/>
      <c r="D24" s="125"/>
      <c r="E24" s="128"/>
      <c r="F24" s="120"/>
      <c r="G24" s="120"/>
      <c r="H24" s="120"/>
      <c r="I24" s="205"/>
      <c r="J24" s="120"/>
      <c r="K24" s="120"/>
      <c r="L24" s="122"/>
      <c r="M24" s="123"/>
      <c r="N24" s="124"/>
      <c r="O24" s="228"/>
    </row>
    <row r="25" spans="3:16">
      <c r="C25" s="118"/>
      <c r="D25" s="118"/>
      <c r="E25" s="128"/>
      <c r="F25" s="120"/>
      <c r="G25" s="120"/>
      <c r="H25" s="120"/>
      <c r="I25" s="120"/>
      <c r="J25" s="120"/>
      <c r="K25" s="120"/>
      <c r="L25" s="122"/>
      <c r="M25" s="123"/>
      <c r="N25" s="124"/>
      <c r="O25" s="228"/>
    </row>
    <row r="26" spans="3:16">
      <c r="C26" s="118"/>
      <c r="D26" s="118"/>
      <c r="E26" s="128" t="s">
        <v>523</v>
      </c>
      <c r="F26" s="120" t="s">
        <v>523</v>
      </c>
      <c r="G26" s="120" t="s">
        <v>523</v>
      </c>
      <c r="H26" s="120" t="s">
        <v>523</v>
      </c>
      <c r="I26" s="120" t="s">
        <v>523</v>
      </c>
      <c r="J26" s="120"/>
      <c r="K26" s="120"/>
      <c r="L26" s="122"/>
      <c r="M26" s="123"/>
      <c r="N26" s="124"/>
      <c r="O26" s="228"/>
    </row>
    <row r="27" spans="3:16">
      <c r="C27" s="125"/>
      <c r="D27" s="125"/>
      <c r="E27" s="128" t="s">
        <v>523</v>
      </c>
      <c r="F27" s="120" t="s">
        <v>523</v>
      </c>
      <c r="G27" s="130" t="s">
        <v>523</v>
      </c>
      <c r="H27" s="120" t="s">
        <v>523</v>
      </c>
      <c r="I27" s="120" t="s">
        <v>523</v>
      </c>
      <c r="J27" s="120"/>
      <c r="K27" s="120"/>
      <c r="L27" s="122"/>
      <c r="M27" s="123"/>
      <c r="N27" s="124"/>
      <c r="O27" s="228"/>
    </row>
    <row r="28" spans="3:16">
      <c r="C28" s="125"/>
      <c r="D28" s="125"/>
      <c r="E28" s="128" t="s">
        <v>523</v>
      </c>
      <c r="F28" s="120" t="s">
        <v>523</v>
      </c>
      <c r="G28" s="120" t="s">
        <v>523</v>
      </c>
      <c r="H28" s="120" t="s">
        <v>523</v>
      </c>
      <c r="I28" s="120" t="s">
        <v>523</v>
      </c>
      <c r="J28" s="120"/>
      <c r="K28" s="120"/>
      <c r="L28" s="122"/>
      <c r="M28" s="123"/>
      <c r="N28" s="124"/>
      <c r="O28" s="228"/>
    </row>
    <row r="29" spans="3:16">
      <c r="C29" s="118"/>
      <c r="D29" s="118"/>
      <c r="E29" s="128" t="s">
        <v>523</v>
      </c>
      <c r="F29" s="120" t="s">
        <v>523</v>
      </c>
      <c r="G29" s="120" t="s">
        <v>523</v>
      </c>
      <c r="H29" s="120" t="s">
        <v>523</v>
      </c>
      <c r="I29" s="120" t="s">
        <v>523</v>
      </c>
      <c r="J29" s="120"/>
      <c r="K29" s="120"/>
      <c r="L29" s="122"/>
      <c r="M29" s="123"/>
      <c r="N29" s="124"/>
      <c r="O29" s="228"/>
    </row>
    <row r="30" spans="3:16">
      <c r="C30" s="125"/>
      <c r="D30" s="125"/>
      <c r="E30" s="128" t="s">
        <v>523</v>
      </c>
      <c r="F30" s="120" t="s">
        <v>523</v>
      </c>
      <c r="G30" s="120" t="s">
        <v>523</v>
      </c>
      <c r="H30" s="120" t="s">
        <v>523</v>
      </c>
      <c r="I30" s="120" t="s">
        <v>523</v>
      </c>
      <c r="J30" s="120"/>
      <c r="K30" s="120"/>
      <c r="L30" s="122"/>
      <c r="M30" s="123"/>
      <c r="N30" s="124"/>
      <c r="O30" s="228"/>
    </row>
    <row r="31" spans="3:16">
      <c r="C31" s="125"/>
      <c r="D31" s="125"/>
      <c r="E31" s="128" t="s">
        <v>523</v>
      </c>
      <c r="F31" s="120" t="s">
        <v>523</v>
      </c>
      <c r="G31" s="120" t="s">
        <v>523</v>
      </c>
      <c r="H31" s="120" t="s">
        <v>523</v>
      </c>
      <c r="I31" s="120" t="s">
        <v>523</v>
      </c>
      <c r="J31" s="120"/>
      <c r="K31" s="120"/>
      <c r="L31" s="122"/>
      <c r="M31" s="123"/>
      <c r="N31" s="124"/>
      <c r="O31" s="228"/>
    </row>
    <row r="32" spans="3:16">
      <c r="C32" s="118"/>
      <c r="D32" s="118"/>
      <c r="E32" s="128" t="s">
        <v>523</v>
      </c>
      <c r="F32" s="120" t="s">
        <v>523</v>
      </c>
      <c r="G32" s="120" t="s">
        <v>523</v>
      </c>
      <c r="H32" s="120" t="s">
        <v>523</v>
      </c>
      <c r="I32" s="120" t="s">
        <v>523</v>
      </c>
      <c r="J32" s="120"/>
      <c r="K32" s="120"/>
      <c r="L32" s="122"/>
      <c r="M32" s="123"/>
      <c r="N32" s="124"/>
      <c r="O32" s="228"/>
    </row>
    <row r="33" spans="3:15">
      <c r="C33" s="118"/>
      <c r="D33" s="118"/>
      <c r="E33" s="128" t="s">
        <v>523</v>
      </c>
      <c r="F33" s="120" t="s">
        <v>523</v>
      </c>
      <c r="G33" s="120" t="s">
        <v>523</v>
      </c>
      <c r="H33" s="120" t="s">
        <v>523</v>
      </c>
      <c r="I33" s="120" t="s">
        <v>523</v>
      </c>
      <c r="J33" s="120"/>
      <c r="K33" s="120"/>
      <c r="L33" s="122"/>
      <c r="M33" s="123"/>
      <c r="N33" s="124"/>
      <c r="O33" s="228"/>
    </row>
    <row r="34" spans="3:15">
      <c r="C34" s="118"/>
      <c r="D34" s="118"/>
      <c r="E34" s="128" t="s">
        <v>523</v>
      </c>
      <c r="F34" s="120" t="s">
        <v>523</v>
      </c>
      <c r="G34" s="120" t="s">
        <v>523</v>
      </c>
      <c r="H34" s="120" t="s">
        <v>523</v>
      </c>
      <c r="I34" s="120" t="s">
        <v>523</v>
      </c>
      <c r="J34" s="120"/>
      <c r="K34" s="120"/>
      <c r="L34" s="122"/>
      <c r="M34" s="123"/>
      <c r="N34" s="124"/>
      <c r="O34" s="228"/>
    </row>
    <row r="35" spans="3:15">
      <c r="C35" s="118"/>
      <c r="D35" s="118"/>
      <c r="E35" s="128" t="s">
        <v>523</v>
      </c>
      <c r="F35" s="120" t="s">
        <v>523</v>
      </c>
      <c r="G35" s="120" t="s">
        <v>523</v>
      </c>
      <c r="H35" s="120" t="s">
        <v>523</v>
      </c>
      <c r="I35" s="120" t="s">
        <v>523</v>
      </c>
      <c r="J35" s="120"/>
      <c r="K35" s="120"/>
      <c r="L35" s="122"/>
      <c r="M35" s="123"/>
      <c r="N35" s="124"/>
      <c r="O35" s="228"/>
    </row>
    <row r="36" spans="3:15">
      <c r="C36" s="118"/>
      <c r="D36" s="118"/>
      <c r="E36" s="128" t="s">
        <v>523</v>
      </c>
      <c r="F36" s="120" t="s">
        <v>523</v>
      </c>
      <c r="G36" s="120" t="s">
        <v>523</v>
      </c>
      <c r="H36" s="120" t="s">
        <v>523</v>
      </c>
      <c r="I36" s="120" t="s">
        <v>523</v>
      </c>
      <c r="J36" s="120"/>
      <c r="K36" s="120"/>
      <c r="L36" s="122"/>
      <c r="M36" s="123"/>
      <c r="N36" s="124"/>
      <c r="O36" s="228"/>
    </row>
    <row r="37" spans="3:15">
      <c r="C37" s="118"/>
      <c r="D37" s="118"/>
      <c r="E37" s="128" t="s">
        <v>523</v>
      </c>
      <c r="F37" s="120" t="s">
        <v>523</v>
      </c>
      <c r="G37" s="120" t="s">
        <v>523</v>
      </c>
      <c r="H37" s="120" t="s">
        <v>523</v>
      </c>
      <c r="I37" s="120" t="s">
        <v>523</v>
      </c>
      <c r="J37" s="120"/>
      <c r="K37" s="120"/>
      <c r="L37" s="122"/>
      <c r="M37" s="123"/>
      <c r="N37" s="124"/>
      <c r="O37" s="228"/>
    </row>
    <row r="38" spans="3:15">
      <c r="C38" s="118"/>
      <c r="D38" s="118"/>
      <c r="E38" s="128" t="s">
        <v>523</v>
      </c>
      <c r="F38" s="120" t="s">
        <v>523</v>
      </c>
      <c r="G38" s="120" t="s">
        <v>523</v>
      </c>
      <c r="H38" s="120" t="s">
        <v>523</v>
      </c>
      <c r="I38" s="120" t="s">
        <v>523</v>
      </c>
      <c r="J38" s="120"/>
      <c r="K38" s="120"/>
      <c r="L38" s="122"/>
      <c r="M38" s="123"/>
      <c r="N38" s="124"/>
      <c r="O38" s="228"/>
    </row>
    <row r="39" spans="3:15">
      <c r="C39" s="118"/>
      <c r="D39" s="118"/>
      <c r="E39" s="128" t="s">
        <v>523</v>
      </c>
      <c r="F39" s="120" t="s">
        <v>523</v>
      </c>
      <c r="G39" s="120" t="s">
        <v>523</v>
      </c>
      <c r="H39" s="120" t="s">
        <v>523</v>
      </c>
      <c r="I39" s="120" t="s">
        <v>523</v>
      </c>
      <c r="J39" s="120"/>
      <c r="K39" s="120"/>
      <c r="L39" s="122"/>
      <c r="M39" s="123"/>
      <c r="N39" s="124"/>
      <c r="O39" s="228"/>
    </row>
    <row r="40" spans="3:15">
      <c r="C40" s="118"/>
      <c r="D40" s="118"/>
      <c r="E40" s="128" t="s">
        <v>523</v>
      </c>
      <c r="F40" s="120" t="s">
        <v>523</v>
      </c>
      <c r="G40" s="120" t="s">
        <v>523</v>
      </c>
      <c r="H40" s="120" t="s">
        <v>523</v>
      </c>
      <c r="I40" s="120" t="s">
        <v>523</v>
      </c>
      <c r="J40" s="120"/>
      <c r="K40" s="120"/>
      <c r="L40" s="122"/>
      <c r="M40" s="123"/>
      <c r="N40" s="124"/>
      <c r="O40" s="228"/>
    </row>
    <row r="41" spans="3:15">
      <c r="C41" s="118"/>
      <c r="D41" s="118"/>
      <c r="E41" s="128" t="s">
        <v>523</v>
      </c>
      <c r="F41" s="120" t="s">
        <v>523</v>
      </c>
      <c r="G41" s="120" t="s">
        <v>523</v>
      </c>
      <c r="H41" s="120" t="s">
        <v>523</v>
      </c>
      <c r="I41" s="120" t="s">
        <v>523</v>
      </c>
      <c r="J41" s="120"/>
      <c r="K41" s="120"/>
      <c r="L41" s="122"/>
      <c r="M41" s="123"/>
      <c r="N41" s="124"/>
      <c r="O41" s="228"/>
    </row>
    <row r="42" spans="3:15">
      <c r="C42" s="118"/>
      <c r="D42" s="118"/>
      <c r="E42" s="128" t="s">
        <v>523</v>
      </c>
      <c r="F42" s="120" t="s">
        <v>523</v>
      </c>
      <c r="G42" s="120" t="s">
        <v>523</v>
      </c>
      <c r="H42" s="120" t="s">
        <v>523</v>
      </c>
      <c r="I42" s="120" t="s">
        <v>523</v>
      </c>
      <c r="J42" s="120"/>
      <c r="K42" s="120"/>
      <c r="L42" s="122"/>
      <c r="M42" s="123"/>
      <c r="N42" s="124"/>
      <c r="O42" s="228"/>
    </row>
    <row r="43" spans="3:15">
      <c r="C43" s="118"/>
      <c r="D43" s="118"/>
      <c r="E43" s="128" t="s">
        <v>523</v>
      </c>
      <c r="F43" s="120" t="s">
        <v>523</v>
      </c>
      <c r="G43" s="120" t="s">
        <v>523</v>
      </c>
      <c r="H43" s="120" t="s">
        <v>523</v>
      </c>
      <c r="I43" s="120" t="s">
        <v>523</v>
      </c>
      <c r="J43" s="120"/>
      <c r="K43" s="120"/>
      <c r="L43" s="122"/>
      <c r="M43" s="123"/>
      <c r="N43" s="124"/>
      <c r="O43" s="228"/>
    </row>
    <row r="44" spans="3:15">
      <c r="C44" s="118"/>
      <c r="D44" s="118"/>
      <c r="E44" s="128" t="s">
        <v>523</v>
      </c>
      <c r="F44" s="120" t="s">
        <v>523</v>
      </c>
      <c r="G44" s="120" t="s">
        <v>523</v>
      </c>
      <c r="H44" s="120" t="s">
        <v>523</v>
      </c>
      <c r="I44" s="120" t="s">
        <v>523</v>
      </c>
      <c r="J44" s="120"/>
      <c r="K44" s="120"/>
      <c r="L44" s="122"/>
      <c r="M44" s="123"/>
      <c r="N44" s="124"/>
      <c r="O44" s="228"/>
    </row>
    <row r="45" spans="3:15">
      <c r="C45" s="118"/>
      <c r="D45" s="118"/>
      <c r="E45" s="128" t="s">
        <v>523</v>
      </c>
      <c r="F45" s="120" t="s">
        <v>523</v>
      </c>
      <c r="G45" s="120" t="s">
        <v>523</v>
      </c>
      <c r="H45" s="120" t="s">
        <v>523</v>
      </c>
      <c r="I45" s="120" t="s">
        <v>523</v>
      </c>
      <c r="J45" s="120"/>
      <c r="K45" s="120"/>
      <c r="L45" s="122"/>
      <c r="M45" s="123"/>
      <c r="N45" s="124"/>
      <c r="O45" s="228"/>
    </row>
    <row r="46" spans="3:15">
      <c r="C46" s="118"/>
      <c r="D46" s="118"/>
      <c r="E46" s="128" t="s">
        <v>523</v>
      </c>
      <c r="F46" s="120" t="s">
        <v>523</v>
      </c>
      <c r="G46" s="120" t="s">
        <v>523</v>
      </c>
      <c r="H46" s="120" t="s">
        <v>523</v>
      </c>
      <c r="I46" s="120" t="s">
        <v>523</v>
      </c>
      <c r="J46" s="120"/>
      <c r="K46" s="120"/>
      <c r="L46" s="122"/>
      <c r="M46" s="123"/>
      <c r="N46" s="124"/>
      <c r="O46" s="228"/>
    </row>
    <row r="47" spans="3:15">
      <c r="C47" s="118"/>
      <c r="D47" s="118"/>
      <c r="E47" s="128" t="s">
        <v>523</v>
      </c>
      <c r="F47" s="120" t="s">
        <v>523</v>
      </c>
      <c r="G47" s="120" t="s">
        <v>523</v>
      </c>
      <c r="H47" s="120" t="s">
        <v>523</v>
      </c>
      <c r="I47" s="120" t="s">
        <v>523</v>
      </c>
      <c r="J47" s="120"/>
      <c r="K47" s="120"/>
      <c r="L47" s="122"/>
      <c r="M47" s="123"/>
      <c r="N47" s="124"/>
      <c r="O47" s="228"/>
    </row>
    <row r="48" spans="3:15">
      <c r="C48" s="118"/>
      <c r="D48" s="118"/>
      <c r="E48" s="128" t="s">
        <v>523</v>
      </c>
      <c r="F48" s="120" t="s">
        <v>523</v>
      </c>
      <c r="G48" s="120" t="s">
        <v>523</v>
      </c>
      <c r="H48" s="120" t="s">
        <v>523</v>
      </c>
      <c r="I48" s="120" t="s">
        <v>523</v>
      </c>
      <c r="J48" s="120"/>
      <c r="K48" s="120"/>
      <c r="L48" s="122"/>
      <c r="M48" s="123"/>
      <c r="N48" s="124"/>
      <c r="O48" s="228"/>
    </row>
    <row r="49" spans="3:15">
      <c r="C49" s="118"/>
      <c r="D49" s="118"/>
      <c r="E49" s="128" t="s">
        <v>523</v>
      </c>
      <c r="F49" s="120" t="s">
        <v>523</v>
      </c>
      <c r="G49" s="120" t="s">
        <v>523</v>
      </c>
      <c r="H49" s="120" t="s">
        <v>523</v>
      </c>
      <c r="I49" s="120" t="s">
        <v>523</v>
      </c>
      <c r="J49" s="120"/>
      <c r="K49" s="120"/>
      <c r="L49" s="122"/>
      <c r="M49" s="123"/>
      <c r="N49" s="124"/>
      <c r="O49" s="228"/>
    </row>
    <row r="50" spans="3:15">
      <c r="C50" s="118"/>
      <c r="D50" s="118"/>
      <c r="E50" s="128" t="s">
        <v>523</v>
      </c>
      <c r="F50" s="120" t="s">
        <v>523</v>
      </c>
      <c r="G50" s="120" t="s">
        <v>523</v>
      </c>
      <c r="H50" s="120" t="s">
        <v>523</v>
      </c>
      <c r="I50" s="120" t="s">
        <v>523</v>
      </c>
      <c r="J50" s="120"/>
      <c r="K50" s="120"/>
      <c r="L50" s="122"/>
      <c r="M50" s="123"/>
      <c r="N50" s="124"/>
      <c r="O50" s="228"/>
    </row>
    <row r="51" spans="3:15">
      <c r="C51" s="118"/>
      <c r="D51" s="118"/>
      <c r="E51" s="128" t="s">
        <v>523</v>
      </c>
      <c r="F51" s="120" t="s">
        <v>523</v>
      </c>
      <c r="G51" s="120" t="s">
        <v>523</v>
      </c>
      <c r="H51" s="120" t="s">
        <v>523</v>
      </c>
      <c r="I51" s="120" t="s">
        <v>523</v>
      </c>
      <c r="J51" s="120"/>
      <c r="K51" s="120"/>
      <c r="L51" s="122"/>
      <c r="M51" s="123"/>
      <c r="N51" s="124"/>
      <c r="O51" s="228"/>
    </row>
    <row r="52" spans="3:15">
      <c r="C52" s="118"/>
      <c r="D52" s="118"/>
      <c r="E52" s="128" t="s">
        <v>523</v>
      </c>
      <c r="F52" s="120" t="s">
        <v>523</v>
      </c>
      <c r="G52" s="120" t="s">
        <v>523</v>
      </c>
      <c r="H52" s="120" t="s">
        <v>523</v>
      </c>
      <c r="I52" s="120" t="s">
        <v>523</v>
      </c>
      <c r="J52" s="120"/>
      <c r="K52" s="120"/>
      <c r="L52" s="122"/>
      <c r="M52" s="123"/>
      <c r="N52" s="124"/>
      <c r="O52" s="228"/>
    </row>
    <row r="53" spans="3:15">
      <c r="C53" s="118"/>
      <c r="D53" s="118"/>
      <c r="E53" s="128" t="s">
        <v>523</v>
      </c>
      <c r="F53" s="120" t="s">
        <v>523</v>
      </c>
      <c r="G53" s="120" t="s">
        <v>523</v>
      </c>
      <c r="H53" s="120" t="s">
        <v>523</v>
      </c>
      <c r="I53" s="120" t="s">
        <v>523</v>
      </c>
      <c r="J53" s="120"/>
      <c r="K53" s="120"/>
      <c r="L53" s="122"/>
      <c r="M53" s="123"/>
      <c r="N53" s="124"/>
      <c r="O53" s="228"/>
    </row>
    <row r="54" spans="3:15">
      <c r="C54" s="118"/>
      <c r="D54" s="118"/>
      <c r="E54" s="128" t="s">
        <v>523</v>
      </c>
      <c r="F54" s="120" t="s">
        <v>523</v>
      </c>
      <c r="G54" s="120" t="s">
        <v>523</v>
      </c>
      <c r="H54" s="120" t="s">
        <v>523</v>
      </c>
      <c r="I54" s="120" t="s">
        <v>523</v>
      </c>
      <c r="J54" s="120"/>
      <c r="K54" s="120"/>
      <c r="L54" s="122"/>
      <c r="M54" s="123"/>
      <c r="N54" s="124"/>
      <c r="O54" s="228"/>
    </row>
    <row r="55" spans="3:15">
      <c r="C55" s="118"/>
      <c r="D55" s="118"/>
      <c r="E55" s="128" t="s">
        <v>523</v>
      </c>
      <c r="F55" s="120" t="s">
        <v>523</v>
      </c>
      <c r="G55" s="120" t="s">
        <v>523</v>
      </c>
      <c r="H55" s="120" t="s">
        <v>523</v>
      </c>
      <c r="I55" s="120" t="s">
        <v>523</v>
      </c>
      <c r="J55" s="120"/>
      <c r="K55" s="120"/>
      <c r="L55" s="122"/>
      <c r="M55" s="123"/>
      <c r="N55" s="124"/>
      <c r="O55" s="228"/>
    </row>
    <row r="56" spans="3:15">
      <c r="C56" s="118"/>
      <c r="D56" s="118"/>
      <c r="E56" s="128" t="s">
        <v>523</v>
      </c>
      <c r="F56" s="120" t="s">
        <v>523</v>
      </c>
      <c r="G56" s="120" t="s">
        <v>523</v>
      </c>
      <c r="H56" s="120" t="s">
        <v>523</v>
      </c>
      <c r="I56" s="120" t="s">
        <v>523</v>
      </c>
      <c r="J56" s="120"/>
      <c r="K56" s="120"/>
      <c r="L56" s="122"/>
      <c r="M56" s="123"/>
      <c r="N56" s="124"/>
      <c r="O56" s="228"/>
    </row>
    <row r="57" spans="3:15">
      <c r="C57" s="118"/>
      <c r="D57" s="118"/>
      <c r="E57" s="128" t="s">
        <v>523</v>
      </c>
      <c r="F57" s="120" t="s">
        <v>523</v>
      </c>
      <c r="G57" s="120" t="s">
        <v>523</v>
      </c>
      <c r="H57" s="120" t="s">
        <v>523</v>
      </c>
      <c r="I57" s="120" t="s">
        <v>523</v>
      </c>
      <c r="J57" s="120"/>
      <c r="K57" s="120"/>
      <c r="L57" s="122"/>
      <c r="M57" s="123"/>
      <c r="N57" s="124"/>
      <c r="O57" s="228"/>
    </row>
    <row r="58" spans="3:15">
      <c r="C58" s="118"/>
      <c r="D58" s="118"/>
      <c r="E58" s="128" t="s">
        <v>523</v>
      </c>
      <c r="F58" s="120" t="s">
        <v>523</v>
      </c>
      <c r="G58" s="120" t="s">
        <v>523</v>
      </c>
      <c r="H58" s="120" t="s">
        <v>523</v>
      </c>
      <c r="I58" s="120" t="s">
        <v>523</v>
      </c>
      <c r="J58" s="120"/>
      <c r="K58" s="120"/>
      <c r="L58" s="122"/>
      <c r="M58" s="123"/>
      <c r="N58" s="124"/>
      <c r="O58" s="228"/>
    </row>
    <row r="59" spans="3:15">
      <c r="C59" s="118"/>
      <c r="D59" s="118"/>
      <c r="E59" s="128" t="s">
        <v>523</v>
      </c>
      <c r="F59" s="120" t="s">
        <v>523</v>
      </c>
      <c r="G59" s="120" t="s">
        <v>523</v>
      </c>
      <c r="H59" s="120" t="s">
        <v>523</v>
      </c>
      <c r="I59" s="120" t="s">
        <v>523</v>
      </c>
      <c r="J59" s="120"/>
      <c r="K59" s="120"/>
      <c r="L59" s="122"/>
      <c r="M59" s="123"/>
      <c r="N59" s="124"/>
      <c r="O59" s="228"/>
    </row>
    <row r="60" spans="3:15">
      <c r="C60" s="118"/>
      <c r="D60" s="118"/>
      <c r="E60" s="128" t="s">
        <v>523</v>
      </c>
      <c r="F60" s="120" t="s">
        <v>523</v>
      </c>
      <c r="G60" s="120" t="s">
        <v>523</v>
      </c>
      <c r="H60" s="120" t="s">
        <v>523</v>
      </c>
      <c r="I60" s="120" t="s">
        <v>523</v>
      </c>
      <c r="J60" s="120"/>
      <c r="K60" s="120"/>
      <c r="L60" s="122"/>
      <c r="M60" s="123"/>
      <c r="N60" s="124"/>
      <c r="O60" s="228"/>
    </row>
    <row r="61" spans="3:15">
      <c r="C61" s="118"/>
      <c r="D61" s="118"/>
      <c r="E61" s="128" t="s">
        <v>523</v>
      </c>
      <c r="F61" s="120" t="s">
        <v>523</v>
      </c>
      <c r="G61" s="120" t="s">
        <v>523</v>
      </c>
      <c r="H61" s="120" t="s">
        <v>523</v>
      </c>
      <c r="I61" s="120" t="s">
        <v>523</v>
      </c>
      <c r="J61" s="120"/>
      <c r="K61" s="120"/>
      <c r="L61" s="122"/>
      <c r="M61" s="123"/>
      <c r="N61" s="124"/>
      <c r="O61" s="228"/>
    </row>
    <row r="62" spans="3:15">
      <c r="C62" s="118"/>
      <c r="D62" s="118"/>
      <c r="E62" s="128" t="s">
        <v>523</v>
      </c>
      <c r="F62" s="120" t="s">
        <v>523</v>
      </c>
      <c r="G62" s="120" t="s">
        <v>523</v>
      </c>
      <c r="H62" s="120" t="s">
        <v>523</v>
      </c>
      <c r="I62" s="120" t="s">
        <v>523</v>
      </c>
      <c r="J62" s="120"/>
      <c r="K62" s="120"/>
      <c r="L62" s="122"/>
      <c r="M62" s="123"/>
      <c r="N62" s="124"/>
      <c r="O62" s="228"/>
    </row>
    <row r="63" spans="3:15">
      <c r="C63" s="118"/>
      <c r="D63" s="118"/>
      <c r="E63" s="128" t="s">
        <v>523</v>
      </c>
      <c r="F63" s="120" t="s">
        <v>523</v>
      </c>
      <c r="G63" s="120" t="s">
        <v>523</v>
      </c>
      <c r="H63" s="120" t="s">
        <v>523</v>
      </c>
      <c r="I63" s="120" t="s">
        <v>523</v>
      </c>
      <c r="J63" s="120"/>
      <c r="K63" s="120"/>
      <c r="L63" s="122"/>
      <c r="M63" s="123"/>
      <c r="N63" s="124"/>
      <c r="O63" s="228"/>
    </row>
    <row r="64" spans="3:15">
      <c r="C64" s="118"/>
      <c r="D64" s="118"/>
      <c r="E64" s="128" t="s">
        <v>523</v>
      </c>
      <c r="F64" s="120" t="s">
        <v>523</v>
      </c>
      <c r="G64" s="120" t="s">
        <v>523</v>
      </c>
      <c r="H64" s="120" t="s">
        <v>523</v>
      </c>
      <c r="I64" s="120" t="s">
        <v>523</v>
      </c>
      <c r="J64" s="120"/>
      <c r="K64" s="120"/>
      <c r="L64" s="122"/>
      <c r="M64" s="123"/>
      <c r="N64" s="124"/>
      <c r="O64" s="228"/>
    </row>
    <row r="65" spans="3:15">
      <c r="C65" s="118"/>
      <c r="D65" s="118"/>
      <c r="E65" s="128" t="s">
        <v>523</v>
      </c>
      <c r="F65" s="120" t="s">
        <v>523</v>
      </c>
      <c r="G65" s="120" t="s">
        <v>523</v>
      </c>
      <c r="H65" s="120" t="s">
        <v>523</v>
      </c>
      <c r="I65" s="120" t="s">
        <v>523</v>
      </c>
      <c r="J65" s="120"/>
      <c r="K65" s="120"/>
      <c r="L65" s="122"/>
      <c r="M65" s="123"/>
      <c r="N65" s="124"/>
      <c r="O65" s="228"/>
    </row>
    <row r="66" spans="3:15">
      <c r="C66" s="118"/>
      <c r="D66" s="118"/>
      <c r="E66" s="128" t="s">
        <v>523</v>
      </c>
      <c r="F66" s="120" t="s">
        <v>523</v>
      </c>
      <c r="G66" s="120" t="s">
        <v>523</v>
      </c>
      <c r="H66" s="120" t="s">
        <v>523</v>
      </c>
      <c r="I66" s="120" t="s">
        <v>523</v>
      </c>
      <c r="J66" s="120"/>
      <c r="K66" s="120"/>
      <c r="L66" s="122"/>
      <c r="M66" s="123"/>
      <c r="N66" s="124"/>
      <c r="O66" s="228"/>
    </row>
    <row r="67" spans="3:15">
      <c r="C67" s="118"/>
      <c r="D67" s="118"/>
      <c r="E67" s="128" t="s">
        <v>523</v>
      </c>
      <c r="F67" s="120" t="s">
        <v>523</v>
      </c>
      <c r="G67" s="120" t="s">
        <v>523</v>
      </c>
      <c r="H67" s="120" t="s">
        <v>523</v>
      </c>
      <c r="I67" s="120" t="s">
        <v>523</v>
      </c>
      <c r="J67" s="120"/>
      <c r="K67" s="120"/>
      <c r="L67" s="122"/>
      <c r="M67" s="123"/>
      <c r="N67" s="124"/>
      <c r="O67" s="228"/>
    </row>
    <row r="68" spans="3:15">
      <c r="C68" s="118"/>
      <c r="D68" s="118"/>
      <c r="E68" s="128" t="s">
        <v>523</v>
      </c>
      <c r="F68" s="120" t="s">
        <v>523</v>
      </c>
      <c r="G68" s="120" t="s">
        <v>523</v>
      </c>
      <c r="H68" s="120" t="s">
        <v>523</v>
      </c>
      <c r="I68" s="120" t="s">
        <v>523</v>
      </c>
      <c r="J68" s="120"/>
      <c r="K68" s="120"/>
      <c r="L68" s="122"/>
      <c r="M68" s="123"/>
      <c r="N68" s="2"/>
      <c r="O68" s="228"/>
    </row>
    <row r="69" spans="3:15">
      <c r="C69" s="118"/>
      <c r="D69" s="118"/>
      <c r="E69" s="128" t="s">
        <v>523</v>
      </c>
      <c r="F69" s="120" t="s">
        <v>523</v>
      </c>
      <c r="G69" s="120" t="s">
        <v>523</v>
      </c>
      <c r="H69" s="120" t="s">
        <v>523</v>
      </c>
      <c r="I69" s="120" t="s">
        <v>523</v>
      </c>
      <c r="J69" s="120"/>
      <c r="K69" s="120"/>
      <c r="L69" s="122"/>
      <c r="M69" s="123"/>
      <c r="N69" s="2"/>
      <c r="O69" s="228"/>
    </row>
    <row r="70" spans="3:15">
      <c r="C70" s="229"/>
      <c r="D70" s="229"/>
      <c r="E70" s="230" t="s">
        <v>523</v>
      </c>
      <c r="F70" s="231" t="s">
        <v>523</v>
      </c>
      <c r="G70" s="231" t="s">
        <v>523</v>
      </c>
      <c r="H70" s="231" t="s">
        <v>523</v>
      </c>
      <c r="I70" s="231" t="s">
        <v>523</v>
      </c>
      <c r="J70" s="231"/>
      <c r="K70" s="231"/>
      <c r="L70" s="232"/>
      <c r="M70" s="228"/>
      <c r="O70" s="228"/>
    </row>
    <row r="71" spans="3:15">
      <c r="C71" s="229"/>
      <c r="D71" s="229"/>
      <c r="E71" s="230" t="s">
        <v>523</v>
      </c>
      <c r="F71" s="231" t="s">
        <v>523</v>
      </c>
      <c r="G71" s="231" t="s">
        <v>523</v>
      </c>
      <c r="H71" s="231" t="s">
        <v>523</v>
      </c>
      <c r="I71" s="231" t="s">
        <v>523</v>
      </c>
      <c r="J71" s="231"/>
      <c r="K71" s="231"/>
      <c r="L71" s="232"/>
      <c r="M71" s="228"/>
    </row>
    <row r="72" spans="3:15">
      <c r="C72" s="229"/>
      <c r="D72" s="229"/>
      <c r="E72" s="230" t="s">
        <v>523</v>
      </c>
      <c r="F72" s="231" t="s">
        <v>523</v>
      </c>
      <c r="G72" s="231" t="s">
        <v>523</v>
      </c>
      <c r="H72" s="231" t="s">
        <v>523</v>
      </c>
      <c r="I72" s="231" t="s">
        <v>523</v>
      </c>
      <c r="L72" s="232"/>
      <c r="M72" s="228"/>
    </row>
    <row r="73" spans="3:15">
      <c r="C73" s="229"/>
      <c r="D73" s="229"/>
      <c r="E73" s="230" t="s">
        <v>523</v>
      </c>
      <c r="F73" s="231" t="s">
        <v>523</v>
      </c>
      <c r="G73" s="231" t="s">
        <v>523</v>
      </c>
      <c r="H73" s="231" t="s">
        <v>523</v>
      </c>
      <c r="I73" s="231" t="s">
        <v>523</v>
      </c>
      <c r="L73" s="232"/>
      <c r="M73" s="228"/>
    </row>
    <row r="74" spans="3:15">
      <c r="C74" s="229"/>
      <c r="D74" s="229"/>
      <c r="E74" s="230" t="s">
        <v>523</v>
      </c>
      <c r="F74" s="231" t="s">
        <v>523</v>
      </c>
      <c r="G74" s="231" t="s">
        <v>523</v>
      </c>
      <c r="H74" s="231" t="s">
        <v>523</v>
      </c>
      <c r="I74" s="231" t="s">
        <v>523</v>
      </c>
      <c r="L74" s="232"/>
      <c r="M74" s="228"/>
    </row>
    <row r="75" spans="3:15">
      <c r="C75" s="229"/>
      <c r="D75" s="229"/>
      <c r="E75" s="230" t="s">
        <v>523</v>
      </c>
      <c r="F75" s="231" t="s">
        <v>523</v>
      </c>
      <c r="G75" s="231" t="s">
        <v>523</v>
      </c>
      <c r="H75" s="231" t="s">
        <v>523</v>
      </c>
      <c r="I75" s="231" t="s">
        <v>523</v>
      </c>
      <c r="L75" s="232"/>
      <c r="M75" s="228"/>
    </row>
    <row r="76" spans="3:15">
      <c r="C76" s="229"/>
      <c r="D76" s="229"/>
      <c r="E76" s="230" t="s">
        <v>523</v>
      </c>
      <c r="F76" s="231" t="s">
        <v>523</v>
      </c>
      <c r="G76" s="231" t="s">
        <v>523</v>
      </c>
      <c r="H76" s="231" t="s">
        <v>523</v>
      </c>
      <c r="I76" s="231" t="s">
        <v>523</v>
      </c>
      <c r="L76" s="232"/>
      <c r="M76" s="228"/>
    </row>
  </sheetData>
  <phoneticPr fontId="25" type="noConversion"/>
  <dataValidations count="1">
    <dataValidation type="list" allowBlank="1" showInputMessage="1" showErrorMessage="1" sqref="J3:J71" xr:uid="{00000000-0002-0000-1D00-000000000000}">
      <formula1>#REF!</formula1>
    </dataValidation>
  </dataValidations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15"/>
  <dimension ref="A1"/>
  <sheetViews>
    <sheetView zoomScaleNormal="100" workbookViewId="0"/>
  </sheetViews>
  <sheetFormatPr defaultColWidth="9.140625" defaultRowHeight="15"/>
  <cols>
    <col min="1" max="16384" width="9.140625" style="1"/>
  </cols>
  <sheetData/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16"/>
  <dimension ref="A1:Z46"/>
  <sheetViews>
    <sheetView zoomScaleNormal="100" workbookViewId="0">
      <selection activeCell="B31" sqref="B31"/>
    </sheetView>
  </sheetViews>
  <sheetFormatPr defaultColWidth="8.42578125" defaultRowHeight="13.5"/>
  <cols>
    <col min="1" max="2" width="8.42578125" style="28"/>
    <col min="3" max="3" width="12.42578125" style="35" customWidth="1"/>
    <col min="4" max="4" width="37.140625" style="35" customWidth="1"/>
    <col min="5" max="5" width="16.42578125" style="54" customWidth="1"/>
    <col min="6" max="6" width="29.42578125" style="35" bestFit="1" customWidth="1"/>
    <col min="7" max="7" width="21.140625" style="35" customWidth="1"/>
    <col min="8" max="8" width="24.42578125" style="54" customWidth="1"/>
    <col min="9" max="9" width="40.140625" style="35" customWidth="1"/>
    <col min="10" max="10" width="26" style="35" customWidth="1"/>
    <col min="11" max="11" width="17.85546875" style="35" customWidth="1"/>
    <col min="12" max="12" width="21.42578125" style="35" bestFit="1" customWidth="1"/>
    <col min="13" max="13" width="26.42578125" style="35" bestFit="1" customWidth="1"/>
    <col min="14" max="14" width="27.42578125" style="35" customWidth="1"/>
    <col min="15" max="15" width="15.42578125" style="55" bestFit="1" customWidth="1"/>
    <col min="16" max="16" width="16.42578125" style="35" customWidth="1"/>
    <col min="17" max="17" width="26.42578125" style="56" customWidth="1"/>
    <col min="18" max="18" width="30.85546875" style="35" bestFit="1" customWidth="1"/>
    <col min="19" max="19" width="15.42578125" style="35" customWidth="1"/>
    <col min="20" max="20" width="29.42578125" style="35" customWidth="1"/>
    <col min="21" max="21" width="20.42578125" style="35" bestFit="1" customWidth="1"/>
    <col min="22" max="22" width="48.140625" style="35" customWidth="1"/>
    <col min="23" max="23" width="12.42578125" style="35" customWidth="1"/>
    <col min="24" max="24" width="13.140625" style="35" customWidth="1"/>
    <col min="25" max="26" width="8.42578125" style="28"/>
    <col min="27" max="16384" width="8.42578125" style="35"/>
  </cols>
  <sheetData>
    <row r="1" spans="3:24" s="28" customFormat="1">
      <c r="E1" s="32"/>
      <c r="H1" s="32"/>
      <c r="O1" s="33"/>
      <c r="Q1" s="34"/>
    </row>
    <row r="2" spans="3:24" s="28" customFormat="1">
      <c r="E2" s="32"/>
      <c r="H2" s="32"/>
      <c r="O2" s="33"/>
      <c r="Q2" s="34"/>
    </row>
    <row r="3" spans="3:24">
      <c r="C3" s="59" t="s">
        <v>524</v>
      </c>
      <c r="D3" s="59" t="s">
        <v>525</v>
      </c>
      <c r="E3" s="59" t="s">
        <v>526</v>
      </c>
      <c r="F3" s="59" t="s">
        <v>527</v>
      </c>
      <c r="G3" s="59" t="s">
        <v>528</v>
      </c>
      <c r="H3" s="59" t="s">
        <v>529</v>
      </c>
      <c r="I3" s="59" t="s">
        <v>530</v>
      </c>
      <c r="J3" s="59" t="s">
        <v>531</v>
      </c>
      <c r="K3" s="59" t="s">
        <v>532</v>
      </c>
      <c r="L3" s="63" t="s">
        <v>533</v>
      </c>
      <c r="M3" s="63" t="s">
        <v>534</v>
      </c>
      <c r="N3" s="63" t="s">
        <v>535</v>
      </c>
      <c r="O3" s="64" t="s">
        <v>536</v>
      </c>
      <c r="P3" s="63" t="s">
        <v>537</v>
      </c>
      <c r="Q3" s="66" t="s">
        <v>538</v>
      </c>
      <c r="R3" s="63" t="s">
        <v>539</v>
      </c>
      <c r="S3" s="63" t="s">
        <v>540</v>
      </c>
      <c r="T3" s="63" t="s">
        <v>541</v>
      </c>
      <c r="U3" s="63" t="s">
        <v>542</v>
      </c>
      <c r="V3" s="57" t="s">
        <v>543</v>
      </c>
      <c r="W3" s="63" t="s">
        <v>544</v>
      </c>
      <c r="X3" s="63" t="s">
        <v>545</v>
      </c>
    </row>
    <row r="4" spans="3:24">
      <c r="C4" s="60" cm="1">
        <f t="array" aca="1" ref="C4" ca="1">C46+C4:C30</f>
        <v>0</v>
      </c>
      <c r="D4" s="60"/>
      <c r="E4" s="61"/>
      <c r="F4" s="62"/>
      <c r="G4" s="62"/>
      <c r="H4" s="62"/>
      <c r="I4" s="62"/>
      <c r="J4" s="62"/>
      <c r="K4" s="62"/>
      <c r="L4" s="62"/>
      <c r="M4" s="62"/>
      <c r="N4" s="62"/>
      <c r="O4" s="65"/>
      <c r="P4" s="62"/>
      <c r="Q4" s="67"/>
      <c r="R4" s="62"/>
      <c r="S4" s="62"/>
      <c r="T4" s="62"/>
      <c r="U4" s="62"/>
      <c r="V4" s="36"/>
      <c r="W4" s="62"/>
      <c r="X4" s="62"/>
    </row>
    <row r="5" spans="3:24">
      <c r="C5" s="37" t="str">
        <f t="shared" ref="C5:C43" si="0">LEFT(H5,3)</f>
        <v>989</v>
      </c>
      <c r="D5" s="38" t="s">
        <v>546</v>
      </c>
      <c r="E5" s="37" t="s">
        <v>547</v>
      </c>
      <c r="F5" s="39">
        <v>24746</v>
      </c>
      <c r="G5" s="40">
        <f t="shared" ref="G5:G43" ca="1" si="1">YEAR(NOW())-YEAR(F5)</f>
        <v>57</v>
      </c>
      <c r="H5" s="40" t="s">
        <v>548</v>
      </c>
      <c r="I5" s="41" t="s">
        <v>549</v>
      </c>
      <c r="J5" s="40" t="s">
        <v>550</v>
      </c>
      <c r="K5" s="40" t="s">
        <v>551</v>
      </c>
      <c r="L5" s="40" t="s">
        <v>552</v>
      </c>
      <c r="M5" s="40" t="s">
        <v>553</v>
      </c>
      <c r="N5" s="40" t="s">
        <v>554</v>
      </c>
      <c r="O5" s="42">
        <v>3500</v>
      </c>
      <c r="P5" s="40" t="str">
        <f>'[2]DATABASE FOLHA DE PAGAMENTO RH'!S3</f>
        <v>BOM</v>
      </c>
      <c r="Q5" s="43">
        <v>41524</v>
      </c>
      <c r="R5" s="43">
        <v>45176</v>
      </c>
      <c r="S5" s="40" t="s">
        <v>555</v>
      </c>
      <c r="T5" s="40" t="s">
        <v>556</v>
      </c>
      <c r="U5" s="40" t="s">
        <v>557</v>
      </c>
      <c r="V5" s="40" t="s">
        <v>558</v>
      </c>
      <c r="W5" s="40" t="s">
        <v>559</v>
      </c>
      <c r="X5" s="40" t="s">
        <v>560</v>
      </c>
    </row>
    <row r="6" spans="3:24">
      <c r="C6" s="44" t="str">
        <f t="shared" si="0"/>
        <v>925</v>
      </c>
      <c r="D6" s="45" t="s">
        <v>561</v>
      </c>
      <c r="E6" s="44" t="s">
        <v>562</v>
      </c>
      <c r="F6" s="46">
        <v>25491</v>
      </c>
      <c r="G6" s="47">
        <f t="shared" ca="1" si="1"/>
        <v>55</v>
      </c>
      <c r="H6" s="47" t="s">
        <v>563</v>
      </c>
      <c r="I6" s="48" t="s">
        <v>564</v>
      </c>
      <c r="J6" s="47" t="s">
        <v>565</v>
      </c>
      <c r="K6" s="47" t="s">
        <v>566</v>
      </c>
      <c r="L6" s="47" t="s">
        <v>567</v>
      </c>
      <c r="M6" s="47" t="s">
        <v>568</v>
      </c>
      <c r="N6" s="47" t="s">
        <v>569</v>
      </c>
      <c r="O6" s="49">
        <v>5500</v>
      </c>
      <c r="P6" s="40" t="str">
        <f>'[2]DATABASE FOLHA DE PAGAMENTO RH'!S4</f>
        <v>ÓTIMO</v>
      </c>
      <c r="Q6" s="50">
        <v>44279</v>
      </c>
      <c r="R6" s="50">
        <v>45009</v>
      </c>
      <c r="S6" s="47" t="s">
        <v>570</v>
      </c>
      <c r="T6" s="47" t="s">
        <v>556</v>
      </c>
      <c r="U6" s="47" t="s">
        <v>557</v>
      </c>
      <c r="V6" s="47" t="s">
        <v>571</v>
      </c>
      <c r="W6" s="47" t="s">
        <v>572</v>
      </c>
      <c r="X6" s="47" t="s">
        <v>560</v>
      </c>
    </row>
    <row r="7" spans="3:24">
      <c r="C7" s="44" t="str">
        <f t="shared" si="0"/>
        <v>500</v>
      </c>
      <c r="D7" s="45" t="s">
        <v>573</v>
      </c>
      <c r="E7" s="44" t="s">
        <v>547</v>
      </c>
      <c r="F7" s="46">
        <v>31792</v>
      </c>
      <c r="G7" s="47">
        <f t="shared" ca="1" si="1"/>
        <v>37</v>
      </c>
      <c r="H7" s="47" t="s">
        <v>574</v>
      </c>
      <c r="I7" s="48" t="s">
        <v>575</v>
      </c>
      <c r="J7" s="47" t="s">
        <v>576</v>
      </c>
      <c r="K7" s="47" t="s">
        <v>577</v>
      </c>
      <c r="L7" s="47" t="s">
        <v>578</v>
      </c>
      <c r="M7" s="47" t="s">
        <v>579</v>
      </c>
      <c r="N7" s="51" t="s">
        <v>580</v>
      </c>
      <c r="O7" s="49">
        <v>5500</v>
      </c>
      <c r="P7" s="40" t="str">
        <f>'[2]DATABASE FOLHA DE PAGAMENTO RH'!S5</f>
        <v>BOM</v>
      </c>
      <c r="Q7" s="50">
        <v>43664</v>
      </c>
      <c r="R7" s="50">
        <v>45125</v>
      </c>
      <c r="S7" s="47" t="s">
        <v>555</v>
      </c>
      <c r="T7" s="47" t="s">
        <v>556</v>
      </c>
      <c r="U7" s="47" t="s">
        <v>557</v>
      </c>
      <c r="V7" s="47" t="s">
        <v>581</v>
      </c>
      <c r="W7" s="47" t="s">
        <v>582</v>
      </c>
      <c r="X7" s="47" t="s">
        <v>560</v>
      </c>
    </row>
    <row r="8" spans="3:24">
      <c r="C8" s="44" t="str">
        <f t="shared" si="0"/>
        <v>242</v>
      </c>
      <c r="D8" s="45" t="s">
        <v>583</v>
      </c>
      <c r="E8" s="44" t="s">
        <v>547</v>
      </c>
      <c r="F8" s="46">
        <v>26343</v>
      </c>
      <c r="G8" s="47">
        <f t="shared" ca="1" si="1"/>
        <v>52</v>
      </c>
      <c r="H8" s="47" t="s">
        <v>584</v>
      </c>
      <c r="I8" s="48" t="s">
        <v>585</v>
      </c>
      <c r="J8" s="47" t="s">
        <v>586</v>
      </c>
      <c r="K8" s="47" t="s">
        <v>587</v>
      </c>
      <c r="L8" s="47" t="s">
        <v>567</v>
      </c>
      <c r="M8" s="47" t="s">
        <v>588</v>
      </c>
      <c r="N8" s="47" t="s">
        <v>589</v>
      </c>
      <c r="O8" s="49">
        <v>7000</v>
      </c>
      <c r="P8" s="40" t="str">
        <f>'[2]DATABASE FOLHA DE PAGAMENTO RH'!S6</f>
        <v>ÓTIMO</v>
      </c>
      <c r="Q8" s="50">
        <v>42011</v>
      </c>
      <c r="R8" s="46">
        <v>44933</v>
      </c>
      <c r="S8" s="47" t="s">
        <v>555</v>
      </c>
      <c r="T8" s="47" t="s">
        <v>556</v>
      </c>
      <c r="U8" s="47" t="s">
        <v>557</v>
      </c>
      <c r="V8" s="47" t="s">
        <v>590</v>
      </c>
      <c r="W8" s="47" t="s">
        <v>591</v>
      </c>
      <c r="X8" s="47" t="s">
        <v>560</v>
      </c>
    </row>
    <row r="9" spans="3:24">
      <c r="C9" s="44" t="str">
        <f t="shared" si="0"/>
        <v>121</v>
      </c>
      <c r="D9" s="45" t="s">
        <v>592</v>
      </c>
      <c r="E9" s="44" t="s">
        <v>547</v>
      </c>
      <c r="F9" s="46">
        <v>34849</v>
      </c>
      <c r="G9" s="47">
        <f t="shared" ca="1" si="1"/>
        <v>29</v>
      </c>
      <c r="H9" s="47" t="s">
        <v>593</v>
      </c>
      <c r="I9" s="48" t="s">
        <v>594</v>
      </c>
      <c r="J9" s="47" t="s">
        <v>595</v>
      </c>
      <c r="K9" s="47" t="s">
        <v>596</v>
      </c>
      <c r="L9" s="47" t="s">
        <v>597</v>
      </c>
      <c r="M9" s="47" t="s">
        <v>588</v>
      </c>
      <c r="N9" s="47" t="s">
        <v>598</v>
      </c>
      <c r="O9" s="49">
        <v>7000</v>
      </c>
      <c r="P9" s="40" t="str">
        <f>'[2]DATABASE FOLHA DE PAGAMENTO RH'!S7</f>
        <v>RUIM</v>
      </c>
      <c r="Q9" s="50">
        <v>43073</v>
      </c>
      <c r="R9" s="46">
        <v>45264</v>
      </c>
      <c r="S9" s="47" t="s">
        <v>555</v>
      </c>
      <c r="T9" s="47" t="s">
        <v>556</v>
      </c>
      <c r="U9" s="47" t="s">
        <v>557</v>
      </c>
      <c r="V9" s="47" t="s">
        <v>599</v>
      </c>
      <c r="W9" s="47" t="s">
        <v>600</v>
      </c>
      <c r="X9" s="47" t="s">
        <v>560</v>
      </c>
    </row>
    <row r="10" spans="3:24">
      <c r="C10" s="44" t="str">
        <f t="shared" si="0"/>
        <v>534</v>
      </c>
      <c r="D10" s="45" t="s">
        <v>601</v>
      </c>
      <c r="E10" s="44" t="s">
        <v>547</v>
      </c>
      <c r="F10" s="46">
        <v>32730</v>
      </c>
      <c r="G10" s="47">
        <f t="shared" ca="1" si="1"/>
        <v>35</v>
      </c>
      <c r="H10" s="47" t="s">
        <v>602</v>
      </c>
      <c r="I10" s="48" t="s">
        <v>603</v>
      </c>
      <c r="J10" s="47" t="s">
        <v>604</v>
      </c>
      <c r="K10" s="47" t="s">
        <v>605</v>
      </c>
      <c r="L10" s="47" t="s">
        <v>606</v>
      </c>
      <c r="M10" s="47" t="s">
        <v>607</v>
      </c>
      <c r="N10" s="47" t="s">
        <v>608</v>
      </c>
      <c r="O10" s="49">
        <v>5500</v>
      </c>
      <c r="P10" s="40" t="str">
        <f>'[2]DATABASE FOLHA DE PAGAMENTO RH'!S8</f>
        <v>BOM</v>
      </c>
      <c r="Q10" s="50">
        <v>41693</v>
      </c>
      <c r="R10" s="46">
        <v>44980</v>
      </c>
      <c r="S10" s="47" t="s">
        <v>555</v>
      </c>
      <c r="T10" s="47" t="s">
        <v>609</v>
      </c>
      <c r="U10" s="47" t="s">
        <v>557</v>
      </c>
      <c r="V10" s="47" t="s">
        <v>610</v>
      </c>
      <c r="W10" s="47" t="s">
        <v>611</v>
      </c>
      <c r="X10" s="47" t="s">
        <v>560</v>
      </c>
    </row>
    <row r="11" spans="3:24">
      <c r="C11" s="44" t="str">
        <f t="shared" si="0"/>
        <v>309</v>
      </c>
      <c r="D11" s="45" t="s">
        <v>612</v>
      </c>
      <c r="E11" s="44" t="s">
        <v>562</v>
      </c>
      <c r="F11" s="46">
        <v>26927</v>
      </c>
      <c r="G11" s="47">
        <f t="shared" ca="1" si="1"/>
        <v>51</v>
      </c>
      <c r="H11" s="47" t="s">
        <v>613</v>
      </c>
      <c r="I11" s="48" t="s">
        <v>614</v>
      </c>
      <c r="J11" s="47" t="s">
        <v>615</v>
      </c>
      <c r="K11" s="47" t="s">
        <v>616</v>
      </c>
      <c r="L11" s="47" t="s">
        <v>567</v>
      </c>
      <c r="M11" s="47" t="s">
        <v>568</v>
      </c>
      <c r="N11" s="47" t="s">
        <v>580</v>
      </c>
      <c r="O11" s="49">
        <v>5500</v>
      </c>
      <c r="P11" s="40" t="str">
        <f>'[2]DATABASE FOLHA DE PAGAMENTO RH'!S9</f>
        <v>BOM</v>
      </c>
      <c r="Q11" s="50">
        <v>41136</v>
      </c>
      <c r="R11" s="46">
        <v>45153</v>
      </c>
      <c r="S11" s="47" t="s">
        <v>555</v>
      </c>
      <c r="T11" s="47" t="s">
        <v>556</v>
      </c>
      <c r="U11" s="47" t="s">
        <v>557</v>
      </c>
      <c r="V11" s="47" t="s">
        <v>617</v>
      </c>
      <c r="W11" s="47" t="s">
        <v>618</v>
      </c>
      <c r="X11" s="47" t="s">
        <v>560</v>
      </c>
    </row>
    <row r="12" spans="3:24">
      <c r="C12" s="44" t="str">
        <f t="shared" si="0"/>
        <v>715</v>
      </c>
      <c r="D12" s="45" t="s">
        <v>619</v>
      </c>
      <c r="E12" s="44" t="s">
        <v>547</v>
      </c>
      <c r="F12" s="46">
        <v>33139</v>
      </c>
      <c r="G12" s="47">
        <f t="shared" ca="1" si="1"/>
        <v>34</v>
      </c>
      <c r="H12" s="47" t="s">
        <v>620</v>
      </c>
      <c r="I12" s="48" t="s">
        <v>621</v>
      </c>
      <c r="J12" s="47" t="s">
        <v>622</v>
      </c>
      <c r="K12" s="47" t="s">
        <v>623</v>
      </c>
      <c r="L12" s="47" t="s">
        <v>552</v>
      </c>
      <c r="M12" s="47" t="s">
        <v>553</v>
      </c>
      <c r="N12" s="47" t="s">
        <v>624</v>
      </c>
      <c r="O12" s="49">
        <v>3500</v>
      </c>
      <c r="P12" s="40" t="str">
        <f>'[2]DATABASE FOLHA DE PAGAMENTO RH'!S10</f>
        <v>ÓTIMO</v>
      </c>
      <c r="Q12" s="50">
        <v>42386</v>
      </c>
      <c r="R12" s="46">
        <v>44943</v>
      </c>
      <c r="S12" s="47" t="s">
        <v>555</v>
      </c>
      <c r="T12" s="47" t="s">
        <v>556</v>
      </c>
      <c r="U12" s="47" t="s">
        <v>557</v>
      </c>
      <c r="V12" s="47" t="s">
        <v>625</v>
      </c>
      <c r="W12" s="47" t="s">
        <v>626</v>
      </c>
      <c r="X12" s="47" t="s">
        <v>560</v>
      </c>
    </row>
    <row r="13" spans="3:24">
      <c r="C13" s="44" t="str">
        <f t="shared" si="0"/>
        <v>420</v>
      </c>
      <c r="D13" s="45" t="s">
        <v>627</v>
      </c>
      <c r="E13" s="44" t="s">
        <v>547</v>
      </c>
      <c r="F13" s="46">
        <v>36306</v>
      </c>
      <c r="G13" s="47">
        <f t="shared" ca="1" si="1"/>
        <v>25</v>
      </c>
      <c r="H13" s="47" t="s">
        <v>628</v>
      </c>
      <c r="I13" s="48" t="s">
        <v>629</v>
      </c>
      <c r="J13" s="47" t="s">
        <v>630</v>
      </c>
      <c r="K13" s="47" t="s">
        <v>631</v>
      </c>
      <c r="L13" s="47" t="s">
        <v>606</v>
      </c>
      <c r="M13" s="47" t="s">
        <v>607</v>
      </c>
      <c r="N13" s="47" t="s">
        <v>632</v>
      </c>
      <c r="O13" s="49">
        <v>5500</v>
      </c>
      <c r="P13" s="40" t="str">
        <f>'[2]DATABASE FOLHA DE PAGAMENTO RH'!S11</f>
        <v>ÓTIMO</v>
      </c>
      <c r="Q13" s="50">
        <v>43820</v>
      </c>
      <c r="R13" s="46">
        <v>45281</v>
      </c>
      <c r="S13" s="47" t="s">
        <v>555</v>
      </c>
      <c r="T13" s="47" t="s">
        <v>556</v>
      </c>
      <c r="U13" s="47" t="s">
        <v>557</v>
      </c>
      <c r="V13" s="47" t="s">
        <v>633</v>
      </c>
      <c r="W13" s="47" t="s">
        <v>634</v>
      </c>
      <c r="X13" s="47" t="s">
        <v>560</v>
      </c>
    </row>
    <row r="14" spans="3:24">
      <c r="C14" s="44" t="str">
        <f t="shared" si="0"/>
        <v>658</v>
      </c>
      <c r="D14" s="45" t="s">
        <v>635</v>
      </c>
      <c r="E14" s="44" t="s">
        <v>547</v>
      </c>
      <c r="F14" s="46">
        <v>27869</v>
      </c>
      <c r="G14" s="47">
        <f t="shared" ca="1" si="1"/>
        <v>48</v>
      </c>
      <c r="H14" s="47" t="s">
        <v>636</v>
      </c>
      <c r="I14" s="48" t="s">
        <v>637</v>
      </c>
      <c r="J14" s="47" t="s">
        <v>638</v>
      </c>
      <c r="K14" s="47" t="s">
        <v>639</v>
      </c>
      <c r="L14" s="47" t="s">
        <v>640</v>
      </c>
      <c r="M14" s="47" t="s">
        <v>568</v>
      </c>
      <c r="N14" s="47" t="s">
        <v>580</v>
      </c>
      <c r="O14" s="49">
        <v>5500</v>
      </c>
      <c r="P14" s="40" t="str">
        <f>'[2]DATABASE FOLHA DE PAGAMENTO RH'!S12</f>
        <v>ÓTIMO</v>
      </c>
      <c r="Q14" s="50">
        <v>40582</v>
      </c>
      <c r="R14" s="46">
        <v>44965</v>
      </c>
      <c r="S14" s="47" t="s">
        <v>555</v>
      </c>
      <c r="T14" s="47" t="s">
        <v>556</v>
      </c>
      <c r="U14" s="47" t="s">
        <v>557</v>
      </c>
      <c r="V14" s="47" t="s">
        <v>641</v>
      </c>
      <c r="W14" s="47" t="s">
        <v>642</v>
      </c>
      <c r="X14" s="47" t="s">
        <v>560</v>
      </c>
    </row>
    <row r="15" spans="3:24">
      <c r="C15" s="44" t="str">
        <f t="shared" si="0"/>
        <v>754</v>
      </c>
      <c r="D15" s="45" t="s">
        <v>643</v>
      </c>
      <c r="E15" s="44" t="s">
        <v>562</v>
      </c>
      <c r="F15" s="46">
        <v>36553</v>
      </c>
      <c r="G15" s="47">
        <f t="shared" ca="1" si="1"/>
        <v>24</v>
      </c>
      <c r="H15" s="47" t="s">
        <v>644</v>
      </c>
      <c r="I15" s="48" t="s">
        <v>645</v>
      </c>
      <c r="J15" s="47" t="s">
        <v>646</v>
      </c>
      <c r="K15" s="47" t="s">
        <v>647</v>
      </c>
      <c r="L15" s="47" t="s">
        <v>567</v>
      </c>
      <c r="M15" s="47" t="s">
        <v>568</v>
      </c>
      <c r="N15" s="47" t="s">
        <v>569</v>
      </c>
      <c r="O15" s="49">
        <v>5500</v>
      </c>
      <c r="P15" s="40" t="str">
        <f>'[2]DATABASE FOLHA DE PAGAMENTO RH'!S13</f>
        <v>BOM</v>
      </c>
      <c r="Q15" s="50">
        <v>42729</v>
      </c>
      <c r="R15" s="46">
        <v>45285</v>
      </c>
      <c r="S15" s="47" t="s">
        <v>555</v>
      </c>
      <c r="T15" s="47" t="s">
        <v>556</v>
      </c>
      <c r="U15" s="47" t="s">
        <v>557</v>
      </c>
      <c r="V15" s="47" t="s">
        <v>648</v>
      </c>
      <c r="W15" s="47" t="s">
        <v>649</v>
      </c>
      <c r="X15" s="47" t="s">
        <v>560</v>
      </c>
    </row>
    <row r="16" spans="3:24">
      <c r="C16" s="44" t="str">
        <f t="shared" si="0"/>
        <v>146</v>
      </c>
      <c r="D16" s="45" t="s">
        <v>650</v>
      </c>
      <c r="E16" s="44" t="s">
        <v>547</v>
      </c>
      <c r="F16" s="46">
        <v>38039</v>
      </c>
      <c r="G16" s="47">
        <f t="shared" ca="1" si="1"/>
        <v>20</v>
      </c>
      <c r="H16" s="47" t="s">
        <v>651</v>
      </c>
      <c r="I16" s="48" t="s">
        <v>652</v>
      </c>
      <c r="J16" s="47" t="s">
        <v>653</v>
      </c>
      <c r="K16" s="47" t="s">
        <v>654</v>
      </c>
      <c r="L16" s="47" t="s">
        <v>655</v>
      </c>
      <c r="M16" s="47" t="s">
        <v>568</v>
      </c>
      <c r="N16" s="47" t="s">
        <v>632</v>
      </c>
      <c r="O16" s="49">
        <v>5500</v>
      </c>
      <c r="P16" s="40" t="str">
        <f>'[2]DATABASE FOLHA DE PAGAMENTO RH'!S14</f>
        <v>ÓTIMO</v>
      </c>
      <c r="Q16" s="50">
        <v>44258</v>
      </c>
      <c r="R16" s="46">
        <v>44988</v>
      </c>
      <c r="S16" s="47" t="s">
        <v>555</v>
      </c>
      <c r="T16" s="47" t="s">
        <v>556</v>
      </c>
      <c r="U16" s="47" t="s">
        <v>557</v>
      </c>
      <c r="V16" s="47" t="s">
        <v>656</v>
      </c>
      <c r="W16" s="47" t="s">
        <v>657</v>
      </c>
      <c r="X16" s="47" t="s">
        <v>560</v>
      </c>
    </row>
    <row r="17" spans="3:24">
      <c r="C17" s="44" t="str">
        <f t="shared" si="0"/>
        <v>505</v>
      </c>
      <c r="D17" s="45" t="s">
        <v>658</v>
      </c>
      <c r="E17" s="44" t="s">
        <v>547</v>
      </c>
      <c r="F17" s="46">
        <v>36840</v>
      </c>
      <c r="G17" s="47">
        <f t="shared" ca="1" si="1"/>
        <v>24</v>
      </c>
      <c r="H17" s="47" t="s">
        <v>659</v>
      </c>
      <c r="I17" s="48" t="s">
        <v>660</v>
      </c>
      <c r="J17" s="47" t="s">
        <v>661</v>
      </c>
      <c r="K17" s="47" t="s">
        <v>662</v>
      </c>
      <c r="L17" s="47" t="s">
        <v>578</v>
      </c>
      <c r="M17" s="47" t="s">
        <v>579</v>
      </c>
      <c r="N17" s="47" t="s">
        <v>624</v>
      </c>
      <c r="O17" s="49">
        <v>5500</v>
      </c>
      <c r="P17" s="40" t="str">
        <f>'[2]DATABASE FOLHA DE PAGAMENTO RH'!S15</f>
        <v>RUIM</v>
      </c>
      <c r="Q17" s="50">
        <v>43380</v>
      </c>
      <c r="R17" s="46">
        <v>45206</v>
      </c>
      <c r="S17" s="47" t="s">
        <v>555</v>
      </c>
      <c r="T17" s="47" t="s">
        <v>663</v>
      </c>
      <c r="U17" s="47" t="s">
        <v>557</v>
      </c>
      <c r="V17" s="47" t="s">
        <v>664</v>
      </c>
      <c r="W17" s="47" t="s">
        <v>665</v>
      </c>
      <c r="X17" s="47" t="s">
        <v>560</v>
      </c>
    </row>
    <row r="18" spans="3:24">
      <c r="C18" s="44" t="str">
        <f t="shared" si="0"/>
        <v>287</v>
      </c>
      <c r="D18" s="45" t="s">
        <v>666</v>
      </c>
      <c r="E18" s="44" t="s">
        <v>547</v>
      </c>
      <c r="F18" s="46">
        <v>28450</v>
      </c>
      <c r="G18" s="47">
        <f t="shared" ca="1" si="1"/>
        <v>47</v>
      </c>
      <c r="H18" s="47" t="s">
        <v>667</v>
      </c>
      <c r="I18" s="48" t="s">
        <v>668</v>
      </c>
      <c r="J18" s="47" t="s">
        <v>669</v>
      </c>
      <c r="K18" s="47" t="s">
        <v>670</v>
      </c>
      <c r="L18" s="47" t="s">
        <v>578</v>
      </c>
      <c r="M18" s="47" t="s">
        <v>579</v>
      </c>
      <c r="N18" s="47" t="s">
        <v>624</v>
      </c>
      <c r="O18" s="49">
        <v>5500</v>
      </c>
      <c r="P18" s="40" t="str">
        <f>'[2]DATABASE FOLHA DE PAGAMENTO RH'!S16</f>
        <v>RUIM</v>
      </c>
      <c r="Q18" s="50">
        <v>42772</v>
      </c>
      <c r="R18" s="46">
        <v>44963</v>
      </c>
      <c r="S18" s="47" t="s">
        <v>555</v>
      </c>
      <c r="T18" s="47" t="s">
        <v>556</v>
      </c>
      <c r="U18" s="47" t="s">
        <v>557</v>
      </c>
      <c r="V18" s="47" t="s">
        <v>671</v>
      </c>
      <c r="W18" s="47" t="s">
        <v>672</v>
      </c>
      <c r="X18" s="47" t="s">
        <v>560</v>
      </c>
    </row>
    <row r="19" spans="3:24">
      <c r="C19" s="44" t="str">
        <f t="shared" si="0"/>
        <v>899</v>
      </c>
      <c r="D19" s="45" t="s">
        <v>673</v>
      </c>
      <c r="E19" s="44" t="s">
        <v>562</v>
      </c>
      <c r="F19" s="46">
        <v>37225</v>
      </c>
      <c r="G19" s="47">
        <f t="shared" ca="1" si="1"/>
        <v>23</v>
      </c>
      <c r="H19" s="47" t="s">
        <v>674</v>
      </c>
      <c r="I19" s="52" t="s">
        <v>675</v>
      </c>
      <c r="J19" s="47" t="s">
        <v>676</v>
      </c>
      <c r="K19" s="47" t="s">
        <v>677</v>
      </c>
      <c r="L19" s="47" t="s">
        <v>567</v>
      </c>
      <c r="M19" s="47" t="s">
        <v>568</v>
      </c>
      <c r="N19" s="47" t="s">
        <v>569</v>
      </c>
      <c r="O19" s="49">
        <v>5500</v>
      </c>
      <c r="P19" s="40" t="str">
        <f>'[2]DATABASE FOLHA DE PAGAMENTO RH'!S17</f>
        <v>RUIM</v>
      </c>
      <c r="Q19" s="50">
        <v>43138</v>
      </c>
      <c r="R19" s="46">
        <v>44964</v>
      </c>
      <c r="S19" s="47" t="s">
        <v>555</v>
      </c>
      <c r="T19" s="47" t="s">
        <v>556</v>
      </c>
      <c r="U19" s="47" t="s">
        <v>557</v>
      </c>
      <c r="V19" s="47" t="s">
        <v>678</v>
      </c>
      <c r="W19" s="47" t="s">
        <v>679</v>
      </c>
      <c r="X19" s="47" t="s">
        <v>560</v>
      </c>
    </row>
    <row r="20" spans="3:24">
      <c r="C20" s="44" t="str">
        <f t="shared" si="0"/>
        <v>504</v>
      </c>
      <c r="D20" s="45" t="s">
        <v>680</v>
      </c>
      <c r="E20" s="44" t="s">
        <v>562</v>
      </c>
      <c r="F20" s="46">
        <v>29107</v>
      </c>
      <c r="G20" s="47">
        <f t="shared" ca="1" si="1"/>
        <v>45</v>
      </c>
      <c r="H20" s="47" t="s">
        <v>681</v>
      </c>
      <c r="I20" s="48" t="s">
        <v>682</v>
      </c>
      <c r="J20" s="47" t="s">
        <v>683</v>
      </c>
      <c r="K20" s="47" t="s">
        <v>684</v>
      </c>
      <c r="L20" s="47" t="s">
        <v>640</v>
      </c>
      <c r="M20" s="47" t="s">
        <v>568</v>
      </c>
      <c r="N20" s="47" t="s">
        <v>685</v>
      </c>
      <c r="O20" s="49">
        <v>5500</v>
      </c>
      <c r="P20" s="40" t="str">
        <f>'[2]DATABASE FOLHA DE PAGAMENTO RH'!S18</f>
        <v>ÓTIMO</v>
      </c>
      <c r="Q20" s="50">
        <v>40387</v>
      </c>
      <c r="R20" s="46">
        <v>45135</v>
      </c>
      <c r="S20" s="47" t="s">
        <v>555</v>
      </c>
      <c r="T20" s="47" t="s">
        <v>556</v>
      </c>
      <c r="U20" s="47" t="s">
        <v>557</v>
      </c>
      <c r="V20" s="47" t="s">
        <v>686</v>
      </c>
      <c r="W20" s="47" t="s">
        <v>687</v>
      </c>
      <c r="X20" s="47" t="s">
        <v>560</v>
      </c>
    </row>
    <row r="21" spans="3:24">
      <c r="C21" s="44" t="str">
        <f t="shared" si="0"/>
        <v>102</v>
      </c>
      <c r="D21" s="45" t="s">
        <v>688</v>
      </c>
      <c r="E21" s="44" t="s">
        <v>547</v>
      </c>
      <c r="F21" s="46">
        <v>33097</v>
      </c>
      <c r="G21" s="47">
        <f t="shared" ca="1" si="1"/>
        <v>34</v>
      </c>
      <c r="H21" s="47" t="s">
        <v>689</v>
      </c>
      <c r="I21" s="48" t="s">
        <v>690</v>
      </c>
      <c r="J21" s="47" t="s">
        <v>691</v>
      </c>
      <c r="K21" s="47" t="s">
        <v>692</v>
      </c>
      <c r="L21" s="47" t="s">
        <v>640</v>
      </c>
      <c r="M21" s="47" t="s">
        <v>568</v>
      </c>
      <c r="N21" s="47" t="s">
        <v>580</v>
      </c>
      <c r="O21" s="49">
        <v>5500</v>
      </c>
      <c r="P21" s="40" t="str">
        <f>'[2]DATABASE FOLHA DE PAGAMENTO RH'!S19</f>
        <v>ÓTIMO</v>
      </c>
      <c r="Q21" s="50">
        <v>41138</v>
      </c>
      <c r="R21" s="46">
        <v>45155</v>
      </c>
      <c r="S21" s="47" t="s">
        <v>555</v>
      </c>
      <c r="T21" s="47" t="s">
        <v>556</v>
      </c>
      <c r="U21" s="47" t="s">
        <v>557</v>
      </c>
      <c r="V21" s="47" t="s">
        <v>693</v>
      </c>
      <c r="W21" s="47" t="s">
        <v>694</v>
      </c>
      <c r="X21" s="47" t="s">
        <v>560</v>
      </c>
    </row>
    <row r="22" spans="3:24">
      <c r="C22" s="44" t="str">
        <f t="shared" si="0"/>
        <v>478</v>
      </c>
      <c r="D22" s="45" t="s">
        <v>695</v>
      </c>
      <c r="E22" s="44" t="s">
        <v>562</v>
      </c>
      <c r="F22" s="46">
        <v>35498</v>
      </c>
      <c r="G22" s="47">
        <f t="shared" ca="1" si="1"/>
        <v>27</v>
      </c>
      <c r="H22" s="47" t="s">
        <v>696</v>
      </c>
      <c r="I22" s="48" t="s">
        <v>697</v>
      </c>
      <c r="J22" s="47" t="s">
        <v>698</v>
      </c>
      <c r="K22" s="47" t="s">
        <v>699</v>
      </c>
      <c r="L22" s="47" t="s">
        <v>567</v>
      </c>
      <c r="M22" s="47" t="s">
        <v>568</v>
      </c>
      <c r="N22" s="47" t="s">
        <v>569</v>
      </c>
      <c r="O22" s="49">
        <v>5500</v>
      </c>
      <c r="P22" s="40" t="str">
        <f>'[2]DATABASE FOLHA DE PAGAMENTO RH'!S20</f>
        <v>ÓTIMO</v>
      </c>
      <c r="Q22" s="50">
        <v>42417</v>
      </c>
      <c r="R22" s="46">
        <v>44974</v>
      </c>
      <c r="S22" s="47" t="s">
        <v>555</v>
      </c>
      <c r="T22" s="47" t="s">
        <v>556</v>
      </c>
      <c r="U22" s="47" t="s">
        <v>557</v>
      </c>
      <c r="V22" s="47" t="s">
        <v>700</v>
      </c>
      <c r="W22" s="47" t="s">
        <v>701</v>
      </c>
      <c r="X22" s="47" t="s">
        <v>560</v>
      </c>
    </row>
    <row r="23" spans="3:24">
      <c r="C23" s="44" t="str">
        <f t="shared" si="0"/>
        <v>266</v>
      </c>
      <c r="D23" s="45" t="s">
        <v>702</v>
      </c>
      <c r="E23" s="44" t="s">
        <v>562</v>
      </c>
      <c r="F23" s="46">
        <v>32524</v>
      </c>
      <c r="G23" s="47">
        <f t="shared" ca="1" si="1"/>
        <v>35</v>
      </c>
      <c r="H23" s="47" t="s">
        <v>703</v>
      </c>
      <c r="I23" s="48" t="s">
        <v>704</v>
      </c>
      <c r="J23" s="47" t="s">
        <v>705</v>
      </c>
      <c r="K23" s="47" t="s">
        <v>706</v>
      </c>
      <c r="L23" s="47" t="s">
        <v>655</v>
      </c>
      <c r="M23" s="47" t="s">
        <v>588</v>
      </c>
      <c r="N23" s="47" t="s">
        <v>598</v>
      </c>
      <c r="O23" s="49">
        <v>7000</v>
      </c>
      <c r="P23" s="40" t="str">
        <f>'[2]DATABASE FOLHA DE PAGAMENTO RH'!S21</f>
        <v>ÓTIMO</v>
      </c>
      <c r="Q23" s="50">
        <v>40971</v>
      </c>
      <c r="R23" s="46">
        <v>44988</v>
      </c>
      <c r="S23" s="47" t="s">
        <v>555</v>
      </c>
      <c r="T23" s="47" t="s">
        <v>556</v>
      </c>
      <c r="U23" s="47" t="s">
        <v>557</v>
      </c>
      <c r="V23" s="47" t="s">
        <v>707</v>
      </c>
      <c r="W23" s="47" t="s">
        <v>708</v>
      </c>
      <c r="X23" s="47" t="s">
        <v>560</v>
      </c>
    </row>
    <row r="24" spans="3:24">
      <c r="C24" s="44" t="str">
        <f t="shared" si="0"/>
        <v>304</v>
      </c>
      <c r="D24" s="45" t="s">
        <v>709</v>
      </c>
      <c r="E24" s="44" t="s">
        <v>547</v>
      </c>
      <c r="F24" s="46">
        <v>36306</v>
      </c>
      <c r="G24" s="47">
        <f t="shared" ca="1" si="1"/>
        <v>25</v>
      </c>
      <c r="H24" s="47" t="s">
        <v>710</v>
      </c>
      <c r="I24" s="48" t="s">
        <v>711</v>
      </c>
      <c r="J24" s="47" t="s">
        <v>712</v>
      </c>
      <c r="K24" s="47" t="s">
        <v>713</v>
      </c>
      <c r="L24" s="47" t="s">
        <v>552</v>
      </c>
      <c r="M24" s="47" t="s">
        <v>553</v>
      </c>
      <c r="N24" s="47" t="s">
        <v>554</v>
      </c>
      <c r="O24" s="49">
        <v>3500</v>
      </c>
      <c r="P24" s="40" t="str">
        <f>'[2]DATABASE FOLHA DE PAGAMENTO RH'!S22</f>
        <v>BOM</v>
      </c>
      <c r="Q24" s="50">
        <v>40410</v>
      </c>
      <c r="R24" s="46">
        <v>45158</v>
      </c>
      <c r="S24" s="47" t="s">
        <v>555</v>
      </c>
      <c r="T24" s="47" t="s">
        <v>556</v>
      </c>
      <c r="U24" s="47" t="s">
        <v>557</v>
      </c>
      <c r="V24" s="47" t="s">
        <v>714</v>
      </c>
      <c r="W24" s="47" t="s">
        <v>715</v>
      </c>
      <c r="X24" s="47" t="s">
        <v>560</v>
      </c>
    </row>
    <row r="25" spans="3:24">
      <c r="C25" s="44" t="str">
        <f t="shared" si="0"/>
        <v>398</v>
      </c>
      <c r="D25" s="45" t="s">
        <v>716</v>
      </c>
      <c r="E25" s="44" t="s">
        <v>547</v>
      </c>
      <c r="F25" s="46">
        <v>34643</v>
      </c>
      <c r="G25" s="47">
        <f t="shared" ca="1" si="1"/>
        <v>30</v>
      </c>
      <c r="H25" s="47" t="s">
        <v>717</v>
      </c>
      <c r="I25" s="48" t="s">
        <v>718</v>
      </c>
      <c r="J25" s="47" t="s">
        <v>719</v>
      </c>
      <c r="K25" s="47" t="s">
        <v>720</v>
      </c>
      <c r="L25" s="47" t="s">
        <v>606</v>
      </c>
      <c r="M25" s="47" t="s">
        <v>721</v>
      </c>
      <c r="N25" s="47" t="s">
        <v>722</v>
      </c>
      <c r="O25" s="49">
        <v>7000</v>
      </c>
      <c r="P25" s="40" t="str">
        <f>'[2]DATABASE FOLHA DE PAGAMENTO RH'!S23</f>
        <v>BOM</v>
      </c>
      <c r="Q25" s="50">
        <v>42322</v>
      </c>
      <c r="R25" s="46">
        <v>45244</v>
      </c>
      <c r="S25" s="47" t="s">
        <v>555</v>
      </c>
      <c r="T25" s="47" t="s">
        <v>556</v>
      </c>
      <c r="U25" s="47" t="s">
        <v>557</v>
      </c>
      <c r="V25" s="47" t="s">
        <v>723</v>
      </c>
      <c r="W25" s="47" t="s">
        <v>724</v>
      </c>
      <c r="X25" s="47" t="s">
        <v>560</v>
      </c>
    </row>
    <row r="26" spans="3:24">
      <c r="C26" s="44" t="str">
        <f t="shared" si="0"/>
        <v>259</v>
      </c>
      <c r="D26" s="45" t="s">
        <v>725</v>
      </c>
      <c r="E26" s="44" t="s">
        <v>547</v>
      </c>
      <c r="F26" s="46">
        <v>37294</v>
      </c>
      <c r="G26" s="47">
        <f t="shared" ca="1" si="1"/>
        <v>22</v>
      </c>
      <c r="H26" s="47" t="s">
        <v>726</v>
      </c>
      <c r="I26" s="48" t="s">
        <v>727</v>
      </c>
      <c r="J26" s="47" t="s">
        <v>728</v>
      </c>
      <c r="K26" s="47" t="s">
        <v>729</v>
      </c>
      <c r="L26" s="47" t="s">
        <v>655</v>
      </c>
      <c r="M26" s="47" t="s">
        <v>579</v>
      </c>
      <c r="N26" s="47" t="s">
        <v>632</v>
      </c>
      <c r="O26" s="49">
        <v>5500</v>
      </c>
      <c r="P26" s="40" t="str">
        <f>'[2]DATABASE FOLHA DE PAGAMENTO RH'!S24</f>
        <v>ÓTIMO</v>
      </c>
      <c r="Q26" s="50">
        <v>42896</v>
      </c>
      <c r="R26" s="46">
        <v>45087</v>
      </c>
      <c r="S26" s="47" t="s">
        <v>555</v>
      </c>
      <c r="T26" s="47" t="s">
        <v>556</v>
      </c>
      <c r="U26" s="47" t="s">
        <v>557</v>
      </c>
      <c r="V26" s="47" t="s">
        <v>730</v>
      </c>
      <c r="W26" s="47" t="s">
        <v>731</v>
      </c>
      <c r="X26" s="47" t="s">
        <v>560</v>
      </c>
    </row>
    <row r="27" spans="3:24">
      <c r="C27" s="44" t="str">
        <f t="shared" si="0"/>
        <v>175</v>
      </c>
      <c r="D27" s="45" t="s">
        <v>732</v>
      </c>
      <c r="E27" s="44" t="s">
        <v>547</v>
      </c>
      <c r="F27" s="46">
        <v>35032</v>
      </c>
      <c r="G27" s="47">
        <f t="shared" ca="1" si="1"/>
        <v>29</v>
      </c>
      <c r="H27" s="47" t="s">
        <v>733</v>
      </c>
      <c r="I27" s="48" t="s">
        <v>734</v>
      </c>
      <c r="J27" s="47" t="s">
        <v>735</v>
      </c>
      <c r="K27" s="47" t="s">
        <v>736</v>
      </c>
      <c r="L27" s="47" t="s">
        <v>606</v>
      </c>
      <c r="M27" s="47" t="s">
        <v>607</v>
      </c>
      <c r="N27" s="47" t="s">
        <v>632</v>
      </c>
      <c r="O27" s="49">
        <v>5500</v>
      </c>
      <c r="P27" s="40" t="str">
        <f>'[2]DATABASE FOLHA DE PAGAMENTO RH'!S25</f>
        <v>ÓTIMO</v>
      </c>
      <c r="Q27" s="50">
        <v>42961</v>
      </c>
      <c r="R27" s="46">
        <v>45152</v>
      </c>
      <c r="S27" s="47" t="s">
        <v>555</v>
      </c>
      <c r="T27" s="47" t="s">
        <v>556</v>
      </c>
      <c r="U27" s="47" t="s">
        <v>557</v>
      </c>
      <c r="V27" s="47" t="s">
        <v>737</v>
      </c>
      <c r="W27" s="47" t="s">
        <v>738</v>
      </c>
      <c r="X27" s="47" t="s">
        <v>560</v>
      </c>
    </row>
    <row r="28" spans="3:24">
      <c r="C28" s="44" t="str">
        <f t="shared" si="0"/>
        <v>888</v>
      </c>
      <c r="D28" s="45" t="s">
        <v>739</v>
      </c>
      <c r="E28" s="44" t="s">
        <v>547</v>
      </c>
      <c r="F28" s="46">
        <v>24603</v>
      </c>
      <c r="G28" s="47">
        <f t="shared" ca="1" si="1"/>
        <v>57</v>
      </c>
      <c r="H28" s="47" t="s">
        <v>740</v>
      </c>
      <c r="I28" s="48" t="s">
        <v>741</v>
      </c>
      <c r="J28" s="47" t="s">
        <v>742</v>
      </c>
      <c r="K28" s="47" t="s">
        <v>743</v>
      </c>
      <c r="L28" s="47" t="s">
        <v>578</v>
      </c>
      <c r="M28" s="47" t="s">
        <v>588</v>
      </c>
      <c r="N28" s="47" t="s">
        <v>744</v>
      </c>
      <c r="O28" s="49">
        <v>7000</v>
      </c>
      <c r="P28" s="40" t="str">
        <f>'[2]DATABASE FOLHA DE PAGAMENTO RH'!S26</f>
        <v>BOM</v>
      </c>
      <c r="Q28" s="50">
        <v>41132</v>
      </c>
      <c r="R28" s="46">
        <v>45149</v>
      </c>
      <c r="S28" s="47" t="s">
        <v>555</v>
      </c>
      <c r="T28" s="47" t="s">
        <v>556</v>
      </c>
      <c r="U28" s="47" t="s">
        <v>557</v>
      </c>
      <c r="V28" s="47" t="s">
        <v>745</v>
      </c>
      <c r="W28" s="47" t="s">
        <v>611</v>
      </c>
      <c r="X28" s="47" t="s">
        <v>560</v>
      </c>
    </row>
    <row r="29" spans="3:24">
      <c r="C29" s="44" t="str">
        <f t="shared" si="0"/>
        <v>570</v>
      </c>
      <c r="D29" s="45" t="s">
        <v>746</v>
      </c>
      <c r="E29" s="44" t="s">
        <v>547</v>
      </c>
      <c r="F29" s="46">
        <v>30714</v>
      </c>
      <c r="G29" s="47">
        <f t="shared" ca="1" si="1"/>
        <v>40</v>
      </c>
      <c r="H29" s="47" t="s">
        <v>747</v>
      </c>
      <c r="I29" s="52" t="s">
        <v>748</v>
      </c>
      <c r="J29" s="47" t="s">
        <v>749</v>
      </c>
      <c r="K29" s="47" t="s">
        <v>750</v>
      </c>
      <c r="L29" s="47" t="s">
        <v>655</v>
      </c>
      <c r="M29" s="47" t="s">
        <v>579</v>
      </c>
      <c r="N29" s="47" t="s">
        <v>632</v>
      </c>
      <c r="O29" s="49">
        <v>5500</v>
      </c>
      <c r="P29" s="40" t="str">
        <f>'[2]DATABASE FOLHA DE PAGAMENTO RH'!S27</f>
        <v>BOM</v>
      </c>
      <c r="Q29" s="50">
        <v>40570</v>
      </c>
      <c r="R29" s="46">
        <v>44953</v>
      </c>
      <c r="S29" s="47" t="s">
        <v>555</v>
      </c>
      <c r="T29" s="47" t="s">
        <v>556</v>
      </c>
      <c r="U29" s="47" t="s">
        <v>557</v>
      </c>
      <c r="V29" s="47" t="s">
        <v>751</v>
      </c>
      <c r="W29" s="47" t="s">
        <v>752</v>
      </c>
      <c r="X29" s="47" t="s">
        <v>560</v>
      </c>
    </row>
    <row r="30" spans="3:24">
      <c r="C30" s="44" t="str">
        <f t="shared" si="0"/>
        <v>841</v>
      </c>
      <c r="D30" s="45" t="s">
        <v>753</v>
      </c>
      <c r="E30" s="44" t="s">
        <v>547</v>
      </c>
      <c r="F30" s="46">
        <v>26276</v>
      </c>
      <c r="G30" s="47">
        <f t="shared" ca="1" si="1"/>
        <v>53</v>
      </c>
      <c r="H30" s="47" t="s">
        <v>754</v>
      </c>
      <c r="I30" s="48" t="s">
        <v>755</v>
      </c>
      <c r="J30" s="47" t="s">
        <v>756</v>
      </c>
      <c r="K30" s="47" t="s">
        <v>757</v>
      </c>
      <c r="L30" s="47" t="s">
        <v>606</v>
      </c>
      <c r="M30" s="47" t="s">
        <v>607</v>
      </c>
      <c r="N30" s="47" t="s">
        <v>758</v>
      </c>
      <c r="O30" s="49">
        <v>5500</v>
      </c>
      <c r="P30" s="40" t="str">
        <f>'[2]DATABASE FOLHA DE PAGAMENTO RH'!S28</f>
        <v>ÓTIMO</v>
      </c>
      <c r="Q30" s="50">
        <v>42362</v>
      </c>
      <c r="R30" s="46">
        <v>45284</v>
      </c>
      <c r="S30" s="47" t="s">
        <v>555</v>
      </c>
      <c r="T30" s="47" t="s">
        <v>556</v>
      </c>
      <c r="U30" s="47" t="s">
        <v>557</v>
      </c>
      <c r="V30" s="47" t="s">
        <v>759</v>
      </c>
      <c r="W30" s="47" t="s">
        <v>760</v>
      </c>
      <c r="X30" s="47" t="s">
        <v>560</v>
      </c>
    </row>
    <row r="31" spans="3:24">
      <c r="C31" s="44" t="str">
        <f t="shared" si="0"/>
        <v>389</v>
      </c>
      <c r="D31" s="45" t="s">
        <v>761</v>
      </c>
      <c r="E31" s="44" t="s">
        <v>547</v>
      </c>
      <c r="F31" s="46">
        <v>25069</v>
      </c>
      <c r="G31" s="47">
        <f t="shared" ca="1" si="1"/>
        <v>56</v>
      </c>
      <c r="H31" s="53" t="s">
        <v>762</v>
      </c>
      <c r="I31" s="48" t="s">
        <v>763</v>
      </c>
      <c r="J31" s="47" t="s">
        <v>764</v>
      </c>
      <c r="K31" s="47" t="s">
        <v>765</v>
      </c>
      <c r="L31" s="47" t="s">
        <v>606</v>
      </c>
      <c r="M31" s="47" t="s">
        <v>607</v>
      </c>
      <c r="N31" s="47" t="s">
        <v>758</v>
      </c>
      <c r="O31" s="49">
        <v>5500</v>
      </c>
      <c r="P31" s="40" t="str">
        <f>'[2]DATABASE FOLHA DE PAGAMENTO RH'!S29</f>
        <v>ÓTIMO</v>
      </c>
      <c r="Q31" s="50">
        <v>42536</v>
      </c>
      <c r="R31" s="46">
        <v>45092</v>
      </c>
      <c r="S31" s="47" t="s">
        <v>555</v>
      </c>
      <c r="T31" s="47" t="s">
        <v>556</v>
      </c>
      <c r="U31" s="47" t="s">
        <v>557</v>
      </c>
      <c r="V31" s="47" t="s">
        <v>766</v>
      </c>
      <c r="W31" s="47" t="s">
        <v>767</v>
      </c>
      <c r="X31" s="47" t="s">
        <v>560</v>
      </c>
    </row>
    <row r="32" spans="3:24">
      <c r="C32" s="44" t="str">
        <f t="shared" si="0"/>
        <v>819</v>
      </c>
      <c r="D32" s="45" t="s">
        <v>768</v>
      </c>
      <c r="E32" s="44" t="s">
        <v>547</v>
      </c>
      <c r="F32" s="46">
        <v>37747</v>
      </c>
      <c r="G32" s="47">
        <f t="shared" ca="1" si="1"/>
        <v>21</v>
      </c>
      <c r="H32" s="47" t="s">
        <v>769</v>
      </c>
      <c r="I32" s="48" t="s">
        <v>770</v>
      </c>
      <c r="J32" s="47" t="s">
        <v>771</v>
      </c>
      <c r="K32" s="47" t="s">
        <v>772</v>
      </c>
      <c r="L32" s="47" t="s">
        <v>640</v>
      </c>
      <c r="M32" s="47" t="s">
        <v>568</v>
      </c>
      <c r="N32" s="47" t="s">
        <v>580</v>
      </c>
      <c r="O32" s="49">
        <v>5500</v>
      </c>
      <c r="P32" s="40" t="str">
        <f>'[2]DATABASE FOLHA DE PAGAMENTO RH'!S30</f>
        <v>BOM</v>
      </c>
      <c r="Q32" s="50">
        <v>40034</v>
      </c>
      <c r="R32" s="46">
        <v>45147</v>
      </c>
      <c r="S32" s="47" t="s">
        <v>555</v>
      </c>
      <c r="T32" s="47" t="s">
        <v>556</v>
      </c>
      <c r="U32" s="47" t="s">
        <v>557</v>
      </c>
      <c r="V32" s="47" t="s">
        <v>773</v>
      </c>
      <c r="W32" s="47" t="s">
        <v>774</v>
      </c>
      <c r="X32" s="47" t="s">
        <v>560</v>
      </c>
    </row>
    <row r="33" spans="3:24">
      <c r="C33" s="44" t="str">
        <f t="shared" si="0"/>
        <v>386</v>
      </c>
      <c r="D33" s="45" t="s">
        <v>775</v>
      </c>
      <c r="E33" s="44" t="s">
        <v>547</v>
      </c>
      <c r="F33" s="46">
        <v>36811</v>
      </c>
      <c r="G33" s="47">
        <f t="shared" ca="1" si="1"/>
        <v>24</v>
      </c>
      <c r="H33" s="47" t="s">
        <v>776</v>
      </c>
      <c r="I33" s="48" t="s">
        <v>777</v>
      </c>
      <c r="J33" s="47" t="s">
        <v>778</v>
      </c>
      <c r="K33" s="47" t="s">
        <v>779</v>
      </c>
      <c r="L33" s="47" t="s">
        <v>606</v>
      </c>
      <c r="M33" s="47" t="s">
        <v>607</v>
      </c>
      <c r="N33" s="47" t="s">
        <v>758</v>
      </c>
      <c r="O33" s="49">
        <v>5500</v>
      </c>
      <c r="P33" s="40" t="str">
        <f>'[2]DATABASE FOLHA DE PAGAMENTO RH'!S31</f>
        <v>BOM</v>
      </c>
      <c r="Q33" s="50">
        <v>40529</v>
      </c>
      <c r="R33" s="46">
        <v>45277</v>
      </c>
      <c r="S33" s="47" t="s">
        <v>555</v>
      </c>
      <c r="T33" s="47" t="s">
        <v>556</v>
      </c>
      <c r="U33" s="47" t="s">
        <v>557</v>
      </c>
      <c r="V33" s="47" t="s">
        <v>780</v>
      </c>
      <c r="W33" s="47" t="s">
        <v>781</v>
      </c>
      <c r="X33" s="47" t="s">
        <v>560</v>
      </c>
    </row>
    <row r="34" spans="3:24">
      <c r="C34" s="44" t="str">
        <f t="shared" si="0"/>
        <v>733</v>
      </c>
      <c r="D34" s="45" t="s">
        <v>782</v>
      </c>
      <c r="E34" s="44" t="s">
        <v>547</v>
      </c>
      <c r="F34" s="46">
        <v>38208</v>
      </c>
      <c r="G34" s="47">
        <f t="shared" ca="1" si="1"/>
        <v>20</v>
      </c>
      <c r="H34" s="47" t="s">
        <v>783</v>
      </c>
      <c r="I34" s="48" t="s">
        <v>784</v>
      </c>
      <c r="J34" s="47" t="s">
        <v>785</v>
      </c>
      <c r="K34" s="47" t="s">
        <v>786</v>
      </c>
      <c r="L34" s="47" t="s">
        <v>606</v>
      </c>
      <c r="M34" s="47" t="s">
        <v>588</v>
      </c>
      <c r="N34" s="47" t="s">
        <v>787</v>
      </c>
      <c r="O34" s="49">
        <v>7000</v>
      </c>
      <c r="P34" s="40" t="str">
        <f>'[2]DATABASE FOLHA DE PAGAMENTO RH'!S32</f>
        <v>RUIM</v>
      </c>
      <c r="Q34" s="50">
        <v>41414</v>
      </c>
      <c r="R34" s="46">
        <v>45066</v>
      </c>
      <c r="S34" s="47" t="s">
        <v>555</v>
      </c>
      <c r="T34" s="47" t="s">
        <v>556</v>
      </c>
      <c r="U34" s="47" t="s">
        <v>557</v>
      </c>
      <c r="V34" s="47" t="s">
        <v>788</v>
      </c>
      <c r="W34" s="47" t="s">
        <v>789</v>
      </c>
      <c r="X34" s="47" t="s">
        <v>560</v>
      </c>
    </row>
    <row r="35" spans="3:24">
      <c r="C35" s="44" t="str">
        <f t="shared" si="0"/>
        <v>503</v>
      </c>
      <c r="D35" s="45" t="s">
        <v>790</v>
      </c>
      <c r="E35" s="44" t="s">
        <v>547</v>
      </c>
      <c r="F35" s="46">
        <v>26082</v>
      </c>
      <c r="G35" s="47">
        <f t="shared" ca="1" si="1"/>
        <v>53</v>
      </c>
      <c r="H35" s="47" t="s">
        <v>791</v>
      </c>
      <c r="I35" s="48" t="s">
        <v>792</v>
      </c>
      <c r="J35" s="47" t="s">
        <v>793</v>
      </c>
      <c r="K35" s="47" t="s">
        <v>794</v>
      </c>
      <c r="L35" s="47" t="s">
        <v>606</v>
      </c>
      <c r="M35" s="47" t="s">
        <v>607</v>
      </c>
      <c r="N35" s="47" t="s">
        <v>758</v>
      </c>
      <c r="O35" s="49">
        <v>5500</v>
      </c>
      <c r="P35" s="40" t="str">
        <f>'[2]DATABASE FOLHA DE PAGAMENTO RH'!S33</f>
        <v>BOM</v>
      </c>
      <c r="Q35" s="50">
        <v>41730</v>
      </c>
      <c r="R35" s="46">
        <v>45017</v>
      </c>
      <c r="S35" s="47" t="s">
        <v>555</v>
      </c>
      <c r="T35" s="47" t="s">
        <v>556</v>
      </c>
      <c r="U35" s="47" t="s">
        <v>557</v>
      </c>
      <c r="V35" s="47" t="s">
        <v>795</v>
      </c>
      <c r="W35" s="47" t="s">
        <v>796</v>
      </c>
      <c r="X35" s="47" t="s">
        <v>560</v>
      </c>
    </row>
    <row r="36" spans="3:24">
      <c r="C36" s="44" t="str">
        <f t="shared" si="0"/>
        <v>959</v>
      </c>
      <c r="D36" s="45" t="s">
        <v>797</v>
      </c>
      <c r="E36" s="44" t="s">
        <v>547</v>
      </c>
      <c r="F36" s="46">
        <v>25671</v>
      </c>
      <c r="G36" s="47">
        <f t="shared" ca="1" si="1"/>
        <v>54</v>
      </c>
      <c r="H36" s="47" t="s">
        <v>798</v>
      </c>
      <c r="I36" s="48" t="s">
        <v>799</v>
      </c>
      <c r="J36" s="47" t="s">
        <v>800</v>
      </c>
      <c r="K36" s="47" t="s">
        <v>801</v>
      </c>
      <c r="L36" s="47" t="s">
        <v>597</v>
      </c>
      <c r="M36" s="47" t="s">
        <v>568</v>
      </c>
      <c r="N36" s="47" t="s">
        <v>632</v>
      </c>
      <c r="O36" s="49">
        <v>5500</v>
      </c>
      <c r="P36" s="40" t="str">
        <f>'[2]DATABASE FOLHA DE PAGAMENTO RH'!S34</f>
        <v>BOM</v>
      </c>
      <c r="Q36" s="50">
        <v>41730</v>
      </c>
      <c r="R36" s="46">
        <v>45017</v>
      </c>
      <c r="S36" s="47" t="s">
        <v>555</v>
      </c>
      <c r="T36" s="47" t="s">
        <v>556</v>
      </c>
      <c r="U36" s="47" t="s">
        <v>557</v>
      </c>
      <c r="V36" s="47" t="s">
        <v>802</v>
      </c>
      <c r="W36" s="47" t="s">
        <v>803</v>
      </c>
      <c r="X36" s="47" t="s">
        <v>560</v>
      </c>
    </row>
    <row r="37" spans="3:24">
      <c r="C37" s="44" t="str">
        <f t="shared" si="0"/>
        <v>585</v>
      </c>
      <c r="D37" s="45" t="s">
        <v>804</v>
      </c>
      <c r="E37" s="44" t="s">
        <v>547</v>
      </c>
      <c r="F37" s="46">
        <v>32235</v>
      </c>
      <c r="G37" s="47">
        <f t="shared" ca="1" si="1"/>
        <v>36</v>
      </c>
      <c r="H37" s="47" t="s">
        <v>805</v>
      </c>
      <c r="I37" s="48" t="s">
        <v>806</v>
      </c>
      <c r="J37" s="47" t="s">
        <v>807</v>
      </c>
      <c r="K37" s="47" t="s">
        <v>808</v>
      </c>
      <c r="L37" s="47" t="s">
        <v>578</v>
      </c>
      <c r="M37" s="47" t="s">
        <v>579</v>
      </c>
      <c r="N37" s="47" t="s">
        <v>624</v>
      </c>
      <c r="O37" s="49">
        <v>5500</v>
      </c>
      <c r="P37" s="40" t="str">
        <f>'[2]DATABASE FOLHA DE PAGAMENTO RH'!S35</f>
        <v>BOM</v>
      </c>
      <c r="Q37" s="50">
        <v>44216</v>
      </c>
      <c r="R37" s="46">
        <v>44946</v>
      </c>
      <c r="S37" s="47" t="s">
        <v>555</v>
      </c>
      <c r="T37" s="47" t="s">
        <v>556</v>
      </c>
      <c r="U37" s="47" t="s">
        <v>557</v>
      </c>
      <c r="V37" s="47" t="s">
        <v>809</v>
      </c>
      <c r="W37" s="47" t="s">
        <v>810</v>
      </c>
      <c r="X37" s="47" t="s">
        <v>560</v>
      </c>
    </row>
    <row r="38" spans="3:24">
      <c r="C38" s="44" t="str">
        <f t="shared" si="0"/>
        <v>140</v>
      </c>
      <c r="D38" s="45" t="s">
        <v>811</v>
      </c>
      <c r="E38" s="44" t="s">
        <v>547</v>
      </c>
      <c r="F38" s="46">
        <v>24885</v>
      </c>
      <c r="G38" s="47">
        <f t="shared" ca="1" si="1"/>
        <v>56</v>
      </c>
      <c r="H38" s="47" t="s">
        <v>812</v>
      </c>
      <c r="I38" s="48" t="s">
        <v>813</v>
      </c>
      <c r="J38" s="47" t="s">
        <v>814</v>
      </c>
      <c r="K38" s="47" t="s">
        <v>815</v>
      </c>
      <c r="L38" s="47" t="s">
        <v>655</v>
      </c>
      <c r="M38" s="47" t="s">
        <v>568</v>
      </c>
      <c r="N38" s="47" t="s">
        <v>632</v>
      </c>
      <c r="O38" s="49">
        <v>5500</v>
      </c>
      <c r="P38" s="40" t="str">
        <f>'[2]DATABASE FOLHA DE PAGAMENTO RH'!S36</f>
        <v>ÓTIMO</v>
      </c>
      <c r="Q38" s="50">
        <v>41975</v>
      </c>
      <c r="R38" s="46">
        <v>45262</v>
      </c>
      <c r="S38" s="47" t="s">
        <v>555</v>
      </c>
      <c r="T38" s="47" t="s">
        <v>556</v>
      </c>
      <c r="U38" s="47" t="s">
        <v>557</v>
      </c>
      <c r="V38" s="47" t="s">
        <v>816</v>
      </c>
      <c r="W38" s="47" t="s">
        <v>817</v>
      </c>
      <c r="X38" s="47" t="s">
        <v>560</v>
      </c>
    </row>
    <row r="39" spans="3:24">
      <c r="C39" s="44" t="str">
        <f t="shared" si="0"/>
        <v>868</v>
      </c>
      <c r="D39" s="45" t="s">
        <v>818</v>
      </c>
      <c r="E39" s="44" t="s">
        <v>547</v>
      </c>
      <c r="F39" s="46">
        <v>27493</v>
      </c>
      <c r="G39" s="47">
        <f t="shared" ca="1" si="1"/>
        <v>49</v>
      </c>
      <c r="H39" s="47" t="s">
        <v>819</v>
      </c>
      <c r="I39" s="48" t="s">
        <v>820</v>
      </c>
      <c r="J39" s="47" t="s">
        <v>821</v>
      </c>
      <c r="K39" s="47" t="s">
        <v>822</v>
      </c>
      <c r="L39" s="47" t="s">
        <v>552</v>
      </c>
      <c r="M39" s="47" t="s">
        <v>553</v>
      </c>
      <c r="N39" s="47" t="s">
        <v>554</v>
      </c>
      <c r="O39" s="49">
        <v>3500</v>
      </c>
      <c r="P39" s="40" t="str">
        <f>'[2]DATABASE FOLHA DE PAGAMENTO RH'!S37</f>
        <v>ÓTIMO</v>
      </c>
      <c r="Q39" s="50">
        <v>40779</v>
      </c>
      <c r="R39" s="46">
        <v>45162</v>
      </c>
      <c r="S39" s="47" t="s">
        <v>555</v>
      </c>
      <c r="T39" s="47" t="s">
        <v>556</v>
      </c>
      <c r="U39" s="47" t="s">
        <v>557</v>
      </c>
      <c r="V39" s="47" t="s">
        <v>823</v>
      </c>
      <c r="W39" s="47" t="s">
        <v>824</v>
      </c>
      <c r="X39" s="47" t="s">
        <v>560</v>
      </c>
    </row>
    <row r="40" spans="3:24">
      <c r="C40" s="44" t="str">
        <f t="shared" si="0"/>
        <v>750</v>
      </c>
      <c r="D40" s="45" t="s">
        <v>825</v>
      </c>
      <c r="E40" s="44" t="s">
        <v>547</v>
      </c>
      <c r="F40" s="46">
        <v>25671</v>
      </c>
      <c r="G40" s="47">
        <f t="shared" ca="1" si="1"/>
        <v>54</v>
      </c>
      <c r="H40" s="47" t="s">
        <v>826</v>
      </c>
      <c r="I40" s="48" t="s">
        <v>827</v>
      </c>
      <c r="J40" s="47" t="s">
        <v>828</v>
      </c>
      <c r="K40" s="47" t="s">
        <v>829</v>
      </c>
      <c r="L40" s="47" t="s">
        <v>606</v>
      </c>
      <c r="M40" s="47" t="s">
        <v>607</v>
      </c>
      <c r="N40" s="47" t="s">
        <v>758</v>
      </c>
      <c r="O40" s="49">
        <v>5500</v>
      </c>
      <c r="P40" s="40" t="str">
        <f>'[2]DATABASE FOLHA DE PAGAMENTO RH'!S38</f>
        <v>BOM</v>
      </c>
      <c r="Q40" s="50">
        <v>42724</v>
      </c>
      <c r="R40" s="46">
        <v>45280</v>
      </c>
      <c r="S40" s="47" t="s">
        <v>555</v>
      </c>
      <c r="T40" s="47" t="s">
        <v>556</v>
      </c>
      <c r="U40" s="47" t="s">
        <v>557</v>
      </c>
      <c r="V40" s="47" t="s">
        <v>830</v>
      </c>
      <c r="W40" s="47" t="s">
        <v>831</v>
      </c>
      <c r="X40" s="47" t="s">
        <v>560</v>
      </c>
    </row>
    <row r="41" spans="3:24">
      <c r="C41" s="44" t="str">
        <f t="shared" si="0"/>
        <v>205</v>
      </c>
      <c r="D41" s="45" t="s">
        <v>832</v>
      </c>
      <c r="E41" s="44" t="s">
        <v>547</v>
      </c>
      <c r="F41" s="46">
        <v>29901</v>
      </c>
      <c r="G41" s="47">
        <f t="shared" ca="1" si="1"/>
        <v>43</v>
      </c>
      <c r="H41" s="47" t="s">
        <v>833</v>
      </c>
      <c r="I41" s="48" t="s">
        <v>834</v>
      </c>
      <c r="J41" s="47" t="s">
        <v>835</v>
      </c>
      <c r="K41" s="47" t="s">
        <v>836</v>
      </c>
      <c r="L41" s="47" t="s">
        <v>552</v>
      </c>
      <c r="M41" s="47" t="s">
        <v>588</v>
      </c>
      <c r="N41" s="47" t="s">
        <v>580</v>
      </c>
      <c r="O41" s="49">
        <v>7000</v>
      </c>
      <c r="P41" s="40" t="str">
        <f>'[2]DATABASE FOLHA DE PAGAMENTO RH'!S39</f>
        <v>BOM</v>
      </c>
      <c r="Q41" s="50">
        <v>41712</v>
      </c>
      <c r="R41" s="46">
        <v>44999</v>
      </c>
      <c r="S41" s="47" t="s">
        <v>555</v>
      </c>
      <c r="T41" s="47" t="s">
        <v>556</v>
      </c>
      <c r="U41" s="47" t="s">
        <v>557</v>
      </c>
      <c r="V41" s="47" t="s">
        <v>837</v>
      </c>
      <c r="W41" s="47" t="s">
        <v>838</v>
      </c>
      <c r="X41" s="47" t="s">
        <v>560</v>
      </c>
    </row>
    <row r="42" spans="3:24">
      <c r="C42" s="44" t="str">
        <f t="shared" si="0"/>
        <v>128</v>
      </c>
      <c r="D42" s="45" t="s">
        <v>839</v>
      </c>
      <c r="E42" s="44" t="s">
        <v>547</v>
      </c>
      <c r="F42" s="46">
        <v>25671</v>
      </c>
      <c r="G42" s="47">
        <f t="shared" ca="1" si="1"/>
        <v>54</v>
      </c>
      <c r="H42" s="47" t="s">
        <v>840</v>
      </c>
      <c r="I42" s="48" t="s">
        <v>841</v>
      </c>
      <c r="J42" s="47" t="s">
        <v>842</v>
      </c>
      <c r="K42" s="47" t="s">
        <v>843</v>
      </c>
      <c r="L42" s="47" t="s">
        <v>597</v>
      </c>
      <c r="M42" s="47" t="s">
        <v>568</v>
      </c>
      <c r="N42" s="47" t="s">
        <v>598</v>
      </c>
      <c r="O42" s="49">
        <v>5500</v>
      </c>
      <c r="P42" s="40" t="str">
        <f>'[2]DATABASE FOLHA DE PAGAMENTO RH'!S40</f>
        <v>RUIM</v>
      </c>
      <c r="Q42" s="50">
        <v>42081</v>
      </c>
      <c r="R42" s="46">
        <v>45003</v>
      </c>
      <c r="S42" s="47" t="s">
        <v>555</v>
      </c>
      <c r="T42" s="47" t="s">
        <v>556</v>
      </c>
      <c r="U42" s="47" t="s">
        <v>557</v>
      </c>
      <c r="V42" s="47" t="s">
        <v>844</v>
      </c>
      <c r="W42" s="47" t="s">
        <v>845</v>
      </c>
      <c r="X42" s="47" t="s">
        <v>560</v>
      </c>
    </row>
    <row r="43" spans="3:24">
      <c r="C43" s="44" t="str">
        <f t="shared" si="0"/>
        <v>759</v>
      </c>
      <c r="D43" s="45" t="s">
        <v>846</v>
      </c>
      <c r="E43" s="44" t="s">
        <v>562</v>
      </c>
      <c r="F43" s="46">
        <v>23406</v>
      </c>
      <c r="G43" s="47">
        <f t="shared" ca="1" si="1"/>
        <v>60</v>
      </c>
      <c r="H43" s="47" t="s">
        <v>847</v>
      </c>
      <c r="I43" s="48" t="s">
        <v>848</v>
      </c>
      <c r="J43" s="47" t="s">
        <v>849</v>
      </c>
      <c r="K43" s="47" t="s">
        <v>850</v>
      </c>
      <c r="L43" s="47" t="s">
        <v>640</v>
      </c>
      <c r="M43" s="47" t="s">
        <v>588</v>
      </c>
      <c r="N43" s="47" t="s">
        <v>598</v>
      </c>
      <c r="O43" s="49">
        <v>7000</v>
      </c>
      <c r="P43" s="40" t="str">
        <f>'[2]DATABASE FOLHA DE PAGAMENTO RH'!S41</f>
        <v>ÓTIMO</v>
      </c>
      <c r="Q43" s="50">
        <v>41362</v>
      </c>
      <c r="R43" s="46">
        <v>45014</v>
      </c>
      <c r="S43" s="47" t="s">
        <v>555</v>
      </c>
      <c r="T43" s="47" t="s">
        <v>851</v>
      </c>
      <c r="U43" s="47" t="s">
        <v>557</v>
      </c>
      <c r="V43" s="47" t="s">
        <v>852</v>
      </c>
      <c r="W43" s="47" t="s">
        <v>853</v>
      </c>
      <c r="X43" s="47" t="s">
        <v>560</v>
      </c>
    </row>
    <row r="44" spans="3:24" s="28" customFormat="1">
      <c r="E44" s="32"/>
      <c r="H44" s="32"/>
      <c r="O44" s="33"/>
      <c r="Q44" s="34"/>
    </row>
    <row r="45" spans="3:24" s="28" customFormat="1">
      <c r="D45" s="58"/>
      <c r="E45" s="32"/>
      <c r="H45" s="32"/>
      <c r="O45" s="33"/>
      <c r="Q45" s="34"/>
    </row>
    <row r="46" spans="3:24" s="28" customFormat="1">
      <c r="E46" s="32"/>
      <c r="H46" s="32"/>
      <c r="O46" s="33"/>
      <c r="Q46" s="34"/>
    </row>
  </sheetData>
  <autoFilter ref="C3:X43" xr:uid="{00000000-0009-0000-0000-00001F000000}"/>
  <hyperlinks>
    <hyperlink ref="I5" r:id="rId1" xr:uid="{00000000-0004-0000-1F00-000000000000}"/>
    <hyperlink ref="I6" r:id="rId2" xr:uid="{00000000-0004-0000-1F00-000001000000}"/>
    <hyperlink ref="I7" r:id="rId3" xr:uid="{00000000-0004-0000-1F00-000002000000}"/>
    <hyperlink ref="I8" r:id="rId4" xr:uid="{00000000-0004-0000-1F00-000003000000}"/>
    <hyperlink ref="I9" r:id="rId5" xr:uid="{00000000-0004-0000-1F00-000004000000}"/>
    <hyperlink ref="I11" r:id="rId6" xr:uid="{00000000-0004-0000-1F00-000005000000}"/>
    <hyperlink ref="I12" r:id="rId7" xr:uid="{00000000-0004-0000-1F00-000006000000}"/>
    <hyperlink ref="I14" r:id="rId8" xr:uid="{00000000-0004-0000-1F00-000007000000}"/>
    <hyperlink ref="I15" r:id="rId9" xr:uid="{00000000-0004-0000-1F00-000008000000}"/>
    <hyperlink ref="I16" r:id="rId10" xr:uid="{00000000-0004-0000-1F00-000009000000}"/>
    <hyperlink ref="I17" r:id="rId11" xr:uid="{00000000-0004-0000-1F00-00000A000000}"/>
    <hyperlink ref="I18" r:id="rId12" xr:uid="{00000000-0004-0000-1F00-00000B000000}"/>
    <hyperlink ref="I19" r:id="rId13" xr:uid="{00000000-0004-0000-1F00-00000C000000}"/>
    <hyperlink ref="I20" r:id="rId14" xr:uid="{00000000-0004-0000-1F00-00000D000000}"/>
    <hyperlink ref="I21" r:id="rId15" xr:uid="{00000000-0004-0000-1F00-00000E000000}"/>
    <hyperlink ref="I22" r:id="rId16" xr:uid="{00000000-0004-0000-1F00-00000F000000}"/>
    <hyperlink ref="I23" r:id="rId17" xr:uid="{00000000-0004-0000-1F00-000010000000}"/>
    <hyperlink ref="I24" r:id="rId18" xr:uid="{00000000-0004-0000-1F00-000011000000}"/>
    <hyperlink ref="I25" r:id="rId19" xr:uid="{00000000-0004-0000-1F00-000012000000}"/>
    <hyperlink ref="I26" r:id="rId20" xr:uid="{00000000-0004-0000-1F00-000013000000}"/>
    <hyperlink ref="I27" r:id="rId21" xr:uid="{00000000-0004-0000-1F00-000014000000}"/>
    <hyperlink ref="I28" r:id="rId22" xr:uid="{00000000-0004-0000-1F00-000015000000}"/>
    <hyperlink ref="I29" r:id="rId23" xr:uid="{00000000-0004-0000-1F00-000016000000}"/>
    <hyperlink ref="I30" r:id="rId24" xr:uid="{00000000-0004-0000-1F00-000017000000}"/>
    <hyperlink ref="I31" r:id="rId25" xr:uid="{00000000-0004-0000-1F00-000018000000}"/>
    <hyperlink ref="I32" r:id="rId26" xr:uid="{00000000-0004-0000-1F00-000019000000}"/>
    <hyperlink ref="I33" r:id="rId27" xr:uid="{00000000-0004-0000-1F00-00001A000000}"/>
    <hyperlink ref="I34" r:id="rId28" xr:uid="{00000000-0004-0000-1F00-00001B000000}"/>
    <hyperlink ref="I35" r:id="rId29" xr:uid="{00000000-0004-0000-1F00-00001C000000}"/>
    <hyperlink ref="I36" r:id="rId30" xr:uid="{00000000-0004-0000-1F00-00001D000000}"/>
    <hyperlink ref="I37" r:id="rId31" xr:uid="{00000000-0004-0000-1F00-00001E000000}"/>
    <hyperlink ref="I38" r:id="rId32" xr:uid="{00000000-0004-0000-1F00-00001F000000}"/>
    <hyperlink ref="I39" r:id="rId33" xr:uid="{00000000-0004-0000-1F00-000020000000}"/>
    <hyperlink ref="I40" r:id="rId34" xr:uid="{00000000-0004-0000-1F00-000021000000}"/>
    <hyperlink ref="I41" r:id="rId35" xr:uid="{00000000-0004-0000-1F00-000022000000}"/>
    <hyperlink ref="I42" r:id="rId36" xr:uid="{00000000-0004-0000-1F00-000023000000}"/>
    <hyperlink ref="I43" r:id="rId37" xr:uid="{00000000-0004-0000-1F00-000024000000}"/>
    <hyperlink ref="I10" r:id="rId38" xr:uid="{00000000-0004-0000-1F00-000025000000}"/>
    <hyperlink ref="I13" r:id="rId39" xr:uid="{00000000-0004-0000-1F00-000026000000}"/>
  </hyperlinks>
  <pageMargins left="0.511811024" right="0.511811024" top="0.78740157499999996" bottom="0.78740157499999996" header="0.31496062000000002" footer="0.31496062000000002"/>
  <drawing r:id="rId4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17"/>
  <dimension ref="C1048576:XFD1048576"/>
  <sheetViews>
    <sheetView zoomScaleNormal="100" workbookViewId="0"/>
  </sheetViews>
  <sheetFormatPr defaultColWidth="9.140625" defaultRowHeight="15"/>
  <cols>
    <col min="1" max="16384" width="9.140625" style="1"/>
  </cols>
  <sheetData>
    <row r="1048576" spans="3:3 16384:16384">
      <c r="C1048576" s="1" t="s">
        <v>854</v>
      </c>
      <c r="XFD1048576" s="1" t="s">
        <v>855</v>
      </c>
    </row>
  </sheetData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18"/>
  <dimension ref="G6:Q26"/>
  <sheetViews>
    <sheetView zoomScale="55" zoomScaleNormal="55" workbookViewId="0">
      <selection activeCell="W28" sqref="W28"/>
    </sheetView>
  </sheetViews>
  <sheetFormatPr defaultColWidth="8.42578125" defaultRowHeight="15"/>
  <cols>
    <col min="1" max="12" width="8.42578125" style="1"/>
    <col min="13" max="13" width="28.42578125" style="1" customWidth="1"/>
    <col min="14" max="14" width="32.85546875" style="1" bestFit="1" customWidth="1"/>
    <col min="15" max="15" width="11.42578125" style="1" customWidth="1"/>
    <col min="16" max="16384" width="8.42578125" style="1"/>
  </cols>
  <sheetData>
    <row r="6" spans="7:17">
      <c r="G6" s="3"/>
      <c r="H6" s="4"/>
      <c r="I6" s="4"/>
      <c r="J6" s="4"/>
      <c r="K6" s="4"/>
      <c r="L6" s="4"/>
      <c r="M6" s="4"/>
      <c r="N6" s="4"/>
      <c r="O6" s="4"/>
      <c r="P6" s="4"/>
      <c r="Q6" s="5"/>
    </row>
    <row r="7" spans="7:17">
      <c r="G7" s="6"/>
      <c r="H7" s="7"/>
      <c r="I7" s="7"/>
      <c r="J7" s="7"/>
      <c r="K7" s="7"/>
      <c r="L7" s="7"/>
      <c r="M7" s="7"/>
      <c r="N7" s="7"/>
      <c r="O7" s="7"/>
      <c r="P7" s="7"/>
      <c r="Q7" s="8"/>
    </row>
    <row r="8" spans="7:17">
      <c r="G8" s="6"/>
      <c r="H8" s="7"/>
      <c r="I8" s="7"/>
      <c r="J8" s="7"/>
      <c r="K8" s="7"/>
      <c r="L8" s="7"/>
      <c r="M8" s="7"/>
      <c r="N8" s="7"/>
      <c r="O8" s="7"/>
      <c r="P8" s="7"/>
      <c r="Q8" s="8"/>
    </row>
    <row r="9" spans="7:17">
      <c r="G9" s="6"/>
      <c r="H9" s="7"/>
      <c r="I9" s="7"/>
      <c r="J9" s="7"/>
      <c r="K9" s="7"/>
      <c r="L9" s="7"/>
      <c r="M9" s="7"/>
      <c r="N9" s="7"/>
      <c r="O9" s="7"/>
      <c r="P9" s="7"/>
      <c r="Q9" s="8"/>
    </row>
    <row r="10" spans="7:17" ht="34.5">
      <c r="G10" s="6"/>
      <c r="H10" s="20" t="s">
        <v>113</v>
      </c>
      <c r="I10" s="7"/>
      <c r="J10" s="7"/>
      <c r="K10" s="7"/>
      <c r="L10" s="7"/>
      <c r="M10" s="7"/>
      <c r="N10" s="245" t="s">
        <v>497</v>
      </c>
      <c r="O10" s="7"/>
      <c r="P10" s="7"/>
      <c r="Q10" s="8"/>
    </row>
    <row r="11" spans="7:17">
      <c r="G11" s="6"/>
      <c r="H11" s="7"/>
      <c r="I11" s="7"/>
      <c r="J11" s="7"/>
      <c r="K11" s="7"/>
      <c r="L11" s="7"/>
      <c r="M11" s="7"/>
      <c r="N11" s="7"/>
      <c r="O11" s="7"/>
      <c r="P11" s="7"/>
      <c r="Q11" s="8"/>
    </row>
    <row r="12" spans="7:17">
      <c r="G12" s="6"/>
      <c r="H12" s="7"/>
      <c r="I12" s="7"/>
      <c r="J12" s="7"/>
      <c r="K12" s="7"/>
      <c r="L12" s="7"/>
      <c r="M12" s="7"/>
      <c r="N12" s="7"/>
      <c r="O12" s="7"/>
      <c r="P12" s="7"/>
      <c r="Q12" s="8"/>
    </row>
    <row r="13" spans="7:17">
      <c r="G13" s="6"/>
      <c r="H13" s="7"/>
      <c r="I13" s="7"/>
      <c r="J13" s="7"/>
      <c r="K13" s="7"/>
      <c r="L13" s="7"/>
      <c r="M13" s="7"/>
      <c r="N13" s="7"/>
      <c r="O13" s="7"/>
      <c r="P13" s="7"/>
      <c r="Q13" s="8"/>
    </row>
    <row r="14" spans="7:17">
      <c r="G14" s="6"/>
      <c r="H14" s="7"/>
      <c r="I14" s="7"/>
      <c r="J14" s="7"/>
      <c r="K14" s="7"/>
      <c r="L14" s="7"/>
      <c r="M14" s="7"/>
      <c r="N14" s="7"/>
      <c r="O14" s="7"/>
      <c r="P14" s="7"/>
      <c r="Q14" s="8"/>
    </row>
    <row r="15" spans="7:17">
      <c r="G15" s="6"/>
      <c r="H15" s="7"/>
      <c r="I15" s="7"/>
      <c r="J15" s="7"/>
      <c r="K15" s="7"/>
      <c r="L15" s="7"/>
      <c r="M15" s="7"/>
      <c r="N15" s="7"/>
      <c r="O15" s="7"/>
      <c r="P15" s="7"/>
      <c r="Q15" s="8"/>
    </row>
    <row r="16" spans="7:17" ht="34.5">
      <c r="G16" s="6"/>
      <c r="H16" s="20" t="s">
        <v>521</v>
      </c>
      <c r="I16" s="7"/>
      <c r="J16" s="7"/>
      <c r="K16" s="7"/>
      <c r="L16" s="7"/>
      <c r="M16" s="7"/>
      <c r="N16" s="246">
        <v>56</v>
      </c>
      <c r="O16" s="7"/>
      <c r="P16" s="7"/>
      <c r="Q16" s="8"/>
    </row>
    <row r="17" spans="7:17">
      <c r="G17" s="6"/>
      <c r="H17" s="7"/>
      <c r="I17" s="7"/>
      <c r="J17" s="7"/>
      <c r="K17" s="7"/>
      <c r="L17" s="7"/>
      <c r="M17" s="7"/>
      <c r="N17" s="7"/>
      <c r="O17" s="7"/>
      <c r="P17" s="7"/>
      <c r="Q17" s="8"/>
    </row>
    <row r="18" spans="7:17">
      <c r="G18" s="6"/>
      <c r="H18" s="7"/>
      <c r="I18" s="7"/>
      <c r="J18" s="7"/>
      <c r="K18" s="7"/>
      <c r="L18" s="7"/>
      <c r="M18" s="7"/>
      <c r="N18" s="7"/>
      <c r="O18" s="7"/>
      <c r="P18" s="7"/>
      <c r="Q18" s="8"/>
    </row>
    <row r="19" spans="7:17">
      <c r="G19" s="6"/>
      <c r="H19" s="7"/>
      <c r="I19" s="7"/>
      <c r="J19" s="7"/>
      <c r="K19" s="7"/>
      <c r="L19" s="7"/>
      <c r="M19" s="7"/>
      <c r="N19" s="7"/>
      <c r="O19" s="7"/>
      <c r="P19" s="7"/>
      <c r="Q19" s="8"/>
    </row>
    <row r="20" spans="7:17">
      <c r="G20" s="6"/>
      <c r="H20" s="7"/>
      <c r="I20" s="7"/>
      <c r="J20" s="7"/>
      <c r="K20" s="7"/>
      <c r="L20" s="7"/>
      <c r="M20" s="7"/>
      <c r="N20" s="7"/>
      <c r="O20" s="7"/>
      <c r="P20" s="7"/>
      <c r="Q20" s="8"/>
    </row>
    <row r="21" spans="7:17" ht="34.5">
      <c r="G21" s="6"/>
      <c r="H21" s="20" t="s">
        <v>856</v>
      </c>
      <c r="I21" s="7"/>
      <c r="J21" s="7"/>
      <c r="K21" s="7"/>
      <c r="L21" s="7"/>
      <c r="M21" s="7"/>
      <c r="N21" s="247">
        <v>38741</v>
      </c>
      <c r="O21" s="7"/>
      <c r="P21" s="7"/>
      <c r="Q21" s="8"/>
    </row>
    <row r="22" spans="7:17">
      <c r="G22" s="6"/>
      <c r="H22" s="7"/>
      <c r="I22" s="7"/>
      <c r="J22" s="7"/>
      <c r="K22" s="7"/>
      <c r="L22" s="7"/>
      <c r="M22" s="7"/>
      <c r="N22" s="7"/>
      <c r="O22" s="7"/>
      <c r="P22" s="7"/>
      <c r="Q22" s="8"/>
    </row>
    <row r="23" spans="7:17">
      <c r="G23" s="6"/>
      <c r="H23" s="7"/>
      <c r="I23" s="7"/>
      <c r="J23" s="7"/>
      <c r="K23" s="7"/>
      <c r="L23" s="7"/>
      <c r="M23" s="7"/>
      <c r="N23" s="7"/>
      <c r="O23" s="7"/>
      <c r="P23" s="7"/>
      <c r="Q23" s="8"/>
    </row>
    <row r="24" spans="7:17">
      <c r="G24" s="6"/>
      <c r="H24" s="7"/>
      <c r="I24" s="7"/>
      <c r="J24" s="7"/>
      <c r="K24" s="7"/>
      <c r="L24" s="7"/>
      <c r="M24" s="7"/>
      <c r="N24" s="7"/>
      <c r="O24" s="7"/>
      <c r="P24" s="7"/>
      <c r="Q24" s="8"/>
    </row>
    <row r="25" spans="7:17">
      <c r="G25" s="6"/>
      <c r="H25" s="7"/>
      <c r="I25" s="7"/>
      <c r="J25" s="7"/>
      <c r="K25" s="7"/>
      <c r="L25" s="7"/>
      <c r="M25" s="7"/>
      <c r="N25" s="7"/>
      <c r="O25" s="7"/>
      <c r="P25" s="7"/>
      <c r="Q25" s="8"/>
    </row>
    <row r="26" spans="7:17">
      <c r="G26" s="10"/>
      <c r="H26" s="11"/>
      <c r="I26" s="11"/>
      <c r="J26" s="11"/>
      <c r="K26" s="11"/>
      <c r="L26" s="11"/>
      <c r="M26" s="11"/>
      <c r="N26" s="11"/>
      <c r="O26" s="11"/>
      <c r="P26" s="11"/>
      <c r="Q26" s="12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Produzir_Producao">
                <anchor moveWithCells="1">
                  <from>
                    <xdr:col>14</xdr:col>
                    <xdr:colOff>323850</xdr:colOff>
                    <xdr:row>22</xdr:row>
                    <xdr:rowOff>142875</xdr:rowOff>
                  </from>
                  <to>
                    <xdr:col>16</xdr:col>
                    <xdr:colOff>342900</xdr:colOff>
                    <xdr:row>25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60D0E5-F0F7-47CA-960A-4FF8622497A4}">
          <x14:formula1>
            <xm:f>'Produção-Yogurtes'!$K$8:$K$12</xm:f>
          </x14:formula1>
          <xm:sqref>N10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19"/>
  <dimension ref="E4:M30"/>
  <sheetViews>
    <sheetView zoomScale="70" zoomScaleNormal="70" workbookViewId="0">
      <selection activeCell="T26" sqref="T26"/>
    </sheetView>
  </sheetViews>
  <sheetFormatPr defaultColWidth="8.42578125" defaultRowHeight="15"/>
  <cols>
    <col min="1" max="4" width="8.42578125" style="1"/>
    <col min="5" max="5" width="32.5703125" style="1" bestFit="1" customWidth="1"/>
    <col min="6" max="6" width="22.85546875" style="1" bestFit="1" customWidth="1"/>
    <col min="7" max="7" width="20.5703125" style="1" bestFit="1" customWidth="1"/>
    <col min="8" max="8" width="24" style="1" customWidth="1"/>
    <col min="9" max="10" width="8.42578125" style="1"/>
    <col min="11" max="11" width="20.5703125" style="1" bestFit="1" customWidth="1"/>
    <col min="12" max="12" width="16.140625" style="1" bestFit="1" customWidth="1"/>
    <col min="13" max="13" width="21.85546875" style="1" bestFit="1" customWidth="1"/>
    <col min="14" max="16384" width="8.42578125" style="1"/>
  </cols>
  <sheetData>
    <row r="4" spans="5:13">
      <c r="E4" s="17" t="s">
        <v>857</v>
      </c>
      <c r="F4" s="18" t="s">
        <v>858</v>
      </c>
      <c r="G4" s="18" t="s">
        <v>856</v>
      </c>
      <c r="H4" s="18" t="s">
        <v>859</v>
      </c>
      <c r="J4" s="13"/>
    </row>
    <row r="5" spans="5:13" ht="21">
      <c r="E5" s="245" t="s">
        <v>494</v>
      </c>
      <c r="F5" s="246">
        <v>10</v>
      </c>
      <c r="G5" s="247">
        <v>45453</v>
      </c>
      <c r="H5" s="248">
        <f>G5+30</f>
        <v>45483</v>
      </c>
      <c r="J5" s="13"/>
    </row>
    <row r="6" spans="5:13" ht="28.5">
      <c r="E6" s="98"/>
      <c r="F6" s="98"/>
      <c r="G6" s="99"/>
      <c r="H6" s="243"/>
    </row>
    <row r="7" spans="5:13" ht="28.5">
      <c r="E7" s="98"/>
      <c r="F7" s="98"/>
      <c r="G7" s="99"/>
      <c r="H7" s="243"/>
      <c r="J7" s="100"/>
      <c r="K7" s="244" t="s">
        <v>491</v>
      </c>
      <c r="L7" s="244" t="s">
        <v>860</v>
      </c>
      <c r="M7" s="244" t="s">
        <v>861</v>
      </c>
    </row>
    <row r="8" spans="5:13">
      <c r="E8" s="9"/>
      <c r="F8" s="9"/>
      <c r="G8" s="14"/>
      <c r="H8" s="14"/>
      <c r="J8" s="28"/>
      <c r="K8" s="22" t="s">
        <v>494</v>
      </c>
      <c r="L8" s="22" t="s">
        <v>862</v>
      </c>
      <c r="M8" s="22" t="s">
        <v>495</v>
      </c>
    </row>
    <row r="9" spans="5:13">
      <c r="E9" s="9"/>
      <c r="F9" s="9"/>
      <c r="G9" s="9"/>
      <c r="H9" s="9"/>
      <c r="J9" s="28"/>
      <c r="K9" s="22" t="s">
        <v>85</v>
      </c>
      <c r="L9" s="22" t="s">
        <v>862</v>
      </c>
      <c r="M9" s="22" t="s">
        <v>496</v>
      </c>
    </row>
    <row r="10" spans="5:13">
      <c r="E10" s="9"/>
      <c r="F10" s="9"/>
      <c r="G10" s="9"/>
      <c r="H10" s="9"/>
      <c r="J10" s="28"/>
      <c r="K10" s="22" t="s">
        <v>497</v>
      </c>
      <c r="L10" s="22" t="s">
        <v>862</v>
      </c>
      <c r="M10" s="22" t="s">
        <v>498</v>
      </c>
    </row>
    <row r="11" spans="5:13">
      <c r="E11" s="9"/>
      <c r="F11" s="9"/>
      <c r="G11" s="9"/>
      <c r="H11" s="9"/>
      <c r="J11" s="28"/>
      <c r="K11" s="22" t="s">
        <v>499</v>
      </c>
      <c r="L11" s="22" t="s">
        <v>862</v>
      </c>
      <c r="M11" s="22" t="s">
        <v>500</v>
      </c>
    </row>
    <row r="12" spans="5:13">
      <c r="E12" s="9"/>
      <c r="F12" s="9"/>
      <c r="G12" s="9"/>
      <c r="H12" s="9"/>
      <c r="J12" s="28"/>
      <c r="K12" s="22" t="s">
        <v>501</v>
      </c>
      <c r="L12" s="22" t="s">
        <v>862</v>
      </c>
      <c r="M12" s="22" t="s">
        <v>502</v>
      </c>
    </row>
    <row r="13" spans="5:13">
      <c r="E13" s="9"/>
      <c r="F13" s="9"/>
      <c r="G13" s="9"/>
      <c r="H13" s="9"/>
      <c r="J13" s="28"/>
      <c r="K13" s="28"/>
      <c r="L13" s="28"/>
      <c r="M13" s="28"/>
    </row>
    <row r="14" spans="5:13">
      <c r="E14" s="9"/>
      <c r="F14" s="9"/>
      <c r="G14" s="9"/>
      <c r="H14" s="9"/>
      <c r="J14" s="28"/>
      <c r="K14" s="28"/>
      <c r="L14" s="28"/>
      <c r="M14" s="28"/>
    </row>
    <row r="15" spans="5:13">
      <c r="E15" s="9"/>
      <c r="F15" s="9"/>
      <c r="G15" s="9"/>
      <c r="H15" s="9"/>
    </row>
    <row r="16" spans="5:13">
      <c r="E16" s="9"/>
      <c r="F16" s="9"/>
      <c r="G16" s="9"/>
      <c r="H16" s="9"/>
    </row>
    <row r="17" spans="5:8">
      <c r="E17" s="9"/>
      <c r="F17" s="9"/>
      <c r="G17" s="9"/>
      <c r="H17" s="9"/>
    </row>
    <row r="18" spans="5:8">
      <c r="E18" s="9"/>
      <c r="F18" s="9"/>
      <c r="G18" s="9"/>
      <c r="H18" s="9"/>
    </row>
    <row r="19" spans="5:8">
      <c r="E19" s="9"/>
      <c r="F19" s="9"/>
      <c r="G19" s="9"/>
      <c r="H19" s="9"/>
    </row>
    <row r="20" spans="5:8">
      <c r="E20" s="9"/>
      <c r="F20" s="9"/>
      <c r="G20" s="9"/>
      <c r="H20" s="9"/>
    </row>
    <row r="21" spans="5:8">
      <c r="E21" s="9"/>
      <c r="F21" s="9"/>
      <c r="G21" s="9"/>
      <c r="H21" s="9"/>
    </row>
    <row r="22" spans="5:8">
      <c r="E22" s="9"/>
      <c r="F22" s="9"/>
      <c r="G22" s="9"/>
      <c r="H22" s="9"/>
    </row>
    <row r="23" spans="5:8">
      <c r="E23" s="9"/>
      <c r="F23" s="9"/>
      <c r="G23" s="9"/>
      <c r="H23" s="9"/>
    </row>
    <row r="24" spans="5:8">
      <c r="E24" s="9"/>
      <c r="F24" s="9"/>
      <c r="G24" s="9"/>
      <c r="H24" s="9"/>
    </row>
    <row r="25" spans="5:8">
      <c r="E25" s="9"/>
      <c r="F25" s="9"/>
      <c r="G25" s="9"/>
      <c r="H25" s="9"/>
    </row>
    <row r="26" spans="5:8">
      <c r="E26" s="9"/>
      <c r="F26" s="9"/>
      <c r="G26" s="9"/>
      <c r="H26" s="9"/>
    </row>
    <row r="27" spans="5:8">
      <c r="E27" s="9"/>
      <c r="F27" s="9"/>
      <c r="G27" s="9"/>
      <c r="H27" s="9"/>
    </row>
    <row r="28" spans="5:8">
      <c r="E28" s="9"/>
      <c r="F28" s="9"/>
      <c r="G28" s="9"/>
      <c r="H28" s="9"/>
    </row>
    <row r="29" spans="5:8">
      <c r="E29" s="9"/>
      <c r="F29" s="9"/>
      <c r="G29" s="9"/>
      <c r="H29" s="9"/>
    </row>
    <row r="30" spans="5:8">
      <c r="E30" s="9"/>
      <c r="F30" s="9"/>
      <c r="G30" s="9"/>
      <c r="H30" s="9"/>
    </row>
  </sheetData>
  <dataValidations count="1">
    <dataValidation allowBlank="1" showInputMessage="1" showErrorMessage="1" sqref="E6 E5" xr:uid="{CBD04A4F-35BB-4114-8D88-D1012FD652BC}"/>
  </dataValidations>
  <pageMargins left="0.511811024" right="0.511811024" top="0.78740157499999996" bottom="0.78740157499999996" header="0.31496062000000002" footer="0.31496062000000002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20"/>
  <dimension ref="D4:K22"/>
  <sheetViews>
    <sheetView zoomScale="85" zoomScaleNormal="85" workbookViewId="0">
      <selection activeCell="A26" sqref="A26"/>
    </sheetView>
  </sheetViews>
  <sheetFormatPr defaultColWidth="8.42578125" defaultRowHeight="15"/>
  <cols>
    <col min="1" max="2" width="8.42578125" style="1"/>
    <col min="3" max="3" width="8.140625" style="1" customWidth="1"/>
    <col min="4" max="4" width="12.42578125" style="1" customWidth="1"/>
    <col min="5" max="6" width="23.42578125" style="1" customWidth="1"/>
    <col min="7" max="7" width="18.85546875" style="1" customWidth="1"/>
    <col min="8" max="8" width="12.7109375" style="1" customWidth="1"/>
    <col min="9" max="9" width="16.42578125" style="1" customWidth="1"/>
    <col min="10" max="10" width="26.85546875" style="1" customWidth="1"/>
    <col min="11" max="11" width="17.85546875" style="1" customWidth="1"/>
    <col min="12" max="16384" width="8.42578125" style="1"/>
  </cols>
  <sheetData>
    <row r="4" spans="4:11" ht="18.75">
      <c r="D4" s="302" t="s">
        <v>863</v>
      </c>
      <c r="E4" s="303"/>
      <c r="F4" s="303"/>
      <c r="G4" s="304"/>
      <c r="I4" s="15"/>
      <c r="J4" s="19" t="s">
        <v>864</v>
      </c>
      <c r="K4" s="16"/>
    </row>
    <row r="5" spans="4:11">
      <c r="D5" s="3"/>
      <c r="E5" s="4"/>
      <c r="F5" s="4"/>
      <c r="G5" s="5"/>
      <c r="I5" s="3"/>
      <c r="J5" s="4"/>
      <c r="K5" s="5"/>
    </row>
    <row r="6" spans="4:11">
      <c r="D6" s="6"/>
      <c r="E6" s="241" t="s">
        <v>865</v>
      </c>
      <c r="F6" s="242" t="s">
        <v>866</v>
      </c>
      <c r="G6" s="8" t="s">
        <v>867</v>
      </c>
      <c r="I6" s="6"/>
      <c r="J6" s="242" t="s">
        <v>868</v>
      </c>
      <c r="K6" s="8"/>
    </row>
    <row r="7" spans="4:11">
      <c r="D7" s="6"/>
      <c r="E7" s="7"/>
      <c r="F7" s="7"/>
      <c r="G7" s="8"/>
      <c r="I7" s="6"/>
      <c r="J7" s="7"/>
      <c r="K7" s="8"/>
    </row>
    <row r="8" spans="4:11">
      <c r="D8" s="6"/>
      <c r="E8" s="241" t="s">
        <v>869</v>
      </c>
      <c r="F8" s="241" t="s">
        <v>870</v>
      </c>
      <c r="G8" s="8"/>
      <c r="I8" s="6"/>
      <c r="J8" s="242" t="s">
        <v>871</v>
      </c>
      <c r="K8" s="8"/>
    </row>
    <row r="9" spans="4:11">
      <c r="D9" s="6"/>
      <c r="E9" s="7"/>
      <c r="F9" s="7"/>
      <c r="G9" s="8"/>
      <c r="I9" s="6"/>
      <c r="J9" s="7"/>
      <c r="K9" s="8"/>
    </row>
    <row r="10" spans="4:11">
      <c r="D10" s="6"/>
      <c r="E10" s="241" t="s">
        <v>872</v>
      </c>
      <c r="F10" s="241" t="s">
        <v>873</v>
      </c>
      <c r="G10" s="8"/>
      <c r="I10" s="6"/>
      <c r="J10" s="242" t="s">
        <v>874</v>
      </c>
      <c r="K10" s="8"/>
    </row>
    <row r="11" spans="4:11">
      <c r="D11" s="6"/>
      <c r="E11" s="7"/>
      <c r="F11" s="7"/>
      <c r="G11" s="8"/>
      <c r="I11" s="6"/>
      <c r="J11" s="253"/>
      <c r="K11" s="8"/>
    </row>
    <row r="12" spans="4:11">
      <c r="D12" s="6"/>
      <c r="E12" s="241" t="s">
        <v>257</v>
      </c>
      <c r="F12" s="241" t="s">
        <v>875</v>
      </c>
      <c r="G12" s="8"/>
      <c r="I12" s="6"/>
      <c r="J12" s="242" t="s">
        <v>876</v>
      </c>
      <c r="K12" s="8"/>
    </row>
    <row r="13" spans="4:11">
      <c r="D13" s="6"/>
      <c r="E13" s="7"/>
      <c r="F13" s="7"/>
      <c r="G13" s="8"/>
      <c r="I13" s="6"/>
      <c r="J13" s="7"/>
      <c r="K13" s="8"/>
    </row>
    <row r="14" spans="4:11">
      <c r="D14" s="6"/>
      <c r="E14" s="241" t="s">
        <v>178</v>
      </c>
      <c r="F14" s="241" t="s">
        <v>877</v>
      </c>
      <c r="G14" s="8"/>
      <c r="I14" s="6"/>
      <c r="J14" s="242" t="s">
        <v>878</v>
      </c>
      <c r="K14" s="8"/>
    </row>
    <row r="15" spans="4:11">
      <c r="D15" s="6"/>
      <c r="E15" s="7"/>
      <c r="F15" s="7"/>
      <c r="G15" s="8"/>
      <c r="I15" s="6"/>
      <c r="J15" s="7"/>
      <c r="K15" s="8"/>
    </row>
    <row r="16" spans="4:11">
      <c r="D16" s="6"/>
      <c r="E16" s="7"/>
      <c r="F16" s="7"/>
      <c r="G16" s="8"/>
      <c r="I16" s="6"/>
      <c r="J16" s="7"/>
      <c r="K16" s="8"/>
    </row>
    <row r="17" spans="4:11">
      <c r="D17" s="6"/>
      <c r="E17" s="7"/>
      <c r="F17" s="7"/>
      <c r="G17" s="8"/>
      <c r="I17" s="6"/>
      <c r="J17" s="7"/>
      <c r="K17" s="8"/>
    </row>
    <row r="18" spans="4:11">
      <c r="D18" s="6"/>
      <c r="E18" s="7"/>
      <c r="F18" s="7"/>
      <c r="G18" s="8"/>
      <c r="I18" s="6"/>
      <c r="J18" s="7"/>
      <c r="K18" s="8"/>
    </row>
    <row r="19" spans="4:11">
      <c r="D19" s="6"/>
      <c r="E19" s="7"/>
      <c r="F19" s="7"/>
      <c r="G19" s="8"/>
      <c r="I19" s="6"/>
      <c r="J19" s="7"/>
      <c r="K19" s="8"/>
    </row>
    <row r="20" spans="4:11">
      <c r="D20" s="6"/>
      <c r="E20" s="7"/>
      <c r="F20" s="7"/>
      <c r="G20" s="8"/>
      <c r="I20" s="6"/>
      <c r="J20" s="7"/>
      <c r="K20" s="8"/>
    </row>
    <row r="21" spans="4:11">
      <c r="D21" s="6"/>
      <c r="E21" s="7"/>
      <c r="F21" s="7"/>
      <c r="G21" s="8"/>
      <c r="I21" s="6"/>
      <c r="J21" s="7"/>
      <c r="K21" s="8"/>
    </row>
    <row r="22" spans="4:11">
      <c r="D22" s="10"/>
      <c r="E22" s="11"/>
      <c r="F22" s="11"/>
      <c r="G22" s="12"/>
      <c r="I22" s="10"/>
      <c r="J22" s="11"/>
      <c r="K22" s="12"/>
    </row>
  </sheetData>
  <mergeCells count="1">
    <mergeCell ref="D4:G4"/>
  </mergeCells>
  <pageMargins left="0.511811024" right="0.511811024" top="0.78740157499999996" bottom="0.78740157499999996" header="0.31496062000000002" footer="0.31496062000000002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22"/>
  <dimension ref="E6:I16"/>
  <sheetViews>
    <sheetView zoomScaleNormal="100" workbookViewId="0">
      <selection activeCell="O25" sqref="O25"/>
    </sheetView>
  </sheetViews>
  <sheetFormatPr defaultColWidth="8.42578125" defaultRowHeight="15"/>
  <cols>
    <col min="1" max="4" width="8.42578125" style="1"/>
    <col min="5" max="6" width="20" style="1" customWidth="1"/>
    <col min="7" max="7" width="21.42578125" style="1" customWidth="1"/>
    <col min="8" max="9" width="20" style="1" customWidth="1"/>
    <col min="10" max="16384" width="8.42578125" style="1"/>
  </cols>
  <sheetData>
    <row r="6" spans="5:9">
      <c r="E6" s="3"/>
      <c r="F6" s="4"/>
      <c r="G6" s="4"/>
      <c r="H6" s="4"/>
      <c r="I6" s="5"/>
    </row>
    <row r="7" spans="5:9">
      <c r="E7" s="6"/>
      <c r="F7" s="7"/>
      <c r="G7" s="7"/>
      <c r="H7" s="7"/>
      <c r="I7" s="8"/>
    </row>
    <row r="8" spans="5:9">
      <c r="E8" s="6"/>
      <c r="F8" s="7"/>
      <c r="G8" s="7"/>
      <c r="H8" s="7"/>
      <c r="I8" s="8"/>
    </row>
    <row r="9" spans="5:9" ht="26.25">
      <c r="E9" s="6"/>
      <c r="F9" s="23" t="s">
        <v>879</v>
      </c>
      <c r="G9" s="24"/>
      <c r="H9" s="2"/>
      <c r="I9" s="8"/>
    </row>
    <row r="10" spans="5:9">
      <c r="E10" s="6"/>
      <c r="F10" s="7"/>
      <c r="G10" s="7"/>
      <c r="H10" s="7"/>
      <c r="I10" s="8"/>
    </row>
    <row r="11" spans="5:9">
      <c r="E11" s="6"/>
      <c r="F11" s="7"/>
      <c r="G11" s="7"/>
      <c r="H11" s="7"/>
      <c r="I11" s="8"/>
    </row>
    <row r="12" spans="5:9">
      <c r="E12" s="6"/>
      <c r="F12" s="7"/>
      <c r="G12" s="7"/>
      <c r="H12" s="7"/>
      <c r="I12" s="8"/>
    </row>
    <row r="13" spans="5:9" ht="26.25">
      <c r="E13" s="6"/>
      <c r="F13" s="23" t="s">
        <v>880</v>
      </c>
      <c r="G13" s="7"/>
      <c r="H13" s="2"/>
      <c r="I13" s="8"/>
    </row>
    <row r="14" spans="5:9">
      <c r="E14" s="6"/>
      <c r="F14" s="7"/>
      <c r="G14" s="7"/>
      <c r="H14" s="7"/>
      <c r="I14" s="8"/>
    </row>
    <row r="15" spans="5:9">
      <c r="E15" s="6"/>
      <c r="F15" s="7"/>
      <c r="G15" s="7"/>
      <c r="H15" s="7"/>
      <c r="I15" s="8"/>
    </row>
    <row r="16" spans="5:9">
      <c r="E16" s="10"/>
      <c r="F16" s="11"/>
      <c r="G16" s="11"/>
      <c r="H16" s="11"/>
      <c r="I16" s="12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3]!Botão1_Clique">
                <anchor moveWithCells="1">
                  <from>
                    <xdr:col>8</xdr:col>
                    <xdr:colOff>295275</xdr:colOff>
                    <xdr:row>13</xdr:row>
                    <xdr:rowOff>85725</xdr:rowOff>
                  </from>
                  <to>
                    <xdr:col>8</xdr:col>
                    <xdr:colOff>1257300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23"/>
  <dimension ref="C5:K21"/>
  <sheetViews>
    <sheetView topLeftCell="A4" zoomScale="85" zoomScaleNormal="85" workbookViewId="0">
      <selection activeCell="H41" sqref="H41"/>
    </sheetView>
  </sheetViews>
  <sheetFormatPr defaultColWidth="8.42578125" defaultRowHeight="15"/>
  <cols>
    <col min="1" max="2" width="8.42578125" style="1"/>
    <col min="3" max="3" width="23.28515625" style="1" bestFit="1" customWidth="1"/>
    <col min="4" max="5" width="20" style="1" customWidth="1"/>
    <col min="6" max="8" width="8.42578125" style="1"/>
    <col min="9" max="9" width="23.28515625" style="1" bestFit="1" customWidth="1"/>
    <col min="10" max="10" width="27" style="1" customWidth="1"/>
    <col min="11" max="11" width="24.85546875" style="1" customWidth="1"/>
    <col min="12" max="16384" width="8.42578125" style="1"/>
  </cols>
  <sheetData>
    <row r="5" spans="3:11">
      <c r="C5" s="25"/>
      <c r="D5" s="26" t="s">
        <v>881</v>
      </c>
      <c r="E5" s="27"/>
      <c r="F5" s="28"/>
      <c r="G5" s="28"/>
      <c r="H5" s="28"/>
      <c r="I5" s="29"/>
      <c r="J5" s="26" t="s">
        <v>882</v>
      </c>
      <c r="K5" s="30"/>
    </row>
    <row r="6" spans="3:11">
      <c r="C6" s="18" t="s">
        <v>113</v>
      </c>
      <c r="D6" s="18" t="s">
        <v>883</v>
      </c>
      <c r="E6" s="18" t="s">
        <v>884</v>
      </c>
      <c r="F6" s="28"/>
      <c r="G6" s="28"/>
      <c r="H6" s="28"/>
      <c r="I6" s="18" t="s">
        <v>113</v>
      </c>
      <c r="J6" s="18" t="s">
        <v>856</v>
      </c>
      <c r="K6" s="18" t="s">
        <v>885</v>
      </c>
    </row>
    <row r="7" spans="3:11">
      <c r="C7" s="9" t="s">
        <v>886</v>
      </c>
      <c r="D7" s="14">
        <v>45315</v>
      </c>
      <c r="E7" s="14">
        <v>45324</v>
      </c>
      <c r="I7" s="9" t="s">
        <v>886</v>
      </c>
      <c r="J7" s="14">
        <v>45319</v>
      </c>
      <c r="K7" s="14">
        <v>45349</v>
      </c>
    </row>
    <row r="8" spans="3:11">
      <c r="C8" s="9"/>
      <c r="D8" s="9"/>
      <c r="E8" s="9"/>
      <c r="I8" s="9"/>
      <c r="J8" s="9"/>
      <c r="K8" s="9"/>
    </row>
    <row r="9" spans="3:11">
      <c r="C9" s="9"/>
      <c r="D9" s="9"/>
      <c r="E9" s="9"/>
      <c r="I9" s="9"/>
      <c r="J9" s="9"/>
      <c r="K9" s="9"/>
    </row>
    <row r="10" spans="3:11">
      <c r="C10" s="9"/>
      <c r="D10" s="9"/>
      <c r="E10" s="9"/>
      <c r="I10" s="9"/>
      <c r="J10" s="9"/>
      <c r="K10" s="9"/>
    </row>
    <row r="11" spans="3:11">
      <c r="C11" s="9"/>
      <c r="D11" s="9"/>
      <c r="E11" s="9"/>
      <c r="I11" s="9"/>
      <c r="J11" s="9"/>
      <c r="K11" s="9"/>
    </row>
    <row r="12" spans="3:11">
      <c r="C12" s="9"/>
      <c r="D12" s="9"/>
      <c r="E12" s="9"/>
      <c r="I12" s="9"/>
      <c r="J12" s="9"/>
      <c r="K12" s="9"/>
    </row>
    <row r="13" spans="3:11">
      <c r="C13" s="9"/>
      <c r="D13" s="9"/>
      <c r="E13" s="9"/>
      <c r="I13" s="9"/>
      <c r="J13" s="9"/>
      <c r="K13" s="9"/>
    </row>
    <row r="14" spans="3:11">
      <c r="C14" s="9"/>
      <c r="D14" s="9"/>
      <c r="E14" s="9"/>
      <c r="I14" s="9"/>
      <c r="J14" s="9"/>
      <c r="K14" s="9"/>
    </row>
    <row r="15" spans="3:11">
      <c r="C15" s="9"/>
      <c r="D15" s="9"/>
      <c r="E15" s="9"/>
      <c r="I15" s="9"/>
      <c r="J15" s="9"/>
      <c r="K15" s="9"/>
    </row>
    <row r="16" spans="3:11">
      <c r="C16" s="9"/>
      <c r="D16" s="9"/>
      <c r="E16" s="9"/>
      <c r="I16" s="9"/>
      <c r="J16" s="9"/>
      <c r="K16" s="9"/>
    </row>
    <row r="17" spans="3:11">
      <c r="C17" s="9"/>
      <c r="D17" s="9"/>
      <c r="E17" s="9"/>
      <c r="I17" s="9"/>
      <c r="J17" s="9"/>
      <c r="K17" s="9"/>
    </row>
    <row r="18" spans="3:11">
      <c r="C18" s="9"/>
      <c r="D18" s="9"/>
      <c r="E18" s="9"/>
      <c r="I18" s="9"/>
      <c r="J18" s="9"/>
      <c r="K18" s="9"/>
    </row>
    <row r="19" spans="3:11">
      <c r="C19" s="9"/>
      <c r="D19" s="9"/>
      <c r="E19" s="9"/>
      <c r="I19" s="9"/>
      <c r="J19" s="9"/>
      <c r="K19" s="9"/>
    </row>
    <row r="20" spans="3:11">
      <c r="C20" s="9"/>
      <c r="D20" s="9"/>
      <c r="E20" s="9"/>
      <c r="I20" s="9"/>
      <c r="J20" s="9"/>
      <c r="K20" s="9"/>
    </row>
    <row r="21" spans="3:11">
      <c r="C21" s="9"/>
      <c r="D21" s="9"/>
      <c r="E21" s="9"/>
      <c r="I21" s="9"/>
      <c r="J21" s="9"/>
      <c r="K21" s="9"/>
    </row>
  </sheetData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13FCD39AEE5BE47958C7385252FC7C3" ma:contentTypeVersion="4" ma:contentTypeDescription="Crie um novo documento." ma:contentTypeScope="" ma:versionID="ab872ac0b3e1720aea375fbb7622da41">
  <xsd:schema xmlns:xsd="http://www.w3.org/2001/XMLSchema" xmlns:xs="http://www.w3.org/2001/XMLSchema" xmlns:p="http://schemas.microsoft.com/office/2006/metadata/properties" xmlns:ns2="5c93c33b-5534-45b4-9085-f2c9a5f220a6" targetNamespace="http://schemas.microsoft.com/office/2006/metadata/properties" ma:root="true" ma:fieldsID="763675f0c02393bd1401ccb7bc45de64" ns2:_="">
    <xsd:import namespace="5c93c33b-5534-45b4-9085-f2c9a5f220a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93c33b-5534-45b4-9085-f2c9a5f220a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B155812-1235-4865-8DA1-5D7BDC4C189D}">
  <ds:schemaRefs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5c93c33b-5534-45b4-9085-f2c9a5f220a6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5BA56DB6-50C5-4A4A-A002-AC322CEF62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c93c33b-5534-45b4-9085-f2c9a5f220a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812C3B3-32A7-4A14-99F9-D072E400E68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52</vt:i4>
      </vt:variant>
    </vt:vector>
  </HeadingPairs>
  <TitlesOfParts>
    <vt:vector size="52" baseType="lpstr">
      <vt:lpstr>HOME</vt:lpstr>
      <vt:lpstr>FINANCEIRO</vt:lpstr>
      <vt:lpstr>Financeiro Entradas</vt:lpstr>
      <vt:lpstr>Financeiro DB</vt:lpstr>
      <vt:lpstr>Financeiro Custos</vt:lpstr>
      <vt:lpstr>Financeiro CustosFixos</vt:lpstr>
      <vt:lpstr>Financeiro CustosFixosInsercao</vt:lpstr>
      <vt:lpstr>Financeiro CustosFixosTabela</vt:lpstr>
      <vt:lpstr>Financeiro CustoVariavel</vt:lpstr>
      <vt:lpstr>Financeiro CustoVariavelInser</vt:lpstr>
      <vt:lpstr>Financeiro CustoVariavelTab</vt:lpstr>
      <vt:lpstr>Financeiro BalancoSetores</vt:lpstr>
      <vt:lpstr>Fianceiro Metas</vt:lpstr>
      <vt:lpstr>Fianceiro MetasConsulta</vt:lpstr>
      <vt:lpstr>Fianceiro MetasDB</vt:lpstr>
      <vt:lpstr>Financeiro FluxoCaixa</vt:lpstr>
      <vt:lpstr>Fianceiro FluxoCaixaConsulta</vt:lpstr>
      <vt:lpstr>ESTOQUE</vt:lpstr>
      <vt:lpstr>Financeiro FluxoCaixaDB</vt:lpstr>
      <vt:lpstr>LOGISTICA</vt:lpstr>
      <vt:lpstr>Logistica Inserção</vt:lpstr>
      <vt:lpstr>Logistica Infos.</vt:lpstr>
      <vt:lpstr>Logistica 1</vt:lpstr>
      <vt:lpstr>Logistica 2</vt:lpstr>
      <vt:lpstr>Logistica 3</vt:lpstr>
      <vt:lpstr>Logistica 4</vt:lpstr>
      <vt:lpstr>Logistica 5</vt:lpstr>
      <vt:lpstr>Logistica 6</vt:lpstr>
      <vt:lpstr>COMPRAS</vt:lpstr>
      <vt:lpstr>TIPO.PRODUTOS</vt:lpstr>
      <vt:lpstr>CAD_MAT_PRIMA</vt:lpstr>
      <vt:lpstr>NOTA MAT_PRIMA</vt:lpstr>
      <vt:lpstr>COMPR.PROD.INT</vt:lpstr>
      <vt:lpstr>NOT.PROD.INTR</vt:lpstr>
      <vt:lpstr>COMPR.FUNC</vt:lpstr>
      <vt:lpstr>NOTA.FUNC</vt:lpstr>
      <vt:lpstr>BD_COMPRAS</vt:lpstr>
      <vt:lpstr>VENDAS</vt:lpstr>
      <vt:lpstr>VENDA-DATABASE</vt:lpstr>
      <vt:lpstr>VENDA-GRAFICO</vt:lpstr>
      <vt:lpstr>VENDASGRAFICO_CLIENTES</vt:lpstr>
      <vt:lpstr>VENDASGRAFICO_VENDAS</vt:lpstr>
      <vt:lpstr>VENDA-CAD-VENDA</vt:lpstr>
      <vt:lpstr>VENDA-TABELA-VENDA</vt:lpstr>
      <vt:lpstr>RH</vt:lpstr>
      <vt:lpstr>RH database</vt:lpstr>
      <vt:lpstr>PRODUÇÃO</vt:lpstr>
      <vt:lpstr>Produção-Produzir</vt:lpstr>
      <vt:lpstr>Produção-Yogurtes</vt:lpstr>
      <vt:lpstr>Produção-ReceitaQt.</vt:lpstr>
      <vt:lpstr>Produção-CadastroPr.</vt:lpstr>
      <vt:lpstr>Produção-Pedidos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aluno</dc:creator>
  <cp:keywords/>
  <dc:description/>
  <cp:lastModifiedBy>RODRIGO VALEZI MARTINS</cp:lastModifiedBy>
  <cp:revision/>
  <dcterms:created xsi:type="dcterms:W3CDTF">2024-05-23T11:13:40Z</dcterms:created>
  <dcterms:modified xsi:type="dcterms:W3CDTF">2024-06-07T02:54:29Z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0x010100013FCD39AEE5BE47958C7385252FC7C3</vt:lpwstr>
  </property>
</Properties>
</file>