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orae\Desktop\"/>
    </mc:Choice>
  </mc:AlternateContent>
  <xr:revisionPtr revIDLastSave="0" documentId="13_ncr:1_{7C611068-6E37-4C60-B174-F17E71F67366}" xr6:coauthVersionLast="47" xr6:coauthVersionMax="47" xr10:uidLastSave="{00000000-0000-0000-0000-000000000000}"/>
  <bookViews>
    <workbookView xWindow="-108" yWindow="-108" windowWidth="23256" windowHeight="12456" tabRatio="902" activeTab="35" xr2:uid="{D62A3A3B-6FA0-4DAA-89BC-434730893DC8}"/>
  </bookViews>
  <sheets>
    <sheet name="NOVO" sheetId="64" r:id="rId1"/>
    <sheet name="N_PRODHOME" sheetId="80" r:id="rId2"/>
    <sheet name="N_PRODREQ" sheetId="65" r:id="rId3"/>
    <sheet name="N_ EQUIPES" sheetId="74" r:id="rId4"/>
    <sheet name="N_PRODLANC" sheetId="73" r:id="rId5"/>
    <sheet name="N_PRODGRAF " sheetId="87" r:id="rId6"/>
    <sheet name="N_LOGCLIENTES" sheetId="66" r:id="rId7"/>
    <sheet name="N_LOGVEIC" sheetId="93" r:id="rId8"/>
    <sheet name="N_LOGCRON" sheetId="94" r:id="rId9"/>
    <sheet name="N_LOGFRETE" sheetId="95" r:id="rId10"/>
    <sheet name="N_LOGRELAT" sheetId="96" r:id="rId11"/>
    <sheet name="N_LOGRAST" sheetId="97" r:id="rId12"/>
    <sheet name="N_LOGCAD" sheetId="98" r:id="rId13"/>
    <sheet name="N_ESTQSAÍDAS" sheetId="99" r:id="rId14"/>
    <sheet name="N_ESTQENTRAD" sheetId="100" r:id="rId15"/>
    <sheet name="N_RHCONTRATAÇÃO" sheetId="101" r:id="rId16"/>
    <sheet name="N_CADASTRAR" sheetId="102" r:id="rId17"/>
    <sheet name="N_RHFOLHA" sheetId="103" r:id="rId18"/>
    <sheet name="N_RHREF " sheetId="104" r:id="rId19"/>
    <sheet name="N_VCLIENTES" sheetId="105" r:id="rId20"/>
    <sheet name="N_VCINTRL" sheetId="106" r:id="rId21"/>
    <sheet name="N_VMETAS" sheetId="107" r:id="rId22"/>
    <sheet name="N_VRELCOM" sheetId="109" r:id="rId23"/>
    <sheet name="N_VRELMET" sheetId="108" r:id="rId24"/>
    <sheet name="N_CCADASTROF" sheetId="112" r:id="rId25"/>
    <sheet name="N_PROCFOR" sheetId="113" r:id="rId26"/>
    <sheet name="N_CMP" sheetId="114" r:id="rId27"/>
    <sheet name="N_CSOLICITAR" sheetId="115" r:id="rId28"/>
    <sheet name="SOLICITAÇÕES" sheetId="116" r:id="rId29"/>
    <sheet name="N_CREALIZARP" sheetId="117" r:id="rId30"/>
    <sheet name="N_FINANÇAS" sheetId="118" r:id="rId31"/>
    <sheet name="N_FINANÇAS (2)" sheetId="119" r:id="rId32"/>
    <sheet name="N_FINANÇAS (3)" sheetId="120" r:id="rId33"/>
    <sheet name="BANCO DE DADOS" sheetId="121" r:id="rId34"/>
    <sheet name="BANCO DE DADOS (2)" sheetId="122" r:id="rId35"/>
    <sheet name="BANCO DE DADOS (3)" sheetId="123" r:id="rId36"/>
    <sheet name="BD_CADAS" sheetId="110" r:id="rId37"/>
    <sheet name="BD_CADAS (2)" sheetId="111" r:id="rId38"/>
  </sheets>
  <externalReferences>
    <externalReference r:id="rId39"/>
    <externalReference r:id="rId40"/>
    <externalReference r:id="rId41"/>
  </externalReferences>
  <definedNames>
    <definedName name="QUEIJOS">#REF!</definedName>
    <definedName name="QUEIJOS_OFC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" i="120" l="1"/>
  <c r="I15" i="120"/>
  <c r="I14" i="120"/>
  <c r="I13" i="120"/>
  <c r="I12" i="120"/>
  <c r="K31" i="119"/>
  <c r="K30" i="119"/>
  <c r="K27" i="119"/>
  <c r="K26" i="119"/>
  <c r="K22" i="119"/>
  <c r="K21" i="119"/>
  <c r="K20" i="119"/>
  <c r="W12" i="118"/>
  <c r="O28" i="118"/>
  <c r="O27" i="118"/>
  <c r="O26" i="118"/>
  <c r="O23" i="118"/>
  <c r="O22" i="118"/>
  <c r="O21" i="118"/>
  <c r="O20" i="118"/>
  <c r="O17" i="118"/>
  <c r="O16" i="118"/>
  <c r="O15" i="118"/>
  <c r="O12" i="118"/>
  <c r="O11" i="118"/>
  <c r="K23" i="118"/>
  <c r="K22" i="118"/>
  <c r="K21" i="118"/>
  <c r="K18" i="118"/>
  <c r="K17" i="118"/>
  <c r="K16" i="118"/>
  <c r="K13" i="118"/>
  <c r="K12" i="118"/>
  <c r="K11" i="118"/>
  <c r="I16" i="104" l="1"/>
  <c r="H15" i="104"/>
  <c r="H14" i="104"/>
  <c r="H13" i="104"/>
  <c r="K15" i="98"/>
  <c r="K16" i="98" s="1"/>
  <c r="K17" i="98" s="1"/>
  <c r="K18" i="98" s="1"/>
  <c r="K19" i="98" s="1"/>
  <c r="K20" i="98" s="1"/>
  <c r="K21" i="98" s="1"/>
  <c r="K22" i="98" s="1"/>
  <c r="K23" i="98" s="1"/>
  <c r="K24" i="98" s="1"/>
  <c r="K25" i="98" s="1"/>
  <c r="K26" i="98" s="1"/>
  <c r="K27" i="98" s="1"/>
  <c r="K28" i="98" s="1"/>
  <c r="K29" i="98" s="1"/>
  <c r="K30" i="98" s="1"/>
  <c r="K31" i="98" s="1"/>
  <c r="K32" i="98" s="1"/>
  <c r="K33" i="98" s="1"/>
  <c r="N14" i="98"/>
  <c r="O14" i="98" s="1"/>
  <c r="K15" i="97" l="1"/>
  <c r="K16" i="97" s="1"/>
  <c r="K17" i="97" s="1"/>
  <c r="K18" i="97" s="1"/>
  <c r="K19" i="97" s="1"/>
  <c r="K20" i="97" s="1"/>
  <c r="K21" i="97" s="1"/>
  <c r="K22" i="97" s="1"/>
  <c r="K23" i="97" s="1"/>
  <c r="K24" i="97" s="1"/>
  <c r="K25" i="97" s="1"/>
  <c r="K26" i="97" s="1"/>
  <c r="K27" i="97" s="1"/>
  <c r="K28" i="97" s="1"/>
  <c r="K29" i="97" s="1"/>
  <c r="K30" i="97" s="1"/>
  <c r="K31" i="97" s="1"/>
  <c r="K32" i="97" s="1"/>
  <c r="K33" i="97" s="1"/>
  <c r="N14" i="97"/>
  <c r="O14" i="97" s="1"/>
  <c r="K15" i="96"/>
  <c r="K16" i="96" s="1"/>
  <c r="K17" i="96" s="1"/>
  <c r="K18" i="96" s="1"/>
  <c r="K19" i="96" s="1"/>
  <c r="K20" i="96" s="1"/>
  <c r="K21" i="96" s="1"/>
  <c r="K22" i="96" s="1"/>
  <c r="K23" i="96" s="1"/>
  <c r="K24" i="96" s="1"/>
  <c r="K25" i="96" s="1"/>
  <c r="K26" i="96" s="1"/>
  <c r="K27" i="96" s="1"/>
  <c r="K28" i="96" s="1"/>
  <c r="K29" i="96" s="1"/>
  <c r="K30" i="96" s="1"/>
  <c r="K31" i="96" s="1"/>
  <c r="K32" i="96" s="1"/>
  <c r="K33" i="96" s="1"/>
  <c r="N14" i="96"/>
  <c r="O14" i="96" s="1"/>
  <c r="K15" i="95"/>
  <c r="K16" i="95" s="1"/>
  <c r="K17" i="95" s="1"/>
  <c r="K18" i="95" s="1"/>
  <c r="K19" i="95" s="1"/>
  <c r="K20" i="95" s="1"/>
  <c r="K21" i="95" s="1"/>
  <c r="K22" i="95" s="1"/>
  <c r="K23" i="95" s="1"/>
  <c r="K24" i="95" s="1"/>
  <c r="K25" i="95" s="1"/>
  <c r="K26" i="95" s="1"/>
  <c r="K27" i="95" s="1"/>
  <c r="K28" i="95" s="1"/>
  <c r="K29" i="95" s="1"/>
  <c r="K30" i="95" s="1"/>
  <c r="K31" i="95" s="1"/>
  <c r="K32" i="95" s="1"/>
  <c r="K33" i="95" s="1"/>
  <c r="N14" i="95"/>
  <c r="O14" i="95" s="1"/>
  <c r="K15" i="94"/>
  <c r="K16" i="94" s="1"/>
  <c r="K17" i="94" s="1"/>
  <c r="K18" i="94" s="1"/>
  <c r="K19" i="94" s="1"/>
  <c r="K20" i="94" s="1"/>
  <c r="K21" i="94" s="1"/>
  <c r="K22" i="94" s="1"/>
  <c r="K23" i="94" s="1"/>
  <c r="K24" i="94" s="1"/>
  <c r="K25" i="94" s="1"/>
  <c r="K26" i="94" s="1"/>
  <c r="K27" i="94" s="1"/>
  <c r="K28" i="94" s="1"/>
  <c r="K29" i="94" s="1"/>
  <c r="K30" i="94" s="1"/>
  <c r="K31" i="94" s="1"/>
  <c r="K32" i="94" s="1"/>
  <c r="K33" i="94" s="1"/>
  <c r="K15" i="93"/>
  <c r="K16" i="93" s="1"/>
  <c r="K17" i="93" s="1"/>
  <c r="K18" i="93" s="1"/>
  <c r="K19" i="93" s="1"/>
  <c r="K20" i="93" s="1"/>
  <c r="K21" i="93" s="1"/>
  <c r="K22" i="93" s="1"/>
  <c r="K23" i="93" s="1"/>
  <c r="K24" i="93" s="1"/>
  <c r="K25" i="93" s="1"/>
  <c r="K26" i="93" s="1"/>
  <c r="K27" i="93" s="1"/>
  <c r="K28" i="93" s="1"/>
  <c r="K29" i="93" s="1"/>
  <c r="K30" i="93" s="1"/>
  <c r="K31" i="93" s="1"/>
  <c r="K32" i="93" s="1"/>
  <c r="K33" i="93" s="1"/>
  <c r="T35" i="65" l="1"/>
  <c r="T33" i="65"/>
  <c r="T31" i="65"/>
  <c r="T29" i="65"/>
  <c r="T27" i="65"/>
  <c r="I14" i="66"/>
  <c r="I15" i="66" s="1"/>
  <c r="I16" i="66" s="1"/>
  <c r="I17" i="66" s="1"/>
  <c r="I18" i="66" s="1"/>
  <c r="I19" i="66" s="1"/>
  <c r="I20" i="66" s="1"/>
  <c r="I21" i="66" s="1"/>
  <c r="I22" i="66" s="1"/>
  <c r="I23" i="66" s="1"/>
  <c r="I24" i="66" s="1"/>
  <c r="I25" i="66" s="1"/>
  <c r="I26" i="66" s="1"/>
  <c r="I27" i="66" s="1"/>
  <c r="I28" i="66" s="1"/>
  <c r="I29" i="66" s="1"/>
  <c r="I30" i="66" s="1"/>
  <c r="I31" i="66" s="1"/>
  <c r="I32" i="66" s="1"/>
</calcChain>
</file>

<file path=xl/sharedStrings.xml><?xml version="1.0" encoding="utf-8"?>
<sst xmlns="http://schemas.openxmlformats.org/spreadsheetml/2006/main" count="1785" uniqueCount="649">
  <si>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</si>
  <si>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</si>
  <si>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</si>
  <si>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</si>
  <si>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</si>
  <si>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</si>
  <si>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</si>
  <si>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</si>
  <si>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</si>
  <si>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</si>
  <si>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</si>
  <si>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</si>
  <si>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</si>
  <si>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</si>
  <si>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</si>
  <si>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</si>
  <si>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</si>
  <si>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</si>
  <si>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</si>
  <si>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</si>
  <si>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</si>
  <si>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</si>
  <si>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</si>
  <si>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</si>
  <si>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</si>
  <si>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</si>
  <si>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</si>
  <si>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</si>
  <si>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</si>
  <si>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UNIDADES PRODUZIDAS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</si>
  <si>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</si>
  <si>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</si>
  <si>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</si>
  <si>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</si>
  <si>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</si>
  <si>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</si>
  <si>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</si>
  <si>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</si>
  <si>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</si>
  <si>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</si>
  <si>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</si>
  <si>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</si>
  <si>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</si>
  <si>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</si>
  <si>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</si>
  <si>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</si>
  <si>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</si>
  <si>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</si>
  <si>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</si>
  <si>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</si>
  <si>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</si>
  <si>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</si>
  <si>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</si>
  <si>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</si>
  <si>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</si>
  <si>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</si>
  <si>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</si>
  <si>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</si>
  <si>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</si>
  <si>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</si>
  <si>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</si>
  <si>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</si>
  <si>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</si>
  <si>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</si>
  <si>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</si>
  <si>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</si>
  <si>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</si>
  <si>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</si>
  <si>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</si>
  <si>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</si>
  <si>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</si>
  <si>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</si>
  <si>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</si>
  <si>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</si>
  <si>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</si>
  <si>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</si>
  <si>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</si>
  <si>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</si>
  <si>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</si>
  <si>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</si>
  <si>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</si>
  <si>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</si>
  <si>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</si>
  <si>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</si>
  <si>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</si>
  <si>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</si>
  <si>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</si>
  <si>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</si>
  <si>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</si>
  <si>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</si>
  <si>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</si>
  <si>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</si>
  <si>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</si>
  <si>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</si>
  <si>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</si>
  <si>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</si>
  <si>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</si>
  <si>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</si>
  <si>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</si>
  <si>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</si>
  <si>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</si>
  <si>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</si>
  <si>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</si>
  <si>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</si>
  <si>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</si>
  <si>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</si>
  <si>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</si>
  <si>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</si>
  <si>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</si>
  <si>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</si>
  <si>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</si>
  <si>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</si>
  <si>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</si>
  <si>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</si>
  <si>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</si>
  <si>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</si>
  <si>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</si>
  <si>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</si>
  <si>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</si>
  <si>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</si>
  <si>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</si>
  <si>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</si>
  <si>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</si>
  <si>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</si>
  <si>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</si>
  <si>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</si>
  <si>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</si>
  <si>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</si>
  <si>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</si>
  <si>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</si>
  <si>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</si>
  <si>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</si>
  <si>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</si>
  <si>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</si>
  <si>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</si>
  <si>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</si>
  <si>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</si>
  <si>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</si>
  <si>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</si>
  <si>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</si>
  <si>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</si>
  <si>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</si>
  <si>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</si>
  <si>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</si>
  <si>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</si>
  <si>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</si>
  <si>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</si>
  <si>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</si>
  <si>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</si>
  <si>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</si>
  <si>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</si>
  <si>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</si>
  <si>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</si>
  <si>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</si>
  <si>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</si>
  <si>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</si>
  <si>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</si>
  <si>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</si>
  <si>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</si>
  <si>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</si>
  <si>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</si>
  <si>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</si>
  <si>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</si>
  <si>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</si>
  <si>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</si>
  <si>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</si>
  <si>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</si>
  <si>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</si>
  <si>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</si>
  <si>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</si>
  <si>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</si>
  <si>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</si>
  <si>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</si>
  <si>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</si>
  <si>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</si>
  <si>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</si>
  <si>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</si>
  <si>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</si>
  <si>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</si>
  <si>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</si>
  <si>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</si>
  <si>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</si>
  <si>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</si>
  <si>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</si>
  <si>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</si>
  <si>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</si>
  <si>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</si>
  <si>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</si>
  <si>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</si>
  <si>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</si>
  <si>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</si>
  <si>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</si>
  <si>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</si>
  <si>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</si>
  <si>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</si>
  <si>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</si>
  <si>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</si>
  <si>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</si>
  <si>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</si>
  <si>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</si>
  <si>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</si>
  <si>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</si>
  <si>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</si>
  <si>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</si>
  <si>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</si>
  <si>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</si>
  <si>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</si>
  <si>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</si>
  <si>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</si>
  <si>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</si>
  <si>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</si>
  <si>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</si>
  <si>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</si>
  <si>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</si>
  <si>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</si>
  <si>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</si>
  <si>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</si>
  <si>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</si>
  <si>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</si>
  <si>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</si>
  <si>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</si>
  <si>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</si>
  <si>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</si>
  <si>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</si>
  <si>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</si>
  <si>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</si>
  <si>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</si>
  <si>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</si>
  <si>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</si>
  <si>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</si>
  <si>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</si>
  <si>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</si>
  <si>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</si>
  <si>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</si>
  <si>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</si>
  <si>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</si>
  <si>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</si>
  <si>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</si>
  <si>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</si>
  <si>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</si>
  <si>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</si>
  <si>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</si>
  <si>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</si>
  <si>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</si>
  <si>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</si>
  <si>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</si>
  <si>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</si>
  <si>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</si>
  <si>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</si>
  <si>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</si>
  <si>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</si>
  <si>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</si>
  <si>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</si>
  <si>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</si>
  <si>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</si>
  <si>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</si>
  <si>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</si>
  <si>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</si>
  <si>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</si>
  <si>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</si>
  <si>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</si>
  <si>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</si>
  <si>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</si>
  <si>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</si>
  <si>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</si>
  <si>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</si>
  <si>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</si>
  <si>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</si>
  <si>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</si>
  <si>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</si>
  <si>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</si>
  <si>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</si>
  <si>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</si>
  <si>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</si>
  <si>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</si>
  <si>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</si>
  <si>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</si>
  <si>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</si>
  <si>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</si>
  <si>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</si>
  <si>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</si>
  <si>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</si>
  <si>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PRODUTO</t>
  </si>
  <si>
    <t>QUANTIDADE</t>
  </si>
  <si>
    <t>PARA QUAL CARGO/SETOR PRECISA CONTRATAR?</t>
  </si>
  <si>
    <t>QUANTOS COLABORADORES PRECISA CONTRATAR?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</si>
  <si>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</si>
  <si>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</si>
  <si>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</si>
  <si>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</si>
  <si>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</si>
  <si>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</si>
  <si>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</si>
  <si>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</si>
  <si>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</si>
  <si>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</si>
  <si>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</si>
  <si>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</si>
  <si>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</si>
  <si>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</si>
  <si>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</si>
  <si>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</si>
  <si>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</si>
  <si>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</si>
  <si>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</si>
  <si>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</si>
  <si>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</si>
  <si>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</si>
  <si>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</si>
  <si>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</si>
  <si>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</si>
  <si>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</si>
  <si>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</si>
  <si>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</si>
  <si>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</si>
  <si>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</si>
  <si>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</si>
  <si>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</si>
  <si>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</si>
  <si>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</si>
  <si>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</si>
  <si>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</si>
  <si>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</si>
  <si>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</si>
  <si>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</si>
  <si>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</si>
  <si>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</si>
  <si>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</si>
  <si>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</si>
  <si>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</si>
  <si>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</si>
  <si>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</si>
  <si>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</si>
  <si>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</si>
  <si>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</si>
  <si>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</si>
  <si>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</si>
  <si>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</si>
  <si>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</si>
  <si>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</si>
  <si>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</si>
  <si>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</si>
  <si>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</si>
  <si>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</si>
  <si>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</si>
  <si>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</si>
  <si>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</si>
  <si>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</si>
  <si>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</si>
  <si>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</si>
  <si>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</si>
  <si>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</si>
  <si>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</si>
  <si>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</si>
  <si>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</si>
  <si>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</si>
  <si>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</si>
  <si>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</si>
  <si>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</si>
  <si>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</si>
  <si>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</si>
  <si>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NOME:</t>
  </si>
  <si>
    <t>TELEFONE:</t>
  </si>
  <si>
    <t>ESTADO: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</si>
  <si>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</si>
  <si>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</si>
  <si>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</si>
  <si>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</si>
  <si>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</si>
  <si>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</si>
  <si>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</si>
  <si>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</si>
  <si>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</si>
  <si>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MÊS</t>
  </si>
  <si>
    <t>META DE VENDA MENSAL</t>
  </si>
  <si>
    <t>VENDEDOR</t>
  </si>
  <si>
    <t>ID do fornecedor</t>
  </si>
  <si>
    <t xml:space="preserve">Nome </t>
  </si>
  <si>
    <t>Endereço</t>
  </si>
  <si>
    <t>Condições de pagamento</t>
  </si>
  <si>
    <t>Produto</t>
  </si>
  <si>
    <t>Valor unitario do produto</t>
  </si>
  <si>
    <t>PROCURAR FORNECEDOR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</si>
  <si>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</si>
  <si>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</si>
  <si>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</si>
  <si>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</si>
  <si>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</si>
  <si>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</si>
  <si>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</si>
  <si>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</si>
  <si>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</si>
  <si>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</si>
  <si>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</si>
  <si>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</si>
  <si>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</si>
  <si>
    <t xml:space="preserve">CNPJ </t>
  </si>
  <si>
    <r>
      <t xml:space="preserve">Empregador </t>
    </r>
    <r>
      <rPr>
        <b/>
        <sz val="22"/>
        <color theme="1"/>
        <rFont val="Arial"/>
        <family val="2"/>
      </rPr>
      <t>QUEIJARIA ALPINA</t>
    </r>
  </si>
  <si>
    <t>a</t>
  </si>
  <si>
    <t>CIDADE</t>
  </si>
  <si>
    <t>CADASTRO DE CLIENTE</t>
  </si>
  <si>
    <t>QUEIIJOS</t>
  </si>
  <si>
    <t>PREÇOS UNITARIO</t>
  </si>
  <si>
    <t>NÍVEL DA  META</t>
  </si>
  <si>
    <t>CADASTRO DE FORNECEDORES</t>
  </si>
  <si>
    <t>TELEFONE</t>
  </si>
  <si>
    <t>ESTADO</t>
  </si>
  <si>
    <t>EMAIL</t>
  </si>
  <si>
    <t>NOME DO FORNECEDOR</t>
  </si>
  <si>
    <t>Casa de queijo de Monte Verde</t>
  </si>
  <si>
    <t>93.946.695/0001-80</t>
  </si>
  <si>
    <t>(15) 3865-2730</t>
  </si>
  <si>
    <t>Rua das Flores, 123</t>
  </si>
  <si>
    <t>Sorocaba</t>
  </si>
  <si>
    <t>São Paulo</t>
  </si>
  <si>
    <t>lucas.silva23@email.com</t>
  </si>
  <si>
    <t>Queijaria de Minas</t>
  </si>
  <si>
    <t>21.675.749/0001-09</t>
  </si>
  <si>
    <t>(12) 3628-7030</t>
  </si>
  <si>
    <t>Avenida Brasil, 4567</t>
  </si>
  <si>
    <t>Taubate</t>
  </si>
  <si>
    <t>maria.gomes78@email.com</t>
  </si>
  <si>
    <t>Aqui Queijo</t>
  </si>
  <si>
    <t>65.357.706/0001-50</t>
  </si>
  <si>
    <t>(14) 3615-7048</t>
  </si>
  <si>
    <t>Rua do Sol, 89</t>
  </si>
  <si>
    <t>Bauru</t>
  </si>
  <si>
    <t>pedro.santos45@email.com</t>
  </si>
  <si>
    <t>Uai Queijo</t>
  </si>
  <si>
    <t>09.091.029/0001-09</t>
  </si>
  <si>
    <t>(11) 3257-0877</t>
  </si>
  <si>
    <t>Travessa da Paz, 12</t>
  </si>
  <si>
    <t>julia.martins56@email.com</t>
  </si>
  <si>
    <t>Cruzilha Queijos</t>
  </si>
  <si>
    <t>09.190.296/0001-25</t>
  </si>
  <si>
    <t>(12) 2143-7408</t>
  </si>
  <si>
    <t>Rua da Esperança, 34</t>
  </si>
  <si>
    <t>Aparecida</t>
  </si>
  <si>
    <t>fernando.lima12@email.com</t>
  </si>
  <si>
    <t>Montana</t>
  </si>
  <si>
    <t>41.676.392/0001-90</t>
  </si>
  <si>
    <t>(18) 2801-0384</t>
  </si>
  <si>
    <t>Avenida das Américas, 567</t>
  </si>
  <si>
    <t>Adamantina</t>
  </si>
  <si>
    <t>ana.paula91@email.com</t>
  </si>
  <si>
    <t>Chale do Ito</t>
  </si>
  <si>
    <t>31.537.669/0001-40</t>
  </si>
  <si>
    <t>(15) 3284-8741</t>
  </si>
  <si>
    <t>Rua São Jorge, 78</t>
  </si>
  <si>
    <t>Itapeva</t>
  </si>
  <si>
    <t>roberto.costa34@email.com</t>
  </si>
  <si>
    <t>Restaurante So Queijo</t>
  </si>
  <si>
    <t>29.140.170/0001-53</t>
  </si>
  <si>
    <t>(12) 2873-4816</t>
  </si>
  <si>
    <t>Praça da Liberdade, 9</t>
  </si>
  <si>
    <t>Bananal</t>
  </si>
  <si>
    <t>claudia.rodrigues67@email.com</t>
  </si>
  <si>
    <t>Arcobaleno Frios e Queijos</t>
  </si>
  <si>
    <t>22.322.380/0001-13</t>
  </si>
  <si>
    <t>(38) 2237-4245</t>
  </si>
  <si>
    <t>Rua dos Reis, 101</t>
  </si>
  <si>
    <t>Aricanduva</t>
  </si>
  <si>
    <t>Minas Gerais</t>
  </si>
  <si>
    <t>ricardo.alves89@email.com</t>
  </si>
  <si>
    <t>Restaurante Libertango</t>
  </si>
  <si>
    <t>05.790.326/0001-83</t>
  </si>
  <si>
    <t>(34) 3036-2382</t>
  </si>
  <si>
    <t>Avenida dos Girassóis, 234</t>
  </si>
  <si>
    <t>Uberaba</t>
  </si>
  <si>
    <t>beatriz.souza22@email.com</t>
  </si>
  <si>
    <t>Monte Verde Laticinios</t>
  </si>
  <si>
    <t>17.389.690/0001-15</t>
  </si>
  <si>
    <t>(37) 2351-7051</t>
  </si>
  <si>
    <t>Rua das Acácias, 45</t>
  </si>
  <si>
    <t>Formiga</t>
  </si>
  <si>
    <t>thiago.ferreira10@email.com</t>
  </si>
  <si>
    <t>Armazem do Queijo</t>
  </si>
  <si>
    <t>03.044.803/0001-36</t>
  </si>
  <si>
    <t>(35) 2674-7424</t>
  </si>
  <si>
    <t>Estrada do Ouro, 678</t>
  </si>
  <si>
    <t>Pouso Alegre</t>
  </si>
  <si>
    <t>leticia.brito14@email.com</t>
  </si>
  <si>
    <t xml:space="preserve">Rancho do Caipira </t>
  </si>
  <si>
    <t>49.619.326/0001-90</t>
  </si>
  <si>
    <t>(34) 2355-3004</t>
  </si>
  <si>
    <t>Rua da Alegria, 23</t>
  </si>
  <si>
    <t>carlos.oliveira11@email.com</t>
  </si>
  <si>
    <t>Queijo e Doces Monte Verde</t>
  </si>
  <si>
    <t>76.018.260/0001-56</t>
  </si>
  <si>
    <t>(31) 2766-4584</t>
  </si>
  <si>
    <t>Avenida da Saúde, 345</t>
  </si>
  <si>
    <t>Contagem</t>
  </si>
  <si>
    <t>simone.nunes83@email.com</t>
  </si>
  <si>
    <t>Cantinho do Doce</t>
  </si>
  <si>
    <t>66.501.356/0001-17</t>
  </si>
  <si>
    <t>(38) 2532-5231</t>
  </si>
  <si>
    <t>Rua do Comércio, 11</t>
  </si>
  <si>
    <t>Arinos</t>
  </si>
  <si>
    <t>andréa.melo29@email.com</t>
  </si>
  <si>
    <t>A Pioneira</t>
  </si>
  <si>
    <t>18.996.600/0001-17</t>
  </si>
  <si>
    <t>(35) 2146-6560</t>
  </si>
  <si>
    <t>Rua do Limoeiro, 87</t>
  </si>
  <si>
    <t>Camanducaia</t>
  </si>
  <si>
    <t>vinicius.pires75@email.com</t>
  </si>
  <si>
    <t>Supermercado du Tato</t>
  </si>
  <si>
    <t>21.153.490/0001-36</t>
  </si>
  <si>
    <t>(43) 2678-1201</t>
  </si>
  <si>
    <t>Avenida da Independência, 456</t>
  </si>
  <si>
    <t>Alvorada do Sul</t>
  </si>
  <si>
    <t>Parana</t>
  </si>
  <si>
    <t>patricia.santos18@email.com</t>
  </si>
  <si>
    <t>Queijos Santa Fe</t>
  </si>
  <si>
    <t>24.851.065/0001-09</t>
  </si>
  <si>
    <t>(45) 2102-1100</t>
  </si>
  <si>
    <t>Rua das Palmeiras, 62</t>
  </si>
  <si>
    <t>Campo Bonito</t>
  </si>
  <si>
    <t>renan.campos90@email.com</t>
  </si>
  <si>
    <t>Supermercado Avenida</t>
  </si>
  <si>
    <t>03.531.020/0001-87</t>
  </si>
  <si>
    <t>(42) 2436-0843</t>
  </si>
  <si>
    <t>Rua do Conhecimento, 90</t>
  </si>
  <si>
    <t>Bituruna</t>
  </si>
  <si>
    <t>eliane.torres57@email.com</t>
  </si>
  <si>
    <t>Supermercado Bosque</t>
  </si>
  <si>
    <t>73.027.684/0001-99</t>
  </si>
  <si>
    <t>(42) 2463-2316</t>
  </si>
  <si>
    <t>Travessa do Coração, 33</t>
  </si>
  <si>
    <t>Irati</t>
  </si>
  <si>
    <t>joão.paulo82@email.com</t>
  </si>
  <si>
    <t>Supermercado Kurihara</t>
  </si>
  <si>
    <t>10.070.973/0001-50</t>
  </si>
  <si>
    <t>(43) 2781-3471</t>
  </si>
  <si>
    <t>Rua do Trabalho, 47</t>
  </si>
  <si>
    <t>Ponta Grossa</t>
  </si>
  <si>
    <t>isabela.machado39@email.com</t>
  </si>
  <si>
    <t>CADASTRO DE FUNCIONÁRIOS ATIVOS</t>
  </si>
  <si>
    <t>SALÁRIO BRUTO</t>
  </si>
  <si>
    <t>DATA DE INICIO</t>
  </si>
  <si>
    <t>HORA EXTRA</t>
  </si>
  <si>
    <t>VALE REFEIÇÃO</t>
  </si>
  <si>
    <t>IRRF</t>
  </si>
  <si>
    <t>Joao</t>
  </si>
  <si>
    <t>brasileira</t>
  </si>
  <si>
    <t>solteiro</t>
  </si>
  <si>
    <t>vendedor</t>
  </si>
  <si>
    <t>333955598-28</t>
  </si>
  <si>
    <t>jaoa@email.com</t>
  </si>
  <si>
    <t>11 98585-5284</t>
  </si>
  <si>
    <t>vendas</t>
  </si>
  <si>
    <t xml:space="preserve">Ana  </t>
  </si>
  <si>
    <t>casada</t>
  </si>
  <si>
    <t>vendedora</t>
  </si>
  <si>
    <t>333955598-29</t>
  </si>
  <si>
    <t>ana@email.com</t>
  </si>
  <si>
    <t>11 95472-6872</t>
  </si>
  <si>
    <t xml:space="preserve">Carlos  </t>
  </si>
  <si>
    <t>333955598-30</t>
  </si>
  <si>
    <t>carlos@email.com</t>
  </si>
  <si>
    <t>12 95472-6873</t>
  </si>
  <si>
    <t xml:space="preserve">Beatriz  </t>
  </si>
  <si>
    <t>solteira</t>
  </si>
  <si>
    <t>333955598-31</t>
  </si>
  <si>
    <t>beatriz@email.com</t>
  </si>
  <si>
    <t>13 95472-6874</t>
  </si>
  <si>
    <t>RECEITA</t>
  </si>
  <si>
    <t>QUANTIDADE VENDIDA</t>
  </si>
  <si>
    <t>MES</t>
  </si>
  <si>
    <t>Outubro</t>
  </si>
  <si>
    <t>CALCULO DE FRETE</t>
  </si>
  <si>
    <t>DISTÂNCIA (km)</t>
  </si>
  <si>
    <t>GASOLINA</t>
  </si>
  <si>
    <t>PREÇO DA GASOLINA</t>
  </si>
  <si>
    <t>CONSUMO DO VEÍCULO</t>
  </si>
  <si>
    <t>PESO TOTAL (kg)</t>
  </si>
  <si>
    <t>CUSTO DO FRETE</t>
  </si>
  <si>
    <t>VALOR DO FRETE</t>
  </si>
  <si>
    <t>CADASTRAR FORNECEDOR</t>
  </si>
  <si>
    <t>CONTROLE MATÉRIA PRIMA</t>
  </si>
  <si>
    <t>CUSTO FIXO OU VARIAVEL</t>
  </si>
  <si>
    <t>CUSTO FIXO</t>
  </si>
  <si>
    <t>R$</t>
  </si>
  <si>
    <t>CONTA DE AGUA</t>
  </si>
  <si>
    <t>CONTA DE ENERGIA ELETRICA</t>
  </si>
  <si>
    <t>IPTU</t>
  </si>
  <si>
    <t>FOLHA DE PAGAMENTO</t>
  </si>
  <si>
    <t>PRO-LABORE</t>
  </si>
  <si>
    <t>INTERNET</t>
  </si>
  <si>
    <t>SEGURO DE PRÉDIO</t>
  </si>
  <si>
    <t>SEGURO DOS AUTOMÓVEIS</t>
  </si>
  <si>
    <t>MATERIAL DE LIMPEZA</t>
  </si>
  <si>
    <t>PARCELA DE EMPRESTIMO</t>
  </si>
  <si>
    <t>SERVIÇO DE VIGILÂNCIA E SEG.</t>
  </si>
  <si>
    <t>IPVA</t>
  </si>
  <si>
    <t>Produção</t>
  </si>
  <si>
    <t>Qntd.</t>
  </si>
  <si>
    <t>Salarios</t>
  </si>
  <si>
    <t>Gerente</t>
  </si>
  <si>
    <t>Operadores</t>
  </si>
  <si>
    <t>Auxiliares</t>
  </si>
  <si>
    <t>RH</t>
  </si>
  <si>
    <t>Analista</t>
  </si>
  <si>
    <t>Auxiliar</t>
  </si>
  <si>
    <t>Financeiro</t>
  </si>
  <si>
    <t>Vendas</t>
  </si>
  <si>
    <t>Compras</t>
  </si>
  <si>
    <t>Logistica</t>
  </si>
  <si>
    <t>Coordenador</t>
  </si>
  <si>
    <t>Estoque</t>
  </si>
  <si>
    <t>AVALIAÇÃO DE VENDAS E FUNCIONÁRIOS</t>
  </si>
  <si>
    <t>QUANTIDADE VENDIDA GERAL</t>
  </si>
  <si>
    <t>CUSTOS FUNCIONÁRIOS PRODUÇÃO</t>
  </si>
  <si>
    <t>CUSTOS FUNCIONÁRIOS ADMINISTRATIVOS</t>
  </si>
  <si>
    <t>CUSTO FIXO DE FUNCIONÁRIOS</t>
  </si>
  <si>
    <t>Receita Bruta</t>
    <phoneticPr fontId="0" type="noConversion"/>
  </si>
  <si>
    <t>Janeiro</t>
    <phoneticPr fontId="0" type="noConversion"/>
  </si>
  <si>
    <t>Fevereiro</t>
  </si>
  <si>
    <t>Venda dos Produtos</t>
  </si>
  <si>
    <t xml:space="preserve">Total de Receita </t>
  </si>
  <si>
    <t>Total de despesa</t>
    <phoneticPr fontId="0" type="noConversion"/>
  </si>
  <si>
    <t>Receita Liquida</t>
  </si>
  <si>
    <t>Despesas</t>
    <phoneticPr fontId="0" type="noConversion"/>
  </si>
  <si>
    <t>Conta de Água</t>
  </si>
  <si>
    <t>Conta de Energia Elétrica</t>
  </si>
  <si>
    <t>Folha de Pagamento</t>
    <phoneticPr fontId="0" type="noConversion"/>
  </si>
  <si>
    <t>Pró-Labore</t>
  </si>
  <si>
    <t>Celular</t>
    <phoneticPr fontId="0" type="noConversion"/>
  </si>
  <si>
    <t>Internet</t>
    <phoneticPr fontId="0" type="noConversion"/>
  </si>
  <si>
    <t>Seguro do Prédio</t>
  </si>
  <si>
    <t>Seguro dos automoveis</t>
    <phoneticPr fontId="0" type="noConversion"/>
  </si>
  <si>
    <t>Material de Limpeza</t>
  </si>
  <si>
    <t>Parcela de Empréstimo</t>
  </si>
  <si>
    <t>Servico de Vigilância e Seguranca</t>
  </si>
  <si>
    <t>Gasolina</t>
    <phoneticPr fontId="0" type="noConversion"/>
  </si>
  <si>
    <t>Ipva</t>
    <phoneticPr fontId="0" type="noConversion"/>
  </si>
  <si>
    <t>Imposto Tributário ICMS,CSLL,PIS,IPI,IRPJ,COFINS</t>
  </si>
  <si>
    <t>Papelaria</t>
    <phoneticPr fontId="0" type="noConversion"/>
  </si>
  <si>
    <t>Taxa administrativa de cartões de crédito e débito</t>
  </si>
  <si>
    <t>Embalagens</t>
    <phoneticPr fontId="0" type="noConversion"/>
  </si>
  <si>
    <t>Matéria Prima</t>
  </si>
  <si>
    <t>Frete</t>
    <phoneticPr fontId="0" type="noConversion"/>
  </si>
  <si>
    <t>Valor</t>
  </si>
  <si>
    <t>COALHO (L)</t>
  </si>
  <si>
    <t>SAL (Kg)</t>
  </si>
  <si>
    <t>FERMENTO (Kg)</t>
  </si>
  <si>
    <t>QUEIJO MEIA CURA</t>
  </si>
  <si>
    <t>ENTRADA</t>
  </si>
  <si>
    <t>SAÍDAS</t>
  </si>
  <si>
    <t>MATÉRIA PRIMA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</si>
</sst>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5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b/>
      <sz val="11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22"/>
      <color rgb="FF000000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  <font>
      <sz val="16"/>
      <color theme="1"/>
      <name val="Arial"/>
      <family val="2"/>
    </font>
    <font>
      <sz val="18"/>
      <color theme="1"/>
      <name val="Arial"/>
      <family val="2"/>
    </font>
    <font>
      <sz val="18"/>
      <color rgb="FF000000"/>
      <name val="Arial"/>
      <family val="2"/>
    </font>
    <font>
      <b/>
      <sz val="18"/>
      <color theme="1"/>
      <name val="Arial"/>
      <family val="2"/>
    </font>
    <font>
      <b/>
      <sz val="16"/>
      <color theme="1"/>
      <name val="Arial"/>
      <family val="2"/>
    </font>
    <font>
      <b/>
      <sz val="18"/>
      <color theme="0"/>
      <name val="Arial"/>
      <family val="2"/>
    </font>
    <font>
      <b/>
      <sz val="20"/>
      <color theme="1"/>
      <name val="Arial"/>
      <family val="2"/>
    </font>
    <font>
      <sz val="22"/>
      <color theme="1"/>
      <name val="Arial"/>
      <family val="2"/>
    </font>
    <font>
      <sz val="8"/>
      <color theme="1"/>
      <name val="Arial"/>
      <family val="2"/>
    </font>
    <font>
      <sz val="18"/>
      <color theme="0"/>
      <name val="Arial"/>
      <family val="2"/>
    </font>
    <font>
      <sz val="11"/>
      <color theme="0"/>
      <name val="Arial"/>
      <family val="2"/>
    </font>
    <font>
      <u/>
      <sz val="11"/>
      <color theme="1"/>
      <name val="Arial"/>
      <family val="2"/>
    </font>
    <font>
      <sz val="14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20"/>
      <color theme="0"/>
      <name val="Arial"/>
      <family val="2"/>
    </font>
    <font>
      <u/>
      <sz val="16"/>
      <color theme="1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rgb="FF3D5B7A"/>
        <bgColor indexed="64"/>
      </patternFill>
    </fill>
    <fill>
      <patternFill patternType="solid">
        <fgColor rgb="FF3D5B7A"/>
        <bgColor auto="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rgb="FF000000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</cellStyleXfs>
  <cellXfs count="560">
    <xf numFmtId="0" fontId="0" fillId="0" borderId="0" xfId="0"/>
    <xf numFmtId="0" fontId="0" fillId="2" borderId="0" xfId="0" applyFill="1"/>
    <xf numFmtId="0" fontId="0" fillId="7" borderId="0" xfId="0" applyFill="1"/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9" fillId="10" borderId="7" xfId="0" applyFont="1" applyFill="1" applyBorder="1"/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7" borderId="0" xfId="0" applyFill="1"/>
    <xf numFmtId="0" fontId="8" fillId="17" borderId="0" xfId="0" applyFont="1" applyFill="1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0" fontId="2" fillId="17" borderId="0" xfId="0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9" fillId="17" borderId="0" xfId="0" applyFont="1" applyFill="1"/>
    <xf numFmtId="0" fontId="10" fillId="17" borderId="0" xfId="0" applyFont="1" applyFill="1" applyAlignment="1">
      <alignment horizontal="center" vertical="center"/>
    </xf>
    <xf numFmtId="0" fontId="10" fillId="17" borderId="0" xfId="0" applyFont="1" applyFill="1" applyAlignment="1">
      <alignment vertical="center"/>
    </xf>
    <xf numFmtId="0" fontId="6" fillId="17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left" vertical="center"/>
    </xf>
    <xf numFmtId="0" fontId="3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left" vertical="center"/>
    </xf>
    <xf numFmtId="0" fontId="2" fillId="12" borderId="0" xfId="0" applyFont="1" applyFill="1"/>
    <xf numFmtId="0" fontId="14" fillId="13" borderId="0" xfId="0" applyFont="1" applyFill="1" applyBorder="1" applyAlignment="1"/>
    <xf numFmtId="0" fontId="2" fillId="13" borderId="0" xfId="0" applyFont="1" applyFill="1" applyBorder="1" applyAlignment="1"/>
    <xf numFmtId="0" fontId="4" fillId="13" borderId="0" xfId="0" applyFont="1" applyFill="1" applyBorder="1" applyAlignment="1"/>
    <xf numFmtId="0" fontId="13" fillId="13" borderId="44" xfId="0" applyFont="1" applyFill="1" applyBorder="1" applyAlignment="1"/>
    <xf numFmtId="0" fontId="2" fillId="13" borderId="45" xfId="0" applyFont="1" applyFill="1" applyBorder="1" applyAlignment="1"/>
    <xf numFmtId="0" fontId="4" fillId="13" borderId="45" xfId="0" applyFont="1" applyFill="1" applyBorder="1" applyAlignment="1"/>
    <xf numFmtId="0" fontId="13" fillId="13" borderId="46" xfId="0" applyFont="1" applyFill="1" applyBorder="1" applyAlignment="1"/>
    <xf numFmtId="0" fontId="2" fillId="13" borderId="47" xfId="0" applyFont="1" applyFill="1" applyBorder="1" applyAlignment="1"/>
    <xf numFmtId="0" fontId="14" fillId="13" borderId="47" xfId="0" applyFont="1" applyFill="1" applyBorder="1" applyAlignment="1"/>
    <xf numFmtId="0" fontId="4" fillId="13" borderId="47" xfId="0" applyFont="1" applyFill="1" applyBorder="1" applyAlignment="1"/>
    <xf numFmtId="0" fontId="2" fillId="13" borderId="48" xfId="0" applyFont="1" applyFill="1" applyBorder="1" applyAlignment="1"/>
    <xf numFmtId="0" fontId="0" fillId="2" borderId="52" xfId="0" applyFill="1" applyBorder="1"/>
    <xf numFmtId="0" fontId="0" fillId="2" borderId="52" xfId="0" applyFill="1" applyBorder="1" applyAlignment="1">
      <alignment horizontal="center"/>
    </xf>
    <xf numFmtId="0" fontId="2" fillId="11" borderId="0" xfId="0" applyFont="1" applyFill="1" applyBorder="1" applyAlignment="1">
      <alignment vertical="center"/>
    </xf>
    <xf numFmtId="0" fontId="2" fillId="11" borderId="7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2" fillId="3" borderId="0" xfId="0" applyFont="1" applyFill="1" applyBorder="1"/>
    <xf numFmtId="0" fontId="2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left" vertical="center"/>
    </xf>
    <xf numFmtId="0" fontId="2" fillId="11" borderId="0" xfId="0" applyFont="1" applyFill="1" applyBorder="1"/>
    <xf numFmtId="0" fontId="11" fillId="3" borderId="0" xfId="0" applyFont="1" applyFill="1" applyBorder="1" applyAlignment="1">
      <alignment horizontal="center" vertical="center"/>
    </xf>
    <xf numFmtId="0" fontId="9" fillId="2" borderId="52" xfId="0" applyFont="1" applyFill="1" applyBorder="1"/>
    <xf numFmtId="0" fontId="9" fillId="2" borderId="52" xfId="0" applyFont="1" applyFill="1" applyBorder="1" applyAlignment="1">
      <alignment horizontal="center"/>
    </xf>
    <xf numFmtId="0" fontId="9" fillId="10" borderId="0" xfId="0" applyFont="1" applyFill="1" applyBorder="1"/>
    <xf numFmtId="0" fontId="9" fillId="10" borderId="8" xfId="0" applyFont="1" applyFill="1" applyBorder="1"/>
    <xf numFmtId="0" fontId="9" fillId="10" borderId="9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19" fillId="2" borderId="52" xfId="0" applyFont="1" applyFill="1" applyBorder="1" applyAlignment="1">
      <alignment horizontal="center" vertical="center"/>
    </xf>
    <xf numFmtId="0" fontId="17" fillId="2" borderId="0" xfId="0" applyFont="1" applyFill="1" applyAlignment="1">
      <alignment vertical="center"/>
    </xf>
    <xf numFmtId="0" fontId="19" fillId="10" borderId="7" xfId="0" applyFont="1" applyFill="1" applyBorder="1" applyAlignment="1">
      <alignment horizontal="left" vertical="center"/>
    </xf>
    <xf numFmtId="0" fontId="19" fillId="10" borderId="0" xfId="0" applyFont="1" applyFill="1" applyBorder="1" applyAlignment="1">
      <alignment vertical="center"/>
    </xf>
    <xf numFmtId="0" fontId="19" fillId="10" borderId="8" xfId="0" applyFont="1" applyFill="1" applyBorder="1" applyAlignment="1">
      <alignment vertical="center"/>
    </xf>
    <xf numFmtId="0" fontId="19" fillId="10" borderId="9" xfId="0" applyFont="1" applyFill="1" applyBorder="1" applyAlignment="1">
      <alignment horizontal="left" vertical="center"/>
    </xf>
    <xf numFmtId="0" fontId="19" fillId="10" borderId="10" xfId="0" applyFont="1" applyFill="1" applyBorder="1" applyAlignment="1">
      <alignment vertical="center"/>
    </xf>
    <xf numFmtId="0" fontId="19" fillId="10" borderId="11" xfId="0" applyFont="1" applyFill="1" applyBorder="1" applyAlignment="1">
      <alignment vertical="center"/>
    </xf>
    <xf numFmtId="0" fontId="0" fillId="10" borderId="7" xfId="0" applyFill="1" applyBorder="1"/>
    <xf numFmtId="0" fontId="19" fillId="10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20" fillId="10" borderId="7" xfId="0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vertical="center"/>
    </xf>
    <xf numFmtId="0" fontId="20" fillId="10" borderId="8" xfId="0" applyFont="1" applyFill="1" applyBorder="1" applyAlignment="1">
      <alignment vertical="center"/>
    </xf>
    <xf numFmtId="0" fontId="17" fillId="10" borderId="7" xfId="0" applyFont="1" applyFill="1" applyBorder="1" applyAlignment="1">
      <alignment vertical="center"/>
    </xf>
    <xf numFmtId="0" fontId="17" fillId="10" borderId="8" xfId="0" applyFont="1" applyFill="1" applyBorder="1" applyAlignment="1">
      <alignment vertical="center"/>
    </xf>
    <xf numFmtId="0" fontId="17" fillId="10" borderId="7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vertical="center"/>
    </xf>
    <xf numFmtId="0" fontId="0" fillId="10" borderId="0" xfId="0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0" fillId="2" borderId="0" xfId="0" applyFill="1" applyBorder="1"/>
    <xf numFmtId="0" fontId="28" fillId="3" borderId="0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15" fillId="3" borderId="0" xfId="0" applyFont="1" applyFill="1"/>
    <xf numFmtId="0" fontId="0" fillId="0" borderId="0" xfId="0"/>
    <xf numFmtId="0" fontId="29" fillId="13" borderId="0" xfId="0" applyFont="1" applyFill="1" applyBorder="1" applyAlignment="1"/>
    <xf numFmtId="0" fontId="25" fillId="10" borderId="0" xfId="0" applyFont="1" applyFill="1" applyBorder="1" applyAlignment="1">
      <alignment vertical="center"/>
    </xf>
    <xf numFmtId="0" fontId="32" fillId="10" borderId="0" xfId="0" applyFont="1" applyFill="1" applyBorder="1"/>
    <xf numFmtId="0" fontId="24" fillId="2" borderId="1" xfId="0" applyFont="1" applyFill="1" applyBorder="1"/>
    <xf numFmtId="0" fontId="24" fillId="10" borderId="0" xfId="0" applyFont="1" applyFill="1" applyBorder="1"/>
    <xf numFmtId="0" fontId="22" fillId="10" borderId="0" xfId="0" applyFont="1" applyFill="1" applyBorder="1" applyAlignment="1">
      <alignment horizontal="left"/>
    </xf>
    <xf numFmtId="0" fontId="24" fillId="10" borderId="0" xfId="0" applyFont="1" applyFill="1" applyBorder="1" applyAlignment="1">
      <alignment horizontal="left"/>
    </xf>
    <xf numFmtId="0" fontId="24" fillId="2" borderId="1" xfId="0" applyFont="1" applyFill="1" applyBorder="1" applyAlignment="1">
      <alignment horizontal="left"/>
    </xf>
    <xf numFmtId="0" fontId="24" fillId="2" borderId="1" xfId="0" applyNumberFormat="1" applyFont="1" applyFill="1" applyBorder="1" applyAlignment="1">
      <alignment horizontal="left"/>
    </xf>
    <xf numFmtId="0" fontId="33" fillId="2" borderId="1" xfId="2" applyFont="1" applyFill="1" applyBorder="1" applyAlignment="1">
      <alignment horizontal="left"/>
    </xf>
    <xf numFmtId="0" fontId="24" fillId="11" borderId="0" xfId="0" applyFont="1" applyFill="1" applyBorder="1" applyAlignment="1">
      <alignment horizontal="left"/>
    </xf>
    <xf numFmtId="0" fontId="24" fillId="3" borderId="1" xfId="0" applyFont="1" applyFill="1" applyBorder="1" applyAlignment="1">
      <alignment horizontal="left"/>
    </xf>
    <xf numFmtId="0" fontId="25" fillId="10" borderId="7" xfId="0" applyFont="1" applyFill="1" applyBorder="1" applyAlignment="1">
      <alignment vertical="center"/>
    </xf>
    <xf numFmtId="0" fontId="25" fillId="10" borderId="8" xfId="0" applyFont="1" applyFill="1" applyBorder="1" applyAlignment="1">
      <alignment vertical="center"/>
    </xf>
    <xf numFmtId="0" fontId="32" fillId="10" borderId="7" xfId="0" applyFont="1" applyFill="1" applyBorder="1"/>
    <xf numFmtId="0" fontId="32" fillId="10" borderId="8" xfId="0" applyFont="1" applyFill="1" applyBorder="1"/>
    <xf numFmtId="0" fontId="24" fillId="10" borderId="7" xfId="0" applyFont="1" applyFill="1" applyBorder="1" applyAlignment="1">
      <alignment horizontal="left"/>
    </xf>
    <xf numFmtId="0" fontId="24" fillId="10" borderId="8" xfId="0" applyFont="1" applyFill="1" applyBorder="1" applyAlignment="1">
      <alignment horizontal="left"/>
    </xf>
    <xf numFmtId="0" fontId="24" fillId="11" borderId="8" xfId="0" applyFont="1" applyFill="1" applyBorder="1" applyAlignment="1">
      <alignment horizontal="left"/>
    </xf>
    <xf numFmtId="0" fontId="24" fillId="10" borderId="9" xfId="0" applyFont="1" applyFill="1" applyBorder="1" applyAlignment="1">
      <alignment horizontal="left"/>
    </xf>
    <xf numFmtId="0" fontId="24" fillId="10" borderId="10" xfId="0" applyFont="1" applyFill="1" applyBorder="1" applyAlignment="1">
      <alignment horizontal="left"/>
    </xf>
    <xf numFmtId="0" fontId="24" fillId="11" borderId="10" xfId="0" applyFont="1" applyFill="1" applyBorder="1" applyAlignment="1">
      <alignment horizontal="left"/>
    </xf>
    <xf numFmtId="0" fontId="24" fillId="11" borderId="11" xfId="0" applyFont="1" applyFill="1" applyBorder="1" applyAlignment="1">
      <alignment horizontal="left"/>
    </xf>
    <xf numFmtId="165" fontId="24" fillId="3" borderId="1" xfId="0" applyNumberFormat="1" applyFont="1" applyFill="1" applyBorder="1" applyAlignment="1">
      <alignment horizontal="left"/>
    </xf>
    <xf numFmtId="0" fontId="32" fillId="2" borderId="0" xfId="0" applyFont="1" applyFill="1" applyBorder="1"/>
    <xf numFmtId="0" fontId="24" fillId="2" borderId="0" xfId="0" applyFont="1" applyFill="1" applyBorder="1"/>
    <xf numFmtId="0" fontId="24" fillId="2" borderId="0" xfId="0" applyFont="1" applyFill="1" applyBorder="1" applyAlignment="1">
      <alignment horizontal="left"/>
    </xf>
    <xf numFmtId="0" fontId="24" fillId="3" borderId="0" xfId="0" applyFont="1" applyFill="1" applyBorder="1" applyAlignment="1">
      <alignment horizontal="left"/>
    </xf>
    <xf numFmtId="0" fontId="18" fillId="2" borderId="0" xfId="0" applyFont="1" applyFill="1" applyBorder="1" applyAlignment="1">
      <alignment vertical="center"/>
    </xf>
    <xf numFmtId="0" fontId="0" fillId="0" borderId="0" xfId="0"/>
    <xf numFmtId="0" fontId="0" fillId="7" borderId="0" xfId="0" applyFill="1"/>
    <xf numFmtId="0" fontId="29" fillId="2" borderId="12" xfId="0" applyFont="1" applyFill="1" applyBorder="1" applyAlignment="1"/>
    <xf numFmtId="0" fontId="18" fillId="8" borderId="23" xfId="0" applyFont="1" applyFill="1" applyBorder="1" applyAlignment="1">
      <alignment horizontal="center" vertical="center"/>
    </xf>
    <xf numFmtId="0" fontId="18" fillId="8" borderId="19" xfId="0" applyFont="1" applyFill="1" applyBorder="1" applyAlignment="1">
      <alignment horizontal="center" vertical="center"/>
    </xf>
    <xf numFmtId="0" fontId="18" fillId="8" borderId="16" xfId="0" applyFont="1" applyFill="1" applyBorder="1" applyAlignment="1">
      <alignment horizontal="center" vertical="center"/>
    </xf>
    <xf numFmtId="0" fontId="18" fillId="8" borderId="24" xfId="0" applyFont="1" applyFill="1" applyBorder="1" applyAlignment="1">
      <alignment horizontal="center" vertical="center"/>
    </xf>
    <xf numFmtId="0" fontId="34" fillId="2" borderId="17" xfId="0" applyFont="1" applyFill="1" applyBorder="1" applyAlignment="1">
      <alignment horizontal="center" vertical="center"/>
    </xf>
    <xf numFmtId="0" fontId="34" fillId="2" borderId="19" xfId="0" applyFont="1" applyFill="1" applyBorder="1" applyAlignment="1">
      <alignment horizontal="center" vertical="center"/>
    </xf>
    <xf numFmtId="0" fontId="34" fillId="2" borderId="24" xfId="0" applyFont="1" applyFill="1" applyBorder="1" applyAlignment="1">
      <alignment horizontal="center" vertical="center"/>
    </xf>
    <xf numFmtId="0" fontId="34" fillId="2" borderId="18" xfId="0" applyFont="1" applyFill="1" applyBorder="1" applyAlignment="1">
      <alignment horizontal="center" vertical="center"/>
    </xf>
    <xf numFmtId="0" fontId="34" fillId="2" borderId="12" xfId="0" applyFont="1" applyFill="1" applyBorder="1" applyAlignment="1">
      <alignment horizontal="center" vertical="center"/>
    </xf>
    <xf numFmtId="0" fontId="34" fillId="2" borderId="26" xfId="0" applyFont="1" applyFill="1" applyBorder="1" applyAlignment="1">
      <alignment horizontal="center" vertical="center"/>
    </xf>
    <xf numFmtId="0" fontId="34" fillId="2" borderId="28" xfId="0" applyFont="1" applyFill="1" applyBorder="1" applyAlignment="1">
      <alignment horizontal="center" vertical="center"/>
    </xf>
    <xf numFmtId="0" fontId="34" fillId="2" borderId="29" xfId="0" applyFont="1" applyFill="1" applyBorder="1" applyAlignment="1">
      <alignment horizontal="center" vertical="center"/>
    </xf>
    <xf numFmtId="0" fontId="34" fillId="2" borderId="30" xfId="0" applyFont="1" applyFill="1" applyBorder="1" applyAlignment="1">
      <alignment horizontal="center" vertical="center"/>
    </xf>
    <xf numFmtId="0" fontId="18" fillId="8" borderId="25" xfId="0" applyFont="1" applyFill="1" applyBorder="1" applyAlignment="1">
      <alignment horizontal="center" vertical="center"/>
    </xf>
    <xf numFmtId="0" fontId="18" fillId="8" borderId="27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5" fillId="10" borderId="7" xfId="0" applyFont="1" applyFill="1" applyBorder="1"/>
    <xf numFmtId="0" fontId="36" fillId="10" borderId="0" xfId="0" applyFont="1" applyFill="1" applyAlignment="1">
      <alignment horizontal="center" vertical="center"/>
    </xf>
    <xf numFmtId="0" fontId="36" fillId="10" borderId="7" xfId="0" applyFont="1" applyFill="1" applyBorder="1" applyAlignment="1">
      <alignment vertical="center"/>
    </xf>
    <xf numFmtId="0" fontId="6" fillId="11" borderId="0" xfId="0" applyFont="1" applyFill="1" applyAlignment="1">
      <alignment horizontal="left" vertical="center"/>
    </xf>
    <xf numFmtId="0" fontId="28" fillId="9" borderId="1" xfId="0" applyFont="1" applyFill="1" applyBorder="1" applyAlignment="1">
      <alignment horizontal="center" vertical="center"/>
    </xf>
    <xf numFmtId="0" fontId="0" fillId="0" borderId="0" xfId="0" applyAlignment="1"/>
    <xf numFmtId="0" fontId="0" fillId="2" borderId="0" xfId="0" applyFill="1" applyAlignment="1"/>
    <xf numFmtId="0" fontId="27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vertical="center"/>
    </xf>
    <xf numFmtId="0" fontId="2" fillId="11" borderId="8" xfId="0" applyFont="1" applyFill="1" applyBorder="1" applyAlignment="1"/>
    <xf numFmtId="0" fontId="27" fillId="11" borderId="0" xfId="0" applyFont="1" applyFill="1" applyAlignment="1">
      <alignment vertical="center"/>
    </xf>
    <xf numFmtId="0" fontId="3" fillId="11" borderId="0" xfId="0" applyFont="1" applyFill="1" applyAlignment="1">
      <alignment vertical="center"/>
    </xf>
    <xf numFmtId="0" fontId="2" fillId="11" borderId="0" xfId="0" applyFont="1" applyFill="1" applyAlignment="1"/>
    <xf numFmtId="0" fontId="2" fillId="11" borderId="10" xfId="0" applyFont="1" applyFill="1" applyBorder="1" applyAlignment="1"/>
    <xf numFmtId="0" fontId="2" fillId="11" borderId="11" xfId="0" applyFont="1" applyFill="1" applyBorder="1" applyAlignment="1"/>
    <xf numFmtId="0" fontId="2" fillId="11" borderId="9" xfId="0" applyFont="1" applyFill="1" applyBorder="1" applyAlignment="1">
      <alignment vertical="center"/>
    </xf>
    <xf numFmtId="0" fontId="2" fillId="11" borderId="10" xfId="0" applyFont="1" applyFill="1" applyBorder="1" applyAlignment="1">
      <alignment vertical="center"/>
    </xf>
    <xf numFmtId="0" fontId="0" fillId="2" borderId="0" xfId="0" applyFill="1" applyBorder="1" applyAlignment="1"/>
    <xf numFmtId="0" fontId="2" fillId="11" borderId="0" xfId="0" applyFont="1" applyFill="1" applyBorder="1" applyAlignment="1"/>
    <xf numFmtId="0" fontId="27" fillId="11" borderId="0" xfId="0" applyFont="1" applyFill="1" applyBorder="1" applyAlignment="1">
      <alignment horizontal="left" vertical="center"/>
    </xf>
    <xf numFmtId="0" fontId="27" fillId="11" borderId="0" xfId="0" applyFont="1" applyFill="1" applyBorder="1" applyAlignment="1">
      <alignment vertical="center"/>
    </xf>
    <xf numFmtId="0" fontId="30" fillId="3" borderId="0" xfId="0" applyFont="1" applyFill="1" applyBorder="1" applyAlignment="1">
      <alignment vertical="center"/>
    </xf>
    <xf numFmtId="0" fontId="21" fillId="3" borderId="0" xfId="0" applyFont="1" applyFill="1" applyBorder="1" applyAlignment="1">
      <alignment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/>
    <xf numFmtId="0" fontId="27" fillId="3" borderId="0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0" fontId="27" fillId="3" borderId="0" xfId="0" applyFont="1" applyFill="1" applyBorder="1" applyAlignment="1">
      <alignment vertical="center"/>
    </xf>
    <xf numFmtId="0" fontId="28" fillId="3" borderId="0" xfId="0" applyFont="1" applyFill="1" applyBorder="1" applyAlignment="1">
      <alignment vertical="center"/>
    </xf>
    <xf numFmtId="0" fontId="4" fillId="3" borderId="0" xfId="0" applyFont="1" applyFill="1" applyBorder="1" applyAlignment="1">
      <alignment horizontal="left" vertical="center"/>
    </xf>
    <xf numFmtId="0" fontId="38" fillId="11" borderId="0" xfId="0" applyFont="1" applyFill="1" applyBorder="1" applyAlignment="1">
      <alignment horizontal="left" vertical="center"/>
    </xf>
    <xf numFmtId="0" fontId="28" fillId="9" borderId="0" xfId="0" applyFont="1" applyFill="1" applyBorder="1" applyAlignment="1">
      <alignment horizontal="center" vertical="center"/>
    </xf>
    <xf numFmtId="0" fontId="0" fillId="16" borderId="0" xfId="0" applyFill="1" applyAlignment="1"/>
    <xf numFmtId="0" fontId="39" fillId="17" borderId="1" xfId="0" applyFont="1" applyFill="1" applyBorder="1" applyAlignment="1">
      <alignment horizontal="center" vertical="center"/>
    </xf>
    <xf numFmtId="0" fontId="34" fillId="13" borderId="1" xfId="0" applyFont="1" applyFill="1" applyBorder="1" applyAlignment="1">
      <alignment horizontal="left" vertical="center" wrapText="1"/>
    </xf>
    <xf numFmtId="3" fontId="34" fillId="13" borderId="1" xfId="0" applyNumberFormat="1" applyFont="1" applyFill="1" applyBorder="1" applyAlignment="1">
      <alignment horizontal="left" vertical="center" wrapText="1"/>
    </xf>
    <xf numFmtId="0" fontId="39" fillId="17" borderId="1" xfId="0" applyFont="1" applyFill="1" applyBorder="1" applyAlignment="1">
      <alignment horizontal="left" vertical="center"/>
    </xf>
    <xf numFmtId="0" fontId="39" fillId="17" borderId="1" xfId="0" applyFont="1" applyFill="1" applyBorder="1" applyAlignment="1">
      <alignment horizontal="right" vertical="center"/>
    </xf>
    <xf numFmtId="14" fontId="34" fillId="13" borderId="1" xfId="0" applyNumberFormat="1" applyFont="1" applyFill="1" applyBorder="1" applyAlignment="1">
      <alignment horizontal="left" vertical="center" wrapText="1"/>
    </xf>
    <xf numFmtId="20" fontId="34" fillId="13" borderId="1" xfId="0" applyNumberFormat="1" applyFont="1" applyFill="1" applyBorder="1" applyAlignment="1">
      <alignment horizontal="left" vertical="center" wrapText="1"/>
    </xf>
    <xf numFmtId="2" fontId="34" fillId="13" borderId="1" xfId="0" applyNumberFormat="1" applyFont="1" applyFill="1" applyBorder="1" applyAlignment="1">
      <alignment horizontal="left" vertical="center" wrapText="1"/>
    </xf>
    <xf numFmtId="8" fontId="34" fillId="13" borderId="1" xfId="0" applyNumberFormat="1" applyFont="1" applyFill="1" applyBorder="1" applyAlignment="1">
      <alignment horizontal="left" vertical="center" wrapText="1"/>
    </xf>
    <xf numFmtId="0" fontId="27" fillId="10" borderId="0" xfId="0" applyFont="1" applyFill="1" applyBorder="1" applyAlignment="1">
      <alignment vertical="center"/>
    </xf>
    <xf numFmtId="0" fontId="23" fillId="10" borderId="0" xfId="0" applyFont="1" applyFill="1" applyBorder="1"/>
    <xf numFmtId="0" fontId="2" fillId="9" borderId="1" xfId="0" applyFont="1" applyFill="1" applyBorder="1" applyAlignment="1"/>
    <xf numFmtId="0" fontId="0" fillId="8" borderId="1" xfId="0" applyFill="1" applyBorder="1"/>
    <xf numFmtId="0" fontId="27" fillId="13" borderId="0" xfId="0" applyFont="1" applyFill="1" applyBorder="1" applyAlignment="1"/>
    <xf numFmtId="0" fontId="28" fillId="3" borderId="1" xfId="0" applyFont="1" applyFill="1" applyBorder="1" applyAlignment="1">
      <alignment horizontal="center" vertical="center"/>
    </xf>
    <xf numFmtId="0" fontId="38" fillId="10" borderId="0" xfId="0" applyFont="1" applyFill="1" applyBorder="1" applyAlignment="1">
      <alignment horizontal="left" vertical="center"/>
    </xf>
    <xf numFmtId="0" fontId="34" fillId="10" borderId="0" xfId="0" applyFont="1" applyFill="1" applyBorder="1" applyAlignment="1">
      <alignment horizontal="left" vertical="center"/>
    </xf>
    <xf numFmtId="0" fontId="38" fillId="19" borderId="52" xfId="0" applyFont="1" applyFill="1" applyBorder="1" applyAlignment="1">
      <alignment horizontal="center"/>
    </xf>
    <xf numFmtId="0" fontId="38" fillId="10" borderId="0" xfId="0" applyFont="1" applyFill="1" applyBorder="1" applyAlignment="1">
      <alignment horizontal="center" vertical="center"/>
    </xf>
    <xf numFmtId="0" fontId="41" fillId="20" borderId="0" xfId="0" applyFont="1" applyFill="1" applyAlignment="1">
      <alignment vertical="center"/>
    </xf>
    <xf numFmtId="0" fontId="8" fillId="21" borderId="0" xfId="0" applyFont="1" applyFill="1"/>
    <xf numFmtId="0" fontId="12" fillId="20" borderId="0" xfId="0" applyFont="1" applyFill="1"/>
    <xf numFmtId="0" fontId="9" fillId="20" borderId="49" xfId="0" applyFont="1" applyFill="1" applyBorder="1"/>
    <xf numFmtId="0" fontId="9" fillId="20" borderId="50" xfId="0" applyFont="1" applyFill="1" applyBorder="1"/>
    <xf numFmtId="0" fontId="9" fillId="20" borderId="15" xfId="0" applyFont="1" applyFill="1" applyBorder="1"/>
    <xf numFmtId="0" fontId="9" fillId="20" borderId="51" xfId="0" applyFont="1" applyFill="1" applyBorder="1"/>
    <xf numFmtId="0" fontId="9" fillId="20" borderId="0" xfId="0" applyFont="1" applyFill="1"/>
    <xf numFmtId="0" fontId="12" fillId="20" borderId="0" xfId="0" applyFont="1" applyFill="1" applyAlignment="1">
      <alignment horizontal="left" vertical="center"/>
    </xf>
    <xf numFmtId="0" fontId="9" fillId="20" borderId="20" xfId="0" applyFont="1" applyFill="1" applyBorder="1"/>
    <xf numFmtId="0" fontId="34" fillId="20" borderId="0" xfId="0" applyFont="1" applyFill="1"/>
    <xf numFmtId="0" fontId="42" fillId="2" borderId="1" xfId="0" applyFont="1" applyFill="1" applyBorder="1"/>
    <xf numFmtId="0" fontId="9" fillId="20" borderId="53" xfId="0" applyFont="1" applyFill="1" applyBorder="1"/>
    <xf numFmtId="0" fontId="9" fillId="20" borderId="14" xfId="0" applyFont="1" applyFill="1" applyBorder="1"/>
    <xf numFmtId="0" fontId="9" fillId="20" borderId="3" xfId="0" applyFont="1" applyFill="1" applyBorder="1"/>
    <xf numFmtId="0" fontId="9" fillId="21" borderId="49" xfId="0" applyFont="1" applyFill="1" applyBorder="1"/>
    <xf numFmtId="0" fontId="9" fillId="21" borderId="50" xfId="0" applyFont="1" applyFill="1" applyBorder="1"/>
    <xf numFmtId="0" fontId="9" fillId="21" borderId="15" xfId="0" applyFont="1" applyFill="1" applyBorder="1"/>
    <xf numFmtId="0" fontId="9" fillId="21" borderId="51" xfId="0" applyFont="1" applyFill="1" applyBorder="1"/>
    <xf numFmtId="0" fontId="9" fillId="21" borderId="0" xfId="0" applyFont="1" applyFill="1"/>
    <xf numFmtId="0" fontId="9" fillId="21" borderId="20" xfId="0" applyFont="1" applyFill="1" applyBorder="1"/>
    <xf numFmtId="0" fontId="9" fillId="2" borderId="1" xfId="0" applyFont="1" applyFill="1" applyBorder="1"/>
    <xf numFmtId="0" fontId="9" fillId="21" borderId="14" xfId="0" applyFont="1" applyFill="1" applyBorder="1"/>
    <xf numFmtId="0" fontId="9" fillId="21" borderId="3" xfId="0" applyFont="1" applyFill="1" applyBorder="1"/>
    <xf numFmtId="0" fontId="9" fillId="22" borderId="13" xfId="0" applyFont="1" applyFill="1" applyBorder="1"/>
    <xf numFmtId="0" fontId="9" fillId="22" borderId="54" xfId="0" applyFont="1" applyFill="1" applyBorder="1"/>
    <xf numFmtId="0" fontId="9" fillId="22" borderId="56" xfId="0" applyFont="1" applyFill="1" applyBorder="1"/>
    <xf numFmtId="0" fontId="9" fillId="22" borderId="51" xfId="0" applyFont="1" applyFill="1" applyBorder="1"/>
    <xf numFmtId="0" fontId="9" fillId="22" borderId="55" xfId="0" applyFont="1" applyFill="1" applyBorder="1"/>
    <xf numFmtId="0" fontId="9" fillId="22" borderId="0" xfId="0" applyFont="1" applyFill="1"/>
    <xf numFmtId="0" fontId="9" fillId="22" borderId="20" xfId="0" applyFont="1" applyFill="1" applyBorder="1"/>
    <xf numFmtId="0" fontId="9" fillId="22" borderId="53" xfId="0" applyFont="1" applyFill="1" applyBorder="1"/>
    <xf numFmtId="0" fontId="9" fillId="22" borderId="14" xfId="0" applyFont="1" applyFill="1" applyBorder="1"/>
    <xf numFmtId="0" fontId="9" fillId="22" borderId="3" xfId="0" applyFont="1" applyFill="1" applyBorder="1"/>
    <xf numFmtId="0" fontId="9" fillId="21" borderId="55" xfId="0" applyFont="1" applyFill="1" applyBorder="1"/>
    <xf numFmtId="0" fontId="9" fillId="21" borderId="54" xfId="0" applyFont="1" applyFill="1" applyBorder="1"/>
    <xf numFmtId="0" fontId="9" fillId="21" borderId="56" xfId="0" applyFont="1" applyFill="1" applyBorder="1"/>
    <xf numFmtId="0" fontId="9" fillId="21" borderId="53" xfId="0" applyFont="1" applyFill="1" applyBorder="1"/>
    <xf numFmtId="0" fontId="9" fillId="22" borderId="49" xfId="0" applyFont="1" applyFill="1" applyBorder="1"/>
    <xf numFmtId="0" fontId="9" fillId="22" borderId="50" xfId="0" applyFont="1" applyFill="1" applyBorder="1"/>
    <xf numFmtId="0" fontId="9" fillId="22" borderId="15" xfId="0" applyFont="1" applyFill="1" applyBorder="1"/>
    <xf numFmtId="0" fontId="12" fillId="21" borderId="0" xfId="0" applyFont="1" applyFill="1"/>
    <xf numFmtId="0" fontId="40" fillId="22" borderId="54" xfId="0" applyFont="1" applyFill="1" applyBorder="1"/>
    <xf numFmtId="0" fontId="31" fillId="22" borderId="55" xfId="0" applyFont="1" applyFill="1" applyBorder="1"/>
    <xf numFmtId="0" fontId="31" fillId="22" borderId="51" xfId="0" applyFont="1" applyFill="1" applyBorder="1"/>
    <xf numFmtId="0" fontId="40" fillId="22" borderId="55" xfId="0" applyFont="1" applyFill="1" applyBorder="1"/>
    <xf numFmtId="0" fontId="40" fillId="22" borderId="51" xfId="0" applyFont="1" applyFill="1" applyBorder="1"/>
    <xf numFmtId="0" fontId="38" fillId="22" borderId="0" xfId="0" applyFont="1" applyFill="1"/>
    <xf numFmtId="0" fontId="37" fillId="22" borderId="0" xfId="0" applyFont="1" applyFill="1"/>
    <xf numFmtId="0" fontId="40" fillId="22" borderId="0" xfId="0" applyFont="1" applyFill="1"/>
    <xf numFmtId="0" fontId="38" fillId="21" borderId="1" xfId="0" applyFont="1" applyFill="1" applyBorder="1"/>
    <xf numFmtId="0" fontId="34" fillId="22" borderId="0" xfId="0" applyFont="1" applyFill="1"/>
    <xf numFmtId="0" fontId="34" fillId="10" borderId="36" xfId="0" applyFont="1" applyFill="1" applyBorder="1" applyAlignment="1">
      <alignment horizontal="left" vertical="center"/>
    </xf>
    <xf numFmtId="0" fontId="34" fillId="10" borderId="38" xfId="0" applyFont="1" applyFill="1" applyBorder="1" applyAlignment="1">
      <alignment horizontal="left" vertical="center"/>
    </xf>
    <xf numFmtId="0" fontId="39" fillId="17" borderId="34" xfId="0" applyFont="1" applyFill="1" applyBorder="1" applyAlignment="1">
      <alignment horizontal="center"/>
    </xf>
    <xf numFmtId="0" fontId="39" fillId="17" borderId="35" xfId="0" applyFont="1" applyFill="1" applyBorder="1" applyAlignment="1">
      <alignment horizontal="center"/>
    </xf>
    <xf numFmtId="44" fontId="34" fillId="10" borderId="37" xfId="0" applyNumberFormat="1" applyFont="1" applyFill="1" applyBorder="1" applyAlignment="1">
      <alignment horizontal="left" vertical="center"/>
    </xf>
    <xf numFmtId="44" fontId="34" fillId="10" borderId="40" xfId="0" applyNumberFormat="1" applyFont="1" applyFill="1" applyBorder="1" applyAlignment="1">
      <alignment horizontal="left" vertical="center"/>
    </xf>
    <xf numFmtId="0" fontId="38" fillId="19" borderId="1" xfId="0" applyFont="1" applyFill="1" applyBorder="1" applyAlignment="1">
      <alignment horizontal="center" vertical="center"/>
    </xf>
    <xf numFmtId="0" fontId="38" fillId="19" borderId="37" xfId="0" applyFont="1" applyFill="1" applyBorder="1" applyAlignment="1">
      <alignment vertical="center"/>
    </xf>
    <xf numFmtId="44" fontId="34" fillId="10" borderId="1" xfId="0" applyNumberFormat="1" applyFont="1" applyFill="1" applyBorder="1" applyAlignment="1">
      <alignment horizontal="left"/>
    </xf>
    <xf numFmtId="0" fontId="34" fillId="10" borderId="36" xfId="0" applyFont="1" applyFill="1" applyBorder="1" applyAlignment="1">
      <alignment horizontal="left"/>
    </xf>
    <xf numFmtId="9" fontId="34" fillId="10" borderId="1" xfId="0" applyNumberFormat="1" applyFont="1" applyFill="1" applyBorder="1" applyAlignment="1">
      <alignment horizontal="left" vertical="center"/>
    </xf>
    <xf numFmtId="164" fontId="34" fillId="10" borderId="37" xfId="0" applyNumberFormat="1" applyFont="1" applyFill="1" applyBorder="1" applyAlignment="1">
      <alignment horizontal="left" vertical="center"/>
    </xf>
    <xf numFmtId="44" fontId="34" fillId="10" borderId="36" xfId="0" applyNumberFormat="1" applyFont="1" applyFill="1" applyBorder="1" applyAlignment="1">
      <alignment horizontal="left"/>
    </xf>
    <xf numFmtId="10" fontId="34" fillId="10" borderId="1" xfId="0" applyNumberFormat="1" applyFont="1" applyFill="1" applyBorder="1" applyAlignment="1">
      <alignment horizontal="left" vertical="center"/>
    </xf>
    <xf numFmtId="0" fontId="34" fillId="10" borderId="38" xfId="0" applyFont="1" applyFill="1" applyBorder="1" applyAlignment="1">
      <alignment horizontal="left"/>
    </xf>
    <xf numFmtId="44" fontId="34" fillId="10" borderId="39" xfId="0" applyNumberFormat="1" applyFont="1" applyFill="1" applyBorder="1" applyAlignment="1">
      <alignment horizontal="left"/>
    </xf>
    <xf numFmtId="10" fontId="34" fillId="10" borderId="39" xfId="0" applyNumberFormat="1" applyFont="1" applyFill="1" applyBorder="1" applyAlignment="1">
      <alignment horizontal="left" vertical="center"/>
    </xf>
    <xf numFmtId="164" fontId="34" fillId="10" borderId="40" xfId="0" applyNumberFormat="1" applyFont="1" applyFill="1" applyBorder="1" applyAlignment="1">
      <alignment horizontal="left" vertical="center"/>
    </xf>
    <xf numFmtId="0" fontId="34" fillId="10" borderId="1" xfId="0" applyFont="1" applyFill="1" applyBorder="1" applyAlignment="1">
      <alignment horizontal="left" vertical="center"/>
    </xf>
    <xf numFmtId="9" fontId="34" fillId="10" borderId="37" xfId="0" applyNumberFormat="1" applyFont="1" applyFill="1" applyBorder="1" applyAlignment="1">
      <alignment horizontal="left" vertical="center"/>
    </xf>
    <xf numFmtId="0" fontId="34" fillId="10" borderId="37" xfId="0" applyFont="1" applyFill="1" applyBorder="1" applyAlignment="1">
      <alignment horizontal="left" vertical="center"/>
    </xf>
    <xf numFmtId="0" fontId="34" fillId="10" borderId="39" xfId="0" applyFont="1" applyFill="1" applyBorder="1" applyAlignment="1">
      <alignment horizontal="left" vertical="center"/>
    </xf>
    <xf numFmtId="10" fontId="34" fillId="10" borderId="40" xfId="0" applyNumberFormat="1" applyFont="1" applyFill="1" applyBorder="1" applyAlignment="1">
      <alignment horizontal="left" vertical="center"/>
    </xf>
    <xf numFmtId="0" fontId="43" fillId="17" borderId="60" xfId="0" applyFont="1" applyFill="1" applyBorder="1"/>
    <xf numFmtId="9" fontId="34" fillId="10" borderId="61" xfId="0" applyNumberFormat="1" applyFont="1" applyFill="1" applyBorder="1" applyAlignment="1">
      <alignment horizontal="left"/>
    </xf>
    <xf numFmtId="0" fontId="12" fillId="2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7" fillId="17" borderId="0" xfId="0" applyFont="1" applyFill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7" borderId="0" xfId="0" applyFill="1" applyAlignment="1">
      <alignment horizontal="center"/>
    </xf>
    <xf numFmtId="0" fontId="8" fillId="17" borderId="0" xfId="0" applyFont="1" applyFill="1" applyAlignment="1">
      <alignment horizontal="center" vertical="center"/>
    </xf>
    <xf numFmtId="0" fontId="37" fillId="10" borderId="7" xfId="0" applyFont="1" applyFill="1" applyBorder="1" applyAlignment="1">
      <alignment horizontal="center" vertical="center"/>
    </xf>
    <xf numFmtId="0" fontId="37" fillId="10" borderId="20" xfId="0" applyFont="1" applyFill="1" applyBorder="1" applyAlignment="1">
      <alignment horizontal="center" vertical="center"/>
    </xf>
    <xf numFmtId="0" fontId="27" fillId="9" borderId="31" xfId="0" applyFont="1" applyFill="1" applyBorder="1" applyAlignment="1">
      <alignment horizontal="center" vertical="center"/>
    </xf>
    <xf numFmtId="0" fontId="27" fillId="9" borderId="15" xfId="0" applyFont="1" applyFill="1" applyBorder="1" applyAlignment="1">
      <alignment horizontal="center" vertical="center"/>
    </xf>
    <xf numFmtId="0" fontId="27" fillId="9" borderId="21" xfId="0" applyFont="1" applyFill="1" applyBorder="1" applyAlignment="1">
      <alignment horizontal="center" vertical="center"/>
    </xf>
    <xf numFmtId="0" fontId="27" fillId="9" borderId="3" xfId="0" applyFont="1" applyFill="1" applyBorder="1" applyAlignment="1">
      <alignment horizontal="center" vertical="center"/>
    </xf>
    <xf numFmtId="0" fontId="36" fillId="3" borderId="13" xfId="0" applyFont="1" applyFill="1" applyBorder="1" applyAlignment="1">
      <alignment horizontal="center" vertical="center"/>
    </xf>
    <xf numFmtId="0" fontId="36" fillId="3" borderId="2" xfId="0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30" fillId="5" borderId="4" xfId="0" applyFont="1" applyFill="1" applyBorder="1" applyAlignment="1">
      <alignment horizontal="center" vertical="center"/>
    </xf>
    <xf numFmtId="0" fontId="30" fillId="5" borderId="5" xfId="0" applyFont="1" applyFill="1" applyBorder="1" applyAlignment="1">
      <alignment horizontal="center" vertical="center"/>
    </xf>
    <xf numFmtId="0" fontId="30" fillId="5" borderId="6" xfId="0" applyFont="1" applyFill="1" applyBorder="1" applyAlignment="1">
      <alignment horizontal="center" vertical="center"/>
    </xf>
    <xf numFmtId="0" fontId="30" fillId="5" borderId="21" xfId="0" applyFont="1" applyFill="1" applyBorder="1" applyAlignment="1">
      <alignment horizontal="center" vertical="center"/>
    </xf>
    <xf numFmtId="0" fontId="30" fillId="5" borderId="14" xfId="0" applyFont="1" applyFill="1" applyBorder="1" applyAlignment="1">
      <alignment horizontal="center" vertical="center"/>
    </xf>
    <xf numFmtId="0" fontId="30" fillId="5" borderId="22" xfId="0" applyFont="1" applyFill="1" applyBorder="1" applyAlignment="1">
      <alignment horizontal="center" vertical="center"/>
    </xf>
    <xf numFmtId="0" fontId="30" fillId="4" borderId="4" xfId="0" applyFont="1" applyFill="1" applyBorder="1" applyAlignment="1">
      <alignment horizontal="center" vertical="center"/>
    </xf>
    <xf numFmtId="0" fontId="30" fillId="4" borderId="5" xfId="0" applyFont="1" applyFill="1" applyBorder="1" applyAlignment="1">
      <alignment horizontal="center" vertical="center"/>
    </xf>
    <xf numFmtId="0" fontId="30" fillId="4" borderId="6" xfId="0" applyFont="1" applyFill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/>
    </xf>
    <xf numFmtId="0" fontId="30" fillId="4" borderId="14" xfId="0" applyFont="1" applyFill="1" applyBorder="1" applyAlignment="1">
      <alignment horizontal="center" vertical="center"/>
    </xf>
    <xf numFmtId="0" fontId="30" fillId="4" borderId="22" xfId="0" applyFont="1" applyFill="1" applyBorder="1" applyAlignment="1">
      <alignment horizontal="center" vertical="center"/>
    </xf>
    <xf numFmtId="0" fontId="21" fillId="12" borderId="4" xfId="0" applyFont="1" applyFill="1" applyBorder="1" applyAlignment="1">
      <alignment horizontal="center" vertical="center"/>
    </xf>
    <xf numFmtId="0" fontId="21" fillId="12" borderId="5" xfId="0" applyFont="1" applyFill="1" applyBorder="1" applyAlignment="1">
      <alignment horizontal="center" vertical="center"/>
    </xf>
    <xf numFmtId="0" fontId="21" fillId="12" borderId="6" xfId="0" applyFont="1" applyFill="1" applyBorder="1" applyAlignment="1">
      <alignment horizontal="center" vertical="center"/>
    </xf>
    <xf numFmtId="0" fontId="21" fillId="12" borderId="7" xfId="0" applyFont="1" applyFill="1" applyBorder="1" applyAlignment="1">
      <alignment horizontal="center" vertical="center"/>
    </xf>
    <xf numFmtId="0" fontId="21" fillId="12" borderId="0" xfId="0" applyFont="1" applyFill="1" applyBorder="1" applyAlignment="1">
      <alignment horizontal="center" vertical="center"/>
    </xf>
    <xf numFmtId="0" fontId="21" fillId="12" borderId="8" xfId="0" applyFont="1" applyFill="1" applyBorder="1" applyAlignment="1">
      <alignment horizontal="center" vertical="center"/>
    </xf>
    <xf numFmtId="0" fontId="21" fillId="12" borderId="9" xfId="0" applyFont="1" applyFill="1" applyBorder="1" applyAlignment="1">
      <alignment horizontal="center" vertical="center"/>
    </xf>
    <xf numFmtId="0" fontId="21" fillId="12" borderId="10" xfId="0" applyFont="1" applyFill="1" applyBorder="1" applyAlignment="1">
      <alignment horizontal="center" vertical="center"/>
    </xf>
    <xf numFmtId="0" fontId="21" fillId="12" borderId="11" xfId="0" applyFont="1" applyFill="1" applyBorder="1" applyAlignment="1">
      <alignment horizontal="center" vertical="center"/>
    </xf>
    <xf numFmtId="0" fontId="21" fillId="6" borderId="4" xfId="0" applyFont="1" applyFill="1" applyBorder="1" applyAlignment="1">
      <alignment horizontal="center" vertical="center"/>
    </xf>
    <xf numFmtId="0" fontId="21" fillId="6" borderId="5" xfId="0" applyFont="1" applyFill="1" applyBorder="1" applyAlignment="1">
      <alignment horizontal="center" vertical="center"/>
    </xf>
    <xf numFmtId="0" fontId="21" fillId="6" borderId="6" xfId="0" applyFont="1" applyFill="1" applyBorder="1" applyAlignment="1">
      <alignment horizontal="center" vertical="center"/>
    </xf>
    <xf numFmtId="0" fontId="21" fillId="6" borderId="21" xfId="0" applyFont="1" applyFill="1" applyBorder="1" applyAlignment="1">
      <alignment horizontal="center" vertical="center"/>
    </xf>
    <xf numFmtId="0" fontId="21" fillId="6" borderId="14" xfId="0" applyFont="1" applyFill="1" applyBorder="1" applyAlignment="1">
      <alignment horizontal="center" vertical="center"/>
    </xf>
    <xf numFmtId="0" fontId="21" fillId="6" borderId="22" xfId="0" applyFont="1" applyFill="1" applyBorder="1" applyAlignment="1">
      <alignment horizontal="center" vertical="center"/>
    </xf>
    <xf numFmtId="0" fontId="18" fillId="8" borderId="31" xfId="0" applyFont="1" applyFill="1" applyBorder="1" applyAlignment="1">
      <alignment horizontal="center" vertical="center"/>
    </xf>
    <xf numFmtId="0" fontId="18" fillId="8" borderId="50" xfId="0" applyFont="1" applyFill="1" applyBorder="1" applyAlignment="1">
      <alignment horizontal="center" vertical="center"/>
    </xf>
    <xf numFmtId="0" fontId="18" fillId="8" borderId="63" xfId="0" applyFont="1" applyFill="1" applyBorder="1" applyAlignment="1">
      <alignment horizontal="center" vertical="center"/>
    </xf>
    <xf numFmtId="0" fontId="18" fillId="8" borderId="9" xfId="0" applyFont="1" applyFill="1" applyBorder="1" applyAlignment="1">
      <alignment horizontal="center" vertical="center"/>
    </xf>
    <xf numFmtId="0" fontId="18" fillId="8" borderId="10" xfId="0" applyFont="1" applyFill="1" applyBorder="1" applyAlignment="1">
      <alignment horizontal="center" vertical="center"/>
    </xf>
    <xf numFmtId="0" fontId="18" fillId="8" borderId="11" xfId="0" applyFont="1" applyFill="1" applyBorder="1" applyAlignment="1">
      <alignment horizontal="center" vertical="center"/>
    </xf>
    <xf numFmtId="0" fontId="30" fillId="3" borderId="0" xfId="0" applyFont="1" applyFill="1" applyBorder="1" applyAlignment="1">
      <alignment horizontal="center" vertical="center"/>
    </xf>
    <xf numFmtId="0" fontId="30" fillId="17" borderId="41" xfId="0" applyFont="1" applyFill="1" applyBorder="1" applyAlignment="1">
      <alignment horizontal="center" vertical="center"/>
    </xf>
    <xf numFmtId="0" fontId="30" fillId="17" borderId="42" xfId="0" applyFont="1" applyFill="1" applyBorder="1" applyAlignment="1">
      <alignment horizontal="center" vertical="center"/>
    </xf>
    <xf numFmtId="0" fontId="30" fillId="17" borderId="43" xfId="0" applyFont="1" applyFill="1" applyBorder="1" applyAlignment="1">
      <alignment horizontal="center" vertical="center"/>
    </xf>
    <xf numFmtId="0" fontId="30" fillId="17" borderId="44" xfId="0" applyFont="1" applyFill="1" applyBorder="1" applyAlignment="1">
      <alignment horizontal="center" vertical="center"/>
    </xf>
    <xf numFmtId="0" fontId="30" fillId="17" borderId="0" xfId="0" applyFont="1" applyFill="1" applyBorder="1" applyAlignment="1">
      <alignment horizontal="center" vertical="center"/>
    </xf>
    <xf numFmtId="0" fontId="30" fillId="17" borderId="45" xfId="0" applyFont="1" applyFill="1" applyBorder="1" applyAlignment="1">
      <alignment horizontal="center" vertical="center"/>
    </xf>
    <xf numFmtId="0" fontId="21" fillId="17" borderId="4" xfId="0" applyFont="1" applyFill="1" applyBorder="1" applyAlignment="1">
      <alignment horizontal="center" vertical="center"/>
    </xf>
    <xf numFmtId="0" fontId="21" fillId="17" borderId="5" xfId="0" applyFont="1" applyFill="1" applyBorder="1" applyAlignment="1">
      <alignment horizontal="center" vertical="center"/>
    </xf>
    <xf numFmtId="0" fontId="21" fillId="17" borderId="6" xfId="0" applyFont="1" applyFill="1" applyBorder="1" applyAlignment="1">
      <alignment horizontal="center" vertical="center"/>
    </xf>
    <xf numFmtId="0" fontId="21" fillId="17" borderId="9" xfId="0" applyFont="1" applyFill="1" applyBorder="1" applyAlignment="1">
      <alignment horizontal="center" vertical="center"/>
    </xf>
    <xf numFmtId="0" fontId="21" fillId="17" borderId="10" xfId="0" applyFont="1" applyFill="1" applyBorder="1" applyAlignment="1">
      <alignment horizontal="center" vertical="center"/>
    </xf>
    <xf numFmtId="0" fontId="21" fillId="17" borderId="11" xfId="0" applyFont="1" applyFill="1" applyBorder="1" applyAlignment="1">
      <alignment horizontal="center" vertical="center"/>
    </xf>
    <xf numFmtId="0" fontId="21" fillId="17" borderId="7" xfId="0" applyFont="1" applyFill="1" applyBorder="1" applyAlignment="1">
      <alignment horizontal="center" vertical="center"/>
    </xf>
    <xf numFmtId="0" fontId="21" fillId="17" borderId="0" xfId="0" applyFont="1" applyFill="1" applyBorder="1" applyAlignment="1">
      <alignment horizontal="center" vertical="center"/>
    </xf>
    <xf numFmtId="0" fontId="21" fillId="17" borderId="8" xfId="0" applyFont="1" applyFill="1" applyBorder="1" applyAlignment="1">
      <alignment horizontal="center" vertical="center"/>
    </xf>
    <xf numFmtId="0" fontId="39" fillId="17" borderId="57" xfId="0" applyFont="1" applyFill="1" applyBorder="1" applyAlignment="1">
      <alignment horizontal="center" vertical="center"/>
    </xf>
    <xf numFmtId="0" fontId="39" fillId="17" borderId="58" xfId="0" applyFont="1" applyFill="1" applyBorder="1" applyAlignment="1">
      <alignment horizontal="center" vertical="center"/>
    </xf>
    <xf numFmtId="0" fontId="39" fillId="17" borderId="59" xfId="0" applyFont="1" applyFill="1" applyBorder="1" applyAlignment="1">
      <alignment horizontal="center" vertical="center"/>
    </xf>
    <xf numFmtId="0" fontId="38" fillId="19" borderId="36" xfId="0" applyFont="1" applyFill="1" applyBorder="1" applyAlignment="1">
      <alignment horizontal="center" vertical="center"/>
    </xf>
    <xf numFmtId="0" fontId="38" fillId="19" borderId="1" xfId="0" applyFont="1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6" fillId="11" borderId="0" xfId="0" applyFont="1" applyFill="1" applyBorder="1" applyAlignment="1">
      <alignment vertical="center"/>
    </xf>
    <xf numFmtId="0" fontId="9" fillId="13" borderId="0" xfId="0" applyFont="1" applyFill="1" applyBorder="1"/>
    <xf numFmtId="0" fontId="9" fillId="13" borderId="10" xfId="0" applyFont="1" applyFill="1" applyBorder="1"/>
    <xf numFmtId="0" fontId="21" fillId="17" borderId="1" xfId="0" applyFont="1" applyFill="1" applyBorder="1"/>
    <xf numFmtId="0" fontId="34" fillId="10" borderId="62" xfId="0" applyFont="1" applyFill="1" applyBorder="1" applyAlignment="1">
      <alignment horizontal="left"/>
    </xf>
    <xf numFmtId="0" fontId="34" fillId="10" borderId="1" xfId="0" applyFont="1" applyFill="1" applyBorder="1" applyAlignment="1">
      <alignment horizontal="left"/>
    </xf>
    <xf numFmtId="0" fontId="6" fillId="11" borderId="1" xfId="0" applyFont="1" applyFill="1" applyBorder="1" applyAlignment="1">
      <alignment horizontal="left"/>
    </xf>
    <xf numFmtId="0" fontId="6" fillId="11" borderId="0" xfId="0" applyFont="1" applyFill="1"/>
    <xf numFmtId="0" fontId="0" fillId="2" borderId="0" xfId="0" applyFill="1" applyAlignment="1">
      <alignment horizontal="left" vertical="center"/>
    </xf>
    <xf numFmtId="0" fontId="7" fillId="2" borderId="0" xfId="0" applyFont="1" applyFill="1" applyAlignment="1">
      <alignment horizontal="center" vertical="center"/>
    </xf>
    <xf numFmtId="0" fontId="7" fillId="7" borderId="64" xfId="0" applyFont="1" applyFill="1" applyBorder="1" applyAlignment="1">
      <alignment horizontal="center" vertical="center"/>
    </xf>
    <xf numFmtId="0" fontId="7" fillId="7" borderId="65" xfId="0" applyFont="1" applyFill="1" applyBorder="1" applyAlignment="1">
      <alignment horizontal="center" vertical="center"/>
    </xf>
    <xf numFmtId="0" fontId="7" fillId="7" borderId="66" xfId="0" applyFont="1" applyFill="1" applyBorder="1" applyAlignment="1">
      <alignment horizontal="center" vertical="center"/>
    </xf>
    <xf numFmtId="0" fontId="22" fillId="2" borderId="0" xfId="0" applyFont="1" applyFill="1" applyAlignment="1">
      <alignment horizontal="center" vertical="center"/>
    </xf>
    <xf numFmtId="0" fontId="26" fillId="23" borderId="57" xfId="0" applyFont="1" applyFill="1" applyBorder="1" applyAlignment="1">
      <alignment horizontal="center"/>
    </xf>
    <xf numFmtId="0" fontId="26" fillId="23" borderId="58" xfId="0" applyFont="1" applyFill="1" applyBorder="1" applyAlignment="1">
      <alignment horizontal="center"/>
    </xf>
    <xf numFmtId="0" fontId="26" fillId="23" borderId="59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0" fontId="26" fillId="12" borderId="34" xfId="0" applyFont="1" applyFill="1" applyBorder="1" applyAlignment="1">
      <alignment horizontal="center" vertical="center"/>
    </xf>
    <xf numFmtId="0" fontId="26" fillId="12" borderId="67" xfId="0" applyFont="1" applyFill="1" applyBorder="1" applyAlignment="1">
      <alignment horizontal="center" vertical="center"/>
    </xf>
    <xf numFmtId="0" fontId="26" fillId="12" borderId="59" xfId="0" applyFont="1" applyFill="1" applyBorder="1" applyAlignment="1">
      <alignment horizontal="center" vertical="center"/>
    </xf>
    <xf numFmtId="0" fontId="26" fillId="17" borderId="36" xfId="0" applyFont="1" applyFill="1" applyBorder="1" applyAlignment="1">
      <alignment horizontal="center"/>
    </xf>
    <xf numFmtId="0" fontId="26" fillId="17" borderId="1" xfId="0" applyFont="1" applyFill="1" applyBorder="1" applyAlignment="1">
      <alignment horizontal="center"/>
    </xf>
    <xf numFmtId="0" fontId="26" fillId="17" borderId="37" xfId="0" applyFont="1" applyFill="1" applyBorder="1" applyAlignment="1">
      <alignment horizontal="center"/>
    </xf>
    <xf numFmtId="0" fontId="9" fillId="2" borderId="0" xfId="0" applyFont="1" applyFill="1" applyAlignment="1">
      <alignment horizontal="left"/>
    </xf>
    <xf numFmtId="0" fontId="15" fillId="3" borderId="68" xfId="0" applyFont="1" applyFill="1" applyBorder="1"/>
    <xf numFmtId="0" fontId="15" fillId="3" borderId="3" xfId="0" applyFont="1" applyFill="1" applyBorder="1"/>
    <xf numFmtId="0" fontId="9" fillId="2" borderId="1" xfId="0" applyFont="1" applyFill="1" applyBorder="1" applyAlignment="1">
      <alignment horizontal="left" vertical="center"/>
    </xf>
    <xf numFmtId="0" fontId="9" fillId="2" borderId="37" xfId="0" applyFont="1" applyFill="1" applyBorder="1" applyAlignment="1">
      <alignment horizontal="left" vertical="center"/>
    </xf>
    <xf numFmtId="0" fontId="0" fillId="0" borderId="36" xfId="0" applyBorder="1"/>
    <xf numFmtId="0" fontId="0" fillId="0" borderId="1" xfId="0" applyBorder="1"/>
    <xf numFmtId="0" fontId="0" fillId="0" borderId="37" xfId="0" applyBorder="1"/>
    <xf numFmtId="0" fontId="9" fillId="2" borderId="37" xfId="0" applyFont="1" applyFill="1" applyBorder="1" applyAlignment="1">
      <alignment horizontal="left"/>
    </xf>
    <xf numFmtId="0" fontId="1" fillId="2" borderId="37" xfId="2" applyFill="1" applyBorder="1" applyAlignment="1">
      <alignment horizontal="left" vertical="center"/>
    </xf>
    <xf numFmtId="0" fontId="1" fillId="2" borderId="37" xfId="2" applyFill="1" applyBorder="1" applyAlignment="1">
      <alignment horizontal="left"/>
    </xf>
    <xf numFmtId="0" fontId="9" fillId="2" borderId="37" xfId="0" applyFont="1" applyFill="1" applyBorder="1"/>
    <xf numFmtId="0" fontId="8" fillId="2" borderId="0" xfId="0" applyFont="1" applyFill="1" applyAlignment="1">
      <alignment horizontal="center" vertical="center"/>
    </xf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15" fillId="3" borderId="69" xfId="0" applyFont="1" applyFill="1" applyBorder="1"/>
    <xf numFmtId="0" fontId="15" fillId="3" borderId="70" xfId="0" applyFont="1" applyFill="1" applyBorder="1"/>
    <xf numFmtId="0" fontId="9" fillId="2" borderId="39" xfId="0" applyFont="1" applyFill="1" applyBorder="1" applyAlignment="1">
      <alignment horizontal="left" vertical="center"/>
    </xf>
    <xf numFmtId="0" fontId="9" fillId="2" borderId="40" xfId="0" applyFont="1" applyFill="1" applyBorder="1" applyAlignment="1">
      <alignment horizontal="left" vertical="center"/>
    </xf>
    <xf numFmtId="0" fontId="44" fillId="7" borderId="64" xfId="0" applyFont="1" applyFill="1" applyBorder="1" applyAlignment="1">
      <alignment horizontal="center"/>
    </xf>
    <xf numFmtId="0" fontId="44" fillId="7" borderId="65" xfId="0" applyFont="1" applyFill="1" applyBorder="1" applyAlignment="1">
      <alignment horizontal="center"/>
    </xf>
    <xf numFmtId="0" fontId="44" fillId="7" borderId="66" xfId="0" applyFont="1" applyFill="1" applyBorder="1" applyAlignment="1">
      <alignment horizontal="center"/>
    </xf>
    <xf numFmtId="0" fontId="26" fillId="17" borderId="68" xfId="0" applyFont="1" applyFill="1" applyBorder="1" applyAlignment="1">
      <alignment horizontal="center"/>
    </xf>
    <xf numFmtId="0" fontId="26" fillId="17" borderId="2" xfId="0" applyFont="1" applyFill="1" applyBorder="1" applyAlignment="1">
      <alignment horizontal="center"/>
    </xf>
    <xf numFmtId="0" fontId="26" fillId="17" borderId="2" xfId="0" applyFont="1" applyFill="1" applyBorder="1" applyAlignment="1">
      <alignment horizontal="center" vertical="center"/>
    </xf>
    <xf numFmtId="0" fontId="26" fillId="17" borderId="33" xfId="0" applyFont="1" applyFill="1" applyBorder="1" applyAlignment="1">
      <alignment horizontal="center" vertical="center"/>
    </xf>
    <xf numFmtId="0" fontId="0" fillId="0" borderId="36" xfId="0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1" fillId="0" borderId="1" xfId="2" applyBorder="1"/>
    <xf numFmtId="44" fontId="0" fillId="0" borderId="1" xfId="5" applyFont="1" applyBorder="1"/>
    <xf numFmtId="44" fontId="0" fillId="0" borderId="37" xfId="5" applyFont="1" applyBorder="1"/>
    <xf numFmtId="0" fontId="7" fillId="7" borderId="14" xfId="0" applyFont="1" applyFill="1" applyBorder="1" applyAlignment="1">
      <alignment horizontal="center" vertical="center"/>
    </xf>
    <xf numFmtId="0" fontId="7" fillId="2" borderId="0" xfId="0" applyFont="1" applyFill="1" applyAlignment="1">
      <alignment vertical="center"/>
    </xf>
    <xf numFmtId="0" fontId="26" fillId="12" borderId="1" xfId="0" applyFont="1" applyFill="1" applyBorder="1" applyAlignment="1">
      <alignment horizontal="center"/>
    </xf>
    <xf numFmtId="0" fontId="26" fillId="12" borderId="56" xfId="0" applyFont="1" applyFill="1" applyBorder="1" applyAlignment="1">
      <alignment horizontal="center"/>
    </xf>
    <xf numFmtId="0" fontId="26" fillId="3" borderId="0" xfId="0" applyFont="1" applyFill="1" applyAlignment="1">
      <alignment horizontal="center" vertical="center"/>
    </xf>
    <xf numFmtId="0" fontId="9" fillId="2" borderId="1" xfId="0" applyFont="1" applyFill="1" applyBorder="1" applyAlignment="1">
      <alignment horizontal="left"/>
    </xf>
    <xf numFmtId="0" fontId="8" fillId="2" borderId="18" xfId="0" applyFont="1" applyFill="1" applyBorder="1" applyAlignment="1">
      <alignment horizontal="left"/>
    </xf>
    <xf numFmtId="0" fontId="9" fillId="2" borderId="0" xfId="0" applyFont="1" applyFill="1" applyAlignment="1">
      <alignment horizontal="left" vertical="center"/>
    </xf>
    <xf numFmtId="0" fontId="45" fillId="2" borderId="1" xfId="0" applyFont="1" applyFill="1" applyBorder="1" applyAlignment="1">
      <alignment horizontal="left"/>
    </xf>
    <xf numFmtId="0" fontId="9" fillId="2" borderId="18" xfId="0" applyFont="1" applyFill="1" applyBorder="1" applyAlignment="1">
      <alignment horizontal="left"/>
    </xf>
    <xf numFmtId="0" fontId="1" fillId="2" borderId="0" xfId="2" applyFill="1" applyBorder="1" applyAlignment="1">
      <alignment horizontal="left" vertical="center"/>
    </xf>
    <xf numFmtId="0" fontId="1" fillId="2" borderId="0" xfId="2" applyFill="1" applyBorder="1" applyAlignment="1">
      <alignment horizontal="left"/>
    </xf>
    <xf numFmtId="0" fontId="9" fillId="2" borderId="0" xfId="0" applyFont="1" applyFill="1"/>
    <xf numFmtId="0" fontId="7" fillId="23" borderId="57" xfId="0" applyFont="1" applyFill="1" applyBorder="1" applyAlignment="1">
      <alignment horizontal="center"/>
    </xf>
    <xf numFmtId="0" fontId="7" fillId="23" borderId="58" xfId="0" applyFont="1" applyFill="1" applyBorder="1" applyAlignment="1">
      <alignment horizontal="center"/>
    </xf>
    <xf numFmtId="0" fontId="7" fillId="23" borderId="59" xfId="0" applyFont="1" applyFill="1" applyBorder="1" applyAlignment="1">
      <alignment horizontal="center"/>
    </xf>
    <xf numFmtId="0" fontId="7" fillId="3" borderId="0" xfId="0" applyFont="1" applyFill="1"/>
    <xf numFmtId="0" fontId="7" fillId="17" borderId="36" xfId="0" applyFont="1" applyFill="1" applyBorder="1" applyAlignment="1">
      <alignment horizontal="center" vertical="center"/>
    </xf>
    <xf numFmtId="0" fontId="7" fillId="17" borderId="1" xfId="0" applyFont="1" applyFill="1" applyBorder="1" applyAlignment="1">
      <alignment horizontal="center" vertical="center"/>
    </xf>
    <xf numFmtId="0" fontId="7" fillId="17" borderId="3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46" fillId="0" borderId="36" xfId="0" applyFont="1" applyBorder="1" applyAlignment="1">
      <alignment horizontal="center" vertical="center"/>
    </xf>
    <xf numFmtId="0" fontId="46" fillId="0" borderId="1" xfId="0" applyFont="1" applyBorder="1" applyAlignment="1">
      <alignment horizontal="center" vertical="center"/>
    </xf>
    <xf numFmtId="0" fontId="44" fillId="2" borderId="0" xfId="0" applyFont="1" applyFill="1"/>
    <xf numFmtId="0" fontId="26" fillId="2" borderId="0" xfId="0" applyFont="1" applyFill="1" applyAlignment="1">
      <alignment horizontal="center"/>
    </xf>
    <xf numFmtId="0" fontId="26" fillId="2" borderId="0" xfId="0" applyFont="1" applyFill="1" applyAlignment="1">
      <alignment horizontal="center" vertical="center"/>
    </xf>
    <xf numFmtId="0" fontId="1" fillId="2" borderId="0" xfId="2" applyFill="1" applyBorder="1"/>
    <xf numFmtId="44" fontId="0" fillId="2" borderId="0" xfId="5" applyFont="1" applyFill="1" applyBorder="1"/>
    <xf numFmtId="0" fontId="47" fillId="2" borderId="0" xfId="0" applyFont="1" applyFill="1"/>
    <xf numFmtId="0" fontId="38" fillId="10" borderId="0" xfId="0" applyFont="1" applyFill="1" applyBorder="1"/>
    <xf numFmtId="0" fontId="48" fillId="10" borderId="0" xfId="0" applyFont="1" applyFill="1" applyBorder="1"/>
    <xf numFmtId="0" fontId="38" fillId="10" borderId="0" xfId="0" applyFont="1" applyFill="1" applyBorder="1" applyAlignment="1">
      <alignment horizontal="left"/>
    </xf>
    <xf numFmtId="0" fontId="34" fillId="10" borderId="0" xfId="0" applyFont="1" applyFill="1" applyBorder="1" applyAlignment="1">
      <alignment horizontal="left"/>
    </xf>
    <xf numFmtId="0" fontId="34" fillId="10" borderId="0" xfId="0" applyFont="1" applyFill="1" applyBorder="1"/>
    <xf numFmtId="0" fontId="32" fillId="10" borderId="9" xfId="0" applyFont="1" applyFill="1" applyBorder="1"/>
    <xf numFmtId="0" fontId="48" fillId="10" borderId="10" xfId="0" applyFont="1" applyFill="1" applyBorder="1"/>
    <xf numFmtId="0" fontId="32" fillId="10" borderId="10" xfId="0" applyFont="1" applyFill="1" applyBorder="1"/>
    <xf numFmtId="0" fontId="24" fillId="10" borderId="10" xfId="0" applyFont="1" applyFill="1" applyBorder="1"/>
    <xf numFmtId="0" fontId="32" fillId="10" borderId="11" xfId="0" applyFont="1" applyFill="1" applyBorder="1"/>
    <xf numFmtId="0" fontId="37" fillId="10" borderId="0" xfId="0" applyFont="1" applyFill="1" applyBorder="1" applyAlignment="1">
      <alignment horizontal="left" vertical="center"/>
    </xf>
    <xf numFmtId="0" fontId="39" fillId="10" borderId="0" xfId="0" applyFont="1" applyFill="1" applyBorder="1" applyAlignment="1">
      <alignment horizontal="left" vertical="center"/>
    </xf>
    <xf numFmtId="0" fontId="43" fillId="10" borderId="0" xfId="0" applyFont="1" applyFill="1" applyBorder="1" applyAlignment="1">
      <alignment horizontal="left" vertical="center"/>
    </xf>
    <xf numFmtId="0" fontId="48" fillId="2" borderId="0" xfId="0" applyFont="1" applyFill="1" applyBorder="1"/>
    <xf numFmtId="0" fontId="38" fillId="10" borderId="10" xfId="0" applyFont="1" applyFill="1" applyBorder="1" applyAlignment="1">
      <alignment horizontal="left"/>
    </xf>
    <xf numFmtId="0" fontId="34" fillId="10" borderId="10" xfId="0" applyFont="1" applyFill="1" applyBorder="1" applyAlignment="1">
      <alignment horizontal="left"/>
    </xf>
    <xf numFmtId="165" fontId="24" fillId="11" borderId="0" xfId="0" applyNumberFormat="1" applyFont="1" applyFill="1" applyBorder="1" applyAlignment="1">
      <alignment horizontal="left"/>
    </xf>
    <xf numFmtId="0" fontId="23" fillId="10" borderId="0" xfId="0" applyFont="1" applyFill="1" applyBorder="1" applyAlignment="1">
      <alignment horizontal="left" vertical="center"/>
    </xf>
    <xf numFmtId="44" fontId="0" fillId="13" borderId="1" xfId="4" applyFont="1" applyFill="1" applyBorder="1"/>
    <xf numFmtId="0" fontId="31" fillId="13" borderId="1" xfId="0" applyFont="1" applyFill="1" applyBorder="1" applyAlignment="1">
      <alignment horizontal="left"/>
    </xf>
    <xf numFmtId="44" fontId="46" fillId="13" borderId="1" xfId="4" applyFont="1" applyFill="1" applyBorder="1"/>
    <xf numFmtId="0" fontId="23" fillId="13" borderId="1" xfId="0" applyFont="1" applyFill="1" applyBorder="1" applyAlignment="1">
      <alignment horizontal="center"/>
    </xf>
    <xf numFmtId="0" fontId="23" fillId="13" borderId="1" xfId="0" applyFont="1" applyFill="1" applyBorder="1" applyAlignment="1">
      <alignment horizontal="center"/>
    </xf>
    <xf numFmtId="0" fontId="8" fillId="2" borderId="0" xfId="0" applyFont="1" applyFill="1"/>
    <xf numFmtId="0" fontId="8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34" fillId="13" borderId="55" xfId="0" applyFont="1" applyFill="1" applyBorder="1"/>
    <xf numFmtId="0" fontId="34" fillId="13" borderId="1" xfId="0" applyFont="1" applyFill="1" applyBorder="1" applyAlignment="1">
      <alignment horizontal="center"/>
    </xf>
    <xf numFmtId="44" fontId="34" fillId="13" borderId="1" xfId="4" applyFont="1" applyFill="1" applyBorder="1" applyAlignment="1"/>
    <xf numFmtId="0" fontId="30" fillId="17" borderId="1" xfId="0" applyFont="1" applyFill="1" applyBorder="1" applyAlignment="1">
      <alignment horizontal="center" vertical="center"/>
    </xf>
    <xf numFmtId="0" fontId="30" fillId="17" borderId="55" xfId="0" applyFont="1" applyFill="1" applyBorder="1" applyAlignment="1">
      <alignment horizontal="center" vertical="center"/>
    </xf>
    <xf numFmtId="0" fontId="30" fillId="17" borderId="54" xfId="0" applyFont="1" applyFill="1" applyBorder="1" applyAlignment="1">
      <alignment horizontal="center" vertical="center"/>
    </xf>
    <xf numFmtId="0" fontId="30" fillId="17" borderId="56" xfId="0" applyFont="1" applyFill="1" applyBorder="1" applyAlignment="1">
      <alignment horizontal="center" vertical="center"/>
    </xf>
    <xf numFmtId="0" fontId="39" fillId="17" borderId="55" xfId="0" applyFont="1" applyFill="1" applyBorder="1" applyAlignment="1">
      <alignment vertical="center"/>
    </xf>
    <xf numFmtId="0" fontId="39" fillId="17" borderId="1" xfId="0" applyFont="1" applyFill="1" applyBorder="1" applyAlignment="1">
      <alignment vertical="center"/>
    </xf>
    <xf numFmtId="0" fontId="34" fillId="13" borderId="1" xfId="0" applyFont="1" applyFill="1" applyBorder="1"/>
    <xf numFmtId="44" fontId="34" fillId="13" borderId="1" xfId="4" applyFont="1" applyFill="1" applyBorder="1" applyAlignment="1">
      <alignment horizontal="center"/>
    </xf>
    <xf numFmtId="0" fontId="34" fillId="10" borderId="1" xfId="0" applyFont="1" applyFill="1" applyBorder="1"/>
    <xf numFmtId="44" fontId="34" fillId="10" borderId="1" xfId="0" applyNumberFormat="1" applyFont="1" applyFill="1" applyBorder="1"/>
    <xf numFmtId="0" fontId="39" fillId="17" borderId="1" xfId="0" applyFont="1" applyFill="1" applyBorder="1" applyAlignment="1">
      <alignment horizontal="center" vertical="center"/>
    </xf>
    <xf numFmtId="0" fontId="34" fillId="13" borderId="1" xfId="0" applyFont="1" applyFill="1" applyBorder="1" applyAlignment="1">
      <alignment horizontal="left"/>
    </xf>
    <xf numFmtId="0" fontId="48" fillId="13" borderId="55" xfId="0" applyFont="1" applyFill="1" applyBorder="1" applyAlignment="1">
      <alignment horizontal="center"/>
    </xf>
    <xf numFmtId="0" fontId="48" fillId="13" borderId="56" xfId="0" applyFont="1" applyFill="1" applyBorder="1" applyAlignment="1">
      <alignment horizontal="center"/>
    </xf>
    <xf numFmtId="44" fontId="34" fillId="13" borderId="1" xfId="4" applyFont="1" applyFill="1" applyBorder="1" applyAlignment="1">
      <alignment horizontal="center"/>
    </xf>
    <xf numFmtId="44" fontId="9" fillId="13" borderId="1" xfId="4" applyFont="1" applyFill="1" applyBorder="1"/>
    <xf numFmtId="0" fontId="9" fillId="0" borderId="50" xfId="0" applyFont="1" applyBorder="1"/>
    <xf numFmtId="44" fontId="9" fillId="0" borderId="50" xfId="4" applyFont="1" applyBorder="1"/>
    <xf numFmtId="44" fontId="0" fillId="0" borderId="50" xfId="4" applyFont="1" applyBorder="1"/>
    <xf numFmtId="0" fontId="9" fillId="0" borderId="0" xfId="0" applyFont="1"/>
    <xf numFmtId="44" fontId="9" fillId="0" borderId="0" xfId="4" applyFont="1" applyBorder="1"/>
    <xf numFmtId="44" fontId="0" fillId="0" borderId="0" xfId="4" applyFont="1" applyBorder="1"/>
    <xf numFmtId="44" fontId="9" fillId="17" borderId="13" xfId="4" applyFont="1" applyFill="1" applyBorder="1"/>
    <xf numFmtId="44" fontId="0" fillId="17" borderId="13" xfId="4" applyFont="1" applyFill="1" applyBorder="1"/>
    <xf numFmtId="0" fontId="9" fillId="0" borderId="54" xfId="0" applyFont="1" applyBorder="1"/>
    <xf numFmtId="44" fontId="9" fillId="0" borderId="54" xfId="4" applyFont="1" applyBorder="1"/>
    <xf numFmtId="44" fontId="0" fillId="0" borderId="54" xfId="4" applyFont="1" applyBorder="1"/>
    <xf numFmtId="44" fontId="34" fillId="13" borderId="1" xfId="4" applyFont="1" applyFill="1" applyBorder="1"/>
    <xf numFmtId="44" fontId="48" fillId="13" borderId="1" xfId="4" applyFont="1" applyFill="1" applyBorder="1"/>
    <xf numFmtId="0" fontId="34" fillId="13" borderId="13" xfId="0" applyFont="1" applyFill="1" applyBorder="1"/>
    <xf numFmtId="44" fontId="34" fillId="13" borderId="13" xfId="4" applyFont="1" applyFill="1" applyBorder="1"/>
    <xf numFmtId="44" fontId="48" fillId="13" borderId="13" xfId="4" applyFont="1" applyFill="1" applyBorder="1"/>
    <xf numFmtId="0" fontId="35" fillId="13" borderId="1" xfId="0" applyFont="1" applyFill="1" applyBorder="1"/>
    <xf numFmtId="0" fontId="39" fillId="17" borderId="13" xfId="0" applyFont="1" applyFill="1" applyBorder="1"/>
    <xf numFmtId="0" fontId="39" fillId="17" borderId="55" xfId="0" applyFont="1" applyFill="1" applyBorder="1" applyAlignment="1">
      <alignment horizontal="center" vertical="center"/>
    </xf>
    <xf numFmtId="0" fontId="39" fillId="17" borderId="54" xfId="0" applyFont="1" applyFill="1" applyBorder="1" applyAlignment="1">
      <alignment horizontal="center" vertical="center"/>
    </xf>
    <xf numFmtId="0" fontId="39" fillId="17" borderId="56" xfId="0" applyFont="1" applyFill="1" applyBorder="1" applyAlignment="1">
      <alignment horizontal="center" vertical="center"/>
    </xf>
    <xf numFmtId="44" fontId="34" fillId="13" borderId="0" xfId="4" applyFont="1" applyFill="1"/>
    <xf numFmtId="0" fontId="30" fillId="17" borderId="1" xfId="0" applyFont="1" applyFill="1" applyBorder="1" applyAlignment="1">
      <alignment horizontal="center"/>
    </xf>
    <xf numFmtId="0" fontId="49" fillId="0" borderId="0" xfId="0" applyFont="1" applyAlignment="1">
      <alignment vertical="center"/>
    </xf>
    <xf numFmtId="0" fontId="48" fillId="13" borderId="1" xfId="0" applyFont="1" applyFill="1" applyBorder="1" applyAlignment="1">
      <alignment horizont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8" fillId="10" borderId="1" xfId="0" applyFont="1" applyFill="1" applyBorder="1" applyAlignment="1">
      <alignment horizontal="left" vertical="center"/>
    </xf>
    <xf numFmtId="0" fontId="21" fillId="17" borderId="1" xfId="0" applyFont="1" applyFill="1" applyBorder="1" applyAlignment="1">
      <alignment horizontal="center" vertical="center"/>
    </xf>
    <xf numFmtId="0" fontId="21" fillId="17" borderId="14" xfId="0" applyFont="1" applyFill="1" applyBorder="1" applyAlignment="1">
      <alignment horizontal="center" vertical="center"/>
    </xf>
    <xf numFmtId="0" fontId="38" fillId="10" borderId="1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30" fillId="23" borderId="57" xfId="0" applyFont="1" applyFill="1" applyBorder="1" applyAlignment="1">
      <alignment horizontal="center"/>
    </xf>
    <xf numFmtId="0" fontId="30" fillId="23" borderId="58" xfId="0" applyFont="1" applyFill="1" applyBorder="1" applyAlignment="1">
      <alignment horizontal="center"/>
    </xf>
    <xf numFmtId="0" fontId="30" fillId="23" borderId="59" xfId="0" applyFont="1" applyFill="1" applyBorder="1" applyAlignment="1">
      <alignment horizontal="center"/>
    </xf>
    <xf numFmtId="0" fontId="39" fillId="7" borderId="64" xfId="0" applyFont="1" applyFill="1" applyBorder="1" applyAlignment="1">
      <alignment horizontal="center" vertical="center"/>
    </xf>
    <xf numFmtId="0" fontId="39" fillId="7" borderId="65" xfId="0" applyFont="1" applyFill="1" applyBorder="1" applyAlignment="1">
      <alignment horizontal="center" vertical="center"/>
    </xf>
    <xf numFmtId="0" fontId="39" fillId="7" borderId="66" xfId="0" applyFont="1" applyFill="1" applyBorder="1" applyAlignment="1">
      <alignment horizontal="center" vertical="center"/>
    </xf>
    <xf numFmtId="0" fontId="37" fillId="2" borderId="0" xfId="0" applyFont="1" applyFill="1" applyAlignment="1">
      <alignment horizontal="center" vertical="center"/>
    </xf>
    <xf numFmtId="0" fontId="39" fillId="23" borderId="57" xfId="0" applyFont="1" applyFill="1" applyBorder="1" applyAlignment="1">
      <alignment horizontal="center"/>
    </xf>
    <xf numFmtId="0" fontId="39" fillId="23" borderId="58" xfId="0" applyFont="1" applyFill="1" applyBorder="1" applyAlignment="1">
      <alignment horizontal="center"/>
    </xf>
    <xf numFmtId="0" fontId="39" fillId="23" borderId="59" xfId="0" applyFont="1" applyFill="1" applyBorder="1" applyAlignment="1">
      <alignment horizontal="center"/>
    </xf>
    <xf numFmtId="0" fontId="30" fillId="12" borderId="34" xfId="0" applyFont="1" applyFill="1" applyBorder="1" applyAlignment="1">
      <alignment horizontal="center" vertical="center"/>
    </xf>
    <xf numFmtId="0" fontId="30" fillId="12" borderId="67" xfId="0" applyFont="1" applyFill="1" applyBorder="1" applyAlignment="1">
      <alignment horizontal="center" vertical="center"/>
    </xf>
    <xf numFmtId="0" fontId="30" fillId="12" borderId="59" xfId="0" applyFont="1" applyFill="1" applyBorder="1" applyAlignment="1">
      <alignment horizontal="center" vertical="center"/>
    </xf>
    <xf numFmtId="0" fontId="6" fillId="3" borderId="68" xfId="0" applyFont="1" applyFill="1" applyBorder="1"/>
    <xf numFmtId="0" fontId="6" fillId="3" borderId="3" xfId="0" applyFont="1" applyFill="1" applyBorder="1"/>
    <xf numFmtId="0" fontId="34" fillId="2" borderId="1" xfId="0" applyFont="1" applyFill="1" applyBorder="1" applyAlignment="1">
      <alignment horizontal="left" vertical="center"/>
    </xf>
    <xf numFmtId="0" fontId="34" fillId="2" borderId="37" xfId="0" applyFont="1" applyFill="1" applyBorder="1" applyAlignment="1">
      <alignment horizontal="left" vertical="center"/>
    </xf>
    <xf numFmtId="0" fontId="34" fillId="2" borderId="37" xfId="0" applyFont="1" applyFill="1" applyBorder="1" applyAlignment="1">
      <alignment horizontal="left"/>
    </xf>
    <xf numFmtId="0" fontId="50" fillId="2" borderId="37" xfId="2" applyFont="1" applyFill="1" applyBorder="1" applyAlignment="1">
      <alignment horizontal="left" vertical="center"/>
    </xf>
    <xf numFmtId="0" fontId="50" fillId="2" borderId="37" xfId="2" applyFont="1" applyFill="1" applyBorder="1" applyAlignment="1">
      <alignment horizontal="left"/>
    </xf>
    <xf numFmtId="0" fontId="34" fillId="2" borderId="37" xfId="0" applyFont="1" applyFill="1" applyBorder="1"/>
    <xf numFmtId="0" fontId="6" fillId="3" borderId="69" xfId="0" applyFont="1" applyFill="1" applyBorder="1"/>
    <xf numFmtId="0" fontId="6" fillId="3" borderId="70" xfId="0" applyFont="1" applyFill="1" applyBorder="1"/>
    <xf numFmtId="0" fontId="34" fillId="2" borderId="39" xfId="0" applyFont="1" applyFill="1" applyBorder="1" applyAlignment="1">
      <alignment horizontal="left" vertical="center"/>
    </xf>
    <xf numFmtId="0" fontId="34" fillId="2" borderId="40" xfId="0" applyFont="1" applyFill="1" applyBorder="1" applyAlignment="1">
      <alignment horizontal="left" vertical="center"/>
    </xf>
    <xf numFmtId="0" fontId="30" fillId="17" borderId="36" xfId="0" applyFont="1" applyFill="1" applyBorder="1" applyAlignment="1">
      <alignment horizontal="center"/>
    </xf>
    <xf numFmtId="0" fontId="30" fillId="17" borderId="37" xfId="0" applyFont="1" applyFill="1" applyBorder="1" applyAlignment="1">
      <alignment horizontal="center"/>
    </xf>
    <xf numFmtId="0" fontId="48" fillId="0" borderId="36" xfId="0" applyFont="1" applyBorder="1"/>
    <xf numFmtId="0" fontId="48" fillId="0" borderId="1" xfId="0" applyFont="1" applyBorder="1"/>
    <xf numFmtId="0" fontId="48" fillId="0" borderId="37" xfId="0" applyFont="1" applyBorder="1"/>
    <xf numFmtId="0" fontId="48" fillId="0" borderId="38" xfId="0" applyFont="1" applyBorder="1"/>
    <xf numFmtId="0" fontId="48" fillId="0" borderId="39" xfId="0" applyFont="1" applyBorder="1"/>
    <xf numFmtId="0" fontId="48" fillId="0" borderId="40" xfId="0" applyFont="1" applyBorder="1"/>
    <xf numFmtId="0" fontId="51" fillId="7" borderId="64" xfId="0" applyFont="1" applyFill="1" applyBorder="1" applyAlignment="1">
      <alignment horizontal="center"/>
    </xf>
    <xf numFmtId="0" fontId="51" fillId="7" borderId="65" xfId="0" applyFont="1" applyFill="1" applyBorder="1" applyAlignment="1">
      <alignment horizontal="center"/>
    </xf>
    <xf numFmtId="0" fontId="51" fillId="7" borderId="66" xfId="0" applyFont="1" applyFill="1" applyBorder="1" applyAlignment="1">
      <alignment horizontal="center"/>
    </xf>
    <xf numFmtId="0" fontId="30" fillId="17" borderId="68" xfId="0" applyFont="1" applyFill="1" applyBorder="1" applyAlignment="1">
      <alignment horizontal="center"/>
    </xf>
    <xf numFmtId="0" fontId="30" fillId="17" borderId="2" xfId="0" applyFont="1" applyFill="1" applyBorder="1" applyAlignment="1">
      <alignment horizontal="center"/>
    </xf>
    <xf numFmtId="0" fontId="30" fillId="17" borderId="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39" fillId="7" borderId="14" xfId="0" applyFont="1" applyFill="1" applyBorder="1" applyAlignment="1">
      <alignment horizontal="center" vertical="center"/>
    </xf>
    <xf numFmtId="0" fontId="30" fillId="12" borderId="1" xfId="0" applyFont="1" applyFill="1" applyBorder="1" applyAlignment="1">
      <alignment horizontal="center"/>
    </xf>
    <xf numFmtId="0" fontId="30" fillId="12" borderId="56" xfId="0" applyFont="1" applyFill="1" applyBorder="1" applyAlignment="1">
      <alignment horizontal="center"/>
    </xf>
    <xf numFmtId="0" fontId="34" fillId="2" borderId="1" xfId="0" applyFont="1" applyFill="1" applyBorder="1" applyAlignment="1">
      <alignment horizontal="left"/>
    </xf>
    <xf numFmtId="0" fontId="38" fillId="2" borderId="18" xfId="0" applyFont="1" applyFill="1" applyBorder="1" applyAlignment="1">
      <alignment horizontal="left"/>
    </xf>
    <xf numFmtId="0" fontId="52" fillId="2" borderId="1" xfId="0" applyFont="1" applyFill="1" applyBorder="1" applyAlignment="1">
      <alignment horizontal="left"/>
    </xf>
    <xf numFmtId="0" fontId="34" fillId="2" borderId="18" xfId="0" applyFont="1" applyFill="1" applyBorder="1" applyAlignment="1">
      <alignment horizontal="left"/>
    </xf>
    <xf numFmtId="0" fontId="30" fillId="17" borderId="36" xfId="0" applyFont="1" applyFill="1" applyBorder="1" applyAlignment="1">
      <alignment horizontal="center" vertical="center"/>
    </xf>
    <xf numFmtId="0" fontId="30" fillId="17" borderId="37" xfId="0" applyFont="1" applyFill="1" applyBorder="1" applyAlignment="1">
      <alignment horizontal="center" vertical="center"/>
    </xf>
    <xf numFmtId="0" fontId="48" fillId="0" borderId="36" xfId="0" applyFont="1" applyBorder="1" applyAlignment="1">
      <alignment horizontal="center" vertical="center"/>
    </xf>
  </cellXfs>
  <cellStyles count="6">
    <cellStyle name="Hiperlink" xfId="2" builtinId="8"/>
    <cellStyle name="Hyperlink" xfId="1" xr:uid="{00000000-000B-0000-0000-000008000000}"/>
    <cellStyle name="Moeda" xfId="4" builtinId="4"/>
    <cellStyle name="Moeda 2" xfId="3" xr:uid="{168EC4E4-4ACA-488B-BA7F-0FCC7F054CAC}"/>
    <cellStyle name="Moeda 3" xfId="5" xr:uid="{C8563BB4-4771-4099-B082-45013E377669}"/>
    <cellStyle name="Normal" xfId="0" builtinId="0"/>
  </cellStyles>
  <dxfs count="0"/>
  <tableStyles count="0" defaultTableStyle="TableStyleMedium2" defaultPivotStyle="PivotStyleLight16"/>
  <colors>
    <mruColors>
      <color rgb="FF3D5B7A"/>
      <color rgb="FF171717"/>
      <color rgb="FFF13FF5"/>
      <color rgb="FF3A5775"/>
      <color rgb="FF8EA9DB"/>
      <color rgb="FF212121"/>
      <color rgb="FF3D597A"/>
      <color rgb="FF202020"/>
      <color rgb="FF1C1C1C"/>
      <color rgb="FFD0CE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externalLink" Target="externalLinks/externalLink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2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sz="2000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CONTROLE DE ENTRADAS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3D5B7A"/>
            </a:solidFill>
            <a:ln>
              <a:noFill/>
            </a:ln>
            <a:effectLst/>
          </c:spPr>
          <c:invertIfNegative val="0"/>
          <c:cat>
            <c:strRef>
              <c:f>'[2]BANCO DE DADOS'!$C$7:$C$10</c:f>
              <c:strCache>
                <c:ptCount val="4"/>
                <c:pt idx="0">
                  <c:v>QUEIJO MEIA CURA</c:v>
                </c:pt>
                <c:pt idx="1">
                  <c:v>QUEIJO MINAS</c:v>
                </c:pt>
                <c:pt idx="2">
                  <c:v>QUEIJO COALHO</c:v>
                </c:pt>
                <c:pt idx="3">
                  <c:v>QUEIJO MUSSARELA</c:v>
                </c:pt>
              </c:strCache>
            </c:strRef>
          </c:cat>
          <c:val>
            <c:numRef>
              <c:f>'[2]BANCO DE DADOS'!$D$7:$D$10</c:f>
              <c:numCache>
                <c:formatCode>General</c:formatCode>
                <c:ptCount val="4"/>
                <c:pt idx="0">
                  <c:v>100</c:v>
                </c:pt>
                <c:pt idx="1">
                  <c:v>200</c:v>
                </c:pt>
                <c:pt idx="2">
                  <c:v>300</c:v>
                </c:pt>
                <c:pt idx="3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1-480F-8160-518E9C9F0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71895984"/>
        <c:axId val="871898480"/>
      </c:barChart>
      <c:catAx>
        <c:axId val="871895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71898480"/>
        <c:crosses val="autoZero"/>
        <c:auto val="1"/>
        <c:lblAlgn val="ctr"/>
        <c:lblOffset val="100"/>
        <c:noMultiLvlLbl val="0"/>
      </c:catAx>
      <c:valAx>
        <c:axId val="87189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871895984"/>
        <c:crosses val="autoZero"/>
        <c:crossBetween val="between"/>
      </c:valAx>
      <c:spPr>
        <a:solidFill>
          <a:schemeClr val="tx2">
            <a:lumMod val="40000"/>
            <a:lumOff val="60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8.png"/><Relationship Id="rId18" Type="http://schemas.microsoft.com/office/2007/relationships/hdphoto" Target="../media/hdphoto8.wdp"/><Relationship Id="rId3" Type="http://schemas.microsoft.com/office/2007/relationships/hdphoto" Target="../media/hdphoto1.wdp"/><Relationship Id="rId21" Type="http://schemas.microsoft.com/office/2007/relationships/hdphoto" Target="../media/hdphoto9.wdp"/><Relationship Id="rId7" Type="http://schemas.openxmlformats.org/officeDocument/2006/relationships/image" Target="../media/image5.png"/><Relationship Id="rId12" Type="http://schemas.microsoft.com/office/2007/relationships/hdphoto" Target="../media/hdphoto5.wdp"/><Relationship Id="rId17" Type="http://schemas.openxmlformats.org/officeDocument/2006/relationships/image" Target="../media/image10.png"/><Relationship Id="rId2" Type="http://schemas.openxmlformats.org/officeDocument/2006/relationships/image" Target="../media/image3.png"/><Relationship Id="rId16" Type="http://schemas.microsoft.com/office/2007/relationships/hdphoto" Target="../media/hdphoto7.wdp"/><Relationship Id="rId20" Type="http://schemas.openxmlformats.org/officeDocument/2006/relationships/image" Target="../media/image12.png"/><Relationship Id="rId1" Type="http://schemas.openxmlformats.org/officeDocument/2006/relationships/hyperlink" Target="#Home!A1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microsoft.com/office/2007/relationships/hdphoto" Target="../media/hdphoto4.wdp"/><Relationship Id="rId19" Type="http://schemas.openxmlformats.org/officeDocument/2006/relationships/image" Target="../media/image11.png"/><Relationship Id="rId4" Type="http://schemas.openxmlformats.org/officeDocument/2006/relationships/hyperlink" Target="#Produ&#231;&#227;o!A1"/><Relationship Id="rId9" Type="http://schemas.openxmlformats.org/officeDocument/2006/relationships/image" Target="../media/image6.png"/><Relationship Id="rId14" Type="http://schemas.microsoft.com/office/2007/relationships/hdphoto" Target="../media/hdphoto6.wdp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image" Target="../media/image11.png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0.png"/><Relationship Id="rId3" Type="http://schemas.openxmlformats.org/officeDocument/2006/relationships/image" Target="../media/image3.png"/><Relationship Id="rId21" Type="http://schemas.microsoft.com/office/2007/relationships/hdphoto" Target="../media/hdphoto10.wdp"/><Relationship Id="rId7" Type="http://schemas.microsoft.com/office/2007/relationships/hdphoto" Target="../media/hdphoto2.wdp"/><Relationship Id="rId12" Type="http://schemas.openxmlformats.org/officeDocument/2006/relationships/image" Target="../media/image7.png"/><Relationship Id="rId17" Type="http://schemas.microsoft.com/office/2007/relationships/hdphoto" Target="../media/hdphoto7.wdp"/><Relationship Id="rId2" Type="http://schemas.openxmlformats.org/officeDocument/2006/relationships/hyperlink" Target="#Home!A1"/><Relationship Id="rId16" Type="http://schemas.openxmlformats.org/officeDocument/2006/relationships/image" Target="../media/image9.png"/><Relationship Id="rId20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4.png"/><Relationship Id="rId11" Type="http://schemas.microsoft.com/office/2007/relationships/hdphoto" Target="../media/hdphoto4.wdp"/><Relationship Id="rId5" Type="http://schemas.openxmlformats.org/officeDocument/2006/relationships/hyperlink" Target="#Produ&#231;&#227;o!A1"/><Relationship Id="rId15" Type="http://schemas.microsoft.com/office/2007/relationships/hdphoto" Target="../media/hdphoto6.wdp"/><Relationship Id="rId10" Type="http://schemas.openxmlformats.org/officeDocument/2006/relationships/image" Target="../media/image6.png"/><Relationship Id="rId19" Type="http://schemas.microsoft.com/office/2007/relationships/hdphoto" Target="../media/hdphoto8.wdp"/><Relationship Id="rId4" Type="http://schemas.microsoft.com/office/2007/relationships/hdphoto" Target="../media/hdphoto1.wdp"/><Relationship Id="rId9" Type="http://schemas.microsoft.com/office/2007/relationships/hdphoto" Target="../media/hdphoto3.wdp"/><Relationship Id="rId14" Type="http://schemas.openxmlformats.org/officeDocument/2006/relationships/image" Target="../media/image8.png"/><Relationship Id="rId22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16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17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3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3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18.png"/><Relationship Id="rId22" Type="http://schemas.openxmlformats.org/officeDocument/2006/relationships/image" Target="../media/image13.pn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9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20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21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21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21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13.png"/></Relationships>
</file>

<file path=xl/drawings/_rels/drawing3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22.png"/></Relationships>
</file>

<file path=xl/drawings/_rels/drawing3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22.png"/></Relationships>
</file>

<file path=xl/drawings/_rels/drawing3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microsoft.com/office/2007/relationships/hdphoto" Target="../media/hdphoto4.wdp"/><Relationship Id="rId18" Type="http://schemas.openxmlformats.org/officeDocument/2006/relationships/image" Target="../media/image9.png"/><Relationship Id="rId3" Type="http://schemas.microsoft.com/office/2007/relationships/hdphoto" Target="../media/hdphoto11.wdp"/><Relationship Id="rId21" Type="http://schemas.microsoft.com/office/2007/relationships/hdphoto" Target="../media/hdphoto8.wdp"/><Relationship Id="rId7" Type="http://schemas.microsoft.com/office/2007/relationships/hdphoto" Target="../media/hdphoto1.wdp"/><Relationship Id="rId12" Type="http://schemas.openxmlformats.org/officeDocument/2006/relationships/image" Target="../media/image6.png"/><Relationship Id="rId17" Type="http://schemas.microsoft.com/office/2007/relationships/hdphoto" Target="../media/hdphoto6.wdp"/><Relationship Id="rId2" Type="http://schemas.openxmlformats.org/officeDocument/2006/relationships/image" Target="../media/image14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#Produ&#231;&#227;o!A1"/><Relationship Id="rId6" Type="http://schemas.openxmlformats.org/officeDocument/2006/relationships/image" Target="../media/image3.png"/><Relationship Id="rId11" Type="http://schemas.microsoft.com/office/2007/relationships/hdphoto" Target="../media/hdphoto3.wdp"/><Relationship Id="rId5" Type="http://schemas.openxmlformats.org/officeDocument/2006/relationships/hyperlink" Target="#Home!A1"/><Relationship Id="rId15" Type="http://schemas.microsoft.com/office/2007/relationships/hdphoto" Target="../media/hdphoto5.wdp"/><Relationship Id="rId23" Type="http://schemas.microsoft.com/office/2007/relationships/hdphoto" Target="../media/hdphoto10.wdp"/><Relationship Id="rId10" Type="http://schemas.openxmlformats.org/officeDocument/2006/relationships/image" Target="../media/image5.png"/><Relationship Id="rId19" Type="http://schemas.microsoft.com/office/2007/relationships/hdphoto" Target="../media/hdphoto7.wdp"/><Relationship Id="rId4" Type="http://schemas.openxmlformats.org/officeDocument/2006/relationships/image" Target="../media/image11.png"/><Relationship Id="rId9" Type="http://schemas.microsoft.com/office/2007/relationships/hdphoto" Target="../media/hdphoto2.wdp"/><Relationship Id="rId14" Type="http://schemas.openxmlformats.org/officeDocument/2006/relationships/image" Target="../media/image7.png"/><Relationship Id="rId22" Type="http://schemas.openxmlformats.org/officeDocument/2006/relationships/image" Target="../media/image22.png"/></Relationships>
</file>

<file path=xl/drawings/_rels/drawing37.xml.rels><?xml version="1.0" encoding="UTF-8" standalone="yes"?>
<Relationships xmlns="http://schemas.openxmlformats.org/package/2006/relationships"><Relationship Id="rId8" Type="http://schemas.microsoft.com/office/2007/relationships/hdphoto" Target="../media/hdphoto11.wdp"/><Relationship Id="rId13" Type="http://schemas.openxmlformats.org/officeDocument/2006/relationships/image" Target="../media/image27.png"/><Relationship Id="rId18" Type="http://schemas.microsoft.com/office/2007/relationships/hdphoto" Target="../media/hdphoto17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4.png"/><Relationship Id="rId12" Type="http://schemas.microsoft.com/office/2007/relationships/hdphoto" Target="../media/hdphoto14.wdp"/><Relationship Id="rId17" Type="http://schemas.openxmlformats.org/officeDocument/2006/relationships/image" Target="../media/image29.png"/><Relationship Id="rId2" Type="http://schemas.microsoft.com/office/2007/relationships/hdphoto" Target="../media/hdphoto12.wdp"/><Relationship Id="rId16" Type="http://schemas.microsoft.com/office/2007/relationships/hdphoto" Target="../media/hdphoto16.wdp"/><Relationship Id="rId20" Type="http://schemas.microsoft.com/office/2007/relationships/hdphoto" Target="../media/hdphoto18.wdp"/><Relationship Id="rId1" Type="http://schemas.openxmlformats.org/officeDocument/2006/relationships/image" Target="../media/image23.png"/><Relationship Id="rId6" Type="http://schemas.openxmlformats.org/officeDocument/2006/relationships/hyperlink" Target="#Produ&#231;&#227;o!A1"/><Relationship Id="rId11" Type="http://schemas.openxmlformats.org/officeDocument/2006/relationships/image" Target="../media/image26.png"/><Relationship Id="rId5" Type="http://schemas.microsoft.com/office/2007/relationships/hdphoto" Target="../media/hdphoto1.wdp"/><Relationship Id="rId15" Type="http://schemas.openxmlformats.org/officeDocument/2006/relationships/image" Target="../media/image28.png"/><Relationship Id="rId23" Type="http://schemas.microsoft.com/office/2007/relationships/hdphoto" Target="../media/hdphoto10.wdp"/><Relationship Id="rId10" Type="http://schemas.microsoft.com/office/2007/relationships/hdphoto" Target="../media/hdphoto13.wdp"/><Relationship Id="rId19" Type="http://schemas.openxmlformats.org/officeDocument/2006/relationships/image" Target="../media/image30.png"/><Relationship Id="rId4" Type="http://schemas.openxmlformats.org/officeDocument/2006/relationships/image" Target="../media/image3.png"/><Relationship Id="rId9" Type="http://schemas.openxmlformats.org/officeDocument/2006/relationships/image" Target="../media/image25.png"/><Relationship Id="rId14" Type="http://schemas.microsoft.com/office/2007/relationships/hdphoto" Target="../media/hdphoto15.wdp"/><Relationship Id="rId22" Type="http://schemas.openxmlformats.org/officeDocument/2006/relationships/image" Target="../media/image22.png"/></Relationships>
</file>

<file path=xl/drawings/_rels/drawing38.xml.rels><?xml version="1.0" encoding="UTF-8" standalone="yes"?>
<Relationships xmlns="http://schemas.openxmlformats.org/package/2006/relationships"><Relationship Id="rId8" Type="http://schemas.microsoft.com/office/2007/relationships/hdphoto" Target="../media/hdphoto11.wdp"/><Relationship Id="rId13" Type="http://schemas.openxmlformats.org/officeDocument/2006/relationships/image" Target="../media/image27.png"/><Relationship Id="rId18" Type="http://schemas.microsoft.com/office/2007/relationships/hdphoto" Target="../media/hdphoto17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4.png"/><Relationship Id="rId12" Type="http://schemas.microsoft.com/office/2007/relationships/hdphoto" Target="../media/hdphoto14.wdp"/><Relationship Id="rId17" Type="http://schemas.openxmlformats.org/officeDocument/2006/relationships/image" Target="../media/image29.png"/><Relationship Id="rId2" Type="http://schemas.microsoft.com/office/2007/relationships/hdphoto" Target="../media/hdphoto12.wdp"/><Relationship Id="rId16" Type="http://schemas.microsoft.com/office/2007/relationships/hdphoto" Target="../media/hdphoto16.wdp"/><Relationship Id="rId20" Type="http://schemas.microsoft.com/office/2007/relationships/hdphoto" Target="../media/hdphoto18.wdp"/><Relationship Id="rId1" Type="http://schemas.openxmlformats.org/officeDocument/2006/relationships/image" Target="../media/image23.png"/><Relationship Id="rId6" Type="http://schemas.openxmlformats.org/officeDocument/2006/relationships/hyperlink" Target="#Produ&#231;&#227;o!A1"/><Relationship Id="rId11" Type="http://schemas.openxmlformats.org/officeDocument/2006/relationships/image" Target="../media/image26.png"/><Relationship Id="rId5" Type="http://schemas.microsoft.com/office/2007/relationships/hdphoto" Target="../media/hdphoto1.wdp"/><Relationship Id="rId15" Type="http://schemas.openxmlformats.org/officeDocument/2006/relationships/image" Target="../media/image28.png"/><Relationship Id="rId23" Type="http://schemas.microsoft.com/office/2007/relationships/hdphoto" Target="../media/hdphoto10.wdp"/><Relationship Id="rId10" Type="http://schemas.microsoft.com/office/2007/relationships/hdphoto" Target="../media/hdphoto13.wdp"/><Relationship Id="rId19" Type="http://schemas.openxmlformats.org/officeDocument/2006/relationships/image" Target="../media/image30.png"/><Relationship Id="rId4" Type="http://schemas.openxmlformats.org/officeDocument/2006/relationships/image" Target="../media/image3.png"/><Relationship Id="rId9" Type="http://schemas.openxmlformats.org/officeDocument/2006/relationships/image" Target="../media/image25.png"/><Relationship Id="rId14" Type="http://schemas.microsoft.com/office/2007/relationships/hdphoto" Target="../media/hdphoto15.wdp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27</xdr:col>
      <xdr:colOff>266700</xdr:colOff>
      <xdr:row>0</xdr:row>
      <xdr:rowOff>95250</xdr:rowOff>
    </xdr:from>
    <xdr:to>
      <xdr:col>31</xdr:col>
      <xdr:colOff>514350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D69FCF3-1DA2-47EC-9F09-304C9D0E1885}"/>
            </a:ext>
            <a:ext uri="{147F2762-F138-4A5C-976F-8EAC2B608ADB}">
              <a16:predDERef xmlns:a16="http://schemas.microsoft.com/office/drawing/2014/main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1672590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14</xdr:col>
      <xdr:colOff>243840</xdr:colOff>
      <xdr:row>0</xdr:row>
      <xdr:rowOff>691749</xdr:rowOff>
    </xdr:from>
    <xdr:to>
      <xdr:col>45</xdr:col>
      <xdr:colOff>182297</xdr:colOff>
      <xdr:row>76</xdr:row>
      <xdr:rowOff>2543080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4DC50336-6207-48CC-B652-28021BA5AAA2}"/>
            </a:ext>
          </a:extLst>
        </xdr:cNvPr>
        <xdr:cNvGrpSpPr/>
      </xdr:nvGrpSpPr>
      <xdr:grpSpPr>
        <a:xfrm>
          <a:off x="8778240" y="691749"/>
          <a:ext cx="18836057" cy="17319931"/>
          <a:chOff x="8778240" y="691749"/>
          <a:chExt cx="18836057" cy="17319931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1A271014-B2D8-45B4-B4B0-3B0A45172369}"/>
              </a:ext>
              <a:ext uri="{147F2762-F138-4A5C-976F-8EAC2B608ADB}">
                <a16:predDERef xmlns:a16="http://schemas.microsoft.com/office/drawing/2014/main" pred="{45AAF0B4-637A-42E1-B7D2-A6E46851A7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330773" y="691749"/>
            <a:ext cx="11730990" cy="12432269"/>
          </a:xfrm>
          <a:prstGeom prst="rect">
            <a:avLst/>
          </a:prstGeom>
        </xdr:spPr>
      </xdr:pic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511367E3-8F60-4615-B9E2-D76D9B6A4A1B}"/>
              </a:ext>
            </a:extLst>
          </xdr:cNvPr>
          <xdr:cNvGrpSpPr/>
        </xdr:nvGrpSpPr>
        <xdr:grpSpPr>
          <a:xfrm>
            <a:off x="8778240" y="12809825"/>
            <a:ext cx="18836057" cy="5201855"/>
            <a:chOff x="9753600" y="12480070"/>
            <a:chExt cx="18836057" cy="5150610"/>
          </a:xfrm>
        </xdr:grpSpPr>
        <xdr:sp macro="" textlink="">
          <xdr:nvSpPr>
            <xdr:cNvPr id="2" name="Retângulo 1">
              <a:extLst>
                <a:ext uri="{FF2B5EF4-FFF2-40B4-BE49-F238E27FC236}">
                  <a16:creationId xmlns:a16="http://schemas.microsoft.com/office/drawing/2014/main" id="{A27A1621-AD33-48E5-89E5-B6102C9218FB}"/>
                </a:ext>
                <a:ext uri="{147F2762-F138-4A5C-976F-8EAC2B608ADB}">
                  <a16:predDERef xmlns:a16="http://schemas.microsoft.com/office/drawing/2014/main" pred="{AD69FCF3-1DA2-47EC-9F09-304C9D0E1885}"/>
                </a:ext>
              </a:extLst>
            </xdr:cNvPr>
            <xdr:cNvSpPr/>
          </xdr:nvSpPr>
          <xdr:spPr>
            <a:xfrm>
              <a:off x="9753600" y="12480070"/>
              <a:ext cx="4815257" cy="12067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marL="0" indent="0" algn="ctr"/>
              <a:r>
                <a:rPr lang="en-US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sp macro="" textlink="">
          <xdr:nvSpPr>
            <xdr:cNvPr id="6" name="Retângulo 5">
              <a:extLst>
                <a:ext uri="{FF2B5EF4-FFF2-40B4-BE49-F238E27FC236}">
                  <a16:creationId xmlns:a16="http://schemas.microsoft.com/office/drawing/2014/main" id="{3363B077-DCDF-4B4E-A3A8-52F50972E801}"/>
                </a:ext>
              </a:extLst>
            </xdr:cNvPr>
            <xdr:cNvSpPr/>
          </xdr:nvSpPr>
          <xdr:spPr>
            <a:xfrm>
              <a:off x="16764000" y="12483880"/>
              <a:ext cx="4815257" cy="119909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LOGISTICA</a:t>
              </a:r>
            </a:p>
          </xdr:txBody>
        </xdr:sp>
        <xdr:sp macro="" textlink="">
          <xdr:nvSpPr>
            <xdr:cNvPr id="7" name="Retângulo 6">
              <a:extLst>
                <a:ext uri="{FF2B5EF4-FFF2-40B4-BE49-F238E27FC236}">
                  <a16:creationId xmlns:a16="http://schemas.microsoft.com/office/drawing/2014/main" id="{F85E8954-78EF-4B2D-BBED-94A436E7D4D0}"/>
                </a:ext>
              </a:extLst>
            </xdr:cNvPr>
            <xdr:cNvSpPr/>
          </xdr:nvSpPr>
          <xdr:spPr>
            <a:xfrm>
              <a:off x="9753600" y="14384018"/>
              <a:ext cx="4815257" cy="122809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sp macro="" textlink="">
          <xdr:nvSpPr>
            <xdr:cNvPr id="8" name="Retângulo 7">
              <a:extLst>
                <a:ext uri="{FF2B5EF4-FFF2-40B4-BE49-F238E27FC236}">
                  <a16:creationId xmlns:a16="http://schemas.microsoft.com/office/drawing/2014/main" id="{F6759180-4857-4EE9-8789-D8F31EA8B3E6}"/>
                </a:ext>
              </a:extLst>
            </xdr:cNvPr>
            <xdr:cNvSpPr/>
          </xdr:nvSpPr>
          <xdr:spPr>
            <a:xfrm>
              <a:off x="167640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sp macro="" textlink="">
          <xdr:nvSpPr>
            <xdr:cNvPr id="10" name="Retângulo 9">
              <a:extLst>
                <a:ext uri="{FF2B5EF4-FFF2-40B4-BE49-F238E27FC236}">
                  <a16:creationId xmlns:a16="http://schemas.microsoft.com/office/drawing/2014/main" id="{9CADF97B-1A34-49F5-99DD-83EA451C57DC}"/>
                </a:ext>
              </a:extLst>
            </xdr:cNvPr>
            <xdr:cNvSpPr/>
          </xdr:nvSpPr>
          <xdr:spPr>
            <a:xfrm>
              <a:off x="23774400" y="12488468"/>
              <a:ext cx="4815257" cy="1189923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sp macro="" textlink="">
          <xdr:nvSpPr>
            <xdr:cNvPr id="12" name="Retângulo 11">
              <a:extLst>
                <a:ext uri="{FF2B5EF4-FFF2-40B4-BE49-F238E27FC236}">
                  <a16:creationId xmlns:a16="http://schemas.microsoft.com/office/drawing/2014/main" id="{39E58D9A-D3C6-44CA-863A-BE15222A48E2}"/>
                </a:ext>
              </a:extLst>
            </xdr:cNvPr>
            <xdr:cNvSpPr/>
          </xdr:nvSpPr>
          <xdr:spPr>
            <a:xfrm>
              <a:off x="23774400" y="14387828"/>
              <a:ext cx="4815257" cy="1220474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sp macro="" textlink="">
          <xdr:nvSpPr>
            <xdr:cNvPr id="13" name="Retângulo 12">
              <a:extLst>
                <a:ext uri="{FF2B5EF4-FFF2-40B4-BE49-F238E27FC236}">
                  <a16:creationId xmlns:a16="http://schemas.microsoft.com/office/drawing/2014/main" id="{975C4812-9CB2-4690-BF00-90C779BCD6B5}"/>
                </a:ext>
              </a:extLst>
            </xdr:cNvPr>
            <xdr:cNvSpPr/>
          </xdr:nvSpPr>
          <xdr:spPr>
            <a:xfrm>
              <a:off x="16764000" y="16411762"/>
              <a:ext cx="4815257" cy="1218918"/>
            </a:xfrm>
            <a:prstGeom prst="rect">
              <a:avLst/>
            </a:prstGeom>
            <a:solidFill>
              <a:schemeClr val="bg1"/>
            </a:solidFill>
            <a:effectLst/>
            <a:scene3d>
              <a:camera prst="orthographicFront"/>
              <a:lightRig rig="threePt" dir="t"/>
            </a:scene3d>
            <a:sp3d>
              <a:bevelT w="114300" prst="artDeco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2000" b="1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</xdr:grpSp>
    </xdr:grpSp>
    <xdr:clientData/>
  </xdr:twoCellAnchor>
  <xdr:twoCellAnchor>
    <xdr:from>
      <xdr:col>0</xdr:col>
      <xdr:colOff>55420</xdr:colOff>
      <xdr:row>1</xdr:row>
      <xdr:rowOff>55420</xdr:rowOff>
    </xdr:from>
    <xdr:to>
      <xdr:col>0</xdr:col>
      <xdr:colOff>512620</xdr:colOff>
      <xdr:row>1</xdr:row>
      <xdr:rowOff>512620</xdr:rowOff>
    </xdr:to>
    <xdr:sp macro="[0]!BotaoComLogin" textlink="">
      <xdr:nvSpPr>
        <xdr:cNvPr id="15" name="Círculo: Vazio 14">
          <a:extLst>
            <a:ext uri="{FF2B5EF4-FFF2-40B4-BE49-F238E27FC236}">
              <a16:creationId xmlns:a16="http://schemas.microsoft.com/office/drawing/2014/main" id="{712F380D-EDC3-4A67-AE6E-466806333055}"/>
            </a:ext>
          </a:extLst>
        </xdr:cNvPr>
        <xdr:cNvSpPr/>
      </xdr:nvSpPr>
      <xdr:spPr>
        <a:xfrm>
          <a:off x="55420" y="831275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0B25C55-E74E-48A4-82A6-4D0589666D1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1990723" y="0"/>
          <a:ext cx="1021618" cy="781050"/>
          <a:chOff x="1993654" y="0"/>
          <a:chExt cx="1022595" cy="781538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E8C459F-EE69-4FF8-B46C-B1A0D0B395D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A9AAB4-713C-4DC9-B950-AC7C81E67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B1AE6ED-000B-4416-92CD-EFB3AEC638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1801396</xdr:colOff>
      <xdr:row>1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57696C48-F3E1-4819-8DDF-0360B76B2610}"/>
            </a:ext>
          </a:extLst>
        </xdr:cNvPr>
        <xdr:cNvGrpSpPr/>
      </xdr:nvGrpSpPr>
      <xdr:grpSpPr>
        <a:xfrm>
          <a:off x="3126443" y="0"/>
          <a:ext cx="1113353" cy="781050"/>
          <a:chOff x="3131328" y="0"/>
          <a:chExt cx="1118289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0C1432B-9E4F-4268-97FD-B0C8B98E57D1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56A50C6-E141-428C-8AC3-A62572C2A4B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17FC7D0-0E5A-4807-9645-87EB83D74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19775</xdr:colOff>
      <xdr:row>0</xdr:row>
      <xdr:rowOff>0</xdr:rowOff>
    </xdr:from>
    <xdr:to>
      <xdr:col>6</xdr:col>
      <xdr:colOff>289004</xdr:colOff>
      <xdr:row>1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C2C7D12-A54B-48EC-8505-9BF8BB2276B0}"/>
            </a:ext>
          </a:extLst>
        </xdr:cNvPr>
        <xdr:cNvGrpSpPr/>
      </xdr:nvGrpSpPr>
      <xdr:grpSpPr>
        <a:xfrm>
          <a:off x="4439375" y="0"/>
          <a:ext cx="1107429" cy="781050"/>
          <a:chOff x="4450172" y="0"/>
          <a:chExt cx="1118289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3D04992B-4837-4B9B-A40E-B1834060012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54D02613-BEE2-489D-ABD2-0915D3917C4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EBB1EE4-DF7D-40DE-81BF-A3627801F0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497814</xdr:colOff>
      <xdr:row>0</xdr:row>
      <xdr:rowOff>0</xdr:rowOff>
    </xdr:from>
    <xdr:to>
      <xdr:col>7</xdr:col>
      <xdr:colOff>533494</xdr:colOff>
      <xdr:row>1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42FAB1E2-40D5-422C-BF3D-254710094740}"/>
            </a:ext>
          </a:extLst>
        </xdr:cNvPr>
        <xdr:cNvGrpSpPr/>
      </xdr:nvGrpSpPr>
      <xdr:grpSpPr>
        <a:xfrm>
          <a:off x="5755614" y="0"/>
          <a:ext cx="1102480" cy="781050"/>
          <a:chOff x="5781229" y="0"/>
          <a:chExt cx="1118289" cy="781538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37989574-7B25-40E2-A7B9-87FCFDD5190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8EFB523-F328-49FA-9804-053D87900CB4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7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48F8317-CF0A-450E-B952-29E461A402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738649</xdr:colOff>
      <xdr:row>0</xdr:row>
      <xdr:rowOff>0</xdr:rowOff>
    </xdr:from>
    <xdr:to>
      <xdr:col>9</xdr:col>
      <xdr:colOff>15991</xdr:colOff>
      <xdr:row>1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D5B9E2E4-007D-488D-842A-D9233B83D527}"/>
            </a:ext>
          </a:extLst>
        </xdr:cNvPr>
        <xdr:cNvGrpSpPr/>
      </xdr:nvGrpSpPr>
      <xdr:grpSpPr>
        <a:xfrm>
          <a:off x="7063249" y="0"/>
          <a:ext cx="1125192" cy="781050"/>
          <a:chOff x="7112293" y="0"/>
          <a:chExt cx="1118289" cy="781538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AE44363D-7A13-4271-9017-B1BFEE8C01F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E651B490-158D-409B-BCF6-243F2DA605B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1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4359007-6860-4C65-9563-985E6D65E6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228764</xdr:colOff>
      <xdr:row>0</xdr:row>
      <xdr:rowOff>0</xdr:rowOff>
    </xdr:from>
    <xdr:to>
      <xdr:col>10</xdr:col>
      <xdr:colOff>4177</xdr:colOff>
      <xdr:row>1</xdr:row>
      <xdr:rowOff>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9D137850-2684-4325-B684-086AD5562A7C}"/>
            </a:ext>
          </a:extLst>
        </xdr:cNvPr>
        <xdr:cNvGrpSpPr/>
      </xdr:nvGrpSpPr>
      <xdr:grpSpPr>
        <a:xfrm>
          <a:off x="8401214" y="0"/>
          <a:ext cx="1108913" cy="781050"/>
          <a:chOff x="8443355" y="0"/>
          <a:chExt cx="1118289" cy="781538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9EA586B5-BD38-4068-9E4D-DC3B16DBA51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D9C02994-4538-445A-84DB-8B92522C6BF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5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9D505FE-6937-43F3-86D7-9E1D2B967F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212017</xdr:colOff>
      <xdr:row>0</xdr:row>
      <xdr:rowOff>0</xdr:rowOff>
    </xdr:from>
    <xdr:to>
      <xdr:col>11</xdr:col>
      <xdr:colOff>399095</xdr:colOff>
      <xdr:row>1</xdr:row>
      <xdr:rowOff>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590E252F-26EF-4EE1-B726-AF4FBD886D72}"/>
            </a:ext>
          </a:extLst>
        </xdr:cNvPr>
        <xdr:cNvGrpSpPr/>
      </xdr:nvGrpSpPr>
      <xdr:grpSpPr>
        <a:xfrm>
          <a:off x="9717967" y="0"/>
          <a:ext cx="1101478" cy="781050"/>
          <a:chOff x="9774419" y="0"/>
          <a:chExt cx="1118289" cy="781538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1E1A96CA-5AE8-48CD-8806-05D97FBBC24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FD744C1A-E4F9-4D75-B341-D989E65086FB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511815E-53F8-4CCD-AEAC-375C863E69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610883</xdr:colOff>
      <xdr:row>0</xdr:row>
      <xdr:rowOff>0</xdr:rowOff>
    </xdr:from>
    <xdr:to>
      <xdr:col>13</xdr:col>
      <xdr:colOff>226970</xdr:colOff>
      <xdr:row>1</xdr:row>
      <xdr:rowOff>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CA432A8F-D678-45A0-B019-17112C08B256}"/>
            </a:ext>
          </a:extLst>
        </xdr:cNvPr>
        <xdr:cNvGrpSpPr/>
      </xdr:nvGrpSpPr>
      <xdr:grpSpPr>
        <a:xfrm>
          <a:off x="11031233" y="0"/>
          <a:ext cx="1101987" cy="781050"/>
          <a:chOff x="11105473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3BB8FEDE-FDF5-48F6-B770-790D8C85F8A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671B47B2-D085-4696-A3CF-0206ACCB9F88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F30EA46-A335-42BD-BAB2-4ECA385D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307FE523-6BE3-45DF-9530-154B9A28BABB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7</xdr:col>
      <xdr:colOff>350322</xdr:colOff>
      <xdr:row>1</xdr:row>
      <xdr:rowOff>68383</xdr:rowOff>
    </xdr:from>
    <xdr:to>
      <xdr:col>9</xdr:col>
      <xdr:colOff>400893</xdr:colOff>
      <xdr:row>1</xdr:row>
      <xdr:rowOff>498229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680D0889-A939-4570-A855-D11118A4B60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6690162" y="845623"/>
          <a:ext cx="190223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4</xdr:col>
      <xdr:colOff>1219200</xdr:colOff>
      <xdr:row>1</xdr:row>
      <xdr:rowOff>68383</xdr:rowOff>
    </xdr:from>
    <xdr:to>
      <xdr:col>6</xdr:col>
      <xdr:colOff>284119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CC48E4A9-9798-477D-B0E1-C63F365034B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3657600" y="845623"/>
          <a:ext cx="1891939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0</xdr:colOff>
      <xdr:row>0</xdr:row>
      <xdr:rowOff>773302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05CA310-D6A8-490B-9653-6B5CC81DD78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1303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3</xdr:col>
      <xdr:colOff>171450</xdr:colOff>
      <xdr:row>4</xdr:row>
      <xdr:rowOff>114301</xdr:rowOff>
    </xdr:from>
    <xdr:to>
      <xdr:col>12</xdr:col>
      <xdr:colOff>128174</xdr:colOff>
      <xdr:row>37</xdr:row>
      <xdr:rowOff>38100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412D5A57-627C-4741-9A27-9311E16397D8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>
          <a:alphaModFix amt="23000"/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2000250" y="1866901"/>
          <a:ext cx="9386474" cy="8477249"/>
        </a:xfrm>
        <a:prstGeom prst="rect">
          <a:avLst/>
        </a:prstGeom>
      </xdr:spPr>
    </xdr:pic>
    <xdr:clientData/>
  </xdr:twoCellAnchor>
  <xdr:twoCellAnchor editAs="absolute">
    <xdr:from>
      <xdr:col>15</xdr:col>
      <xdr:colOff>400050</xdr:colOff>
      <xdr:row>1</xdr:row>
      <xdr:rowOff>57150</xdr:rowOff>
    </xdr:from>
    <xdr:to>
      <xdr:col>16</xdr:col>
      <xdr:colOff>247650</xdr:colOff>
      <xdr:row>1</xdr:row>
      <xdr:rowOff>514350</xdr:rowOff>
    </xdr:to>
    <xdr:sp macro="[0]!BotaoComLogin" textlink="">
      <xdr:nvSpPr>
        <xdr:cNvPr id="40" name="Círculo: Vazio 39">
          <a:extLst>
            <a:ext uri="{FF2B5EF4-FFF2-40B4-BE49-F238E27FC236}">
              <a16:creationId xmlns:a16="http://schemas.microsoft.com/office/drawing/2014/main" id="{BEE4D8CC-DE1C-4AB1-9932-0BC116B83D3D}"/>
            </a:ext>
          </a:extLst>
        </xdr:cNvPr>
        <xdr:cNvSpPr/>
      </xdr:nvSpPr>
      <xdr:spPr>
        <a:xfrm>
          <a:off x="14058900" y="8382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4</xdr:col>
      <xdr:colOff>1245042</xdr:colOff>
      <xdr:row>5</xdr:row>
      <xdr:rowOff>171449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2119BC-029B-45F6-ACBF-276B04306587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640200</xdr:colOff>
      <xdr:row>3</xdr:row>
      <xdr:rowOff>201150</xdr:rowOff>
    </xdr:from>
    <xdr:to>
      <xdr:col>16</xdr:col>
      <xdr:colOff>190500</xdr:colOff>
      <xdr:row>6</xdr:row>
      <xdr:rowOff>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3EB06236-FA36-42B1-8B0C-F2FD642A17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6</xdr:col>
      <xdr:colOff>590550</xdr:colOff>
      <xdr:row>3</xdr:row>
      <xdr:rowOff>201150</xdr:rowOff>
    </xdr:from>
    <xdr:to>
      <xdr:col>9</xdr:col>
      <xdr:colOff>1074300</xdr:colOff>
      <xdr:row>6</xdr:row>
      <xdr:rowOff>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73DC564-DAE4-4475-B1D9-F21F5DC9DCD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476983</xdr:colOff>
      <xdr:row>35</xdr:row>
      <xdr:rowOff>293668</xdr:rowOff>
    </xdr:from>
    <xdr:to>
      <xdr:col>19</xdr:col>
      <xdr:colOff>723900</xdr:colOff>
      <xdr:row>38</xdr:row>
      <xdr:rowOff>171450</xdr:rowOff>
    </xdr:to>
    <xdr:sp macro="[1]!REQ_M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4CAC7DE0-2950-4685-853F-0E7DD42F235F}"/>
            </a:ext>
          </a:extLst>
        </xdr:cNvPr>
        <xdr:cNvSpPr/>
      </xdr:nvSpPr>
      <xdr:spPr>
        <a:xfrm>
          <a:off x="18136333" y="13266718"/>
          <a:ext cx="1694717" cy="9636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438150</xdr:colOff>
      <xdr:row>3</xdr:row>
      <xdr:rowOff>0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38FC62B-9EB5-0901-C91F-4E877B57F87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11303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28572</xdr:colOff>
      <xdr:row>0</xdr:row>
      <xdr:rowOff>0</xdr:rowOff>
    </xdr:from>
    <xdr:to>
      <xdr:col>4</xdr:col>
      <xdr:colOff>1488916</xdr:colOff>
      <xdr:row>3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00000000-0008-0000-0400-00002500000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66972" y="0"/>
          <a:ext cx="1460344" cy="1162050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708568</xdr:colOff>
      <xdr:row>0</xdr:row>
      <xdr:rowOff>0</xdr:rowOff>
    </xdr:from>
    <xdr:to>
      <xdr:col>8</xdr:col>
      <xdr:colOff>90242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pSpPr/>
      </xdr:nvGrpSpPr>
      <xdr:grpSpPr>
        <a:xfrm>
          <a:off x="5966368" y="0"/>
          <a:ext cx="1591474" cy="1162050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10</xdr:col>
      <xdr:colOff>90944</xdr:colOff>
      <xdr:row>0</xdr:row>
      <xdr:rowOff>0</xdr:rowOff>
    </xdr:from>
    <xdr:to>
      <xdr:col>11</xdr:col>
      <xdr:colOff>775110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9596894" y="0"/>
          <a:ext cx="1598566" cy="1162050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185262</xdr:colOff>
      <xdr:row>0</xdr:row>
      <xdr:rowOff>0</xdr:rowOff>
    </xdr:from>
    <xdr:to>
      <xdr:col>16</xdr:col>
      <xdr:colOff>557553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13234512" y="0"/>
          <a:ext cx="1591491" cy="1162050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17</xdr:col>
      <xdr:colOff>272505</xdr:colOff>
      <xdr:row>0</xdr:row>
      <xdr:rowOff>0</xdr:rowOff>
    </xdr:from>
    <xdr:to>
      <xdr:col>18</xdr:col>
      <xdr:colOff>817993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16865055" y="0"/>
          <a:ext cx="1612288" cy="1162050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75745</xdr:colOff>
      <xdr:row>0</xdr:row>
      <xdr:rowOff>0</xdr:rowOff>
    </xdr:from>
    <xdr:to>
      <xdr:col>21</xdr:col>
      <xdr:colOff>678052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pSpPr/>
      </xdr:nvGrpSpPr>
      <xdr:grpSpPr>
        <a:xfrm>
          <a:off x="20516395" y="0"/>
          <a:ext cx="1592907" cy="1162050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278704</xdr:colOff>
      <xdr:row>0</xdr:row>
      <xdr:rowOff>0</xdr:rowOff>
    </xdr:from>
    <xdr:to>
      <xdr:col>26</xdr:col>
      <xdr:colOff>39962</xdr:colOff>
      <xdr:row>3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pSpPr/>
      </xdr:nvGrpSpPr>
      <xdr:grpSpPr>
        <a:xfrm>
          <a:off x="24148354" y="0"/>
          <a:ext cx="1590058" cy="1162050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250214</xdr:colOff>
      <xdr:row>0</xdr:row>
      <xdr:rowOff>0</xdr:rowOff>
    </xdr:from>
    <xdr:to>
      <xdr:col>32</xdr:col>
      <xdr:colOff>19982</xdr:colOff>
      <xdr:row>3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pSpPr/>
      </xdr:nvGrpSpPr>
      <xdr:grpSpPr>
        <a:xfrm>
          <a:off x="27777464" y="0"/>
          <a:ext cx="1598568" cy="1162050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35</xdr:col>
      <xdr:colOff>230232</xdr:colOff>
      <xdr:row>0</xdr:row>
      <xdr:rowOff>0</xdr:rowOff>
    </xdr:from>
    <xdr:to>
      <xdr:col>38</xdr:col>
      <xdr:colOff>0</xdr:colOff>
      <xdr:row>3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84BF345-5BA1-42CE-B6A1-FF46A8AFDACD}"/>
            </a:ext>
          </a:extLst>
        </xdr:cNvPr>
        <xdr:cNvGrpSpPr/>
      </xdr:nvGrpSpPr>
      <xdr:grpSpPr>
        <a:xfrm>
          <a:off x="31415082" y="0"/>
          <a:ext cx="1598568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5B2F2C7A-3A41-4FD6-8E57-2F20D4C9347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5BE5CBCE-1F2B-4C43-B8BF-50E810590013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9" name="Imagem 48" descr="Ícone do banco de dados (símbolo png) preto">
            <a:extLst>
              <a:ext uri="{FF2B5EF4-FFF2-40B4-BE49-F238E27FC236}">
                <a16:creationId xmlns:a16="http://schemas.microsoft.com/office/drawing/2014/main" id="{F2B3580B-7D1F-46B1-832E-F7B561C22E1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9</xdr:col>
      <xdr:colOff>533400</xdr:colOff>
      <xdr:row>10</xdr:row>
      <xdr:rowOff>0</xdr:rowOff>
    </xdr:from>
    <xdr:to>
      <xdr:col>9</xdr:col>
      <xdr:colOff>990600</xdr:colOff>
      <xdr:row>11</xdr:row>
      <xdr:rowOff>133350</xdr:rowOff>
    </xdr:to>
    <xdr:sp macro="[0]!BotaoComLogin" textlink="">
      <xdr:nvSpPr>
        <xdr:cNvPr id="45" name="Círculo: Vazio 44">
          <a:extLst>
            <a:ext uri="{FF2B5EF4-FFF2-40B4-BE49-F238E27FC236}">
              <a16:creationId xmlns:a16="http://schemas.microsoft.com/office/drawing/2014/main" id="{6E142909-A74A-4D01-B03D-5B89DDB07F93}"/>
            </a:ext>
          </a:extLst>
        </xdr:cNvPr>
        <xdr:cNvSpPr/>
      </xdr:nvSpPr>
      <xdr:spPr>
        <a:xfrm>
          <a:off x="8705850" y="28956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16</xdr:col>
      <xdr:colOff>1878450</xdr:colOff>
      <xdr:row>3</xdr:row>
      <xdr:rowOff>182100</xdr:rowOff>
    </xdr:from>
    <xdr:to>
      <xdr:col>19</xdr:col>
      <xdr:colOff>438150</xdr:colOff>
      <xdr:row>5</xdr:row>
      <xdr:rowOff>171450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BBE69C41-F214-4756-A858-082FE8EB997D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469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285750</xdr:colOff>
      <xdr:row>3</xdr:row>
      <xdr:rowOff>182682</xdr:rowOff>
    </xdr:from>
    <xdr:to>
      <xdr:col>6</xdr:col>
      <xdr:colOff>25842</xdr:colOff>
      <xdr:row>5</xdr:row>
      <xdr:rowOff>171449</xdr:rowOff>
    </xdr:to>
    <xdr:sp macro="" textlink="">
      <xdr:nvSpPr>
        <xdr:cNvPr id="78" name="Retângulo 77">
          <a:extLst>
            <a:ext uri="{FF2B5EF4-FFF2-40B4-BE49-F238E27FC236}">
              <a16:creationId xmlns:a16="http://schemas.microsoft.com/office/drawing/2014/main" id="{6387E164-EE07-4080-A517-A2AC7830177E}"/>
            </a:ext>
          </a:extLst>
        </xdr:cNvPr>
        <xdr:cNvSpPr/>
      </xdr:nvSpPr>
      <xdr:spPr>
        <a:xfrm>
          <a:off x="285750" y="1344732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1306950</xdr:colOff>
      <xdr:row>3</xdr:row>
      <xdr:rowOff>201150</xdr:rowOff>
    </xdr:from>
    <xdr:to>
      <xdr:col>17</xdr:col>
      <xdr:colOff>1104900</xdr:colOff>
      <xdr:row>6</xdr:row>
      <xdr:rowOff>0</xdr:rowOff>
    </xdr:to>
    <xdr:sp macro="" textlink="">
      <xdr:nvSpPr>
        <xdr:cNvPr id="79" name="Retângulo 78">
          <a:extLst>
            <a:ext uri="{FF2B5EF4-FFF2-40B4-BE49-F238E27FC236}">
              <a16:creationId xmlns:a16="http://schemas.microsoft.com/office/drawing/2014/main" id="{6B9085FD-6DBC-43D7-9686-6C53E958877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9</xdr:col>
      <xdr:colOff>361950</xdr:colOff>
      <xdr:row>3</xdr:row>
      <xdr:rowOff>201150</xdr:rowOff>
    </xdr:from>
    <xdr:to>
      <xdr:col>12</xdr:col>
      <xdr:colOff>102750</xdr:colOff>
      <xdr:row>6</xdr:row>
      <xdr:rowOff>0</xdr:rowOff>
    </xdr:to>
    <xdr:sp macro="" textlink="">
      <xdr:nvSpPr>
        <xdr:cNvPr id="80" name="Retângulo 79">
          <a:extLst>
            <a:ext uri="{FF2B5EF4-FFF2-40B4-BE49-F238E27FC236}">
              <a16:creationId xmlns:a16="http://schemas.microsoft.com/office/drawing/2014/main" id="{DB25D4EA-B2B7-492C-9C81-6A37759D5B17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1" name="Imagem 80">
          <a:extLst>
            <a:ext uri="{FF2B5EF4-FFF2-40B4-BE49-F238E27FC236}">
              <a16:creationId xmlns:a16="http://schemas.microsoft.com/office/drawing/2014/main" id="{9DED9435-1324-498D-9FE9-B350CFD762A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19050</xdr:colOff>
      <xdr:row>0</xdr:row>
      <xdr:rowOff>0</xdr:rowOff>
    </xdr:from>
    <xdr:to>
      <xdr:col>32</xdr:col>
      <xdr:colOff>2002158</xdr:colOff>
      <xdr:row>3</xdr:row>
      <xdr:rowOff>0</xdr:rowOff>
    </xdr:to>
    <xdr:grpSp>
      <xdr:nvGrpSpPr>
        <xdr:cNvPr id="154" name="Agrupar 153">
          <a:extLst>
            <a:ext uri="{FF2B5EF4-FFF2-40B4-BE49-F238E27FC236}">
              <a16:creationId xmlns:a16="http://schemas.microsoft.com/office/drawing/2014/main" id="{1C824415-D25E-4C49-9A3F-F1BB86BA63DF}"/>
            </a:ext>
          </a:extLst>
        </xdr:cNvPr>
        <xdr:cNvGrpSpPr/>
      </xdr:nvGrpSpPr>
      <xdr:grpSpPr>
        <a:xfrm>
          <a:off x="2457450" y="0"/>
          <a:ext cx="30539058" cy="1162050"/>
          <a:chOff x="2419350" y="0"/>
          <a:chExt cx="30546678" cy="1162050"/>
        </a:xfrm>
      </xdr:grpSpPr>
      <xdr:grpSp>
        <xdr:nvGrpSpPr>
          <xdr:cNvPr id="82" name="Agrupar 81">
            <a:extLst>
              <a:ext uri="{FF2B5EF4-FFF2-40B4-BE49-F238E27FC236}">
                <a16:creationId xmlns:a16="http://schemas.microsoft.com/office/drawing/2014/main" id="{589C5E3B-0210-4312-8F84-3C19C230E2B1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19350" y="0"/>
            <a:ext cx="1460344" cy="1162050"/>
            <a:chOff x="1993654" y="0"/>
            <a:chExt cx="1022595" cy="781538"/>
          </a:xfrm>
        </xdr:grpSpPr>
        <xdr:sp macro="" textlink="">
          <xdr:nvSpPr>
            <xdr:cNvPr id="83" name="Retângulo 82">
              <a:extLst>
                <a:ext uri="{FF2B5EF4-FFF2-40B4-BE49-F238E27FC236}">
                  <a16:creationId xmlns:a16="http://schemas.microsoft.com/office/drawing/2014/main" id="{D561E60B-0AE3-4DF0-AC58-08ECE6B88B04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84" name="Imagem 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33E6DC5B-0213-42D1-935C-FA54DEAE5E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85" name="CaixaDeTexto 84">
              <a:extLst>
                <a:ext uri="{FF2B5EF4-FFF2-40B4-BE49-F238E27FC236}">
                  <a16:creationId xmlns:a16="http://schemas.microsoft.com/office/drawing/2014/main" id="{B9483C08-6B73-4343-BEB9-85E0AF3666F7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86" name="Agrupar 85">
            <a:extLst>
              <a:ext uri="{FF2B5EF4-FFF2-40B4-BE49-F238E27FC236}">
                <a16:creationId xmlns:a16="http://schemas.microsoft.com/office/drawing/2014/main" id="{B1002987-3E6C-4D5F-B59E-A4CC79289F16}"/>
              </a:ext>
            </a:extLst>
          </xdr:cNvPr>
          <xdr:cNvGrpSpPr/>
        </xdr:nvGrpSpPr>
        <xdr:grpSpPr>
          <a:xfrm>
            <a:off x="5918746" y="0"/>
            <a:ext cx="1591474" cy="1162050"/>
            <a:chOff x="3131328" y="0"/>
            <a:chExt cx="1118289" cy="781538"/>
          </a:xfrm>
        </xdr:grpSpPr>
        <xdr:sp macro="" textlink="">
          <xdr:nvSpPr>
            <xdr:cNvPr id="87" name="Retângulo 86">
              <a:extLst>
                <a:ext uri="{FF2B5EF4-FFF2-40B4-BE49-F238E27FC236}">
                  <a16:creationId xmlns:a16="http://schemas.microsoft.com/office/drawing/2014/main" id="{90619BF4-3616-40F4-80EB-7CC2AC199477}"/>
                </a:ext>
              </a:extLst>
            </xdr:cNvPr>
            <xdr:cNvSpPr/>
          </xdr:nvSpPr>
          <xdr:spPr>
            <a:xfrm>
              <a:off x="3178174" y="0"/>
              <a:ext cx="1022595" cy="7815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88" name="CaixaDeTexto 87">
              <a:extLst>
                <a:ext uri="{FF2B5EF4-FFF2-40B4-BE49-F238E27FC236}">
                  <a16:creationId xmlns:a16="http://schemas.microsoft.com/office/drawing/2014/main" id="{4F3813B2-4073-4C9B-A291-27692851523B}"/>
                </a:ext>
              </a:extLst>
            </xdr:cNvPr>
            <xdr:cNvSpPr txBox="1"/>
          </xdr:nvSpPr>
          <xdr:spPr>
            <a:xfrm rot="10800000" flipH="1" flipV="1">
              <a:off x="3131328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89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5980F89-0F4A-4661-A3FD-4F7F3E69B57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80365" y="84878"/>
              <a:ext cx="418213" cy="416396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90" name="Agrupar 89">
            <a:extLst>
              <a:ext uri="{FF2B5EF4-FFF2-40B4-BE49-F238E27FC236}">
                <a16:creationId xmlns:a16="http://schemas.microsoft.com/office/drawing/2014/main" id="{5A287940-66C6-4E30-880A-4457D2C94C27}"/>
              </a:ext>
            </a:extLst>
          </xdr:cNvPr>
          <xdr:cNvGrpSpPr/>
        </xdr:nvGrpSpPr>
        <xdr:grpSpPr>
          <a:xfrm>
            <a:off x="9549272" y="0"/>
            <a:ext cx="1598566" cy="1162050"/>
            <a:chOff x="4450172" y="0"/>
            <a:chExt cx="1118289" cy="781538"/>
          </a:xfrm>
        </xdr:grpSpPr>
        <xdr:sp macro="" textlink="">
          <xdr:nvSpPr>
            <xdr:cNvPr id="91" name="Retângulo 90">
              <a:extLst>
                <a:ext uri="{FF2B5EF4-FFF2-40B4-BE49-F238E27FC236}">
                  <a16:creationId xmlns:a16="http://schemas.microsoft.com/office/drawing/2014/main" id="{477C8117-517F-444F-923E-E1622CC1267A}"/>
                </a:ext>
              </a:extLst>
            </xdr:cNvPr>
            <xdr:cNvSpPr/>
          </xdr:nvSpPr>
          <xdr:spPr>
            <a:xfrm>
              <a:off x="4484806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2" name="CaixaDeTexto 91">
              <a:extLst>
                <a:ext uri="{FF2B5EF4-FFF2-40B4-BE49-F238E27FC236}">
                  <a16:creationId xmlns:a16="http://schemas.microsoft.com/office/drawing/2014/main" id="{1D04AB98-DFE2-4DFD-B98E-8E20BE2773E0}"/>
                </a:ext>
              </a:extLst>
            </xdr:cNvPr>
            <xdr:cNvSpPr txBox="1"/>
          </xdr:nvSpPr>
          <xdr:spPr>
            <a:xfrm rot="10800000" flipH="1" flipV="1">
              <a:off x="4450172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93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7C01576-EFB7-41CE-BCCF-86B84C82AC1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786997" y="91651"/>
              <a:ext cx="418213" cy="402850"/>
            </a:xfrm>
            <a:prstGeom prst="rect">
              <a:avLst/>
            </a:prstGeom>
          </xdr:spPr>
        </xdr:pic>
      </xdr:grpSp>
      <xdr:grpSp>
        <xdr:nvGrpSpPr>
          <xdr:cNvPr id="94" name="Agrupar 93">
            <a:extLst>
              <a:ext uri="{FF2B5EF4-FFF2-40B4-BE49-F238E27FC236}">
                <a16:creationId xmlns:a16="http://schemas.microsoft.com/office/drawing/2014/main" id="{1717D999-06D0-43C0-9F5A-9586747A54DA}"/>
              </a:ext>
            </a:extLst>
          </xdr:cNvPr>
          <xdr:cNvGrpSpPr/>
        </xdr:nvGrpSpPr>
        <xdr:grpSpPr>
          <a:xfrm>
            <a:off x="13186890" y="0"/>
            <a:ext cx="1591491" cy="1162050"/>
            <a:chOff x="5781229" y="0"/>
            <a:chExt cx="1118289" cy="781538"/>
          </a:xfrm>
        </xdr:grpSpPr>
        <xdr:sp macro="" textlink="">
          <xdr:nvSpPr>
            <xdr:cNvPr id="95" name="Retângulo 94">
              <a:extLst>
                <a:ext uri="{FF2B5EF4-FFF2-40B4-BE49-F238E27FC236}">
                  <a16:creationId xmlns:a16="http://schemas.microsoft.com/office/drawing/2014/main" id="{6E40C190-452B-47D9-BD38-09E250DFC34A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6" name="CaixaDeTexto 95">
              <a:extLst>
                <a:ext uri="{FF2B5EF4-FFF2-40B4-BE49-F238E27FC236}">
                  <a16:creationId xmlns:a16="http://schemas.microsoft.com/office/drawing/2014/main" id="{910073FF-A866-4D21-8C25-FC7E981A84DE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97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57C84530-2434-4565-AB10-9FAD7F68E3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98" name="Agrupar 97">
            <a:extLst>
              <a:ext uri="{FF2B5EF4-FFF2-40B4-BE49-F238E27FC236}">
                <a16:creationId xmlns:a16="http://schemas.microsoft.com/office/drawing/2014/main" id="{5DCB2429-04C7-4F24-A616-0A2CA27BAA75}"/>
              </a:ext>
            </a:extLst>
          </xdr:cNvPr>
          <xdr:cNvGrpSpPr/>
        </xdr:nvGrpSpPr>
        <xdr:grpSpPr>
          <a:xfrm>
            <a:off x="16817433" y="0"/>
            <a:ext cx="1612288" cy="1162050"/>
            <a:chOff x="7112293" y="0"/>
            <a:chExt cx="1118289" cy="781538"/>
          </a:xfrm>
        </xdr:grpSpPr>
        <xdr:sp macro="" textlink="">
          <xdr:nvSpPr>
            <xdr:cNvPr id="99" name="Retângulo 98">
              <a:extLst>
                <a:ext uri="{FF2B5EF4-FFF2-40B4-BE49-F238E27FC236}">
                  <a16:creationId xmlns:a16="http://schemas.microsoft.com/office/drawing/2014/main" id="{28E9A8F6-4979-49AB-90DE-8544C9300A44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0" name="CaixaDeTexto 99">
              <a:extLst>
                <a:ext uri="{FF2B5EF4-FFF2-40B4-BE49-F238E27FC236}">
                  <a16:creationId xmlns:a16="http://schemas.microsoft.com/office/drawing/2014/main" id="{CFFFC0FA-663B-4507-AA1B-35E8CE49FE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101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ED9EB963-EF7C-47A3-AE4F-64CE0AADE00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02" name="Agrupar 101">
            <a:extLst>
              <a:ext uri="{FF2B5EF4-FFF2-40B4-BE49-F238E27FC236}">
                <a16:creationId xmlns:a16="http://schemas.microsoft.com/office/drawing/2014/main" id="{CF6E804E-4AA5-4A41-B1DA-F5770B7EE137}"/>
              </a:ext>
            </a:extLst>
          </xdr:cNvPr>
          <xdr:cNvGrpSpPr/>
        </xdr:nvGrpSpPr>
        <xdr:grpSpPr>
          <a:xfrm>
            <a:off x="20468773" y="0"/>
            <a:ext cx="1592907" cy="1162050"/>
            <a:chOff x="8443355" y="0"/>
            <a:chExt cx="1118289" cy="781538"/>
          </a:xfrm>
        </xdr:grpSpPr>
        <xdr:sp macro="" textlink="">
          <xdr:nvSpPr>
            <xdr:cNvPr id="103" name="Retângulo 102">
              <a:extLst>
                <a:ext uri="{FF2B5EF4-FFF2-40B4-BE49-F238E27FC236}">
                  <a16:creationId xmlns:a16="http://schemas.microsoft.com/office/drawing/2014/main" id="{8BBB1D6A-C7DB-4C4C-A41F-3B1A0D279754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4" name="CaixaDeTexto 103">
              <a:extLst>
                <a:ext uri="{FF2B5EF4-FFF2-40B4-BE49-F238E27FC236}">
                  <a16:creationId xmlns:a16="http://schemas.microsoft.com/office/drawing/2014/main" id="{41275F4A-808D-4684-81A8-118E6B1D6573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105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7FA3DB30-2C9D-4CF1-A3B5-CCF1987DBD5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06" name="Agrupar 105">
            <a:extLst>
              <a:ext uri="{FF2B5EF4-FFF2-40B4-BE49-F238E27FC236}">
                <a16:creationId xmlns:a16="http://schemas.microsoft.com/office/drawing/2014/main" id="{2354A111-05F6-4A34-826B-4EBDCA249D8E}"/>
              </a:ext>
            </a:extLst>
          </xdr:cNvPr>
          <xdr:cNvGrpSpPr/>
        </xdr:nvGrpSpPr>
        <xdr:grpSpPr>
          <a:xfrm>
            <a:off x="24100732" y="0"/>
            <a:ext cx="1590058" cy="1162050"/>
            <a:chOff x="9774419" y="0"/>
            <a:chExt cx="1118289" cy="781538"/>
          </a:xfrm>
        </xdr:grpSpPr>
        <xdr:sp macro="" textlink="">
          <xdr:nvSpPr>
            <xdr:cNvPr id="107" name="Retângulo 106">
              <a:extLst>
                <a:ext uri="{FF2B5EF4-FFF2-40B4-BE49-F238E27FC236}">
                  <a16:creationId xmlns:a16="http://schemas.microsoft.com/office/drawing/2014/main" id="{D0B29A8F-C30E-4D44-8DE5-4DBF46D1964D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08" name="CaixaDeTexto 107">
              <a:extLst>
                <a:ext uri="{FF2B5EF4-FFF2-40B4-BE49-F238E27FC236}">
                  <a16:creationId xmlns:a16="http://schemas.microsoft.com/office/drawing/2014/main" id="{E1A9F1F9-62A9-4542-992F-FA5992FBA7A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109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2D792FF3-9567-4CFD-A9D1-DCF64C2B712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110" name="Agrupar 109">
            <a:extLst>
              <a:ext uri="{FF2B5EF4-FFF2-40B4-BE49-F238E27FC236}">
                <a16:creationId xmlns:a16="http://schemas.microsoft.com/office/drawing/2014/main" id="{3DD06C74-ED99-41DB-876C-B0B0051B16F2}"/>
              </a:ext>
            </a:extLst>
          </xdr:cNvPr>
          <xdr:cNvGrpSpPr/>
        </xdr:nvGrpSpPr>
        <xdr:grpSpPr>
          <a:xfrm>
            <a:off x="27729842" y="0"/>
            <a:ext cx="1598568" cy="1162050"/>
            <a:chOff x="11105473" y="0"/>
            <a:chExt cx="1118289" cy="781538"/>
          </a:xfrm>
        </xdr:grpSpPr>
        <xdr:sp macro="" textlink="">
          <xdr:nvSpPr>
            <xdr:cNvPr id="111" name="Retângulo 110">
              <a:extLst>
                <a:ext uri="{FF2B5EF4-FFF2-40B4-BE49-F238E27FC236}">
                  <a16:creationId xmlns:a16="http://schemas.microsoft.com/office/drawing/2014/main" id="{22EDE107-0B14-4E02-83AF-E018D5B36EC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2" name="CaixaDeTexto 111">
              <a:extLst>
                <a:ext uri="{FF2B5EF4-FFF2-40B4-BE49-F238E27FC236}">
                  <a16:creationId xmlns:a16="http://schemas.microsoft.com/office/drawing/2014/main" id="{3CDAF0F0-1914-4C3A-93D6-1BBA48CFB9C9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113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E743116-B503-41BC-8D2D-FA2BCE40F8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114" name="Agrupar 113">
            <a:extLst>
              <a:ext uri="{FF2B5EF4-FFF2-40B4-BE49-F238E27FC236}">
                <a16:creationId xmlns:a16="http://schemas.microsoft.com/office/drawing/2014/main" id="{27A6B33B-FBCF-44A6-915C-CF8F7AD798F7}"/>
              </a:ext>
            </a:extLst>
          </xdr:cNvPr>
          <xdr:cNvGrpSpPr/>
        </xdr:nvGrpSpPr>
        <xdr:grpSpPr>
          <a:xfrm>
            <a:off x="31367460" y="0"/>
            <a:ext cx="1598568" cy="1162050"/>
            <a:chOff x="12260227" y="0"/>
            <a:chExt cx="1118316" cy="770164"/>
          </a:xfrm>
        </xdr:grpSpPr>
        <xdr:sp macro="" textlink="">
          <xdr:nvSpPr>
            <xdr:cNvPr id="115" name="Retângulo 114">
              <a:extLst>
                <a:ext uri="{FF2B5EF4-FFF2-40B4-BE49-F238E27FC236}">
                  <a16:creationId xmlns:a16="http://schemas.microsoft.com/office/drawing/2014/main" id="{BC884020-F4C9-4A36-8D69-15F1B5E49ACD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116" name="CaixaDeTexto 115">
              <a:extLst>
                <a:ext uri="{FF2B5EF4-FFF2-40B4-BE49-F238E27FC236}">
                  <a16:creationId xmlns:a16="http://schemas.microsoft.com/office/drawing/2014/main" id="{D82FA2FE-7866-46CC-A026-D80329A7B65A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117" name="Imagem 116" descr="Ícone do banco de dados (símbolo png) preto">
              <a:extLst>
                <a:ext uri="{FF2B5EF4-FFF2-40B4-BE49-F238E27FC236}">
                  <a16:creationId xmlns:a16="http://schemas.microsoft.com/office/drawing/2014/main" id="{398BF405-59FB-479E-A299-3EE8D145E01F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10</xdr:col>
      <xdr:colOff>228600</xdr:colOff>
      <xdr:row>11</xdr:row>
      <xdr:rowOff>266700</xdr:rowOff>
    </xdr:from>
    <xdr:to>
      <xdr:col>11</xdr:col>
      <xdr:colOff>76200</xdr:colOff>
      <xdr:row>13</xdr:row>
      <xdr:rowOff>0</xdr:rowOff>
    </xdr:to>
    <xdr:sp macro="[0]!BotaoComLogin" textlink="">
      <xdr:nvSpPr>
        <xdr:cNvPr id="155" name="Círculo: Vazio 154">
          <a:extLst>
            <a:ext uri="{FF2B5EF4-FFF2-40B4-BE49-F238E27FC236}">
              <a16:creationId xmlns:a16="http://schemas.microsoft.com/office/drawing/2014/main" id="{04326554-713E-405A-8100-28B8158D2B40}"/>
            </a:ext>
          </a:extLst>
        </xdr:cNvPr>
        <xdr:cNvSpPr/>
      </xdr:nvSpPr>
      <xdr:spPr>
        <a:xfrm>
          <a:off x="8153400" y="40386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17</xdr:col>
      <xdr:colOff>2781300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13F0E146-F0FE-4F12-9F3D-F635CF3A63A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535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1601931</xdr:colOff>
      <xdr:row>10</xdr:row>
      <xdr:rowOff>39831</xdr:rowOff>
    </xdr:from>
    <xdr:to>
      <xdr:col>18</xdr:col>
      <xdr:colOff>2059131</xdr:colOff>
      <xdr:row>11</xdr:row>
      <xdr:rowOff>135081</xdr:rowOff>
    </xdr:to>
    <xdr:sp macro="[0]!BotaoComLogin" textlink="">
      <xdr:nvSpPr>
        <xdr:cNvPr id="42" name="Círculo: Vazio 41">
          <a:extLst>
            <a:ext uri="{FF2B5EF4-FFF2-40B4-BE49-F238E27FC236}">
              <a16:creationId xmlns:a16="http://schemas.microsoft.com/office/drawing/2014/main" id="{4C408212-5FF6-4E4B-AA73-D17CA46703CB}"/>
            </a:ext>
          </a:extLst>
        </xdr:cNvPr>
        <xdr:cNvSpPr/>
      </xdr:nvSpPr>
      <xdr:spPr>
        <a:xfrm>
          <a:off x="15356031" y="3449781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98F6044-3435-4A9B-94D6-20C32595DB4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40</xdr:col>
      <xdr:colOff>325758</xdr:colOff>
      <xdr:row>3</xdr:row>
      <xdr:rowOff>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F1339A0B-5DB3-41E3-BBE0-E3F639E8901D}"/>
            </a:ext>
          </a:extLst>
        </xdr:cNvPr>
        <xdr:cNvGrpSpPr/>
      </xdr:nvGrpSpPr>
      <xdr:grpSpPr>
        <a:xfrm>
          <a:off x="2438400" y="0"/>
          <a:ext cx="30539058" cy="1162050"/>
          <a:chOff x="2419350" y="0"/>
          <a:chExt cx="30546678" cy="1162050"/>
        </a:xfrm>
      </xdr:grpSpPr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EA84ECBA-852C-4371-85E3-B393A6FD67ED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19350" y="0"/>
            <a:ext cx="1460344" cy="1162050"/>
            <a:chOff x="1993654" y="0"/>
            <a:chExt cx="1022595" cy="781538"/>
          </a:xfrm>
        </xdr:grpSpPr>
        <xdr:sp macro="" textlink="">
          <xdr:nvSpPr>
            <xdr:cNvPr id="78" name="Retângulo 77">
              <a:extLst>
                <a:ext uri="{FF2B5EF4-FFF2-40B4-BE49-F238E27FC236}">
                  <a16:creationId xmlns:a16="http://schemas.microsoft.com/office/drawing/2014/main" id="{97B5C298-5186-45F9-ACE4-6F589EA46488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9" name="Imagem 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13C98B25-D54B-4D2C-A4A7-7CBE11F4384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80" name="CaixaDeTexto 79">
              <a:extLst>
                <a:ext uri="{FF2B5EF4-FFF2-40B4-BE49-F238E27FC236}">
                  <a16:creationId xmlns:a16="http://schemas.microsoft.com/office/drawing/2014/main" id="{13F43AEB-3135-4367-8C65-9E5830A2898B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9B9FA6EF-0857-4BB7-82D8-DE8F5B4FD774}"/>
              </a:ext>
            </a:extLst>
          </xdr:cNvPr>
          <xdr:cNvGrpSpPr/>
        </xdr:nvGrpSpPr>
        <xdr:grpSpPr>
          <a:xfrm>
            <a:off x="5918746" y="0"/>
            <a:ext cx="1591474" cy="1162050"/>
            <a:chOff x="3131328" y="0"/>
            <a:chExt cx="1118289" cy="781538"/>
          </a:xfrm>
        </xdr:grpSpPr>
        <xdr:sp macro="" textlink="">
          <xdr:nvSpPr>
            <xdr:cNvPr id="75" name="Retângulo 74">
              <a:extLst>
                <a:ext uri="{FF2B5EF4-FFF2-40B4-BE49-F238E27FC236}">
                  <a16:creationId xmlns:a16="http://schemas.microsoft.com/office/drawing/2014/main" id="{C80BA942-1F5A-48F9-BD25-8AA0F756AD77}"/>
                </a:ext>
              </a:extLst>
            </xdr:cNvPr>
            <xdr:cNvSpPr/>
          </xdr:nvSpPr>
          <xdr:spPr>
            <a:xfrm>
              <a:off x="3178174" y="0"/>
              <a:ext cx="1022595" cy="7815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24F0708C-5F88-4E95-B1D4-28D81FA683B9}"/>
                </a:ext>
              </a:extLst>
            </xdr:cNvPr>
            <xdr:cNvSpPr txBox="1"/>
          </xdr:nvSpPr>
          <xdr:spPr>
            <a:xfrm rot="10800000" flipH="1" flipV="1">
              <a:off x="3131328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77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A44F4329-3612-4FFF-84E5-0F30FC13059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80365" y="84878"/>
              <a:ext cx="418213" cy="416396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47" name="Agrupar 46">
            <a:extLst>
              <a:ext uri="{FF2B5EF4-FFF2-40B4-BE49-F238E27FC236}">
                <a16:creationId xmlns:a16="http://schemas.microsoft.com/office/drawing/2014/main" id="{8154EC42-2C46-4267-ACCC-BC9E865C6C47}"/>
              </a:ext>
            </a:extLst>
          </xdr:cNvPr>
          <xdr:cNvGrpSpPr/>
        </xdr:nvGrpSpPr>
        <xdr:grpSpPr>
          <a:xfrm>
            <a:off x="9549272" y="0"/>
            <a:ext cx="1598566" cy="1162050"/>
            <a:chOff x="4450172" y="0"/>
            <a:chExt cx="1118289" cy="781538"/>
          </a:xfrm>
        </xdr:grpSpPr>
        <xdr:sp macro="" textlink="">
          <xdr:nvSpPr>
            <xdr:cNvPr id="72" name="Retângulo 71">
              <a:extLst>
                <a:ext uri="{FF2B5EF4-FFF2-40B4-BE49-F238E27FC236}">
                  <a16:creationId xmlns:a16="http://schemas.microsoft.com/office/drawing/2014/main" id="{D6869E5D-9A2E-4B0A-9888-5B3ED68AD70F}"/>
                </a:ext>
              </a:extLst>
            </xdr:cNvPr>
            <xdr:cNvSpPr/>
          </xdr:nvSpPr>
          <xdr:spPr>
            <a:xfrm>
              <a:off x="4484806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3" name="CaixaDeTexto 72">
              <a:extLst>
                <a:ext uri="{FF2B5EF4-FFF2-40B4-BE49-F238E27FC236}">
                  <a16:creationId xmlns:a16="http://schemas.microsoft.com/office/drawing/2014/main" id="{6C6BF8DA-D17B-4DD5-92D9-EE2A570787F3}"/>
                </a:ext>
              </a:extLst>
            </xdr:cNvPr>
            <xdr:cNvSpPr txBox="1"/>
          </xdr:nvSpPr>
          <xdr:spPr>
            <a:xfrm rot="10800000" flipH="1" flipV="1">
              <a:off x="4450172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74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19CA871-8EB2-4584-B12B-EBF54440230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786997" y="91651"/>
              <a:ext cx="418213" cy="402850"/>
            </a:xfrm>
            <a:prstGeom prst="rect">
              <a:avLst/>
            </a:prstGeom>
          </xdr:spPr>
        </xdr:pic>
      </xdr:grpSp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id="{57550321-A8E6-4279-BB4E-239A29FEF233}"/>
              </a:ext>
            </a:extLst>
          </xdr:cNvPr>
          <xdr:cNvGrpSpPr/>
        </xdr:nvGrpSpPr>
        <xdr:grpSpPr>
          <a:xfrm>
            <a:off x="13186890" y="0"/>
            <a:ext cx="1591491" cy="1162050"/>
            <a:chOff x="5781229" y="0"/>
            <a:chExt cx="1118289" cy="781538"/>
          </a:xfrm>
        </xdr:grpSpPr>
        <xdr:sp macro="" textlink="">
          <xdr:nvSpPr>
            <xdr:cNvPr id="69" name="Retângulo 68">
              <a:extLst>
                <a:ext uri="{FF2B5EF4-FFF2-40B4-BE49-F238E27FC236}">
                  <a16:creationId xmlns:a16="http://schemas.microsoft.com/office/drawing/2014/main" id="{3653972E-F014-4B36-AA65-70541A461D3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" name="CaixaDeTexto 69">
              <a:extLst>
                <a:ext uri="{FF2B5EF4-FFF2-40B4-BE49-F238E27FC236}">
                  <a16:creationId xmlns:a16="http://schemas.microsoft.com/office/drawing/2014/main" id="{53060750-9EB6-4011-9168-E1FBDAC49EA6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71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342FB37-CCAD-4CA5-9C10-E6C55086A9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49" name="Agrupar 48">
            <a:extLst>
              <a:ext uri="{FF2B5EF4-FFF2-40B4-BE49-F238E27FC236}">
                <a16:creationId xmlns:a16="http://schemas.microsoft.com/office/drawing/2014/main" id="{6EFEE672-8949-478D-8AC8-A907C0A6EBC8}"/>
              </a:ext>
            </a:extLst>
          </xdr:cNvPr>
          <xdr:cNvGrpSpPr/>
        </xdr:nvGrpSpPr>
        <xdr:grpSpPr>
          <a:xfrm>
            <a:off x="16817433" y="0"/>
            <a:ext cx="1612288" cy="1162050"/>
            <a:chOff x="7112293" y="0"/>
            <a:chExt cx="1118289" cy="781538"/>
          </a:xfrm>
        </xdr:grpSpPr>
        <xdr:sp macro="" textlink="">
          <xdr:nvSpPr>
            <xdr:cNvPr id="66" name="Retângulo 65">
              <a:extLst>
                <a:ext uri="{FF2B5EF4-FFF2-40B4-BE49-F238E27FC236}">
                  <a16:creationId xmlns:a16="http://schemas.microsoft.com/office/drawing/2014/main" id="{84474232-E6BB-4A99-A467-6AD9C49B41F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72B7B358-80D9-4E9A-BB85-ECE5178EFFB0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68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98DEBA7F-C3D2-4FDE-8DA7-DCD1DB2187B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927D7277-9A75-480B-BBFA-FA4CBD7C1776}"/>
              </a:ext>
            </a:extLst>
          </xdr:cNvPr>
          <xdr:cNvGrpSpPr/>
        </xdr:nvGrpSpPr>
        <xdr:grpSpPr>
          <a:xfrm>
            <a:off x="20468773" y="0"/>
            <a:ext cx="1592907" cy="1162050"/>
            <a:chOff x="8443355" y="0"/>
            <a:chExt cx="1118289" cy="781538"/>
          </a:xfrm>
        </xdr:grpSpPr>
        <xdr:sp macro="" textlink="">
          <xdr:nvSpPr>
            <xdr:cNvPr id="63" name="Retângulo 62">
              <a:extLst>
                <a:ext uri="{FF2B5EF4-FFF2-40B4-BE49-F238E27FC236}">
                  <a16:creationId xmlns:a16="http://schemas.microsoft.com/office/drawing/2014/main" id="{86FF84ED-7681-46B1-8D54-EB8235BB1066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" name="CaixaDeTexto 63">
              <a:extLst>
                <a:ext uri="{FF2B5EF4-FFF2-40B4-BE49-F238E27FC236}">
                  <a16:creationId xmlns:a16="http://schemas.microsoft.com/office/drawing/2014/main" id="{4E129A8C-6006-42CF-A3AD-66FB78E41F41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65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BA6CF66-B019-4092-BFB8-9F92B4E54C8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A6B30270-44C9-43C9-A115-D7E66F508BF5}"/>
              </a:ext>
            </a:extLst>
          </xdr:cNvPr>
          <xdr:cNvGrpSpPr/>
        </xdr:nvGrpSpPr>
        <xdr:grpSpPr>
          <a:xfrm>
            <a:off x="24100732" y="0"/>
            <a:ext cx="1590058" cy="1162050"/>
            <a:chOff x="9774419" y="0"/>
            <a:chExt cx="1118289" cy="781538"/>
          </a:xfrm>
        </xdr:grpSpPr>
        <xdr:sp macro="" textlink="">
          <xdr:nvSpPr>
            <xdr:cNvPr id="60" name="Retângulo 59">
              <a:extLst>
                <a:ext uri="{FF2B5EF4-FFF2-40B4-BE49-F238E27FC236}">
                  <a16:creationId xmlns:a16="http://schemas.microsoft.com/office/drawing/2014/main" id="{36A14DD1-E547-4F7F-8A0B-BC3441B2E1F4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" name="CaixaDeTexto 60">
              <a:extLst>
                <a:ext uri="{FF2B5EF4-FFF2-40B4-BE49-F238E27FC236}">
                  <a16:creationId xmlns:a16="http://schemas.microsoft.com/office/drawing/2014/main" id="{B6DDBD23-9A0E-4431-B7E8-66A194D3BF2E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62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AF074B2-3913-4F3E-B6C9-F2A26D90373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FD8EC3E9-2447-4C4E-9E31-735BB021337A}"/>
              </a:ext>
            </a:extLst>
          </xdr:cNvPr>
          <xdr:cNvGrpSpPr/>
        </xdr:nvGrpSpPr>
        <xdr:grpSpPr>
          <a:xfrm>
            <a:off x="27729842" y="0"/>
            <a:ext cx="1598568" cy="1162050"/>
            <a:chOff x="11105473" y="0"/>
            <a:chExt cx="1118289" cy="781538"/>
          </a:xfrm>
        </xdr:grpSpPr>
        <xdr:sp macro="" textlink="">
          <xdr:nvSpPr>
            <xdr:cNvPr id="57" name="Retângulo 56">
              <a:extLst>
                <a:ext uri="{FF2B5EF4-FFF2-40B4-BE49-F238E27FC236}">
                  <a16:creationId xmlns:a16="http://schemas.microsoft.com/office/drawing/2014/main" id="{46E21FDE-18B0-45EE-87B4-638ED06E102C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" name="CaixaDeTexto 57">
              <a:extLst>
                <a:ext uri="{FF2B5EF4-FFF2-40B4-BE49-F238E27FC236}">
                  <a16:creationId xmlns:a16="http://schemas.microsoft.com/office/drawing/2014/main" id="{A4A45D96-43F8-483C-B31A-48F7A4F72B24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59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27CC0839-E4C0-4789-BDF6-1867D344B7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2B6EC1C1-CC3C-4C57-86FA-B388B12A0312}"/>
              </a:ext>
            </a:extLst>
          </xdr:cNvPr>
          <xdr:cNvGrpSpPr/>
        </xdr:nvGrpSpPr>
        <xdr:grpSpPr>
          <a:xfrm>
            <a:off x="31367460" y="0"/>
            <a:ext cx="1598568" cy="1162050"/>
            <a:chOff x="12260227" y="0"/>
            <a:chExt cx="1118316" cy="770164"/>
          </a:xfrm>
        </xdr:grpSpPr>
        <xdr:sp macro="" textlink="">
          <xdr:nvSpPr>
            <xdr:cNvPr id="54" name="Retângulo 53">
              <a:extLst>
                <a:ext uri="{FF2B5EF4-FFF2-40B4-BE49-F238E27FC236}">
                  <a16:creationId xmlns:a16="http://schemas.microsoft.com/office/drawing/2014/main" id="{394F6C32-7F16-42C2-849D-5544A663B698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5" name="CaixaDeTexto 54">
              <a:extLst>
                <a:ext uri="{FF2B5EF4-FFF2-40B4-BE49-F238E27FC236}">
                  <a16:creationId xmlns:a16="http://schemas.microsoft.com/office/drawing/2014/main" id="{C8B2D1DA-3908-4422-9015-842A5E972543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56" name="Imagem 55" descr="Ícone do banco de dados (símbolo png) preto">
              <a:extLst>
                <a:ext uri="{FF2B5EF4-FFF2-40B4-BE49-F238E27FC236}">
                  <a16:creationId xmlns:a16="http://schemas.microsoft.com/office/drawing/2014/main" id="{8EEC6813-92F0-4CCE-B0FA-DD2284EC1C93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81" name="Retângulo 80">
          <a:extLst>
            <a:ext uri="{FF2B5EF4-FFF2-40B4-BE49-F238E27FC236}">
              <a16:creationId xmlns:a16="http://schemas.microsoft.com/office/drawing/2014/main" id="{01FCF6E8-6876-4350-BC64-77B42BD1437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18</xdr:col>
      <xdr:colOff>704850</xdr:colOff>
      <xdr:row>6</xdr:row>
      <xdr:rowOff>1</xdr:rowOff>
    </xdr:to>
    <xdr:sp macro="" textlink="">
      <xdr:nvSpPr>
        <xdr:cNvPr id="82" name="Retângulo 81">
          <a:extLst>
            <a:ext uri="{FF2B5EF4-FFF2-40B4-BE49-F238E27FC236}">
              <a16:creationId xmlns:a16="http://schemas.microsoft.com/office/drawing/2014/main" id="{0EB0024F-8E8A-418A-BE9D-A8C972EE363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83" name="Retângulo 82">
          <a:extLst>
            <a:ext uri="{FF2B5EF4-FFF2-40B4-BE49-F238E27FC236}">
              <a16:creationId xmlns:a16="http://schemas.microsoft.com/office/drawing/2014/main" id="{BC8D0F71-272B-4B75-BDD1-17351949F8B1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18</xdr:col>
      <xdr:colOff>3143250</xdr:colOff>
      <xdr:row>23</xdr:row>
      <xdr:rowOff>57150</xdr:rowOff>
    </xdr:from>
    <xdr:to>
      <xdr:col>21</xdr:col>
      <xdr:colOff>457200</xdr:colOff>
      <xdr:row>26</xdr:row>
      <xdr:rowOff>125432</xdr:rowOff>
    </xdr:to>
    <xdr:sp macro="[1]!REQ_MP" textlink="">
      <xdr:nvSpPr>
        <xdr:cNvPr id="84" name="Retângulo: Cantos Arredondados 83">
          <a:extLst>
            <a:ext uri="{FF2B5EF4-FFF2-40B4-BE49-F238E27FC236}">
              <a16:creationId xmlns:a16="http://schemas.microsoft.com/office/drawing/2014/main" id="{1617A9C8-3F1D-43C2-9C94-CA9ABB1EAB0D}"/>
            </a:ext>
          </a:extLst>
        </xdr:cNvPr>
        <xdr:cNvSpPr/>
      </xdr:nvSpPr>
      <xdr:spPr>
        <a:xfrm>
          <a:off x="16897350" y="81724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 editAs="absolute">
    <xdr:from>
      <xdr:col>18</xdr:col>
      <xdr:colOff>2362200</xdr:colOff>
      <xdr:row>3</xdr:row>
      <xdr:rowOff>171450</xdr:rowOff>
    </xdr:from>
    <xdr:to>
      <xdr:col>22</xdr:col>
      <xdr:colOff>483750</xdr:colOff>
      <xdr:row>5</xdr:row>
      <xdr:rowOff>160800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1AAD696-6C11-4688-BA7C-749C83AE846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3350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323850</xdr:colOff>
      <xdr:row>14</xdr:row>
      <xdr:rowOff>95250</xdr:rowOff>
    </xdr:from>
    <xdr:to>
      <xdr:col>16</xdr:col>
      <xdr:colOff>171450</xdr:colOff>
      <xdr:row>15</xdr:row>
      <xdr:rowOff>190500</xdr:rowOff>
    </xdr:to>
    <xdr:sp macro="[0]!BotaoComLogin" textlink="">
      <xdr:nvSpPr>
        <xdr:cNvPr id="41" name="Círculo: Vazio 40">
          <a:extLst>
            <a:ext uri="{FF2B5EF4-FFF2-40B4-BE49-F238E27FC236}">
              <a16:creationId xmlns:a16="http://schemas.microsoft.com/office/drawing/2014/main" id="{D14E04D5-E4E6-4221-9E22-0D887BD73EF1}"/>
            </a:ext>
          </a:extLst>
        </xdr:cNvPr>
        <xdr:cNvSpPr/>
      </xdr:nvSpPr>
      <xdr:spPr>
        <a:xfrm>
          <a:off x="12249150" y="4953000"/>
          <a:ext cx="457200" cy="457200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18</xdr:col>
      <xdr:colOff>133350</xdr:colOff>
      <xdr:row>22</xdr:row>
      <xdr:rowOff>285750</xdr:rowOff>
    </xdr:from>
    <xdr:to>
      <xdr:col>24</xdr:col>
      <xdr:colOff>515199</xdr:colOff>
      <xdr:row>45</xdr:row>
      <xdr:rowOff>247650</xdr:rowOff>
    </xdr:to>
    <xdr:graphicFrame macro="">
      <xdr:nvGraphicFramePr>
        <xdr:cNvPr id="42" name="Gráfico 41">
          <a:extLst>
            <a:ext uri="{FF2B5EF4-FFF2-40B4-BE49-F238E27FC236}">
              <a16:creationId xmlns:a16="http://schemas.microsoft.com/office/drawing/2014/main" id="{A58E4694-49DB-457D-9505-DE808B2B1D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285750</xdr:colOff>
      <xdr:row>3</xdr:row>
      <xdr:rowOff>182683</xdr:rowOff>
    </xdr:from>
    <xdr:to>
      <xdr:col>5</xdr:col>
      <xdr:colOff>635442</xdr:colOff>
      <xdr:row>5</xdr:row>
      <xdr:rowOff>171450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A2EF78E8-1936-433D-84CA-B19738E669B5}"/>
            </a:ext>
          </a:extLst>
        </xdr:cNvPr>
        <xdr:cNvSpPr/>
      </xdr:nvSpPr>
      <xdr:spPr>
        <a:xfrm>
          <a:off x="285750" y="1344733"/>
          <a:ext cx="3397692" cy="76981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354450</xdr:colOff>
      <xdr:row>3</xdr:row>
      <xdr:rowOff>201151</xdr:rowOff>
    </xdr:from>
    <xdr:to>
      <xdr:col>19</xdr:col>
      <xdr:colOff>95250</xdr:colOff>
      <xdr:row>6</xdr:row>
      <xdr:rowOff>1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400EBBFF-35F4-4E32-9C51-DA483560A06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605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7</xdr:col>
      <xdr:colOff>571500</xdr:colOff>
      <xdr:row>3</xdr:row>
      <xdr:rowOff>201151</xdr:rowOff>
    </xdr:from>
    <xdr:to>
      <xdr:col>10</xdr:col>
      <xdr:colOff>369450</xdr:colOff>
      <xdr:row>6</xdr:row>
      <xdr:rowOff>1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D2E29B54-56DE-4F60-8A80-287F197976A5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8350" y="1363201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4</xdr:col>
      <xdr:colOff>0</xdr:colOff>
      <xdr:row>0</xdr:row>
      <xdr:rowOff>0</xdr:rowOff>
    </xdr:from>
    <xdr:to>
      <xdr:col>40</xdr:col>
      <xdr:colOff>325758</xdr:colOff>
      <xdr:row>3</xdr:row>
      <xdr:rowOff>0</xdr:rowOff>
    </xdr:to>
    <xdr:grpSp>
      <xdr:nvGrpSpPr>
        <xdr:cNvPr id="47" name="Agrupar 46">
          <a:extLst>
            <a:ext uri="{FF2B5EF4-FFF2-40B4-BE49-F238E27FC236}">
              <a16:creationId xmlns:a16="http://schemas.microsoft.com/office/drawing/2014/main" id="{9DD942D4-A0DF-44DF-B452-A80B9E90C63B}"/>
            </a:ext>
          </a:extLst>
        </xdr:cNvPr>
        <xdr:cNvGrpSpPr/>
      </xdr:nvGrpSpPr>
      <xdr:grpSpPr>
        <a:xfrm>
          <a:off x="2438400" y="0"/>
          <a:ext cx="30539058" cy="1162050"/>
          <a:chOff x="2419350" y="0"/>
          <a:chExt cx="30546678" cy="1162050"/>
        </a:xfrm>
      </xdr:grpSpPr>
      <xdr:grpSp>
        <xdr:nvGrpSpPr>
          <xdr:cNvPr id="48" name="Agrupar 47">
            <a:extLst>
              <a:ext uri="{FF2B5EF4-FFF2-40B4-BE49-F238E27FC236}">
                <a16:creationId xmlns:a16="http://schemas.microsoft.com/office/drawing/2014/main" id="{6EA6089A-F1F9-4853-B6D8-3691AF020D7E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19350" y="0"/>
            <a:ext cx="1460344" cy="1162050"/>
            <a:chOff x="1993654" y="0"/>
            <a:chExt cx="1022595" cy="781538"/>
          </a:xfrm>
        </xdr:grpSpPr>
        <xdr:sp macro="" textlink="">
          <xdr:nvSpPr>
            <xdr:cNvPr id="81" name="Retângulo 80">
              <a:extLst>
                <a:ext uri="{FF2B5EF4-FFF2-40B4-BE49-F238E27FC236}">
                  <a16:creationId xmlns:a16="http://schemas.microsoft.com/office/drawing/2014/main" id="{CB30D25D-7CCE-4FA5-AC51-CB30B467841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82" name="Imagem 9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9800F053-F9A9-4570-9854-7EE20CBDCA9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83" name="CaixaDeTexto 82">
              <a:extLst>
                <a:ext uri="{FF2B5EF4-FFF2-40B4-BE49-F238E27FC236}">
                  <a16:creationId xmlns:a16="http://schemas.microsoft.com/office/drawing/2014/main" id="{8D75AC37-7679-43C8-84CC-679EBDE196A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49" name="Agrupar 48">
            <a:extLst>
              <a:ext uri="{FF2B5EF4-FFF2-40B4-BE49-F238E27FC236}">
                <a16:creationId xmlns:a16="http://schemas.microsoft.com/office/drawing/2014/main" id="{26D03E39-FF55-4941-A7A5-736199C22D5B}"/>
              </a:ext>
            </a:extLst>
          </xdr:cNvPr>
          <xdr:cNvGrpSpPr/>
        </xdr:nvGrpSpPr>
        <xdr:grpSpPr>
          <a:xfrm>
            <a:off x="5918746" y="0"/>
            <a:ext cx="1591474" cy="1162050"/>
            <a:chOff x="3131328" y="0"/>
            <a:chExt cx="1118289" cy="781538"/>
          </a:xfrm>
        </xdr:grpSpPr>
        <xdr:sp macro="" textlink="">
          <xdr:nvSpPr>
            <xdr:cNvPr id="78" name="Retângulo 77">
              <a:extLst>
                <a:ext uri="{FF2B5EF4-FFF2-40B4-BE49-F238E27FC236}">
                  <a16:creationId xmlns:a16="http://schemas.microsoft.com/office/drawing/2014/main" id="{CF439F70-A3DB-4723-AE38-3F965F8E2B7A}"/>
                </a:ext>
              </a:extLst>
            </xdr:cNvPr>
            <xdr:cNvSpPr/>
          </xdr:nvSpPr>
          <xdr:spPr>
            <a:xfrm>
              <a:off x="3178174" y="0"/>
              <a:ext cx="1022595" cy="781538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9" name="CaixaDeTexto 78">
              <a:extLst>
                <a:ext uri="{FF2B5EF4-FFF2-40B4-BE49-F238E27FC236}">
                  <a16:creationId xmlns:a16="http://schemas.microsoft.com/office/drawing/2014/main" id="{806456FC-733C-4CFF-B5FE-C79CD84A2704}"/>
                </a:ext>
              </a:extLst>
            </xdr:cNvPr>
            <xdr:cNvSpPr txBox="1"/>
          </xdr:nvSpPr>
          <xdr:spPr>
            <a:xfrm rot="10800000" flipH="1" flipV="1">
              <a:off x="3131328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80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838929F4-9FF3-4897-A41A-42389AB24EC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480365" y="84878"/>
              <a:ext cx="418213" cy="416396"/>
            </a:xfrm>
            <a:prstGeom prst="rect">
              <a:avLst/>
            </a:prstGeom>
            <a:solidFill>
              <a:schemeClr val="bg1"/>
            </a:solidFill>
          </xdr:spPr>
        </xdr:pic>
      </xdr:grpSp>
      <xdr:grpSp>
        <xdr:nvGrpSpPr>
          <xdr:cNvPr id="50" name="Agrupar 49">
            <a:extLst>
              <a:ext uri="{FF2B5EF4-FFF2-40B4-BE49-F238E27FC236}">
                <a16:creationId xmlns:a16="http://schemas.microsoft.com/office/drawing/2014/main" id="{2E7615D5-9E64-4710-8717-890100F8CAB1}"/>
              </a:ext>
            </a:extLst>
          </xdr:cNvPr>
          <xdr:cNvGrpSpPr/>
        </xdr:nvGrpSpPr>
        <xdr:grpSpPr>
          <a:xfrm>
            <a:off x="9549272" y="0"/>
            <a:ext cx="1598566" cy="1162050"/>
            <a:chOff x="4450172" y="0"/>
            <a:chExt cx="1118289" cy="781538"/>
          </a:xfrm>
        </xdr:grpSpPr>
        <xdr:sp macro="" textlink="">
          <xdr:nvSpPr>
            <xdr:cNvPr id="75" name="Retângulo 74">
              <a:extLst>
                <a:ext uri="{FF2B5EF4-FFF2-40B4-BE49-F238E27FC236}">
                  <a16:creationId xmlns:a16="http://schemas.microsoft.com/office/drawing/2014/main" id="{1CFF52B5-AE6C-4F6C-A9D2-2C428556A11C}"/>
                </a:ext>
              </a:extLst>
            </xdr:cNvPr>
            <xdr:cNvSpPr/>
          </xdr:nvSpPr>
          <xdr:spPr>
            <a:xfrm>
              <a:off x="4484806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FE1C33C8-8CD2-4FE9-8BC3-92749EA7FC2F}"/>
                </a:ext>
              </a:extLst>
            </xdr:cNvPr>
            <xdr:cNvSpPr txBox="1"/>
          </xdr:nvSpPr>
          <xdr:spPr>
            <a:xfrm rot="10800000" flipH="1" flipV="1">
              <a:off x="4450172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77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5FE926F-585D-4EDD-9995-ED0B082A64D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4786997" y="91651"/>
              <a:ext cx="418213" cy="402850"/>
            </a:xfrm>
            <a:prstGeom prst="rect">
              <a:avLst/>
            </a:prstGeom>
          </xdr:spPr>
        </xdr:pic>
      </xdr:grpSp>
      <xdr:grpSp>
        <xdr:nvGrpSpPr>
          <xdr:cNvPr id="51" name="Agrupar 50">
            <a:extLst>
              <a:ext uri="{FF2B5EF4-FFF2-40B4-BE49-F238E27FC236}">
                <a16:creationId xmlns:a16="http://schemas.microsoft.com/office/drawing/2014/main" id="{2EF98064-FA72-423F-9F98-ADD0505109BB}"/>
              </a:ext>
            </a:extLst>
          </xdr:cNvPr>
          <xdr:cNvGrpSpPr/>
        </xdr:nvGrpSpPr>
        <xdr:grpSpPr>
          <a:xfrm>
            <a:off x="13186890" y="0"/>
            <a:ext cx="1591491" cy="1162050"/>
            <a:chOff x="5781229" y="0"/>
            <a:chExt cx="1118289" cy="781538"/>
          </a:xfrm>
        </xdr:grpSpPr>
        <xdr:sp macro="" textlink="">
          <xdr:nvSpPr>
            <xdr:cNvPr id="72" name="Retângulo 71">
              <a:extLst>
                <a:ext uri="{FF2B5EF4-FFF2-40B4-BE49-F238E27FC236}">
                  <a16:creationId xmlns:a16="http://schemas.microsoft.com/office/drawing/2014/main" id="{E61C47F2-7926-4CB3-99FD-56E50C660C9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3" name="CaixaDeTexto 72">
              <a:extLst>
                <a:ext uri="{FF2B5EF4-FFF2-40B4-BE49-F238E27FC236}">
                  <a16:creationId xmlns:a16="http://schemas.microsoft.com/office/drawing/2014/main" id="{CC27FFB1-EDDB-4347-A02E-2274B915A9F9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74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61E476E-270C-49CD-AE42-7AF6E3CB5E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52" name="Agrupar 51">
            <a:extLst>
              <a:ext uri="{FF2B5EF4-FFF2-40B4-BE49-F238E27FC236}">
                <a16:creationId xmlns:a16="http://schemas.microsoft.com/office/drawing/2014/main" id="{A2D11322-21F3-4500-BB5A-C0CCD052DF34}"/>
              </a:ext>
            </a:extLst>
          </xdr:cNvPr>
          <xdr:cNvGrpSpPr/>
        </xdr:nvGrpSpPr>
        <xdr:grpSpPr>
          <a:xfrm>
            <a:off x="16817433" y="0"/>
            <a:ext cx="1612288" cy="1162050"/>
            <a:chOff x="7112293" y="0"/>
            <a:chExt cx="1118289" cy="781538"/>
          </a:xfrm>
        </xdr:grpSpPr>
        <xdr:sp macro="" textlink="">
          <xdr:nvSpPr>
            <xdr:cNvPr id="69" name="Retângulo 68">
              <a:extLst>
                <a:ext uri="{FF2B5EF4-FFF2-40B4-BE49-F238E27FC236}">
                  <a16:creationId xmlns:a16="http://schemas.microsoft.com/office/drawing/2014/main" id="{B202A55B-5D26-48A8-817D-06ADAEFF99E0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" name="CaixaDeTexto 69">
              <a:extLst>
                <a:ext uri="{FF2B5EF4-FFF2-40B4-BE49-F238E27FC236}">
                  <a16:creationId xmlns:a16="http://schemas.microsoft.com/office/drawing/2014/main" id="{2C131DB3-64F6-47B3-BE4E-3D982123243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71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6A357B8-0416-4E1F-9BC6-8FB90AB28E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53" name="Agrupar 52">
            <a:extLst>
              <a:ext uri="{FF2B5EF4-FFF2-40B4-BE49-F238E27FC236}">
                <a16:creationId xmlns:a16="http://schemas.microsoft.com/office/drawing/2014/main" id="{0B50F937-C807-4750-8955-5278DD09BD1C}"/>
              </a:ext>
            </a:extLst>
          </xdr:cNvPr>
          <xdr:cNvGrpSpPr/>
        </xdr:nvGrpSpPr>
        <xdr:grpSpPr>
          <a:xfrm>
            <a:off x="20468773" y="0"/>
            <a:ext cx="1592907" cy="1162050"/>
            <a:chOff x="8443355" y="0"/>
            <a:chExt cx="1118289" cy="781538"/>
          </a:xfrm>
        </xdr:grpSpPr>
        <xdr:sp macro="" textlink="">
          <xdr:nvSpPr>
            <xdr:cNvPr id="66" name="Retângulo 65">
              <a:extLst>
                <a:ext uri="{FF2B5EF4-FFF2-40B4-BE49-F238E27FC236}">
                  <a16:creationId xmlns:a16="http://schemas.microsoft.com/office/drawing/2014/main" id="{DCD824C7-4F39-433F-82AF-64FFD8016AE8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7" name="CaixaDeTexto 66">
              <a:extLst>
                <a:ext uri="{FF2B5EF4-FFF2-40B4-BE49-F238E27FC236}">
                  <a16:creationId xmlns:a16="http://schemas.microsoft.com/office/drawing/2014/main" id="{7DE81D56-6DB0-4F06-8132-D77B2FB11DBA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68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9A5B157-0809-4A9B-A203-5FCBF7694F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54" name="Agrupar 53">
            <a:extLst>
              <a:ext uri="{FF2B5EF4-FFF2-40B4-BE49-F238E27FC236}">
                <a16:creationId xmlns:a16="http://schemas.microsoft.com/office/drawing/2014/main" id="{DC40C0BA-9C64-4278-911B-6F56DD9C5975}"/>
              </a:ext>
            </a:extLst>
          </xdr:cNvPr>
          <xdr:cNvGrpSpPr/>
        </xdr:nvGrpSpPr>
        <xdr:grpSpPr>
          <a:xfrm>
            <a:off x="24100732" y="0"/>
            <a:ext cx="1590058" cy="1162050"/>
            <a:chOff x="9774419" y="0"/>
            <a:chExt cx="1118289" cy="781538"/>
          </a:xfrm>
        </xdr:grpSpPr>
        <xdr:sp macro="" textlink="">
          <xdr:nvSpPr>
            <xdr:cNvPr id="63" name="Retângulo 62">
              <a:extLst>
                <a:ext uri="{FF2B5EF4-FFF2-40B4-BE49-F238E27FC236}">
                  <a16:creationId xmlns:a16="http://schemas.microsoft.com/office/drawing/2014/main" id="{344A1167-6E09-44B1-A32D-9F86783285E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4" name="CaixaDeTexto 63">
              <a:extLst>
                <a:ext uri="{FF2B5EF4-FFF2-40B4-BE49-F238E27FC236}">
                  <a16:creationId xmlns:a16="http://schemas.microsoft.com/office/drawing/2014/main" id="{0E7F3FBE-DDF4-4407-9AB0-32853E8116D4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65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CCBEA583-8831-4E96-88FA-8A4CBCB046C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55" name="Agrupar 54">
            <a:extLst>
              <a:ext uri="{FF2B5EF4-FFF2-40B4-BE49-F238E27FC236}">
                <a16:creationId xmlns:a16="http://schemas.microsoft.com/office/drawing/2014/main" id="{53A7A20F-D388-4793-A7E1-BDCF210B3A99}"/>
              </a:ext>
            </a:extLst>
          </xdr:cNvPr>
          <xdr:cNvGrpSpPr/>
        </xdr:nvGrpSpPr>
        <xdr:grpSpPr>
          <a:xfrm>
            <a:off x="27729842" y="0"/>
            <a:ext cx="1598568" cy="1162050"/>
            <a:chOff x="11105473" y="0"/>
            <a:chExt cx="1118289" cy="781538"/>
          </a:xfrm>
        </xdr:grpSpPr>
        <xdr:sp macro="" textlink="">
          <xdr:nvSpPr>
            <xdr:cNvPr id="60" name="Retângulo 59">
              <a:extLst>
                <a:ext uri="{FF2B5EF4-FFF2-40B4-BE49-F238E27FC236}">
                  <a16:creationId xmlns:a16="http://schemas.microsoft.com/office/drawing/2014/main" id="{7A0C6223-7917-4436-9F13-877E05B8A7FC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1" name="CaixaDeTexto 60">
              <a:extLst>
                <a:ext uri="{FF2B5EF4-FFF2-40B4-BE49-F238E27FC236}">
                  <a16:creationId xmlns:a16="http://schemas.microsoft.com/office/drawing/2014/main" id="{40B84F6E-E2D0-42BF-8F44-08AE1400FBEB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62" name="Imagem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D3D324D3-8D5B-4F3E-B0E9-5DF0120400C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56" name="Agrupar 55">
            <a:extLst>
              <a:ext uri="{FF2B5EF4-FFF2-40B4-BE49-F238E27FC236}">
                <a16:creationId xmlns:a16="http://schemas.microsoft.com/office/drawing/2014/main" id="{51BC4476-75F2-4E1A-8C63-A9F67D811DA5}"/>
              </a:ext>
            </a:extLst>
          </xdr:cNvPr>
          <xdr:cNvGrpSpPr/>
        </xdr:nvGrpSpPr>
        <xdr:grpSpPr>
          <a:xfrm>
            <a:off x="31367460" y="0"/>
            <a:ext cx="1598568" cy="1162050"/>
            <a:chOff x="12260227" y="0"/>
            <a:chExt cx="1118316" cy="770164"/>
          </a:xfrm>
        </xdr:grpSpPr>
        <xdr:sp macro="" textlink="">
          <xdr:nvSpPr>
            <xdr:cNvPr id="57" name="Retângulo 56">
              <a:extLst>
                <a:ext uri="{FF2B5EF4-FFF2-40B4-BE49-F238E27FC236}">
                  <a16:creationId xmlns:a16="http://schemas.microsoft.com/office/drawing/2014/main" id="{19D1D1C4-D618-4042-92DB-677368CA1897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8" name="CaixaDeTexto 57">
              <a:extLst>
                <a:ext uri="{FF2B5EF4-FFF2-40B4-BE49-F238E27FC236}">
                  <a16:creationId xmlns:a16="http://schemas.microsoft.com/office/drawing/2014/main" id="{5731EBED-3714-4FF8-A64D-4E41FD4D5B2D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59" name="Imagem 58" descr="Ícone do banco de dados (símbolo png) preto">
              <a:extLst>
                <a:ext uri="{FF2B5EF4-FFF2-40B4-BE49-F238E27FC236}">
                  <a16:creationId xmlns:a16="http://schemas.microsoft.com/office/drawing/2014/main" id="{A7F5EE73-D215-4EEB-AB8E-A24E25A4BE35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438150</xdr:colOff>
      <xdr:row>2</xdr:row>
      <xdr:rowOff>769747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id="{690ED7EE-2CDB-4692-A564-2EF9ED92BAE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/>
        <a:srcRect l="9252" t="39637" r="14079" b="25703"/>
        <a:stretch/>
      </xdr:blipFill>
      <xdr:spPr>
        <a:xfrm>
          <a:off x="0" y="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19</xdr:col>
      <xdr:colOff>1752600</xdr:colOff>
      <xdr:row>3</xdr:row>
      <xdr:rowOff>163050</xdr:rowOff>
    </xdr:from>
    <xdr:to>
      <xdr:col>22</xdr:col>
      <xdr:colOff>483750</xdr:colOff>
      <xdr:row>5</xdr:row>
      <xdr:rowOff>152400</xdr:rowOff>
    </xdr:to>
    <xdr:sp macro="" textlink="">
      <xdr:nvSpPr>
        <xdr:cNvPr id="85" name="Retângulo 84">
          <a:extLst>
            <a:ext uri="{FF2B5EF4-FFF2-40B4-BE49-F238E27FC236}">
              <a16:creationId xmlns:a16="http://schemas.microsoft.com/office/drawing/2014/main" id="{9854D1A0-20CD-4B5D-B30B-00FAC2E6D6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2510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CONSULTA BD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1615770</xdr:colOff>
      <xdr:row>2</xdr:row>
      <xdr:rowOff>133894</xdr:rowOff>
    </xdr:from>
    <xdr:to>
      <xdr:col>6</xdr:col>
      <xdr:colOff>674705</xdr:colOff>
      <xdr:row>2</xdr:row>
      <xdr:rowOff>388325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1952595</xdr:colOff>
      <xdr:row>0</xdr:row>
      <xdr:rowOff>91651</xdr:rowOff>
    </xdr:from>
    <xdr:to>
      <xdr:col>6</xdr:col>
      <xdr:colOff>312431</xdr:colOff>
      <xdr:row>2</xdr:row>
      <xdr:rowOff>113501</xdr:rowOff>
    </xdr:to>
    <xdr:pic>
      <xdr:nvPicPr>
        <xdr:cNvPr id="1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845700</xdr:colOff>
      <xdr:row>5</xdr:row>
      <xdr:rowOff>179850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0AF9AC3-AE9B-4BF4-A4AD-F3E97E5BD7B5}"/>
            </a:ext>
          </a:extLst>
        </xdr:cNvPr>
        <xdr:cNvSpPr/>
      </xdr:nvSpPr>
      <xdr:spPr>
        <a:xfrm>
          <a:off x="266700" y="1352550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952500</xdr:colOff>
      <xdr:row>3</xdr:row>
      <xdr:rowOff>190500</xdr:rowOff>
    </xdr:from>
    <xdr:to>
      <xdr:col>7</xdr:col>
      <xdr:colOff>921900</xdr:colOff>
      <xdr:row>5</xdr:row>
      <xdr:rowOff>179850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848A7C6-D013-4CEC-BF4A-0C55D6414E9F}"/>
            </a:ext>
          </a:extLst>
        </xdr:cNvPr>
        <xdr:cNvSpPr/>
      </xdr:nvSpPr>
      <xdr:spPr>
        <a:xfrm>
          <a:off x="5829300" y="13525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8</xdr:col>
      <xdr:colOff>640200</xdr:colOff>
      <xdr:row>3</xdr:row>
      <xdr:rowOff>209552</xdr:rowOff>
    </xdr:from>
    <xdr:to>
      <xdr:col>10</xdr:col>
      <xdr:colOff>1200150</xdr:colOff>
      <xdr:row>6</xdr:row>
      <xdr:rowOff>8402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14F270-C3E8-4DA4-B197-D0A65514F2CC}"/>
            </a:ext>
          </a:extLst>
        </xdr:cNvPr>
        <xdr:cNvSpPr/>
      </xdr:nvSpPr>
      <xdr:spPr>
        <a:xfrm>
          <a:off x="11041500" y="13716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10</xdr:col>
      <xdr:colOff>2857500</xdr:colOff>
      <xdr:row>3</xdr:row>
      <xdr:rowOff>171452</xdr:rowOff>
    </xdr:from>
    <xdr:to>
      <xdr:col>12</xdr:col>
      <xdr:colOff>731400</xdr:colOff>
      <xdr:row>5</xdr:row>
      <xdr:rowOff>160802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9FD508A8-0C9B-43AF-B0B7-5639D954104C}"/>
            </a:ext>
          </a:extLst>
        </xdr:cNvPr>
        <xdr:cNvSpPr/>
      </xdr:nvSpPr>
      <xdr:spPr>
        <a:xfrm>
          <a:off x="16097250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13</xdr:col>
      <xdr:colOff>640896</xdr:colOff>
      <xdr:row>3</xdr:row>
      <xdr:rowOff>171452</xdr:rowOff>
    </xdr:from>
    <xdr:to>
      <xdr:col>14</xdr:col>
      <xdr:colOff>534096</xdr:colOff>
      <xdr:row>5</xdr:row>
      <xdr:rowOff>160802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C3EA4EA-D623-49F1-8D39-41821F3EF0FA}"/>
            </a:ext>
          </a:extLst>
        </xdr:cNvPr>
        <xdr:cNvSpPr/>
      </xdr:nvSpPr>
      <xdr:spPr>
        <a:xfrm>
          <a:off x="21119646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2158093</xdr:colOff>
      <xdr:row>3</xdr:row>
      <xdr:rowOff>171452</xdr:rowOff>
    </xdr:from>
    <xdr:to>
      <xdr:col>15</xdr:col>
      <xdr:colOff>2698993</xdr:colOff>
      <xdr:row>5</xdr:row>
      <xdr:rowOff>160802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E4631C0A-D19F-4D54-BBD1-1CA97DB843D4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16</xdr:col>
      <xdr:colOff>571500</xdr:colOff>
      <xdr:row>3</xdr:row>
      <xdr:rowOff>342900</xdr:rowOff>
    </xdr:from>
    <xdr:to>
      <xdr:col>17</xdr:col>
      <xdr:colOff>419100</xdr:colOff>
      <xdr:row>5</xdr:row>
      <xdr:rowOff>29936</xdr:rowOff>
    </xdr:to>
    <xdr:sp macro="[0]!BotaoComLogin" textlink="">
      <xdr:nvSpPr>
        <xdr:cNvPr id="46" name="Círculo: Vazio 45">
          <a:extLst>
            <a:ext uri="{FF2B5EF4-FFF2-40B4-BE49-F238E27FC236}">
              <a16:creationId xmlns:a16="http://schemas.microsoft.com/office/drawing/2014/main" id="{51ED14EE-DF5E-4F05-B1D7-0071555AB6C6}"/>
            </a:ext>
          </a:extLst>
        </xdr:cNvPr>
        <xdr:cNvSpPr/>
      </xdr:nvSpPr>
      <xdr:spPr>
        <a:xfrm>
          <a:off x="30270450" y="15049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id="{1AB7B0DD-FB06-421F-9690-CCA1966000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5074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21</xdr:col>
      <xdr:colOff>230508</xdr:colOff>
      <xdr:row>3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59F94F6-A5B8-4FBB-B18B-D5CC30C0D270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29" name="Agrupar 28">
            <a:extLst>
              <a:ext uri="{FF2B5EF4-FFF2-40B4-BE49-F238E27FC236}">
                <a16:creationId xmlns:a16="http://schemas.microsoft.com/office/drawing/2014/main" id="{DBC0329D-72D4-45E8-84B5-79585B9A3B47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70" name="Retângulo 69">
              <a:extLst>
                <a:ext uri="{FF2B5EF4-FFF2-40B4-BE49-F238E27FC236}">
                  <a16:creationId xmlns:a16="http://schemas.microsoft.com/office/drawing/2014/main" id="{ACB56EBB-1BD1-4220-B001-1114A4DDDFED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71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55B680D-F024-4648-BB6B-EC125C17FA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72" name="CaixaDeTexto 71">
              <a:extLst>
                <a:ext uri="{FF2B5EF4-FFF2-40B4-BE49-F238E27FC236}">
                  <a16:creationId xmlns:a16="http://schemas.microsoft.com/office/drawing/2014/main" id="{5070C323-4F6A-4317-A529-0A5CC2C8A0F9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3" name="Agrupar 2">
            <a:extLst>
              <a:ext uri="{FF2B5EF4-FFF2-40B4-BE49-F238E27FC236}">
                <a16:creationId xmlns:a16="http://schemas.microsoft.com/office/drawing/2014/main" id="{67396995-20F5-4620-A4CC-95C165CAFD62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67" name="Retângulo 66">
              <a:extLst>
                <a:ext uri="{FF2B5EF4-FFF2-40B4-BE49-F238E27FC236}">
                  <a16:creationId xmlns:a16="http://schemas.microsoft.com/office/drawing/2014/main" id="{70812E4A-7B18-439E-844F-BD7ECA7E487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8" name="CaixaDeTexto 67">
              <a:extLst>
                <a:ext uri="{FF2B5EF4-FFF2-40B4-BE49-F238E27FC236}">
                  <a16:creationId xmlns:a16="http://schemas.microsoft.com/office/drawing/2014/main" id="{C5DF049E-BB40-4160-8C38-1740045DA3B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6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2705AF3-C447-4AB7-BF33-5773A13F7E8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FAE089E5-C30A-4D06-919A-D1FDE4577291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64" name="Retângulo 63">
              <a:extLst>
                <a:ext uri="{FF2B5EF4-FFF2-40B4-BE49-F238E27FC236}">
                  <a16:creationId xmlns:a16="http://schemas.microsoft.com/office/drawing/2014/main" id="{61EB224C-595E-4E01-A559-8C2ADFFB05E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5" name="CaixaDeTexto 64">
              <a:extLst>
                <a:ext uri="{FF2B5EF4-FFF2-40B4-BE49-F238E27FC236}">
                  <a16:creationId xmlns:a16="http://schemas.microsoft.com/office/drawing/2014/main" id="{E094E5E2-5E3F-452D-9A8D-6D44DF8814B9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6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516F19C-68B7-4E45-8819-639AB26C22D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57986F1E-D922-45B9-8334-5912E9C52E96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61" name="Retângulo 60">
              <a:extLst>
                <a:ext uri="{FF2B5EF4-FFF2-40B4-BE49-F238E27FC236}">
                  <a16:creationId xmlns:a16="http://schemas.microsoft.com/office/drawing/2014/main" id="{23B508FC-DF41-4A1E-8BC0-37CC75F10928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62" name="CaixaDeTexto 61">
              <a:extLst>
                <a:ext uri="{FF2B5EF4-FFF2-40B4-BE49-F238E27FC236}">
                  <a16:creationId xmlns:a16="http://schemas.microsoft.com/office/drawing/2014/main" id="{E914EE36-78CB-48A9-98E0-7B30468C5902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6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82C2071-0B7D-4BAE-A826-446A71D44B1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9B77ED5A-6449-43E2-B86F-3137AA4C49B9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58" name="Retângulo 57">
              <a:extLst>
                <a:ext uri="{FF2B5EF4-FFF2-40B4-BE49-F238E27FC236}">
                  <a16:creationId xmlns:a16="http://schemas.microsoft.com/office/drawing/2014/main" id="{D4243DB1-EB20-4F68-BCB4-66A3244822CC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9" name="CaixaDeTexto 58">
              <a:extLst>
                <a:ext uri="{FF2B5EF4-FFF2-40B4-BE49-F238E27FC236}">
                  <a16:creationId xmlns:a16="http://schemas.microsoft.com/office/drawing/2014/main" id="{11915277-CCE7-4BD7-BF82-137AC7508ED8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6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2AD9C40-5794-43CB-A4C7-4C0C3481746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34" name="Agrupar 33">
            <a:extLst>
              <a:ext uri="{FF2B5EF4-FFF2-40B4-BE49-F238E27FC236}">
                <a16:creationId xmlns:a16="http://schemas.microsoft.com/office/drawing/2014/main" id="{F5DC523D-1783-485F-84BA-2705E56DEC4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55" name="Retângulo 54">
              <a:extLst>
                <a:ext uri="{FF2B5EF4-FFF2-40B4-BE49-F238E27FC236}">
                  <a16:creationId xmlns:a16="http://schemas.microsoft.com/office/drawing/2014/main" id="{D26CFE17-C82B-4AD0-82DE-66D4CD86BDC9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" name="CaixaDeTexto 55">
              <a:extLst>
                <a:ext uri="{FF2B5EF4-FFF2-40B4-BE49-F238E27FC236}">
                  <a16:creationId xmlns:a16="http://schemas.microsoft.com/office/drawing/2014/main" id="{748E2A1B-0DAB-40AC-92EC-2BAFB40230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5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4501E5E-214B-4231-8473-31C40F7158D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30AED1C0-CA2B-4AE9-B134-4C66D0FED7DA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52" name="Retângulo 51">
              <a:extLst>
                <a:ext uri="{FF2B5EF4-FFF2-40B4-BE49-F238E27FC236}">
                  <a16:creationId xmlns:a16="http://schemas.microsoft.com/office/drawing/2014/main" id="{773058B3-297D-4558-8CBF-F80E6E4E785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3" name="CaixaDeTexto 52">
              <a:extLst>
                <a:ext uri="{FF2B5EF4-FFF2-40B4-BE49-F238E27FC236}">
                  <a16:creationId xmlns:a16="http://schemas.microsoft.com/office/drawing/2014/main" id="{71A8CAE2-9559-40AA-974B-5541829C782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54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76FD07-6135-4E32-8C93-63D5EBA49F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36" name="Agrupar 35">
            <a:extLst>
              <a:ext uri="{FF2B5EF4-FFF2-40B4-BE49-F238E27FC236}">
                <a16:creationId xmlns:a16="http://schemas.microsoft.com/office/drawing/2014/main" id="{EE5C11E8-3833-4DA2-9027-602B4DA07BBF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49" name="Retângulo 48">
              <a:extLst>
                <a:ext uri="{FF2B5EF4-FFF2-40B4-BE49-F238E27FC236}">
                  <a16:creationId xmlns:a16="http://schemas.microsoft.com/office/drawing/2014/main" id="{08EEC6FF-141D-46C3-9328-414FAA61BA6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" name="CaixaDeTexto 49">
              <a:extLst>
                <a:ext uri="{FF2B5EF4-FFF2-40B4-BE49-F238E27FC236}">
                  <a16:creationId xmlns:a16="http://schemas.microsoft.com/office/drawing/2014/main" id="{B930003C-D9AE-45AA-B72F-E43ACC4F7BD2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51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678B13A-06EA-4913-B035-2AB2BE65F3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id="{341FE64D-0CB6-4846-92A1-5A2FD0386C4D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38" name="Retângulo 37">
              <a:extLst>
                <a:ext uri="{FF2B5EF4-FFF2-40B4-BE49-F238E27FC236}">
                  <a16:creationId xmlns:a16="http://schemas.microsoft.com/office/drawing/2014/main" id="{855D405E-E3EF-4AF7-AC0C-1B8ADFC7F52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9" name="CaixaDeTexto 38">
              <a:extLst>
                <a:ext uri="{FF2B5EF4-FFF2-40B4-BE49-F238E27FC236}">
                  <a16:creationId xmlns:a16="http://schemas.microsoft.com/office/drawing/2014/main" id="{F04D02A3-0122-49B5-9F5D-E0602B7822FC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48" name="Imagem 47" descr="Ícone do banco de dados (símbolo png) preto">
              <a:extLst>
                <a:ext uri="{FF2B5EF4-FFF2-40B4-BE49-F238E27FC236}">
                  <a16:creationId xmlns:a16="http://schemas.microsoft.com/office/drawing/2014/main" id="{8295F4D8-926F-4E6E-ABEF-BB9214AC62C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A5A9444-C0E9-4DB3-AC4A-AC68ECE80C30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9C9F69-91E8-42C7-B9BA-0E2CC9422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FC3853B-6846-4D45-83DC-530F549A9E77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5A6E65E-C32F-4FE3-8FCE-971BC9202D44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971550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E3F393C-BD4C-4DE4-ABFC-A9BDC8B5BAE0}"/>
            </a:ext>
          </a:extLst>
        </xdr:cNvPr>
        <xdr:cNvSpPr/>
      </xdr:nvSpPr>
      <xdr:spPr>
        <a:xfrm>
          <a:off x="11022450" y="1352552"/>
          <a:ext cx="340221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13</xdr:col>
      <xdr:colOff>2628900</xdr:colOff>
      <xdr:row>3</xdr:row>
      <xdr:rowOff>171452</xdr:rowOff>
    </xdr:from>
    <xdr:to>
      <xdr:col>15</xdr:col>
      <xdr:colOff>998100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8F317D0-C8DC-4D17-896A-7C471EE42A1D}"/>
            </a:ext>
          </a:extLst>
        </xdr:cNvPr>
        <xdr:cNvSpPr/>
      </xdr:nvSpPr>
      <xdr:spPr>
        <a:xfrm>
          <a:off x="16082010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374196</xdr:colOff>
      <xdr:row>3</xdr:row>
      <xdr:rowOff>171452</xdr:rowOff>
    </xdr:from>
    <xdr:to>
      <xdr:col>17</xdr:col>
      <xdr:colOff>1219896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3F60EBA-3C70-43C0-9EA2-23CD807F8422}"/>
            </a:ext>
          </a:extLst>
        </xdr:cNvPr>
        <xdr:cNvSpPr/>
      </xdr:nvSpPr>
      <xdr:spPr>
        <a:xfrm>
          <a:off x="21104406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138793</xdr:colOff>
      <xdr:row>3</xdr:row>
      <xdr:rowOff>171452</xdr:rowOff>
    </xdr:from>
    <xdr:to>
      <xdr:col>24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4F57878-C483-45A9-A400-589C8BB2ECD8}"/>
            </a:ext>
          </a:extLst>
        </xdr:cNvPr>
        <xdr:cNvSpPr/>
      </xdr:nvSpPr>
      <xdr:spPr>
        <a:xfrm>
          <a:off x="2612680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23</xdr:col>
      <xdr:colOff>304800</xdr:colOff>
      <xdr:row>11</xdr:row>
      <xdr:rowOff>19050</xdr:rowOff>
    </xdr:from>
    <xdr:to>
      <xdr:col>24</xdr:col>
      <xdr:colOff>152400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52F9F7B1-4E38-4F63-8945-DB11E75453DB}"/>
            </a:ext>
          </a:extLst>
        </xdr:cNvPr>
        <xdr:cNvSpPr/>
      </xdr:nvSpPr>
      <xdr:spPr>
        <a:xfrm>
          <a:off x="28746450" y="37909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AD41383-AA64-401B-BB1B-06A4009578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30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FEAE5E1-3821-46BA-9F11-820456CC4E54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FA73073F-0647-46C6-8FB8-E5680BCBA716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1E1260FF-E42C-41BD-8DFF-4480D59F2B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4F452992-8991-4057-BE65-87584FA959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6092158-A6D1-4C9C-942F-161562D094CD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BBEB7C33-E23C-48BC-BD82-B2C917CF263F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B151588F-177C-4379-9AA8-CF75D2BB5292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5C3EFB2C-E0AB-44A6-BB68-AE5D30A038B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765042E-80D8-41F0-AF34-E9B431AF54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E2787F60-C405-4012-BED6-46FB76C25A27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B054AC1A-61F6-4DA9-9713-30938F93425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E619B64C-E607-43DE-B62C-4710C203C6EE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9DC5510-9D9A-4F4F-81EC-23841DC3344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6DE37C33-4666-4D46-8CE2-F609A763DE92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0702453-EBCA-4BEE-BC48-25F8C1624D5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8E37FB79-2B5A-40FD-88E6-F3B3BCF283CF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C236C86-7471-4C50-AD17-A1D10B6993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D17D19E-EB4C-42AC-85D1-B0A8CCCB4CFE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1EB871A-C252-436D-8689-0653D6CD78F6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01D3752D-2B81-4A6A-A78F-73D8CC1E96D6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CCCD1BF-71E9-463A-A2A2-799CEFC62F3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979622A7-7EBC-4922-A2E8-3EE85E94D094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ADC81F0-B5E1-4BBF-A6C6-5FC9B524A21F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DB8B14C-C312-4243-9B9C-6DA29A44900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988A24A4-4280-404F-92B2-D71E8FD573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198932C-FD80-41E5-9882-E3FF784DAF0C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74AD763-A181-47CB-A617-30E99F59AF67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66FAA381-D526-4203-9DE3-AE6CD3A656A8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F7A24312-A00A-460F-B65C-50FEDC8E3B6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D2521B5E-BB4E-4165-9E01-A9AE4967DE15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911DC054-4D47-4357-8344-37FAC243F742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8A365D9D-5427-41A0-B637-5E87F9653C25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044BBF3-EB65-43A1-A37F-6F11392A0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97AC923D-EEC2-410A-98F3-493FD2B2CC08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33C20F95-C52D-42D1-B4B5-74E0A61B6DCF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C4683181-D8C4-436F-828F-38ED55A433BB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5ACF5A17-9FB0-44E0-8C97-C8B57C7DB421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332CBB9B-42E0-428F-B7D6-C19C3B2A4BD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3D1184-65E3-4699-A509-D1FF62DF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C7C9FB54-E97F-4E44-B4E4-564C321D1335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5FE90BFC-2831-481F-B0F0-6D81AA9627C7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169F5F8-FC79-4EC0-AEC9-CA241F02DDAF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1028700</xdr:colOff>
      <xdr:row>3</xdr:row>
      <xdr:rowOff>171452</xdr:rowOff>
    </xdr:from>
    <xdr:to>
      <xdr:col>15</xdr:col>
      <xdr:colOff>845700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5B53735D-7C10-4E06-B717-3F8F30B57BA5}"/>
            </a:ext>
          </a:extLst>
        </xdr:cNvPr>
        <xdr:cNvSpPr/>
      </xdr:nvSpPr>
      <xdr:spPr>
        <a:xfrm>
          <a:off x="1608582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16</xdr:col>
      <xdr:colOff>564696</xdr:colOff>
      <xdr:row>3</xdr:row>
      <xdr:rowOff>171452</xdr:rowOff>
    </xdr:from>
    <xdr:to>
      <xdr:col>18</xdr:col>
      <xdr:colOff>76896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B68D2A24-DEFC-4B80-87CE-507CB3AB6D1E}"/>
            </a:ext>
          </a:extLst>
        </xdr:cNvPr>
        <xdr:cNvSpPr/>
      </xdr:nvSpPr>
      <xdr:spPr>
        <a:xfrm>
          <a:off x="21085356" y="1314452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18</xdr:col>
      <xdr:colOff>1700893</xdr:colOff>
      <xdr:row>3</xdr:row>
      <xdr:rowOff>171452</xdr:rowOff>
    </xdr:from>
    <xdr:to>
      <xdr:col>23</xdr:col>
      <xdr:colOff>489193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0ADDA53-DF65-47CA-8CE3-6232862F50D1}"/>
            </a:ext>
          </a:extLst>
        </xdr:cNvPr>
        <xdr:cNvSpPr/>
      </xdr:nvSpPr>
      <xdr:spPr>
        <a:xfrm>
          <a:off x="261077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22</xdr:col>
      <xdr:colOff>304800</xdr:colOff>
      <xdr:row>11</xdr:row>
      <xdr:rowOff>19050</xdr:rowOff>
    </xdr:from>
    <xdr:to>
      <xdr:col>23</xdr:col>
      <xdr:colOff>152400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612F9E51-33F1-4314-846A-F0972518AA87}"/>
            </a:ext>
          </a:extLst>
        </xdr:cNvPr>
        <xdr:cNvSpPr/>
      </xdr:nvSpPr>
      <xdr:spPr>
        <a:xfrm>
          <a:off x="2871216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BA03EB-AE50-47AB-ACF6-26E3E4FD945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29</xdr:col>
      <xdr:colOff>268608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2759A86-849A-492E-BD16-5E8D3DE6A437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65FD128C-4E46-46E8-AAD4-98B01DD983EB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A24407F1-D12A-4726-8C55-85C0002B330B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9210C2AC-14BE-4A3B-8357-88E6C5AB365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44B43CA0-2B0E-4828-855F-6CC889231163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69C4C5CF-8097-4473-9873-A3BA088244B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06A5E027-A7F7-4257-AF5D-85C59FAF72AC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A6C075-307C-4AE7-B9C1-C527F3308834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1BD1B3D-D471-4E4F-9D20-D2B4B30F8B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B85847C9-7CE1-4B5F-8FEA-7901DE7C5724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14B9D7A-F973-4A13-BE3F-46C2786E9661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987C6092-480D-4D34-BEAA-82C72B19A1FF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309B487-5EA7-41B2-A058-B38EF259478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DB2EAB78-78FB-4003-8479-16617BE183DC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3AF6945F-618A-4995-8D67-EEB9ED48927B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51768FCE-5F04-4B9C-9C6B-E106C3A83B0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15351F6-A177-4EA0-800D-68C9739FE6F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0225E516-02F8-4E4A-8EE6-8200E9545492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2FD67F15-836C-4457-9A8F-D61197892D1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9B9890AB-E06C-4D02-8E0C-F05C9038130C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8751B4C-3BF4-476B-801C-F099100C96C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163293AE-43E4-4663-827C-162C34C24903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0BB5E6A3-1EC2-4178-825F-76918367A54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2CFF783D-E1F2-4298-AF0E-29CCE4C6BCD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7E565B-A81F-43E6-8465-672BB493F8E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32285D10-9049-47AC-851F-485C6AFB534D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224B51F-DBCB-4D34-9EC1-162BBDE1080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92A305D-309C-43D8-9623-E6EA214B5413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76100DF-5439-4446-812F-E85090364F7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2AD76C42-B054-4A8C-BF14-22307BE32457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DF7FCB38-859C-4017-9B17-DBFEB3A7DD95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5D9EA1AB-1FA8-4905-BC0D-D4163173056F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EB2D1CC-202A-405F-AD5B-80C5B19BBF7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046482A3-7EBC-4800-8A3C-890B454749FC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B338D797-C7F9-44ED-A2A3-5008E06F567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12E371FF-E8CE-4DB0-9736-C3AA198905A0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9EF4D79A-C84D-4BF4-B9A9-1E6E4E104D4C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46A6F86-34B5-42F4-B663-D69B693237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8318984-2E8D-4A18-898D-92C3862AB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11A9F05-4893-4D6F-9097-CA931DEBB0E1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A2992B7-443D-4C7A-B3FD-D3A129C9C52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1573650</xdr:colOff>
      <xdr:row>3</xdr:row>
      <xdr:rowOff>209552</xdr:rowOff>
    </xdr:from>
    <xdr:to>
      <xdr:col>13</xdr:col>
      <xdr:colOff>1428750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9C01BDEF-1A1C-4A8F-A16D-52C098FB93C8}"/>
            </a:ext>
          </a:extLst>
        </xdr:cNvPr>
        <xdr:cNvSpPr/>
      </xdr:nvSpPr>
      <xdr:spPr>
        <a:xfrm>
          <a:off x="11030070" y="1352552"/>
          <a:ext cx="338316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1333500</xdr:colOff>
      <xdr:row>3</xdr:row>
      <xdr:rowOff>171452</xdr:rowOff>
    </xdr:from>
    <xdr:to>
      <xdr:col>15</xdr:col>
      <xdr:colOff>3055500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B001EB8-6CCC-494A-807C-6BF5B6A48BE2}"/>
            </a:ext>
          </a:extLst>
        </xdr:cNvPr>
        <xdr:cNvSpPr/>
      </xdr:nvSpPr>
      <xdr:spPr>
        <a:xfrm>
          <a:off x="16062960" y="1314452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145596</xdr:colOff>
      <xdr:row>3</xdr:row>
      <xdr:rowOff>171452</xdr:rowOff>
    </xdr:from>
    <xdr:to>
      <xdr:col>18</xdr:col>
      <xdr:colOff>1067496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B04E908-61FC-49DB-A2B1-902DCCA786F4}"/>
            </a:ext>
          </a:extLst>
        </xdr:cNvPr>
        <xdr:cNvSpPr/>
      </xdr:nvSpPr>
      <xdr:spPr>
        <a:xfrm>
          <a:off x="21085356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519793</xdr:colOff>
      <xdr:row>3</xdr:row>
      <xdr:rowOff>171452</xdr:rowOff>
    </xdr:from>
    <xdr:to>
      <xdr:col>25</xdr:col>
      <xdr:colOff>260593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9A1249D-1A53-4087-A227-B89D8C92F1A2}"/>
            </a:ext>
          </a:extLst>
        </xdr:cNvPr>
        <xdr:cNvSpPr/>
      </xdr:nvSpPr>
      <xdr:spPr>
        <a:xfrm>
          <a:off x="26092513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76200</xdr:colOff>
      <xdr:row>11</xdr:row>
      <xdr:rowOff>19050</xdr:rowOff>
    </xdr:from>
    <xdr:to>
      <xdr:col>24</xdr:col>
      <xdr:colOff>533400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31688FC5-51E8-4955-A59E-84C23CB6FFDC}"/>
            </a:ext>
          </a:extLst>
        </xdr:cNvPr>
        <xdr:cNvSpPr/>
      </xdr:nvSpPr>
      <xdr:spPr>
        <a:xfrm>
          <a:off x="2868930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D04748B-E3EB-441F-A033-723B7AC0034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40008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459B1FA3-27E3-4FA5-AA45-3E8143D02F4A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EC2640C8-7D25-4007-B084-723EE408EFD2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E09ADA43-9208-449E-B808-6D2662999B13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5C992622-753B-4FA2-8C56-9426BEA4AEA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7A8AC17D-D809-4D97-A67F-CBAA4B123ADE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A34AACEB-0594-4541-8395-1573741896FA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C989E42C-F4B5-46C1-832D-D5939F7B985A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B8A7CF15-7399-428B-B227-4B0A91C650F2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A550BFC7-9761-4771-9B3D-CF423BC66B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6EE24B40-C6BC-425D-9870-1910EB6231C6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C7B09224-7D70-4F59-AEAF-F6790364408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FB4D30FC-583F-4F9D-AC4A-F2FAF53497CA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F5DD01E-5D67-4F37-A120-921ACDD91CD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E246E766-5C6D-41C3-9982-B6530CF2643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A780B809-B829-47E2-849E-336FF800D77E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F3327C02-B3C7-4DCB-9302-9C8FBB6558A4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C874A6A-4A1E-46AE-9D92-87F0B3A5B56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BE76F083-55BC-46A7-97D1-A56CA863A37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AD4B5A11-DC67-431A-947B-0FA7484FCBC5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64E9AB4-BC4F-4F5B-B6A6-6C3BEEFF6D5B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1EC43C8-CF12-41F6-B3D8-583CB1C7C7D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F3DAFB37-72BE-4F47-9F82-25B5A30C7E17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2A5C544A-85E1-4CD8-A4D0-910FBD0CF39D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50C55E61-D9B4-4F6D-8AE0-A8AD5D93CF8F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CA58D18-B3B9-4DF1-A312-1FFBEE1657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879D6E33-07E3-4212-BC90-3BB7AFC7B75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D667AB98-180C-4696-A61E-AC823B23B352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0A8B7955-72C0-4A0D-B4EE-412CBE10970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C8BC7E4-0FEC-4C0B-8DD4-5FAAEBBE01B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7A048D1-16CA-4AEE-84E2-15DB076F899B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53106DBE-4F75-4B15-ACDF-8B3EA07C23B3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108C47E3-4BB9-412F-AB50-CCAE19B025C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2C7F2D-C0DD-4ED4-99A5-FD5F6D51192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F9A99077-C52E-4348-A1B6-E5C4997D23B1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DCA4E6FC-BBC7-4A03-ADF1-3F09163CA221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90A44F1E-CC38-4A0D-BA18-EBFB38223C4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E5D1A61D-0CB3-413D-A6DF-2D7E7CE58D04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5AA8987-FDBA-404F-8D86-36EC9525DD7D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2F67D8-BC17-4504-B88E-8B802E31C9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1420EDA2-305E-4732-B24A-3190717272A2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B418D5D2-6666-412F-B71D-0108D78A42D3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1611750</xdr:colOff>
      <xdr:row>3</xdr:row>
      <xdr:rowOff>209552</xdr:rowOff>
    </xdr:from>
    <xdr:to>
      <xdr:col>13</xdr:col>
      <xdr:colOff>1466850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3C67777-5BFB-478A-8FC3-987069DA1018}"/>
            </a:ext>
          </a:extLst>
        </xdr:cNvPr>
        <xdr:cNvSpPr/>
      </xdr:nvSpPr>
      <xdr:spPr>
        <a:xfrm>
          <a:off x="1101483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1371600</xdr:colOff>
      <xdr:row>3</xdr:row>
      <xdr:rowOff>171452</xdr:rowOff>
    </xdr:from>
    <xdr:to>
      <xdr:col>15</xdr:col>
      <xdr:colOff>3093600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8630C606-2B63-495C-9CD4-C1EFEF40E653}"/>
            </a:ext>
          </a:extLst>
        </xdr:cNvPr>
        <xdr:cNvSpPr/>
      </xdr:nvSpPr>
      <xdr:spPr>
        <a:xfrm>
          <a:off x="1606296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183696</xdr:colOff>
      <xdr:row>3</xdr:row>
      <xdr:rowOff>171452</xdr:rowOff>
    </xdr:from>
    <xdr:to>
      <xdr:col>18</xdr:col>
      <xdr:colOff>1105596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908186-8712-4D37-B206-DB25B49387DF}"/>
            </a:ext>
          </a:extLst>
        </xdr:cNvPr>
        <xdr:cNvSpPr/>
      </xdr:nvSpPr>
      <xdr:spPr>
        <a:xfrm>
          <a:off x="21062496" y="1314452"/>
          <a:ext cx="339078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557893</xdr:colOff>
      <xdr:row>3</xdr:row>
      <xdr:rowOff>171452</xdr:rowOff>
    </xdr:from>
    <xdr:to>
      <xdr:col>25</xdr:col>
      <xdr:colOff>298693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400E6D7-4273-4CF8-BBE1-CF1BB7379D60}"/>
            </a:ext>
          </a:extLst>
        </xdr:cNvPr>
        <xdr:cNvSpPr/>
      </xdr:nvSpPr>
      <xdr:spPr>
        <a:xfrm>
          <a:off x="26069653" y="1314452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114300</xdr:colOff>
      <xdr:row>11</xdr:row>
      <xdr:rowOff>19050</xdr:rowOff>
    </xdr:from>
    <xdr:to>
      <xdr:col>24</xdr:col>
      <xdr:colOff>571500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39857E04-A25D-4762-8F4B-5B51308490CF}"/>
            </a:ext>
          </a:extLst>
        </xdr:cNvPr>
        <xdr:cNvSpPr/>
      </xdr:nvSpPr>
      <xdr:spPr>
        <a:xfrm>
          <a:off x="2867406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E8917B22-0931-49D4-B3D7-6C8208BF96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78108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1B333A1E-1BFC-4A0A-BE1B-00F62D3C1FDD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08456B89-A500-4F07-865D-47BBC305F32D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B1343E6E-CD5D-4D3E-AF74-08BDDFC6AA0E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B8D033C2-C903-45B9-86A0-A76AEFAD03B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165A0E30-7939-44C0-B27F-4AF1E2BA487A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98FC930B-23DF-4099-95AC-CEFB60D4F465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5BEBD185-D8B3-49BD-BD87-4474E5F840C4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CF7DC053-EBD0-40EE-B346-8B397E71244F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30B0B55C-7961-428D-945A-D1C13EEBF4F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C3F5BC23-43D8-4008-A6C1-E6B3ADB932CB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5DC61640-B6CD-4467-BFCC-1DE85F4F6785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416FFAFE-1183-4028-A027-CDA556B36904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D7C664B-C0CB-4865-8EB7-FA1C5C149EF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1AA57F42-7C94-453B-AE5C-BEB45E465128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22C485FB-6D4F-4A0D-948B-092DC49C1694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307F4718-A8CD-49CD-9A01-A8C3BEE34905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BFF4BA-C817-4C4E-B4C2-19945BABDB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E3DCE428-70CC-4C0D-89CF-AAF6AB94CE33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C03CCDDA-B053-4F7F-9CEC-FEC37AA5ED69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B96FD53-C337-41AF-B037-3D5B93EC5BFD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DDD127C-8BF9-4518-B437-B8BEE1972F1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A62AC6AF-2DB2-49FF-AC41-D669872D0506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AF199A47-F9B7-4271-BC5E-ABBBBD01CC0B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3C4030D2-C35D-48C7-A14B-B01E7F31993D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28C18D9-BC46-489D-8C80-B17F207B249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D41B5F03-DB21-4F59-B6AF-A8EB05AAD5F3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E353AC11-7938-4EE5-9600-89CD8F2A73C0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911FBD6C-038C-4546-BB2F-ED4534A1367C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8C0FCB7-1CDB-46C9-B0E5-C37D3C1D470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42192713-9455-494A-94C9-315565187E8E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46FAC898-1293-482C-8693-8F876F4CA166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0584CC8E-F997-46D2-AE5F-8AA88B9C6421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89F128F-734D-452A-9D3B-94625660531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B78BE553-FD5A-4D80-87DD-8B3EEB2B03C4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F0363263-FFF5-49BB-85FD-6B27A85BFA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E1C137B2-7C6A-45B5-AABD-B4368400F809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2EC31009-4A98-46D0-9116-C89A2AFBF08D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C551E84-9571-4EB0-91A4-BE214B3CEFD9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3429287-11B8-4BFE-BA5D-B0B52B7DA9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69009CA1-0BC6-4935-B6A2-436D333002C8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A22CA828-ABB7-48CE-B437-DAAD82A71B01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AF467DC-C77D-4850-A0E8-B20248015E34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7A5EDD9-A2DE-4143-8818-2956D4953F61}"/>
            </a:ext>
          </a:extLst>
        </xdr:cNvPr>
        <xdr:cNvSpPr/>
      </xdr:nvSpPr>
      <xdr:spPr>
        <a:xfrm>
          <a:off x="16078200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1A16A1A-DD6F-40C1-82B2-82366FB17BB8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20093AC2-4177-4E5C-A0F2-688F23F104F4}"/>
            </a:ext>
          </a:extLst>
        </xdr:cNvPr>
        <xdr:cNvSpPr/>
      </xdr:nvSpPr>
      <xdr:spPr>
        <a:xfrm>
          <a:off x="26084893" y="1314452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152400</xdr:colOff>
      <xdr:row>11</xdr:row>
      <xdr:rowOff>19050</xdr:rowOff>
    </xdr:from>
    <xdr:to>
      <xdr:col>25</xdr:col>
      <xdr:colOff>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A2C19ED0-2EBC-47BD-B467-F8FF0A8A7F2C}"/>
            </a:ext>
          </a:extLst>
        </xdr:cNvPr>
        <xdr:cNvSpPr/>
      </xdr:nvSpPr>
      <xdr:spPr>
        <a:xfrm>
          <a:off x="2868930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C161C9F-5DDC-4636-9D4C-4729F9340953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3B81898-56EF-4889-B28E-17BBECAA34AE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7EC7D8C2-40B7-4E94-B3BF-C57ADF7925DE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253FD071-8885-4BA9-8FEC-91A3B72452A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7BCE85BC-9B04-4AF1-A2E4-771CAE9EF9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D828B53F-E317-40C4-BBC2-7F80843DCE7C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F283C2E6-C486-4523-AD11-680D66280F14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F4AF378B-A001-45DE-95D8-25DBD2E68E78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65066A35-C7A2-435B-B5AB-6BFF42AB0F07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470F5E3E-54B4-47AE-A991-DD2951EAB5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74290568-0DD0-40B3-82EB-1705AA164A45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18503683-0138-43CB-859E-912259B9EDB3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5DCB2C5F-804B-4D41-87E5-9D2F23F7C72D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CDB9ABC-B2BF-48D8-A74D-2799F797065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C55E1544-0381-4930-9904-9E75BE462020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F11704D4-BCDF-4036-BBED-26A48C62DEA0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EA0BBCEE-8120-4BCB-BBD1-F9A3D81C9410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68FB7823-98BE-4E7F-8829-18B7DA1371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DA1EBE65-C002-4089-B2C9-96859600AB5C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1424B3AA-53BB-4D2A-804B-DCC0474D827D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B8C4BA74-4D17-4C2D-9CCC-A6AB8D9EA459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5A3D87C9-6F7B-4B97-BEC3-29431FC50B5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C36B5C3A-44DF-4C24-944C-9BAC6B518188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6ED2D821-5FBF-4B81-9710-6AB9E6287477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B00F3546-518F-45AE-9629-8EA708B0BC89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0820728-83E5-4936-946B-DA4C0ED551A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0574098F-E6C1-4097-A2CF-1B5CADF8BD8E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9A980CD5-F099-470C-AB44-9FC5545D6F36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FBC0ED29-7D97-4957-BA99-7A19523361B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CB63E44A-6604-406D-A5E4-06F968EC091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C8636A65-F970-4592-BE6A-C0FCAF433B62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0D43FC29-E52B-4C2E-8CD4-BA6C7F4D8FB0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F5A75C69-BEFE-459C-A56E-D7D79D87AFBE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87E0FED8-D2DB-4D38-8C3B-2900B66549F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2B455EDC-92D8-44D3-9BE0-A260B302FB6F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2BA103F3-2673-4FA8-90DD-144171712266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85380322-2629-4B32-85E5-63337C9A45F5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7789E941-4949-4940-8A51-D8ACEAB6C6A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2449F6D-E80F-42B5-B38C-292E8B37452A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FCA08-02F0-4D3A-8A56-9B80C6EDB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3BD1B16F-AE8C-4093-AB25-2361D3EFEBAA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000" b="1">
              <a:solidFill>
                <a:schemeClr val="lt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7DD567C5-6CD0-4B5E-B8F6-76076AAE3815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11</xdr:col>
      <xdr:colOff>1649850</xdr:colOff>
      <xdr:row>3</xdr:row>
      <xdr:rowOff>209552</xdr:rowOff>
    </xdr:from>
    <xdr:to>
      <xdr:col>13</xdr:col>
      <xdr:colOff>1504950</xdr:colOff>
      <xdr:row>6</xdr:row>
      <xdr:rowOff>8402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2BBDC5B8-CCE1-4779-9851-18109DF105F7}"/>
            </a:ext>
          </a:extLst>
        </xdr:cNvPr>
        <xdr:cNvSpPr/>
      </xdr:nvSpPr>
      <xdr:spPr>
        <a:xfrm>
          <a:off x="11030070" y="1352552"/>
          <a:ext cx="3398400" cy="75135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14</xdr:col>
      <xdr:colOff>1409700</xdr:colOff>
      <xdr:row>3</xdr:row>
      <xdr:rowOff>171452</xdr:rowOff>
    </xdr:from>
    <xdr:to>
      <xdr:col>16</xdr:col>
      <xdr:colOff>7500</xdr:colOff>
      <xdr:row>5</xdr:row>
      <xdr:rowOff>160802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7654B64E-CD0D-408B-BC3B-A8B6B056A108}"/>
            </a:ext>
          </a:extLst>
        </xdr:cNvPr>
        <xdr:cNvSpPr/>
      </xdr:nvSpPr>
      <xdr:spPr>
        <a:xfrm>
          <a:off x="16078200" y="1314452"/>
          <a:ext cx="33831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17</xdr:col>
      <xdr:colOff>221796</xdr:colOff>
      <xdr:row>3</xdr:row>
      <xdr:rowOff>171452</xdr:rowOff>
    </xdr:from>
    <xdr:to>
      <xdr:col>18</xdr:col>
      <xdr:colOff>1143696</xdr:colOff>
      <xdr:row>5</xdr:row>
      <xdr:rowOff>160802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6B6588F-C783-42DE-B932-3BF07CE650CC}"/>
            </a:ext>
          </a:extLst>
        </xdr:cNvPr>
        <xdr:cNvSpPr/>
      </xdr:nvSpPr>
      <xdr:spPr>
        <a:xfrm>
          <a:off x="21077736" y="1314452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19</xdr:col>
      <xdr:colOff>595993</xdr:colOff>
      <xdr:row>3</xdr:row>
      <xdr:rowOff>171452</xdr:rowOff>
    </xdr:from>
    <xdr:to>
      <xdr:col>25</xdr:col>
      <xdr:colOff>336793</xdr:colOff>
      <xdr:row>5</xdr:row>
      <xdr:rowOff>160802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22289DD-E397-4383-B71C-BD354DFCF4B8}"/>
            </a:ext>
          </a:extLst>
        </xdr:cNvPr>
        <xdr:cNvSpPr/>
      </xdr:nvSpPr>
      <xdr:spPr>
        <a:xfrm>
          <a:off x="26142043" y="1333502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  <xdr:twoCellAnchor editAs="absolute">
    <xdr:from>
      <xdr:col>24</xdr:col>
      <xdr:colOff>152400</xdr:colOff>
      <xdr:row>11</xdr:row>
      <xdr:rowOff>19050</xdr:rowOff>
    </xdr:from>
    <xdr:to>
      <xdr:col>25</xdr:col>
      <xdr:colOff>0</xdr:colOff>
      <xdr:row>12</xdr:row>
      <xdr:rowOff>125186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EE73FE17-8B42-4C13-9807-D55142A0B12D}"/>
            </a:ext>
          </a:extLst>
        </xdr:cNvPr>
        <xdr:cNvSpPr/>
      </xdr:nvSpPr>
      <xdr:spPr>
        <a:xfrm>
          <a:off x="28689300" y="3760470"/>
          <a:ext cx="45720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FA5A6ABF-F122-4BF1-88DF-641AFC9A49B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31</xdr:col>
      <xdr:colOff>116208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A1FAA3E-C9E7-4B7B-A709-7830B084BAD1}"/>
            </a:ext>
          </a:extLst>
        </xdr:cNvPr>
        <xdr:cNvGrpSpPr/>
      </xdr:nvGrpSpPr>
      <xdr:grpSpPr>
        <a:xfrm>
          <a:off x="2438400" y="0"/>
          <a:ext cx="30539058" cy="1162050"/>
          <a:chOff x="2438400" y="0"/>
          <a:chExt cx="30539058" cy="1162050"/>
        </a:xfrm>
      </xdr:grpSpPr>
      <xdr:grpSp>
        <xdr:nvGrpSpPr>
          <xdr:cNvPr id="13" name="Agrupar 12">
            <a:extLst>
              <a:ext uri="{FF2B5EF4-FFF2-40B4-BE49-F238E27FC236}">
                <a16:creationId xmlns:a16="http://schemas.microsoft.com/office/drawing/2014/main" id="{1BE500F5-1A0D-4796-9C08-8E44D1E41E29}"/>
              </a:ext>
              <a:ext uri="{147F2762-F138-4A5C-976F-8EAC2B608ADB}">
                <a16:predDERef xmlns:a16="http://schemas.microsoft.com/office/drawing/2014/main" pred="{00000000-0008-0000-0400-000002000000}"/>
              </a:ext>
            </a:extLst>
          </xdr:cNvPr>
          <xdr:cNvGrpSpPr/>
        </xdr:nvGrpSpPr>
        <xdr:grpSpPr>
          <a:xfrm>
            <a:off x="2438400" y="0"/>
            <a:ext cx="1459980" cy="1162050"/>
            <a:chOff x="1993654" y="0"/>
            <a:chExt cx="1022595" cy="781538"/>
          </a:xfrm>
        </xdr:grpSpPr>
        <xdr:sp macro="" textlink="">
          <xdr:nvSpPr>
            <xdr:cNvPr id="46" name="Retângulo 45">
              <a:extLst>
                <a:ext uri="{FF2B5EF4-FFF2-40B4-BE49-F238E27FC236}">
                  <a16:creationId xmlns:a16="http://schemas.microsoft.com/office/drawing/2014/main" id="{D0518CC4-0496-44F6-8D67-0D262158F6B0}"/>
                </a:ext>
              </a:extLst>
            </xdr:cNvPr>
            <xdr:cNvSpPr/>
          </xdr:nvSpPr>
          <xdr:spPr>
            <a:xfrm>
              <a:off x="1993654" y="0"/>
              <a:ext cx="1022595" cy="781538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47" name="Imagem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3D5A19C7-1001-436A-BA8D-DE7C0A488CC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BEBA8EAE-BF5A-486C-A8C5-ECC9F3942E4B}">
                  <a14:imgProps xmlns:a14="http://schemas.microsoft.com/office/drawing/2010/main">
                    <a14:imgLayer r:embed="rId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290213" y="47642"/>
              <a:ext cx="429477" cy="438642"/>
            </a:xfrm>
            <a:prstGeom prst="rect">
              <a:avLst/>
            </a:prstGeom>
            <a:noFill/>
          </xdr:spPr>
        </xdr:pic>
        <xdr:sp macro="" textlink="">
          <xdr:nvSpPr>
            <xdr:cNvPr id="48" name="CaixaDeTexto 47">
              <a:extLst>
                <a:ext uri="{FF2B5EF4-FFF2-40B4-BE49-F238E27FC236}">
                  <a16:creationId xmlns:a16="http://schemas.microsoft.com/office/drawing/2014/main" id="{3E0D13BD-169F-4A33-9A11-C41271ABF9E4}"/>
                </a:ext>
              </a:extLst>
            </xdr:cNvPr>
            <xdr:cNvSpPr txBox="1"/>
          </xdr:nvSpPr>
          <xdr:spPr>
            <a:xfrm rot="10800000" flipH="1" flipV="1">
              <a:off x="2154404" y="502684"/>
              <a:ext cx="701094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HOME</a:t>
              </a:r>
            </a:p>
          </xdr:txBody>
        </xdr:sp>
      </xdr:grpSp>
      <xdr:grpSp>
        <xdr:nvGrpSpPr>
          <xdr:cNvPr id="14" name="Agrupar 13">
            <a:extLst>
              <a:ext uri="{FF2B5EF4-FFF2-40B4-BE49-F238E27FC236}">
                <a16:creationId xmlns:a16="http://schemas.microsoft.com/office/drawing/2014/main" id="{CF633B45-696B-477C-87BB-6B5068106CAB}"/>
              </a:ext>
            </a:extLst>
          </xdr:cNvPr>
          <xdr:cNvGrpSpPr/>
        </xdr:nvGrpSpPr>
        <xdr:grpSpPr>
          <a:xfrm>
            <a:off x="5936923" y="0"/>
            <a:ext cx="1591077" cy="1162050"/>
            <a:chOff x="5936923" y="0"/>
            <a:chExt cx="1591077" cy="1162050"/>
          </a:xfrm>
        </xdr:grpSpPr>
        <xdr:sp macro="" textlink="">
          <xdr:nvSpPr>
            <xdr:cNvPr id="43" name="Retângulo 42">
              <a:extLst>
                <a:ext uri="{FF2B5EF4-FFF2-40B4-BE49-F238E27FC236}">
                  <a16:creationId xmlns:a16="http://schemas.microsoft.com/office/drawing/2014/main" id="{50CDF32F-A78D-4349-B5C7-9C4F3F30D7E3}"/>
                </a:ext>
              </a:extLst>
            </xdr:cNvPr>
            <xdr:cNvSpPr/>
          </xdr:nvSpPr>
          <xdr:spPr>
            <a:xfrm>
              <a:off x="6003574" y="0"/>
              <a:ext cx="1454926" cy="1162050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87DFE145-8D40-41BF-AED1-EDD1BE128565}"/>
                </a:ext>
              </a:extLst>
            </xdr:cNvPr>
            <xdr:cNvSpPr txBox="1"/>
          </xdr:nvSpPr>
          <xdr:spPr>
            <a:xfrm rot="10800000" flipH="1" flipV="1">
              <a:off x="5936923" y="765583"/>
              <a:ext cx="159107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PRODUÇÃO</a:t>
              </a:r>
            </a:p>
          </xdr:txBody>
        </xdr:sp>
        <xdr:pic>
          <xdr:nvPicPr>
            <xdr:cNvPr id="45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ED4966CE-6D04-428C-AB33-5794901DB9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BEBA8EAE-BF5A-486C-A8C5-ECC9F3942E4B}">
                  <a14:imgProps xmlns:a14="http://schemas.microsoft.com/office/drawing/2010/main">
                    <a14:imgLayer r:embed="rId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433525" y="126203"/>
              <a:ext cx="595024" cy="619129"/>
            </a:xfrm>
            <a:prstGeom prst="rect">
              <a:avLst/>
            </a:prstGeom>
            <a:noFill/>
          </xdr:spPr>
        </xdr:pic>
      </xdr:grpSp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9305E3B6-E1C9-4F42-A98D-C5340039FC0F}"/>
              </a:ext>
            </a:extLst>
          </xdr:cNvPr>
          <xdr:cNvGrpSpPr/>
        </xdr:nvGrpSpPr>
        <xdr:grpSpPr>
          <a:xfrm>
            <a:off x="9566543" y="0"/>
            <a:ext cx="1598167" cy="1162050"/>
            <a:chOff x="9566543" y="0"/>
            <a:chExt cx="1598167" cy="116205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4AAE57E6-8297-488D-ADBA-CA01AE27BBF0}"/>
                </a:ext>
              </a:extLst>
            </xdr:cNvPr>
            <xdr:cNvSpPr/>
          </xdr:nvSpPr>
          <xdr:spPr>
            <a:xfrm>
              <a:off x="9616039" y="0"/>
              <a:ext cx="1461409" cy="116205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41" name="CaixaDeTexto 40">
              <a:extLst>
                <a:ext uri="{FF2B5EF4-FFF2-40B4-BE49-F238E27FC236}">
                  <a16:creationId xmlns:a16="http://schemas.microsoft.com/office/drawing/2014/main" id="{45826F2C-AC0A-418C-A951-F21B3D83DE32}"/>
                </a:ext>
              </a:extLst>
            </xdr:cNvPr>
            <xdr:cNvSpPr txBox="1"/>
          </xdr:nvSpPr>
          <xdr:spPr>
            <a:xfrm rot="10800000" flipH="1" flipV="1">
              <a:off x="9566543" y="765583"/>
              <a:ext cx="1598167" cy="3783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LÓGISTICA</a:t>
              </a:r>
            </a:p>
          </xdr:txBody>
        </xdr:sp>
        <xdr:pic>
          <xdr:nvPicPr>
            <xdr:cNvPr id="42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B676A07E-8328-4103-9627-5B75C2E3E6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BEBA8EAE-BF5A-486C-A8C5-ECC9F3942E4B}">
                  <a14:imgProps xmlns:a14="http://schemas.microsoft.com/office/drawing/2010/main">
                    <a14:imgLayer r:embed="rId11">
                      <a14:imgEffect>
                        <a14:brightnessContrast bright="-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047906" y="136274"/>
              <a:ext cx="597676" cy="598988"/>
            </a:xfrm>
            <a:prstGeom prst="rect">
              <a:avLst/>
            </a:prstGeom>
          </xdr:spPr>
        </xdr:pic>
      </xdr:grpSp>
      <xdr:grpSp>
        <xdr:nvGrpSpPr>
          <xdr:cNvPr id="16" name="Agrupar 15">
            <a:extLst>
              <a:ext uri="{FF2B5EF4-FFF2-40B4-BE49-F238E27FC236}">
                <a16:creationId xmlns:a16="http://schemas.microsoft.com/office/drawing/2014/main" id="{4B25F83B-7BA5-40F9-9652-7C8D6C21AE8D}"/>
              </a:ext>
            </a:extLst>
          </xdr:cNvPr>
          <xdr:cNvGrpSpPr/>
        </xdr:nvGrpSpPr>
        <xdr:grpSpPr>
          <a:xfrm>
            <a:off x="13203254" y="0"/>
            <a:ext cx="1591094" cy="1162050"/>
            <a:chOff x="5781229" y="0"/>
            <a:chExt cx="1118289" cy="781538"/>
          </a:xfrm>
        </xdr:grpSpPr>
        <xdr:sp macro="" textlink="">
          <xdr:nvSpPr>
            <xdr:cNvPr id="37" name="Retângulo 36">
              <a:extLst>
                <a:ext uri="{FF2B5EF4-FFF2-40B4-BE49-F238E27FC236}">
                  <a16:creationId xmlns:a16="http://schemas.microsoft.com/office/drawing/2014/main" id="{DC296931-7859-46C4-9A40-D228279D1F83}"/>
                </a:ext>
              </a:extLst>
            </xdr:cNvPr>
            <xdr:cNvSpPr/>
          </xdr:nvSpPr>
          <xdr:spPr>
            <a:xfrm>
              <a:off x="581586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8" name="CaixaDeTexto 37">
              <a:extLst>
                <a:ext uri="{FF2B5EF4-FFF2-40B4-BE49-F238E27FC236}">
                  <a16:creationId xmlns:a16="http://schemas.microsoft.com/office/drawing/2014/main" id="{041C7928-DAEF-4414-B518-AF24D347EEE6}"/>
                </a:ext>
              </a:extLst>
            </xdr:cNvPr>
            <xdr:cNvSpPr txBox="1"/>
          </xdr:nvSpPr>
          <xdr:spPr>
            <a:xfrm rot="10800000" flipH="1" flipV="1">
              <a:off x="578122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ESTOQUE</a:t>
              </a:r>
            </a:p>
          </xdr:txBody>
        </xdr:sp>
        <xdr:pic>
          <xdr:nvPicPr>
            <xdr:cNvPr id="39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7113546B-28D2-4EDA-B99C-86807D692F3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BEBA8EAE-BF5A-486C-A8C5-ECC9F3942E4B}">
                  <a14:imgProps xmlns:a14="http://schemas.microsoft.com/office/drawing/2010/main">
                    <a14:imgLayer r:embed="rId1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6119786" y="91651"/>
              <a:ext cx="414748" cy="402850"/>
            </a:xfrm>
            <a:prstGeom prst="rect">
              <a:avLst/>
            </a:prstGeom>
          </xdr:spPr>
        </xdr:pic>
      </xdr:grpSp>
      <xdr:grpSp>
        <xdr:nvGrpSpPr>
          <xdr:cNvPr id="17" name="Agrupar 16">
            <a:extLst>
              <a:ext uri="{FF2B5EF4-FFF2-40B4-BE49-F238E27FC236}">
                <a16:creationId xmlns:a16="http://schemas.microsoft.com/office/drawing/2014/main" id="{240D81AF-0AEC-47AC-B9EF-883EEEBEB2C6}"/>
              </a:ext>
            </a:extLst>
          </xdr:cNvPr>
          <xdr:cNvGrpSpPr/>
        </xdr:nvGrpSpPr>
        <xdr:grpSpPr>
          <a:xfrm>
            <a:off x="16832891" y="0"/>
            <a:ext cx="1611886" cy="1162050"/>
            <a:chOff x="7112293" y="0"/>
            <a:chExt cx="1118289" cy="781538"/>
          </a:xfrm>
        </xdr:grpSpPr>
        <xdr:sp macro="" textlink="">
          <xdr:nvSpPr>
            <xdr:cNvPr id="34" name="Retângulo 33">
              <a:extLst>
                <a:ext uri="{FF2B5EF4-FFF2-40B4-BE49-F238E27FC236}">
                  <a16:creationId xmlns:a16="http://schemas.microsoft.com/office/drawing/2014/main" id="{64BE674D-79B8-4EDF-A5BF-4C3D85E6E4EA}"/>
                </a:ext>
              </a:extLst>
            </xdr:cNvPr>
            <xdr:cNvSpPr/>
          </xdr:nvSpPr>
          <xdr:spPr>
            <a:xfrm>
              <a:off x="714692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5" name="CaixaDeTexto 34">
              <a:extLst>
                <a:ext uri="{FF2B5EF4-FFF2-40B4-BE49-F238E27FC236}">
                  <a16:creationId xmlns:a16="http://schemas.microsoft.com/office/drawing/2014/main" id="{54DDC4A8-11A9-4AB5-B8FF-3FB9ACC17B6F}"/>
                </a:ext>
              </a:extLst>
            </xdr:cNvPr>
            <xdr:cNvSpPr txBox="1"/>
          </xdr:nvSpPr>
          <xdr:spPr>
            <a:xfrm rot="10800000" flipH="1" flipV="1">
              <a:off x="711229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RH</a:t>
              </a:r>
            </a:p>
          </xdr:txBody>
        </xdr:sp>
        <xdr:pic>
          <xdr:nvPicPr>
            <xdr:cNvPr id="36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2BB8BF06-1CA3-4504-983C-027533E1DFF8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4" cstate="print">
              <a:extLst>
                <a:ext uri="{BEBA8EAE-BF5A-486C-A8C5-ECC9F3942E4B}">
                  <a14:imgProps xmlns:a14="http://schemas.microsoft.com/office/drawing/2010/main">
                    <a14:imgLayer r:embed="rId15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7451678" y="91651"/>
              <a:ext cx="413091" cy="402850"/>
            </a:xfrm>
            <a:prstGeom prst="rect">
              <a:avLst/>
            </a:prstGeom>
          </xdr:spPr>
        </xdr:pic>
      </xdr:grpSp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69A7C7FE-1A37-4D43-B78A-99665B3283E9}"/>
              </a:ext>
            </a:extLst>
          </xdr:cNvPr>
          <xdr:cNvGrpSpPr/>
        </xdr:nvGrpSpPr>
        <xdr:grpSpPr>
          <a:xfrm>
            <a:off x="20483320" y="0"/>
            <a:ext cx="1592510" cy="1162050"/>
            <a:chOff x="8443355" y="0"/>
            <a:chExt cx="1118289" cy="781538"/>
          </a:xfrm>
        </xdr:grpSpPr>
        <xdr:sp macro="" textlink="">
          <xdr:nvSpPr>
            <xdr:cNvPr id="31" name="Retângulo 30">
              <a:extLst>
                <a:ext uri="{FF2B5EF4-FFF2-40B4-BE49-F238E27FC236}">
                  <a16:creationId xmlns:a16="http://schemas.microsoft.com/office/drawing/2014/main" id="{41B11160-3E25-47F6-9251-DA6F7D1636C1}"/>
                </a:ext>
              </a:extLst>
            </xdr:cNvPr>
            <xdr:cNvSpPr/>
          </xdr:nvSpPr>
          <xdr:spPr>
            <a:xfrm>
              <a:off x="8477989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B07EE2FF-8228-4D00-B378-06383719BCBC}"/>
                </a:ext>
              </a:extLst>
            </xdr:cNvPr>
            <xdr:cNvSpPr txBox="1"/>
          </xdr:nvSpPr>
          <xdr:spPr>
            <a:xfrm rot="10800000" flipH="1" flipV="1">
              <a:off x="8443355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FINANÇAS</a:t>
              </a:r>
            </a:p>
          </xdr:txBody>
        </xdr:sp>
        <xdr:pic>
          <xdr:nvPicPr>
            <xdr:cNvPr id="33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2EC9289-A4EA-49A8-AFE3-EF33BCADF2B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BEBA8EAE-BF5A-486C-A8C5-ECC9F3942E4B}">
                  <a14:imgProps xmlns:a14="http://schemas.microsoft.com/office/drawing/2010/main">
                    <a14:imgLayer r:embed="rId17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8786154" y="91651"/>
              <a:ext cx="406263" cy="402850"/>
            </a:xfrm>
            <a:prstGeom prst="rect">
              <a:avLst/>
            </a:prstGeom>
          </xdr:spPr>
        </xdr:pic>
      </xdr:grpSp>
      <xdr:grpSp>
        <xdr:nvGrpSpPr>
          <xdr:cNvPr id="19" name="Agrupar 18">
            <a:extLst>
              <a:ext uri="{FF2B5EF4-FFF2-40B4-BE49-F238E27FC236}">
                <a16:creationId xmlns:a16="http://schemas.microsoft.com/office/drawing/2014/main" id="{6FBB366F-AC77-4F5C-A481-91FFFA103559}"/>
              </a:ext>
            </a:extLst>
          </xdr:cNvPr>
          <xdr:cNvGrpSpPr/>
        </xdr:nvGrpSpPr>
        <xdr:grpSpPr>
          <a:xfrm>
            <a:off x="24114373" y="0"/>
            <a:ext cx="1589661" cy="1162050"/>
            <a:chOff x="9774419" y="0"/>
            <a:chExt cx="1118289" cy="781538"/>
          </a:xfrm>
        </xdr:grpSpPr>
        <xdr:sp macro="" textlink="">
          <xdr:nvSpPr>
            <xdr:cNvPr id="28" name="Retângulo 27">
              <a:extLst>
                <a:ext uri="{FF2B5EF4-FFF2-40B4-BE49-F238E27FC236}">
                  <a16:creationId xmlns:a16="http://schemas.microsoft.com/office/drawing/2014/main" id="{382B7D9B-E823-4339-A4CA-ABDAFEADD89E}"/>
                </a:ext>
              </a:extLst>
            </xdr:cNvPr>
            <xdr:cNvSpPr/>
          </xdr:nvSpPr>
          <xdr:spPr>
            <a:xfrm>
              <a:off x="9809053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9" name="CaixaDeTexto 28">
              <a:extLst>
                <a:ext uri="{FF2B5EF4-FFF2-40B4-BE49-F238E27FC236}">
                  <a16:creationId xmlns:a16="http://schemas.microsoft.com/office/drawing/2014/main" id="{C73EF69D-9FCE-4429-BB96-1C40B3D6C5DF}"/>
                </a:ext>
              </a:extLst>
            </xdr:cNvPr>
            <xdr:cNvSpPr txBox="1"/>
          </xdr:nvSpPr>
          <xdr:spPr>
            <a:xfrm rot="10800000" flipH="1" flipV="1">
              <a:off x="9774419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COMPRAS</a:t>
              </a:r>
            </a:p>
          </xdr:txBody>
        </xdr:sp>
        <xdr:pic>
          <xdr:nvPicPr>
            <xdr:cNvPr id="30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1BF4D750-7FDD-4B27-B23B-17493388E51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BEBA8EAE-BF5A-486C-A8C5-ECC9F3942E4B}">
                  <a14:imgProps xmlns:a14="http://schemas.microsoft.com/office/drawing/2010/main">
                    <a14:imgLayer r:embed="rId19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0117218" y="91651"/>
              <a:ext cx="406263" cy="402849"/>
            </a:xfrm>
            <a:prstGeom prst="rect">
              <a:avLst/>
            </a:prstGeom>
          </xdr:spPr>
        </xdr:pic>
      </xdr:grpSp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B19DEFE1-6B71-4737-A7D3-0C9C31B4A0D4}"/>
              </a:ext>
            </a:extLst>
          </xdr:cNvPr>
          <xdr:cNvGrpSpPr/>
        </xdr:nvGrpSpPr>
        <xdr:grpSpPr>
          <a:xfrm>
            <a:off x="27742578" y="0"/>
            <a:ext cx="1598169" cy="1162050"/>
            <a:chOff x="11105473" y="0"/>
            <a:chExt cx="1118289" cy="781538"/>
          </a:xfrm>
        </xdr:grpSpPr>
        <xdr:sp macro="" textlink="">
          <xdr:nvSpPr>
            <xdr:cNvPr id="25" name="Retângulo 24">
              <a:extLst>
                <a:ext uri="{FF2B5EF4-FFF2-40B4-BE49-F238E27FC236}">
                  <a16:creationId xmlns:a16="http://schemas.microsoft.com/office/drawing/2014/main" id="{9DB3635A-5DF0-4541-A571-6106199E8087}"/>
                </a:ext>
              </a:extLst>
            </xdr:cNvPr>
            <xdr:cNvSpPr/>
          </xdr:nvSpPr>
          <xdr:spPr>
            <a:xfrm>
              <a:off x="11140107" y="0"/>
              <a:ext cx="1022595" cy="781538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6" name="CaixaDeTexto 25">
              <a:extLst>
                <a:ext uri="{FF2B5EF4-FFF2-40B4-BE49-F238E27FC236}">
                  <a16:creationId xmlns:a16="http://schemas.microsoft.com/office/drawing/2014/main" id="{41FCF268-BA30-45E8-938F-EE2D4C4DA77A}"/>
                </a:ext>
              </a:extLst>
            </xdr:cNvPr>
            <xdr:cNvSpPr txBox="1"/>
          </xdr:nvSpPr>
          <xdr:spPr>
            <a:xfrm rot="10800000" flipH="1" flipV="1">
              <a:off x="11105473" y="514894"/>
              <a:ext cx="1118289" cy="2544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VENDAS</a:t>
              </a:r>
            </a:p>
          </xdr:txBody>
        </xdr:sp>
        <xdr:pic>
          <xdr:nvPicPr>
            <xdr:cNvPr id="27" name="Imagem 1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DAC5E608-C8E8-4E60-9DB3-EB61038259A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BEBA8EAE-BF5A-486C-A8C5-ECC9F3942E4B}">
                  <a14:imgProps xmlns:a14="http://schemas.microsoft.com/office/drawing/2010/main">
                    <a14:imgLayer r:embed="rId21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/>
          </xdr:blipFill>
          <xdr:spPr>
            <a:xfrm>
              <a:off x="11449979" y="91651"/>
              <a:ext cx="402849" cy="402849"/>
            </a:xfrm>
            <a:prstGeom prst="rect">
              <a:avLst/>
            </a:prstGeom>
          </xdr:spPr>
        </xdr:pic>
      </xdr:grpSp>
      <xdr:grpSp>
        <xdr:nvGrpSpPr>
          <xdr:cNvPr id="21" name="Agrupar 20">
            <a:extLst>
              <a:ext uri="{FF2B5EF4-FFF2-40B4-BE49-F238E27FC236}">
                <a16:creationId xmlns:a16="http://schemas.microsoft.com/office/drawing/2014/main" id="{67707D75-8C7D-4133-B63C-ADF2AF5655FB}"/>
              </a:ext>
            </a:extLst>
          </xdr:cNvPr>
          <xdr:cNvGrpSpPr/>
        </xdr:nvGrpSpPr>
        <xdr:grpSpPr>
          <a:xfrm>
            <a:off x="31379289" y="0"/>
            <a:ext cx="1598169" cy="1162050"/>
            <a:chOff x="12260227" y="0"/>
            <a:chExt cx="1118316" cy="770164"/>
          </a:xfrm>
        </xdr:grpSpPr>
        <xdr:sp macro="" textlink="">
          <xdr:nvSpPr>
            <xdr:cNvPr id="22" name="Retângulo 21">
              <a:extLst>
                <a:ext uri="{FF2B5EF4-FFF2-40B4-BE49-F238E27FC236}">
                  <a16:creationId xmlns:a16="http://schemas.microsoft.com/office/drawing/2014/main" id="{3BCC29E6-8D39-4045-8DF8-CDCC2A237CD2}"/>
                </a:ext>
              </a:extLst>
            </xdr:cNvPr>
            <xdr:cNvSpPr/>
          </xdr:nvSpPr>
          <xdr:spPr>
            <a:xfrm>
              <a:off x="12294861" y="0"/>
              <a:ext cx="1022620" cy="770164"/>
            </a:xfrm>
            <a:prstGeom prst="rect">
              <a:avLst/>
            </a:prstGeom>
            <a:solidFill>
              <a:schemeClr val="tx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CaixaDeTexto 22">
              <a:extLst>
                <a:ext uri="{FF2B5EF4-FFF2-40B4-BE49-F238E27FC236}">
                  <a16:creationId xmlns:a16="http://schemas.microsoft.com/office/drawing/2014/main" id="{64A2A74D-917B-4085-8E9E-8E9CA64A13FA}"/>
                </a:ext>
              </a:extLst>
            </xdr:cNvPr>
            <xdr:cNvSpPr txBox="1"/>
          </xdr:nvSpPr>
          <xdr:spPr>
            <a:xfrm rot="10800000" flipH="1" flipV="1">
              <a:off x="12260227" y="507401"/>
              <a:ext cx="1118316" cy="2507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 algn="ctr"/>
              <a:r>
                <a:rPr lang="pt-BR" sz="160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B.D</a:t>
              </a:r>
            </a:p>
          </xdr:txBody>
        </xdr:sp>
        <xdr:pic>
          <xdr:nvPicPr>
            <xdr:cNvPr id="24" name="Imagem 23" descr="Ícone do banco de dados (símbolo png) preto">
              <a:extLst>
                <a:ext uri="{FF2B5EF4-FFF2-40B4-BE49-F238E27FC236}">
                  <a16:creationId xmlns:a16="http://schemas.microsoft.com/office/drawing/2014/main" id="{8F2B3C61-C79A-4E71-9274-CC5FDCCA79E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22" cstate="print">
              <a:extLst>
                <a:ext uri="{BEBA8EAE-BF5A-486C-A8C5-ECC9F3942E4B}">
                  <a14:imgProps xmlns:a14="http://schemas.microsoft.com/office/drawing/2010/main">
                    <a14:imgLayer r:embed="rId23">
                      <a14:imgEffect>
                        <a14:brightnessContrast bright="10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2583290" y="70089"/>
              <a:ext cx="434714" cy="421049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 editAs="absolute">
    <xdr:from>
      <xdr:col>28</xdr:col>
      <xdr:colOff>24493</xdr:colOff>
      <xdr:row>3</xdr:row>
      <xdr:rowOff>171452</xdr:rowOff>
    </xdr:from>
    <xdr:to>
      <xdr:col>33</xdr:col>
      <xdr:colOff>374893</xdr:colOff>
      <xdr:row>5</xdr:row>
      <xdr:rowOff>160802</xdr:rowOff>
    </xdr:to>
    <xdr:sp macro="" textlink="">
      <xdr:nvSpPr>
        <xdr:cNvPr id="49" name="Retângulo 48">
          <a:extLst>
            <a:ext uri="{FF2B5EF4-FFF2-40B4-BE49-F238E27FC236}">
              <a16:creationId xmlns:a16="http://schemas.microsoft.com/office/drawing/2014/main" id="{E7620E1D-A7F6-4C7F-B5B3-CFDDF0E82C1B}"/>
            </a:ext>
          </a:extLst>
        </xdr:cNvPr>
        <xdr:cNvSpPr/>
      </xdr:nvSpPr>
      <xdr:spPr>
        <a:xfrm>
          <a:off x="31056943" y="1333502"/>
          <a:ext cx="3398400" cy="7704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DE VEÍCULOS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A9ABE85-321A-441B-B049-92CC556B7ECF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BF1B3C9-DCA9-49B9-990E-78D4642ADA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4296EE05-044D-4DEB-A260-EC5C4B2A6864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8B8900E5-24EC-4516-A6A1-9332D8E0CEEC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8</xdr:col>
      <xdr:colOff>647700</xdr:colOff>
      <xdr:row>8</xdr:row>
      <xdr:rowOff>38100</xdr:rowOff>
    </xdr:from>
    <xdr:to>
      <xdr:col>9</xdr:col>
      <xdr:colOff>266700</xdr:colOff>
      <xdr:row>9</xdr:row>
      <xdr:rowOff>144236</xdr:rowOff>
    </xdr:to>
    <xdr:sp macro="[0]!BotaoComLogin" textlink="">
      <xdr:nvSpPr>
        <xdr:cNvPr id="10" name="Círculo: Vazio 9">
          <a:extLst>
            <a:ext uri="{FF2B5EF4-FFF2-40B4-BE49-F238E27FC236}">
              <a16:creationId xmlns:a16="http://schemas.microsoft.com/office/drawing/2014/main" id="{B6CD4612-7F5B-4547-99F3-8533094CFAAF}"/>
            </a:ext>
          </a:extLst>
        </xdr:cNvPr>
        <xdr:cNvSpPr/>
      </xdr:nvSpPr>
      <xdr:spPr>
        <a:xfrm>
          <a:off x="8020050" y="27241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55702D68-D5C8-4CDF-BF80-7431A8BA482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E7C2BB46-B7A5-4596-90A4-DA16D21C1A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46" name="Retângulo 45">
            <a:extLst>
              <a:ext uri="{FF2B5EF4-FFF2-40B4-BE49-F238E27FC236}">
                <a16:creationId xmlns:a16="http://schemas.microsoft.com/office/drawing/2014/main" id="{A22738E4-2AC4-430F-AB17-4E653D355ED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7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1DC701C-6A69-4703-81D3-69760B276D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496C9D55-40BF-4ACE-B513-CCD04E98196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1049E32E-938D-4F64-BEC1-D545D54104D8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E04E0035-8EA4-431E-BC75-DF89266DC6B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F39D4734-6F89-4444-80B5-34FC06AEB9C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4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710989-5F8B-474A-825A-7038E25012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54C3F7EB-5705-4D3B-A507-BA29273851CC}"/>
            </a:ext>
          </a:extLst>
        </xdr:cNvPr>
        <xdr:cNvSpPr/>
      </xdr:nvSpPr>
      <xdr:spPr>
        <a:xfrm>
          <a:off x="9616039" y="0"/>
          <a:ext cx="1461409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185F11A0-8729-4BC4-BC4B-9E7FE5AF8CCF}"/>
            </a:ext>
          </a:extLst>
        </xdr:cNvPr>
        <xdr:cNvSpPr txBox="1"/>
      </xdr:nvSpPr>
      <xdr:spPr>
        <a:xfrm rot="10800000" flipH="1" flipV="1">
          <a:off x="9566543" y="765583"/>
          <a:ext cx="159816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4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4FFC2-62CE-4590-A1E6-2C098E21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82" name="Agrupar 81">
          <a:extLst>
            <a:ext uri="{FF2B5EF4-FFF2-40B4-BE49-F238E27FC236}">
              <a16:creationId xmlns:a16="http://schemas.microsoft.com/office/drawing/2014/main" id="{5116B9A8-30A6-42FA-8BCA-C3A4230EC2C9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2FFEF6F4-D132-42D0-87AC-BBF7F0AA73CB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B03FB71C-55FD-4542-A178-1B427043CB27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39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F3579AD-0FD5-463D-9B44-B0269C7A8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478F035-99C1-489C-B559-573865D7BBA0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C4680B87-840B-48BE-8BA4-36E092B4CBCA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2DDBB5DC-D6BF-41B8-95EF-78F3EF160CD6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3CC6B72-2AD2-43F7-90EC-2B5C1CD437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2290570</xdr:colOff>
      <xdr:row>0</xdr:row>
      <xdr:rowOff>0</xdr:rowOff>
    </xdr:from>
    <xdr:to>
      <xdr:col>20</xdr:col>
      <xdr:colOff>54030</xdr:colOff>
      <xdr:row>3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8C6B52A1-752E-400C-84E4-EB0E5EE70C25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7FB681ED-D697-43F5-9605-AA6FBCC53E3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D448301C-5EE6-4F63-8218-19F5F037FFD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C075601-11E7-4382-BBF2-97CE31E78B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263773</xdr:colOff>
      <xdr:row>0</xdr:row>
      <xdr:rowOff>0</xdr:rowOff>
    </xdr:from>
    <xdr:to>
      <xdr:col>25</xdr:col>
      <xdr:colOff>62734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59F4BEFE-D8D1-4B33-A392-4C5F7C3AB0B5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0C4C089-699E-4F74-B166-AE18B530073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FD56F95-C0E0-4D22-AB84-32D06A6D6B4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48B5C86-BD4C-4A13-8460-12EBF6F31B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2101278</xdr:colOff>
      <xdr:row>0</xdr:row>
      <xdr:rowOff>0</xdr:rowOff>
    </xdr:from>
    <xdr:to>
      <xdr:col>26</xdr:col>
      <xdr:colOff>194247</xdr:colOff>
      <xdr:row>3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AD7031A8-DC00-4F59-AB81-0A7FEB4CD1D2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6FA19239-C9B1-464E-94CB-FF0D6D52909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C9E9A452-3FD6-45B9-9600-41670194EC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3CB77B8-F0B6-48F6-886F-C2DAAEB798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29</xdr:col>
      <xdr:colOff>403989</xdr:colOff>
      <xdr:row>0</xdr:row>
      <xdr:rowOff>0</xdr:rowOff>
    </xdr:from>
    <xdr:to>
      <xdr:col>32</xdr:col>
      <xdr:colOff>173358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111BAAE-8FAF-42D4-B390-3B069A4514FC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63B829E0-9E92-432D-A901-E4D9F9A8052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9DB1A713-22EF-4A0B-A24D-B8ECC7B26D3A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24" name="Imagem 23" descr="Ícone do banco de dados (símbolo png) preto">
            <a:extLst>
              <a:ext uri="{FF2B5EF4-FFF2-40B4-BE49-F238E27FC236}">
                <a16:creationId xmlns:a16="http://schemas.microsoft.com/office/drawing/2014/main" id="{DC7F1D98-9576-465E-96F5-EDD10D841ED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83" name="Retângulo: Cantos Arredondados 82">
          <a:extLst>
            <a:ext uri="{FF2B5EF4-FFF2-40B4-BE49-F238E27FC236}">
              <a16:creationId xmlns:a16="http://schemas.microsoft.com/office/drawing/2014/main" id="{999DF641-8D97-4230-BC86-75E9C4708878}"/>
            </a:ext>
          </a:extLst>
        </xdr:cNvPr>
        <xdr:cNvSpPr/>
      </xdr:nvSpPr>
      <xdr:spPr>
        <a:xfrm>
          <a:off x="16287750" y="963930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  <xdr:twoCellAnchor>
    <xdr:from>
      <xdr:col>25</xdr:col>
      <xdr:colOff>32384</xdr:colOff>
      <xdr:row>21</xdr:row>
      <xdr:rowOff>304799</xdr:rowOff>
    </xdr:from>
    <xdr:to>
      <xdr:col>25</xdr:col>
      <xdr:colOff>1943099</xdr:colOff>
      <xdr:row>25</xdr:row>
      <xdr:rowOff>40354</xdr:rowOff>
    </xdr:to>
    <xdr:sp macro="" textlink="">
      <xdr:nvSpPr>
        <xdr:cNvPr id="84" name="Retângulo Arredondado 11">
          <a:extLst>
            <a:ext uri="{FF2B5EF4-FFF2-40B4-BE49-F238E27FC236}">
              <a16:creationId xmlns:a16="http://schemas.microsoft.com/office/drawing/2014/main" id="{AAC97D67-9C0B-444B-8AC9-5ADC02F81388}"/>
            </a:ext>
            <a:ext uri="{147F2762-F138-4A5C-976F-8EAC2B608ADB}">
              <a16:predDERef xmlns:a16="http://schemas.microsoft.com/office/drawing/2014/main" pred="{FEE27294-4771-4BDE-8047-454433BFA703}"/>
            </a:ext>
          </a:extLst>
        </xdr:cNvPr>
        <xdr:cNvSpPr/>
      </xdr:nvSpPr>
      <xdr:spPr>
        <a:xfrm>
          <a:off x="25673684" y="7696199"/>
          <a:ext cx="1910715" cy="1183355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575A507C-717C-42D0-80D6-C79ADC9A0C92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6FB489-444B-450B-8D91-8BD968073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0</xdr:col>
      <xdr:colOff>266700</xdr:colOff>
      <xdr:row>3</xdr:row>
      <xdr:rowOff>190500</xdr:rowOff>
    </xdr:from>
    <xdr:to>
      <xdr:col>5</xdr:col>
      <xdr:colOff>921900</xdr:colOff>
      <xdr:row>5</xdr:row>
      <xdr:rowOff>179850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7B868D2E-B3D2-4478-A67C-D7E1F069F569}"/>
            </a:ext>
          </a:extLst>
        </xdr:cNvPr>
        <xdr:cNvSpPr/>
      </xdr:nvSpPr>
      <xdr:spPr>
        <a:xfrm>
          <a:off x="266700" y="13335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PEDIDO</a:t>
          </a:r>
          <a:r>
            <a:rPr lang="pt-BR" sz="2000" b="1" baseline="0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 DE PRODUÇÃO</a:t>
          </a:r>
          <a:endParaRPr lang="pt-BR" sz="2000">
            <a:effectLst/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1581150</xdr:colOff>
      <xdr:row>3</xdr:row>
      <xdr:rowOff>190500</xdr:rowOff>
    </xdr:from>
    <xdr:to>
      <xdr:col>10</xdr:col>
      <xdr:colOff>140850</xdr:colOff>
      <xdr:row>5</xdr:row>
      <xdr:rowOff>179850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9BC8EB2A-A8D9-408D-A5A5-5E9AD95F548A}"/>
            </a:ext>
          </a:extLst>
        </xdr:cNvPr>
        <xdr:cNvSpPr/>
      </xdr:nvSpPr>
      <xdr:spPr>
        <a:xfrm>
          <a:off x="5833110" y="1333500"/>
          <a:ext cx="3375540" cy="75897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SAÍDA DE MATERIAIS</a:t>
          </a:r>
        </a:p>
      </xdr:txBody>
    </xdr:sp>
    <xdr:clientData/>
  </xdr:twoCellAnchor>
  <xdr:twoCellAnchor editAs="absolute">
    <xdr:from>
      <xdr:col>8</xdr:col>
      <xdr:colOff>647700</xdr:colOff>
      <xdr:row>8</xdr:row>
      <xdr:rowOff>38100</xdr:rowOff>
    </xdr:from>
    <xdr:to>
      <xdr:col>9</xdr:col>
      <xdr:colOff>266700</xdr:colOff>
      <xdr:row>9</xdr:row>
      <xdr:rowOff>144236</xdr:rowOff>
    </xdr:to>
    <xdr:sp macro="[0]!BotaoComLogin" textlink="">
      <xdr:nvSpPr>
        <xdr:cNvPr id="6" name="Círculo: Vazio 5">
          <a:extLst>
            <a:ext uri="{FF2B5EF4-FFF2-40B4-BE49-F238E27FC236}">
              <a16:creationId xmlns:a16="http://schemas.microsoft.com/office/drawing/2014/main" id="{82008787-EB4E-4FAF-A4F9-83E87DB0D97D}"/>
            </a:ext>
          </a:extLst>
        </xdr:cNvPr>
        <xdr:cNvSpPr/>
      </xdr:nvSpPr>
      <xdr:spPr>
        <a:xfrm>
          <a:off x="8016240" y="2682240"/>
          <a:ext cx="449580" cy="47189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DED96927-86EB-45BF-9DBA-0313C3937FA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41D5657A-233D-4DC6-8445-AD410B6AED4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441A687-3714-43BD-9190-9E0B4739501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D7E9FFC-1F0C-4AB1-A5CD-87F3FF7CD1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CE6D24B6-29E4-45BC-9D65-B4C18F1B4D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63BBA8A0-F37F-4747-9F16-40DE3BEC4DCF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EC3FE47A-3830-400C-B30A-CEB81EDB4CF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819294D5-C951-4FC0-9480-0AD490725892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52EEDA5-EC74-44DC-A189-7CD9952A1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29B4851-4607-46A4-8817-B9426C43569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BC9C9B06-7DE9-4A73-A605-18D96BE21C10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F5972EA-86D1-4807-8162-3737E4EAE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77804</xdr:colOff>
      <xdr:row>0</xdr:row>
      <xdr:rowOff>0</xdr:rowOff>
    </xdr:from>
    <xdr:to>
      <xdr:col>14</xdr:col>
      <xdr:colOff>1668898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BADB8EFE-B12B-41F6-BEC7-E6FC797CB696}"/>
            </a:ext>
          </a:extLst>
        </xdr:cNvPr>
        <xdr:cNvGrpSpPr/>
      </xdr:nvGrpSpPr>
      <xdr:grpSpPr>
        <a:xfrm>
          <a:off x="13203254" y="0"/>
          <a:ext cx="1591094" cy="1162050"/>
          <a:chOff x="13203254" y="0"/>
          <a:chExt cx="1591094" cy="1162050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C78E47A3-2849-4735-ACD8-D07D15C5160D}"/>
              </a:ext>
            </a:extLst>
          </xdr:cNvPr>
          <xdr:cNvSpPr/>
        </xdr:nvSpPr>
        <xdr:spPr>
          <a:xfrm>
            <a:off x="13252531" y="0"/>
            <a:ext cx="1454941" cy="116205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B7912BD-6027-4BFB-AF4E-72E72F6C5E4D}"/>
              </a:ext>
            </a:extLst>
          </xdr:cNvPr>
          <xdr:cNvSpPr txBox="1"/>
        </xdr:nvSpPr>
        <xdr:spPr>
          <a:xfrm rot="10800000" flipH="1" flipV="1">
            <a:off x="13203254" y="765583"/>
            <a:ext cx="1591094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B03B573-6F78-40FD-BBCD-D16696303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84951" y="136274"/>
            <a:ext cx="590101" cy="598988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240341</xdr:colOff>
      <xdr:row>0</xdr:row>
      <xdr:rowOff>0</xdr:rowOff>
    </xdr:from>
    <xdr:to>
      <xdr:col>18</xdr:col>
      <xdr:colOff>252027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DA71F4D7-BC66-464E-9708-67D4758ACD44}"/>
            </a:ext>
          </a:extLst>
        </xdr:cNvPr>
        <xdr:cNvGrpSpPr/>
      </xdr:nvGrpSpPr>
      <xdr:grpSpPr>
        <a:xfrm>
          <a:off x="16832891" y="0"/>
          <a:ext cx="1611886" cy="1162050"/>
          <a:chOff x="7112293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FC3847C-F917-42FB-BA39-53DA1FE0F90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E8EC37A0-9F4A-402E-8FAA-D4438A94FD0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E123441-8526-4927-AA32-6083964A71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19</xdr:col>
      <xdr:colOff>137920</xdr:colOff>
      <xdr:row>0</xdr:row>
      <xdr:rowOff>0</xdr:rowOff>
    </xdr:from>
    <xdr:to>
      <xdr:col>21</xdr:col>
      <xdr:colOff>511230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80CEB3-DAFB-4EB3-A05A-860D81AD002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4F40652-BF2E-4A67-BCE2-4ADEA206223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7185D568-9BB8-4550-9951-7DEAFB1080D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84E6EEB-8315-473D-BD9F-2AFB4FA00B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1330573</xdr:colOff>
      <xdr:row>0</xdr:row>
      <xdr:rowOff>0</xdr:rowOff>
    </xdr:from>
    <xdr:to>
      <xdr:col>25</xdr:col>
      <xdr:colOff>1129534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048D900-ED2C-4405-A0E4-5DD68F871609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BC9CBEA-AD81-4C3C-B831-57EBD13AC4D3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164FAFD-FF17-4AEB-A33B-49037B7E01E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6DCD978-5747-4F93-BFD6-D112308823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25</xdr:col>
      <xdr:colOff>3168078</xdr:colOff>
      <xdr:row>0</xdr:row>
      <xdr:rowOff>0</xdr:rowOff>
    </xdr:from>
    <xdr:to>
      <xdr:col>28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021CF932-7849-48D2-8113-B34AB4E29CC7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D962D14B-1F81-4392-995C-1F40A4AB028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A5608EFB-A92D-4BF8-BE68-53FB5FEBE0D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1EF6CAA-032F-4E0D-9FDE-D88144DF94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31</xdr:col>
      <xdr:colOff>251589</xdr:colOff>
      <xdr:row>0</xdr:row>
      <xdr:rowOff>0</xdr:rowOff>
    </xdr:from>
    <xdr:to>
      <xdr:col>34</xdr:col>
      <xdr:colOff>20958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BD32D7F0-130A-4D6F-8E9B-BD65AAD462F7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E257A9CF-C685-4377-B001-9D5E86A9BD2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B4CB55CB-EFCC-4071-B3E3-8EEFF76E68BB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8B5EF7CE-D977-48BA-90DD-60D7BAC9B91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3162300</xdr:colOff>
      <xdr:row>27</xdr:row>
      <xdr:rowOff>76200</xdr:rowOff>
    </xdr:from>
    <xdr:to>
      <xdr:col>18</xdr:col>
      <xdr:colOff>76200</xdr:colOff>
      <xdr:row>30</xdr:row>
      <xdr:rowOff>144482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9E9508F3-1D81-4079-8085-DAAA7F103224}"/>
            </a:ext>
          </a:extLst>
        </xdr:cNvPr>
        <xdr:cNvSpPr/>
      </xdr:nvSpPr>
      <xdr:spPr>
        <a:xfrm>
          <a:off x="16268700" y="9669780"/>
          <a:ext cx="1950720" cy="116556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197FF08-7DBE-4CBB-99B2-ECC74FD42D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01CC87B-172D-40B9-A3CE-D2738B63D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15</xdr:col>
      <xdr:colOff>381000</xdr:colOff>
      <xdr:row>3</xdr:row>
      <xdr:rowOff>266700</xdr:rowOff>
    </xdr:from>
    <xdr:to>
      <xdr:col>16</xdr:col>
      <xdr:colOff>76200</xdr:colOff>
      <xdr:row>4</xdr:row>
      <xdr:rowOff>144236</xdr:rowOff>
    </xdr:to>
    <xdr:sp macro="[0]!BotaoComLogin" textlink="">
      <xdr:nvSpPr>
        <xdr:cNvPr id="6" name="Círculo: Vazio 5">
          <a:extLst>
            <a:ext uri="{FF2B5EF4-FFF2-40B4-BE49-F238E27FC236}">
              <a16:creationId xmlns:a16="http://schemas.microsoft.com/office/drawing/2014/main" id="{F02BE0B2-D231-4147-98F5-64B5A1EE59AA}"/>
            </a:ext>
          </a:extLst>
        </xdr:cNvPr>
        <xdr:cNvSpPr/>
      </xdr:nvSpPr>
      <xdr:spPr>
        <a:xfrm>
          <a:off x="20326350" y="142875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D4E85BB-203F-4337-82B1-4BD693F48E3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5757FF52-3B75-4219-98FF-294F5476A70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AA4DA3D-3502-4480-8C4B-E05492D1B03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FB54DBA-D29D-41AE-A54B-F9AD202668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993E2F0-C277-44A9-979C-C3D6E45465A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5861FDE9-1928-4C2D-A02B-E531484DE39C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0FBCDA7-5A87-4E44-A248-71EAE6B19846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B790ABBF-6D63-4A90-A509-DCF54495A25D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B82FC7E-111C-448F-B88E-125B7B078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D25B308-83DE-4CFF-881C-46C473EC4583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91E3519-00DB-4F92-903A-12233154B6F5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251995D-8CE5-4E29-8E41-F934B9B26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127081</xdr:colOff>
      <xdr:row>0</xdr:row>
      <xdr:rowOff>0</xdr:rowOff>
    </xdr:from>
    <xdr:to>
      <xdr:col>14</xdr:col>
      <xdr:colOff>1582022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608747A-43AA-4379-9776-3AE352E4B549}"/>
            </a:ext>
          </a:extLst>
        </xdr:cNvPr>
        <xdr:cNvSpPr/>
      </xdr:nvSpPr>
      <xdr:spPr>
        <a:xfrm>
          <a:off x="13252531" y="0"/>
          <a:ext cx="1454941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77804</xdr:colOff>
      <xdr:row>2</xdr:row>
      <xdr:rowOff>384583</xdr:rowOff>
    </xdr:from>
    <xdr:to>
      <xdr:col>14</xdr:col>
      <xdr:colOff>1668898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8590B1BE-8666-4CC2-8ED3-A6539C467B42}"/>
            </a:ext>
          </a:extLst>
        </xdr:cNvPr>
        <xdr:cNvSpPr txBox="1"/>
      </xdr:nvSpPr>
      <xdr:spPr>
        <a:xfrm rot="10800000" flipH="1" flipV="1">
          <a:off x="13203254" y="76558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14</xdr:col>
      <xdr:colOff>559501</xdr:colOff>
      <xdr:row>0</xdr:row>
      <xdr:rowOff>136274</xdr:rowOff>
    </xdr:from>
    <xdr:to>
      <xdr:col>14</xdr:col>
      <xdr:colOff>1149602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0848CE-4085-4712-AC9C-8418C0C01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0101" cy="598988"/>
        </a:xfrm>
        <a:prstGeom prst="rect">
          <a:avLst/>
        </a:prstGeom>
      </xdr:spPr>
    </xdr:pic>
    <xdr:clientData/>
  </xdr:twoCellAnchor>
  <xdr:twoCellAnchor editAs="absolute">
    <xdr:from>
      <xdr:col>14</xdr:col>
      <xdr:colOff>3757362</xdr:colOff>
      <xdr:row>0</xdr:row>
      <xdr:rowOff>0</xdr:rowOff>
    </xdr:from>
    <xdr:to>
      <xdr:col>14</xdr:col>
      <xdr:colOff>5231316</xdr:colOff>
      <xdr:row>3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C07F0C5D-690E-4F11-B3D3-B66F0D5336F9}"/>
            </a:ext>
          </a:extLst>
        </xdr:cNvPr>
        <xdr:cNvSpPr/>
      </xdr:nvSpPr>
      <xdr:spPr>
        <a:xfrm>
          <a:off x="16882812" y="0"/>
          <a:ext cx="1473954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3707441</xdr:colOff>
      <xdr:row>2</xdr:row>
      <xdr:rowOff>384583</xdr:rowOff>
    </xdr:from>
    <xdr:to>
      <xdr:col>14</xdr:col>
      <xdr:colOff>5319327</xdr:colOff>
      <xdr:row>2</xdr:row>
      <xdr:rowOff>762890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DA3B39FC-964E-4195-BF1B-BEDD4B0B9673}"/>
            </a:ext>
          </a:extLst>
        </xdr:cNvPr>
        <xdr:cNvSpPr txBox="1"/>
      </xdr:nvSpPr>
      <xdr:spPr>
        <a:xfrm rot="10800000" flipH="1" flipV="1">
          <a:off x="16832891" y="76558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14</xdr:col>
      <xdr:colOff>4196626</xdr:colOff>
      <xdr:row>0</xdr:row>
      <xdr:rowOff>136274</xdr:rowOff>
    </xdr:from>
    <xdr:to>
      <xdr:col>14</xdr:col>
      <xdr:colOff>4792050</xdr:colOff>
      <xdr:row>2</xdr:row>
      <xdr:rowOff>354262</xdr:rowOff>
    </xdr:to>
    <xdr:pic>
      <xdr:nvPicPr>
        <xdr:cNvPr id="26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4D4CED-EE87-41C5-8D68-189BE673F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2076" y="136274"/>
          <a:ext cx="595424" cy="59898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537970</xdr:colOff>
      <xdr:row>0</xdr:row>
      <xdr:rowOff>0</xdr:rowOff>
    </xdr:from>
    <xdr:to>
      <xdr:col>16</xdr:col>
      <xdr:colOff>1368480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DC9312A-A584-4995-B0D2-162B9163CF4F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B499945A-2380-466E-8334-A47464A5ECB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DD6D6201-7664-4722-8BCA-6D4CDA84FA7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125AB89-FDCC-4737-939F-96798ED27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16</xdr:col>
      <xdr:colOff>3407023</xdr:colOff>
      <xdr:row>0</xdr:row>
      <xdr:rowOff>0</xdr:rowOff>
    </xdr:from>
    <xdr:to>
      <xdr:col>18</xdr:col>
      <xdr:colOff>538984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7850A42-372B-4048-AB6E-E630F3A11BAE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1CA50E8-FC54-47FC-A8F7-C002ACB84915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DF9894F9-8685-4961-9B8F-1EAEE5A8F921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702C2B5-2799-403C-84CB-A739C8D9C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748728</xdr:colOff>
      <xdr:row>0</xdr:row>
      <xdr:rowOff>0</xdr:rowOff>
    </xdr:from>
    <xdr:to>
      <xdr:col>23</xdr:col>
      <xdr:colOff>556197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D3EB33B1-6D51-44FF-80A0-5724EE6CF573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76D16455-DB83-48EE-96A0-D9158C5D5A3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87DDF663-9193-48BC-B289-28D0C4ECD15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53A90D1-FA59-4530-8CB7-2DEFB9AE0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2594739</xdr:colOff>
      <xdr:row>0</xdr:row>
      <xdr:rowOff>0</xdr:rowOff>
    </xdr:from>
    <xdr:to>
      <xdr:col>25</xdr:col>
      <xdr:colOff>78108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27AD3C6-1B40-4741-BA9F-A51A263294EA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B728BFFD-D4DD-4826-A341-B57F94DDED8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50A3F587-30A6-462F-90CD-41B118AC8DE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9847A16C-B673-4B97-9C39-24B5DEF350C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14</xdr:col>
      <xdr:colOff>5105400</xdr:colOff>
      <xdr:row>21</xdr:row>
      <xdr:rowOff>323850</xdr:rowOff>
    </xdr:from>
    <xdr:to>
      <xdr:col>15</xdr:col>
      <xdr:colOff>266700</xdr:colOff>
      <xdr:row>25</xdr:row>
      <xdr:rowOff>30182</xdr:rowOff>
    </xdr:to>
    <xdr:sp macro="[1]!REQ_MP" textlink="">
      <xdr:nvSpPr>
        <xdr:cNvPr id="43" name="Retângulo: Cantos Arredondados 42">
          <a:extLst>
            <a:ext uri="{FF2B5EF4-FFF2-40B4-BE49-F238E27FC236}">
              <a16:creationId xmlns:a16="http://schemas.microsoft.com/office/drawing/2014/main" id="{5FFA322F-3D67-4C27-8CDB-C5F0F2263CA7}"/>
            </a:ext>
          </a:extLst>
        </xdr:cNvPr>
        <xdr:cNvSpPr/>
      </xdr:nvSpPr>
      <xdr:spPr>
        <a:xfrm>
          <a:off x="18230850" y="7715250"/>
          <a:ext cx="1981200" cy="115413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B074F1A-66A7-4F1C-8C49-CA74BA53AA09}"/>
            </a:ext>
          </a:extLst>
        </xdr:cNvPr>
        <xdr:cNvSpPr/>
      </xdr:nvSpPr>
      <xdr:spPr>
        <a:xfrm>
          <a:off x="266700" y="1325682"/>
          <a:ext cx="3397692" cy="76981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1314450</xdr:colOff>
      <xdr:row>5</xdr:row>
      <xdr:rowOff>171450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11EB1B90-80FA-4E2D-82A5-5D0BFBA8C6A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127DC4B7-C85B-427B-A26E-75E11C8BAF4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441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14</xdr:col>
      <xdr:colOff>2990850</xdr:colOff>
      <xdr:row>3</xdr:row>
      <xdr:rowOff>152400</xdr:rowOff>
    </xdr:from>
    <xdr:to>
      <xdr:col>14</xdr:col>
      <xdr:colOff>6389250</xdr:colOff>
      <xdr:row>5</xdr:row>
      <xdr:rowOff>141750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C3F39354-B16B-4C45-84F7-746106A3C8E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187020</xdr:colOff>
      <xdr:row>2</xdr:row>
      <xdr:rowOff>133894</xdr:rowOff>
    </xdr:from>
    <xdr:to>
      <xdr:col>6</xdr:col>
      <xdr:colOff>1303355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5C8541E-6C05-4516-8368-A6E21475751C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EBABE5-3FAB-405B-BC0D-575DAA695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15</xdr:col>
      <xdr:colOff>4457700</xdr:colOff>
      <xdr:row>3</xdr:row>
      <xdr:rowOff>266700</xdr:rowOff>
    </xdr:from>
    <xdr:to>
      <xdr:col>15</xdr:col>
      <xdr:colOff>4914900</xdr:colOff>
      <xdr:row>4</xdr:row>
      <xdr:rowOff>144236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B56C4BFF-1A12-45F2-B004-D5A89FB90B11}"/>
            </a:ext>
          </a:extLst>
        </xdr:cNvPr>
        <xdr:cNvSpPr/>
      </xdr:nvSpPr>
      <xdr:spPr>
        <a:xfrm>
          <a:off x="20299680" y="140970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7782554-39C6-4106-A724-E608CCAC513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5</xdr:col>
      <xdr:colOff>1155180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5CF85BF-C7EB-4DE5-8FE5-87898D0975E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5824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810FAA7-A784-4E8D-9C4D-D4E3E358CE7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B892709-3557-4A7B-96BD-89BB600510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E24FBE7D-EB33-47F9-A6E5-38871493891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1688773</xdr:colOff>
      <xdr:row>0</xdr:row>
      <xdr:rowOff>0</xdr:rowOff>
    </xdr:from>
    <xdr:to>
      <xdr:col>8</xdr:col>
      <xdr:colOff>155650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F5ADD9BD-6FF1-436C-9B9D-A0F2A213E41F}"/>
            </a:ext>
          </a:extLst>
        </xdr:cNvPr>
        <xdr:cNvGrpSpPr/>
      </xdr:nvGrpSpPr>
      <xdr:grpSpPr>
        <a:xfrm>
          <a:off x="5925493" y="0"/>
          <a:ext cx="1606317" cy="115824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A93A61E-F554-4236-9ECF-FB14FCA4D14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A2CD40CF-3AFA-4617-A320-A46F8AAED83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D066335-419B-45E4-8FEF-76C28053B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11</xdr:col>
      <xdr:colOff>224389</xdr:colOff>
      <xdr:row>0</xdr:row>
      <xdr:rowOff>0</xdr:rowOff>
    </xdr:from>
    <xdr:to>
      <xdr:col>11</xdr:col>
      <xdr:colOff>1685798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A436CE2-8405-4EA3-B0FE-ACEA736CA072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174893</xdr:colOff>
      <xdr:row>2</xdr:row>
      <xdr:rowOff>384583</xdr:rowOff>
    </xdr:from>
    <xdr:to>
      <xdr:col>12</xdr:col>
      <xdr:colOff>20460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B7E166D7-5F91-4D89-98F3-A4C27B232BAC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11</xdr:col>
      <xdr:colOff>656256</xdr:colOff>
      <xdr:row>0</xdr:row>
      <xdr:rowOff>136274</xdr:rowOff>
    </xdr:from>
    <xdr:to>
      <xdr:col>11</xdr:col>
      <xdr:colOff>1253932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F0A7EB1-C198-49AC-9C48-9F7611872F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1498681</xdr:colOff>
      <xdr:row>0</xdr:row>
      <xdr:rowOff>0</xdr:rowOff>
    </xdr:from>
    <xdr:to>
      <xdr:col>14</xdr:col>
      <xdr:colOff>858122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A9A283D-DC4F-4801-9FD5-184429695C34}"/>
            </a:ext>
          </a:extLst>
        </xdr:cNvPr>
        <xdr:cNvSpPr/>
      </xdr:nvSpPr>
      <xdr:spPr>
        <a:xfrm>
          <a:off x="1323348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1449404</xdr:colOff>
      <xdr:row>2</xdr:row>
      <xdr:rowOff>384583</xdr:rowOff>
    </xdr:from>
    <xdr:to>
      <xdr:col>14</xdr:col>
      <xdr:colOff>944998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916A70B6-81FD-4D55-B831-26A9772E5D2F}"/>
            </a:ext>
          </a:extLst>
        </xdr:cNvPr>
        <xdr:cNvSpPr txBox="1"/>
      </xdr:nvSpPr>
      <xdr:spPr>
        <a:xfrm rot="10800000" flipH="1" flipV="1">
          <a:off x="1318420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13</xdr:col>
      <xdr:colOff>1931101</xdr:colOff>
      <xdr:row>0</xdr:row>
      <xdr:rowOff>136274</xdr:rowOff>
    </xdr:from>
    <xdr:to>
      <xdr:col>14</xdr:col>
      <xdr:colOff>425702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B6AD15-03F6-49BD-9D7E-4D2E0BF0E8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6590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15</xdr:col>
      <xdr:colOff>1014162</xdr:colOff>
      <xdr:row>0</xdr:row>
      <xdr:rowOff>0</xdr:rowOff>
    </xdr:from>
    <xdr:to>
      <xdr:col>15</xdr:col>
      <xdr:colOff>2488116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9708D59-C75C-4085-AD14-585D8BA4E575}"/>
            </a:ext>
          </a:extLst>
        </xdr:cNvPr>
        <xdr:cNvSpPr/>
      </xdr:nvSpPr>
      <xdr:spPr>
        <a:xfrm>
          <a:off x="1686376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964241</xdr:colOff>
      <xdr:row>2</xdr:row>
      <xdr:rowOff>384583</xdr:rowOff>
    </xdr:from>
    <xdr:to>
      <xdr:col>15</xdr:col>
      <xdr:colOff>2576127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314684A-B931-4DBD-ACA8-EBB2FCE174B5}"/>
            </a:ext>
          </a:extLst>
        </xdr:cNvPr>
        <xdr:cNvSpPr txBox="1"/>
      </xdr:nvSpPr>
      <xdr:spPr>
        <a:xfrm rot="10800000" flipH="1" flipV="1">
          <a:off x="1681384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15</xdr:col>
      <xdr:colOff>1453426</xdr:colOff>
      <xdr:row>0</xdr:row>
      <xdr:rowOff>136274</xdr:rowOff>
    </xdr:from>
    <xdr:to>
      <xdr:col>15</xdr:col>
      <xdr:colOff>2048850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6F057C-B2C5-4B11-B1A8-049817D7D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0302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4614670</xdr:colOff>
      <xdr:row>0</xdr:row>
      <xdr:rowOff>0</xdr:rowOff>
    </xdr:from>
    <xdr:to>
      <xdr:col>17</xdr:col>
      <xdr:colOff>111180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92B4A6E6-BFED-45F6-A39A-7687BAA780D6}"/>
            </a:ext>
          </a:extLst>
        </xdr:cNvPr>
        <xdr:cNvGrpSpPr/>
      </xdr:nvGrpSpPr>
      <xdr:grpSpPr>
        <a:xfrm>
          <a:off x="20464270" y="0"/>
          <a:ext cx="1592510" cy="115824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DA0DFA9-1D4A-4738-8C85-7488E3659137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7F86B9B5-9ECD-4EA9-9215-4862AD1819C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4BF5F0-91FC-4439-A574-EE711676B9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20</xdr:col>
      <xdr:colOff>320923</xdr:colOff>
      <xdr:row>0</xdr:row>
      <xdr:rowOff>0</xdr:rowOff>
    </xdr:from>
    <xdr:to>
      <xdr:col>21</xdr:col>
      <xdr:colOff>1300984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C9428A26-59BF-4ABD-BD8D-D6F7F7887A9F}"/>
            </a:ext>
          </a:extLst>
        </xdr:cNvPr>
        <xdr:cNvGrpSpPr/>
      </xdr:nvGrpSpPr>
      <xdr:grpSpPr>
        <a:xfrm>
          <a:off x="24095323" y="0"/>
          <a:ext cx="1589661" cy="115824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CB77C83-05AB-4F38-BE04-55731EEC623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FF2F9074-71F7-4056-9D02-263C41C0530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91B3270-C91F-4DBF-B3C0-D54C7578B1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23</xdr:col>
      <xdr:colOff>1548828</xdr:colOff>
      <xdr:row>0</xdr:row>
      <xdr:rowOff>0</xdr:rowOff>
    </xdr:from>
    <xdr:to>
      <xdr:col>23</xdr:col>
      <xdr:colOff>3146997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E5160F03-ED0C-46D3-927D-C273CCB8A585}"/>
            </a:ext>
          </a:extLst>
        </xdr:cNvPr>
        <xdr:cNvGrpSpPr/>
      </xdr:nvGrpSpPr>
      <xdr:grpSpPr>
        <a:xfrm>
          <a:off x="27731148" y="0"/>
          <a:ext cx="1598169" cy="115824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A3762977-B10C-4BF2-8E4B-569643DFC14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265A7E54-CDA8-4BA7-9398-A9C954D401A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0EAE943-3B03-45E5-AD67-F62AB83250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26</xdr:col>
      <xdr:colOff>461139</xdr:colOff>
      <xdr:row>0</xdr:row>
      <xdr:rowOff>0</xdr:rowOff>
    </xdr:from>
    <xdr:to>
      <xdr:col>29</xdr:col>
      <xdr:colOff>230508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6DC8FFC0-99F5-4CD7-BCD2-E526F582629F}"/>
            </a:ext>
          </a:extLst>
        </xdr:cNvPr>
        <xdr:cNvGrpSpPr/>
      </xdr:nvGrpSpPr>
      <xdr:grpSpPr>
        <a:xfrm>
          <a:off x="31367859" y="0"/>
          <a:ext cx="1598169" cy="115824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10A98FB-642A-4854-9AF5-15806E5D6F45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6F9EF9A9-A730-4D00-8F8B-8C43D53605A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9D13A87E-CC0A-41C1-BB63-00FF672E1A0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5</xdr:col>
      <xdr:colOff>921192</xdr:colOff>
      <xdr:row>5</xdr:row>
      <xdr:rowOff>152399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A14BEF6-FB07-4238-83D1-4985C31099B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1649850</xdr:colOff>
      <xdr:row>3</xdr:row>
      <xdr:rowOff>182100</xdr:rowOff>
    </xdr:from>
    <xdr:to>
      <xdr:col>14</xdr:col>
      <xdr:colOff>590550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197470C-1DEF-4A68-88EF-EC336AB8FA5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39078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6</xdr:col>
      <xdr:colOff>1581150</xdr:colOff>
      <xdr:row>3</xdr:row>
      <xdr:rowOff>182100</xdr:rowOff>
    </xdr:from>
    <xdr:to>
      <xdr:col>10</xdr:col>
      <xdr:colOff>140850</xdr:colOff>
      <xdr:row>5</xdr:row>
      <xdr:rowOff>171450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DEFB26F-FFA9-4ADE-86AF-34CF63E3620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15</xdr:col>
      <xdr:colOff>247650</xdr:colOff>
      <xdr:row>3</xdr:row>
      <xdr:rowOff>152400</xdr:rowOff>
    </xdr:from>
    <xdr:to>
      <xdr:col>15</xdr:col>
      <xdr:colOff>3646050</xdr:colOff>
      <xdr:row>5</xdr:row>
      <xdr:rowOff>141750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7C75B8A1-3107-4434-8A6F-0AA8D2B4AF4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09725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14</xdr:col>
      <xdr:colOff>1265464</xdr:colOff>
      <xdr:row>41</xdr:row>
      <xdr:rowOff>89808</xdr:rowOff>
    </xdr:from>
    <xdr:to>
      <xdr:col>15</xdr:col>
      <xdr:colOff>2326820</xdr:colOff>
      <xdr:row>45</xdr:row>
      <xdr:rowOff>58987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E9D0DFA0-A85E-4E3A-B462-C34BD01B0BA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5114814" y="14720208"/>
          <a:ext cx="3080656" cy="141697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93ED85F0-BD04-45BE-A589-04A4AC4EFCF5}"/>
            </a:ext>
          </a:extLst>
        </xdr:cNvPr>
        <xdr:cNvSpPr txBox="1"/>
      </xdr:nvSpPr>
      <xdr:spPr>
        <a:xfrm rot="10800000" flipH="1" flipV="1">
          <a:off x="443898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77722B8-CB29-4AA2-8640-8B5E9BE79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11</xdr:col>
      <xdr:colOff>704850</xdr:colOff>
      <xdr:row>3</xdr:row>
      <xdr:rowOff>266700</xdr:rowOff>
    </xdr:from>
    <xdr:to>
      <xdr:col>11</xdr:col>
      <xdr:colOff>1162050</xdr:colOff>
      <xdr:row>4</xdr:row>
      <xdr:rowOff>144236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3EF6E76E-2E94-4282-85EB-C58D0B50025F}"/>
            </a:ext>
          </a:extLst>
        </xdr:cNvPr>
        <xdr:cNvSpPr/>
      </xdr:nvSpPr>
      <xdr:spPr>
        <a:xfrm>
          <a:off x="20314920" y="140970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0B4ABE6-E4BA-48CF-AB55-103DF3B1441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D14B7D30-9DED-4A0B-8B0A-5444D0197337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350B1F5-8D0F-43BE-A770-07938817B73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05FF1BC-66E1-4F83-810E-A9E3BCF9AD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0670B415-D971-4F0A-B946-DFB0330C2EA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9FCDAE7E-49EF-48D0-9C10-F9201F899824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3D6A82C0-C694-402C-8A98-E5347732AC5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808A6118-C8E4-4053-AA9F-E692482AD7BE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1BF0C4E-13E1-456D-A47C-4483732505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1462639</xdr:colOff>
      <xdr:row>0</xdr:row>
      <xdr:rowOff>0</xdr:rowOff>
    </xdr:from>
    <xdr:to>
      <xdr:col>7</xdr:col>
      <xdr:colOff>1133348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D70F3724-498A-41E2-9CC2-BED2633C2F5A}"/>
            </a:ext>
          </a:extLst>
        </xdr:cNvPr>
        <xdr:cNvSpPr/>
      </xdr:nvSpPr>
      <xdr:spPr>
        <a:xfrm>
          <a:off x="9604609" y="0"/>
          <a:ext cx="146140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1413143</xdr:colOff>
      <xdr:row>2</xdr:row>
      <xdr:rowOff>384583</xdr:rowOff>
    </xdr:from>
    <xdr:to>
      <xdr:col>7</xdr:col>
      <xdr:colOff>1220610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9113E8F-D46C-452B-9369-0139FF57C5BA}"/>
            </a:ext>
          </a:extLst>
        </xdr:cNvPr>
        <xdr:cNvSpPr txBox="1"/>
      </xdr:nvSpPr>
      <xdr:spPr>
        <a:xfrm rot="10800000" flipH="1" flipV="1">
          <a:off x="955511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7</xdr:col>
      <xdr:colOff>103806</xdr:colOff>
      <xdr:row>0</xdr:row>
      <xdr:rowOff>136274</xdr:rowOff>
    </xdr:from>
    <xdr:to>
      <xdr:col>7</xdr:col>
      <xdr:colOff>701482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21EA39-302E-4293-AF22-073C1435C6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3647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1974931</xdr:colOff>
      <xdr:row>0</xdr:row>
      <xdr:rowOff>0</xdr:rowOff>
    </xdr:from>
    <xdr:to>
      <xdr:col>8</xdr:col>
      <xdr:colOff>3429872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F0A9CC48-0A00-4A17-9C73-C71AF77BD9EE}"/>
            </a:ext>
          </a:extLst>
        </xdr:cNvPr>
        <xdr:cNvSpPr/>
      </xdr:nvSpPr>
      <xdr:spPr>
        <a:xfrm>
          <a:off x="1324110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1925654</xdr:colOff>
      <xdr:row>2</xdr:row>
      <xdr:rowOff>384583</xdr:rowOff>
    </xdr:from>
    <xdr:to>
      <xdr:col>8</xdr:col>
      <xdr:colOff>3516748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F3EF580-ACAC-4552-A01C-5867AF3643B9}"/>
            </a:ext>
          </a:extLst>
        </xdr:cNvPr>
        <xdr:cNvSpPr txBox="1"/>
      </xdr:nvSpPr>
      <xdr:spPr>
        <a:xfrm rot="10800000" flipH="1" flipV="1">
          <a:off x="1319182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2407351</xdr:colOff>
      <xdr:row>0</xdr:row>
      <xdr:rowOff>136274</xdr:rowOff>
    </xdr:from>
    <xdr:to>
      <xdr:col>8</xdr:col>
      <xdr:colOff>2997452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E9FD2D-3BA8-4514-8D18-721A5295A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7352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5605212</xdr:colOff>
      <xdr:row>0</xdr:row>
      <xdr:rowOff>0</xdr:rowOff>
    </xdr:from>
    <xdr:to>
      <xdr:col>8</xdr:col>
      <xdr:colOff>7079166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EEA4A38C-6B4D-468A-8C2A-E542DFA0F9BF}"/>
            </a:ext>
          </a:extLst>
        </xdr:cNvPr>
        <xdr:cNvSpPr/>
      </xdr:nvSpPr>
      <xdr:spPr>
        <a:xfrm>
          <a:off x="1687138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5555291</xdr:colOff>
      <xdr:row>2</xdr:row>
      <xdr:rowOff>384583</xdr:rowOff>
    </xdr:from>
    <xdr:to>
      <xdr:col>9</xdr:col>
      <xdr:colOff>4377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2753D608-FE3F-46D4-A086-D62DE3193288}"/>
            </a:ext>
          </a:extLst>
        </xdr:cNvPr>
        <xdr:cNvSpPr txBox="1"/>
      </xdr:nvSpPr>
      <xdr:spPr>
        <a:xfrm rot="10800000" flipH="1" flipV="1">
          <a:off x="1682146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8</xdr:col>
      <xdr:colOff>6044476</xdr:colOff>
      <xdr:row>0</xdr:row>
      <xdr:rowOff>136274</xdr:rowOff>
    </xdr:from>
    <xdr:to>
      <xdr:col>8</xdr:col>
      <xdr:colOff>6639900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46C5496-1341-430B-9A6A-86CFA7E907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1064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11</xdr:col>
      <xdr:colOff>861820</xdr:colOff>
      <xdr:row>0</xdr:row>
      <xdr:rowOff>0</xdr:rowOff>
    </xdr:from>
    <xdr:to>
      <xdr:col>12</xdr:col>
      <xdr:colOff>701730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44090020-FF03-4E40-AFC2-EC0F5E4D7D4E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9AD5B5F0-753F-4094-AAF7-A4EC5476B6B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44FBAB5-202C-43ED-86DB-4893CAA5B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CD7EE1A-83E1-4A1C-84FA-FE698775B8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759073</xdr:colOff>
      <xdr:row>0</xdr:row>
      <xdr:rowOff>0</xdr:rowOff>
    </xdr:from>
    <xdr:to>
      <xdr:col>13</xdr:col>
      <xdr:colOff>2348734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5755DF7-EEA5-4D41-B887-33E58CC010DC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23AA3D20-5CC5-42E1-B852-F5A21B41E56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B4AAC7E-4D0F-4BCD-8BFC-A708E0A1590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35AAA52-AF81-483A-A8DA-069C5A560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1110678</xdr:colOff>
      <xdr:row>0</xdr:row>
      <xdr:rowOff>0</xdr:rowOff>
    </xdr:from>
    <xdr:to>
      <xdr:col>15</xdr:col>
      <xdr:colOff>689547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DA012808-C9D7-440A-B8CE-0269F10B5DB0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436F0D3-217B-446D-A7C9-0D9BC5BA299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AF48C6EC-2FA0-4DA9-90EC-A8256566D45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F8EE4F4-ABE8-427F-8701-9F8AAC3952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2728089</xdr:colOff>
      <xdr:row>0</xdr:row>
      <xdr:rowOff>0</xdr:rowOff>
    </xdr:from>
    <xdr:to>
      <xdr:col>15</xdr:col>
      <xdr:colOff>4326258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1A301D0D-CA68-42B5-9B81-1B1BE87EF755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9C836EF7-1716-4807-A70E-C9A4754062E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54517361-3E32-4434-8145-C63E7DEFCD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588CA214-0C55-4B7A-84F9-B1D9B375461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D85A38F-97B2-41CA-A53E-0A28E4363366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1097400</xdr:colOff>
      <xdr:row>3</xdr:row>
      <xdr:rowOff>182100</xdr:rowOff>
    </xdr:from>
    <xdr:to>
      <xdr:col>8</xdr:col>
      <xdr:colOff>3162300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722DB31-F0B4-4DA8-81FB-49618AF9368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007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1074300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24B4A65-1D03-4E85-8D27-9C7BF74D9F9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33110" y="1325100"/>
          <a:ext cx="33755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8</xdr:col>
      <xdr:colOff>4838700</xdr:colOff>
      <xdr:row>3</xdr:row>
      <xdr:rowOff>152400</xdr:rowOff>
    </xdr:from>
    <xdr:to>
      <xdr:col>10</xdr:col>
      <xdr:colOff>198000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AD459D3-BF8E-4252-90EB-316577D58509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0487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4</xdr:col>
      <xdr:colOff>1861458</xdr:colOff>
      <xdr:row>29</xdr:row>
      <xdr:rowOff>43543</xdr:rowOff>
    </xdr:from>
    <xdr:to>
      <xdr:col>4</xdr:col>
      <xdr:colOff>3537857</xdr:colOff>
      <xdr:row>33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8D49897E-7824-4634-A7A6-8F6B64A4C10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09458" y="6139543"/>
          <a:ext cx="1676399" cy="742066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CB1DA02-672E-49CE-AAE2-D12C8E0383E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DD6C545-B0C6-45C4-A3D7-F7B589F4C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12</xdr:col>
      <xdr:colOff>57150</xdr:colOff>
      <xdr:row>3</xdr:row>
      <xdr:rowOff>266700</xdr:rowOff>
    </xdr:from>
    <xdr:to>
      <xdr:col>12</xdr:col>
      <xdr:colOff>514350</xdr:colOff>
      <xdr:row>4</xdr:row>
      <xdr:rowOff>144236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184B24F9-C087-4657-B2FB-CB64374465E8}"/>
            </a:ext>
          </a:extLst>
        </xdr:cNvPr>
        <xdr:cNvSpPr/>
      </xdr:nvSpPr>
      <xdr:spPr>
        <a:xfrm>
          <a:off x="20326350" y="140970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99386C1-1B58-4444-9F5A-62B8139CA9AF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78CF45A-CED6-4FEF-B9C7-B5884D300F0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444CBA6-7E2F-49C4-A6A0-B35E2A1AC67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B69011-5857-4831-9CC3-C7376AAE44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A04EFCC8-CA5F-4638-B4DA-EDC4ED9EC12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C53CE4BE-6C1B-4516-A7FE-A8D4526D126A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6EE61985-465C-4439-AD6F-BFC327CDCF08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E1FC145A-5C09-4194-B302-EE7AED3D28F0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8AA5AB3-1C39-4695-B6E0-58092BB07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6E822BBE-92C7-4BEA-86FC-13A8926EAA97}"/>
            </a:ext>
          </a:extLst>
        </xdr:cNvPr>
        <xdr:cNvSpPr/>
      </xdr:nvSpPr>
      <xdr:spPr>
        <a:xfrm>
          <a:off x="963127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0A93E42-467A-4ADC-91E8-EB48B9B887EF}"/>
            </a:ext>
          </a:extLst>
        </xdr:cNvPr>
        <xdr:cNvSpPr txBox="1"/>
      </xdr:nvSpPr>
      <xdr:spPr>
        <a:xfrm rot="10800000" flipH="1" flipV="1">
          <a:off x="958178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1E711D-CBC0-44B5-8D3E-5A937D7ADB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5552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5860986A-C6E8-475F-97E4-2F3F2C136A5E}"/>
            </a:ext>
          </a:extLst>
        </xdr:cNvPr>
        <xdr:cNvSpPr/>
      </xdr:nvSpPr>
      <xdr:spPr>
        <a:xfrm>
          <a:off x="13260151" y="0"/>
          <a:ext cx="145494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7181FA4-9364-43E8-84FB-4931D409FE32}"/>
            </a:ext>
          </a:extLst>
        </xdr:cNvPr>
        <xdr:cNvSpPr txBox="1"/>
      </xdr:nvSpPr>
      <xdr:spPr>
        <a:xfrm rot="10800000" flipH="1" flipV="1">
          <a:off x="13210874" y="750343"/>
          <a:ext cx="159109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56BC947-10E7-4C33-90BF-0781E84CF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92571" y="136274"/>
          <a:ext cx="59010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609E389-6431-4BB1-9AAA-8D9F932F8BA0}"/>
            </a:ext>
          </a:extLst>
        </xdr:cNvPr>
        <xdr:cNvSpPr/>
      </xdr:nvSpPr>
      <xdr:spPr>
        <a:xfrm>
          <a:off x="16890432" y="0"/>
          <a:ext cx="1473954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AF3FCA3-10F1-47E5-825D-CC508BBB3E98}"/>
            </a:ext>
          </a:extLst>
        </xdr:cNvPr>
        <xdr:cNvSpPr txBox="1"/>
      </xdr:nvSpPr>
      <xdr:spPr>
        <a:xfrm rot="10800000" flipH="1" flipV="1">
          <a:off x="16840511" y="750343"/>
          <a:ext cx="160426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F678D3-A941-467F-8D1B-6DAB2FB1B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29696" y="136274"/>
          <a:ext cx="595424" cy="583748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DD6EF55-777B-4EE1-B873-4A8BA8386555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27F37CFF-3243-4D6F-8A1E-4663D1294C8B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BAF1D273-6BE9-41F4-8B74-C7D01458B07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A03A94A-D1F1-49F5-B466-9539A37F0A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20C324A-DD0A-4650-9171-EC72B10BAFB7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2E871C4-2754-40F9-9950-D66721129EF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3B280B72-084D-4250-8314-68AF4B689BA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472B317-3106-45AA-95EA-FBD9FDA301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196278</xdr:colOff>
      <xdr:row>0</xdr:row>
      <xdr:rowOff>0</xdr:rowOff>
    </xdr:from>
    <xdr:to>
      <xdr:col>15</xdr:col>
      <xdr:colOff>1794447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16AF4077-8FB5-40AF-AD4F-BE2CC5618E49}"/>
            </a:ext>
          </a:extLst>
        </xdr:cNvPr>
        <xdr:cNvGrpSpPr/>
      </xdr:nvGrpSpPr>
      <xdr:grpSpPr>
        <a:xfrm>
          <a:off x="27742578" y="0"/>
          <a:ext cx="1598169" cy="1162050"/>
          <a:chOff x="11105473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73BC4571-A299-4C32-9B21-33153CED9B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465C5C58-B922-4713-94C7-CD918550766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6FA71C7-2B13-4EAB-B4B5-5882888679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BF28844F-14CF-42A2-B6D7-279E620C8F3A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3C19F0CB-816C-4528-A7EB-B76A6339195B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74F14F2F-768C-4DC4-9838-AD93D1B52795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02612C3C-E952-4CBF-9F56-DBCE6E97F35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035B830B-978F-4814-B1F3-6833895FE037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020D734E-8061-4266-9313-DC9F2388A63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912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156369B9-A214-4793-8688-DC6F56F3B8F8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5B40B346-2CBB-4F16-A347-297DE7DB981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3920" y="1295400"/>
          <a:ext cx="338316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F70DCB7-0164-4460-A80D-4430C26BBCBC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63EFC35-133C-40CB-B266-1269CEF416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F69802CF-D570-4D93-86F3-07E17A7552ED}"/>
            </a:ext>
          </a:extLst>
        </xdr:cNvPr>
        <xdr:cNvSpPr/>
      </xdr:nvSpPr>
      <xdr:spPr>
        <a:xfrm>
          <a:off x="25203150" y="1409700"/>
          <a:ext cx="457200" cy="46808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A27B7593-91A5-4067-973D-BD9BB1E4FDB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FB818A7-394D-4B29-ABCC-6F6EB9B2254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5A0A260E-9325-4A2E-A98A-B76719C8F25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E104897-45C2-4B8B-9124-ED76C2E632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78DE30A5-44BD-4919-87F7-979799074B3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057F514-4B36-40AE-ABB4-B732655500AA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C791C49A-FCB4-4D81-B99F-107FF136E32D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1C290481-7D3F-4598-AB96-2B3E109A4F8C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70E502B-474A-4589-B0B9-5723FF4CBF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D9E72012-AD37-42BD-B509-37F4B0A06F3F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5C2F23ED-2792-4156-808E-D7C524AEC89C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3BD365A-BA0A-4597-91AA-E44172302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13D8B86-CE8A-415D-8AEB-8BED29BA45B8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CDC212D2-C371-48AF-B48B-E8CA19F84F40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319C3FA-300B-4DDD-B964-3A47200BD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9296941F-046D-4723-9142-8298EE877259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E6A96873-541B-4DF4-9843-83A27F2ECACA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97D55B3-953E-4FEF-AB84-4A8A75771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94EA2BB-F51C-48A8-817A-AD39FF59331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1ABA6884-32FD-4286-8781-61272EA24FA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A027D37-A64E-4F6E-808D-751E805AE1F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76A6C73-B9D6-48E1-A8F3-7687EF7F0D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5FA165C-1AE7-4943-9196-38E96BAE15E9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2BA7593F-9DAC-49BC-B750-D00F6C257D41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F738A34-CA06-41BE-AE7D-EE5253766303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3717E1F-6C10-422A-97F2-64C6B0B573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3A0401DA-6E24-4818-B030-F9DEF92E2CA5}"/>
            </a:ext>
          </a:extLst>
        </xdr:cNvPr>
        <xdr:cNvSpPr/>
      </xdr:nvSpPr>
      <xdr:spPr>
        <a:xfrm>
          <a:off x="27792074" y="0"/>
          <a:ext cx="146141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44720A25-5AEE-4BD3-8FD4-64E057EBC708}"/>
            </a:ext>
          </a:extLst>
        </xdr:cNvPr>
        <xdr:cNvSpPr txBox="1"/>
      </xdr:nvSpPr>
      <xdr:spPr>
        <a:xfrm rot="10800000" flipH="1" flipV="1">
          <a:off x="27742578" y="76558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3DC78B4-188B-47F3-A52A-80B47F3AC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34918" y="136274"/>
          <a:ext cx="575719" cy="59898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CCE9CC11-F371-4214-A54E-5E5EF10705AC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4DFD0DDC-9F82-44E1-A05A-59FBB825DF1A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947699F7-CECD-46A7-B4DB-144490F3C596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8" name="Imagem 37" descr="Ícone do banco de dados (símbolo png) preto">
            <a:extLst>
              <a:ext uri="{FF2B5EF4-FFF2-40B4-BE49-F238E27FC236}">
                <a16:creationId xmlns:a16="http://schemas.microsoft.com/office/drawing/2014/main" id="{535787F8-A08D-494F-963D-DD62F99D9F9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A1DEA15F-405C-4A2F-8621-6925D1D27A2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827F62E6-7E3F-492A-B702-127209BF7C4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9399AF5B-7278-4C54-99D3-A6064B37187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1875DB0-E6C4-4785-8CCC-CE532FAEC24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16300" y="1314450"/>
          <a:ext cx="3398400" cy="770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C5864EAE-F899-4D36-AF94-9C8E7E231575}"/>
            </a:ext>
          </a:extLst>
        </xdr:cNvPr>
        <xdr:cNvSpPr/>
      </xdr:nvSpPr>
      <xdr:spPr>
        <a:xfrm>
          <a:off x="20943912" y="1295400"/>
          <a:ext cx="3398400" cy="81196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9" name="Retângulo Arredondado 11">
          <a:extLst>
            <a:ext uri="{FF2B5EF4-FFF2-40B4-BE49-F238E27FC236}">
              <a16:creationId xmlns:a16="http://schemas.microsoft.com/office/drawing/2014/main" id="{1D5B652F-FAFE-4AD6-AFDB-C03FD45D41E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706983" y="5269775"/>
          <a:ext cx="1452153" cy="56136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29</xdr:row>
      <xdr:rowOff>57150</xdr:rowOff>
    </xdr:from>
    <xdr:to>
      <xdr:col>10</xdr:col>
      <xdr:colOff>1148986</xdr:colOff>
      <xdr:row>33</xdr:row>
      <xdr:rowOff>41569</xdr:rowOff>
    </xdr:to>
    <xdr:sp macro="" textlink="">
      <xdr:nvSpPr>
        <xdr:cNvPr id="50" name="Retângulo Arredondado 11">
          <a:extLst>
            <a:ext uri="{FF2B5EF4-FFF2-40B4-BE49-F238E27FC236}">
              <a16:creationId xmlns:a16="http://schemas.microsoft.com/office/drawing/2014/main" id="{91CD3AD3-B1F8-4FCD-AC78-9EFF6801FE31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77950" y="103441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1BC3912-F65D-4384-9090-48AC9FE48F7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7B5195-A0BB-4E9C-B03A-5DEB6E37F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EC034556-3995-4675-9A7F-4F9E51F789AC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C3E383EF-43B0-4151-B1E5-B5DABF9CB0E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8B93F9B2-613E-4979-B664-A66E15448D1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AE0C65FD-70D2-472A-85BF-EA2EFAEDED9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1DF8404-6287-42EE-8D0C-FBAA36C993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77066DCA-3817-4EC0-B58A-2B1904ECCAA7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CB7A36F-4BED-4A41-81DA-D048A5B30202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A746ADC6-4136-4A43-9AC9-BD0591333E1A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9450ABEF-B03B-469D-94DC-28B0971275E8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FD0EC9F-12A2-4B36-9354-D0B6C8B3D3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A115E1E0-CC9E-4812-94E6-573D682A2E7A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E7236CF4-DB6F-4D20-B842-CB29C4C5250D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AC33ADC-7D39-492D-B191-3D043D49F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E01365F9-AA7A-4385-8418-6220AB9779A5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115E2B8-8238-45D6-A7EE-20C5D532EDBA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3273698-77FD-4860-B083-B5A39A852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0DF91854-3F74-45C8-BBCA-D574B8646C5A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0F8F293E-17EC-4FF2-90D9-EDC65B893539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E60FC26-1B73-4FC9-A152-A217B1384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BCA79830-6ECC-4943-8822-926033A582C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EB73A05-D220-4CC0-837D-D36D1150EFF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789E8DE-31D2-4AD9-9CE7-684825796B3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7F6360F-B236-41FB-AFA7-B95AB16426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DA00BF5-EB96-4059-A3B6-A9A5971B2DB2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52323973-777C-480C-B833-7E21062A009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163AF80E-3D58-4CF1-B611-4D49849F226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3704DD5-F097-414C-8464-E145B1ABA0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270EEB1D-2589-4A5D-B216-1A193083193A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C4C810C3-5604-472B-B49F-8C259B932840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8569A8-4B5C-4B5E-B31C-4C663933A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D58AA317-260D-44FF-AE05-DC7957926C75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C24285C2-91CB-4BB5-B913-C7A05F9BB02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06626A27-83D8-491B-80AD-5C630ABBCD23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DB3673C8-2175-49CF-B8A7-3E75EFE0F43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6DC130A7-D36F-45F5-9A13-8B15F898E435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5CD9C35-114C-4433-8745-CE915B52280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BA28A6E-5B55-48E1-9103-65353E3324B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351412F-58BE-4453-B3B3-DBE50191C8B6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CB3CC48-C85A-48C3-B454-4D5C45768493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7403E624-4072-4F49-82A3-F460263B4FA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1428750</xdr:colOff>
      <xdr:row>33</xdr:row>
      <xdr:rowOff>57150</xdr:rowOff>
    </xdr:from>
    <xdr:to>
      <xdr:col>10</xdr:col>
      <xdr:colOff>1034686</xdr:colOff>
      <xdr:row>37</xdr:row>
      <xdr:rowOff>41569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ACC235BB-1958-44AB-ABFB-1BEDCD616C2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3963650" y="1179195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DFACFC2-9831-47FD-8968-80C00FF4B3CC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BC007C-810D-44B0-A1F2-99E499E0C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AF066C66-B58E-45DA-B54C-0EE2B4731327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E5FF1AF-2953-4B1B-86D2-322D2710084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019F2CF-7866-47F8-8DF3-0ABE2B84136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14037C0A-C5C0-4153-A1AC-CCDEC547393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4747959-ACE5-4091-A0EE-74F181EFD7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91B2B600-4913-4C16-9FE9-38820185CB9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651545D-1264-4A9B-BCFF-46073DE14BAE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87A7A93F-E8A6-4AAC-83F0-A7E525E87991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7C0E52A6-6CDA-4FE9-B9BC-10660846EBBF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50234C5-468D-4BBA-A5FD-EFEFAB0BC1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1263B8A5-70E3-4B0A-A584-0A5F353109B7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162293E-5A73-4BA6-B870-D4299435AC08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039D631-50B2-4A9D-A707-0CCC87246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3E13D135-322D-4023-A95D-17ADEB34BDC3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E8461B4F-8A6C-49B5-9DFD-4CF1E1653FC3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B8E115-045D-4039-8EA1-0DF863BF8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AA0ED215-A32C-4E02-9D93-453E815E42F7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63CF618D-67D8-49F6-A180-4BFE6C734766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A026D8-3CDA-44D8-9352-ADBF3A4667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99EDF868-6E0E-4DB0-8768-D95808FC27BB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0191617-A0EB-4A79-8F62-7E2152CAD8E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5DC321FF-0380-4396-9DEB-3E500CD826C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E7A96C8-897B-42A6-9BC6-46B3C78DE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84FF8D43-9CB7-4CB0-9DFE-08C90B7DA324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69FAF08E-3274-4C71-AE04-FC5E1D630D9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BF231A2C-0E2C-43A5-8AA5-6423320E2648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88307B0-8677-4FA4-AB0F-893D359D99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425C3C3B-95FD-414D-B3EA-0D9E36C74B74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CE6F0368-1779-4BBD-A2E2-75B1BCB9A9B4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0702381-9E3B-40ED-B415-4DE4E497E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E914A014-70EA-4C7D-BBB4-2A91B0E89497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C64A925F-BA41-4B97-8465-2B979C10CF63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E436ADAB-95C6-4E88-95F7-56D3652607D1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C2030D42-196E-4714-98F4-5B29F4802564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0DDE0A04-B36E-415A-95BC-8503D258C8B6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3CD54AAE-9E42-4CC8-98FC-348940506E2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3F07989-1805-4F70-B7B9-82AC9D4D66F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D5BA933-E109-4805-BDA2-8C700330B91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26572A1A-A4F4-4B1B-B80B-DA17740ECCEA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BE0F5A65-D7AC-4622-896A-B330E8CCCE16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22</xdr:row>
      <xdr:rowOff>95250</xdr:rowOff>
    </xdr:from>
    <xdr:to>
      <xdr:col>10</xdr:col>
      <xdr:colOff>1148986</xdr:colOff>
      <xdr:row>26</xdr:row>
      <xdr:rowOff>79669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28138847-677E-4CF9-99C8-0840A0CB471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77950" y="7848600"/>
          <a:ext cx="3073036" cy="1432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2D35D9C-A72A-492A-9775-C710F270BE9B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6996FA-18CA-4D74-A930-8D70B2E5A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C7D34660-8190-4FA3-B52A-E8F022F51B71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424830E-C3EB-4952-BF0C-ABE2C0D47AD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2B5C5B7F-E245-4AC3-A6B9-D0C1201AA33A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6A690E8B-022E-439F-AD21-3E0B255A727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9924F49-95F3-4E08-AB3F-26303BECD8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AABFE2E8-7A34-4253-A8EA-533FA051997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606C0A9-C4C5-4BB9-82F7-BDBCA470E30A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43AFA651-8CC0-4F72-9D35-CEE2165E22B7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342AEB43-44B2-4EB2-B6C6-B2950897A9CC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4E0006A-B28F-452B-8959-989B08D02B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DE6257CE-6214-4BE3-B45C-890328FB251F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4374FB05-2FAE-41C5-8706-2E99304FDB15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BF4B33-51FE-485C-AB17-8EAAC8958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357555A4-2FB3-4B46-939F-95F5BE7A5884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3FD0D207-3428-41DC-8119-97E6EB93581E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709EF35-EEEF-46FD-9668-86B88DFDAD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8E06D166-1471-4B1E-A55F-439FB8111D0C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D5724CC6-7242-49A0-85C9-7E49282685EC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C861A45-0D10-4BF3-90E8-FCF9BA7E2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30C7B253-1D9A-4249-BED8-0CC5FF7C4DF4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8916D578-259C-4241-9C4A-B0885B4B20E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42491708-010A-4D83-9412-A4FC6A31481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117DA20-D114-40C6-830A-8BA0E1357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F8E1943-BE81-48AF-93F3-B090952F6626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3AB47941-7795-4428-9393-A074FDCEC09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28960F0F-F4FC-48F0-A787-F14F457FCC59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491DCBA-0E8E-421A-9A30-DD9D03CDFF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C7E6D566-2997-41E5-AEB0-B95B0E1657B2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E7033FF8-785C-4C5A-B87B-C9689A01AE79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12A151D-CD3F-41E4-9878-A09E0F25D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BDE650B-3333-46B2-BAE0-96049919B412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617CB094-3093-4C4D-ACE4-FA53362769A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BDF2E14E-B3F8-4E55-A8D1-32DC2A6B0C6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7FC7E9A4-3598-4FED-BCAD-8CF729EFB8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2F0EAAA-1C37-4839-BEB6-35137823ED02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49D1FDF-DAEB-4C96-AE78-E3517F326D9B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B9B5F0F-4993-487D-ABB1-7363667F22C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DEA42F58-97CF-4983-879B-32A20895539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3460650D-B88A-4D1C-AFFC-657CAF609458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8D66A803-0D95-4F7D-8738-06D475D8942E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8F576AD4-1C54-46B2-8A69-30D8FB03BB79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940983-00A1-4FC1-B7CB-5531B7E674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2952750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2026EE70-CEC1-46D5-AA0D-1E41F51613DF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67F3B17-A181-4FAA-9F80-3293A71B33A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4</xdr:col>
      <xdr:colOff>0</xdr:colOff>
      <xdr:row>0</xdr:row>
      <xdr:rowOff>0</xdr:rowOff>
    </xdr:from>
    <xdr:to>
      <xdr:col>4</xdr:col>
      <xdr:colOff>1459980</xdr:colOff>
      <xdr:row>3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4AF9929C-FF49-47DF-A134-7B392071ECE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38400" y="0"/>
          <a:ext cx="1459980" cy="1162050"/>
          <a:chOff x="1993654" y="0"/>
          <a:chExt cx="1022595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27161733-A7B2-4745-BEA7-9CE31BD31D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" name="Imagem 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A00A088-6B6F-4F84-A06E-8641FED280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2A2E4560-EE13-4CB2-A61C-6FCB700B41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3498523</xdr:colOff>
      <xdr:row>0</xdr:row>
      <xdr:rowOff>0</xdr:rowOff>
    </xdr:from>
    <xdr:to>
      <xdr:col>5</xdr:col>
      <xdr:colOff>136600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70EDABDD-4F06-4EA2-B0DE-CDB3A3DB1B00}"/>
            </a:ext>
          </a:extLst>
        </xdr:cNvPr>
        <xdr:cNvGrpSpPr/>
      </xdr:nvGrpSpPr>
      <xdr:grpSpPr>
        <a:xfrm>
          <a:off x="5936923" y="0"/>
          <a:ext cx="1591077" cy="1162050"/>
          <a:chOff x="5936923" y="0"/>
          <a:chExt cx="1591077" cy="1162050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1DE8F09C-922D-4487-8288-54019CF5E492}"/>
              </a:ext>
            </a:extLst>
          </xdr:cNvPr>
          <xdr:cNvSpPr/>
        </xdr:nvSpPr>
        <xdr:spPr>
          <a:xfrm>
            <a:off x="6003574" y="0"/>
            <a:ext cx="1454926" cy="1162050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C1D29699-7061-4627-A2A9-BD424A7F9A0A}"/>
              </a:ext>
            </a:extLst>
          </xdr:cNvPr>
          <xdr:cNvSpPr txBox="1"/>
        </xdr:nvSpPr>
        <xdr:spPr>
          <a:xfrm rot="10800000" flipH="1" flipV="1">
            <a:off x="5936923" y="765583"/>
            <a:ext cx="1591077" cy="37830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3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4F14BD8-BA85-4DCA-8363-4F10796D28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33525" y="126203"/>
            <a:ext cx="595024" cy="619129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6</xdr:col>
      <xdr:colOff>624439</xdr:colOff>
      <xdr:row>0</xdr:row>
      <xdr:rowOff>0</xdr:rowOff>
    </xdr:from>
    <xdr:to>
      <xdr:col>7</xdr:col>
      <xdr:colOff>295148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22E3BC41-784D-4E71-B159-3A8B1FEAB5BC}"/>
            </a:ext>
          </a:extLst>
        </xdr:cNvPr>
        <xdr:cNvSpPr/>
      </xdr:nvSpPr>
      <xdr:spPr>
        <a:xfrm>
          <a:off x="9616039" y="0"/>
          <a:ext cx="1453789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574943</xdr:colOff>
      <xdr:row>2</xdr:row>
      <xdr:rowOff>384583</xdr:rowOff>
    </xdr:from>
    <xdr:to>
      <xdr:col>7</xdr:col>
      <xdr:colOff>382410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A382226B-243A-4887-8040-6A06014150DB}"/>
            </a:ext>
          </a:extLst>
        </xdr:cNvPr>
        <xdr:cNvSpPr txBox="1"/>
      </xdr:nvSpPr>
      <xdr:spPr>
        <a:xfrm rot="10800000" flipH="1" flipV="1">
          <a:off x="9566543" y="750343"/>
          <a:ext cx="159054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1056306</xdr:colOff>
      <xdr:row>0</xdr:row>
      <xdr:rowOff>136274</xdr:rowOff>
    </xdr:from>
    <xdr:to>
      <xdr:col>6</xdr:col>
      <xdr:colOff>1653982</xdr:colOff>
      <xdr:row>2</xdr:row>
      <xdr:rowOff>354262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7C72575-30A9-4E31-B7AA-032EE2384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BEBA8EAE-BF5A-486C-A8C5-ECC9F3942E4B}">
              <a14:imgProps xmlns:a14="http://schemas.microsoft.com/office/drawing/2010/main">
                <a14:imgLayer r:embed="rId1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047906" y="136274"/>
          <a:ext cx="597676" cy="583748"/>
        </a:xfrm>
        <a:prstGeom prst="rect">
          <a:avLst/>
        </a:prstGeom>
      </xdr:spPr>
    </xdr:pic>
    <xdr:clientData/>
  </xdr:twoCellAnchor>
  <xdr:twoCellAnchor editAs="absolute">
    <xdr:from>
      <xdr:col>8</xdr:col>
      <xdr:colOff>717631</xdr:colOff>
      <xdr:row>0</xdr:row>
      <xdr:rowOff>0</xdr:rowOff>
    </xdr:from>
    <xdr:to>
      <xdr:col>9</xdr:col>
      <xdr:colOff>610472</xdr:colOff>
      <xdr:row>3</xdr:row>
      <xdr:rowOff>0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4CBFC3CD-889A-4838-AE50-7FF4AEE485C3}"/>
            </a:ext>
          </a:extLst>
        </xdr:cNvPr>
        <xdr:cNvSpPr/>
      </xdr:nvSpPr>
      <xdr:spPr>
        <a:xfrm>
          <a:off x="13252531" y="0"/>
          <a:ext cx="146256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668354</xdr:colOff>
      <xdr:row>2</xdr:row>
      <xdr:rowOff>384583</xdr:rowOff>
    </xdr:from>
    <xdr:to>
      <xdr:col>9</xdr:col>
      <xdr:colOff>697348</xdr:colOff>
      <xdr:row>2</xdr:row>
      <xdr:rowOff>762890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B5406BBA-9865-40C6-8B98-F72ADBE812D2}"/>
            </a:ext>
          </a:extLst>
        </xdr:cNvPr>
        <xdr:cNvSpPr txBox="1"/>
      </xdr:nvSpPr>
      <xdr:spPr>
        <a:xfrm rot="10800000" flipH="1" flipV="1">
          <a:off x="13203254" y="750343"/>
          <a:ext cx="1598714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1150051</xdr:colOff>
      <xdr:row>0</xdr:row>
      <xdr:rowOff>136274</xdr:rowOff>
    </xdr:from>
    <xdr:to>
      <xdr:col>9</xdr:col>
      <xdr:colOff>178052</xdr:colOff>
      <xdr:row>2</xdr:row>
      <xdr:rowOff>354262</xdr:rowOff>
    </xdr:to>
    <xdr:pic>
      <xdr:nvPicPr>
        <xdr:cNvPr id="19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240AB4D-EF26-4B75-AAA4-B25BFE0ED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84951" y="136274"/>
          <a:ext cx="597721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880812</xdr:colOff>
      <xdr:row>0</xdr:row>
      <xdr:rowOff>0</xdr:rowOff>
    </xdr:from>
    <xdr:to>
      <xdr:col>10</xdr:col>
      <xdr:colOff>2354766</xdr:colOff>
      <xdr:row>3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F9FFF05F-9E72-4205-970C-0E517DDAB87D}"/>
            </a:ext>
          </a:extLst>
        </xdr:cNvPr>
        <xdr:cNvSpPr/>
      </xdr:nvSpPr>
      <xdr:spPr>
        <a:xfrm>
          <a:off x="16898052" y="0"/>
          <a:ext cx="1473954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830891</xdr:colOff>
      <xdr:row>2</xdr:row>
      <xdr:rowOff>384583</xdr:rowOff>
    </xdr:from>
    <xdr:to>
      <xdr:col>10</xdr:col>
      <xdr:colOff>2442777</xdr:colOff>
      <xdr:row>2</xdr:row>
      <xdr:rowOff>762890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FB89511C-C7A4-4BEB-979E-C4606851F617}"/>
            </a:ext>
          </a:extLst>
        </xdr:cNvPr>
        <xdr:cNvSpPr txBox="1"/>
      </xdr:nvSpPr>
      <xdr:spPr>
        <a:xfrm rot="10800000" flipH="1" flipV="1">
          <a:off x="16848131" y="750343"/>
          <a:ext cx="1611886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10</xdr:col>
      <xdr:colOff>1320076</xdr:colOff>
      <xdr:row>0</xdr:row>
      <xdr:rowOff>136274</xdr:rowOff>
    </xdr:from>
    <xdr:to>
      <xdr:col>10</xdr:col>
      <xdr:colOff>1915500</xdr:colOff>
      <xdr:row>2</xdr:row>
      <xdr:rowOff>354262</xdr:rowOff>
    </xdr:to>
    <xdr:pic>
      <xdr:nvPicPr>
        <xdr:cNvPr id="22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95ABBC8-F1CE-479F-BDF5-7F8B49755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7337316" y="136274"/>
          <a:ext cx="595424" cy="583748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214120</xdr:colOff>
      <xdr:row>0</xdr:row>
      <xdr:rowOff>0</xdr:rowOff>
    </xdr:from>
    <xdr:to>
      <xdr:col>12</xdr:col>
      <xdr:colOff>1806630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CF0B5132-86CE-4153-B4AF-2711DE539249}"/>
            </a:ext>
          </a:extLst>
        </xdr:cNvPr>
        <xdr:cNvGrpSpPr/>
      </xdr:nvGrpSpPr>
      <xdr:grpSpPr>
        <a:xfrm>
          <a:off x="20483320" y="0"/>
          <a:ext cx="1592510" cy="1162050"/>
          <a:chOff x="8443355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5A52B53B-9CFF-48AC-9CB0-4B4AB19897D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AAB8D531-A41E-4821-92CF-B93071BB6C1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7769FBE-BF3C-4DC3-B1F1-734891706C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1863973</xdr:colOff>
      <xdr:row>0</xdr:row>
      <xdr:rowOff>0</xdr:rowOff>
    </xdr:from>
    <xdr:to>
      <xdr:col>14</xdr:col>
      <xdr:colOff>177034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EA6DDE9-B50B-44DB-A744-4890E67900A4}"/>
            </a:ext>
          </a:extLst>
        </xdr:cNvPr>
        <xdr:cNvGrpSpPr/>
      </xdr:nvGrpSpPr>
      <xdr:grpSpPr>
        <a:xfrm>
          <a:off x="24114373" y="0"/>
          <a:ext cx="1589661" cy="1162050"/>
          <a:chOff x="9774419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017C11D-0D49-4B6F-BC1A-8D4B2302CFB6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AB4584E-AA91-47AD-A7F5-A5DED05357A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24ED208D-1C5B-4B8F-AB72-552F32231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BEBA8EAE-BF5A-486C-A8C5-ECC9F3942E4B}">
                <a14:imgProps xmlns:a14="http://schemas.microsoft.com/office/drawing/2010/main">
                  <a14:imgLayer r:embed="rId19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245774</xdr:colOff>
      <xdr:row>0</xdr:row>
      <xdr:rowOff>0</xdr:rowOff>
    </xdr:from>
    <xdr:to>
      <xdr:col>15</xdr:col>
      <xdr:colOff>1707185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C9ADE8F0-4C34-46E9-9740-E527ED65FFF9}"/>
            </a:ext>
          </a:extLst>
        </xdr:cNvPr>
        <xdr:cNvSpPr/>
      </xdr:nvSpPr>
      <xdr:spPr>
        <a:xfrm>
          <a:off x="2781493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196278</xdr:colOff>
      <xdr:row>2</xdr:row>
      <xdr:rowOff>384583</xdr:rowOff>
    </xdr:from>
    <xdr:to>
      <xdr:col>15</xdr:col>
      <xdr:colOff>1794447</xdr:colOff>
      <xdr:row>2</xdr:row>
      <xdr:rowOff>762890</xdr:rowOff>
    </xdr:to>
    <xdr:sp macro="" textlink="">
      <xdr:nvSpPr>
        <xdr:cNvPr id="32" name="CaixaDeTexto 31">
          <a:extLst>
            <a:ext uri="{FF2B5EF4-FFF2-40B4-BE49-F238E27FC236}">
              <a16:creationId xmlns:a16="http://schemas.microsoft.com/office/drawing/2014/main" id="{A826B72F-49FB-4448-954B-008A193B6F43}"/>
            </a:ext>
          </a:extLst>
        </xdr:cNvPr>
        <xdr:cNvSpPr txBox="1"/>
      </xdr:nvSpPr>
      <xdr:spPr>
        <a:xfrm rot="10800000" flipH="1" flipV="1">
          <a:off x="27765438" y="750343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15</xdr:col>
      <xdr:colOff>688618</xdr:colOff>
      <xdr:row>0</xdr:row>
      <xdr:rowOff>136274</xdr:rowOff>
    </xdr:from>
    <xdr:to>
      <xdr:col>15</xdr:col>
      <xdr:colOff>1264337</xdr:colOff>
      <xdr:row>2</xdr:row>
      <xdr:rowOff>354260</xdr:rowOff>
    </xdr:to>
    <xdr:pic>
      <xdr:nvPicPr>
        <xdr:cNvPr id="3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473045-5F69-42A2-B42A-6E63621FE6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8257778" y="136274"/>
          <a:ext cx="575719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3832989</xdr:colOff>
      <xdr:row>0</xdr:row>
      <xdr:rowOff>0</xdr:rowOff>
    </xdr:from>
    <xdr:to>
      <xdr:col>16</xdr:col>
      <xdr:colOff>401958</xdr:colOff>
      <xdr:row>3</xdr:row>
      <xdr:rowOff>0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52EEDA1D-C9C7-4E75-B13E-AA396B81F608}"/>
            </a:ext>
          </a:extLst>
        </xdr:cNvPr>
        <xdr:cNvGrpSpPr/>
      </xdr:nvGrpSpPr>
      <xdr:grpSpPr>
        <a:xfrm>
          <a:off x="31379289" y="0"/>
          <a:ext cx="1598169" cy="1162050"/>
          <a:chOff x="12260227" y="0"/>
          <a:chExt cx="1118316" cy="770164"/>
        </a:xfrm>
      </xdr:grpSpPr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E332AA6-FB88-44ED-A512-8CF3F1A5137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6" name="CaixaDeTexto 35">
            <a:extLst>
              <a:ext uri="{FF2B5EF4-FFF2-40B4-BE49-F238E27FC236}">
                <a16:creationId xmlns:a16="http://schemas.microsoft.com/office/drawing/2014/main" id="{BF69FBD0-3C94-4C4F-BC06-59B3B9F75CFD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37" name="Imagem 36" descr="Ícone do banco de dados (símbolo png) preto">
            <a:extLst>
              <a:ext uri="{FF2B5EF4-FFF2-40B4-BE49-F238E27FC236}">
                <a16:creationId xmlns:a16="http://schemas.microsoft.com/office/drawing/2014/main" id="{BCF1F156-42AB-42BD-A519-58E4176A8D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913E58DE-1CC2-452C-89DD-57616D3528A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342900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3F5B259-E4C2-4CE8-80FB-42D01D2575A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24475A7A-C32E-4034-A23F-C666544B412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10</xdr:col>
      <xdr:colOff>114300</xdr:colOff>
      <xdr:row>3</xdr:row>
      <xdr:rowOff>152400</xdr:rowOff>
    </xdr:from>
    <xdr:to>
      <xdr:col>11</xdr:col>
      <xdr:colOff>998100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EFD0FA18-D22E-487B-A259-CF11A4D16F0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 COMPRAS</a:t>
          </a:r>
        </a:p>
      </xdr:txBody>
    </xdr:sp>
    <xdr:clientData/>
  </xdr:twoCellAnchor>
  <xdr:twoCellAnchor editAs="absolute">
    <xdr:from>
      <xdr:col>12</xdr:col>
      <xdr:colOff>674712</xdr:colOff>
      <xdr:row>3</xdr:row>
      <xdr:rowOff>133350</xdr:rowOff>
    </xdr:from>
    <xdr:to>
      <xdr:col>13</xdr:col>
      <xdr:colOff>2091912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4CE4EFA9-2796-4BCD-AFFE-F2683A41E742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2000" b="1" baseline="0">
              <a:latin typeface="Arial" panose="020B0604020202020204" pitchFamily="34" charset="0"/>
              <a:cs typeface="Arial" panose="020B0604020202020204" pitchFamily="34" charset="0"/>
            </a:rPr>
            <a:t> METAS</a:t>
          </a:r>
          <a:endParaRPr lang="pt-BR" sz="20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4D8AE4E8-BAF7-4C5D-9DD0-B749F7D799D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8</xdr:col>
      <xdr:colOff>1543050</xdr:colOff>
      <xdr:row>22</xdr:row>
      <xdr:rowOff>95250</xdr:rowOff>
    </xdr:from>
    <xdr:to>
      <xdr:col>10</xdr:col>
      <xdr:colOff>1148986</xdr:colOff>
      <xdr:row>26</xdr:row>
      <xdr:rowOff>79669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BC3B2769-1B4C-4D36-ABD7-DD7F587183EB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77950" y="7860030"/>
          <a:ext cx="3088276" cy="144745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6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0282DD5D-82E9-4961-A35F-B40E97E5BA1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CD98643-874A-4CE8-A9D2-899DC1C0FD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285750</xdr:colOff>
      <xdr:row>3</xdr:row>
      <xdr:rowOff>247650</xdr:rowOff>
    </xdr:from>
    <xdr:to>
      <xdr:col>14</xdr:col>
      <xdr:colOff>742950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823BBB73-D010-47C3-9824-2EDF270E44B6}"/>
            </a:ext>
          </a:extLst>
        </xdr:cNvPr>
        <xdr:cNvSpPr/>
      </xdr:nvSpPr>
      <xdr:spPr>
        <a:xfrm>
          <a:off x="2522601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376F32A-459F-41CD-A84A-ECBACF116E2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EEE45DC2-3777-4FEC-86B2-C8975A45C285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80DDDEA-4A3E-4585-A208-9BE79D54348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364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7C59F10-7E39-413B-9249-73F44EC0494B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9404C4B4-0281-49B7-AB65-39ADAA830EE4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3154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F461AC2B-6B6D-421E-A1A0-873A40ED100F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0C726B49-14EA-4BCB-8E79-D5579DDC0679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22732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E5AA95F3-5BB8-4A40-8636-492DD78E19F8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79" name="Retângulo 78">
            <a:extLst>
              <a:ext uri="{FF2B5EF4-FFF2-40B4-BE49-F238E27FC236}">
                <a16:creationId xmlns:a16="http://schemas.microsoft.com/office/drawing/2014/main" id="{F16E14CD-F5A9-4FB5-88FA-EB55A00A0D1B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80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F9B7F97-67A8-4C7A-8D94-B03E38115F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1" name="CaixaDeTexto 80">
            <a:extLst>
              <a:ext uri="{FF2B5EF4-FFF2-40B4-BE49-F238E27FC236}">
                <a16:creationId xmlns:a16="http://schemas.microsoft.com/office/drawing/2014/main" id="{55876001-F9E4-4197-B73B-B3E16625343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76" name="Retângulo 75">
          <a:extLst>
            <a:ext uri="{FF2B5EF4-FFF2-40B4-BE49-F238E27FC236}">
              <a16:creationId xmlns:a16="http://schemas.microsoft.com/office/drawing/2014/main" id="{801A6510-2782-406E-8DB3-1AF3A6163984}"/>
            </a:ext>
          </a:extLst>
        </xdr:cNvPr>
        <xdr:cNvSpPr/>
      </xdr:nvSpPr>
      <xdr:spPr>
        <a:xfrm>
          <a:off x="5965474" y="0"/>
          <a:ext cx="1454926" cy="116205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77" name="CaixaDeTexto 76">
          <a:extLst>
            <a:ext uri="{FF2B5EF4-FFF2-40B4-BE49-F238E27FC236}">
              <a16:creationId xmlns:a16="http://schemas.microsoft.com/office/drawing/2014/main" id="{2C50BD1C-63FB-462F-BFDA-A335E8643D41}"/>
            </a:ext>
          </a:extLst>
        </xdr:cNvPr>
        <xdr:cNvSpPr txBox="1"/>
      </xdr:nvSpPr>
      <xdr:spPr>
        <a:xfrm rot="10800000" flipH="1" flipV="1">
          <a:off x="5898823" y="765583"/>
          <a:ext cx="159107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7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2A9CFF9-02E6-4DFA-9156-7925E00BF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1912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48" name="Agrupar 47">
          <a:extLst>
            <a:ext uri="{FF2B5EF4-FFF2-40B4-BE49-F238E27FC236}">
              <a16:creationId xmlns:a16="http://schemas.microsoft.com/office/drawing/2014/main" id="{51853AF9-687F-428B-9EB1-9A33A2CE3902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73" name="Retângulo 72">
            <a:extLst>
              <a:ext uri="{FF2B5EF4-FFF2-40B4-BE49-F238E27FC236}">
                <a16:creationId xmlns:a16="http://schemas.microsoft.com/office/drawing/2014/main" id="{46211448-7B67-4E4A-BAA3-A23643B8D8C3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4" name="CaixaDeTexto 73">
            <a:extLst>
              <a:ext uri="{FF2B5EF4-FFF2-40B4-BE49-F238E27FC236}">
                <a16:creationId xmlns:a16="http://schemas.microsoft.com/office/drawing/2014/main" id="{BDDB787E-5DE0-4FE7-A69A-1B92545C079E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75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87A8AFB-38BF-408F-B45E-E7F44CAE32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8F284B43-7068-4422-B3B1-79A701464B4E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70" name="Retângulo 69">
            <a:extLst>
              <a:ext uri="{FF2B5EF4-FFF2-40B4-BE49-F238E27FC236}">
                <a16:creationId xmlns:a16="http://schemas.microsoft.com/office/drawing/2014/main" id="{F15D17F1-4B62-4FE3-A062-137EC4794231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6324DE97-EA67-429D-9806-5A9ED860E67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7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5DD70DE-5176-437D-81C4-DD1F45ED75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50" name="Agrupar 49">
          <a:extLst>
            <a:ext uri="{FF2B5EF4-FFF2-40B4-BE49-F238E27FC236}">
              <a16:creationId xmlns:a16="http://schemas.microsoft.com/office/drawing/2014/main" id="{A1CF5E5E-978B-4679-A7E7-0A4AFCE4EF18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67" name="Retângulo 66">
            <a:extLst>
              <a:ext uri="{FF2B5EF4-FFF2-40B4-BE49-F238E27FC236}">
                <a16:creationId xmlns:a16="http://schemas.microsoft.com/office/drawing/2014/main" id="{94A29B2A-3700-42D9-980F-E16536C7DE4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8" name="CaixaDeTexto 67">
            <a:extLst>
              <a:ext uri="{FF2B5EF4-FFF2-40B4-BE49-F238E27FC236}">
                <a16:creationId xmlns:a16="http://schemas.microsoft.com/office/drawing/2014/main" id="{F0A39BA5-D06D-4F68-93ED-924DD4A47D25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69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270AA5B-B40D-461E-BF12-0B913A6923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51" name="Agrupar 50">
          <a:extLst>
            <a:ext uri="{FF2B5EF4-FFF2-40B4-BE49-F238E27FC236}">
              <a16:creationId xmlns:a16="http://schemas.microsoft.com/office/drawing/2014/main" id="{227C7664-9E0E-45B9-95FE-20E14F23F83A}"/>
            </a:ext>
          </a:extLst>
        </xdr:cNvPr>
        <xdr:cNvGrpSpPr/>
      </xdr:nvGrpSpPr>
      <xdr:grpSpPr>
        <a:xfrm>
          <a:off x="20445220" y="0"/>
          <a:ext cx="1592510" cy="1162050"/>
          <a:chOff x="8443355" y="0"/>
          <a:chExt cx="1118289" cy="781538"/>
        </a:xfrm>
      </xdr:grpSpPr>
      <xdr:sp macro="" textlink="">
        <xdr:nvSpPr>
          <xdr:cNvPr id="64" name="Retângulo 63">
            <a:extLst>
              <a:ext uri="{FF2B5EF4-FFF2-40B4-BE49-F238E27FC236}">
                <a16:creationId xmlns:a16="http://schemas.microsoft.com/office/drawing/2014/main" id="{08DC4C00-082C-402C-A921-7D09EF46B57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5" name="CaixaDeTexto 64">
            <a:extLst>
              <a:ext uri="{FF2B5EF4-FFF2-40B4-BE49-F238E27FC236}">
                <a16:creationId xmlns:a16="http://schemas.microsoft.com/office/drawing/2014/main" id="{8E915781-67D4-4105-92A2-9D24B803DEF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6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8AF84D4-49F9-4E06-867D-3669094C63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61" name="Retângulo 60">
          <a:extLst>
            <a:ext uri="{FF2B5EF4-FFF2-40B4-BE49-F238E27FC236}">
              <a16:creationId xmlns:a16="http://schemas.microsoft.com/office/drawing/2014/main" id="{BA65AE59-7236-406B-8717-13E4D5D03079}"/>
            </a:ext>
          </a:extLst>
        </xdr:cNvPr>
        <xdr:cNvSpPr/>
      </xdr:nvSpPr>
      <xdr:spPr>
        <a:xfrm>
          <a:off x="24125506" y="0"/>
          <a:ext cx="145363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A336994D-3C18-4001-A9C4-11CE158EAC16}"/>
            </a:ext>
          </a:extLst>
        </xdr:cNvPr>
        <xdr:cNvSpPr txBox="1"/>
      </xdr:nvSpPr>
      <xdr:spPr>
        <a:xfrm rot="10800000" flipH="1" flipV="1">
          <a:off x="24076273" y="76558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6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CC376AA-B21C-4E85-9952-CB45317B7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63566" y="136274"/>
          <a:ext cx="577508" cy="59898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53" name="Agrupar 52">
          <a:extLst>
            <a:ext uri="{FF2B5EF4-FFF2-40B4-BE49-F238E27FC236}">
              <a16:creationId xmlns:a16="http://schemas.microsoft.com/office/drawing/2014/main" id="{9C6C65C4-009C-4CBD-8426-D9DCC9AE1A2D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58" name="Retângulo 57">
            <a:extLst>
              <a:ext uri="{FF2B5EF4-FFF2-40B4-BE49-F238E27FC236}">
                <a16:creationId xmlns:a16="http://schemas.microsoft.com/office/drawing/2014/main" id="{B12F2C61-DB2F-4A76-B3F2-3F9DBC2A302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9" name="CaixaDeTexto 58">
            <a:extLst>
              <a:ext uri="{FF2B5EF4-FFF2-40B4-BE49-F238E27FC236}">
                <a16:creationId xmlns:a16="http://schemas.microsoft.com/office/drawing/2014/main" id="{3867FF89-AACA-4B2F-98AD-2CE5F384393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6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E1AEBC3-D5FD-425F-ACC5-28130AF17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54" name="Agrupar 53">
          <a:extLst>
            <a:ext uri="{FF2B5EF4-FFF2-40B4-BE49-F238E27FC236}">
              <a16:creationId xmlns:a16="http://schemas.microsoft.com/office/drawing/2014/main" id="{460E4044-C870-4AE9-BBEB-9FAD3E5EFAE5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55" name="Retângulo 54">
            <a:extLst>
              <a:ext uri="{FF2B5EF4-FFF2-40B4-BE49-F238E27FC236}">
                <a16:creationId xmlns:a16="http://schemas.microsoft.com/office/drawing/2014/main" id="{699203BF-B47C-45D9-8F92-43C61C2B521E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6" name="CaixaDeTexto 55">
            <a:extLst>
              <a:ext uri="{FF2B5EF4-FFF2-40B4-BE49-F238E27FC236}">
                <a16:creationId xmlns:a16="http://schemas.microsoft.com/office/drawing/2014/main" id="{CD3FD241-149D-438B-B2D0-2147D6687CB7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57" name="Imagem 56" descr="Ícone do banco de dados (símbolo png) preto">
            <a:extLst>
              <a:ext uri="{FF2B5EF4-FFF2-40B4-BE49-F238E27FC236}">
                <a16:creationId xmlns:a16="http://schemas.microsoft.com/office/drawing/2014/main" id="{A2CE86C6-A480-47B9-B59A-FF35F6DBE3C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32</xdr:row>
      <xdr:rowOff>85969</xdr:rowOff>
    </xdr:from>
    <xdr:to>
      <xdr:col>11</xdr:col>
      <xdr:colOff>957381</xdr:colOff>
      <xdr:row>35</xdr:row>
      <xdr:rowOff>97017</xdr:rowOff>
    </xdr:to>
    <xdr:sp macro="" textlink="">
      <xdr:nvSpPr>
        <xdr:cNvPr id="124" name="Retângulo Arredondado 11">
          <a:extLst>
            <a:ext uri="{FF2B5EF4-FFF2-40B4-BE49-F238E27FC236}">
              <a16:creationId xmlns:a16="http://schemas.microsoft.com/office/drawing/2014/main" id="{2E958A02-4472-4CC3-9D05-DF8C9909FC5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41486" y="11458819"/>
          <a:ext cx="4032345" cy="109689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B2DF3AFB-97BD-43D9-A2B7-5B49F1D5233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87E7712-12D7-4891-A266-790CBF970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514350</xdr:colOff>
      <xdr:row>3</xdr:row>
      <xdr:rowOff>247650</xdr:rowOff>
    </xdr:from>
    <xdr:to>
      <xdr:col>14</xdr:col>
      <xdr:colOff>971550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FB408B05-2D83-4B6F-8E28-66A3AE997BE3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B944729-6AFF-4683-A080-F26D01AE60C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AD4B180-BA0D-4329-A505-63DC5723E7EF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337539F-C185-45DE-9534-86DF7D412BE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2C36A65-94B4-4C24-856A-11535988C97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273703C-38C7-454F-A01C-1B8C5ACD435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790DE656-BC97-45CA-A63F-C11850EC3981}"/>
            </a:ext>
          </a:extLst>
        </xdr:cNvPr>
        <xdr:cNvSpPr/>
      </xdr:nvSpPr>
      <xdr:spPr>
        <a:xfrm>
          <a:off x="20959152" y="1276350"/>
          <a:ext cx="340602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E684865-99EC-41B9-8306-C18ADBF28D2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03987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42E04E82-6F6C-43D8-AD7B-4918B080535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F4FD094C-F58E-4CAA-8BEC-2F6BA67C4E7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12577D3D-20A1-4F05-9F5E-F18E784F54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588E4E01-8F88-4AAF-884A-9EEE0EFCF91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4383D0B7-B1BD-4FD4-B983-10760B511CE6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AD0E0C24-BB00-4A2E-B684-BF304B717A63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1936B6-D486-4BDF-9C7D-B474E06D91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5085E3F1-3BB9-483F-A410-2CCB37C2A723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79CA9FDC-D213-4C1C-B3C4-94CA30DC41B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F25A44DE-9B7B-442A-B834-98C66C075B46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C6DDE57-FB95-4C6B-8EA2-5C610FD8D9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267FC05-D36A-4CA2-9AF5-C2CDF3EFE1CA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01169AB4-B5DE-4495-A9E8-CE91C51DDCF1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AFDFAC1-848B-482C-8BC9-31C79AC253DB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C7A9E8E-6237-4832-B4A1-76DD2FC2D3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1D90898-4AA5-41FC-9115-B211D9505DF7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4E30CDC0-FB73-46BE-81F3-F46F9EAC127D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8307F8A-2A3C-4CA9-9D4D-9FAE72E4C70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F0855DA-F33B-4B89-B929-0B1891E395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D1D3B62E-9177-44A4-AE5A-947B22C08CFC}"/>
            </a:ext>
          </a:extLst>
        </xdr:cNvPr>
        <xdr:cNvGrpSpPr/>
      </xdr:nvGrpSpPr>
      <xdr:grpSpPr>
        <a:xfrm>
          <a:off x="20445220" y="0"/>
          <a:ext cx="159251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1F3C3D84-EE64-41B8-B9FC-C633B08BC51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F23792F8-FAE3-4D42-AD10-9B35F6ADC351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893C12E-4B0B-48E3-AE72-CF0C40967B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2D314323-0C2D-40A8-A96D-343DF5667F17}"/>
            </a:ext>
          </a:extLst>
        </xdr:cNvPr>
        <xdr:cNvSpPr/>
      </xdr:nvSpPr>
      <xdr:spPr>
        <a:xfrm>
          <a:off x="24148366" y="0"/>
          <a:ext cx="145363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3440046E-AF77-4415-81E4-FF00F10C8295}"/>
            </a:ext>
          </a:extLst>
        </xdr:cNvPr>
        <xdr:cNvSpPr txBox="1"/>
      </xdr:nvSpPr>
      <xdr:spPr>
        <a:xfrm rot="10800000" flipH="1" flipV="1">
          <a:off x="2409913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93AEA80-2BF7-447F-ABDC-15E4F4622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86426" y="136274"/>
          <a:ext cx="57750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A5D80991-D0AF-430B-ABB4-3473396DCCA6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5893BA5F-82B5-445F-B83B-BAF2E2642AE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D81E3960-5FC2-4164-8522-9ADC5029E96C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E7E6665-5BA6-4780-9270-47CD0457D9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CECD8F23-1AA5-408C-BC54-506668259AC8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FA941E44-6449-4E00-9CC3-6DCA2F52D8E6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CE53E7CE-EC01-4080-8958-3C3DB26D2312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E1A1942D-AAC9-4B9E-8E5D-3FED5FAF037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F480A754-B9BC-4E06-A49F-9674743F8832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A2C1EA3-F447-456D-80C2-58A646DC3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514350</xdr:colOff>
      <xdr:row>3</xdr:row>
      <xdr:rowOff>247650</xdr:rowOff>
    </xdr:from>
    <xdr:to>
      <xdr:col>14</xdr:col>
      <xdr:colOff>971550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4B34D548-A801-4155-B117-1C079CFD0038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4E0BA431-8B69-4890-87DD-FF2C0C01FAE3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3F0E683-9CD9-4DB8-B9CA-367C7E437CC8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33CC3ACF-FB17-4124-86CF-8497D0507EF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D5EB1898-BDA9-475C-9D0D-0C3B3AF2DEEE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9650251-0980-4CC4-97CE-A8DC62109D4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E8B1762D-08BE-4900-81DC-CD2FA7E667C0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152723AA-2E06-41A4-A37F-DBB9C04DC6D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274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2608F91-B444-47DC-B670-59C71DB2234C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78BA0F80-C58B-4003-A6D1-29523C92AF0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E75A12C-F300-4806-A905-0955C5E2AF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9483105E-1150-4D1D-ABC5-98B3886F235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6E1542B-599C-4D75-9DB7-1FEE0B76ED9F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3DFF5DDC-6DA0-4492-8065-CCC4A2130F6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197A6F9-CEE6-4F0B-B9FC-C56E8A1DC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0D472903-F075-4D6D-A97B-69346B5530C6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5FF8B128-DA59-40F7-9067-8FE8BF2E8C5B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AAE1C0F0-CAA5-46C5-A03C-60CD24F1F012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85B391E-CDF3-4864-AC43-DCDDB1829A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EEEFAB73-D009-41E4-A10D-36D06476296E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FBB7592-89C8-4BDB-B107-A5BE9330EAE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64CF4327-F72C-4351-B22E-7229F5EE12AA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0A601A4-5E6F-487E-9FC1-5A2842FDB7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B99F5EB0-6590-4399-89D6-693437C2FFFE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8DECBFD7-AE43-4E73-ADD4-3A60F60E0632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FF8DB9D2-D1DB-4FD0-AE63-143A6A8B3D9E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9BAE44E-2880-4310-89C6-076AE13AA4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EE344064-39B4-45EA-8447-1AB9421C706E}"/>
            </a:ext>
          </a:extLst>
        </xdr:cNvPr>
        <xdr:cNvGrpSpPr/>
      </xdr:nvGrpSpPr>
      <xdr:grpSpPr>
        <a:xfrm>
          <a:off x="20445220" y="0"/>
          <a:ext cx="159251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5ED75BF6-DD15-4967-B75D-B7A711A83B2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852EC0DA-4A66-4EB0-8742-E108E63F8D28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48B9DCB-30BD-4FBB-A043-50576D6A0A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827612AD-F179-4013-8B83-27A281B0C7D3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F3BA504F-76BD-4E66-94F7-60AF53641D43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D7CC2B-35DB-4C68-BD26-80A785610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6109A837-E78C-41D1-A7F4-09E7A7885B88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BEEB11EB-F80F-42ED-BEC5-DD60212A8518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24D5F2F4-B8A5-42CB-821C-BA1691C301C1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A844F2E-7442-44A4-BD34-5C3A3BC048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84013787-492E-4630-835E-BAB6782A57B5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A946A035-771B-43B3-BB3E-5BB0AB0DFD50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E8FA14A6-33BF-4FE4-AEB3-0A402041617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D8E4B37B-2967-44E0-BE69-C6F8DAA716B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704850</xdr:colOff>
      <xdr:row>24</xdr:row>
      <xdr:rowOff>76200</xdr:rowOff>
    </xdr:from>
    <xdr:to>
      <xdr:col>11</xdr:col>
      <xdr:colOff>812895</xdr:colOff>
      <xdr:row>27</xdr:row>
      <xdr:rowOff>87248</xdr:rowOff>
    </xdr:to>
    <xdr:sp macro="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F228134C-6115-4D85-A401-B284EEBE897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97000" y="8553450"/>
          <a:ext cx="4032345" cy="109689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1FC28393-FF5F-4BC8-BBC8-B8BD22E7E98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8EA5602-4BEB-4125-B3BA-B6D150C68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514350</xdr:colOff>
      <xdr:row>3</xdr:row>
      <xdr:rowOff>247650</xdr:rowOff>
    </xdr:from>
    <xdr:to>
      <xdr:col>14</xdr:col>
      <xdr:colOff>971550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1F3FAF9F-3FCD-4206-80D9-B3E165123722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B87F2A3-067D-4A77-82DA-E256E23D7A3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7C587E5-1CEF-42B4-A753-975A6A3DDB4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33BC8B7F-9541-46B5-B1A3-40D0E94F10CC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87B88E9-AE57-43D5-9186-1885BFE8A87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28DFD628-B1A2-41EC-B366-DC7A2B2B7803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846162</xdr:colOff>
      <xdr:row>3</xdr:row>
      <xdr:rowOff>133350</xdr:rowOff>
    </xdr:from>
    <xdr:to>
      <xdr:col>13</xdr:col>
      <xdr:colOff>2930112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89B93BA8-A65F-4EE4-91C8-73E741597BCF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E34A0FC7-9B54-42C9-A1DD-63EFE3AD6521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274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3184A01D-7C30-4BC1-BD0C-4F3D2223B809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E5294A8-DA2E-4553-A8AE-D2EFD9C67DD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2CCA57E-96E9-41A8-A369-866BA5C012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AD7AEB56-0817-43B8-AA1A-AB196DA0F3C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AC15C311-3633-4981-B226-BB24764C97EF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111505E-BFC8-49CF-AE1D-6C7E0337D909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40E2409-D35E-40A3-B47C-1A3DB0EAB8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AEE8C0F8-176B-4CCA-BC2A-3C29CF977417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43B328B7-04B1-4066-BC6B-8242E83D37AF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41DAB9E1-EF3F-48CA-A6D8-696C9CBDF1D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C20FE16-5E77-46DB-9295-F3EA254109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63ED67D0-FC93-4A0E-824C-01E8325EF14C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96929D8-29C7-4165-A333-1588AB1C1C7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87360E4B-7F5F-4A7D-B748-2DF957B308C3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FAE4A13-260E-4258-8817-4DE912B105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3C394D08-8868-45ED-A481-B64408E1AC5B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8C8F823-6975-424D-B251-1B4410D02A2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F89E53BF-20C9-4FC6-A923-727F7488177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64C5D76-AB0D-4D54-939F-6E8C5E7DE5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347470</xdr:colOff>
      <xdr:row>0</xdr:row>
      <xdr:rowOff>0</xdr:rowOff>
    </xdr:from>
    <xdr:to>
      <xdr:col>13</xdr:col>
      <xdr:colOff>625530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45ABD013-7F7A-4B9D-9460-E7847774314E}"/>
            </a:ext>
          </a:extLst>
        </xdr:cNvPr>
        <xdr:cNvGrpSpPr/>
      </xdr:nvGrpSpPr>
      <xdr:grpSpPr>
        <a:xfrm>
          <a:off x="20445220" y="0"/>
          <a:ext cx="159251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D532D197-674E-4D70-AD4E-2BA26940227B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840E806B-89FB-49B3-9CD5-64C5272382AF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58CC082-5A3C-45CD-8336-9EDD3CEF5E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2713306</xdr:colOff>
      <xdr:row>0</xdr:row>
      <xdr:rowOff>0</xdr:rowOff>
    </xdr:from>
    <xdr:to>
      <xdr:col>14</xdr:col>
      <xdr:colOff>890337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C07B641D-01C3-46F2-8210-397488BBA02C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2664073</xdr:colOff>
      <xdr:row>2</xdr:row>
      <xdr:rowOff>384583</xdr:rowOff>
    </xdr:from>
    <xdr:to>
      <xdr:col>14</xdr:col>
      <xdr:colOff>977134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C6C85187-0F8A-441A-B7A8-1C65A6A300B7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3151366</xdr:colOff>
      <xdr:row>0</xdr:row>
      <xdr:rowOff>136274</xdr:rowOff>
    </xdr:from>
    <xdr:to>
      <xdr:col>14</xdr:col>
      <xdr:colOff>452274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CEE971B-398A-4BE3-8566-C36AE1E0D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996378</xdr:colOff>
      <xdr:row>0</xdr:row>
      <xdr:rowOff>0</xdr:rowOff>
    </xdr:from>
    <xdr:to>
      <xdr:col>15</xdr:col>
      <xdr:colOff>2594547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2A123B43-C730-4DC8-BA3E-60C180DAE182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B64E966F-2EEC-454E-8E45-DA239125AB8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C59E78DF-40FC-4E3B-879A-1BCB067A887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F028F4B-87F3-436C-A980-8DEEDC66FC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4633089</xdr:colOff>
      <xdr:row>0</xdr:row>
      <xdr:rowOff>0</xdr:rowOff>
    </xdr:from>
    <xdr:to>
      <xdr:col>17</xdr:col>
      <xdr:colOff>135258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B899C3D-22D4-4503-96E9-86F33FEED909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A39BDC40-7EBB-45B9-86F7-EE4A2B3CBAEF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0D6ACA96-2AD6-4DBF-9B3C-DBC2E4065C7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C0E15F1D-AB68-4DAB-AD47-9C2A85C4B72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704850</xdr:colOff>
      <xdr:row>23</xdr:row>
      <xdr:rowOff>57150</xdr:rowOff>
    </xdr:from>
    <xdr:to>
      <xdr:col>11</xdr:col>
      <xdr:colOff>812895</xdr:colOff>
      <xdr:row>26</xdr:row>
      <xdr:rowOff>68198</xdr:rowOff>
    </xdr:to>
    <xdr:sp macro="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C86A39E8-165F-4C30-A845-1F7CBB06719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097000" y="8172450"/>
          <a:ext cx="4032345" cy="109689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6</xdr:col>
      <xdr:colOff>141305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99F96F1-8E13-4B9A-A5DE-EB22074CFB57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5</xdr:col>
      <xdr:colOff>85695</xdr:colOff>
      <xdr:row>0</xdr:row>
      <xdr:rowOff>91651</xdr:rowOff>
    </xdr:from>
    <xdr:to>
      <xdr:col>5</xdr:col>
      <xdr:colOff>502931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CE6BDE2-C6A3-4061-9504-7403CCCEE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15</xdr:col>
      <xdr:colOff>2514600</xdr:colOff>
      <xdr:row>3</xdr:row>
      <xdr:rowOff>247650</xdr:rowOff>
    </xdr:from>
    <xdr:to>
      <xdr:col>15</xdr:col>
      <xdr:colOff>2971800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E608B56D-B5E2-4799-8976-D740354BD09F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53058D1D-A51D-4134-A649-4A97D14CD28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1652F8-0AA6-432A-8811-9335D520298C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9</xdr:col>
      <xdr:colOff>1668900</xdr:colOff>
      <xdr:row>3</xdr:row>
      <xdr:rowOff>182100</xdr:rowOff>
    </xdr:from>
    <xdr:to>
      <xdr:col>11</xdr:col>
      <xdr:colOff>1143000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E16B0221-E016-4BB9-A1F3-9075EE235202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6</xdr:col>
      <xdr:colOff>419100</xdr:colOff>
      <xdr:row>3</xdr:row>
      <xdr:rowOff>182100</xdr:rowOff>
    </xdr:from>
    <xdr:to>
      <xdr:col>8</xdr:col>
      <xdr:colOff>1417200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1B6E2C0-8391-44EE-8389-64EB39796063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12</xdr:col>
      <xdr:colOff>38100</xdr:colOff>
      <xdr:row>3</xdr:row>
      <xdr:rowOff>152400</xdr:rowOff>
    </xdr:from>
    <xdr:to>
      <xdr:col>13</xdr:col>
      <xdr:colOff>2122050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327D5BC2-ABBC-4333-A1EE-4E0A9EA8999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14</xdr:col>
      <xdr:colOff>274662</xdr:colOff>
      <xdr:row>3</xdr:row>
      <xdr:rowOff>133350</xdr:rowOff>
    </xdr:from>
    <xdr:to>
      <xdr:col>15</xdr:col>
      <xdr:colOff>1653762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3560768E-FB9B-4E89-9A58-65E2C449F616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67EECECF-42A8-43E6-8014-A4387FB98CC6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4274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6A60B5B2-22D1-45D2-B734-17F9EB878EE5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947E7A02-DDAE-43FA-A359-0608A11FE07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4C3CA76-D5F2-4966-A674-38CA37DF32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FE2CE1DD-CDBA-4BDC-8725-9761D2D62C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555274</xdr:colOff>
      <xdr:row>0</xdr:row>
      <xdr:rowOff>0</xdr:rowOff>
    </xdr:from>
    <xdr:to>
      <xdr:col>7</xdr:col>
      <xdr:colOff>1019600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B5C99C81-25D6-48B4-804F-115A8B13A659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488623</xdr:colOff>
      <xdr:row>2</xdr:row>
      <xdr:rowOff>384583</xdr:rowOff>
    </xdr:from>
    <xdr:to>
      <xdr:col>7</xdr:col>
      <xdr:colOff>1089100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A1DDFF12-6921-4FAA-BB7A-132067B8CE1E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6</xdr:col>
      <xdr:colOff>985225</xdr:colOff>
      <xdr:row>0</xdr:row>
      <xdr:rowOff>126203</xdr:rowOff>
    </xdr:from>
    <xdr:to>
      <xdr:col>7</xdr:col>
      <xdr:colOff>589649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94F037E-D4F2-411D-B8B0-E6B7F8110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9</xdr:col>
      <xdr:colOff>155843</xdr:colOff>
      <xdr:row>0</xdr:row>
      <xdr:rowOff>0</xdr:rowOff>
    </xdr:from>
    <xdr:to>
      <xdr:col>9</xdr:col>
      <xdr:colOff>1754010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458C0F36-6C75-4107-8E40-07836A77EF8E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5996FF0C-6D93-4908-AAF7-5EF32CCCC281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9C8B1FC5-109E-4B18-9201-CF7D94C5A9FF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04AA55B-7737-433B-9C16-393153FB38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1887554</xdr:colOff>
      <xdr:row>0</xdr:row>
      <xdr:rowOff>0</xdr:rowOff>
    </xdr:from>
    <xdr:to>
      <xdr:col>11</xdr:col>
      <xdr:colOff>1459348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E50041A5-AB22-4E0D-986B-979FF66BE63C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C258C866-0961-4AF7-8082-74F8D549C48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51C65D6B-A7B4-4CEC-918F-190B94B5B79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1F48E35-5793-4826-8462-10735884C5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716591</xdr:colOff>
      <xdr:row>0</xdr:row>
      <xdr:rowOff>0</xdr:rowOff>
    </xdr:from>
    <xdr:to>
      <xdr:col>13</xdr:col>
      <xdr:colOff>1014027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D14F9299-093D-40DD-8C7B-A33D52842636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DB2E42C7-DFDF-462D-9EA1-FC17870E9FD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7D1D431C-0DF8-483C-911A-61CB46F5663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E7BDB0F-9DEB-452C-939A-26493C9D98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3052570</xdr:colOff>
      <xdr:row>0</xdr:row>
      <xdr:rowOff>0</xdr:rowOff>
    </xdr:from>
    <xdr:to>
      <xdr:col>14</xdr:col>
      <xdr:colOff>1368480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DA9AA291-118E-41F4-8FC4-9DC3DE86D331}"/>
            </a:ext>
          </a:extLst>
        </xdr:cNvPr>
        <xdr:cNvGrpSpPr/>
      </xdr:nvGrpSpPr>
      <xdr:grpSpPr>
        <a:xfrm>
          <a:off x="20445220" y="0"/>
          <a:ext cx="159251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0932D8E3-0AE5-4AA8-871D-D763BB2D9D7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DB1A4246-A5E8-4825-BA18-4A788D43443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485DD3C-16A2-4A68-8B7F-B99EC44178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1436956</xdr:colOff>
      <xdr:row>0</xdr:row>
      <xdr:rowOff>0</xdr:rowOff>
    </xdr:from>
    <xdr:to>
      <xdr:col>15</xdr:col>
      <xdr:colOff>2890587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E17F39C5-3B0A-4C1B-9403-D58C1BF490E9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1387723</xdr:colOff>
      <xdr:row>2</xdr:row>
      <xdr:rowOff>384583</xdr:rowOff>
    </xdr:from>
    <xdr:to>
      <xdr:col>15</xdr:col>
      <xdr:colOff>2977384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79ED0CDD-6BE5-4265-A569-C516ACFCB4E9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15</xdr:col>
      <xdr:colOff>1875016</xdr:colOff>
      <xdr:row>0</xdr:row>
      <xdr:rowOff>136274</xdr:rowOff>
    </xdr:from>
    <xdr:to>
      <xdr:col>15</xdr:col>
      <xdr:colOff>2452524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FFD659-6D24-4049-ABBB-FE115CE5F1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5015928</xdr:colOff>
      <xdr:row>0</xdr:row>
      <xdr:rowOff>0</xdr:rowOff>
    </xdr:from>
    <xdr:to>
      <xdr:col>17</xdr:col>
      <xdr:colOff>518097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9BE21F33-E199-449B-921F-8B2C50408CA6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77D743C5-0E85-4DF9-B87A-AF59CE4B5A33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9E74D678-21C5-4CF0-B434-D52C092FA5B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1DD950E-F23B-4B0E-9689-A7B612FC9A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118239</xdr:colOff>
      <xdr:row>0</xdr:row>
      <xdr:rowOff>0</xdr:rowOff>
    </xdr:from>
    <xdr:to>
      <xdr:col>22</xdr:col>
      <xdr:colOff>116208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9A441D70-451D-4F08-ACF0-93F8E40895B2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7E1E582E-E5A4-4810-8616-1A7785DF422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C52BC1A2-D829-4F2B-80CC-A46F39E227F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B36EAC5F-4151-4B29-838A-BFD94B06006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1D4E0F1-AD3F-41D9-8878-4EFCAB0533B0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7267C19-8554-4B2D-A08E-C4C2E07CF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285750</xdr:colOff>
      <xdr:row>3</xdr:row>
      <xdr:rowOff>247650</xdr:rowOff>
    </xdr:from>
    <xdr:to>
      <xdr:col>14</xdr:col>
      <xdr:colOff>742950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A068B71D-B182-42EE-BFCF-A7F9A5D88B1D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6ED390C-5293-4167-901A-46359FDDDF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BC64271-3F9C-40ED-8B5C-D1D05D1217BE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BA83C8C0-1F56-448E-8AC0-C52E1AE58111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CONTROLE DE MATÉRIA-PRIMA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3C4422F-D748-4B1C-B1AC-13E8D7E1573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10</xdr:col>
      <xdr:colOff>819150</xdr:colOff>
      <xdr:row>3</xdr:row>
      <xdr:rowOff>152400</xdr:rowOff>
    </xdr:from>
    <xdr:to>
      <xdr:col>11</xdr:col>
      <xdr:colOff>2198250</xdr:colOff>
      <xdr:row>5</xdr:row>
      <xdr:rowOff>141750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2F92539-75BC-4167-9B2B-AAF590E6F8E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6127730" y="12954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 COMPRA</a:t>
          </a:r>
        </a:p>
      </xdr:txBody>
    </xdr:sp>
    <xdr:clientData/>
  </xdr:twoCellAnchor>
  <xdr:twoCellAnchor editAs="absolute">
    <xdr:from>
      <xdr:col>12</xdr:col>
      <xdr:colOff>617562</xdr:colOff>
      <xdr:row>3</xdr:row>
      <xdr:rowOff>133350</xdr:rowOff>
    </xdr:from>
    <xdr:to>
      <xdr:col>13</xdr:col>
      <xdr:colOff>2701512</xdr:colOff>
      <xdr:row>5</xdr:row>
      <xdr:rowOff>164263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5E1537A-70B9-41D3-8160-F397F13BB818}"/>
            </a:ext>
          </a:extLst>
        </xdr:cNvPr>
        <xdr:cNvSpPr/>
      </xdr:nvSpPr>
      <xdr:spPr>
        <a:xfrm>
          <a:off x="20955342" y="1276350"/>
          <a:ext cx="3402210" cy="800533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REALIZAR PEDIDO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19B027E5-FC4F-491D-811B-1508E909C19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560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F7AD3BF-7D8A-47F0-B3EB-9CC2DA8FF22B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866F2A92-596E-484E-87DA-AE242BA0335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5BED11C-EDDD-4C20-8DF2-472B51392C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DA7C5918-4F9D-4355-ADBB-1361680432E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59953386-5091-47B6-AC16-A1626AE33A76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00205E88-F06A-4341-9472-1104DFEEC8B2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C08AEE-13EE-4DB6-A9F8-743E91D38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5C40F234-8535-477F-998D-5ABB8E7DE054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F71C8FA1-65FA-425A-B444-ED4481A3C1E8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300B2999-4A1A-45E9-A339-D2CF0540E8F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9CB6279-220D-423E-A558-CA032C2464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A5B0208-7C98-40A8-A146-308102971BBC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FD1D5FC-58E3-4DC8-9BCD-AD095EE95512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B7ACE117-DD6E-40A6-970D-26430CFA69B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521D2B5B-7E8F-4221-A767-8C7345A924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1497641</xdr:colOff>
      <xdr:row>0</xdr:row>
      <xdr:rowOff>0</xdr:rowOff>
    </xdr:from>
    <xdr:to>
      <xdr:col>11</xdr:col>
      <xdr:colOff>1090227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3122A86-4A82-4D19-9928-60DBF96E1A4E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AB52F019-CE11-4F74-87EF-98B70BA0692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EEFE00AA-65EA-4F54-88EA-11F3E4184EE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23ABBC8-BE63-479F-866A-095B16DF85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118870</xdr:colOff>
      <xdr:row>0</xdr:row>
      <xdr:rowOff>0</xdr:rowOff>
    </xdr:from>
    <xdr:to>
      <xdr:col>13</xdr:col>
      <xdr:colOff>396930</xdr:colOff>
      <xdr:row>3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F086F854-C8BE-4819-AF3C-A1E047CD7217}"/>
            </a:ext>
          </a:extLst>
        </xdr:cNvPr>
        <xdr:cNvGrpSpPr/>
      </xdr:nvGrpSpPr>
      <xdr:grpSpPr>
        <a:xfrm>
          <a:off x="20445220" y="0"/>
          <a:ext cx="1592510" cy="1162050"/>
          <a:chOff x="8443355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4E4671A4-A253-4862-BE1E-FBCC4284948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89221709-AB88-4838-ACD4-5C2ADDF56823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3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9668067-B728-49F1-A52F-7A5C86C53D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BEBA8EAE-BF5A-486C-A8C5-ECC9F3942E4B}">
                <a14:imgProps xmlns:a14="http://schemas.microsoft.com/office/drawing/2010/main">
                  <a14:imgLayer r:embed="rId1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2484706</xdr:colOff>
      <xdr:row>0</xdr:row>
      <xdr:rowOff>0</xdr:rowOff>
    </xdr:from>
    <xdr:to>
      <xdr:col>14</xdr:col>
      <xdr:colOff>661737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EE538503-18DD-4BE0-9608-90D28336C13F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2435473</xdr:colOff>
      <xdr:row>2</xdr:row>
      <xdr:rowOff>384583</xdr:rowOff>
    </xdr:from>
    <xdr:to>
      <xdr:col>14</xdr:col>
      <xdr:colOff>748534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FA467CB1-CE9C-40D4-9C2B-B5EB10935CBA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2922766</xdr:colOff>
      <xdr:row>0</xdr:row>
      <xdr:rowOff>136274</xdr:rowOff>
    </xdr:from>
    <xdr:to>
      <xdr:col>14</xdr:col>
      <xdr:colOff>223674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0E1E547-4996-4C74-9593-AFD2A5D4CC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solidFill>
          <a:schemeClr val="bg1"/>
        </a:solidFill>
      </xdr:spPr>
    </xdr:pic>
    <xdr:clientData/>
  </xdr:twoCellAnchor>
  <xdr:twoCellAnchor editAs="absolute">
    <xdr:from>
      <xdr:col>15</xdr:col>
      <xdr:colOff>767778</xdr:colOff>
      <xdr:row>0</xdr:row>
      <xdr:rowOff>0</xdr:rowOff>
    </xdr:from>
    <xdr:to>
      <xdr:col>15</xdr:col>
      <xdr:colOff>2365947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C14E929D-6007-45D7-A342-7EAA0878555E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44CC8786-8846-473E-A3BC-9CF891E05B5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8EAAB3F4-096D-44F2-99E8-3FA7A30E8191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6969FB4-41F6-45D5-955D-46A1207572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4404489</xdr:colOff>
      <xdr:row>0</xdr:row>
      <xdr:rowOff>0</xdr:rowOff>
    </xdr:from>
    <xdr:to>
      <xdr:col>16</xdr:col>
      <xdr:colOff>973458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C1F9FBF8-4D6A-4912-8204-B37D22BC1DBC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8A41F4A6-5CD8-4E37-BFCA-45DFFB9950E4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CD5A8289-B1B7-449D-9B20-EFA40EEDDCBD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DD7A3089-C33B-4906-86EA-7732997DAE83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9</xdr:col>
      <xdr:colOff>849336</xdr:colOff>
      <xdr:row>30</xdr:row>
      <xdr:rowOff>314569</xdr:rowOff>
    </xdr:from>
    <xdr:to>
      <xdr:col>11</xdr:col>
      <xdr:colOff>957381</xdr:colOff>
      <xdr:row>33</xdr:row>
      <xdr:rowOff>325617</xdr:rowOff>
    </xdr:to>
    <xdr:sp macro="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B13F5C50-628D-4500-99AF-5745F365857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4241486" y="10963519"/>
          <a:ext cx="4032345" cy="1096898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8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D0E766C1-546B-49EB-9B23-2AC1CC5C25E8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CC46364-FC1C-45D6-A309-2FA8D6091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20</xdr:col>
      <xdr:colOff>342900</xdr:colOff>
      <xdr:row>3</xdr:row>
      <xdr:rowOff>247650</xdr:rowOff>
    </xdr:from>
    <xdr:to>
      <xdr:col>21</xdr:col>
      <xdr:colOff>190500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CAE6ECE5-F1D4-40C7-A0CE-9418E06B73EB}"/>
            </a:ext>
          </a:extLst>
        </xdr:cNvPr>
        <xdr:cNvSpPr/>
      </xdr:nvSpPr>
      <xdr:spPr>
        <a:xfrm>
          <a:off x="2522601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1D46D822-3678-44C6-96D2-0378B2BECE2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5D74C6A-FDF3-4A23-9C53-EA3B117642A8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10</xdr:col>
      <xdr:colOff>361950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517E42C-7970-4155-84CF-C21BE9EF847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89D2BF39-A6AA-479B-A77F-4797A76E9B39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11" name="Retângulo Arredondado 11">
          <a:extLst>
            <a:ext uri="{FF2B5EF4-FFF2-40B4-BE49-F238E27FC236}">
              <a16:creationId xmlns:a16="http://schemas.microsoft.com/office/drawing/2014/main" id="{84045E74-C9DA-4AC4-B8A8-A8B52EE1FE0F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16560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8CDBAC92-CD02-476D-AF4A-707D3E0EFA1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6308F832-CE85-495C-A885-EFE23FF7A05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4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78E19AD1-2000-42DB-AFED-BAEB5F1F68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356FD34C-5B89-4338-9108-D837E8FB3DB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3AEE41E9-9BD3-4BC5-906D-2F6EACDF3C63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E57EB052-0F02-40EF-B61B-FFC0B7038404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8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551CA8D-06C6-48BC-A868-453CBB6A3F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CA9DA564-2490-47CB-BFE1-676A8539F8BE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84047F41-6F12-4328-B11B-939B7A603813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DCC25F4A-7FCD-44B4-8EEE-241899FA06B2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2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400D7B4-01CD-4E68-927A-49F7310F98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10</xdr:col>
      <xdr:colOff>678298</xdr:colOff>
      <xdr:row>3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3E99E84F-3481-4E6D-B3EE-9D05F5B9F5BB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F844FDB0-EB86-4D2A-B743-A2F4249181D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4FD03D5-F824-4D26-A224-6CC61D0AD75C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6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F538F05-A436-4F07-98F7-F5156A1F23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126041</xdr:colOff>
      <xdr:row>0</xdr:row>
      <xdr:rowOff>0</xdr:rowOff>
    </xdr:from>
    <xdr:to>
      <xdr:col>13</xdr:col>
      <xdr:colOff>290127</xdr:colOff>
      <xdr:row>3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9B18ABC3-E00E-4459-869F-A3048C8354B1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93386D9F-FF8C-4E62-A9D4-C8A705C34F5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5164EDB-78E5-4DA6-9CE3-1B6B3C53F74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3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CDB22C0-62DD-4FE7-8508-EF4EB92B7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244391</xdr:colOff>
      <xdr:row>0</xdr:row>
      <xdr:rowOff>0</xdr:rowOff>
    </xdr:from>
    <xdr:to>
      <xdr:col>15</xdr:col>
      <xdr:colOff>1700627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483AC975-9837-4576-BE12-F7662E279646}"/>
            </a:ext>
          </a:extLst>
        </xdr:cNvPr>
        <xdr:cNvSpPr/>
      </xdr:nvSpPr>
      <xdr:spPr>
        <a:xfrm>
          <a:off x="20494541" y="0"/>
          <a:ext cx="1456236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15</xdr:col>
      <xdr:colOff>195070</xdr:colOff>
      <xdr:row>2</xdr:row>
      <xdr:rowOff>384583</xdr:rowOff>
    </xdr:from>
    <xdr:to>
      <xdr:col>16</xdr:col>
      <xdr:colOff>73080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74B9A4CF-4083-4784-A064-6E8155DCB5E8}"/>
            </a:ext>
          </a:extLst>
        </xdr:cNvPr>
        <xdr:cNvSpPr txBox="1"/>
      </xdr:nvSpPr>
      <xdr:spPr>
        <a:xfrm rot="10800000" flipH="1" flipV="1">
          <a:off x="20445220" y="76558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15</xdr:col>
      <xdr:colOff>683236</xdr:colOff>
      <xdr:row>0</xdr:row>
      <xdr:rowOff>136274</xdr:rowOff>
    </xdr:from>
    <xdr:to>
      <xdr:col>15</xdr:col>
      <xdr:colOff>1261779</xdr:colOff>
      <xdr:row>2</xdr:row>
      <xdr:rowOff>354262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D94EEB5-644C-4877-911F-16B391A398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78543" cy="598988"/>
        </a:xfrm>
        <a:prstGeom prst="rect">
          <a:avLst/>
        </a:prstGeom>
      </xdr:spPr>
    </xdr:pic>
    <xdr:clientData/>
  </xdr:twoCellAnchor>
  <xdr:twoCellAnchor editAs="absolute">
    <xdr:from>
      <xdr:col>18</xdr:col>
      <xdr:colOff>484456</xdr:colOff>
      <xdr:row>0</xdr:row>
      <xdr:rowOff>0</xdr:rowOff>
    </xdr:from>
    <xdr:to>
      <xdr:col>21</xdr:col>
      <xdr:colOff>109287</xdr:colOff>
      <xdr:row>3</xdr:row>
      <xdr:rowOff>0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DB9BEABA-BA7B-45DF-89EA-B273C8D0B0C2}"/>
            </a:ext>
          </a:extLst>
        </xdr:cNvPr>
        <xdr:cNvSpPr/>
      </xdr:nvSpPr>
      <xdr:spPr>
        <a:xfrm>
          <a:off x="2414074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18</xdr:col>
      <xdr:colOff>435223</xdr:colOff>
      <xdr:row>2</xdr:row>
      <xdr:rowOff>384583</xdr:rowOff>
    </xdr:from>
    <xdr:to>
      <xdr:col>21</xdr:col>
      <xdr:colOff>196084</xdr:colOff>
      <xdr:row>2</xdr:row>
      <xdr:rowOff>762890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10C6B9BE-C511-452E-BD11-D7E01CBB1DF8}"/>
            </a:ext>
          </a:extLst>
        </xdr:cNvPr>
        <xdr:cNvSpPr txBox="1"/>
      </xdr:nvSpPr>
      <xdr:spPr>
        <a:xfrm rot="10800000" flipH="1" flipV="1">
          <a:off x="2409151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19</xdr:col>
      <xdr:colOff>312916</xdr:colOff>
      <xdr:row>0</xdr:row>
      <xdr:rowOff>136274</xdr:rowOff>
    </xdr:from>
    <xdr:to>
      <xdr:col>20</xdr:col>
      <xdr:colOff>280824</xdr:colOff>
      <xdr:row>2</xdr:row>
      <xdr:rowOff>354260</xdr:rowOff>
    </xdr:to>
    <xdr:pic>
      <xdr:nvPicPr>
        <xdr:cNvPr id="37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94BD277-8379-4813-A8A0-A3633ED40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85128" cy="583746"/>
        </a:xfrm>
        <a:prstGeom prst="rect">
          <a:avLst/>
        </a:prstGeom>
        <a:noFill/>
      </xdr:spPr>
    </xdr:pic>
    <xdr:clientData/>
  </xdr:twoCellAnchor>
  <xdr:twoCellAnchor editAs="absolute">
    <xdr:from>
      <xdr:col>23</xdr:col>
      <xdr:colOff>443928</xdr:colOff>
      <xdr:row>0</xdr:row>
      <xdr:rowOff>0</xdr:rowOff>
    </xdr:from>
    <xdr:to>
      <xdr:col>23</xdr:col>
      <xdr:colOff>2042097</xdr:colOff>
      <xdr:row>3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BB95BB79-4D76-48D2-9637-01E4F99EFF68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9" name="Retângulo 38">
            <a:extLst>
              <a:ext uri="{FF2B5EF4-FFF2-40B4-BE49-F238E27FC236}">
                <a16:creationId xmlns:a16="http://schemas.microsoft.com/office/drawing/2014/main" id="{E3FE50BE-F8E8-4333-B6D4-142F9DD6B14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F412F39D-470C-4646-831F-ACDBC12896A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41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58D0578-C599-4C28-9C39-90D6BB9310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24</xdr:col>
      <xdr:colOff>575439</xdr:colOff>
      <xdr:row>0</xdr:row>
      <xdr:rowOff>0</xdr:rowOff>
    </xdr:from>
    <xdr:to>
      <xdr:col>27</xdr:col>
      <xdr:colOff>344808</xdr:colOff>
      <xdr:row>3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674E7D38-3B66-4BE4-9A3B-4CDBAA03316B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3" name="Retângulo 42">
            <a:extLst>
              <a:ext uri="{FF2B5EF4-FFF2-40B4-BE49-F238E27FC236}">
                <a16:creationId xmlns:a16="http://schemas.microsoft.com/office/drawing/2014/main" id="{E80F82B2-03C8-4C8B-8701-F630D8120E4C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4" name="CaixaDeTexto 43">
            <a:extLst>
              <a:ext uri="{FF2B5EF4-FFF2-40B4-BE49-F238E27FC236}">
                <a16:creationId xmlns:a16="http://schemas.microsoft.com/office/drawing/2014/main" id="{BFB5E0DF-691B-4811-9789-EBD8A0C1C08F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5" name="Imagem 44" descr="Ícone do banco de dados (símbolo png) preto">
            <a:extLst>
              <a:ext uri="{FF2B5EF4-FFF2-40B4-BE49-F238E27FC236}">
                <a16:creationId xmlns:a16="http://schemas.microsoft.com/office/drawing/2014/main" id="{BDAAF352-995D-4B07-953E-0FCDCF530F1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E384F89F-201F-4244-8842-E24BE63451C3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FFE44D-CD4D-4417-8905-0FAA76A9C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1390650</xdr:colOff>
      <xdr:row>3</xdr:row>
      <xdr:rowOff>247650</xdr:rowOff>
    </xdr:from>
    <xdr:to>
      <xdr:col>15</xdr:col>
      <xdr:colOff>400050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A829CC50-7B69-40F0-95CF-8C2936AADE0A}"/>
            </a:ext>
          </a:extLst>
        </xdr:cNvPr>
        <xdr:cNvSpPr/>
      </xdr:nvSpPr>
      <xdr:spPr>
        <a:xfrm>
          <a:off x="2521458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372B8EC-D030-462E-AEA2-C0CE9E590A8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86391551-B1BD-4451-8EA7-017436553759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9</xdr:col>
      <xdr:colOff>1047750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F608D35-DC21-418D-A104-4422523EE29E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1745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9CFFE4D5-75D3-418E-B32D-42C09A967026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13</xdr:col>
      <xdr:colOff>0</xdr:colOff>
      <xdr:row>31</xdr:row>
      <xdr:rowOff>65315</xdr:rowOff>
    </xdr:from>
    <xdr:to>
      <xdr:col>13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0208FD1-E0D4-4D59-93C2-0FDB8DF4DB9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812036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4CCCB25-E24B-48CB-8393-8F2A43D2214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B988CFF9-92DC-4955-973F-D8671A701EC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914A323-390A-48EF-9F17-410AAE82FE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64D31C25-A2D5-45EB-B384-15D1D34892D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548248C5-9BC4-4602-B93B-08668F8BC4F9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FF8AE54B-741B-4753-A4F9-37B69AB8C2CC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EF9464A-9946-419D-A819-4D1C0094E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D0C680BA-D1B1-4979-A174-1050AFD8AA54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EC36C19F-8733-439D-AD5E-CD7E4A4E39E8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8584AD04-B494-4689-A3F2-1A1BAB0025D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6CB33C8-D609-40C8-BD8F-1D7D15CF28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1335104</xdr:colOff>
      <xdr:row>0</xdr:row>
      <xdr:rowOff>0</xdr:rowOff>
    </xdr:from>
    <xdr:to>
      <xdr:col>9</xdr:col>
      <xdr:colOff>1364098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41484A3-217F-4F0C-B195-A9A721C97217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271C1012-BBE0-4A76-8E5E-B4083F0672B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F486811-377E-46C4-9831-F4465444B675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68B106F-4C3D-4FB9-86D4-15D6DE7FD5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3402641</xdr:colOff>
      <xdr:row>0</xdr:row>
      <xdr:rowOff>0</xdr:rowOff>
    </xdr:from>
    <xdr:to>
      <xdr:col>9</xdr:col>
      <xdr:colOff>5014527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E862A781-94B2-427A-B37E-3617F3485AC3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62B5F2E3-C4B0-4F88-A9D0-12B3B4D13A1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C4BD4BC4-2A09-44FF-ACFD-D9127E35663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3E4C5C2-B49C-420B-BE03-57D3AD9F60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1501691</xdr:colOff>
      <xdr:row>0</xdr:row>
      <xdr:rowOff>0</xdr:rowOff>
    </xdr:from>
    <xdr:to>
      <xdr:col>12</xdr:col>
      <xdr:colOff>271877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65D5EE58-80A5-4A04-AF74-5203E2273FEB}"/>
            </a:ext>
          </a:extLst>
        </xdr:cNvPr>
        <xdr:cNvSpPr/>
      </xdr:nvSpPr>
      <xdr:spPr>
        <a:xfrm>
          <a:off x="20498351" y="0"/>
          <a:ext cx="145623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1452370</xdr:colOff>
      <xdr:row>2</xdr:row>
      <xdr:rowOff>384583</xdr:rowOff>
    </xdr:from>
    <xdr:to>
      <xdr:col>12</xdr:col>
      <xdr:colOff>358830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0A98E6AC-04FD-455A-B794-0716AA30CB8D}"/>
            </a:ext>
          </a:extLst>
        </xdr:cNvPr>
        <xdr:cNvSpPr txBox="1"/>
      </xdr:nvSpPr>
      <xdr:spPr>
        <a:xfrm rot="10800000" flipH="1" flipV="1">
          <a:off x="2044903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397486</xdr:colOff>
      <xdr:row>0</xdr:row>
      <xdr:rowOff>136274</xdr:rowOff>
    </xdr:from>
    <xdr:to>
      <xdr:col>11</xdr:col>
      <xdr:colOff>976029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779E6A-34A1-4C9B-8346-FC2562188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14</xdr:col>
      <xdr:colOff>313006</xdr:colOff>
      <xdr:row>0</xdr:row>
      <xdr:rowOff>0</xdr:rowOff>
    </xdr:from>
    <xdr:to>
      <xdr:col>15</xdr:col>
      <xdr:colOff>318837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E9374132-33FB-4F43-9103-B6A626F802EE}"/>
            </a:ext>
          </a:extLst>
        </xdr:cNvPr>
        <xdr:cNvSpPr/>
      </xdr:nvSpPr>
      <xdr:spPr>
        <a:xfrm>
          <a:off x="2413693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263773</xdr:colOff>
      <xdr:row>2</xdr:row>
      <xdr:rowOff>384583</xdr:rowOff>
    </xdr:from>
    <xdr:to>
      <xdr:col>15</xdr:col>
      <xdr:colOff>405634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DA07DC8A-5607-4C49-ADCB-DFF9FEA12017}"/>
            </a:ext>
          </a:extLst>
        </xdr:cNvPr>
        <xdr:cNvSpPr txBox="1"/>
      </xdr:nvSpPr>
      <xdr:spPr>
        <a:xfrm rot="10800000" flipH="1" flipV="1">
          <a:off x="2408770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14</xdr:col>
      <xdr:colOff>751066</xdr:colOff>
      <xdr:row>0</xdr:row>
      <xdr:rowOff>136274</xdr:rowOff>
    </xdr:from>
    <xdr:to>
      <xdr:col>14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BD740E1-48AE-4B24-8E6E-24AF5F4AC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499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729678</xdr:colOff>
      <xdr:row>0</xdr:row>
      <xdr:rowOff>0</xdr:rowOff>
    </xdr:from>
    <xdr:to>
      <xdr:col>19</xdr:col>
      <xdr:colOff>41847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33B61557-F499-4D73-B0CC-DA21F1AC62D1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7FF9A647-50C7-4457-A24A-770BDF21BF2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C92C8245-6449-4F7E-95CF-B74D738E30A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FCCF80D-CAA9-4926-8FB9-C1E13C93A1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861189</xdr:colOff>
      <xdr:row>0</xdr:row>
      <xdr:rowOff>0</xdr:rowOff>
    </xdr:from>
    <xdr:to>
      <xdr:col>23</xdr:col>
      <xdr:colOff>668658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AFF5D57-A6B0-467E-BE33-846B2A817891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9737AC46-D6FD-41E0-AF4C-1A9DAC474F4D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ED91A637-748B-4F15-91D6-5F7B9A572AAC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013DE577-9588-4ED9-9F9C-CDCC32B7A6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C4D1889-6B7F-40FC-9BBC-D2B393C6BF8F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94D924-6FB5-46CE-A2AC-A008EA82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14</xdr:col>
      <xdr:colOff>38100</xdr:colOff>
      <xdr:row>3</xdr:row>
      <xdr:rowOff>247650</xdr:rowOff>
    </xdr:from>
    <xdr:to>
      <xdr:col>14</xdr:col>
      <xdr:colOff>495300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57FE677A-8B6A-4A98-821D-7D387EBE99F9}"/>
            </a:ext>
          </a:extLst>
        </xdr:cNvPr>
        <xdr:cNvSpPr/>
      </xdr:nvSpPr>
      <xdr:spPr>
        <a:xfrm>
          <a:off x="25218390" y="1390650"/>
          <a:ext cx="44958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3C48F96-81E5-426C-A172-329E6D6FDE0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A755EF72-EA21-4327-AAD3-67A809A0880A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CUSTO FIXO E VARIAVEL</a:t>
          </a:r>
        </a:p>
      </xdr:txBody>
    </xdr:sp>
    <xdr:clientData/>
  </xdr:twoCellAnchor>
  <xdr:twoCellAnchor editAs="absolute">
    <xdr:from>
      <xdr:col>7</xdr:col>
      <xdr:colOff>259200</xdr:colOff>
      <xdr:row>3</xdr:row>
      <xdr:rowOff>182100</xdr:rowOff>
    </xdr:from>
    <xdr:to>
      <xdr:col>8</xdr:col>
      <xdr:colOff>1447800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1B715594-02FE-4425-B946-77E26E6D6043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983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VALORES PRODUTOS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6</xdr:col>
      <xdr:colOff>236100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1166A1E7-5648-417E-9FBF-841BFA79F91C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DRE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25B3B3E5-4D35-4219-9B3E-E7B2B842B01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2313432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57F46F70-E375-41B5-BB7A-5203D29919D1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AF4E42B7-A80B-4FD7-A335-CA45BF4F170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0185D8E-5F07-4D29-B0AE-DD989633DC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4D6C07F-90B2-4DFE-936A-8AC8995DC28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3E106B8E-E58A-4A57-92D6-DC997C749840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A88EBB95-0D17-478F-8AF5-FD913AD7F488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8E0DB9E-0B3D-4C80-9B70-0F82F55F8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6</xdr:col>
      <xdr:colOff>536843</xdr:colOff>
      <xdr:row>0</xdr:row>
      <xdr:rowOff>0</xdr:rowOff>
    </xdr:from>
    <xdr:to>
      <xdr:col>7</xdr:col>
      <xdr:colOff>344310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B3B40A0B-85C0-4256-B8CC-DA7F5544AC79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CA06381C-A5C6-401A-AA84-ADFFFF7EBBF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54B70EC0-A0B7-485F-88F9-4BA646C91E9D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33C0C7A-7CA5-423F-8E10-1A1C56949E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173054</xdr:colOff>
      <xdr:row>0</xdr:row>
      <xdr:rowOff>0</xdr:rowOff>
    </xdr:from>
    <xdr:to>
      <xdr:col>9</xdr:col>
      <xdr:colOff>202048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A47596ED-173D-46BF-B2D3-4F48374A2A30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7ABF84A9-2276-49B6-8878-99B347A5BB5A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D18D8E8C-1616-4044-9C8D-336DCFB3FF7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CF4613A-06EF-4E05-AF91-557644EC3E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2240591</xdr:colOff>
      <xdr:row>0</xdr:row>
      <xdr:rowOff>0</xdr:rowOff>
    </xdr:from>
    <xdr:to>
      <xdr:col>10</xdr:col>
      <xdr:colOff>461577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41291CF-8DA1-4237-B01D-335F86D8D9B5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DF283481-7767-4BDB-8EF1-8A9D12BC66E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7F5817F-89E3-4587-91FE-37BE887DE081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B85B961-DF66-4653-AC49-35E67DC00F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1006391</xdr:colOff>
      <xdr:row>0</xdr:row>
      <xdr:rowOff>0</xdr:rowOff>
    </xdr:from>
    <xdr:to>
      <xdr:col>11</xdr:col>
      <xdr:colOff>2462627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16693DBD-CDE3-4BC7-828C-50E5A99B43CB}"/>
            </a:ext>
          </a:extLst>
        </xdr:cNvPr>
        <xdr:cNvSpPr/>
      </xdr:nvSpPr>
      <xdr:spPr>
        <a:xfrm>
          <a:off x="20505971" y="0"/>
          <a:ext cx="1460046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957070</xdr:colOff>
      <xdr:row>2</xdr:row>
      <xdr:rowOff>384583</xdr:rowOff>
    </xdr:from>
    <xdr:to>
      <xdr:col>12</xdr:col>
      <xdr:colOff>34980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C169AAEE-3230-4F73-AC67-BA5B038C9863}"/>
            </a:ext>
          </a:extLst>
        </xdr:cNvPr>
        <xdr:cNvSpPr txBox="1"/>
      </xdr:nvSpPr>
      <xdr:spPr>
        <a:xfrm rot="10800000" flipH="1" flipV="1">
          <a:off x="20456650" y="750343"/>
          <a:ext cx="159632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1437616</xdr:colOff>
      <xdr:row>0</xdr:row>
      <xdr:rowOff>136274</xdr:rowOff>
    </xdr:from>
    <xdr:to>
      <xdr:col>11</xdr:col>
      <xdr:colOff>2023779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6DC1418-C221-417B-820D-8F5F6988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41006" y="136274"/>
          <a:ext cx="57854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674956</xdr:colOff>
      <xdr:row>0</xdr:row>
      <xdr:rowOff>0</xdr:rowOff>
    </xdr:from>
    <xdr:to>
      <xdr:col>14</xdr:col>
      <xdr:colOff>414087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2B7A5DA3-FE36-44C0-908F-C120CE42129F}"/>
            </a:ext>
          </a:extLst>
        </xdr:cNvPr>
        <xdr:cNvSpPr/>
      </xdr:nvSpPr>
      <xdr:spPr>
        <a:xfrm>
          <a:off x="24140746" y="0"/>
          <a:ext cx="144601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625723</xdr:colOff>
      <xdr:row>2</xdr:row>
      <xdr:rowOff>384583</xdr:rowOff>
    </xdr:from>
    <xdr:to>
      <xdr:col>14</xdr:col>
      <xdr:colOff>500884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2245D329-2E81-47F0-9CDD-CB986B9940F3}"/>
            </a:ext>
          </a:extLst>
        </xdr:cNvPr>
        <xdr:cNvSpPr txBox="1"/>
      </xdr:nvSpPr>
      <xdr:spPr>
        <a:xfrm rot="10800000" flipH="1" flipV="1">
          <a:off x="24091513" y="750343"/>
          <a:ext cx="158204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1113016</xdr:colOff>
      <xdr:row>0</xdr:row>
      <xdr:rowOff>136274</xdr:rowOff>
    </xdr:from>
    <xdr:to>
      <xdr:col>13</xdr:col>
      <xdr:colOff>1690524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2F1133F-6310-4B18-82BB-CD9EEC712E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7880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17</xdr:col>
      <xdr:colOff>253428</xdr:colOff>
      <xdr:row>0</xdr:row>
      <xdr:rowOff>0</xdr:rowOff>
    </xdr:from>
    <xdr:to>
      <xdr:col>19</xdr:col>
      <xdr:colOff>632397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99439B75-78B4-4010-A988-663A8FD5037F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BD26C1A7-6EB8-4769-A077-B8E21DB498F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B17D1B80-FBF3-42C5-94F1-14FDD0EFD1C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C361DA8-FCCA-452E-A17F-9061C6B0DC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880239</xdr:colOff>
      <xdr:row>0</xdr:row>
      <xdr:rowOff>0</xdr:rowOff>
    </xdr:from>
    <xdr:to>
      <xdr:col>21</xdr:col>
      <xdr:colOff>2478408</xdr:colOff>
      <xdr:row>3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352797A2-96FB-4C2B-A935-856C8EEE2A8C}"/>
            </a:ext>
          </a:extLst>
        </xdr:cNvPr>
        <xdr:cNvGrpSpPr/>
      </xdr:nvGrpSpPr>
      <xdr:grpSpPr>
        <a:xfrm>
          <a:off x="31341189" y="0"/>
          <a:ext cx="1598169" cy="1162050"/>
          <a:chOff x="12260227" y="0"/>
          <a:chExt cx="1118316" cy="770164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FF002289-51EE-4CF4-AABC-1880189BC1C1}"/>
              </a:ext>
            </a:extLst>
          </xdr:cNvPr>
          <xdr:cNvSpPr/>
        </xdr:nvSpPr>
        <xdr:spPr>
          <a:xfrm>
            <a:off x="12294861" y="0"/>
            <a:ext cx="1022620" cy="770164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035AE527-2638-4328-BFEE-18E3BC8484AE}"/>
              </a:ext>
            </a:extLst>
          </xdr:cNvPr>
          <xdr:cNvSpPr txBox="1"/>
        </xdr:nvSpPr>
        <xdr:spPr>
          <a:xfrm rot="10800000" flipH="1" flipV="1">
            <a:off x="12260227" y="507401"/>
            <a:ext cx="1118316" cy="25072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  <xdr:pic>
        <xdr:nvPicPr>
          <xdr:cNvPr id="42" name="Imagem 41" descr="Ícone do banco de dados (símbolo png) preto">
            <a:extLst>
              <a:ext uri="{FF2B5EF4-FFF2-40B4-BE49-F238E27FC236}">
                <a16:creationId xmlns:a16="http://schemas.microsoft.com/office/drawing/2014/main" id="{35200E4C-D202-4785-877B-1DE54C79875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>
            <a:extLst>
              <a:ext uri="{BEBA8EAE-BF5A-486C-A8C5-ECC9F3942E4B}">
                <a14:imgProps xmlns:a14="http://schemas.microsoft.com/office/drawing/2010/main">
                  <a14:imgLayer r:embed="rId2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583290" y="70089"/>
            <a:ext cx="434714" cy="4210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1996770</xdr:colOff>
      <xdr:row>2</xdr:row>
      <xdr:rowOff>133894</xdr:rowOff>
    </xdr:from>
    <xdr:to>
      <xdr:col>4</xdr:col>
      <xdr:colOff>3113105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73C7BB3F-2D4B-4A54-B98C-83885CDC50B5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4</xdr:col>
      <xdr:colOff>2333595</xdr:colOff>
      <xdr:row>0</xdr:row>
      <xdr:rowOff>91651</xdr:rowOff>
    </xdr:from>
    <xdr:to>
      <xdr:col>4</xdr:col>
      <xdr:colOff>2750831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FB21C82-4F2B-47C0-9052-33C5B32EAD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13</xdr:col>
      <xdr:colOff>1390650</xdr:colOff>
      <xdr:row>3</xdr:row>
      <xdr:rowOff>247650</xdr:rowOff>
    </xdr:from>
    <xdr:to>
      <xdr:col>14</xdr:col>
      <xdr:colOff>133350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BF003011-BF2C-4911-99FD-10D086267F4E}"/>
            </a:ext>
          </a:extLst>
        </xdr:cNvPr>
        <xdr:cNvSpPr/>
      </xdr:nvSpPr>
      <xdr:spPr>
        <a:xfrm>
          <a:off x="2520696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3</xdr:col>
      <xdr:colOff>438150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D3F7C3C8-490E-462C-A138-982214F78AB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4</xdr:col>
      <xdr:colOff>1225992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2F597CF1-EDBD-4F1E-A524-821AF14FC38D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792600</xdr:colOff>
      <xdr:row>3</xdr:row>
      <xdr:rowOff>182100</xdr:rowOff>
    </xdr:from>
    <xdr:to>
      <xdr:col>8</xdr:col>
      <xdr:colOff>190500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B47A410-3D0A-4CE5-8DB7-33C5A97A04B5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33880" y="1325100"/>
          <a:ext cx="340602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4</xdr:col>
      <xdr:colOff>3390900</xdr:colOff>
      <xdr:row>3</xdr:row>
      <xdr:rowOff>182100</xdr:rowOff>
    </xdr:from>
    <xdr:to>
      <xdr:col>5</xdr:col>
      <xdr:colOff>1836300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3E86A52C-80DF-4D8E-8C7F-98826CC76C2E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58F679CA-9AD9-453D-87A8-711512B53C4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9603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3</xdr:col>
      <xdr:colOff>571500</xdr:colOff>
      <xdr:row>0</xdr:row>
      <xdr:rowOff>0</xdr:rowOff>
    </xdr:from>
    <xdr:to>
      <xdr:col>4</xdr:col>
      <xdr:colOff>1421880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14BECF93-7C09-4009-B3BA-85E85622C19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505DB92E-B768-4E99-B22F-167E22C3040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B83B7C6-11A7-4AD7-A1F4-6665695993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D9BC12EC-E751-4049-8DDC-DECE1163A48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3527074</xdr:colOff>
      <xdr:row>0</xdr:row>
      <xdr:rowOff>0</xdr:rowOff>
    </xdr:from>
    <xdr:to>
      <xdr:col>5</xdr:col>
      <xdr:colOff>29000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FFE27B25-81D8-4899-B652-3766BBA1AC41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3460423</xdr:colOff>
      <xdr:row>2</xdr:row>
      <xdr:rowOff>384583</xdr:rowOff>
    </xdr:from>
    <xdr:to>
      <xdr:col>5</xdr:col>
      <xdr:colOff>98500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6CCFEB8D-9625-432D-97A8-96C34FEE60E5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3957025</xdr:colOff>
      <xdr:row>0</xdr:row>
      <xdr:rowOff>126203</xdr:rowOff>
    </xdr:from>
    <xdr:to>
      <xdr:col>4</xdr:col>
      <xdr:colOff>4552049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1A6AD49-A42A-4D41-8649-F8B93E7F8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2137043</xdr:colOff>
      <xdr:row>0</xdr:row>
      <xdr:rowOff>0</xdr:rowOff>
    </xdr:from>
    <xdr:to>
      <xdr:col>6</xdr:col>
      <xdr:colOff>877710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90C03674-BFB1-4ED2-9F6A-FC5FDF54E5DA}"/>
            </a:ext>
          </a:extLst>
        </xdr:cNvPr>
        <xdr:cNvGrpSpPr/>
      </xdr:nvGrpSpPr>
      <xdr:grpSpPr>
        <a:xfrm>
          <a:off x="9528443" y="0"/>
          <a:ext cx="159816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2AAF0DE0-F166-42F8-830F-A6FA3EDBF6F9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EA65F465-DEF0-4C00-8110-F47A417120E5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49CD91B-E65B-4713-995A-C0CC324831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1125554</xdr:colOff>
      <xdr:row>0</xdr:row>
      <xdr:rowOff>0</xdr:rowOff>
    </xdr:from>
    <xdr:to>
      <xdr:col>8</xdr:col>
      <xdr:colOff>506848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670EFC5-AE1D-4469-9437-7230ABCD170D}"/>
            </a:ext>
          </a:extLst>
        </xdr:cNvPr>
        <xdr:cNvGrpSpPr/>
      </xdr:nvGrpSpPr>
      <xdr:grpSpPr>
        <a:xfrm>
          <a:off x="13165154" y="0"/>
          <a:ext cx="159109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21963D6E-AA69-48CF-B0A1-48CC9E1461C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1885FA6E-972D-4DB0-96CD-1A421AE8CF47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9278226-39B5-42B6-B476-D7AED02452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983291</xdr:colOff>
      <xdr:row>0</xdr:row>
      <xdr:rowOff>0</xdr:rowOff>
    </xdr:from>
    <xdr:to>
      <xdr:col>10</xdr:col>
      <xdr:colOff>766377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074053C-88AD-4E17-83DC-3AF42B8C08DC}"/>
            </a:ext>
          </a:extLst>
        </xdr:cNvPr>
        <xdr:cNvGrpSpPr/>
      </xdr:nvGrpSpPr>
      <xdr:grpSpPr>
        <a:xfrm>
          <a:off x="16794791" y="0"/>
          <a:ext cx="161188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9C3B86A8-7BA6-4880-936D-047499D7605C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A4F48CD0-31E5-4C68-8A9B-A457172AFA0A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8DC9249-0B43-478E-9CF2-3E09282AE5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644441</xdr:colOff>
      <xdr:row>0</xdr:row>
      <xdr:rowOff>0</xdr:rowOff>
    </xdr:from>
    <xdr:to>
      <xdr:col>11</xdr:col>
      <xdr:colOff>2100677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6CE737BA-60FD-46A6-822F-D8891FBF95D8}"/>
            </a:ext>
          </a:extLst>
        </xdr:cNvPr>
        <xdr:cNvSpPr/>
      </xdr:nvSpPr>
      <xdr:spPr>
        <a:xfrm>
          <a:off x="2050597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595120</xdr:colOff>
      <xdr:row>2</xdr:row>
      <xdr:rowOff>384583</xdr:rowOff>
    </xdr:from>
    <xdr:to>
      <xdr:col>11</xdr:col>
      <xdr:colOff>2187630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A131F3F9-79C7-4D62-A06D-8E55DCE085C8}"/>
            </a:ext>
          </a:extLst>
        </xdr:cNvPr>
        <xdr:cNvSpPr txBox="1"/>
      </xdr:nvSpPr>
      <xdr:spPr>
        <a:xfrm rot="10800000" flipH="1" flipV="1">
          <a:off x="20456650" y="750343"/>
          <a:ext cx="158489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11</xdr:col>
      <xdr:colOff>1075666</xdr:colOff>
      <xdr:row>0</xdr:row>
      <xdr:rowOff>136274</xdr:rowOff>
    </xdr:from>
    <xdr:to>
      <xdr:col>11</xdr:col>
      <xdr:colOff>1661829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C2A38EA-B108-477E-A01F-8BF05B101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719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13</xdr:col>
      <xdr:colOff>313006</xdr:colOff>
      <xdr:row>0</xdr:row>
      <xdr:rowOff>0</xdr:rowOff>
    </xdr:from>
    <xdr:to>
      <xdr:col>14</xdr:col>
      <xdr:colOff>52137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1A3AD7A0-3D1D-4E47-A352-EFADA3483B0C}"/>
            </a:ext>
          </a:extLst>
        </xdr:cNvPr>
        <xdr:cNvSpPr/>
      </xdr:nvSpPr>
      <xdr:spPr>
        <a:xfrm>
          <a:off x="2412169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263773</xdr:colOff>
      <xdr:row>2</xdr:row>
      <xdr:rowOff>384583</xdr:rowOff>
    </xdr:from>
    <xdr:to>
      <xdr:col>14</xdr:col>
      <xdr:colOff>138934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85567988-4ED8-4DBD-B172-211DDF5E39C8}"/>
            </a:ext>
          </a:extLst>
        </xdr:cNvPr>
        <xdr:cNvSpPr txBox="1"/>
      </xdr:nvSpPr>
      <xdr:spPr>
        <a:xfrm rot="10800000" flipH="1" flipV="1">
          <a:off x="2407246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13</xdr:col>
      <xdr:colOff>751066</xdr:colOff>
      <xdr:row>0</xdr:row>
      <xdr:rowOff>136274</xdr:rowOff>
    </xdr:from>
    <xdr:to>
      <xdr:col>13</xdr:col>
      <xdr:colOff>1328574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F48ABA-335D-4110-B69B-34749E8ED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975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16</xdr:col>
      <xdr:colOff>501078</xdr:colOff>
      <xdr:row>0</xdr:row>
      <xdr:rowOff>0</xdr:rowOff>
    </xdr:from>
    <xdr:to>
      <xdr:col>19</xdr:col>
      <xdr:colOff>270447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E86B25C2-4BEA-45BF-A0F6-FFEA4F41C446}"/>
            </a:ext>
          </a:extLst>
        </xdr:cNvPr>
        <xdr:cNvGrpSpPr/>
      </xdr:nvGrpSpPr>
      <xdr:grpSpPr>
        <a:xfrm>
          <a:off x="27704478" y="0"/>
          <a:ext cx="159816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1D295160-6B32-4922-A3B0-3A0EA3E12DB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EFB990BC-471C-4951-8A3D-E56C90456DD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7A370933-96C0-46F5-9134-D4B0120861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21</xdr:col>
      <xdr:colOff>567784</xdr:colOff>
      <xdr:row>0</xdr:row>
      <xdr:rowOff>0</xdr:rowOff>
    </xdr:from>
    <xdr:to>
      <xdr:col>21</xdr:col>
      <xdr:colOff>2029195</xdr:colOff>
      <xdr:row>3</xdr:row>
      <xdr:rowOff>0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34BF99EF-16C0-4BE5-A32F-D30B4246FEEB}"/>
            </a:ext>
          </a:extLst>
        </xdr:cNvPr>
        <xdr:cNvSpPr/>
      </xdr:nvSpPr>
      <xdr:spPr>
        <a:xfrm>
          <a:off x="31390684" y="0"/>
          <a:ext cx="1461411" cy="116205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21</xdr:col>
      <xdr:colOff>518289</xdr:colOff>
      <xdr:row>2</xdr:row>
      <xdr:rowOff>384584</xdr:rowOff>
    </xdr:from>
    <xdr:to>
      <xdr:col>21</xdr:col>
      <xdr:colOff>2116458</xdr:colOff>
      <xdr:row>2</xdr:row>
      <xdr:rowOff>762891</xdr:rowOff>
    </xdr:to>
    <xdr:sp macro="" textlink="">
      <xdr:nvSpPr>
        <xdr:cNvPr id="41" name="CaixaDeTexto 40">
          <a:extLst>
            <a:ext uri="{FF2B5EF4-FFF2-40B4-BE49-F238E27FC236}">
              <a16:creationId xmlns:a16="http://schemas.microsoft.com/office/drawing/2014/main" id="{FB2D9C36-EAC8-4495-ADB6-B52AC3CFDF03}"/>
            </a:ext>
          </a:extLst>
        </xdr:cNvPr>
        <xdr:cNvSpPr txBox="1"/>
      </xdr:nvSpPr>
      <xdr:spPr>
        <a:xfrm rot="10800000" flipH="1" flipV="1">
          <a:off x="31341189" y="76558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21</xdr:col>
      <xdr:colOff>979974</xdr:colOff>
      <xdr:row>0</xdr:row>
      <xdr:rowOff>105753</xdr:rowOff>
    </xdr:from>
    <xdr:to>
      <xdr:col>21</xdr:col>
      <xdr:colOff>1601217</xdr:colOff>
      <xdr:row>2</xdr:row>
      <xdr:rowOff>360046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F4C38DBF-F69A-40F2-AB95-DEBCEB7EC1B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352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2D80EF9B-E434-46F1-B75D-9C4CCCA019E1}"/>
            </a:ext>
          </a:extLst>
        </xdr:cNvPr>
        <xdr:cNvSpPr txBox="1"/>
      </xdr:nvSpPr>
      <xdr:spPr>
        <a:xfrm rot="10800000" flipH="1" flipV="1">
          <a:off x="443517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A3E09A3-3239-4000-B321-27A719AE8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199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11</xdr:col>
      <xdr:colOff>1794510</xdr:colOff>
      <xdr:row>3</xdr:row>
      <xdr:rowOff>247650</xdr:rowOff>
    </xdr:from>
    <xdr:to>
      <xdr:col>11</xdr:col>
      <xdr:colOff>2251710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34FA4CED-BED9-4B86-B510-9C2B55B3E03A}"/>
            </a:ext>
          </a:extLst>
        </xdr:cNvPr>
        <xdr:cNvSpPr/>
      </xdr:nvSpPr>
      <xdr:spPr>
        <a:xfrm>
          <a:off x="25195530" y="1390650"/>
          <a:ext cx="46482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27E7ADAD-1763-4F65-A771-F79D394B2AA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6695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5B6D0EC2-81B4-4AF9-A75B-F8168C734303}"/>
            </a:ext>
          </a:extLst>
        </xdr:cNvPr>
        <xdr:cNvSpPr/>
      </xdr:nvSpPr>
      <xdr:spPr>
        <a:xfrm>
          <a:off x="266700" y="1306632"/>
          <a:ext cx="339769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5</xdr:col>
      <xdr:colOff>1676520</xdr:colOff>
      <xdr:row>3</xdr:row>
      <xdr:rowOff>182100</xdr:rowOff>
    </xdr:from>
    <xdr:to>
      <xdr:col>7</xdr:col>
      <xdr:colOff>1104900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2EDD665C-CCA9-42C7-928D-1BBC2F4F7DA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41500" y="1325100"/>
          <a:ext cx="339840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4</xdr:col>
      <xdr:colOff>3116460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C7E303-AD3F-4A83-816E-BE178C801850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29300" y="1325100"/>
          <a:ext cx="340602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>
    <xdr:from>
      <xdr:col>10</xdr:col>
      <xdr:colOff>0</xdr:colOff>
      <xdr:row>31</xdr:row>
      <xdr:rowOff>65315</xdr:rowOff>
    </xdr:from>
    <xdr:to>
      <xdr:col>10</xdr:col>
      <xdr:colOff>0</xdr:colOff>
      <xdr:row>34</xdr:row>
      <xdr:rowOff>78037</xdr:rowOff>
    </xdr:to>
    <xdr:sp macro="" textlink="">
      <xdr:nvSpPr>
        <xdr:cNvPr id="9" name="Retângulo Arredondado 11">
          <a:extLst>
            <a:ext uri="{FF2B5EF4-FFF2-40B4-BE49-F238E27FC236}">
              <a16:creationId xmlns:a16="http://schemas.microsoft.com/office/drawing/2014/main" id="{13F696E4-3464-496A-858E-E044DACD69F8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7655540" y="11121935"/>
          <a:ext cx="0" cy="111000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82AD5F8-F59F-4212-AF1A-8962A208BDEE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00300" y="0"/>
          <a:ext cx="1459980" cy="115824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26AD9B86-4D5D-421E-A725-9A34E240E184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2BEA084-5FA0-406D-9095-6439839025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D273422D-606C-431C-AA21-B7F9C1A8931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2257DD2C-B53F-4BCB-83BB-572DF60B531E}"/>
            </a:ext>
          </a:extLst>
        </xdr:cNvPr>
        <xdr:cNvSpPr/>
      </xdr:nvSpPr>
      <xdr:spPr>
        <a:xfrm>
          <a:off x="5965474" y="0"/>
          <a:ext cx="146254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71F12AA-76C3-4439-BC57-B9D95A8CC50F}"/>
            </a:ext>
          </a:extLst>
        </xdr:cNvPr>
        <xdr:cNvSpPr txBox="1"/>
      </xdr:nvSpPr>
      <xdr:spPr>
        <a:xfrm rot="10800000" flipH="1" flipV="1">
          <a:off x="5898823" y="750343"/>
          <a:ext cx="159869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A8D3F6A-1048-4BEC-98F7-C014B01FF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542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155843</xdr:colOff>
      <xdr:row>0</xdr:row>
      <xdr:rowOff>0</xdr:rowOff>
    </xdr:from>
    <xdr:to>
      <xdr:col>5</xdr:col>
      <xdr:colOff>1761630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F7CF2986-CB54-47CA-AD2F-D4E75EC6A048}"/>
            </a:ext>
          </a:extLst>
        </xdr:cNvPr>
        <xdr:cNvGrpSpPr/>
      </xdr:nvGrpSpPr>
      <xdr:grpSpPr>
        <a:xfrm>
          <a:off x="9543683" y="0"/>
          <a:ext cx="1605787" cy="115824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6F764039-0A6B-42C7-8162-CAF5E021BAA7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811DEB74-C27A-4764-A5AB-779D5F083BE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E96DF1-FC06-4F71-8F39-0B5F25918B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1613234</xdr:colOff>
      <xdr:row>0</xdr:row>
      <xdr:rowOff>0</xdr:rowOff>
    </xdr:from>
    <xdr:to>
      <xdr:col>7</xdr:col>
      <xdr:colOff>1421248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98F5C8EC-65D9-4615-87E5-45104BB2FF52}"/>
            </a:ext>
          </a:extLst>
        </xdr:cNvPr>
        <xdr:cNvGrpSpPr/>
      </xdr:nvGrpSpPr>
      <xdr:grpSpPr>
        <a:xfrm>
          <a:off x="13195634" y="0"/>
          <a:ext cx="1606334" cy="115824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80658977-D034-46EF-BB96-04E42085B09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ACB6CB8-4AD5-4238-B4CC-876D97FE1C3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1E4F459-4DF3-458F-8CAF-015D4A54F9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129851</xdr:colOff>
      <xdr:row>0</xdr:row>
      <xdr:rowOff>0</xdr:rowOff>
    </xdr:from>
    <xdr:to>
      <xdr:col>9</xdr:col>
      <xdr:colOff>4377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7CE1A0E9-7C95-4EE0-A597-C68BEE870521}"/>
            </a:ext>
          </a:extLst>
        </xdr:cNvPr>
        <xdr:cNvGrpSpPr/>
      </xdr:nvGrpSpPr>
      <xdr:grpSpPr>
        <a:xfrm>
          <a:off x="16863371" y="0"/>
          <a:ext cx="1611886" cy="115824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56EAE028-6B35-4B0F-A931-4209EBE336C1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D5D9943-0608-4481-91EA-273CEA8BCE9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60C86D6-8E3F-4EA6-A449-C7721DCA9C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629201</xdr:colOff>
      <xdr:row>0</xdr:row>
      <xdr:rowOff>0</xdr:rowOff>
    </xdr:from>
    <xdr:to>
      <xdr:col>10</xdr:col>
      <xdr:colOff>2093057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C2858333-36EF-4DEE-97E8-85937A0C8D17}"/>
            </a:ext>
          </a:extLst>
        </xdr:cNvPr>
        <xdr:cNvSpPr/>
      </xdr:nvSpPr>
      <xdr:spPr>
        <a:xfrm>
          <a:off x="20502161" y="0"/>
          <a:ext cx="145623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579880</xdr:colOff>
      <xdr:row>2</xdr:row>
      <xdr:rowOff>384583</xdr:rowOff>
    </xdr:from>
    <xdr:to>
      <xdr:col>10</xdr:col>
      <xdr:colOff>2180010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C7EA48A4-E94E-47FF-8EC5-DD95ABE74178}"/>
            </a:ext>
          </a:extLst>
        </xdr:cNvPr>
        <xdr:cNvSpPr txBox="1"/>
      </xdr:nvSpPr>
      <xdr:spPr>
        <a:xfrm rot="10800000" flipH="1" flipV="1">
          <a:off x="20452840" y="750343"/>
          <a:ext cx="159251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10</xdr:col>
      <xdr:colOff>1060426</xdr:colOff>
      <xdr:row>0</xdr:row>
      <xdr:rowOff>136274</xdr:rowOff>
    </xdr:from>
    <xdr:to>
      <xdr:col>10</xdr:col>
      <xdr:colOff>1654209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DE84D6-7F3A-4135-B7D1-91409E226D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0933386" y="136274"/>
          <a:ext cx="586163" cy="583748"/>
        </a:xfrm>
        <a:prstGeom prst="rect">
          <a:avLst/>
        </a:prstGeom>
      </xdr:spPr>
    </xdr:pic>
    <xdr:clientData/>
  </xdr:twoCellAnchor>
  <xdr:twoCellAnchor editAs="absolute">
    <xdr:from>
      <xdr:col>11</xdr:col>
      <xdr:colOff>716866</xdr:colOff>
      <xdr:row>0</xdr:row>
      <xdr:rowOff>0</xdr:rowOff>
    </xdr:from>
    <xdr:to>
      <xdr:col>11</xdr:col>
      <xdr:colOff>2170497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8B8B60A5-D72D-4FC9-84CA-F534CA7B7939}"/>
            </a:ext>
          </a:extLst>
        </xdr:cNvPr>
        <xdr:cNvSpPr/>
      </xdr:nvSpPr>
      <xdr:spPr>
        <a:xfrm>
          <a:off x="24117886" y="0"/>
          <a:ext cx="146125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667633</xdr:colOff>
      <xdr:row>2</xdr:row>
      <xdr:rowOff>384583</xdr:rowOff>
    </xdr:from>
    <xdr:to>
      <xdr:col>11</xdr:col>
      <xdr:colOff>2257294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AF5145C6-D0B0-4DA9-9829-21B33E6922EB}"/>
            </a:ext>
          </a:extLst>
        </xdr:cNvPr>
        <xdr:cNvSpPr txBox="1"/>
      </xdr:nvSpPr>
      <xdr:spPr>
        <a:xfrm rot="10800000" flipH="1" flipV="1">
          <a:off x="24068653" y="750343"/>
          <a:ext cx="159728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1154926</xdr:colOff>
      <xdr:row>0</xdr:row>
      <xdr:rowOff>136274</xdr:rowOff>
    </xdr:from>
    <xdr:to>
      <xdr:col>11</xdr:col>
      <xdr:colOff>1732434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411347-3E54-4FE4-B613-BBE2BD498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55594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1933638</xdr:colOff>
      <xdr:row>0</xdr:row>
      <xdr:rowOff>0</xdr:rowOff>
    </xdr:from>
    <xdr:to>
      <xdr:col>13</xdr:col>
      <xdr:colOff>148527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F45FA45A-019E-4141-B6FD-B5447E2BDA41}"/>
            </a:ext>
          </a:extLst>
        </xdr:cNvPr>
        <xdr:cNvGrpSpPr/>
      </xdr:nvGrpSpPr>
      <xdr:grpSpPr>
        <a:xfrm>
          <a:off x="27780678" y="0"/>
          <a:ext cx="1598169" cy="115824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16C12769-97A3-46AC-9B4F-E56DC5757AD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810E09BE-A121-466C-9E27-11D2F93B686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1FB10B8-8195-4302-85BE-9B56E17CFF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316324</xdr:colOff>
      <xdr:row>0</xdr:row>
      <xdr:rowOff>0</xdr:rowOff>
    </xdr:from>
    <xdr:to>
      <xdr:col>15</xdr:col>
      <xdr:colOff>619495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8935F22-5B2D-4D7E-88B0-4E6BD9BFB61F}"/>
            </a:ext>
          </a:extLst>
        </xdr:cNvPr>
        <xdr:cNvSpPr/>
      </xdr:nvSpPr>
      <xdr:spPr>
        <a:xfrm>
          <a:off x="31390684" y="0"/>
          <a:ext cx="146141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266829</xdr:colOff>
      <xdr:row>2</xdr:row>
      <xdr:rowOff>384584</xdr:rowOff>
    </xdr:from>
    <xdr:to>
      <xdr:col>15</xdr:col>
      <xdr:colOff>706758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38BCE261-56E4-47B8-8D41-0329D4BBD2D6}"/>
            </a:ext>
          </a:extLst>
        </xdr:cNvPr>
        <xdr:cNvSpPr txBox="1"/>
      </xdr:nvSpPr>
      <xdr:spPr>
        <a:xfrm rot="10800000" flipH="1" flipV="1">
          <a:off x="31341189" y="750344"/>
          <a:ext cx="159816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14</xdr:col>
      <xdr:colOff>728514</xdr:colOff>
      <xdr:row>0</xdr:row>
      <xdr:rowOff>105753</xdr:rowOff>
    </xdr:from>
    <xdr:to>
      <xdr:col>15</xdr:col>
      <xdr:colOff>191517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9F480987-EA78-4AA5-BB8E-49D33BAC03A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02874" y="105753"/>
          <a:ext cx="62124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381330</xdr:colOff>
      <xdr:row>2</xdr:row>
      <xdr:rowOff>133894</xdr:rowOff>
    </xdr:from>
    <xdr:to>
      <xdr:col>3</xdr:col>
      <xdr:colOff>1497665</xdr:colOff>
      <xdr:row>2</xdr:row>
      <xdr:rowOff>388325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56BD331-1EFA-418B-BD4F-44D273599E94}"/>
            </a:ext>
          </a:extLst>
        </xdr:cNvPr>
        <xdr:cNvSpPr txBox="1"/>
      </xdr:nvSpPr>
      <xdr:spPr>
        <a:xfrm rot="10800000" flipH="1" flipV="1">
          <a:off x="4450410" y="49965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3</xdr:col>
      <xdr:colOff>718155</xdr:colOff>
      <xdr:row>0</xdr:row>
      <xdr:rowOff>91651</xdr:rowOff>
    </xdr:from>
    <xdr:to>
      <xdr:col>3</xdr:col>
      <xdr:colOff>1135391</xdr:colOff>
      <xdr:row>2</xdr:row>
      <xdr:rowOff>113501</xdr:rowOff>
    </xdr:to>
    <xdr:pic>
      <xdr:nvPicPr>
        <xdr:cNvPr id="3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66DD357-A4E0-4C77-A4D6-C27A66053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7235" y="91651"/>
          <a:ext cx="417236" cy="387610"/>
        </a:xfrm>
        <a:prstGeom prst="rect">
          <a:avLst/>
        </a:prstGeom>
      </xdr:spPr>
    </xdr:pic>
    <xdr:clientData/>
  </xdr:twoCellAnchor>
  <xdr:twoCellAnchor editAs="absolute">
    <xdr:from>
      <xdr:col>11</xdr:col>
      <xdr:colOff>746760</xdr:colOff>
      <xdr:row>3</xdr:row>
      <xdr:rowOff>247650</xdr:rowOff>
    </xdr:from>
    <xdr:to>
      <xdr:col>11</xdr:col>
      <xdr:colOff>1203960</xdr:colOff>
      <xdr:row>4</xdr:row>
      <xdr:rowOff>125186</xdr:rowOff>
    </xdr:to>
    <xdr:sp macro="[0]!BotaoComLogin" textlink="">
      <xdr:nvSpPr>
        <xdr:cNvPr id="4" name="Círculo: Vazio 3">
          <a:extLst>
            <a:ext uri="{FF2B5EF4-FFF2-40B4-BE49-F238E27FC236}">
              <a16:creationId xmlns:a16="http://schemas.microsoft.com/office/drawing/2014/main" id="{7C4A4AA0-27D3-4281-A3FC-89EF48C3BF7B}"/>
            </a:ext>
          </a:extLst>
        </xdr:cNvPr>
        <xdr:cNvSpPr/>
      </xdr:nvSpPr>
      <xdr:spPr>
        <a:xfrm>
          <a:off x="25317450" y="1390650"/>
          <a:ext cx="457200" cy="464276"/>
        </a:xfrm>
        <a:prstGeom prst="donu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19050</xdr:rowOff>
    </xdr:from>
    <xdr:to>
      <xdr:col>2</xdr:col>
      <xdr:colOff>681990</xdr:colOff>
      <xdr:row>3</xdr:row>
      <xdr:rowOff>7747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FBAB212F-0980-42A0-930A-C70A68D608C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9252" t="39637" r="14079" b="25703"/>
        <a:stretch/>
      </xdr:blipFill>
      <xdr:spPr>
        <a:xfrm>
          <a:off x="0" y="19050"/>
          <a:ext cx="2274570" cy="1131697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266700</xdr:colOff>
      <xdr:row>3</xdr:row>
      <xdr:rowOff>163632</xdr:rowOff>
    </xdr:from>
    <xdr:to>
      <xdr:col>2</xdr:col>
      <xdr:colOff>2079432</xdr:colOff>
      <xdr:row>5</xdr:row>
      <xdr:rowOff>152399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F371B989-9B66-42AE-BEEA-F29723EE3AFA}"/>
            </a:ext>
          </a:extLst>
        </xdr:cNvPr>
        <xdr:cNvSpPr/>
      </xdr:nvSpPr>
      <xdr:spPr>
        <a:xfrm>
          <a:off x="266700" y="1306632"/>
          <a:ext cx="3405312" cy="758387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6</xdr:col>
      <xdr:colOff>381120</xdr:colOff>
      <xdr:row>3</xdr:row>
      <xdr:rowOff>182100</xdr:rowOff>
    </xdr:from>
    <xdr:to>
      <xdr:col>7</xdr:col>
      <xdr:colOff>1485900</xdr:colOff>
      <xdr:row>5</xdr:row>
      <xdr:rowOff>171450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9E4085F1-78E9-49C2-A9F4-FFA379EEEA77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11094840" y="1325100"/>
          <a:ext cx="3413640" cy="75897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BD MONETÁRIO</a:t>
          </a:r>
        </a:p>
      </xdr:txBody>
    </xdr:sp>
    <xdr:clientData/>
  </xdr:twoCellAnchor>
  <xdr:twoCellAnchor editAs="absolute">
    <xdr:from>
      <xdr:col>3</xdr:col>
      <xdr:colOff>1775460</xdr:colOff>
      <xdr:row>3</xdr:row>
      <xdr:rowOff>182100</xdr:rowOff>
    </xdr:from>
    <xdr:to>
      <xdr:col>5</xdr:col>
      <xdr:colOff>1668660</xdr:colOff>
      <xdr:row>5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E3F100E9-AF45-4E06-BD7A-AFD11E68D38A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5844540" y="1325100"/>
          <a:ext cx="3421260" cy="75897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20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BD CADASTROS</a:t>
          </a:r>
        </a:p>
      </xdr:txBody>
    </xdr:sp>
    <xdr:clientData/>
  </xdr:twoCellAnchor>
  <xdr:twoCellAnchor editAs="absolute">
    <xdr:from>
      <xdr:col>2</xdr:col>
      <xdr:colOff>815340</xdr:colOff>
      <xdr:row>0</xdr:row>
      <xdr:rowOff>0</xdr:rowOff>
    </xdr:from>
    <xdr:to>
      <xdr:col>2</xdr:col>
      <xdr:colOff>2275320</xdr:colOff>
      <xdr:row>3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7C6A949E-7B38-47DE-A91F-CEA9BA0BD173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2415540" y="0"/>
          <a:ext cx="1459980" cy="1162050"/>
          <a:chOff x="1993654" y="0"/>
          <a:chExt cx="1022595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E40B51D0-868E-4507-9CAE-E93AFEDAF80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2" name="Imagem 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1DF1B78-AD72-4265-A920-2F0A94CB9E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93A867CF-915D-4ABA-AEFC-D008DF8E4EA6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1911634</xdr:colOff>
      <xdr:row>0</xdr:row>
      <xdr:rowOff>0</xdr:rowOff>
    </xdr:from>
    <xdr:to>
      <xdr:col>4</xdr:col>
      <xdr:colOff>1309160</xdr:colOff>
      <xdr:row>3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9F1B2D2D-E072-4EF8-B617-B9755CB2D855}"/>
            </a:ext>
          </a:extLst>
        </xdr:cNvPr>
        <xdr:cNvSpPr/>
      </xdr:nvSpPr>
      <xdr:spPr>
        <a:xfrm>
          <a:off x="5980714" y="0"/>
          <a:ext cx="147778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1844983</xdr:colOff>
      <xdr:row>2</xdr:row>
      <xdr:rowOff>384583</xdr:rowOff>
    </xdr:from>
    <xdr:to>
      <xdr:col>4</xdr:col>
      <xdr:colOff>1378660</xdr:colOff>
      <xdr:row>2</xdr:row>
      <xdr:rowOff>762890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903E6059-7D25-48D9-ADF7-5D59416ED970}"/>
            </a:ext>
          </a:extLst>
        </xdr:cNvPr>
        <xdr:cNvSpPr txBox="1"/>
      </xdr:nvSpPr>
      <xdr:spPr>
        <a:xfrm rot="10800000" flipH="1" flipV="1">
          <a:off x="5914063" y="750343"/>
          <a:ext cx="1613937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 editAs="absolute">
    <xdr:from>
      <xdr:col>4</xdr:col>
      <xdr:colOff>268945</xdr:colOff>
      <xdr:row>0</xdr:row>
      <xdr:rowOff>126203</xdr:rowOff>
    </xdr:from>
    <xdr:to>
      <xdr:col>4</xdr:col>
      <xdr:colOff>863969</xdr:colOff>
      <xdr:row>2</xdr:row>
      <xdr:rowOff>364332</xdr:rowOff>
    </xdr:to>
    <xdr:pic>
      <xdr:nvPicPr>
        <xdr:cNvPr id="16" name="Imagem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FD93C86-5905-4F34-94B2-6FF8C0B5C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8285" y="126203"/>
          <a:ext cx="595024" cy="603889"/>
        </a:xfrm>
        <a:prstGeom prst="rect">
          <a:avLst/>
        </a:prstGeom>
        <a:noFill/>
      </xdr:spPr>
    </xdr:pic>
    <xdr:clientData/>
  </xdr:twoCellAnchor>
  <xdr:twoCellAnchor editAs="absolute">
    <xdr:from>
      <xdr:col>5</xdr:col>
      <xdr:colOff>1984643</xdr:colOff>
      <xdr:row>0</xdr:row>
      <xdr:rowOff>0</xdr:rowOff>
    </xdr:from>
    <xdr:to>
      <xdr:col>6</xdr:col>
      <xdr:colOff>466230</xdr:colOff>
      <xdr:row>3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10A69682-5A17-4DDC-B1ED-08B2A1CD7D16}"/>
            </a:ext>
          </a:extLst>
        </xdr:cNvPr>
        <xdr:cNvGrpSpPr/>
      </xdr:nvGrpSpPr>
      <xdr:grpSpPr>
        <a:xfrm>
          <a:off x="9585593" y="0"/>
          <a:ext cx="1605787" cy="1162050"/>
          <a:chOff x="4450172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7798FB27-BA09-4C7E-A61C-61E72744306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F0F65DE-BAF9-4D89-8FCD-5C72A87196CE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20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ED665BE3-08E4-4B9F-A53B-255FF7F6EC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BEBA8EAE-BF5A-486C-A8C5-ECC9F3942E4B}">
                <a14:imgProps xmlns:a14="http://schemas.microsoft.com/office/drawing/2010/main">
                  <a14:imgLayer r:embed="rId1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203534</xdr:colOff>
      <xdr:row>0</xdr:row>
      <xdr:rowOff>0</xdr:rowOff>
    </xdr:from>
    <xdr:to>
      <xdr:col>7</xdr:col>
      <xdr:colOff>1802248</xdr:colOff>
      <xdr:row>3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C0E3149A-A117-44A4-8B9D-32F2058096A2}"/>
            </a:ext>
          </a:extLst>
        </xdr:cNvPr>
        <xdr:cNvGrpSpPr/>
      </xdr:nvGrpSpPr>
      <xdr:grpSpPr>
        <a:xfrm>
          <a:off x="13252784" y="0"/>
          <a:ext cx="1598714" cy="1162050"/>
          <a:chOff x="5781229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38BF4DBF-43CC-40F4-8114-84D643FA82ED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662FB686-8368-4296-8582-58C7384DFF92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4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6905419-9B87-441C-A586-4EDD0551F9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396551</xdr:colOff>
      <xdr:row>0</xdr:row>
      <xdr:rowOff>0</xdr:rowOff>
    </xdr:from>
    <xdr:to>
      <xdr:col>8</xdr:col>
      <xdr:colOff>2023677</xdr:colOff>
      <xdr:row>3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905F250D-E8D1-48E4-B39A-BD6D22555260}"/>
            </a:ext>
          </a:extLst>
        </xdr:cNvPr>
        <xdr:cNvGrpSpPr/>
      </xdr:nvGrpSpPr>
      <xdr:grpSpPr>
        <a:xfrm>
          <a:off x="16912901" y="0"/>
          <a:ext cx="1627126" cy="1162050"/>
          <a:chOff x="7112293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4A89563D-40EA-4046-9370-6D2376DD954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E0EFB8C0-366B-4BCD-B46A-A93A6B1FCBE8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42025CA1-8391-4F49-9D7B-01848EFEA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BEBA8EAE-BF5A-486C-A8C5-ECC9F3942E4B}">
                <a14:imgProps xmlns:a14="http://schemas.microsoft.com/office/drawing/2010/main">
                  <a14:imgLayer r:embed="rId1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953051</xdr:colOff>
      <xdr:row>0</xdr:row>
      <xdr:rowOff>0</xdr:rowOff>
    </xdr:from>
    <xdr:to>
      <xdr:col>9</xdr:col>
      <xdr:colOff>2416907</xdr:colOff>
      <xdr:row>3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46DCFAAA-A048-44A3-A0BB-885C39266872}"/>
            </a:ext>
          </a:extLst>
        </xdr:cNvPr>
        <xdr:cNvSpPr/>
      </xdr:nvSpPr>
      <xdr:spPr>
        <a:xfrm>
          <a:off x="20608841" y="0"/>
          <a:ext cx="1463856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903730</xdr:colOff>
      <xdr:row>2</xdr:row>
      <xdr:rowOff>384583</xdr:rowOff>
    </xdr:from>
    <xdr:to>
      <xdr:col>10</xdr:col>
      <xdr:colOff>65460</xdr:colOff>
      <xdr:row>2</xdr:row>
      <xdr:rowOff>762890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3F1A7044-AF45-4A29-B768-D2DF6DB772DF}"/>
            </a:ext>
          </a:extLst>
        </xdr:cNvPr>
        <xdr:cNvSpPr txBox="1"/>
      </xdr:nvSpPr>
      <xdr:spPr>
        <a:xfrm rot="10800000" flipH="1" flipV="1">
          <a:off x="20559520" y="750343"/>
          <a:ext cx="1600130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9</xdr:col>
      <xdr:colOff>1384276</xdr:colOff>
      <xdr:row>0</xdr:row>
      <xdr:rowOff>136274</xdr:rowOff>
    </xdr:from>
    <xdr:to>
      <xdr:col>9</xdr:col>
      <xdr:colOff>1978059</xdr:colOff>
      <xdr:row>2</xdr:row>
      <xdr:rowOff>354262</xdr:rowOff>
    </xdr:to>
    <xdr:pic>
      <xdr:nvPicPr>
        <xdr:cNvPr id="31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154C9E2-D2C7-415B-A345-91DF4EB75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BEBA8EAE-BF5A-486C-A8C5-ECC9F3942E4B}">
              <a14:imgProps xmlns:a14="http://schemas.microsoft.com/office/drawing/2010/main">
                <a14:imgLayer r:embed="rId17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040066" y="136274"/>
          <a:ext cx="593783" cy="583748"/>
        </a:xfrm>
        <a:prstGeom prst="rect">
          <a:avLst/>
        </a:prstGeom>
      </xdr:spPr>
    </xdr:pic>
    <xdr:clientData/>
  </xdr:twoCellAnchor>
  <xdr:twoCellAnchor editAs="absolute">
    <xdr:from>
      <xdr:col>10</xdr:col>
      <xdr:colOff>2145616</xdr:colOff>
      <xdr:row>0</xdr:row>
      <xdr:rowOff>0</xdr:rowOff>
    </xdr:from>
    <xdr:to>
      <xdr:col>11</xdr:col>
      <xdr:colOff>1122747</xdr:colOff>
      <xdr:row>3</xdr:row>
      <xdr:rowOff>0</xdr:rowOff>
    </xdr:to>
    <xdr:sp macro="" textlink="">
      <xdr:nvSpPr>
        <xdr:cNvPr id="32" name="Retângulo 31">
          <a:extLst>
            <a:ext uri="{FF2B5EF4-FFF2-40B4-BE49-F238E27FC236}">
              <a16:creationId xmlns:a16="http://schemas.microsoft.com/office/drawing/2014/main" id="{7F671BAF-7955-426B-93FC-449BAF8DC299}"/>
            </a:ext>
          </a:extLst>
        </xdr:cNvPr>
        <xdr:cNvSpPr/>
      </xdr:nvSpPr>
      <xdr:spPr>
        <a:xfrm>
          <a:off x="24239806" y="0"/>
          <a:ext cx="1453631" cy="11430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2096383</xdr:colOff>
      <xdr:row>2</xdr:row>
      <xdr:rowOff>384583</xdr:rowOff>
    </xdr:from>
    <xdr:to>
      <xdr:col>11</xdr:col>
      <xdr:colOff>1209544</xdr:colOff>
      <xdr:row>2</xdr:row>
      <xdr:rowOff>762890</xdr:rowOff>
    </xdr:to>
    <xdr:sp macro="" textlink="">
      <xdr:nvSpPr>
        <xdr:cNvPr id="33" name="CaixaDeTexto 32">
          <a:extLst>
            <a:ext uri="{FF2B5EF4-FFF2-40B4-BE49-F238E27FC236}">
              <a16:creationId xmlns:a16="http://schemas.microsoft.com/office/drawing/2014/main" id="{8BCDF315-B52A-4AAB-9BDF-87C2B3CDC366}"/>
            </a:ext>
          </a:extLst>
        </xdr:cNvPr>
        <xdr:cNvSpPr txBox="1"/>
      </xdr:nvSpPr>
      <xdr:spPr>
        <a:xfrm rot="10800000" flipH="1" flipV="1">
          <a:off x="24190573" y="750343"/>
          <a:ext cx="1589661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 editAs="absolute">
    <xdr:from>
      <xdr:col>11</xdr:col>
      <xdr:colOff>107176</xdr:colOff>
      <xdr:row>0</xdr:row>
      <xdr:rowOff>136274</xdr:rowOff>
    </xdr:from>
    <xdr:to>
      <xdr:col>11</xdr:col>
      <xdr:colOff>684684</xdr:colOff>
      <xdr:row>2</xdr:row>
      <xdr:rowOff>354260</xdr:rowOff>
    </xdr:to>
    <xdr:pic>
      <xdr:nvPicPr>
        <xdr:cNvPr id="34" name="Imagem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77DF8CC-BBB3-49E2-9E61-EE882AF4B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677866" y="136274"/>
          <a:ext cx="577508" cy="583746"/>
        </a:xfrm>
        <a:prstGeom prst="rect">
          <a:avLst/>
        </a:prstGeom>
        <a:noFill/>
      </xdr:spPr>
    </xdr:pic>
    <xdr:clientData/>
  </xdr:twoCellAnchor>
  <xdr:twoCellAnchor editAs="absolute">
    <xdr:from>
      <xdr:col>12</xdr:col>
      <xdr:colOff>790638</xdr:colOff>
      <xdr:row>0</xdr:row>
      <xdr:rowOff>0</xdr:rowOff>
    </xdr:from>
    <xdr:to>
      <xdr:col>12</xdr:col>
      <xdr:colOff>2396427</xdr:colOff>
      <xdr:row>3</xdr:row>
      <xdr:rowOff>0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C47F532D-3EC0-4665-8C7E-B881AAB0D3AD}"/>
            </a:ext>
          </a:extLst>
        </xdr:cNvPr>
        <xdr:cNvGrpSpPr/>
      </xdr:nvGrpSpPr>
      <xdr:grpSpPr>
        <a:xfrm>
          <a:off x="27860688" y="0"/>
          <a:ext cx="1605789" cy="1162050"/>
          <a:chOff x="11105473" y="0"/>
          <a:chExt cx="1118289" cy="781538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802AC463-C9F6-4B20-AF7F-B766127FF67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7" name="CaixaDeTexto 36">
            <a:extLst>
              <a:ext uri="{FF2B5EF4-FFF2-40B4-BE49-F238E27FC236}">
                <a16:creationId xmlns:a16="http://schemas.microsoft.com/office/drawing/2014/main" id="{0A2C2CA8-176A-4A2F-953E-D19651E4793D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6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8" name="Imagem 1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CD60653-C8DC-4B3C-AC96-F659AF7DD8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BEBA8EAE-BF5A-486C-A8C5-ECC9F3942E4B}">
                <a14:imgProps xmlns:a14="http://schemas.microsoft.com/office/drawing/2010/main">
                  <a14:imgLayer r:embed="rId21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1097374</xdr:colOff>
      <xdr:row>0</xdr:row>
      <xdr:rowOff>0</xdr:rowOff>
    </xdr:from>
    <xdr:to>
      <xdr:col>14</xdr:col>
      <xdr:colOff>638545</xdr:colOff>
      <xdr:row>3</xdr:row>
      <xdr:rowOff>0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4A4665D-8BAC-434D-86A4-2D76A4E6200C}"/>
            </a:ext>
          </a:extLst>
        </xdr:cNvPr>
        <xdr:cNvSpPr/>
      </xdr:nvSpPr>
      <xdr:spPr>
        <a:xfrm>
          <a:off x="31543084" y="0"/>
          <a:ext cx="1469031" cy="1143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1047879</xdr:colOff>
      <xdr:row>2</xdr:row>
      <xdr:rowOff>384584</xdr:rowOff>
    </xdr:from>
    <xdr:to>
      <xdr:col>14</xdr:col>
      <xdr:colOff>725808</xdr:colOff>
      <xdr:row>2</xdr:row>
      <xdr:rowOff>762891</xdr:rowOff>
    </xdr:to>
    <xdr:sp macro="" textlink="">
      <xdr:nvSpPr>
        <xdr:cNvPr id="40" name="CaixaDeTexto 39">
          <a:extLst>
            <a:ext uri="{FF2B5EF4-FFF2-40B4-BE49-F238E27FC236}">
              <a16:creationId xmlns:a16="http://schemas.microsoft.com/office/drawing/2014/main" id="{9D9D9724-E8AE-4383-85B1-D68E39C235AA}"/>
            </a:ext>
          </a:extLst>
        </xdr:cNvPr>
        <xdr:cNvSpPr txBox="1"/>
      </xdr:nvSpPr>
      <xdr:spPr>
        <a:xfrm rot="10800000" flipH="1" flipV="1">
          <a:off x="31493589" y="750344"/>
          <a:ext cx="1605789" cy="37830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6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B.D</a:t>
          </a:r>
        </a:p>
      </xdr:txBody>
    </xdr:sp>
    <xdr:clientData/>
  </xdr:twoCellAnchor>
  <xdr:twoCellAnchor editAs="absolute">
    <xdr:from>
      <xdr:col>13</xdr:col>
      <xdr:colOff>1509564</xdr:colOff>
      <xdr:row>0</xdr:row>
      <xdr:rowOff>105753</xdr:rowOff>
    </xdr:from>
    <xdr:to>
      <xdr:col>14</xdr:col>
      <xdr:colOff>210567</xdr:colOff>
      <xdr:row>2</xdr:row>
      <xdr:rowOff>360046</xdr:rowOff>
    </xdr:to>
    <xdr:pic>
      <xdr:nvPicPr>
        <xdr:cNvPr id="41" name="Imagem 40" descr="Ícone do banco de dados (símbolo png) preto">
          <a:extLst>
            <a:ext uri="{FF2B5EF4-FFF2-40B4-BE49-F238E27FC236}">
              <a16:creationId xmlns:a16="http://schemas.microsoft.com/office/drawing/2014/main" id="{69D10C77-8975-4A93-B429-0914DE89A3A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955274" y="105753"/>
          <a:ext cx="628863" cy="620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620806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E1510D1-C515-4297-B687-B8CF32CF30BD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8BE1DAA7-E1D5-432D-AA19-CBE7433C97C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8C01CF50-7B1F-4427-A4B9-F934B27BF3D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2</xdr:col>
      <xdr:colOff>771523</xdr:colOff>
      <xdr:row>0</xdr:row>
      <xdr:rowOff>0</xdr:rowOff>
    </xdr:from>
    <xdr:to>
      <xdr:col>2</xdr:col>
      <xdr:colOff>1793141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E336F7-73E3-4A2C-A2D7-F5CC1C41F703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7FDF32A-3365-4F31-BA33-6AF95C46C1D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8152B44-53EF-4760-9883-9B46B158B3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45DCF85-3116-48F5-A5C7-F8C8BFB4B32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1123191</xdr:colOff>
      <xdr:row>0</xdr:row>
      <xdr:rowOff>0</xdr:rowOff>
    </xdr:from>
    <xdr:to>
      <xdr:col>4</xdr:col>
      <xdr:colOff>775892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8B51B617-E485-4EAF-9016-B84CA4E8F42F}"/>
            </a:ext>
          </a:extLst>
        </xdr:cNvPr>
        <xdr:cNvGrpSpPr/>
      </xdr:nvGrpSpPr>
      <xdr:grpSpPr>
        <a:xfrm>
          <a:off x="4434427" y="0"/>
          <a:ext cx="1107429" cy="775855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C04119F0-A131-4648-82F5-AD0F87539F18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DFA3A6BD-2165-4661-991A-FA807E623CA3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1E88E0F-BF62-4F9D-96A4-1814542C52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1017350</xdr:colOff>
      <xdr:row>0</xdr:row>
      <xdr:rowOff>0</xdr:rowOff>
    </xdr:from>
    <xdr:to>
      <xdr:col>5</xdr:col>
      <xdr:colOff>813393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DB5CC63F-E91D-43E6-98F4-1C66C9BCBB66}"/>
            </a:ext>
          </a:extLst>
        </xdr:cNvPr>
        <xdr:cNvSpPr/>
      </xdr:nvSpPr>
      <xdr:spPr>
        <a:xfrm>
          <a:off x="5779850" y="0"/>
          <a:ext cx="1022863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990639</xdr:colOff>
      <xdr:row>0</xdr:row>
      <xdr:rowOff>514894</xdr:rowOff>
    </xdr:from>
    <xdr:to>
      <xdr:col>5</xdr:col>
      <xdr:colOff>873920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B34865D2-43CE-4305-8CDF-0FFACDE5CE2B}"/>
            </a:ext>
          </a:extLst>
        </xdr:cNvPr>
        <xdr:cNvSpPr txBox="1"/>
      </xdr:nvSpPr>
      <xdr:spPr>
        <a:xfrm rot="10800000" flipH="1" flipV="1">
          <a:off x="5753139" y="514894"/>
          <a:ext cx="1110101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97092</xdr:colOff>
      <xdr:row>0</xdr:row>
      <xdr:rowOff>91651</xdr:rowOff>
    </xdr:from>
    <xdr:to>
      <xdr:col>5</xdr:col>
      <xdr:colOff>508217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684AF4E-EA15-4B18-BEAA-C7A1FFD119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86412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1086695</xdr:colOff>
      <xdr:row>0</xdr:row>
      <xdr:rowOff>0</xdr:rowOff>
    </xdr:from>
    <xdr:to>
      <xdr:col>6</xdr:col>
      <xdr:colOff>23907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4DCDDF5-FB45-4813-9300-AACAB8C7720E}"/>
            </a:ext>
          </a:extLst>
        </xdr:cNvPr>
        <xdr:cNvGrpSpPr/>
      </xdr:nvGrpSpPr>
      <xdr:grpSpPr>
        <a:xfrm>
          <a:off x="7085713" y="0"/>
          <a:ext cx="1112376" cy="775855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5E9CE89-7068-4D7A-8D9A-F76D4B84ABA6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BC8E124F-65A5-41A9-A199-1E0DC8F554BC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6A29550-45D0-46CC-B660-D82D432CAF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271253</xdr:colOff>
      <xdr:row>0</xdr:row>
      <xdr:rowOff>0</xdr:rowOff>
    </xdr:from>
    <xdr:to>
      <xdr:col>7</xdr:col>
      <xdr:colOff>183698</xdr:colOff>
      <xdr:row>1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C8EF58C0-96F2-4D6C-AB31-46C4BD6AECCE}"/>
            </a:ext>
          </a:extLst>
        </xdr:cNvPr>
        <xdr:cNvSpPr/>
      </xdr:nvSpPr>
      <xdr:spPr>
        <a:xfrm>
          <a:off x="8439893" y="0"/>
          <a:ext cx="1017345" cy="77724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236680</xdr:colOff>
      <xdr:row>0</xdr:row>
      <xdr:rowOff>509194</xdr:rowOff>
    </xdr:from>
    <xdr:to>
      <xdr:col>7</xdr:col>
      <xdr:colOff>244652</xdr:colOff>
      <xdr:row>0</xdr:row>
      <xdr:rowOff>760808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5E98C42A-DA94-4F22-B442-8D437EC2C206}"/>
            </a:ext>
          </a:extLst>
        </xdr:cNvPr>
        <xdr:cNvSpPr txBox="1"/>
      </xdr:nvSpPr>
      <xdr:spPr>
        <a:xfrm rot="10800000" flipH="1" flipV="1">
          <a:off x="8405320" y="509194"/>
          <a:ext cx="1112872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6</xdr:col>
      <xdr:colOff>578880</xdr:colOff>
      <xdr:row>0</xdr:row>
      <xdr:rowOff>90636</xdr:rowOff>
    </xdr:from>
    <xdr:to>
      <xdr:col>6</xdr:col>
      <xdr:colOff>984433</xdr:colOff>
      <xdr:row>0</xdr:row>
      <xdr:rowOff>489026</xdr:rowOff>
    </xdr:to>
    <xdr:pic>
      <xdr:nvPicPr>
        <xdr:cNvPr id="22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E29BFF6-340B-452D-B98A-DE323338F4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47520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7</xdr:col>
      <xdr:colOff>456450</xdr:colOff>
      <xdr:row>0</xdr:row>
      <xdr:rowOff>0</xdr:rowOff>
    </xdr:from>
    <xdr:to>
      <xdr:col>8</xdr:col>
      <xdr:colOff>659362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DBD07D09-FB0B-466A-90AC-FB548E432EFE}"/>
            </a:ext>
          </a:extLst>
        </xdr:cNvPr>
        <xdr:cNvGrpSpPr/>
      </xdr:nvGrpSpPr>
      <xdr:grpSpPr>
        <a:xfrm>
          <a:off x="9738995" y="0"/>
          <a:ext cx="1117312" cy="775855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DC241A6B-B149-4846-9058-93F40627A468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D2225A0C-F528-41A6-94D0-22C03A630AF4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B8BB300-80AB-492F-9882-3B125CDC24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871150</xdr:colOff>
      <xdr:row>0</xdr:row>
      <xdr:rowOff>0</xdr:rowOff>
    </xdr:from>
    <xdr:to>
      <xdr:col>8</xdr:col>
      <xdr:colOff>1987486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519DFBB9-8C3F-48FF-A011-9FF1FE905DC9}"/>
            </a:ext>
          </a:extLst>
        </xdr:cNvPr>
        <xdr:cNvGrpSpPr/>
      </xdr:nvGrpSpPr>
      <xdr:grpSpPr>
        <a:xfrm>
          <a:off x="11068095" y="0"/>
          <a:ext cx="1116336" cy="775855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75FBEB64-E448-46EB-AE93-8DA323C3CA8C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9097BFFB-D66B-4E10-A80C-A156CA38E2F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6AEE5BC-58E6-49CE-8BD0-4FB32AA409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1907243</xdr:colOff>
      <xdr:row>0</xdr:row>
      <xdr:rowOff>0</xdr:rowOff>
    </xdr:from>
    <xdr:to>
      <xdr:col>3</xdr:col>
      <xdr:colOff>923612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67B2CEC-5436-40CF-AAA4-F92983AF52B1}"/>
            </a:ext>
          </a:extLst>
        </xdr:cNvPr>
        <xdr:cNvGrpSpPr/>
      </xdr:nvGrpSpPr>
      <xdr:grpSpPr>
        <a:xfrm>
          <a:off x="3126443" y="0"/>
          <a:ext cx="1108405" cy="775855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80CD6873-770C-47FB-A03B-5C0B68013EAB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CC56E101-BAD8-49A6-83D8-5D4E2C053103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E9481D9-7F28-408B-9D7A-99DF6768AB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621323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B4BB7BCC-5A96-4203-93FD-06EB3AB917F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8</xdr:col>
      <xdr:colOff>2095004</xdr:colOff>
      <xdr:row>0</xdr:row>
      <xdr:rowOff>10885</xdr:rowOff>
    </xdr:from>
    <xdr:to>
      <xdr:col>9</xdr:col>
      <xdr:colOff>999562</xdr:colOff>
      <xdr:row>1</xdr:row>
      <xdr:rowOff>10885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2895CD58-7FF8-4A35-8137-9C2BEDF13052}"/>
            </a:ext>
          </a:extLst>
        </xdr:cNvPr>
        <xdr:cNvGrpSpPr/>
      </xdr:nvGrpSpPr>
      <xdr:grpSpPr>
        <a:xfrm>
          <a:off x="12291949" y="10885"/>
          <a:ext cx="1121286" cy="775855"/>
          <a:chOff x="11105473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EB0312F4-A1F4-452D-A35C-FD308EF9685C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5F9E08AB-1CD4-4191-AB5C-2D67F648952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absolute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39" name="Imagem 38" descr="Ícone do banco de dados (símbolo png) preto">
          <a:extLst>
            <a:ext uri="{FF2B5EF4-FFF2-40B4-BE49-F238E27FC236}">
              <a16:creationId xmlns:a16="http://schemas.microsoft.com/office/drawing/2014/main" id="{4560FE13-C8C6-41EA-861E-494E0201FA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7460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2</xdr:col>
      <xdr:colOff>1314031</xdr:colOff>
      <xdr:row>1</xdr:row>
      <xdr:rowOff>504602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99B5529F-DF6C-4165-9C79-4E5F42C8CA36}"/>
            </a:ext>
          </a:extLst>
        </xdr:cNvPr>
        <xdr:cNvSpPr/>
      </xdr:nvSpPr>
      <xdr:spPr>
        <a:xfrm>
          <a:off x="609600" y="853442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2</xdr:col>
      <xdr:colOff>1829638</xdr:colOff>
      <xdr:row>1</xdr:row>
      <xdr:rowOff>76202</xdr:rowOff>
    </xdr:from>
    <xdr:to>
      <xdr:col>4</xdr:col>
      <xdr:colOff>176968</xdr:colOff>
      <xdr:row>1</xdr:row>
      <xdr:rowOff>504602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217028C-45B4-42B7-89E2-B01ED3F30C52}"/>
            </a:ext>
          </a:extLst>
        </xdr:cNvPr>
        <xdr:cNvSpPr/>
      </xdr:nvSpPr>
      <xdr:spPr>
        <a:xfrm>
          <a:off x="3048838" y="853442"/>
          <a:ext cx="1890630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16</xdr:col>
      <xdr:colOff>141515</xdr:colOff>
      <xdr:row>0</xdr:row>
      <xdr:rowOff>87086</xdr:rowOff>
    </xdr:from>
    <xdr:to>
      <xdr:col>16</xdr:col>
      <xdr:colOff>576229</xdr:colOff>
      <xdr:row>0</xdr:row>
      <xdr:rowOff>519021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8BB8C4B7-1601-4E05-AA8F-D145AA5CC5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620515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734288</xdr:colOff>
      <xdr:row>1</xdr:row>
      <xdr:rowOff>69275</xdr:rowOff>
    </xdr:from>
    <xdr:to>
      <xdr:col>5</xdr:col>
      <xdr:colOff>1395328</xdr:colOff>
      <xdr:row>1</xdr:row>
      <xdr:rowOff>497675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19EAA2F4-5728-4058-A186-ED7764D4FECB}"/>
            </a:ext>
          </a:extLst>
        </xdr:cNvPr>
        <xdr:cNvSpPr/>
      </xdr:nvSpPr>
      <xdr:spPr>
        <a:xfrm>
          <a:off x="5496788" y="846515"/>
          <a:ext cx="1887860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9</xdr:col>
      <xdr:colOff>221673</xdr:colOff>
      <xdr:row>0</xdr:row>
      <xdr:rowOff>83125</xdr:rowOff>
    </xdr:from>
    <xdr:to>
      <xdr:col>9</xdr:col>
      <xdr:colOff>656387</xdr:colOff>
      <xdr:row>0</xdr:row>
      <xdr:rowOff>515060</xdr:rowOff>
    </xdr:to>
    <xdr:pic>
      <xdr:nvPicPr>
        <xdr:cNvPr id="44" name="Imagem 43" descr="Ícone do banco de dados (símbolo png) preto">
          <a:extLst>
            <a:ext uri="{FF2B5EF4-FFF2-40B4-BE49-F238E27FC236}">
              <a16:creationId xmlns:a16="http://schemas.microsoft.com/office/drawing/2014/main" id="{4A7283AC-8639-4A9B-994E-CBD641123B6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19413" y="83125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620806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456558F-FC13-4D13-9EFC-541488B4C420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CFFE75C7-FB6B-4FC4-8E3B-9AAEF7A53938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40248076-0E84-4314-B12B-05143A8DF3C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2</xdr:col>
      <xdr:colOff>771523</xdr:colOff>
      <xdr:row>0</xdr:row>
      <xdr:rowOff>0</xdr:rowOff>
    </xdr:from>
    <xdr:to>
      <xdr:col>3</xdr:col>
      <xdr:colOff>366123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A38EC471-FE5D-4722-A2AD-811864D2C5CF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4C90DAB-9A93-441B-85BD-37B01FD93FF6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3CE738E1-EECB-4F76-AC13-7E33897867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54CB65FC-B90C-4DF1-BC39-9B0969EA166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3</xdr:col>
      <xdr:colOff>1788209</xdr:colOff>
      <xdr:row>0</xdr:row>
      <xdr:rowOff>0</xdr:rowOff>
    </xdr:from>
    <xdr:to>
      <xdr:col>4</xdr:col>
      <xdr:colOff>969856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2A3E60AB-1EEE-4C80-8834-2E3678E513EE}"/>
            </a:ext>
          </a:extLst>
        </xdr:cNvPr>
        <xdr:cNvGrpSpPr/>
      </xdr:nvGrpSpPr>
      <xdr:grpSpPr>
        <a:xfrm>
          <a:off x="4434427" y="0"/>
          <a:ext cx="1107429" cy="775855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10FAAC88-7926-47AF-89DB-994ADD9D2F65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FE107038-55AC-4BED-B007-3BD07F9FBFB9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8541983-FB1F-45B4-A2BB-28B3DAB58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1211314</xdr:colOff>
      <xdr:row>0</xdr:row>
      <xdr:rowOff>0</xdr:rowOff>
    </xdr:from>
    <xdr:to>
      <xdr:col>5</xdr:col>
      <xdr:colOff>771829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7AEFD873-964C-47D2-A133-A2BCF35F1890}"/>
            </a:ext>
          </a:extLst>
        </xdr:cNvPr>
        <xdr:cNvSpPr/>
      </xdr:nvSpPr>
      <xdr:spPr>
        <a:xfrm>
          <a:off x="5783314" y="0"/>
          <a:ext cx="1023555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1184603</xdr:colOff>
      <xdr:row>0</xdr:row>
      <xdr:rowOff>514894</xdr:rowOff>
    </xdr:from>
    <xdr:to>
      <xdr:col>5</xdr:col>
      <xdr:colOff>832356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01945E0-53CB-4A5A-97FF-F28249A51FA0}"/>
            </a:ext>
          </a:extLst>
        </xdr:cNvPr>
        <xdr:cNvSpPr txBox="1"/>
      </xdr:nvSpPr>
      <xdr:spPr>
        <a:xfrm rot="10800000" flipH="1" flipV="1">
          <a:off x="5756603" y="514894"/>
          <a:ext cx="111079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55528</xdr:colOff>
      <xdr:row>0</xdr:row>
      <xdr:rowOff>91651</xdr:rowOff>
    </xdr:from>
    <xdr:to>
      <xdr:col>5</xdr:col>
      <xdr:colOff>466653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99B481A-4EFE-4F09-AE7B-B1C73430B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0568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1045131</xdr:colOff>
      <xdr:row>0</xdr:row>
      <xdr:rowOff>0</xdr:rowOff>
    </xdr:from>
    <xdr:to>
      <xdr:col>6</xdr:col>
      <xdr:colOff>37762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BF48A10A-AB9F-415C-BAD0-D6C29D4D0862}"/>
            </a:ext>
          </a:extLst>
        </xdr:cNvPr>
        <xdr:cNvGrpSpPr/>
      </xdr:nvGrpSpPr>
      <xdr:grpSpPr>
        <a:xfrm>
          <a:off x="7085713" y="0"/>
          <a:ext cx="1112376" cy="775855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4803E59B-DF3F-49E4-95F3-C6E4A4BCFAD7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8CF038F0-9E87-4A19-A7F2-1820C8A4E8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91C6514-D332-404F-9720-FED0E9D534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285108</xdr:colOff>
      <xdr:row>0</xdr:row>
      <xdr:rowOff>0</xdr:rowOff>
    </xdr:from>
    <xdr:to>
      <xdr:col>6</xdr:col>
      <xdr:colOff>1305916</xdr:colOff>
      <xdr:row>1</xdr:row>
      <xdr:rowOff>0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88EDC41D-E704-4D8E-859A-37BB5BA8726B}"/>
            </a:ext>
          </a:extLst>
        </xdr:cNvPr>
        <xdr:cNvSpPr/>
      </xdr:nvSpPr>
      <xdr:spPr>
        <a:xfrm>
          <a:off x="8446128" y="0"/>
          <a:ext cx="1020808" cy="77724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250535</xdr:colOff>
      <xdr:row>0</xdr:row>
      <xdr:rowOff>509194</xdr:rowOff>
    </xdr:from>
    <xdr:to>
      <xdr:col>6</xdr:col>
      <xdr:colOff>1366870</xdr:colOff>
      <xdr:row>0</xdr:row>
      <xdr:rowOff>760808</xdr:rowOff>
    </xdr:to>
    <xdr:sp macro="" textlink="">
      <xdr:nvSpPr>
        <xdr:cNvPr id="21" name="CaixaDeTexto 20">
          <a:extLst>
            <a:ext uri="{FF2B5EF4-FFF2-40B4-BE49-F238E27FC236}">
              <a16:creationId xmlns:a16="http://schemas.microsoft.com/office/drawing/2014/main" id="{C4D0D4AB-2679-4BCA-9F1D-7E0E06EA6028}"/>
            </a:ext>
          </a:extLst>
        </xdr:cNvPr>
        <xdr:cNvSpPr txBox="1"/>
      </xdr:nvSpPr>
      <xdr:spPr>
        <a:xfrm rot="10800000" flipH="1" flipV="1">
          <a:off x="8411555" y="509194"/>
          <a:ext cx="1116335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6</xdr:col>
      <xdr:colOff>592735</xdr:colOff>
      <xdr:row>0</xdr:row>
      <xdr:rowOff>90636</xdr:rowOff>
    </xdr:from>
    <xdr:to>
      <xdr:col>6</xdr:col>
      <xdr:colOff>998288</xdr:colOff>
      <xdr:row>0</xdr:row>
      <xdr:rowOff>489026</xdr:rowOff>
    </xdr:to>
    <xdr:pic>
      <xdr:nvPicPr>
        <xdr:cNvPr id="22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AAC41CB-E572-483D-8E2E-E46B89F4C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53755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6</xdr:col>
      <xdr:colOff>1578668</xdr:colOff>
      <xdr:row>0</xdr:row>
      <xdr:rowOff>0</xdr:rowOff>
    </xdr:from>
    <xdr:to>
      <xdr:col>7</xdr:col>
      <xdr:colOff>451543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156B1873-D9DF-49A3-9B2E-FE29F269954C}"/>
            </a:ext>
          </a:extLst>
        </xdr:cNvPr>
        <xdr:cNvGrpSpPr/>
      </xdr:nvGrpSpPr>
      <xdr:grpSpPr>
        <a:xfrm>
          <a:off x="9738995" y="0"/>
          <a:ext cx="1117312" cy="775855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A7721EF8-3CAF-4453-A01C-1BC229882E5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EE1D520D-036F-44A7-A12E-0D66D47F98F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7AFCF5F-7CDB-4D74-BD61-CA818AAACA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663331</xdr:colOff>
      <xdr:row>0</xdr:row>
      <xdr:rowOff>0</xdr:rowOff>
    </xdr:from>
    <xdr:to>
      <xdr:col>8</xdr:col>
      <xdr:colOff>130976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FF24CE22-321B-42BE-8EFA-F0B9267B8D6C}"/>
            </a:ext>
          </a:extLst>
        </xdr:cNvPr>
        <xdr:cNvGrpSpPr/>
      </xdr:nvGrpSpPr>
      <xdr:grpSpPr>
        <a:xfrm>
          <a:off x="11068095" y="0"/>
          <a:ext cx="1116336" cy="775855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62412243-A2CE-48C1-97EA-C003BB7A6A7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AEFC8E7-03D7-4B78-BF25-2AF17F09888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4654FD3-F447-4FF6-877F-D413D8EE75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480225</xdr:colOff>
      <xdr:row>0</xdr:row>
      <xdr:rowOff>0</xdr:rowOff>
    </xdr:from>
    <xdr:to>
      <xdr:col>3</xdr:col>
      <xdr:colOff>1588630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1368A891-E816-4FF2-BA22-70E7F55A8AC1}"/>
            </a:ext>
          </a:extLst>
        </xdr:cNvPr>
        <xdr:cNvGrpSpPr/>
      </xdr:nvGrpSpPr>
      <xdr:grpSpPr>
        <a:xfrm>
          <a:off x="3126443" y="0"/>
          <a:ext cx="1108405" cy="775855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D4F774BF-B59E-4AD3-8B96-3C21275DE1FC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F1EAD7DB-49DD-40FF-9247-792656087A04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66ED808-8E7C-43BB-B082-46A39232BB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621323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3815E429-FE20-4F00-B145-E08B3E4CB17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8</xdr:col>
      <xdr:colOff>238494</xdr:colOff>
      <xdr:row>0</xdr:row>
      <xdr:rowOff>10885</xdr:rowOff>
    </xdr:from>
    <xdr:to>
      <xdr:col>8</xdr:col>
      <xdr:colOff>1359780</xdr:colOff>
      <xdr:row>1</xdr:row>
      <xdr:rowOff>10885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6FF2387F-CA9C-415A-88B4-12D15590215B}"/>
            </a:ext>
          </a:extLst>
        </xdr:cNvPr>
        <xdr:cNvGrpSpPr/>
      </xdr:nvGrpSpPr>
      <xdr:grpSpPr>
        <a:xfrm>
          <a:off x="12291949" y="10885"/>
          <a:ext cx="1121286" cy="775855"/>
          <a:chOff x="11105473" y="0"/>
          <a:chExt cx="1118289" cy="781538"/>
        </a:xfrm>
      </xdr:grpSpPr>
      <xdr:sp macro="" textlink="">
        <xdr:nvSpPr>
          <xdr:cNvPr id="37" name="Retângulo 36">
            <a:extLst>
              <a:ext uri="{FF2B5EF4-FFF2-40B4-BE49-F238E27FC236}">
                <a16:creationId xmlns:a16="http://schemas.microsoft.com/office/drawing/2014/main" id="{4D221F81-FED6-47E7-B80C-2D50CAEEFB7E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8" name="CaixaDeTexto 37">
            <a:extLst>
              <a:ext uri="{FF2B5EF4-FFF2-40B4-BE49-F238E27FC236}">
                <a16:creationId xmlns:a16="http://schemas.microsoft.com/office/drawing/2014/main" id="{8C815A83-B377-499C-9EC1-FE1F9BB77EE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absolute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39" name="Imagem 38" descr="Ícone do banco de dados (símbolo png) preto">
          <a:extLst>
            <a:ext uri="{FF2B5EF4-FFF2-40B4-BE49-F238E27FC236}">
              <a16:creationId xmlns:a16="http://schemas.microsoft.com/office/drawing/2014/main" id="{849C5619-F4B2-4675-9D81-D17070BA11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26614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2</xdr:col>
      <xdr:colOff>1314031</xdr:colOff>
      <xdr:row>1</xdr:row>
      <xdr:rowOff>504602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7964A4F8-D30E-4692-9776-57F6CCE79F28}"/>
            </a:ext>
          </a:extLst>
        </xdr:cNvPr>
        <xdr:cNvSpPr/>
      </xdr:nvSpPr>
      <xdr:spPr>
        <a:xfrm>
          <a:off x="609600" y="853442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 PRODUTOS</a:t>
          </a:r>
        </a:p>
      </xdr:txBody>
    </xdr:sp>
    <xdr:clientData/>
  </xdr:twoCellAnchor>
  <xdr:twoCellAnchor editAs="absolute">
    <xdr:from>
      <xdr:col>3</xdr:col>
      <xdr:colOff>403112</xdr:colOff>
      <xdr:row>1</xdr:row>
      <xdr:rowOff>76202</xdr:rowOff>
    </xdr:from>
    <xdr:to>
      <xdr:col>4</xdr:col>
      <xdr:colOff>371424</xdr:colOff>
      <xdr:row>1</xdr:row>
      <xdr:rowOff>504602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0A0BE1D-ACE7-4E70-92A5-6D89EBBD764B}"/>
            </a:ext>
          </a:extLst>
        </xdr:cNvPr>
        <xdr:cNvSpPr/>
      </xdr:nvSpPr>
      <xdr:spPr>
        <a:xfrm>
          <a:off x="3054872" y="853442"/>
          <a:ext cx="188855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CADASTROS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16</xdr:col>
      <xdr:colOff>141515</xdr:colOff>
      <xdr:row>0</xdr:row>
      <xdr:rowOff>87086</xdr:rowOff>
    </xdr:from>
    <xdr:to>
      <xdr:col>16</xdr:col>
      <xdr:colOff>576229</xdr:colOff>
      <xdr:row>0</xdr:row>
      <xdr:rowOff>519021</xdr:rowOff>
    </xdr:to>
    <xdr:pic>
      <xdr:nvPicPr>
        <xdr:cNvPr id="42" name="Imagem 41" descr="Ícone do banco de dados (símbolo png) preto">
          <a:extLst>
            <a:ext uri="{FF2B5EF4-FFF2-40B4-BE49-F238E27FC236}">
              <a16:creationId xmlns:a16="http://schemas.microsoft.com/office/drawing/2014/main" id="{C4B25696-E396-429C-B3A8-349F04B366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12055" y="87086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929087</xdr:colOff>
      <xdr:row>1</xdr:row>
      <xdr:rowOff>76202</xdr:rowOff>
    </xdr:from>
    <xdr:to>
      <xdr:col>5</xdr:col>
      <xdr:colOff>1354599</xdr:colOff>
      <xdr:row>1</xdr:row>
      <xdr:rowOff>504602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A8538D96-A7A8-4C6A-BCD1-BEAA8DFF8F9C}"/>
            </a:ext>
          </a:extLst>
        </xdr:cNvPr>
        <xdr:cNvSpPr/>
      </xdr:nvSpPr>
      <xdr:spPr>
        <a:xfrm>
          <a:off x="5501087" y="853442"/>
          <a:ext cx="1888552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BD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MONETÁRIO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581891</xdr:colOff>
      <xdr:row>0</xdr:row>
      <xdr:rowOff>83129</xdr:rowOff>
    </xdr:from>
    <xdr:to>
      <xdr:col>8</xdr:col>
      <xdr:colOff>1016605</xdr:colOff>
      <xdr:row>0</xdr:row>
      <xdr:rowOff>515064</xdr:rowOff>
    </xdr:to>
    <xdr:pic>
      <xdr:nvPicPr>
        <xdr:cNvPr id="44" name="Imagem 43" descr="Ícone do banco de dados (símbolo png) preto">
          <a:extLst>
            <a:ext uri="{FF2B5EF4-FFF2-40B4-BE49-F238E27FC236}">
              <a16:creationId xmlns:a16="http://schemas.microsoft.com/office/drawing/2014/main" id="{394BD90E-DB27-4CDF-BA4C-0FC385AFCA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29111" y="831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RP_13_11%20(BD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rae/Downloads/ERP_12_11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V_REL_VEN"/>
      <sheetName val="V_REL_MET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D_CADAS"/>
      <sheetName val="BD_CADAS (2)"/>
      <sheetName val="BANCO DE D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>
        <row r="7">
          <cell r="C7" t="str">
            <v>QUEIJO MEIA CURA</v>
          </cell>
          <cell r="D7">
            <v>100</v>
          </cell>
        </row>
        <row r="8">
          <cell r="C8" t="str">
            <v>QUEIJO MINAS</v>
          </cell>
          <cell r="D8">
            <v>200</v>
          </cell>
        </row>
        <row r="9">
          <cell r="C9" t="str">
            <v>QUEIJO COALHO</v>
          </cell>
          <cell r="D9">
            <v>300</v>
          </cell>
        </row>
        <row r="10">
          <cell r="C10" t="str">
            <v>QUEIJO MUSSARELA</v>
          </cell>
          <cell r="D10">
            <v>400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PRODGRAF 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CLIENTES"/>
      <sheetName val="N_VCONTROLE"/>
      <sheetName val="N_VMETAS"/>
      <sheetName val="N_CCADASTROF"/>
      <sheetName val="N_PROCFOR"/>
      <sheetName val="N_CMP"/>
      <sheetName val="N_CSOLICITAR"/>
      <sheetName val="N_CREALIZARP"/>
      <sheetName val="N_CUSTOFIXOEVARIAVEL"/>
      <sheetName val="N_DRE"/>
      <sheetName val="N_VALORESPRODUTOS"/>
      <sheetName val="BANCO DE DADOS"/>
    </sheetNames>
    <sheetDataSet>
      <sheetData sheetId="0"/>
      <sheetData sheetId="1"/>
      <sheetData sheetId="2">
        <row r="23">
          <cell r="H23">
            <v>2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1">
          <cell r="J1"/>
        </row>
        <row r="2">
          <cell r="J2"/>
        </row>
        <row r="7">
          <cell r="J7"/>
        </row>
        <row r="8">
          <cell r="J8"/>
        </row>
        <row r="9">
          <cell r="J9">
            <v>2259.1999999999998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13">
          <cell r="I13">
            <v>450</v>
          </cell>
        </row>
      </sheetData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5" Type="http://schemas.openxmlformats.org/officeDocument/2006/relationships/hyperlink" Target="mailto:jaoa@email.com" TargetMode="External"/><Relationship Id="rId10" Type="http://schemas.openxmlformats.org/officeDocument/2006/relationships/drawing" Target="../drawings/drawing35.xm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beatriz@email.com" TargetMode="External"/><Relationship Id="rId3" Type="http://schemas.openxmlformats.org/officeDocument/2006/relationships/hyperlink" Target="mailto:andr&#233;a.melo29@email.com" TargetMode="External"/><Relationship Id="rId7" Type="http://schemas.openxmlformats.org/officeDocument/2006/relationships/hyperlink" Target="mailto:carlos@email.com" TargetMode="External"/><Relationship Id="rId2" Type="http://schemas.openxmlformats.org/officeDocument/2006/relationships/hyperlink" Target="mailto:julia.martins56@email.com" TargetMode="External"/><Relationship Id="rId1" Type="http://schemas.openxmlformats.org/officeDocument/2006/relationships/hyperlink" Target="mailto:andr&#233;a.melo29@email.com" TargetMode="External"/><Relationship Id="rId6" Type="http://schemas.openxmlformats.org/officeDocument/2006/relationships/hyperlink" Target="mailto:ana@email.com" TargetMode="External"/><Relationship Id="rId5" Type="http://schemas.openxmlformats.org/officeDocument/2006/relationships/hyperlink" Target="mailto:jaoa@email.com" TargetMode="External"/><Relationship Id="rId10" Type="http://schemas.openxmlformats.org/officeDocument/2006/relationships/drawing" Target="../drawings/drawing37.xml"/><Relationship Id="rId4" Type="http://schemas.openxmlformats.org/officeDocument/2006/relationships/hyperlink" Target="mailto:claudia.rodrigues67@email.com" TargetMode="External"/><Relationship Id="rId9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311B-1A00-407A-B3C8-C8A1D0AB8E96}">
  <sheetPr codeName="Planilha1">
    <tabColor rgb="FFFF0000"/>
  </sheetPr>
  <dimension ref="A1:AW77"/>
  <sheetViews>
    <sheetView zoomScale="40" zoomScaleNormal="40" workbookViewId="0">
      <selection activeCell="AW53" sqref="AW53"/>
    </sheetView>
  </sheetViews>
  <sheetFormatPr defaultColWidth="8.88671875" defaultRowHeight="14.4" zeroHeight="1" x14ac:dyDescent="0.3"/>
  <cols>
    <col min="1" max="25" width="8.88671875" customWidth="1"/>
    <col min="26" max="43" width="8.88671875" style="126" customWidth="1"/>
    <col min="44" max="48" width="8.88671875" customWidth="1"/>
    <col min="49" max="49" width="105.77734375" customWidth="1"/>
    <col min="50" max="16383" width="0" hidden="1" customWidth="1"/>
    <col min="16384" max="16384" width="84.77734375" customWidth="1"/>
  </cols>
  <sheetData>
    <row r="1" spans="1:49" ht="61.5" customHeight="1" x14ac:dyDescent="0.3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  <c r="AV1" s="24"/>
      <c r="AW1" s="24"/>
    </row>
    <row r="2" spans="1:49" ht="46.2" customHeight="1" x14ac:dyDescent="0.5">
      <c r="A2" s="274" t="s">
        <v>0</v>
      </c>
      <c r="B2" s="274"/>
      <c r="C2" s="274"/>
      <c r="D2" s="274"/>
      <c r="E2" s="274"/>
      <c r="F2" s="274"/>
      <c r="G2" s="274"/>
      <c r="H2" s="274"/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274"/>
      <c r="U2" s="274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  <c r="AM2" s="274"/>
      <c r="AN2" s="274"/>
      <c r="AO2" s="274"/>
      <c r="AP2" s="274"/>
      <c r="AQ2" s="274"/>
      <c r="AR2" s="274"/>
      <c r="AS2" s="274"/>
      <c r="AT2" s="274"/>
      <c r="AU2" s="274"/>
      <c r="AV2" s="274"/>
      <c r="AW2" s="274"/>
    </row>
    <row r="3" spans="1:49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</row>
    <row r="4" spans="1:49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</row>
    <row r="5" spans="1:49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</row>
    <row r="6" spans="1:49" x14ac:dyDescent="0.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</row>
    <row r="7" spans="1:49" x14ac:dyDescent="0.3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</row>
    <row r="8" spans="1:49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</row>
    <row r="9" spans="1:49" x14ac:dyDescent="0.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</row>
    <row r="10" spans="1:49" x14ac:dyDescent="0.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</row>
    <row r="11" spans="1:49" x14ac:dyDescent="0.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</row>
    <row r="12" spans="1:49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</row>
    <row r="13" spans="1:49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</row>
    <row r="14" spans="1:49" x14ac:dyDescent="0.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</row>
    <row r="15" spans="1:49" x14ac:dyDescent="0.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</row>
    <row r="16" spans="1:49" x14ac:dyDescent="0.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</row>
    <row r="17" spans="1:49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</row>
    <row r="18" spans="1:49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</row>
    <row r="19" spans="1:49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</row>
    <row r="20" spans="1:49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</row>
    <row r="21" spans="1:49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</row>
    <row r="22" spans="1:49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</row>
    <row r="23" spans="1:49" x14ac:dyDescent="0.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</row>
    <row r="24" spans="1:49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</row>
    <row r="25" spans="1:49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  <c r="AU25" s="23"/>
      <c r="AV25" s="23"/>
      <c r="AW25" s="23"/>
    </row>
    <row r="26" spans="1:49" x14ac:dyDescent="0.3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  <c r="AU26" s="23"/>
      <c r="AV26" s="23"/>
      <c r="AW26" s="23"/>
    </row>
    <row r="27" spans="1:49" x14ac:dyDescent="0.3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</row>
    <row r="28" spans="1:49" x14ac:dyDescent="0.3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</row>
    <row r="29" spans="1:49" x14ac:dyDescent="0.3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  <c r="AU29" s="23"/>
      <c r="AV29" s="23"/>
      <c r="AW29" s="23"/>
    </row>
    <row r="30" spans="1:49" x14ac:dyDescent="0.3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  <c r="AU30" s="23"/>
      <c r="AV30" s="23"/>
      <c r="AW30" s="23"/>
    </row>
    <row r="31" spans="1:49" x14ac:dyDescent="0.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  <c r="AU31" s="23"/>
      <c r="AV31" s="23"/>
      <c r="AW31" s="23"/>
    </row>
    <row r="32" spans="1:49" x14ac:dyDescent="0.3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  <c r="AU32" s="23"/>
      <c r="AV32" s="23"/>
      <c r="AW32" s="23"/>
    </row>
    <row r="33" spans="1:49" x14ac:dyDescent="0.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  <c r="AU33" s="23"/>
      <c r="AV33" s="23"/>
      <c r="AW33" s="23"/>
    </row>
    <row r="34" spans="1:49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</row>
    <row r="35" spans="1:49" x14ac:dyDescent="0.3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</row>
    <row r="36" spans="1:49" x14ac:dyDescent="0.3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</row>
    <row r="37" spans="1:49" x14ac:dyDescent="0.3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</row>
    <row r="38" spans="1:49" x14ac:dyDescent="0.3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</row>
    <row r="39" spans="1:49" x14ac:dyDescent="0.3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</row>
    <row r="40" spans="1:49" x14ac:dyDescent="0.3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</row>
    <row r="41" spans="1:49" x14ac:dyDescent="0.3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</row>
    <row r="42" spans="1:49" x14ac:dyDescent="0.3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</row>
    <row r="43" spans="1:49" x14ac:dyDescent="0.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</row>
    <row r="44" spans="1:49" x14ac:dyDescent="0.3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</row>
    <row r="45" spans="1:49" x14ac:dyDescent="0.3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</row>
    <row r="46" spans="1:49" x14ac:dyDescent="0.3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</row>
    <row r="47" spans="1:49" x14ac:dyDescent="0.3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</row>
    <row r="48" spans="1:49" x14ac:dyDescent="0.3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  <c r="AU48" s="23"/>
      <c r="AV48" s="23"/>
      <c r="AW48" s="23"/>
    </row>
    <row r="49" spans="1:49" x14ac:dyDescent="0.3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  <c r="AU49" s="23"/>
      <c r="AV49" s="23"/>
      <c r="AW49" s="23"/>
    </row>
    <row r="50" spans="1:49" s="126" customFormat="1" x14ac:dyDescent="0.3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</row>
    <row r="51" spans="1:49" s="126" customFormat="1" x14ac:dyDescent="0.3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</row>
    <row r="52" spans="1:49" s="126" customFormat="1" x14ac:dyDescent="0.3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  <c r="AU52" s="23"/>
      <c r="AV52" s="23"/>
      <c r="AW52" s="23"/>
    </row>
    <row r="53" spans="1:49" s="126" customFormat="1" x14ac:dyDescent="0.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  <c r="AU53" s="23"/>
      <c r="AV53" s="23"/>
      <c r="AW53" s="23"/>
    </row>
    <row r="54" spans="1:49" s="126" customFormat="1" x14ac:dyDescent="0.3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</row>
    <row r="55" spans="1:49" s="126" customFormat="1" x14ac:dyDescent="0.3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</row>
    <row r="56" spans="1:49" s="126" customFormat="1" x14ac:dyDescent="0.3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3"/>
      <c r="AW56" s="23"/>
    </row>
    <row r="57" spans="1:49" s="126" customFormat="1" x14ac:dyDescent="0.3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3"/>
      <c r="AW57" s="23"/>
    </row>
    <row r="58" spans="1:49" s="126" customFormat="1" x14ac:dyDescent="0.3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</row>
    <row r="59" spans="1:49" s="126" customFormat="1" x14ac:dyDescent="0.3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</row>
    <row r="60" spans="1:49" s="126" customFormat="1" x14ac:dyDescent="0.3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  <c r="AU60" s="23"/>
      <c r="AV60" s="23"/>
      <c r="AW60" s="23"/>
    </row>
    <row r="61" spans="1:49" s="126" customFormat="1" x14ac:dyDescent="0.3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  <c r="AU61" s="23"/>
      <c r="AV61" s="23"/>
      <c r="AW61" s="23"/>
    </row>
    <row r="62" spans="1:49" s="126" customFormat="1" x14ac:dyDescent="0.3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</row>
    <row r="63" spans="1:49" s="126" customFormat="1" x14ac:dyDescent="0.3">
      <c r="A63" s="23"/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</row>
    <row r="64" spans="1:49" s="126" customFormat="1" x14ac:dyDescent="0.3">
      <c r="A64" s="23"/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  <c r="AU64" s="23"/>
      <c r="AV64" s="23"/>
      <c r="AW64" s="23"/>
    </row>
    <row r="65" spans="1:49" s="126" customFormat="1" x14ac:dyDescent="0.3">
      <c r="A65" s="23"/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  <c r="AU65" s="23"/>
      <c r="AV65" s="23"/>
      <c r="AW65" s="23"/>
    </row>
    <row r="66" spans="1:49" s="126" customFormat="1" x14ac:dyDescent="0.3">
      <c r="A66" s="23"/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</row>
    <row r="67" spans="1:49" s="126" customFormat="1" x14ac:dyDescent="0.3">
      <c r="A67" s="23"/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</row>
    <row r="68" spans="1:49" s="126" customFormat="1" x14ac:dyDescent="0.3">
      <c r="A68" s="23"/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  <c r="AU68" s="23"/>
      <c r="AV68" s="23"/>
      <c r="AW68" s="23"/>
    </row>
    <row r="69" spans="1:49" s="126" customFormat="1" x14ac:dyDescent="0.3">
      <c r="A69" s="23"/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  <c r="AU69" s="23"/>
      <c r="AV69" s="23"/>
      <c r="AW69" s="23"/>
    </row>
    <row r="70" spans="1:49" s="126" customFormat="1" x14ac:dyDescent="0.3">
      <c r="A70" s="23"/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</row>
    <row r="71" spans="1:49" s="126" customFormat="1" x14ac:dyDescent="0.3">
      <c r="A71" s="23"/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</row>
    <row r="72" spans="1:49" s="126" customFormat="1" x14ac:dyDescent="0.3">
      <c r="A72" s="23"/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</row>
    <row r="73" spans="1:49" s="126" customFormat="1" x14ac:dyDescent="0.3">
      <c r="A73" s="23"/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</row>
    <row r="74" spans="1:49" s="126" customFormat="1" x14ac:dyDescent="0.3">
      <c r="A74" s="23"/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</row>
    <row r="75" spans="1:49" x14ac:dyDescent="0.3">
      <c r="A75" s="23"/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</row>
    <row r="76" spans="1:49" x14ac:dyDescent="0.3">
      <c r="A76" s="23"/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</row>
    <row r="77" spans="1:49" ht="270" customHeight="1" x14ac:dyDescent="0.3">
      <c r="A77" s="23"/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</row>
  </sheetData>
  <mergeCells count="1">
    <mergeCell ref="A2:AW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76B67-0173-4515-8DFA-8AC20FEA1596}">
  <sheetPr codeName="Planilha2">
    <tabColor rgb="FFFF0000"/>
  </sheetPr>
  <dimension ref="A1:AE52"/>
  <sheetViews>
    <sheetView showGridLines="0" zoomScale="40" zoomScaleNormal="40" workbookViewId="0">
      <selection activeCell="H48" sqref="H48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275"/>
      <c r="B2" s="275"/>
      <c r="C2" s="275"/>
      <c r="D2" s="275"/>
      <c r="E2" s="275"/>
      <c r="F2" s="275"/>
      <c r="G2" s="275"/>
      <c r="H2" s="275"/>
      <c r="I2" s="275"/>
      <c r="J2" s="275"/>
      <c r="K2" s="275"/>
      <c r="L2" s="275"/>
      <c r="M2" s="275"/>
      <c r="N2" s="275"/>
      <c r="O2" s="275"/>
      <c r="P2" s="275"/>
      <c r="Q2" s="275"/>
      <c r="R2" s="275"/>
      <c r="S2" s="275"/>
      <c r="T2" s="275"/>
      <c r="U2" s="275"/>
      <c r="V2" s="275"/>
      <c r="W2" s="275"/>
      <c r="X2" s="275"/>
      <c r="Y2" s="275"/>
      <c r="Z2" s="275"/>
      <c r="AA2" s="275"/>
      <c r="AB2" s="275"/>
      <c r="AC2" s="275"/>
      <c r="AD2" s="275"/>
      <c r="AE2" s="275"/>
    </row>
    <row r="3" spans="1:3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</row>
    <row r="4" spans="1:3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</row>
    <row r="5" spans="1:3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</row>
    <row r="6" spans="1:31" x14ac:dyDescent="0.3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</row>
    <row r="7" spans="1:31" ht="14.4" customHeight="1" x14ac:dyDescent="0.3">
      <c r="A7" s="25"/>
      <c r="B7" s="25"/>
      <c r="C7" s="25"/>
      <c r="D7" s="25"/>
      <c r="E7" s="276"/>
      <c r="F7" s="276"/>
      <c r="G7" s="276"/>
      <c r="H7" s="276"/>
      <c r="I7" s="276"/>
      <c r="J7" s="276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</row>
    <row r="8" spans="1:31" ht="14.4" customHeight="1" x14ac:dyDescent="0.3">
      <c r="A8" s="25"/>
      <c r="B8" s="25"/>
      <c r="C8" s="25"/>
      <c r="D8" s="25"/>
      <c r="E8" s="276"/>
      <c r="F8" s="276"/>
      <c r="G8" s="276"/>
      <c r="H8" s="276"/>
      <c r="I8" s="276"/>
      <c r="J8" s="276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</row>
    <row r="9" spans="1:31" ht="25.2" customHeight="1" x14ac:dyDescent="0.3">
      <c r="A9" s="25"/>
      <c r="B9" s="25"/>
      <c r="C9" s="25"/>
      <c r="D9" s="25"/>
      <c r="E9" s="26"/>
      <c r="F9" s="26"/>
      <c r="G9" s="26"/>
      <c r="H9" s="26"/>
      <c r="I9" s="26"/>
      <c r="J9" s="26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</row>
    <row r="10" spans="1:31" ht="25.2" customHeight="1" x14ac:dyDescent="0.3">
      <c r="A10" s="25"/>
      <c r="B10" s="25"/>
      <c r="C10" s="25"/>
      <c r="D10" s="25"/>
      <c r="E10" s="26"/>
      <c r="F10" s="27"/>
      <c r="G10" s="27"/>
      <c r="H10" s="27"/>
      <c r="I10" s="27"/>
      <c r="J10" s="27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</row>
    <row r="11" spans="1:31" ht="25.2" customHeight="1" x14ac:dyDescent="0.3">
      <c r="A11" s="25"/>
      <c r="B11" s="25"/>
      <c r="C11" s="25"/>
      <c r="D11" s="25"/>
      <c r="E11" s="26"/>
      <c r="F11" s="27"/>
      <c r="G11" s="27"/>
      <c r="H11" s="27"/>
      <c r="I11" s="27"/>
      <c r="J11" s="27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</row>
    <row r="12" spans="1:31" ht="25.2" customHeight="1" x14ac:dyDescent="0.3">
      <c r="A12" s="25"/>
      <c r="B12" s="25"/>
      <c r="C12" s="25"/>
      <c r="D12" s="25"/>
      <c r="E12" s="26"/>
      <c r="F12" s="27"/>
      <c r="G12" s="27"/>
      <c r="H12" s="27"/>
      <c r="I12" s="27"/>
      <c r="J12" s="27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</row>
    <row r="13" spans="1:31" ht="25.2" customHeight="1" x14ac:dyDescent="0.3">
      <c r="A13" s="25"/>
      <c r="B13" s="25"/>
      <c r="C13" s="25"/>
      <c r="D13" s="25"/>
      <c r="E13" s="26"/>
      <c r="F13" s="27"/>
      <c r="G13" s="27"/>
      <c r="H13" s="27"/>
      <c r="I13" s="27"/>
      <c r="J13" s="27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</row>
    <row r="14" spans="1:31" x14ac:dyDescent="0.3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</row>
    <row r="15" spans="1:31" x14ac:dyDescent="0.3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</row>
    <row r="16" spans="1:31" x14ac:dyDescent="0.3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</row>
    <row r="17" spans="1:3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</row>
    <row r="18" spans="1:31" ht="14.4" customHeight="1" x14ac:dyDescent="0.3">
      <c r="A18" s="25"/>
      <c r="B18" s="25"/>
      <c r="C18" s="25"/>
      <c r="D18" s="25"/>
      <c r="E18" s="25"/>
      <c r="F18" s="277"/>
      <c r="G18" s="277"/>
      <c r="H18" s="277"/>
      <c r="I18" s="277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</row>
    <row r="19" spans="1:31" ht="14.4" customHeight="1" x14ac:dyDescent="0.3">
      <c r="A19" s="25"/>
      <c r="B19" s="25"/>
      <c r="C19" s="25"/>
      <c r="D19" s="25"/>
      <c r="E19" s="25"/>
      <c r="F19" s="277"/>
      <c r="G19" s="277"/>
      <c r="H19" s="277"/>
      <c r="I19" s="277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</row>
    <row r="20" spans="1:31" ht="14.4" customHeight="1" x14ac:dyDescent="0.3">
      <c r="A20" s="25"/>
      <c r="B20" s="25"/>
      <c r="C20" s="25"/>
      <c r="D20" s="25"/>
      <c r="E20" s="25"/>
      <c r="F20" s="278"/>
      <c r="G20" s="278"/>
      <c r="H20" s="279"/>
      <c r="I20" s="280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</row>
    <row r="21" spans="1:31" ht="14.4" customHeight="1" x14ac:dyDescent="0.3">
      <c r="A21" s="25"/>
      <c r="B21" s="25"/>
      <c r="C21" s="25"/>
      <c r="D21" s="25"/>
      <c r="E21" s="25"/>
      <c r="F21" s="278"/>
      <c r="G21" s="278"/>
      <c r="H21" s="279"/>
      <c r="I21" s="280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</row>
    <row r="22" spans="1:31" ht="17.399999999999999" customHeight="1" x14ac:dyDescent="0.3">
      <c r="A22" s="25"/>
      <c r="B22" s="25"/>
      <c r="C22" s="25"/>
      <c r="D22" s="25"/>
      <c r="E22" s="25"/>
      <c r="F22" s="28"/>
      <c r="G22" s="28"/>
      <c r="H22" s="29"/>
      <c r="I22" s="29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</row>
    <row r="23" spans="1:31" ht="17.399999999999999" x14ac:dyDescent="0.3">
      <c r="A23" s="25"/>
      <c r="B23" s="25"/>
      <c r="C23" s="25"/>
      <c r="D23" s="25"/>
      <c r="E23" s="25"/>
      <c r="F23" s="281"/>
      <c r="G23" s="281"/>
      <c r="H23" s="30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</row>
    <row r="24" spans="1:31" ht="28.8" x14ac:dyDescent="0.3">
      <c r="A24" s="25"/>
      <c r="B24" s="25"/>
      <c r="C24" s="25"/>
      <c r="D24" s="25"/>
      <c r="E24" s="25"/>
      <c r="F24" s="31"/>
      <c r="G24" s="32"/>
      <c r="H24" s="29"/>
      <c r="I24" s="29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</row>
    <row r="25" spans="1:31" ht="17.399999999999999" x14ac:dyDescent="0.3">
      <c r="A25" s="25"/>
      <c r="B25" s="25"/>
      <c r="C25" s="25"/>
      <c r="D25" s="25"/>
      <c r="E25" s="25"/>
      <c r="F25" s="281"/>
      <c r="G25" s="281"/>
      <c r="H25" s="30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</row>
    <row r="26" spans="1:31" ht="28.8" x14ac:dyDescent="0.3">
      <c r="A26" s="25"/>
      <c r="B26" s="25"/>
      <c r="C26" s="25"/>
      <c r="D26" s="25"/>
      <c r="E26" s="25"/>
      <c r="F26" s="33"/>
      <c r="G26" s="32"/>
      <c r="H26" s="29"/>
      <c r="I26" s="29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</row>
    <row r="27" spans="1:31" ht="17.399999999999999" x14ac:dyDescent="0.3">
      <c r="A27" s="25"/>
      <c r="B27" s="25"/>
      <c r="C27" s="25"/>
      <c r="D27" s="25"/>
      <c r="E27" s="25"/>
      <c r="F27" s="281"/>
      <c r="G27" s="281"/>
      <c r="H27" s="30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</row>
    <row r="28" spans="1:31" ht="28.8" x14ac:dyDescent="0.3">
      <c r="A28" s="25"/>
      <c r="B28" s="25"/>
      <c r="C28" s="25"/>
      <c r="D28" s="25"/>
      <c r="E28" s="25"/>
      <c r="F28" s="31"/>
      <c r="G28" s="32"/>
      <c r="H28" s="29"/>
      <c r="I28" s="29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</row>
    <row r="29" spans="1:31" ht="17.399999999999999" x14ac:dyDescent="0.3">
      <c r="A29" s="25"/>
      <c r="B29" s="25"/>
      <c r="C29" s="25"/>
      <c r="D29" s="25"/>
      <c r="E29" s="25"/>
      <c r="F29" s="281"/>
      <c r="G29" s="281"/>
      <c r="H29" s="30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</row>
    <row r="30" spans="1:31" ht="28.8" x14ac:dyDescent="0.3">
      <c r="A30" s="25"/>
      <c r="B30" s="25"/>
      <c r="C30" s="25"/>
      <c r="D30" s="25"/>
      <c r="E30" s="25"/>
      <c r="F30" s="33"/>
      <c r="G30" s="34"/>
      <c r="H30" s="35"/>
      <c r="I30" s="29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</row>
    <row r="31" spans="1:31" ht="17.399999999999999" x14ac:dyDescent="0.3">
      <c r="A31" s="25"/>
      <c r="B31" s="25"/>
      <c r="C31" s="25"/>
      <c r="D31" s="25"/>
      <c r="E31" s="25"/>
      <c r="F31" s="281"/>
      <c r="G31" s="281"/>
      <c r="H31" s="30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</row>
    <row r="32" spans="1:31" ht="28.8" x14ac:dyDescent="0.3">
      <c r="A32" s="25"/>
      <c r="B32" s="25"/>
      <c r="C32" s="25"/>
      <c r="D32" s="25"/>
      <c r="E32" s="25"/>
      <c r="F32" s="28"/>
      <c r="G32" s="36"/>
      <c r="H32" s="35"/>
      <c r="I32" s="37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</row>
    <row r="33" spans="1:31" ht="28.8" x14ac:dyDescent="0.3">
      <c r="A33" s="25"/>
      <c r="B33" s="25"/>
      <c r="C33" s="25"/>
      <c r="D33" s="25"/>
      <c r="E33" s="25"/>
      <c r="F33" s="28"/>
      <c r="G33" s="36"/>
      <c r="H33" s="35"/>
      <c r="I33" s="37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</row>
    <row r="34" spans="1:31" ht="28.8" x14ac:dyDescent="0.55000000000000004">
      <c r="A34" s="25"/>
      <c r="B34" s="25"/>
      <c r="C34" s="25"/>
      <c r="D34" s="25"/>
      <c r="E34" s="25"/>
      <c r="F34" s="28"/>
      <c r="G34" s="38"/>
      <c r="H34" s="38"/>
      <c r="I34" s="38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</row>
    <row r="35" spans="1:31" ht="28.8" x14ac:dyDescent="0.55000000000000004">
      <c r="A35" s="25"/>
      <c r="B35" s="25"/>
      <c r="C35" s="25"/>
      <c r="D35" s="25"/>
      <c r="E35" s="25"/>
      <c r="F35" s="28"/>
      <c r="G35" s="38"/>
      <c r="H35" s="38"/>
      <c r="I35" s="38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</row>
    <row r="36" spans="1:31" x14ac:dyDescent="0.3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</row>
    <row r="37" spans="1:31" x14ac:dyDescent="0.3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</row>
    <row r="38" spans="1:31" x14ac:dyDescent="0.3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</row>
    <row r="39" spans="1:31" x14ac:dyDescent="0.3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</row>
    <row r="40" spans="1:31" x14ac:dyDescent="0.3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</row>
    <row r="41" spans="1:31" x14ac:dyDescent="0.3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</row>
    <row r="42" spans="1:31" x14ac:dyDescent="0.3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</row>
    <row r="43" spans="1:31" x14ac:dyDescent="0.3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</row>
    <row r="44" spans="1:31" x14ac:dyDescent="0.3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</row>
    <row r="45" spans="1:31" x14ac:dyDescent="0.3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</row>
    <row r="46" spans="1:31" x14ac:dyDescent="0.3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</row>
    <row r="47" spans="1:31" x14ac:dyDescent="0.3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</row>
    <row r="48" spans="1:31" x14ac:dyDescent="0.3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</row>
    <row r="49" spans="1:31" x14ac:dyDescent="0.3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</row>
    <row r="50" spans="1:31" x14ac:dyDescent="0.3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</row>
    <row r="51" spans="1:31" x14ac:dyDescent="0.3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</row>
    <row r="52" spans="1:31" x14ac:dyDescent="0.3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</row>
  </sheetData>
  <mergeCells count="11">
    <mergeCell ref="F23:G23"/>
    <mergeCell ref="F25:G25"/>
    <mergeCell ref="F27:G27"/>
    <mergeCell ref="F29:G29"/>
    <mergeCell ref="F31:G31"/>
    <mergeCell ref="A2:AE2"/>
    <mergeCell ref="E7:J8"/>
    <mergeCell ref="F18:I19"/>
    <mergeCell ref="F20:G21"/>
    <mergeCell ref="H20:H21"/>
    <mergeCell ref="I20:I21"/>
  </mergeCells>
  <dataValidations count="2">
    <dataValidation type="list" allowBlank="1" showInputMessage="1" showErrorMessage="1" sqref="F18" xr:uid="{2ADC0AF5-6479-4187-A93D-BEEA1B174786}">
      <formula1>$L$14:$L$17</formula1>
    </dataValidation>
    <dataValidation allowBlank="1" showInputMessage="1" showErrorMessage="1" sqref="E9" xr:uid="{01141500-46C1-41B9-8960-103829730A06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F07E-15E2-4B10-A913-CE6AC747DCFB}">
  <sheetPr codeName="Planilha3">
    <tabColor rgb="FFFF0000"/>
  </sheetPr>
  <dimension ref="A1:BJ40"/>
  <sheetViews>
    <sheetView zoomScale="40" zoomScaleNormal="40" workbookViewId="0">
      <selection activeCell="T29" sqref="T29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  <col min="17" max="17" width="34" customWidth="1"/>
    <col min="18" max="18" width="15.6640625" customWidth="1"/>
    <col min="19" max="19" width="21.21875" customWidth="1"/>
    <col min="20" max="20" width="19.33203125" bestFit="1" customWidth="1"/>
    <col min="21" max="21" width="14.5546875" bestFit="1" customWidth="1"/>
    <col min="22" max="22" width="26.77734375" bestFit="1" customWidth="1"/>
    <col min="52" max="53" width="8.88671875" style="126"/>
  </cols>
  <sheetData>
    <row r="1" spans="1:62" s="127" customFormat="1" x14ac:dyDescent="0.3"/>
    <row r="2" spans="1:62" s="127" customFormat="1" x14ac:dyDescent="0.3"/>
    <row r="3" spans="1:62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  <c r="AZ3" s="127"/>
      <c r="BA3" s="127"/>
      <c r="BB3" s="127"/>
    </row>
    <row r="4" spans="1:62" ht="46.2" customHeight="1" x14ac:dyDescent="0.3">
      <c r="A4" s="275"/>
      <c r="B4" s="275"/>
      <c r="C4" s="275"/>
      <c r="D4" s="275"/>
      <c r="E4" s="275"/>
      <c r="F4" s="275"/>
      <c r="G4" s="275"/>
      <c r="H4" s="275"/>
      <c r="I4" s="275"/>
      <c r="J4" s="275"/>
      <c r="K4" s="275"/>
      <c r="L4" s="275"/>
      <c r="M4" s="275"/>
      <c r="N4" s="275"/>
      <c r="O4" s="275"/>
      <c r="P4" s="275"/>
      <c r="Q4" s="275"/>
      <c r="R4" s="275"/>
      <c r="S4" s="275"/>
      <c r="T4" s="275"/>
      <c r="U4" s="275"/>
      <c r="V4" s="275"/>
      <c r="W4" s="275"/>
      <c r="X4" s="275"/>
      <c r="Y4" s="275"/>
      <c r="Z4" s="275"/>
      <c r="AA4" s="275"/>
      <c r="AB4" s="275"/>
      <c r="AC4" s="275"/>
      <c r="AD4" s="275"/>
      <c r="AE4" s="275"/>
      <c r="AF4" s="275"/>
      <c r="AG4" s="275"/>
      <c r="AH4" s="275"/>
      <c r="AI4" s="275"/>
      <c r="AJ4" s="275"/>
      <c r="AK4" s="275"/>
      <c r="AL4" s="275"/>
      <c r="AM4" s="275"/>
      <c r="AN4" s="275"/>
      <c r="AO4" s="275"/>
      <c r="AP4" s="275"/>
      <c r="AQ4" s="275"/>
      <c r="AR4" s="275"/>
      <c r="AS4" s="275"/>
      <c r="AT4" s="275"/>
      <c r="AU4" s="275"/>
      <c r="AV4" s="275"/>
      <c r="AW4" s="275"/>
      <c r="AX4" s="275"/>
      <c r="AY4" s="275"/>
      <c r="AZ4" s="275"/>
      <c r="BA4" s="275"/>
      <c r="BB4" s="275"/>
      <c r="BC4" s="275"/>
      <c r="BD4" s="275"/>
      <c r="BE4" s="275"/>
      <c r="BF4" s="275"/>
      <c r="BG4" s="275"/>
      <c r="BH4" s="275"/>
      <c r="BI4" s="275"/>
      <c r="BJ4" s="275"/>
    </row>
    <row r="5" spans="1:62" x14ac:dyDescent="0.3">
      <c r="A5" s="275"/>
      <c r="B5" s="275"/>
      <c r="C5" s="275"/>
      <c r="D5" s="275"/>
      <c r="E5" s="275"/>
      <c r="F5" s="275"/>
      <c r="G5" s="275"/>
      <c r="H5" s="275"/>
      <c r="I5" s="275"/>
      <c r="J5" s="275"/>
      <c r="K5" s="275"/>
      <c r="L5" s="275"/>
      <c r="M5" s="275"/>
      <c r="N5" s="275"/>
      <c r="O5" s="275"/>
      <c r="P5" s="275"/>
      <c r="Q5" s="275"/>
      <c r="R5" s="275"/>
      <c r="S5" s="275"/>
      <c r="T5" s="275"/>
      <c r="U5" s="275"/>
      <c r="V5" s="275"/>
      <c r="W5" s="275"/>
      <c r="X5" s="275"/>
      <c r="Y5" s="275"/>
      <c r="Z5" s="275"/>
      <c r="AA5" s="275"/>
      <c r="AB5" s="275"/>
      <c r="AC5" s="275"/>
      <c r="AD5" s="275"/>
      <c r="AE5" s="275"/>
      <c r="AF5" s="275"/>
      <c r="AG5" s="275"/>
      <c r="AH5" s="275"/>
      <c r="AI5" s="275"/>
      <c r="AJ5" s="275"/>
      <c r="AK5" s="275"/>
      <c r="AL5" s="275"/>
      <c r="AM5" s="275"/>
      <c r="AN5" s="275"/>
      <c r="AO5" s="275"/>
      <c r="AP5" s="275"/>
      <c r="AQ5" s="275"/>
      <c r="AR5" s="275"/>
      <c r="AS5" s="275"/>
      <c r="AT5" s="275"/>
      <c r="AU5" s="275"/>
      <c r="AV5" s="275"/>
      <c r="AW5" s="275"/>
      <c r="AX5" s="275"/>
      <c r="AY5" s="275"/>
      <c r="AZ5" s="275"/>
      <c r="BA5" s="275"/>
      <c r="BB5" s="275"/>
      <c r="BC5" s="275"/>
      <c r="BD5" s="275"/>
      <c r="BE5" s="275"/>
      <c r="BF5" s="275"/>
      <c r="BG5" s="275"/>
      <c r="BH5" s="275"/>
      <c r="BI5" s="275"/>
      <c r="BJ5" s="275"/>
    </row>
    <row r="6" spans="1:62" x14ac:dyDescent="0.3">
      <c r="A6" s="275"/>
      <c r="B6" s="275"/>
      <c r="C6" s="275"/>
      <c r="D6" s="275"/>
      <c r="E6" s="275"/>
      <c r="F6" s="275"/>
      <c r="G6" s="275"/>
      <c r="H6" s="275"/>
      <c r="I6" s="275"/>
      <c r="J6" s="275"/>
      <c r="K6" s="275"/>
      <c r="L6" s="275"/>
      <c r="M6" s="275"/>
      <c r="N6" s="275"/>
      <c r="O6" s="275"/>
      <c r="P6" s="275"/>
      <c r="Q6" s="275"/>
      <c r="R6" s="275"/>
      <c r="S6" s="275"/>
      <c r="T6" s="275"/>
      <c r="U6" s="275"/>
      <c r="V6" s="275"/>
      <c r="W6" s="275"/>
      <c r="X6" s="275"/>
      <c r="Y6" s="275"/>
      <c r="Z6" s="275"/>
      <c r="AA6" s="275"/>
      <c r="AB6" s="275"/>
      <c r="AC6" s="275"/>
      <c r="AD6" s="275"/>
      <c r="AE6" s="275"/>
      <c r="AF6" s="275"/>
      <c r="AG6" s="275"/>
      <c r="AH6" s="275"/>
      <c r="AI6" s="275"/>
      <c r="AJ6" s="275"/>
      <c r="AK6" s="275"/>
      <c r="AL6" s="275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275"/>
      <c r="AY6" s="275"/>
      <c r="AZ6" s="275"/>
      <c r="BA6" s="275"/>
      <c r="BB6" s="275"/>
      <c r="BC6" s="275"/>
      <c r="BD6" s="275"/>
      <c r="BE6" s="275"/>
      <c r="BF6" s="275"/>
      <c r="BG6" s="275"/>
      <c r="BH6" s="275"/>
      <c r="BI6" s="275"/>
      <c r="BJ6" s="275"/>
    </row>
    <row r="7" spans="1:62" x14ac:dyDescent="0.3">
      <c r="A7" s="275"/>
      <c r="B7" s="275"/>
      <c r="C7" s="275"/>
      <c r="D7" s="275"/>
      <c r="E7" s="275"/>
      <c r="F7" s="275"/>
      <c r="G7" s="275"/>
      <c r="H7" s="275"/>
      <c r="I7" s="275"/>
      <c r="J7" s="275"/>
      <c r="K7" s="275"/>
      <c r="L7" s="275"/>
      <c r="M7" s="275"/>
      <c r="N7" s="275"/>
      <c r="O7" s="275"/>
      <c r="P7" s="275"/>
      <c r="Q7" s="275"/>
      <c r="R7" s="275"/>
      <c r="S7" s="275"/>
      <c r="T7" s="275"/>
      <c r="U7" s="275"/>
      <c r="V7" s="275"/>
      <c r="W7" s="275"/>
      <c r="X7" s="275"/>
      <c r="Y7" s="275"/>
      <c r="Z7" s="275"/>
      <c r="AA7" s="275"/>
      <c r="AB7" s="275"/>
      <c r="AC7" s="275"/>
      <c r="AD7" s="275"/>
      <c r="AE7" s="275"/>
      <c r="AF7" s="275"/>
      <c r="AG7" s="275"/>
      <c r="AH7" s="275"/>
      <c r="AI7" s="275"/>
      <c r="AJ7" s="275"/>
      <c r="AK7" s="275"/>
      <c r="AL7" s="275"/>
      <c r="AM7" s="275"/>
      <c r="AN7" s="275"/>
      <c r="AO7" s="275"/>
      <c r="AP7" s="275"/>
      <c r="AQ7" s="275"/>
      <c r="AR7" s="275"/>
      <c r="AS7" s="275"/>
      <c r="AT7" s="275"/>
      <c r="AU7" s="275"/>
      <c r="AV7" s="275"/>
      <c r="AW7" s="275"/>
      <c r="AX7" s="275"/>
      <c r="AY7" s="275"/>
      <c r="AZ7" s="275"/>
      <c r="BA7" s="275"/>
      <c r="BB7" s="275"/>
      <c r="BC7" s="275"/>
      <c r="BD7" s="275"/>
      <c r="BE7" s="275"/>
      <c r="BF7" s="275"/>
      <c r="BG7" s="275"/>
      <c r="BH7" s="275"/>
      <c r="BI7" s="275"/>
      <c r="BJ7" s="275"/>
    </row>
    <row r="9" spans="1:62" ht="14.4" customHeight="1" x14ac:dyDescent="0.3"/>
    <row r="10" spans="1:62" ht="14.4" customHeight="1" thickBot="1" x14ac:dyDescent="0.35"/>
    <row r="11" spans="1:62" ht="25.2" customHeight="1" x14ac:dyDescent="0.3">
      <c r="Q11" s="292" t="s">
        <v>1</v>
      </c>
      <c r="R11" s="293"/>
      <c r="S11" s="293"/>
      <c r="T11" s="293"/>
      <c r="U11" s="293"/>
      <c r="V11" s="294"/>
    </row>
    <row r="12" spans="1:62" ht="25.2" customHeight="1" x14ac:dyDescent="0.3">
      <c r="Q12" s="295"/>
      <c r="R12" s="296"/>
      <c r="S12" s="296"/>
      <c r="T12" s="296"/>
      <c r="U12" s="296"/>
      <c r="V12" s="297"/>
    </row>
    <row r="13" spans="1:62" ht="75" customHeight="1" x14ac:dyDescent="0.3">
      <c r="Q13" s="129" t="s">
        <v>2</v>
      </c>
      <c r="R13" s="130" t="s">
        <v>3</v>
      </c>
      <c r="S13" s="130" t="s">
        <v>4</v>
      </c>
      <c r="T13" s="130" t="s">
        <v>5</v>
      </c>
      <c r="U13" s="131" t="s">
        <v>6</v>
      </c>
      <c r="V13" s="132" t="s">
        <v>7</v>
      </c>
    </row>
    <row r="14" spans="1:62" ht="60" customHeight="1" x14ac:dyDescent="0.3">
      <c r="Q14" s="142" t="s">
        <v>8</v>
      </c>
      <c r="R14" s="133">
        <v>2</v>
      </c>
      <c r="S14" s="134">
        <v>1</v>
      </c>
      <c r="T14" s="134">
        <v>0</v>
      </c>
      <c r="U14" s="134">
        <v>1</v>
      </c>
      <c r="V14" s="135">
        <v>2</v>
      </c>
    </row>
    <row r="15" spans="1:62" ht="60" customHeight="1" x14ac:dyDescent="0.3">
      <c r="Q15" s="142" t="s">
        <v>9</v>
      </c>
      <c r="R15" s="136">
        <v>2</v>
      </c>
      <c r="S15" s="137">
        <v>1</v>
      </c>
      <c r="T15" s="137">
        <v>0</v>
      </c>
      <c r="U15" s="137">
        <v>2</v>
      </c>
      <c r="V15" s="138">
        <v>1</v>
      </c>
    </row>
    <row r="16" spans="1:62" ht="60" customHeight="1" x14ac:dyDescent="0.3">
      <c r="Q16" s="142" t="s">
        <v>10</v>
      </c>
      <c r="R16" s="136">
        <v>1</v>
      </c>
      <c r="S16" s="137">
        <v>1</v>
      </c>
      <c r="T16" s="137">
        <v>5</v>
      </c>
      <c r="U16" s="137">
        <v>3</v>
      </c>
      <c r="V16" s="138">
        <v>2</v>
      </c>
    </row>
    <row r="17" spans="17:22" ht="60" customHeight="1" thickBot="1" x14ac:dyDescent="0.35">
      <c r="Q17" s="143" t="s">
        <v>11</v>
      </c>
      <c r="R17" s="139">
        <v>4</v>
      </c>
      <c r="S17" s="140">
        <v>1</v>
      </c>
      <c r="T17" s="140">
        <v>0</v>
      </c>
      <c r="U17" s="140">
        <v>4</v>
      </c>
      <c r="V17" s="141">
        <v>1</v>
      </c>
    </row>
    <row r="18" spans="17:22" x14ac:dyDescent="0.3">
      <c r="Q18" s="126"/>
      <c r="R18" s="126"/>
      <c r="S18" s="126"/>
      <c r="T18" s="126"/>
      <c r="U18" s="126"/>
      <c r="V18" s="126"/>
    </row>
    <row r="19" spans="17:22" x14ac:dyDescent="0.3">
      <c r="Q19" s="126"/>
      <c r="R19" s="126"/>
      <c r="S19" s="126"/>
      <c r="T19" s="126"/>
      <c r="U19" s="126"/>
      <c r="V19" s="126"/>
    </row>
    <row r="20" spans="17:22" ht="14.4" customHeight="1" x14ac:dyDescent="0.3">
      <c r="Q20" s="126"/>
      <c r="R20" s="126"/>
      <c r="S20" s="126"/>
      <c r="T20" s="126"/>
      <c r="U20" s="126"/>
      <c r="V20" s="126"/>
    </row>
    <row r="21" spans="17:22" ht="14.4" customHeight="1" thickBot="1" x14ac:dyDescent="0.35">
      <c r="Q21" s="126"/>
      <c r="R21" s="126"/>
      <c r="S21" s="126"/>
      <c r="T21" s="126"/>
      <c r="U21" s="126"/>
      <c r="V21" s="126"/>
    </row>
    <row r="22" spans="17:22" ht="25.5" customHeight="1" x14ac:dyDescent="0.3">
      <c r="Q22" s="126"/>
      <c r="R22" s="298"/>
      <c r="S22" s="299"/>
      <c r="T22" s="299"/>
      <c r="U22" s="300"/>
      <c r="V22" s="126"/>
    </row>
    <row r="23" spans="17:22" ht="25.5" customHeight="1" x14ac:dyDescent="0.3">
      <c r="Q23" s="126"/>
      <c r="R23" s="301"/>
      <c r="S23" s="302"/>
      <c r="T23" s="302"/>
      <c r="U23" s="303"/>
      <c r="V23" s="126"/>
    </row>
    <row r="24" spans="17:22" ht="37.5" customHeight="1" x14ac:dyDescent="0.3">
      <c r="Q24" s="126"/>
      <c r="R24" s="284" t="s">
        <v>12</v>
      </c>
      <c r="S24" s="285"/>
      <c r="T24" s="288">
        <v>1</v>
      </c>
      <c r="U24" s="290"/>
      <c r="V24" s="126"/>
    </row>
    <row r="25" spans="17:22" ht="37.5" customHeight="1" x14ac:dyDescent="0.3">
      <c r="Q25" s="126"/>
      <c r="R25" s="286"/>
      <c r="S25" s="287"/>
      <c r="T25" s="289"/>
      <c r="U25" s="291"/>
      <c r="V25" s="126"/>
    </row>
    <row r="26" spans="17:22" ht="15" customHeight="1" x14ac:dyDescent="0.3">
      <c r="Q26" s="126"/>
      <c r="R26" s="3"/>
      <c r="S26" s="4"/>
      <c r="T26" s="5" t="s">
        <v>13</v>
      </c>
      <c r="U26" s="6" t="s">
        <v>13</v>
      </c>
      <c r="V26" s="126"/>
    </row>
    <row r="27" spans="17:22" ht="22.8" x14ac:dyDescent="0.3">
      <c r="Q27" s="126"/>
      <c r="R27" s="282" t="s">
        <v>3</v>
      </c>
      <c r="S27" s="283"/>
      <c r="T27" s="144" t="e">
        <f>VLOOKUP(R22,Q14:V17,2,FALSE)*T24</f>
        <v>#N/A</v>
      </c>
      <c r="U27" s="7"/>
      <c r="V27" s="126"/>
    </row>
    <row r="28" spans="17:22" ht="28.8" x14ac:dyDescent="0.4">
      <c r="Q28" s="126"/>
      <c r="R28" s="145"/>
      <c r="S28" s="146" t="s">
        <v>13</v>
      </c>
      <c r="T28" s="10" t="s">
        <v>13</v>
      </c>
      <c r="U28" s="6" t="s">
        <v>13</v>
      </c>
      <c r="V28" s="126"/>
    </row>
    <row r="29" spans="17:22" ht="22.8" x14ac:dyDescent="0.3">
      <c r="Q29" s="126"/>
      <c r="R29" s="282" t="s">
        <v>4</v>
      </c>
      <c r="S29" s="283"/>
      <c r="T29" s="144" t="e">
        <f>VLOOKUP(R22,Q14:V17,3,FALSE)*T24</f>
        <v>#N/A</v>
      </c>
      <c r="U29" s="7"/>
      <c r="V29" s="126"/>
    </row>
    <row r="30" spans="17:22" ht="28.8" x14ac:dyDescent="0.3">
      <c r="Q30" s="126"/>
      <c r="R30" s="147"/>
      <c r="S30" s="146" t="s">
        <v>13</v>
      </c>
      <c r="T30" s="10" t="s">
        <v>13</v>
      </c>
      <c r="U30" s="6" t="s">
        <v>13</v>
      </c>
      <c r="V30" s="126"/>
    </row>
    <row r="31" spans="17:22" ht="22.8" x14ac:dyDescent="0.3">
      <c r="Q31" s="126"/>
      <c r="R31" s="282" t="s">
        <v>5</v>
      </c>
      <c r="S31" s="283"/>
      <c r="T31" s="144" t="e">
        <f>VLOOKUP(R22,Q14:V17,4,FALSE)*T24</f>
        <v>#N/A</v>
      </c>
      <c r="U31" s="7"/>
      <c r="V31" s="126"/>
    </row>
    <row r="32" spans="17:22" ht="28.8" x14ac:dyDescent="0.4">
      <c r="Q32" s="126"/>
      <c r="R32" s="145"/>
      <c r="S32" s="146" t="s">
        <v>13</v>
      </c>
      <c r="T32" s="10" t="s">
        <v>13</v>
      </c>
      <c r="U32" s="6" t="s">
        <v>13</v>
      </c>
      <c r="V32" s="126"/>
    </row>
    <row r="33" spans="17:22" ht="22.8" x14ac:dyDescent="0.3">
      <c r="Q33" s="126"/>
      <c r="R33" s="282" t="s">
        <v>6</v>
      </c>
      <c r="S33" s="283"/>
      <c r="T33" s="144" t="e">
        <f>VLOOKUP(R22,Q14:V17,5,FALSE)*T24</f>
        <v>#N/A</v>
      </c>
      <c r="U33" s="7"/>
      <c r="V33" s="126"/>
    </row>
    <row r="34" spans="17:22" ht="28.8" x14ac:dyDescent="0.3">
      <c r="Q34" s="126"/>
      <c r="R34" s="147"/>
      <c r="S34" s="146"/>
      <c r="T34" s="148"/>
      <c r="U34" s="6"/>
      <c r="V34" s="126"/>
    </row>
    <row r="35" spans="17:22" ht="22.8" x14ac:dyDescent="0.3">
      <c r="Q35" s="126"/>
      <c r="R35" s="282" t="s">
        <v>7</v>
      </c>
      <c r="S35" s="283"/>
      <c r="T35" s="144" t="e">
        <f>VLOOKUP(R22,Q14:V17,6,FALSE)*T24</f>
        <v>#N/A</v>
      </c>
      <c r="U35" s="7"/>
      <c r="V35" s="126"/>
    </row>
    <row r="36" spans="17:22" ht="28.8" x14ac:dyDescent="0.3">
      <c r="Q36" s="126"/>
      <c r="R36" s="3"/>
      <c r="S36" s="10"/>
      <c r="T36" s="9"/>
      <c r="U36" s="11"/>
      <c r="V36" s="126"/>
    </row>
    <row r="37" spans="17:22" ht="28.8" x14ac:dyDescent="0.3">
      <c r="Q37" s="126"/>
      <c r="R37" s="3"/>
      <c r="S37" s="10"/>
      <c r="T37" s="9"/>
      <c r="U37" s="11"/>
      <c r="V37" s="126"/>
    </row>
    <row r="38" spans="17:22" ht="28.8" x14ac:dyDescent="0.55000000000000004">
      <c r="Q38" s="126"/>
      <c r="R38" s="3"/>
      <c r="S38" s="12"/>
      <c r="T38" s="12"/>
      <c r="U38" s="13"/>
      <c r="V38" s="126"/>
    </row>
    <row r="39" spans="17:22" ht="29.4" thickBot="1" x14ac:dyDescent="0.6">
      <c r="Q39" s="126"/>
      <c r="R39" s="14"/>
      <c r="S39" s="15"/>
      <c r="T39" s="15"/>
      <c r="U39" s="16"/>
      <c r="V39" s="126"/>
    </row>
    <row r="40" spans="17:22" x14ac:dyDescent="0.3">
      <c r="Q40" s="126"/>
      <c r="R40" s="126"/>
      <c r="S40" s="126"/>
      <c r="T40" s="126"/>
      <c r="U40" s="126"/>
      <c r="V40" s="126"/>
    </row>
  </sheetData>
  <mergeCells count="18">
    <mergeCell ref="AF4:BJ4"/>
    <mergeCell ref="A5:AE5"/>
    <mergeCell ref="A6:AE6"/>
    <mergeCell ref="A7:AE7"/>
    <mergeCell ref="AF5:BJ5"/>
    <mergeCell ref="AF6:BJ6"/>
    <mergeCell ref="AF7:BJ7"/>
    <mergeCell ref="A4:AE4"/>
    <mergeCell ref="U24:U25"/>
    <mergeCell ref="R27:S27"/>
    <mergeCell ref="R29:S29"/>
    <mergeCell ref="Q11:V12"/>
    <mergeCell ref="R22:U23"/>
    <mergeCell ref="R31:S31"/>
    <mergeCell ref="R33:S33"/>
    <mergeCell ref="R35:S35"/>
    <mergeCell ref="R24:S25"/>
    <mergeCell ref="T24:T25"/>
  </mergeCells>
  <dataValidations count="2">
    <dataValidation allowBlank="1" showInputMessage="1" showErrorMessage="1" sqref="Q13" xr:uid="{2ED808E8-CF0C-4865-A80A-C3738C960E89}"/>
    <dataValidation type="list" allowBlank="1" showInputMessage="1" showErrorMessage="1" sqref="R22" xr:uid="{4D907D60-AC14-400B-B799-719DE7BCD636}">
      <formula1>$L$16:$L$19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624-831E-48A8-A18E-234FDC7330F7}">
  <sheetPr codeName="Planilha4">
    <tabColor rgb="FFFF0000"/>
  </sheetPr>
  <dimension ref="A1:BA63"/>
  <sheetViews>
    <sheetView topLeftCell="C1" zoomScale="40" zoomScaleNormal="40" workbookViewId="0">
      <selection activeCell="H14" sqref="H14"/>
    </sheetView>
  </sheetViews>
  <sheetFormatPr defaultRowHeight="14.4" x14ac:dyDescent="0.3"/>
  <cols>
    <col min="8" max="8" width="8.88671875" customWidth="1"/>
    <col min="10" max="10" width="35.6640625" customWidth="1"/>
    <col min="14" max="14" width="23.44140625" bestFit="1" customWidth="1"/>
    <col min="16" max="16" width="11.44140625" customWidth="1"/>
    <col min="18" max="18" width="47.44140625" customWidth="1"/>
    <col min="23" max="23" width="17.33203125" customWidth="1"/>
    <col min="24" max="24" width="6.21875" customWidth="1"/>
    <col min="25" max="25" width="28.21875" customWidth="1"/>
    <col min="27" max="27" width="6.33203125" customWidth="1"/>
    <col min="28" max="28" width="10.5546875" customWidth="1"/>
    <col min="29" max="29" width="39.44140625" customWidth="1"/>
    <col min="30" max="30" width="8.88671875" customWidth="1"/>
    <col min="31" max="31" width="39.44140625" customWidth="1"/>
    <col min="32" max="32" width="8.88671875" customWidth="1"/>
    <col min="33" max="33" width="35.6640625" customWidth="1"/>
  </cols>
  <sheetData>
    <row r="1" spans="1:53" s="126" customFormat="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</row>
    <row r="2" spans="1:53" s="126" customForma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  <c r="AZ2" s="127"/>
      <c r="BA2" s="127"/>
    </row>
    <row r="3" spans="1:53" ht="61.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  <c r="AZ3" s="127"/>
      <c r="BA3" s="127"/>
    </row>
    <row r="4" spans="1:53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</row>
    <row r="5" spans="1:53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</row>
    <row r="6" spans="1:53" s="126" customFormat="1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53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</row>
    <row r="8" spans="1:53" ht="28.8" customHeigh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53" ht="28.8" customHeigh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53" ht="28.8" customHeight="1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53" ht="28.8" customHeight="1" thickBot="1" x14ac:dyDescent="0.3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90"/>
      <c r="P11" s="90"/>
      <c r="Q11" s="90"/>
      <c r="R11" s="90"/>
      <c r="S11" s="162"/>
      <c r="T11" s="166"/>
      <c r="U11" s="166"/>
      <c r="V11" s="166"/>
      <c r="W11" s="166"/>
      <c r="X11" s="166"/>
      <c r="Y11" s="166"/>
      <c r="Z11" s="166"/>
      <c r="AA11" s="166"/>
      <c r="AB11" s="90"/>
      <c r="AC11" s="90"/>
      <c r="AD11" s="90"/>
      <c r="AE11" s="90"/>
      <c r="AF11" s="90"/>
    </row>
    <row r="12" spans="1:53" ht="28.8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50"/>
      <c r="R12" s="313" t="s">
        <v>14</v>
      </c>
      <c r="S12" s="314"/>
      <c r="T12" s="314"/>
      <c r="U12" s="314"/>
      <c r="V12" s="314"/>
      <c r="W12" s="314"/>
      <c r="X12" s="314"/>
      <c r="Y12" s="314"/>
      <c r="Z12" s="314"/>
      <c r="AA12" s="315"/>
      <c r="AB12" s="1"/>
      <c r="AC12" s="1"/>
      <c r="AD12" s="1"/>
      <c r="AE12" s="90"/>
      <c r="AF12" s="90"/>
    </row>
    <row r="13" spans="1:53" ht="28.8" customHeight="1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26"/>
      <c r="N13" s="126"/>
      <c r="O13" s="1"/>
      <c r="P13" s="1"/>
      <c r="Q13" s="150"/>
      <c r="R13" s="316"/>
      <c r="S13" s="317"/>
      <c r="T13" s="317"/>
      <c r="U13" s="317"/>
      <c r="V13" s="317"/>
      <c r="W13" s="317"/>
      <c r="X13" s="317"/>
      <c r="Y13" s="317"/>
      <c r="Z13" s="317"/>
      <c r="AA13" s="318"/>
      <c r="AB13" s="126"/>
      <c r="AC13" s="1"/>
      <c r="AD13" s="126"/>
      <c r="AE13" s="90"/>
      <c r="AF13" s="90"/>
    </row>
    <row r="14" spans="1:53" ht="28.8" customHeight="1" x14ac:dyDescent="0.3">
      <c r="A14" s="1"/>
      <c r="B14" s="1"/>
      <c r="C14" s="1"/>
      <c r="D14" s="1"/>
      <c r="M14" s="126"/>
      <c r="N14" s="126"/>
      <c r="O14" s="151"/>
      <c r="P14" s="151"/>
      <c r="Q14" s="150"/>
      <c r="R14" s="319" t="s">
        <v>15</v>
      </c>
      <c r="S14" s="320"/>
      <c r="T14" s="320"/>
      <c r="U14" s="320"/>
      <c r="V14" s="320"/>
      <c r="W14" s="320"/>
      <c r="X14" s="320"/>
      <c r="Y14" s="320"/>
      <c r="Z14" s="320"/>
      <c r="AA14" s="321"/>
      <c r="AB14" s="126"/>
      <c r="AC14" s="1"/>
      <c r="AD14" s="126"/>
      <c r="AE14" s="90"/>
      <c r="AF14" s="90"/>
    </row>
    <row r="15" spans="1:53" ht="28.8" customHeight="1" thickBot="1" x14ac:dyDescent="0.35">
      <c r="A15" s="1"/>
      <c r="B15" s="1"/>
      <c r="C15" s="1"/>
      <c r="D15" s="1"/>
      <c r="M15" s="126"/>
      <c r="N15" s="126"/>
      <c r="O15" s="151"/>
      <c r="P15" s="151"/>
      <c r="Q15" s="150"/>
      <c r="R15" s="322"/>
      <c r="S15" s="323"/>
      <c r="T15" s="323"/>
      <c r="U15" s="323"/>
      <c r="V15" s="323"/>
      <c r="W15" s="323"/>
      <c r="X15" s="323"/>
      <c r="Y15" s="323"/>
      <c r="Z15" s="323"/>
      <c r="AA15" s="324"/>
      <c r="AB15" s="126"/>
      <c r="AC15" s="1"/>
      <c r="AD15" s="126"/>
      <c r="AE15" s="90"/>
      <c r="AF15" s="90"/>
    </row>
    <row r="16" spans="1:53" ht="28.8" customHeight="1" x14ac:dyDescent="0.3">
      <c r="A16" s="1"/>
      <c r="B16" s="1"/>
      <c r="C16" s="1"/>
      <c r="D16" s="1"/>
      <c r="M16" s="126"/>
      <c r="N16" s="126"/>
      <c r="O16" s="151"/>
      <c r="P16" s="151"/>
      <c r="Q16" s="151"/>
      <c r="R16" s="151"/>
      <c r="S16" s="151"/>
      <c r="T16" s="151"/>
      <c r="U16" s="151"/>
      <c r="V16" s="151"/>
      <c r="W16" s="151"/>
      <c r="X16" s="1"/>
      <c r="Y16" s="1"/>
      <c r="Z16" s="1"/>
      <c r="AA16" s="1"/>
      <c r="AB16" s="1"/>
      <c r="AC16" s="1"/>
      <c r="AD16" s="126"/>
      <c r="AE16" s="90"/>
      <c r="AF16" s="90"/>
    </row>
    <row r="17" spans="1:32" ht="28.8" customHeight="1" thickBot="1" x14ac:dyDescent="0.35">
      <c r="A17" s="1"/>
      <c r="B17" s="1"/>
      <c r="C17" s="1"/>
      <c r="D17" s="1"/>
      <c r="M17" s="126"/>
      <c r="N17" s="126"/>
      <c r="O17" s="150"/>
      <c r="P17" s="150"/>
      <c r="Q17" s="150"/>
      <c r="R17" s="150"/>
      <c r="S17" s="150"/>
      <c r="T17" s="150"/>
      <c r="U17" s="151"/>
      <c r="V17" s="151"/>
      <c r="W17" s="151"/>
      <c r="X17" s="151"/>
      <c r="Y17" s="151"/>
      <c r="Z17" s="151"/>
      <c r="AA17" s="151"/>
      <c r="AB17" s="1"/>
      <c r="AC17" s="1"/>
      <c r="AD17" s="126"/>
      <c r="AE17" s="167"/>
      <c r="AF17" s="167"/>
    </row>
    <row r="18" spans="1:32" ht="28.8" customHeight="1" x14ac:dyDescent="0.3">
      <c r="A18" s="1"/>
      <c r="B18" s="1"/>
      <c r="C18" s="1"/>
      <c r="D18" s="1"/>
      <c r="M18" s="304" t="s">
        <v>16</v>
      </c>
      <c r="N18" s="305"/>
      <c r="O18" s="305"/>
      <c r="P18" s="305"/>
      <c r="Q18" s="305"/>
      <c r="R18" s="305"/>
      <c r="S18" s="306"/>
      <c r="T18" s="150"/>
      <c r="U18" s="150"/>
      <c r="V18" s="151"/>
      <c r="W18" s="150"/>
      <c r="X18" s="304" t="s">
        <v>16</v>
      </c>
      <c r="Y18" s="305"/>
      <c r="Z18" s="305"/>
      <c r="AA18" s="305"/>
      <c r="AB18" s="305"/>
      <c r="AC18" s="305"/>
      <c r="AD18" s="306"/>
      <c r="AE18" s="167"/>
      <c r="AF18" s="167"/>
    </row>
    <row r="19" spans="1:32" ht="28.8" customHeight="1" x14ac:dyDescent="0.3">
      <c r="A19" s="1"/>
      <c r="B19" s="1"/>
      <c r="C19" s="1"/>
      <c r="D19" s="1"/>
      <c r="M19" s="307"/>
      <c r="N19" s="308"/>
      <c r="O19" s="308"/>
      <c r="P19" s="308"/>
      <c r="Q19" s="308"/>
      <c r="R19" s="308"/>
      <c r="S19" s="309"/>
      <c r="T19" s="150"/>
      <c r="U19" s="150"/>
      <c r="V19" s="151"/>
      <c r="W19" s="150"/>
      <c r="X19" s="307"/>
      <c r="Y19" s="308"/>
      <c r="Z19" s="308"/>
      <c r="AA19" s="308"/>
      <c r="AB19" s="308"/>
      <c r="AC19" s="308"/>
      <c r="AD19" s="309"/>
      <c r="AE19" s="167"/>
      <c r="AF19" s="167"/>
    </row>
    <row r="20" spans="1:32" ht="28.8" customHeight="1" thickBot="1" x14ac:dyDescent="0.6">
      <c r="A20" s="1"/>
      <c r="B20" s="1"/>
      <c r="C20" s="1"/>
      <c r="D20" s="1"/>
      <c r="M20" s="310"/>
      <c r="N20" s="311"/>
      <c r="O20" s="311"/>
      <c r="P20" s="311"/>
      <c r="Q20" s="311"/>
      <c r="R20" s="311"/>
      <c r="S20" s="312"/>
      <c r="T20" s="150"/>
      <c r="U20" s="150"/>
      <c r="V20" s="151"/>
      <c r="W20" s="150"/>
      <c r="X20" s="310"/>
      <c r="Y20" s="311"/>
      <c r="Z20" s="311"/>
      <c r="AA20" s="311"/>
      <c r="AB20" s="311"/>
      <c r="AC20" s="311"/>
      <c r="AD20" s="312"/>
      <c r="AE20" s="55"/>
      <c r="AF20" s="55"/>
    </row>
    <row r="21" spans="1:32" ht="28.8" customHeight="1" x14ac:dyDescent="0.55000000000000004">
      <c r="A21" s="1"/>
      <c r="B21" s="1"/>
      <c r="C21" s="1"/>
      <c r="D21" s="1"/>
      <c r="M21" s="17" t="s">
        <v>13</v>
      </c>
      <c r="N21" s="19" t="s">
        <v>13</v>
      </c>
      <c r="O21" s="19" t="s">
        <v>13</v>
      </c>
      <c r="P21" s="19" t="s">
        <v>13</v>
      </c>
      <c r="Q21" s="19" t="s">
        <v>13</v>
      </c>
      <c r="R21" s="12" t="s">
        <v>13</v>
      </c>
      <c r="S21" s="154" t="s">
        <v>13</v>
      </c>
      <c r="T21" s="150"/>
      <c r="U21" s="150"/>
      <c r="V21" s="151"/>
      <c r="W21" s="150"/>
      <c r="X21" s="53" t="s">
        <v>13</v>
      </c>
      <c r="Y21" s="153" t="s">
        <v>13</v>
      </c>
      <c r="Z21" s="153" t="s">
        <v>13</v>
      </c>
      <c r="AA21" s="153" t="s">
        <v>13</v>
      </c>
      <c r="AB21" s="153" t="s">
        <v>13</v>
      </c>
      <c r="AC21" s="12" t="s">
        <v>13</v>
      </c>
      <c r="AD21" s="13" t="s">
        <v>13</v>
      </c>
      <c r="AE21" s="91"/>
      <c r="AF21" s="55"/>
    </row>
    <row r="22" spans="1:32" ht="28.8" customHeight="1" x14ac:dyDescent="0.55000000000000004">
      <c r="A22" s="1"/>
      <c r="B22" s="1"/>
      <c r="C22" s="1"/>
      <c r="D22" s="1"/>
      <c r="M22" s="17" t="s">
        <v>13</v>
      </c>
      <c r="N22" s="152" t="s">
        <v>17</v>
      </c>
      <c r="O22" s="18"/>
      <c r="P22" s="19" t="s">
        <v>13</v>
      </c>
      <c r="Q22" s="19" t="s">
        <v>13</v>
      </c>
      <c r="R22" s="149" t="s">
        <v>18</v>
      </c>
      <c r="S22" s="154" t="s">
        <v>13</v>
      </c>
      <c r="T22" s="150"/>
      <c r="U22" s="150"/>
      <c r="V22" s="151"/>
      <c r="W22" s="150"/>
      <c r="X22" s="53" t="s">
        <v>13</v>
      </c>
      <c r="Y22" s="155" t="s">
        <v>17</v>
      </c>
      <c r="Z22" s="156"/>
      <c r="AA22" s="153" t="s">
        <v>13</v>
      </c>
      <c r="AB22" s="153" t="s">
        <v>13</v>
      </c>
      <c r="AC22" s="149" t="s">
        <v>19</v>
      </c>
      <c r="AD22" s="13" t="s">
        <v>13</v>
      </c>
      <c r="AE22" s="55"/>
      <c r="AF22" s="55"/>
    </row>
    <row r="23" spans="1:32" ht="28.8" customHeight="1" x14ac:dyDescent="0.55000000000000004">
      <c r="A23" s="1"/>
      <c r="B23" s="1"/>
      <c r="C23" s="1"/>
      <c r="D23" s="1"/>
      <c r="M23" s="17" t="s">
        <v>13</v>
      </c>
      <c r="N23" s="19" t="s">
        <v>13</v>
      </c>
      <c r="O23" s="19" t="s">
        <v>13</v>
      </c>
      <c r="P23" s="19" t="s">
        <v>13</v>
      </c>
      <c r="Q23" s="19" t="s">
        <v>13</v>
      </c>
      <c r="R23" s="12" t="s">
        <v>13</v>
      </c>
      <c r="S23" s="13" t="s">
        <v>13</v>
      </c>
      <c r="T23" s="126"/>
      <c r="U23" s="126"/>
      <c r="V23" s="1"/>
      <c r="W23" s="126"/>
      <c r="X23" s="17" t="s">
        <v>13</v>
      </c>
      <c r="Y23" s="19" t="s">
        <v>13</v>
      </c>
      <c r="Z23" s="19" t="s">
        <v>13</v>
      </c>
      <c r="AA23" s="19" t="s">
        <v>13</v>
      </c>
      <c r="AB23" s="19" t="s">
        <v>13</v>
      </c>
      <c r="AC23" s="12" t="s">
        <v>13</v>
      </c>
      <c r="AD23" s="13" t="s">
        <v>13</v>
      </c>
      <c r="AE23" s="91"/>
      <c r="AF23" s="55"/>
    </row>
    <row r="24" spans="1:32" ht="28.8" customHeight="1" x14ac:dyDescent="0.55000000000000004">
      <c r="A24" s="1"/>
      <c r="B24" s="1"/>
      <c r="C24" s="1"/>
      <c r="D24" s="1"/>
      <c r="M24" s="17" t="s">
        <v>13</v>
      </c>
      <c r="N24" s="152" t="s">
        <v>20</v>
      </c>
      <c r="O24" s="18"/>
      <c r="P24" s="19" t="s">
        <v>13</v>
      </c>
      <c r="Q24" s="19" t="s">
        <v>13</v>
      </c>
      <c r="R24" s="149" t="s">
        <v>21</v>
      </c>
      <c r="S24" s="154" t="s">
        <v>13</v>
      </c>
      <c r="T24" s="150"/>
      <c r="U24" s="150"/>
      <c r="V24" s="151"/>
      <c r="W24" s="150"/>
      <c r="X24" s="53" t="s">
        <v>13</v>
      </c>
      <c r="Y24" s="155" t="s">
        <v>20</v>
      </c>
      <c r="Z24" s="18"/>
      <c r="AA24" s="19" t="s">
        <v>13</v>
      </c>
      <c r="AB24" s="19" t="s">
        <v>13</v>
      </c>
      <c r="AC24" s="149" t="s">
        <v>22</v>
      </c>
      <c r="AD24" s="13" t="s">
        <v>13</v>
      </c>
      <c r="AE24" s="55"/>
      <c r="AF24" s="55"/>
    </row>
    <row r="25" spans="1:32" ht="28.8" customHeight="1" x14ac:dyDescent="0.55000000000000004">
      <c r="A25" s="1"/>
      <c r="B25" s="1"/>
      <c r="C25" s="1"/>
      <c r="D25" s="1"/>
      <c r="M25" s="17" t="s">
        <v>13</v>
      </c>
      <c r="N25" s="19" t="s">
        <v>13</v>
      </c>
      <c r="O25" s="19" t="s">
        <v>13</v>
      </c>
      <c r="P25" s="19" t="s">
        <v>13</v>
      </c>
      <c r="Q25" s="19" t="s">
        <v>13</v>
      </c>
      <c r="R25" s="157" t="s">
        <v>13</v>
      </c>
      <c r="S25" s="154" t="s">
        <v>13</v>
      </c>
      <c r="T25" s="150"/>
      <c r="U25" s="150"/>
      <c r="V25" s="151"/>
      <c r="W25" s="150"/>
      <c r="X25" s="53" t="s">
        <v>13</v>
      </c>
      <c r="Y25" s="153" t="s">
        <v>13</v>
      </c>
      <c r="Z25" s="19" t="s">
        <v>13</v>
      </c>
      <c r="AA25" s="19" t="s">
        <v>13</v>
      </c>
      <c r="AB25" s="19" t="s">
        <v>13</v>
      </c>
      <c r="AC25" s="12" t="s">
        <v>13</v>
      </c>
      <c r="AD25" s="13" t="s">
        <v>13</v>
      </c>
      <c r="AE25" s="55"/>
      <c r="AF25" s="55"/>
    </row>
    <row r="26" spans="1:32" ht="28.8" customHeight="1" thickBot="1" x14ac:dyDescent="0.6">
      <c r="A26" s="1"/>
      <c r="B26" s="1"/>
      <c r="C26" s="1"/>
      <c r="D26" s="1"/>
      <c r="M26" s="20" t="s">
        <v>13</v>
      </c>
      <c r="N26" s="21" t="s">
        <v>13</v>
      </c>
      <c r="O26" s="21" t="s">
        <v>13</v>
      </c>
      <c r="P26" s="21" t="s">
        <v>13</v>
      </c>
      <c r="Q26" s="21" t="s">
        <v>13</v>
      </c>
      <c r="R26" s="158" t="s">
        <v>13</v>
      </c>
      <c r="S26" s="159" t="s">
        <v>13</v>
      </c>
      <c r="T26" s="150"/>
      <c r="U26" s="150"/>
      <c r="V26" s="151"/>
      <c r="W26" s="150"/>
      <c r="X26" s="160" t="s">
        <v>13</v>
      </c>
      <c r="Y26" s="161" t="s">
        <v>13</v>
      </c>
      <c r="Z26" s="21" t="s">
        <v>13</v>
      </c>
      <c r="AA26" s="21" t="s">
        <v>13</v>
      </c>
      <c r="AB26" s="21" t="s">
        <v>13</v>
      </c>
      <c r="AC26" s="15" t="s">
        <v>13</v>
      </c>
      <c r="AD26" s="16" t="s">
        <v>13</v>
      </c>
      <c r="AE26" s="90"/>
      <c r="AF26" s="90"/>
    </row>
    <row r="27" spans="1:32" ht="28.8" customHeight="1" x14ac:dyDescent="0.3">
      <c r="A27" s="1"/>
      <c r="B27" s="1"/>
      <c r="C27" s="1"/>
      <c r="D27" s="1"/>
      <c r="M27" s="126"/>
      <c r="N27" s="126"/>
      <c r="O27" s="126"/>
      <c r="P27" s="126"/>
      <c r="Q27" s="126"/>
      <c r="R27" s="150"/>
      <c r="S27" s="150"/>
      <c r="T27" s="150"/>
      <c r="U27" s="151"/>
      <c r="V27" s="151"/>
      <c r="W27" s="151"/>
      <c r="X27" s="151"/>
      <c r="Y27" s="151"/>
      <c r="Z27" s="1"/>
      <c r="AA27" s="1"/>
      <c r="AB27" s="1"/>
      <c r="AC27" s="1"/>
      <c r="AD27" s="126"/>
      <c r="AE27" s="90"/>
      <c r="AF27" s="90"/>
    </row>
    <row r="28" spans="1:32" ht="28.8" customHeight="1" thickBot="1" x14ac:dyDescent="0.35">
      <c r="A28" s="1"/>
      <c r="B28" s="1"/>
      <c r="C28" s="1"/>
      <c r="D28" s="1"/>
      <c r="M28" s="126"/>
      <c r="N28" s="126"/>
      <c r="O28" s="1"/>
      <c r="P28" s="1"/>
      <c r="Q28" s="1"/>
      <c r="R28" s="1"/>
      <c r="S28" s="1"/>
      <c r="T28" s="1"/>
      <c r="U28" s="151"/>
      <c r="V28" s="151"/>
      <c r="W28" s="151"/>
      <c r="X28" s="151"/>
      <c r="Y28" s="151"/>
      <c r="Z28" s="151"/>
      <c r="AA28" s="151"/>
      <c r="AB28" s="1"/>
      <c r="AC28" s="1"/>
      <c r="AD28" s="126"/>
      <c r="AE28" s="167"/>
      <c r="AF28" s="167"/>
    </row>
    <row r="29" spans="1:32" ht="28.8" customHeight="1" x14ac:dyDescent="0.3">
      <c r="A29" s="1"/>
      <c r="B29" s="1"/>
      <c r="C29" s="1"/>
      <c r="D29" s="1"/>
      <c r="M29" s="304" t="s">
        <v>16</v>
      </c>
      <c r="N29" s="305"/>
      <c r="O29" s="305"/>
      <c r="P29" s="305"/>
      <c r="Q29" s="305"/>
      <c r="R29" s="305"/>
      <c r="S29" s="306"/>
      <c r="T29" s="126"/>
      <c r="U29" s="150"/>
      <c r="V29" s="151"/>
      <c r="W29" s="150"/>
      <c r="X29" s="304" t="s">
        <v>16</v>
      </c>
      <c r="Y29" s="305"/>
      <c r="Z29" s="305"/>
      <c r="AA29" s="305"/>
      <c r="AB29" s="305"/>
      <c r="AC29" s="305"/>
      <c r="AD29" s="306"/>
      <c r="AE29" s="167"/>
      <c r="AF29" s="167"/>
    </row>
    <row r="30" spans="1:32" ht="28.8" customHeight="1" x14ac:dyDescent="0.3">
      <c r="A30" s="1"/>
      <c r="B30" s="1"/>
      <c r="C30" s="1"/>
      <c r="D30" s="1"/>
      <c r="M30" s="307"/>
      <c r="N30" s="308"/>
      <c r="O30" s="308"/>
      <c r="P30" s="308"/>
      <c r="Q30" s="308"/>
      <c r="R30" s="308"/>
      <c r="S30" s="309"/>
      <c r="T30" s="150"/>
      <c r="U30" s="150"/>
      <c r="V30" s="151"/>
      <c r="W30" s="150"/>
      <c r="X30" s="307"/>
      <c r="Y30" s="308"/>
      <c r="Z30" s="308"/>
      <c r="AA30" s="308"/>
      <c r="AB30" s="308"/>
      <c r="AC30" s="308"/>
      <c r="AD30" s="309"/>
      <c r="AE30" s="167"/>
      <c r="AF30" s="167"/>
    </row>
    <row r="31" spans="1:32" ht="28.8" customHeight="1" thickBot="1" x14ac:dyDescent="0.6">
      <c r="A31" s="1"/>
      <c r="B31" s="1"/>
      <c r="C31" s="1"/>
      <c r="D31" s="1"/>
      <c r="M31" s="310"/>
      <c r="N31" s="311"/>
      <c r="O31" s="311"/>
      <c r="P31" s="311"/>
      <c r="Q31" s="311"/>
      <c r="R31" s="311"/>
      <c r="S31" s="312"/>
      <c r="T31" s="150"/>
      <c r="U31" s="150"/>
      <c r="V31" s="151"/>
      <c r="W31" s="150"/>
      <c r="X31" s="310"/>
      <c r="Y31" s="311"/>
      <c r="Z31" s="311"/>
      <c r="AA31" s="311"/>
      <c r="AB31" s="311"/>
      <c r="AC31" s="311"/>
      <c r="AD31" s="312"/>
      <c r="AE31" s="55"/>
      <c r="AF31" s="55"/>
    </row>
    <row r="32" spans="1:32" ht="28.8" customHeight="1" x14ac:dyDescent="0.55000000000000004">
      <c r="A32" s="1"/>
      <c r="B32" s="1"/>
      <c r="C32" s="1"/>
      <c r="D32" s="1"/>
      <c r="M32" s="17" t="s">
        <v>13</v>
      </c>
      <c r="N32" s="56" t="s">
        <v>13</v>
      </c>
      <c r="O32" s="56" t="s">
        <v>13</v>
      </c>
      <c r="P32" s="56" t="s">
        <v>13</v>
      </c>
      <c r="Q32" s="56" t="s">
        <v>13</v>
      </c>
      <c r="R32" s="58" t="s">
        <v>13</v>
      </c>
      <c r="S32" s="154" t="s">
        <v>13</v>
      </c>
      <c r="T32" s="150"/>
      <c r="U32" s="150"/>
      <c r="V32" s="151"/>
      <c r="W32" s="150"/>
      <c r="X32" s="53" t="s">
        <v>13</v>
      </c>
      <c r="Y32" s="52" t="s">
        <v>13</v>
      </c>
      <c r="Z32" s="52" t="s">
        <v>13</v>
      </c>
      <c r="AA32" s="52" t="s">
        <v>13</v>
      </c>
      <c r="AB32" s="52" t="s">
        <v>13</v>
      </c>
      <c r="AC32" s="58" t="s">
        <v>13</v>
      </c>
      <c r="AD32" s="13" t="s">
        <v>13</v>
      </c>
      <c r="AE32" s="91"/>
      <c r="AF32" s="55"/>
    </row>
    <row r="33" spans="1:32" ht="28.8" customHeight="1" x14ac:dyDescent="0.55000000000000004">
      <c r="A33" s="1"/>
      <c r="B33" s="1"/>
      <c r="C33" s="1"/>
      <c r="D33" s="1"/>
      <c r="M33" s="17" t="s">
        <v>13</v>
      </c>
      <c r="N33" s="164" t="s">
        <v>17</v>
      </c>
      <c r="O33" s="57"/>
      <c r="P33" s="56" t="s">
        <v>13</v>
      </c>
      <c r="Q33" s="56" t="s">
        <v>13</v>
      </c>
      <c r="R33" s="149" t="s">
        <v>23</v>
      </c>
      <c r="S33" s="154" t="s">
        <v>13</v>
      </c>
      <c r="T33" s="150"/>
      <c r="U33" s="150"/>
      <c r="V33" s="151"/>
      <c r="W33" s="150"/>
      <c r="X33" s="53" t="s">
        <v>13</v>
      </c>
      <c r="Y33" s="165" t="s">
        <v>17</v>
      </c>
      <c r="Z33" s="92"/>
      <c r="AA33" s="52" t="s">
        <v>13</v>
      </c>
      <c r="AB33" s="52" t="s">
        <v>13</v>
      </c>
      <c r="AC33" s="149" t="s">
        <v>24</v>
      </c>
      <c r="AD33" s="13" t="s">
        <v>13</v>
      </c>
      <c r="AE33" s="55"/>
      <c r="AF33" s="55"/>
    </row>
    <row r="34" spans="1:32" ht="28.8" customHeight="1" x14ac:dyDescent="0.55000000000000004">
      <c r="A34" s="1"/>
      <c r="B34" s="1"/>
      <c r="C34" s="1"/>
      <c r="D34" s="1"/>
      <c r="M34" s="17" t="s">
        <v>13</v>
      </c>
      <c r="N34" s="56" t="s">
        <v>13</v>
      </c>
      <c r="O34" s="56" t="s">
        <v>13</v>
      </c>
      <c r="P34" s="56" t="s">
        <v>13</v>
      </c>
      <c r="Q34" s="56" t="s">
        <v>13</v>
      </c>
      <c r="R34" s="58" t="s">
        <v>13</v>
      </c>
      <c r="S34" s="13" t="s">
        <v>13</v>
      </c>
      <c r="T34" s="126"/>
      <c r="U34" s="126"/>
      <c r="V34" s="1"/>
      <c r="W34" s="126"/>
      <c r="X34" s="17" t="s">
        <v>13</v>
      </c>
      <c r="Y34" s="56" t="s">
        <v>13</v>
      </c>
      <c r="Z34" s="56" t="s">
        <v>13</v>
      </c>
      <c r="AA34" s="56" t="s">
        <v>13</v>
      </c>
      <c r="AB34" s="56" t="s">
        <v>13</v>
      </c>
      <c r="AC34" s="58" t="s">
        <v>13</v>
      </c>
      <c r="AD34" s="13" t="s">
        <v>13</v>
      </c>
      <c r="AE34" s="91"/>
      <c r="AF34" s="55"/>
    </row>
    <row r="35" spans="1:32" ht="28.8" customHeight="1" x14ac:dyDescent="0.55000000000000004">
      <c r="A35" s="1"/>
      <c r="B35" s="1"/>
      <c r="C35" s="1"/>
      <c r="D35" s="1"/>
      <c r="M35" s="17" t="s">
        <v>13</v>
      </c>
      <c r="N35" s="164" t="s">
        <v>20</v>
      </c>
      <c r="O35" s="57"/>
      <c r="P35" s="56" t="s">
        <v>13</v>
      </c>
      <c r="Q35" s="56" t="s">
        <v>13</v>
      </c>
      <c r="R35" s="149" t="s">
        <v>25</v>
      </c>
      <c r="S35" s="13" t="s">
        <v>13</v>
      </c>
      <c r="T35" s="126"/>
      <c r="U35" s="126"/>
      <c r="V35" s="1"/>
      <c r="W35" s="126"/>
      <c r="X35" s="17" t="s">
        <v>13</v>
      </c>
      <c r="Y35" s="164" t="s">
        <v>20</v>
      </c>
      <c r="Z35" s="57"/>
      <c r="AA35" s="56" t="s">
        <v>13</v>
      </c>
      <c r="AB35" s="56" t="s">
        <v>13</v>
      </c>
      <c r="AC35" s="149" t="s">
        <v>26</v>
      </c>
      <c r="AD35" s="13" t="s">
        <v>13</v>
      </c>
      <c r="AE35" s="55"/>
      <c r="AF35" s="55"/>
    </row>
    <row r="36" spans="1:32" ht="28.8" customHeight="1" x14ac:dyDescent="0.55000000000000004">
      <c r="A36" s="1"/>
      <c r="B36" s="1"/>
      <c r="C36" s="1"/>
      <c r="D36" s="1"/>
      <c r="M36" s="17" t="s">
        <v>13</v>
      </c>
      <c r="N36" s="56" t="s">
        <v>13</v>
      </c>
      <c r="O36" s="56" t="s">
        <v>13</v>
      </c>
      <c r="P36" s="56" t="s">
        <v>13</v>
      </c>
      <c r="Q36" s="56" t="s">
        <v>13</v>
      </c>
      <c r="R36" s="58" t="s">
        <v>13</v>
      </c>
      <c r="S36" s="13" t="s">
        <v>13</v>
      </c>
      <c r="T36" s="126"/>
      <c r="U36" s="126"/>
      <c r="V36" s="1"/>
      <c r="W36" s="126"/>
      <c r="X36" s="17" t="s">
        <v>13</v>
      </c>
      <c r="Y36" s="56" t="s">
        <v>13</v>
      </c>
      <c r="Z36" s="56" t="s">
        <v>13</v>
      </c>
      <c r="AA36" s="56" t="s">
        <v>13</v>
      </c>
      <c r="AB36" s="56" t="s">
        <v>13</v>
      </c>
      <c r="AC36" s="58" t="s">
        <v>13</v>
      </c>
      <c r="AD36" s="13" t="s">
        <v>13</v>
      </c>
      <c r="AE36" s="55"/>
      <c r="AF36" s="55"/>
    </row>
    <row r="37" spans="1:32" ht="28.8" customHeight="1" thickBot="1" x14ac:dyDescent="0.6">
      <c r="A37" s="1"/>
      <c r="B37" s="1"/>
      <c r="C37" s="1"/>
      <c r="D37" s="1"/>
      <c r="M37" s="20" t="s">
        <v>13</v>
      </c>
      <c r="N37" s="21" t="s">
        <v>13</v>
      </c>
      <c r="O37" s="21" t="s">
        <v>13</v>
      </c>
      <c r="P37" s="21" t="s">
        <v>13</v>
      </c>
      <c r="Q37" s="21" t="s">
        <v>13</v>
      </c>
      <c r="R37" s="15" t="s">
        <v>13</v>
      </c>
      <c r="S37" s="16" t="s">
        <v>13</v>
      </c>
      <c r="T37" s="126"/>
      <c r="U37" s="126"/>
      <c r="V37" s="1"/>
      <c r="W37" s="126"/>
      <c r="X37" s="20" t="s">
        <v>13</v>
      </c>
      <c r="Y37" s="21" t="s">
        <v>13</v>
      </c>
      <c r="Z37" s="21" t="s">
        <v>13</v>
      </c>
      <c r="AA37" s="21" t="s">
        <v>13</v>
      </c>
      <c r="AB37" s="21" t="s">
        <v>13</v>
      </c>
      <c r="AC37" s="15" t="s">
        <v>13</v>
      </c>
      <c r="AD37" s="16" t="s">
        <v>13</v>
      </c>
    </row>
    <row r="38" spans="1:32" ht="28.8" customHeight="1" x14ac:dyDescent="0.3">
      <c r="A38" s="1"/>
      <c r="B38" s="1"/>
      <c r="C38" s="1"/>
      <c r="D38" s="1"/>
      <c r="O38" s="90"/>
      <c r="P38" s="90"/>
      <c r="Q38" s="90"/>
      <c r="R38" s="90"/>
      <c r="S38" s="162"/>
      <c r="T38" s="166"/>
      <c r="U38" s="166"/>
      <c r="V38" s="166"/>
      <c r="W38" s="166"/>
      <c r="X38" s="166"/>
      <c r="Y38" s="166"/>
      <c r="Z38" s="166"/>
      <c r="AA38" s="166"/>
      <c r="AB38" s="90"/>
      <c r="AC38" s="90"/>
      <c r="AD38" s="90"/>
      <c r="AE38" s="90"/>
      <c r="AF38" s="90"/>
    </row>
    <row r="39" spans="1:32" ht="28.8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90"/>
      <c r="P39" s="90"/>
      <c r="Q39" s="90"/>
      <c r="R39" s="90"/>
      <c r="S39" s="162"/>
      <c r="T39" s="166"/>
      <c r="U39" s="166"/>
      <c r="V39" s="166"/>
      <c r="W39" s="166"/>
      <c r="X39" s="166"/>
      <c r="Y39" s="166"/>
      <c r="Z39" s="166"/>
      <c r="AA39" s="166"/>
      <c r="AB39" s="90"/>
      <c r="AC39" s="90"/>
      <c r="AD39" s="90"/>
      <c r="AE39" s="90"/>
      <c r="AF39" s="90"/>
    </row>
    <row r="40" spans="1:32" ht="28.8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90"/>
      <c r="P40" s="90"/>
      <c r="Q40" s="162"/>
      <c r="R40" s="162"/>
      <c r="S40" s="162"/>
      <c r="T40" s="125"/>
      <c r="U40" s="125"/>
      <c r="V40" s="125"/>
      <c r="W40" s="125"/>
      <c r="X40" s="125"/>
      <c r="Y40" s="125"/>
      <c r="Z40" s="125"/>
      <c r="AA40" s="125"/>
      <c r="AB40" s="90"/>
      <c r="AC40" s="90"/>
      <c r="AD40" s="90"/>
      <c r="AE40" s="90"/>
      <c r="AF40" s="90"/>
    </row>
    <row r="41" spans="1:32" ht="28.8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90"/>
      <c r="P41" s="90"/>
      <c r="Q41" s="162"/>
      <c r="R41" s="162"/>
      <c r="S41" s="162"/>
      <c r="T41" s="125"/>
      <c r="U41" s="125"/>
      <c r="V41" s="125"/>
      <c r="W41" s="125"/>
      <c r="X41" s="125"/>
      <c r="Y41" s="125"/>
      <c r="Z41" s="125"/>
      <c r="AA41" s="125"/>
      <c r="AB41" s="90"/>
      <c r="AC41" s="90"/>
      <c r="AD41" s="90"/>
      <c r="AE41" s="90"/>
      <c r="AF41" s="90"/>
    </row>
    <row r="42" spans="1:32" ht="28.8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90"/>
      <c r="P42" s="90"/>
      <c r="Q42" s="162"/>
      <c r="R42" s="162"/>
      <c r="S42" s="162"/>
      <c r="T42" s="162"/>
      <c r="U42" s="162"/>
      <c r="V42" s="162"/>
      <c r="W42" s="162"/>
      <c r="X42" s="162"/>
      <c r="Y42" s="162"/>
      <c r="Z42" s="90"/>
      <c r="AA42" s="90"/>
      <c r="AB42" s="90"/>
      <c r="AC42" s="90"/>
      <c r="AD42" s="90"/>
      <c r="AE42" s="90"/>
      <c r="AF42" s="90"/>
    </row>
    <row r="43" spans="1:32" ht="28.8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90"/>
      <c r="P43" s="90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90"/>
      <c r="AE43" s="90"/>
      <c r="AF43" s="90"/>
    </row>
    <row r="44" spans="1:32" ht="24.6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67"/>
      <c r="P44" s="167"/>
      <c r="Q44" s="167"/>
      <c r="R44" s="167"/>
      <c r="S44" s="167"/>
      <c r="T44" s="167"/>
      <c r="U44" s="167"/>
      <c r="V44" s="162"/>
      <c r="W44" s="162"/>
      <c r="X44" s="162"/>
      <c r="Y44" s="162"/>
      <c r="Z44" s="167"/>
      <c r="AA44" s="167"/>
      <c r="AB44" s="167"/>
      <c r="AC44" s="167"/>
      <c r="AD44" s="167"/>
      <c r="AE44" s="167"/>
      <c r="AF44" s="167"/>
    </row>
    <row r="45" spans="1:32" ht="24.6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67"/>
      <c r="P45" s="167"/>
      <c r="Q45" s="167"/>
      <c r="R45" s="167"/>
      <c r="S45" s="167"/>
      <c r="T45" s="167"/>
      <c r="U45" s="167"/>
      <c r="V45" s="162"/>
      <c r="W45" s="162"/>
      <c r="X45" s="162"/>
      <c r="Y45" s="162"/>
      <c r="Z45" s="167"/>
      <c r="AA45" s="167"/>
      <c r="AB45" s="167"/>
      <c r="AC45" s="167"/>
      <c r="AD45" s="167"/>
      <c r="AE45" s="167"/>
      <c r="AF45" s="167"/>
    </row>
    <row r="46" spans="1:32" ht="24.6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67"/>
      <c r="P46" s="167"/>
      <c r="Q46" s="167"/>
      <c r="R46" s="167"/>
      <c r="S46" s="167"/>
      <c r="T46" s="167"/>
      <c r="U46" s="167"/>
      <c r="V46" s="162"/>
      <c r="W46" s="162"/>
      <c r="X46" s="162"/>
      <c r="Y46" s="162"/>
      <c r="Z46" s="167"/>
      <c r="AA46" s="167"/>
      <c r="AB46" s="167"/>
      <c r="AC46" s="167"/>
      <c r="AD46" s="167"/>
      <c r="AE46" s="167"/>
      <c r="AF46" s="167"/>
    </row>
    <row r="47" spans="1:32" ht="28.8" x14ac:dyDescent="0.55000000000000004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68"/>
      <c r="P47" s="168"/>
      <c r="Q47" s="168"/>
      <c r="R47" s="168"/>
      <c r="S47" s="168"/>
      <c r="T47" s="55"/>
      <c r="U47" s="169"/>
      <c r="V47" s="162"/>
      <c r="W47" s="162"/>
      <c r="X47" s="162"/>
      <c r="Y47" s="162"/>
      <c r="Z47" s="93"/>
      <c r="AA47" s="93"/>
      <c r="AB47" s="93"/>
      <c r="AC47" s="93"/>
      <c r="AD47" s="93"/>
      <c r="AE47" s="55"/>
      <c r="AF47" s="55"/>
    </row>
    <row r="48" spans="1:32" ht="28.8" x14ac:dyDescent="0.55000000000000004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68"/>
      <c r="P48" s="170"/>
      <c r="Q48" s="171"/>
      <c r="R48" s="168"/>
      <c r="S48" s="168"/>
      <c r="T48" s="91"/>
      <c r="U48" s="169"/>
      <c r="V48" s="162"/>
      <c r="W48" s="162"/>
      <c r="X48" s="162"/>
      <c r="Y48" s="162"/>
      <c r="Z48" s="93"/>
      <c r="AA48" s="172"/>
      <c r="AB48" s="94"/>
      <c r="AC48" s="93"/>
      <c r="AD48" s="93"/>
      <c r="AE48" s="91"/>
      <c r="AF48" s="55"/>
    </row>
    <row r="49" spans="1:32" ht="28.8" x14ac:dyDescent="0.55000000000000004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68"/>
      <c r="P49" s="168"/>
      <c r="Q49" s="168"/>
      <c r="R49" s="168"/>
      <c r="S49" s="168"/>
      <c r="T49" s="55"/>
      <c r="U49" s="55"/>
      <c r="V49" s="90"/>
      <c r="W49" s="90"/>
      <c r="X49" s="90"/>
      <c r="Y49" s="90"/>
      <c r="Z49" s="168"/>
      <c r="AA49" s="168"/>
      <c r="AB49" s="168"/>
      <c r="AC49" s="168"/>
      <c r="AD49" s="168"/>
      <c r="AE49" s="55"/>
      <c r="AF49" s="55"/>
    </row>
    <row r="50" spans="1:32" ht="28.8" x14ac:dyDescent="0.55000000000000004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68"/>
      <c r="P50" s="170"/>
      <c r="Q50" s="171"/>
      <c r="R50" s="168"/>
      <c r="S50" s="168"/>
      <c r="T50" s="173"/>
      <c r="U50" s="169"/>
      <c r="V50" s="162"/>
      <c r="W50" s="162"/>
      <c r="X50" s="162"/>
      <c r="Y50" s="162"/>
      <c r="Z50" s="93"/>
      <c r="AA50" s="172"/>
      <c r="AB50" s="171"/>
      <c r="AC50" s="168"/>
      <c r="AD50" s="168"/>
      <c r="AE50" s="91"/>
      <c r="AF50" s="55"/>
    </row>
    <row r="51" spans="1:32" ht="28.8" x14ac:dyDescent="0.55000000000000004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68"/>
      <c r="P51" s="168"/>
      <c r="Q51" s="168"/>
      <c r="R51" s="168"/>
      <c r="S51" s="168"/>
      <c r="T51" s="169"/>
      <c r="U51" s="169"/>
      <c r="V51" s="162"/>
      <c r="W51" s="162"/>
      <c r="X51" s="162"/>
      <c r="Y51" s="162"/>
      <c r="Z51" s="93"/>
      <c r="AA51" s="93"/>
      <c r="AB51" s="168"/>
      <c r="AC51" s="168"/>
      <c r="AD51" s="168"/>
      <c r="AE51" s="55"/>
      <c r="AF51" s="55"/>
    </row>
    <row r="52" spans="1:32" ht="28.8" x14ac:dyDescent="0.55000000000000004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68"/>
      <c r="P52" s="168"/>
      <c r="Q52" s="168"/>
      <c r="R52" s="168"/>
      <c r="S52" s="168"/>
      <c r="T52" s="169"/>
      <c r="U52" s="169"/>
      <c r="V52" s="162"/>
      <c r="W52" s="162"/>
      <c r="X52" s="162"/>
      <c r="Y52" s="162"/>
      <c r="Z52" s="93"/>
      <c r="AA52" s="93"/>
      <c r="AB52" s="168"/>
      <c r="AC52" s="168"/>
      <c r="AD52" s="168"/>
      <c r="AE52" s="55"/>
      <c r="AF52" s="55"/>
    </row>
    <row r="53" spans="1:32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90"/>
      <c r="P53" s="90"/>
      <c r="Q53" s="90"/>
      <c r="R53" s="90"/>
      <c r="S53" s="90"/>
      <c r="T53" s="162"/>
      <c r="U53" s="162"/>
      <c r="V53" s="162"/>
      <c r="W53" s="162"/>
      <c r="X53" s="162"/>
      <c r="Y53" s="162"/>
      <c r="Z53" s="162"/>
      <c r="AA53" s="162"/>
      <c r="AB53" s="90"/>
      <c r="AC53" s="90"/>
      <c r="AD53" s="90"/>
      <c r="AE53" s="90"/>
      <c r="AF53" s="90"/>
    </row>
    <row r="54" spans="1:32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90"/>
      <c r="P54" s="90"/>
      <c r="Q54" s="90"/>
      <c r="R54" s="90"/>
      <c r="S54" s="90"/>
      <c r="T54" s="90"/>
      <c r="U54" s="90"/>
      <c r="V54" s="90"/>
      <c r="W54" s="162"/>
      <c r="X54" s="162"/>
      <c r="Y54" s="162"/>
      <c r="Z54" s="162"/>
      <c r="AA54" s="162"/>
      <c r="AB54" s="162"/>
      <c r="AC54" s="162"/>
      <c r="AD54" s="90"/>
      <c r="AE54" s="90"/>
      <c r="AF54" s="90"/>
    </row>
    <row r="55" spans="1:32" ht="24.6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67"/>
      <c r="P55" s="167"/>
      <c r="Q55" s="167"/>
      <c r="R55" s="167"/>
      <c r="S55" s="167"/>
      <c r="T55" s="167"/>
      <c r="U55" s="167"/>
      <c r="V55" s="90"/>
      <c r="W55" s="162"/>
      <c r="X55" s="162"/>
      <c r="Y55" s="162"/>
      <c r="Z55" s="167"/>
      <c r="AA55" s="167"/>
      <c r="AB55" s="167"/>
      <c r="AC55" s="167"/>
      <c r="AD55" s="167"/>
      <c r="AE55" s="167"/>
      <c r="AF55" s="167"/>
    </row>
    <row r="56" spans="1:32" ht="24.6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67"/>
      <c r="P56" s="167"/>
      <c r="Q56" s="167"/>
      <c r="R56" s="167"/>
      <c r="S56" s="167"/>
      <c r="T56" s="167"/>
      <c r="U56" s="167"/>
      <c r="V56" s="162"/>
      <c r="W56" s="162"/>
      <c r="X56" s="162"/>
      <c r="Y56" s="162"/>
      <c r="Z56" s="167"/>
      <c r="AA56" s="167"/>
      <c r="AB56" s="167"/>
      <c r="AC56" s="167"/>
      <c r="AD56" s="167"/>
      <c r="AE56" s="167"/>
      <c r="AF56" s="167"/>
    </row>
    <row r="57" spans="1:32" ht="24.6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67"/>
      <c r="P57" s="167"/>
      <c r="Q57" s="167"/>
      <c r="R57" s="167"/>
      <c r="S57" s="167"/>
      <c r="T57" s="167"/>
      <c r="U57" s="167"/>
      <c r="V57" s="162"/>
      <c r="W57" s="162"/>
      <c r="X57" s="162"/>
      <c r="Y57" s="162"/>
      <c r="Z57" s="167"/>
      <c r="AA57" s="167"/>
      <c r="AB57" s="167"/>
      <c r="AC57" s="167"/>
      <c r="AD57" s="167"/>
      <c r="AE57" s="167"/>
      <c r="AF57" s="167"/>
    </row>
    <row r="58" spans="1:32" ht="28.8" x14ac:dyDescent="0.55000000000000004">
      <c r="O58" s="168"/>
      <c r="P58" s="168"/>
      <c r="Q58" s="168"/>
      <c r="R58" s="168"/>
      <c r="S58" s="168"/>
      <c r="T58" s="55"/>
      <c r="U58" s="169"/>
      <c r="V58" s="162"/>
      <c r="W58" s="162"/>
      <c r="X58" s="162"/>
      <c r="Y58" s="162"/>
      <c r="Z58" s="93"/>
      <c r="AA58" s="93"/>
      <c r="AB58" s="93"/>
      <c r="AC58" s="93"/>
      <c r="AD58" s="93"/>
      <c r="AE58" s="55"/>
      <c r="AF58" s="55"/>
    </row>
    <row r="59" spans="1:32" ht="28.8" x14ac:dyDescent="0.55000000000000004">
      <c r="O59" s="168"/>
      <c r="P59" s="170"/>
      <c r="Q59" s="171"/>
      <c r="R59" s="168"/>
      <c r="S59" s="168"/>
      <c r="T59" s="91"/>
      <c r="U59" s="169"/>
      <c r="V59" s="162"/>
      <c r="W59" s="162"/>
      <c r="X59" s="162"/>
      <c r="Y59" s="162"/>
      <c r="Z59" s="93"/>
      <c r="AA59" s="172"/>
      <c r="AB59" s="94"/>
      <c r="AC59" s="93"/>
      <c r="AD59" s="93"/>
      <c r="AE59" s="91"/>
      <c r="AF59" s="55"/>
    </row>
    <row r="60" spans="1:32" ht="28.8" x14ac:dyDescent="0.55000000000000004">
      <c r="O60" s="168"/>
      <c r="P60" s="168"/>
      <c r="Q60" s="168"/>
      <c r="R60" s="168"/>
      <c r="S60" s="168"/>
      <c r="T60" s="55"/>
      <c r="U60" s="55"/>
      <c r="V60" s="90"/>
      <c r="W60" s="90"/>
      <c r="X60" s="90"/>
      <c r="Y60" s="90"/>
      <c r="Z60" s="168"/>
      <c r="AA60" s="168"/>
      <c r="AB60" s="168"/>
      <c r="AC60" s="168"/>
      <c r="AD60" s="168"/>
      <c r="AE60" s="55"/>
      <c r="AF60" s="55"/>
    </row>
    <row r="61" spans="1:32" ht="28.8" x14ac:dyDescent="0.55000000000000004">
      <c r="O61" s="168"/>
      <c r="P61" s="170"/>
      <c r="Q61" s="171"/>
      <c r="R61" s="168"/>
      <c r="S61" s="168"/>
      <c r="T61" s="91"/>
      <c r="U61" s="55"/>
      <c r="V61" s="90"/>
      <c r="W61" s="90"/>
      <c r="X61" s="90"/>
      <c r="Y61" s="90"/>
      <c r="Z61" s="168"/>
      <c r="AA61" s="170"/>
      <c r="AB61" s="171"/>
      <c r="AC61" s="168"/>
      <c r="AD61" s="168"/>
      <c r="AE61" s="91"/>
      <c r="AF61" s="55"/>
    </row>
    <row r="62" spans="1:32" ht="28.8" x14ac:dyDescent="0.55000000000000004">
      <c r="O62" s="168"/>
      <c r="P62" s="168"/>
      <c r="Q62" s="168"/>
      <c r="R62" s="168"/>
      <c r="S62" s="168"/>
      <c r="T62" s="55"/>
      <c r="U62" s="55"/>
      <c r="V62" s="90"/>
      <c r="W62" s="90"/>
      <c r="X62" s="90"/>
      <c r="Y62" s="90"/>
      <c r="Z62" s="168"/>
      <c r="AA62" s="168"/>
      <c r="AB62" s="168"/>
      <c r="AC62" s="168"/>
      <c r="AD62" s="168"/>
      <c r="AE62" s="55"/>
      <c r="AF62" s="55"/>
    </row>
    <row r="63" spans="1:32" ht="28.8" x14ac:dyDescent="0.55000000000000004">
      <c r="O63" s="168"/>
      <c r="P63" s="168"/>
      <c r="Q63" s="168"/>
      <c r="R63" s="168"/>
      <c r="S63" s="168"/>
      <c r="T63" s="55"/>
      <c r="U63" s="55"/>
      <c r="V63" s="90"/>
      <c r="W63" s="90"/>
      <c r="X63" s="90"/>
      <c r="Y63" s="90"/>
      <c r="Z63" s="168"/>
      <c r="AA63" s="168"/>
      <c r="AB63" s="168"/>
      <c r="AC63" s="168"/>
      <c r="AD63" s="168"/>
      <c r="AE63" s="55"/>
      <c r="AF63" s="55"/>
    </row>
  </sheetData>
  <mergeCells count="6">
    <mergeCell ref="X29:AD31"/>
    <mergeCell ref="R12:AA13"/>
    <mergeCell ref="R14:AA15"/>
    <mergeCell ref="M18:S20"/>
    <mergeCell ref="X18:AD20"/>
    <mergeCell ref="M29:S3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87FF-8AFE-442B-A59F-2A5AF78A820E}">
  <sheetPr codeName="Planilha5">
    <tabColor rgb="FFFF0000"/>
  </sheetPr>
  <dimension ref="A1:BB57"/>
  <sheetViews>
    <sheetView showGridLines="0" zoomScale="40" zoomScaleNormal="40" workbookViewId="0">
      <selection activeCell="J23" sqref="J23"/>
    </sheetView>
  </sheetViews>
  <sheetFormatPr defaultRowHeight="14.4" x14ac:dyDescent="0.3"/>
  <cols>
    <col min="6" max="6" width="23.5546875" bestFit="1" customWidth="1"/>
    <col min="10" max="10" width="34.6640625" customWidth="1"/>
    <col min="11" max="11" width="8.88671875" customWidth="1"/>
    <col min="19" max="19" width="47.6640625" bestFit="1" customWidth="1"/>
    <col min="21" max="21" width="11.44140625" customWidth="1"/>
    <col min="23" max="23" width="47.44140625" customWidth="1"/>
  </cols>
  <sheetData>
    <row r="1" spans="1:54" s="126" customFormat="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</row>
    <row r="2" spans="1:54" s="126" customForma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  <c r="AZ2" s="127"/>
      <c r="BA2" s="127"/>
      <c r="BB2" s="127"/>
    </row>
    <row r="3" spans="1:54" ht="61.5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  <c r="AZ3" s="127"/>
      <c r="BA3" s="127"/>
      <c r="BB3" s="127"/>
    </row>
    <row r="4" spans="1:54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8" customHeight="1" x14ac:dyDescent="0.3"/>
    <row r="9" spans="1:54" ht="28.8" customHeight="1" x14ac:dyDescent="0.3">
      <c r="E9" s="54"/>
      <c r="F9" s="54"/>
      <c r="G9" s="54"/>
      <c r="H9" s="54"/>
      <c r="I9" s="54"/>
      <c r="J9" s="54"/>
      <c r="K9" s="54"/>
    </row>
    <row r="10" spans="1:54" ht="28.8" customHeight="1" x14ac:dyDescent="0.3">
      <c r="E10" s="54"/>
      <c r="F10" s="54"/>
      <c r="G10" s="54"/>
      <c r="H10" s="54"/>
      <c r="I10" s="54"/>
      <c r="J10" s="54"/>
      <c r="K10" s="54"/>
    </row>
    <row r="11" spans="1:54" ht="28.8" customHeight="1" x14ac:dyDescent="0.3">
      <c r="E11" s="54"/>
      <c r="F11" s="54"/>
      <c r="G11" s="54"/>
      <c r="H11" s="54"/>
      <c r="I11" s="54"/>
      <c r="J11" s="54"/>
      <c r="K11" s="54"/>
    </row>
    <row r="12" spans="1:54" ht="28.8" customHeight="1" x14ac:dyDescent="0.55000000000000004">
      <c r="E12" s="168"/>
      <c r="F12" s="168"/>
      <c r="G12" s="168"/>
      <c r="H12" s="168"/>
      <c r="I12" s="168"/>
      <c r="J12" s="55"/>
      <c r="K12" s="55"/>
      <c r="R12" s="126"/>
      <c r="S12" s="126"/>
      <c r="T12" s="126"/>
      <c r="U12" s="126"/>
      <c r="V12" s="126"/>
      <c r="W12" s="126"/>
      <c r="X12" s="126"/>
    </row>
    <row r="13" spans="1:54" ht="28.8" customHeight="1" x14ac:dyDescent="0.55000000000000004">
      <c r="E13" s="168"/>
      <c r="F13" s="174"/>
      <c r="G13" s="171"/>
      <c r="H13" s="168"/>
      <c r="I13" s="168"/>
      <c r="J13" s="59"/>
      <c r="K13" s="55"/>
      <c r="R13" s="126"/>
      <c r="S13" s="126"/>
      <c r="T13" s="126"/>
      <c r="U13" s="126"/>
      <c r="V13" s="126"/>
      <c r="W13" s="126"/>
      <c r="X13" s="126"/>
    </row>
    <row r="14" spans="1:54" ht="28.8" customHeight="1" x14ac:dyDescent="0.55000000000000004">
      <c r="E14" s="168"/>
      <c r="F14" s="168"/>
      <c r="G14" s="168"/>
      <c r="H14" s="168"/>
      <c r="I14" s="168"/>
      <c r="J14" s="55"/>
      <c r="K14" s="55"/>
      <c r="R14" s="126"/>
      <c r="S14" s="126"/>
      <c r="T14" s="126"/>
      <c r="U14" s="126"/>
      <c r="V14" s="126"/>
      <c r="W14" s="126"/>
      <c r="X14" s="126"/>
    </row>
    <row r="15" spans="1:54" ht="28.8" customHeight="1" thickBot="1" x14ac:dyDescent="0.6">
      <c r="E15" s="168"/>
      <c r="F15" s="174"/>
      <c r="G15" s="171"/>
      <c r="H15" s="168"/>
      <c r="I15" s="168"/>
      <c r="J15" s="59"/>
      <c r="K15" s="55"/>
      <c r="R15" s="126"/>
      <c r="S15" s="126"/>
      <c r="T15" s="126"/>
      <c r="U15" s="126"/>
      <c r="V15" s="126"/>
      <c r="W15" s="126"/>
      <c r="X15" s="126"/>
    </row>
    <row r="16" spans="1:54" ht="28.8" customHeight="1" x14ac:dyDescent="0.55000000000000004">
      <c r="E16" s="168"/>
      <c r="F16" s="168"/>
      <c r="G16" s="168"/>
      <c r="H16" s="168"/>
      <c r="I16" s="168"/>
      <c r="J16" s="55"/>
      <c r="K16" s="55"/>
      <c r="R16" s="304" t="s">
        <v>27</v>
      </c>
      <c r="S16" s="305"/>
      <c r="T16" s="305"/>
      <c r="U16" s="305"/>
      <c r="V16" s="305"/>
      <c r="W16" s="305"/>
      <c r="X16" s="306"/>
    </row>
    <row r="17" spans="5:24" ht="28.8" customHeight="1" x14ac:dyDescent="0.55000000000000004">
      <c r="E17" s="168"/>
      <c r="F17" s="168"/>
      <c r="G17" s="168"/>
      <c r="H17" s="168"/>
      <c r="I17" s="168"/>
      <c r="J17" s="55"/>
      <c r="K17" s="55"/>
      <c r="R17" s="307"/>
      <c r="S17" s="308"/>
      <c r="T17" s="308"/>
      <c r="U17" s="308"/>
      <c r="V17" s="308"/>
      <c r="W17" s="308"/>
      <c r="X17" s="309"/>
    </row>
    <row r="18" spans="5:24" ht="28.8" customHeight="1" thickBot="1" x14ac:dyDescent="0.6">
      <c r="E18" s="55"/>
      <c r="F18" s="55"/>
      <c r="G18" s="55"/>
      <c r="H18" s="55"/>
      <c r="I18" s="55"/>
      <c r="J18" s="55"/>
      <c r="K18" s="55"/>
      <c r="R18" s="310"/>
      <c r="S18" s="311"/>
      <c r="T18" s="311"/>
      <c r="U18" s="311"/>
      <c r="V18" s="311"/>
      <c r="W18" s="311"/>
      <c r="X18" s="312"/>
    </row>
    <row r="19" spans="5:24" ht="28.8" customHeight="1" x14ac:dyDescent="0.55000000000000004">
      <c r="E19" s="55"/>
      <c r="F19" s="55"/>
      <c r="G19" s="55"/>
      <c r="H19" s="55"/>
      <c r="I19" s="55"/>
      <c r="J19" s="55"/>
      <c r="K19" s="55"/>
      <c r="R19" s="17" t="s">
        <v>13</v>
      </c>
      <c r="S19" s="56" t="s">
        <v>13</v>
      </c>
      <c r="T19" s="56" t="s">
        <v>13</v>
      </c>
      <c r="U19" s="56" t="s">
        <v>13</v>
      </c>
      <c r="V19" s="56" t="s">
        <v>13</v>
      </c>
      <c r="W19" s="58" t="s">
        <v>13</v>
      </c>
      <c r="X19" s="154" t="s">
        <v>13</v>
      </c>
    </row>
    <row r="20" spans="5:24" ht="28.8" customHeight="1" x14ac:dyDescent="0.55000000000000004">
      <c r="E20" s="55"/>
      <c r="F20" s="55"/>
      <c r="G20" s="55"/>
      <c r="H20" s="55"/>
      <c r="I20" s="55"/>
      <c r="J20" s="55"/>
      <c r="K20" s="55"/>
      <c r="R20" s="17" t="s">
        <v>13</v>
      </c>
      <c r="S20" s="164" t="s">
        <v>28</v>
      </c>
      <c r="T20" s="57"/>
      <c r="U20" s="56" t="s">
        <v>13</v>
      </c>
      <c r="V20" s="56" t="s">
        <v>13</v>
      </c>
      <c r="W20" s="149" t="s">
        <v>18</v>
      </c>
      <c r="X20" s="154" t="s">
        <v>13</v>
      </c>
    </row>
    <row r="21" spans="5:24" ht="28.8" customHeight="1" x14ac:dyDescent="0.55000000000000004">
      <c r="E21" s="55"/>
      <c r="F21" s="55"/>
      <c r="G21" s="55"/>
      <c r="H21" s="55"/>
      <c r="I21" s="55"/>
      <c r="J21" s="55"/>
      <c r="K21" s="55"/>
      <c r="R21" s="17" t="s">
        <v>13</v>
      </c>
      <c r="S21" s="56" t="s">
        <v>13</v>
      </c>
      <c r="T21" s="56" t="s">
        <v>13</v>
      </c>
      <c r="U21" s="56" t="s">
        <v>13</v>
      </c>
      <c r="V21" s="56" t="s">
        <v>13</v>
      </c>
      <c r="W21" s="58" t="s">
        <v>13</v>
      </c>
      <c r="X21" s="13" t="s">
        <v>13</v>
      </c>
    </row>
    <row r="22" spans="5:24" ht="28.8" customHeight="1" x14ac:dyDescent="0.55000000000000004">
      <c r="R22" s="17" t="s">
        <v>13</v>
      </c>
      <c r="S22" s="164" t="s">
        <v>29</v>
      </c>
      <c r="T22" s="57"/>
      <c r="U22" s="56" t="s">
        <v>13</v>
      </c>
      <c r="V22" s="56" t="s">
        <v>13</v>
      </c>
      <c r="W22" s="149" t="s">
        <v>21</v>
      </c>
      <c r="X22" s="154" t="s">
        <v>13</v>
      </c>
    </row>
    <row r="23" spans="5:24" ht="28.8" customHeight="1" x14ac:dyDescent="0.55000000000000004">
      <c r="R23" s="17" t="s">
        <v>13</v>
      </c>
      <c r="S23" s="56" t="s">
        <v>13</v>
      </c>
      <c r="T23" s="56" t="s">
        <v>13</v>
      </c>
      <c r="U23" s="56" t="s">
        <v>13</v>
      </c>
      <c r="V23" s="56" t="s">
        <v>13</v>
      </c>
      <c r="W23" s="163" t="s">
        <v>13</v>
      </c>
      <c r="X23" s="154" t="s">
        <v>13</v>
      </c>
    </row>
    <row r="24" spans="5:24" ht="28.8" customHeight="1" x14ac:dyDescent="0.55000000000000004">
      <c r="R24" s="17" t="s">
        <v>13</v>
      </c>
      <c r="S24" s="56" t="s">
        <v>13</v>
      </c>
      <c r="T24" s="56" t="s">
        <v>13</v>
      </c>
      <c r="U24" s="56" t="s">
        <v>13</v>
      </c>
      <c r="V24" s="56" t="s">
        <v>13</v>
      </c>
      <c r="W24" s="163" t="s">
        <v>13</v>
      </c>
      <c r="X24" s="154" t="s">
        <v>13</v>
      </c>
    </row>
    <row r="25" spans="5:24" ht="28.8" customHeight="1" x14ac:dyDescent="0.55000000000000004">
      <c r="R25" s="17" t="s">
        <v>13</v>
      </c>
      <c r="S25" s="56" t="s">
        <v>13</v>
      </c>
      <c r="T25" s="56" t="s">
        <v>13</v>
      </c>
      <c r="U25" s="56" t="s">
        <v>13</v>
      </c>
      <c r="V25" s="56" t="s">
        <v>13</v>
      </c>
      <c r="W25" s="163" t="s">
        <v>13</v>
      </c>
      <c r="X25" s="154" t="s">
        <v>13</v>
      </c>
    </row>
    <row r="26" spans="5:24" ht="28.8" customHeight="1" x14ac:dyDescent="0.55000000000000004">
      <c r="R26" s="17" t="s">
        <v>13</v>
      </c>
      <c r="S26" s="56" t="s">
        <v>13</v>
      </c>
      <c r="T26" s="56" t="s">
        <v>13</v>
      </c>
      <c r="U26" s="56" t="s">
        <v>13</v>
      </c>
      <c r="V26" s="56" t="s">
        <v>13</v>
      </c>
      <c r="W26" s="163" t="s">
        <v>13</v>
      </c>
      <c r="X26" s="154" t="s">
        <v>13</v>
      </c>
    </row>
    <row r="27" spans="5:24" ht="28.8" customHeight="1" thickBot="1" x14ac:dyDescent="0.6">
      <c r="R27" s="20" t="s">
        <v>13</v>
      </c>
      <c r="S27" s="21" t="s">
        <v>13</v>
      </c>
      <c r="T27" s="21" t="s">
        <v>13</v>
      </c>
      <c r="U27" s="21" t="s">
        <v>13</v>
      </c>
      <c r="V27" s="21" t="s">
        <v>13</v>
      </c>
      <c r="W27" s="158" t="s">
        <v>13</v>
      </c>
      <c r="X27" s="159" t="s">
        <v>13</v>
      </c>
    </row>
    <row r="28" spans="5:24" ht="28.8" customHeight="1" x14ac:dyDescent="0.3"/>
    <row r="29" spans="5:24" ht="28.8" customHeight="1" x14ac:dyDescent="0.3"/>
    <row r="30" spans="5:24" ht="28.8" customHeight="1" x14ac:dyDescent="0.3">
      <c r="E30" s="54"/>
      <c r="F30" s="54"/>
      <c r="G30" s="54"/>
      <c r="H30" s="54"/>
      <c r="I30" s="54"/>
      <c r="J30" s="54"/>
      <c r="K30" s="54"/>
    </row>
    <row r="31" spans="5:24" ht="28.8" customHeight="1" x14ac:dyDescent="0.3">
      <c r="E31" s="54"/>
      <c r="F31" s="54"/>
      <c r="G31" s="54"/>
      <c r="H31" s="54"/>
      <c r="I31" s="54"/>
      <c r="J31" s="54"/>
      <c r="K31" s="54"/>
    </row>
    <row r="32" spans="5:24" ht="28.8" customHeight="1" x14ac:dyDescent="0.3">
      <c r="E32" s="54"/>
      <c r="F32" s="54"/>
      <c r="G32" s="54"/>
      <c r="H32" s="54"/>
      <c r="I32" s="54"/>
      <c r="J32" s="54"/>
      <c r="K32" s="54"/>
    </row>
    <row r="33" spans="5:11" ht="28.8" customHeight="1" x14ac:dyDescent="0.55000000000000004">
      <c r="E33" s="168"/>
      <c r="F33" s="168"/>
      <c r="G33" s="168"/>
      <c r="H33" s="168"/>
      <c r="I33" s="168"/>
      <c r="J33" s="55"/>
      <c r="K33" s="55"/>
    </row>
    <row r="34" spans="5:11" ht="28.8" customHeight="1" x14ac:dyDescent="0.55000000000000004">
      <c r="E34" s="168"/>
      <c r="F34" s="174"/>
      <c r="G34" s="171"/>
      <c r="H34" s="168"/>
      <c r="I34" s="168"/>
      <c r="J34" s="59"/>
      <c r="K34" s="55"/>
    </row>
    <row r="35" spans="5:11" ht="28.8" customHeight="1" x14ac:dyDescent="0.55000000000000004">
      <c r="E35" s="168"/>
      <c r="F35" s="168"/>
      <c r="G35" s="168"/>
      <c r="H35" s="168"/>
      <c r="I35" s="168"/>
      <c r="J35" s="55"/>
      <c r="K35" s="55"/>
    </row>
    <row r="36" spans="5:11" ht="28.8" customHeight="1" x14ac:dyDescent="0.55000000000000004">
      <c r="E36" s="168"/>
      <c r="F36" s="174"/>
      <c r="G36" s="171"/>
      <c r="H36" s="168"/>
      <c r="I36" s="168"/>
      <c r="J36" s="59"/>
      <c r="K36" s="55"/>
    </row>
    <row r="37" spans="5:11" ht="28.8" customHeight="1" x14ac:dyDescent="0.55000000000000004">
      <c r="E37" s="168"/>
      <c r="F37" s="168"/>
      <c r="G37" s="168"/>
      <c r="H37" s="168"/>
      <c r="I37" s="168"/>
      <c r="J37" s="55"/>
      <c r="K37" s="55"/>
    </row>
    <row r="38" spans="5:11" ht="28.8" customHeight="1" x14ac:dyDescent="0.55000000000000004">
      <c r="E38" s="168"/>
      <c r="F38" s="174"/>
      <c r="G38" s="168"/>
      <c r="H38" s="168"/>
      <c r="I38" s="168"/>
      <c r="J38" s="55"/>
      <c r="K38" s="55"/>
    </row>
    <row r="39" spans="5:11" ht="28.8" customHeight="1" x14ac:dyDescent="0.55000000000000004">
      <c r="E39" s="168"/>
      <c r="F39" s="168"/>
      <c r="G39" s="168"/>
      <c r="H39" s="168"/>
      <c r="I39" s="168"/>
      <c r="J39" s="55"/>
      <c r="K39" s="55"/>
    </row>
    <row r="40" spans="5:11" ht="28.8" customHeight="1" x14ac:dyDescent="0.55000000000000004">
      <c r="E40" s="168"/>
      <c r="F40" s="174"/>
      <c r="G40" s="171"/>
      <c r="H40" s="168"/>
      <c r="I40" s="168"/>
      <c r="J40" s="59"/>
      <c r="K40" s="55"/>
    </row>
    <row r="41" spans="5:11" ht="28.8" customHeight="1" x14ac:dyDescent="0.3"/>
    <row r="42" spans="5:11" ht="28.8" customHeight="1" x14ac:dyDescent="0.3"/>
    <row r="43" spans="5:11" ht="28.8" customHeight="1" x14ac:dyDescent="0.3"/>
    <row r="44" spans="5:11" ht="28.8" customHeight="1" x14ac:dyDescent="0.3"/>
    <row r="45" spans="5:11" ht="28.8" customHeight="1" x14ac:dyDescent="0.3"/>
    <row r="46" spans="5:11" ht="28.8" customHeight="1" x14ac:dyDescent="0.3"/>
    <row r="47" spans="5:11" ht="28.8" customHeight="1" x14ac:dyDescent="0.3"/>
    <row r="48" spans="5:11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</sheetData>
  <mergeCells count="1">
    <mergeCell ref="R16:X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433E-07BF-49E6-B558-F6A80F931118}">
  <sheetPr codeName="Planilha23">
    <tabColor rgb="FFFF0000"/>
  </sheetPr>
  <dimension ref="A1:BB69"/>
  <sheetViews>
    <sheetView zoomScale="40" zoomScaleNormal="40" workbookViewId="0">
      <selection activeCell="T15" sqref="T15"/>
    </sheetView>
  </sheetViews>
  <sheetFormatPr defaultRowHeight="14.4" x14ac:dyDescent="0.3"/>
  <cols>
    <col min="1" max="5" width="8.88671875" style="96"/>
    <col min="6" max="6" width="23.5546875" style="96" bestFit="1" customWidth="1"/>
    <col min="7" max="9" width="8.88671875" style="96"/>
    <col min="10" max="10" width="34.6640625" style="96" customWidth="1"/>
    <col min="11" max="11" width="8.88671875" style="96" customWidth="1"/>
    <col min="12" max="19" width="8.88671875" style="96"/>
    <col min="20" max="20" width="47.6640625" style="96" bestFit="1" customWidth="1"/>
    <col min="21" max="21" width="8.88671875" style="96"/>
    <col min="22" max="22" width="11.44140625" style="96" customWidth="1"/>
    <col min="23" max="23" width="8.88671875" style="96"/>
    <col min="24" max="24" width="47.44140625" style="96" customWidth="1"/>
    <col min="25" max="16384" width="8.88671875" style="96"/>
  </cols>
  <sheetData>
    <row r="1" spans="1:54" s="126" customFormat="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  <c r="AZ1" s="127"/>
      <c r="BA1" s="127"/>
      <c r="BB1" s="127"/>
    </row>
    <row r="2" spans="1:54" s="126" customForma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  <c r="AZ2" s="127"/>
      <c r="BA2" s="127"/>
      <c r="BB2" s="127"/>
    </row>
    <row r="3" spans="1:54" ht="61.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  <c r="AZ3" s="127"/>
      <c r="BA3" s="127"/>
      <c r="BB3" s="127"/>
    </row>
    <row r="4" spans="1:54" ht="46.2" customHeight="1" x14ac:dyDescent="0.3">
      <c r="A4" s="22"/>
      <c r="B4" s="22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</row>
    <row r="5" spans="1:54" x14ac:dyDescent="0.3">
      <c r="A5" s="22"/>
      <c r="B5" s="22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</row>
    <row r="6" spans="1:54" x14ac:dyDescent="0.3">
      <c r="A6" s="22"/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</row>
    <row r="7" spans="1:54" x14ac:dyDescent="0.3">
      <c r="A7" s="22"/>
      <c r="B7" s="22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</row>
    <row r="8" spans="1:54" ht="28.8" customHeight="1" x14ac:dyDescent="0.3"/>
    <row r="9" spans="1:54" ht="28.8" customHeight="1" x14ac:dyDescent="0.3">
      <c r="E9" s="325"/>
      <c r="F9" s="325"/>
      <c r="G9" s="325"/>
      <c r="H9" s="325"/>
      <c r="I9" s="325"/>
      <c r="J9" s="325"/>
      <c r="K9" s="325"/>
    </row>
    <row r="10" spans="1:54" ht="28.8" customHeight="1" thickBot="1" x14ac:dyDescent="0.35">
      <c r="E10" s="325"/>
      <c r="F10" s="325"/>
      <c r="G10" s="325"/>
      <c r="H10" s="325"/>
      <c r="I10" s="325"/>
      <c r="J10" s="325"/>
      <c r="K10" s="325"/>
    </row>
    <row r="11" spans="1:54" ht="28.8" customHeight="1" x14ac:dyDescent="0.3">
      <c r="E11" s="325"/>
      <c r="F11" s="325"/>
      <c r="G11" s="325"/>
      <c r="H11" s="325"/>
      <c r="I11" s="325"/>
      <c r="J11" s="325"/>
      <c r="K11" s="325"/>
      <c r="S11" s="304" t="s">
        <v>27</v>
      </c>
      <c r="T11" s="305"/>
      <c r="U11" s="305"/>
      <c r="V11" s="305"/>
      <c r="W11" s="305"/>
      <c r="X11" s="305"/>
      <c r="Y11" s="306"/>
    </row>
    <row r="12" spans="1:54" ht="28.8" customHeight="1" x14ac:dyDescent="0.55000000000000004">
      <c r="E12" s="168"/>
      <c r="F12" s="168"/>
      <c r="G12" s="168"/>
      <c r="H12" s="168"/>
      <c r="I12" s="168"/>
      <c r="J12" s="55"/>
      <c r="K12" s="55"/>
      <c r="S12" s="307"/>
      <c r="T12" s="308"/>
      <c r="U12" s="308"/>
      <c r="V12" s="308"/>
      <c r="W12" s="308"/>
      <c r="X12" s="308"/>
      <c r="Y12" s="309"/>
    </row>
    <row r="13" spans="1:54" ht="28.8" customHeight="1" x14ac:dyDescent="0.55000000000000004">
      <c r="E13" s="168"/>
      <c r="F13" s="174"/>
      <c r="G13" s="171"/>
      <c r="H13" s="168"/>
      <c r="I13" s="168"/>
      <c r="J13" s="59"/>
      <c r="K13" s="55"/>
      <c r="S13" s="307"/>
      <c r="T13" s="308"/>
      <c r="U13" s="308"/>
      <c r="V13" s="308"/>
      <c r="W13" s="308"/>
      <c r="X13" s="308"/>
      <c r="Y13" s="309"/>
    </row>
    <row r="14" spans="1:54" ht="28.8" customHeight="1" x14ac:dyDescent="0.55000000000000004">
      <c r="E14" s="168"/>
      <c r="F14" s="168"/>
      <c r="G14" s="168"/>
      <c r="H14" s="168"/>
      <c r="I14" s="168"/>
      <c r="J14" s="55"/>
      <c r="K14" s="55"/>
      <c r="S14" s="17" t="s">
        <v>13</v>
      </c>
      <c r="T14" s="56" t="s">
        <v>13</v>
      </c>
      <c r="U14" s="56" t="s">
        <v>13</v>
      </c>
      <c r="V14" s="56" t="s">
        <v>13</v>
      </c>
      <c r="W14" s="56" t="s">
        <v>13</v>
      </c>
      <c r="X14" s="58" t="s">
        <v>13</v>
      </c>
      <c r="Y14" s="154" t="s">
        <v>13</v>
      </c>
    </row>
    <row r="15" spans="1:54" ht="28.8" customHeight="1" x14ac:dyDescent="0.55000000000000004">
      <c r="E15" s="168"/>
      <c r="F15" s="174"/>
      <c r="G15" s="171"/>
      <c r="H15" s="168"/>
      <c r="I15" s="168"/>
      <c r="J15" s="59"/>
      <c r="K15" s="55"/>
      <c r="S15" s="17" t="s">
        <v>13</v>
      </c>
      <c r="T15" s="164" t="s">
        <v>28</v>
      </c>
      <c r="U15" s="57"/>
      <c r="V15" s="56" t="s">
        <v>13</v>
      </c>
      <c r="W15" s="56" t="s">
        <v>13</v>
      </c>
      <c r="X15" s="176" t="s">
        <v>18</v>
      </c>
      <c r="Y15" s="154" t="s">
        <v>13</v>
      </c>
    </row>
    <row r="16" spans="1:54" ht="28.8" customHeight="1" x14ac:dyDescent="0.55000000000000004">
      <c r="E16" s="168"/>
      <c r="F16" s="168"/>
      <c r="G16" s="168"/>
      <c r="H16" s="168"/>
      <c r="I16" s="168"/>
      <c r="J16" s="55"/>
      <c r="K16" s="55"/>
      <c r="S16" s="17" t="s">
        <v>13</v>
      </c>
      <c r="T16" s="56" t="s">
        <v>13</v>
      </c>
      <c r="U16" s="56" t="s">
        <v>13</v>
      </c>
      <c r="V16" s="56" t="s">
        <v>13</v>
      </c>
      <c r="W16" s="56" t="s">
        <v>13</v>
      </c>
      <c r="X16" s="58" t="s">
        <v>13</v>
      </c>
      <c r="Y16" s="13" t="s">
        <v>13</v>
      </c>
    </row>
    <row r="17" spans="5:25" ht="28.8" customHeight="1" x14ac:dyDescent="0.55000000000000004">
      <c r="E17" s="168"/>
      <c r="F17" s="174"/>
      <c r="G17" s="168"/>
      <c r="H17" s="168"/>
      <c r="I17" s="168"/>
      <c r="J17" s="55"/>
      <c r="K17" s="55"/>
      <c r="S17" s="17" t="s">
        <v>13</v>
      </c>
      <c r="T17" s="164" t="s">
        <v>29</v>
      </c>
      <c r="U17" s="57"/>
      <c r="V17" s="56" t="s">
        <v>13</v>
      </c>
      <c r="W17" s="56" t="s">
        <v>13</v>
      </c>
      <c r="X17" s="176" t="s">
        <v>21</v>
      </c>
      <c r="Y17" s="154" t="s">
        <v>13</v>
      </c>
    </row>
    <row r="18" spans="5:25" ht="28.8" customHeight="1" x14ac:dyDescent="0.55000000000000004">
      <c r="E18" s="168"/>
      <c r="F18" s="168"/>
      <c r="G18" s="168"/>
      <c r="H18" s="168"/>
      <c r="I18" s="168"/>
      <c r="J18" s="55"/>
      <c r="K18" s="55"/>
      <c r="S18" s="17" t="s">
        <v>13</v>
      </c>
      <c r="T18" s="56" t="s">
        <v>13</v>
      </c>
      <c r="U18" s="56" t="s">
        <v>13</v>
      </c>
      <c r="V18" s="56" t="s">
        <v>13</v>
      </c>
      <c r="W18" s="56" t="s">
        <v>13</v>
      </c>
      <c r="X18" s="163" t="s">
        <v>13</v>
      </c>
      <c r="Y18" s="154" t="s">
        <v>13</v>
      </c>
    </row>
    <row r="19" spans="5:25" ht="28.8" customHeight="1" x14ac:dyDescent="0.55000000000000004">
      <c r="E19" s="168"/>
      <c r="F19" s="174"/>
      <c r="G19" s="171"/>
      <c r="H19" s="168"/>
      <c r="I19" s="168"/>
      <c r="J19" s="59"/>
      <c r="K19" s="55"/>
      <c r="S19" s="17" t="s">
        <v>13</v>
      </c>
      <c r="T19" s="175" t="s">
        <v>30</v>
      </c>
      <c r="U19" s="56" t="s">
        <v>13</v>
      </c>
      <c r="V19" s="56" t="s">
        <v>13</v>
      </c>
      <c r="W19" s="56" t="s">
        <v>13</v>
      </c>
      <c r="X19" s="176" t="s">
        <v>21</v>
      </c>
      <c r="Y19" s="154" t="s">
        <v>13</v>
      </c>
    </row>
    <row r="20" spans="5:25" ht="28.8" customHeight="1" x14ac:dyDescent="0.55000000000000004">
      <c r="E20" s="55"/>
      <c r="F20" s="55"/>
      <c r="G20" s="55"/>
      <c r="H20" s="55"/>
      <c r="I20" s="55"/>
      <c r="J20" s="55"/>
      <c r="K20" s="55"/>
      <c r="S20" s="17" t="s">
        <v>13</v>
      </c>
      <c r="T20" s="56" t="s">
        <v>13</v>
      </c>
      <c r="U20" s="56" t="s">
        <v>13</v>
      </c>
      <c r="V20" s="56" t="s">
        <v>13</v>
      </c>
      <c r="W20" s="56" t="s">
        <v>13</v>
      </c>
      <c r="X20" s="163" t="s">
        <v>13</v>
      </c>
      <c r="Y20" s="154" t="s">
        <v>13</v>
      </c>
    </row>
    <row r="21" spans="5:25" ht="28.8" customHeight="1" thickBot="1" x14ac:dyDescent="0.6">
      <c r="E21" s="55"/>
      <c r="F21" s="55"/>
      <c r="G21" s="55"/>
      <c r="H21" s="55"/>
      <c r="I21" s="55"/>
      <c r="J21" s="55"/>
      <c r="K21" s="55"/>
      <c r="S21" s="20" t="s">
        <v>13</v>
      </c>
      <c r="T21" s="21" t="s">
        <v>13</v>
      </c>
      <c r="U21" s="21" t="s">
        <v>13</v>
      </c>
      <c r="V21" s="21" t="s">
        <v>13</v>
      </c>
      <c r="W21" s="21" t="s">
        <v>13</v>
      </c>
      <c r="X21" s="158" t="s">
        <v>13</v>
      </c>
      <c r="Y21" s="159" t="s">
        <v>13</v>
      </c>
    </row>
    <row r="22" spans="5:25" ht="28.8" customHeight="1" x14ac:dyDescent="0.55000000000000004">
      <c r="S22" s="168" t="s">
        <v>13</v>
      </c>
      <c r="T22" s="168" t="s">
        <v>13</v>
      </c>
      <c r="U22" s="168" t="s">
        <v>13</v>
      </c>
      <c r="V22" s="168" t="s">
        <v>13</v>
      </c>
      <c r="W22" s="168" t="s">
        <v>13</v>
      </c>
      <c r="X22" s="169" t="s">
        <v>13</v>
      </c>
      <c r="Y22" s="169" t="s">
        <v>13</v>
      </c>
    </row>
    <row r="23" spans="5:25" ht="28.8" customHeight="1" x14ac:dyDescent="0.3"/>
    <row r="24" spans="5:25" ht="28.8" customHeight="1" x14ac:dyDescent="0.3"/>
    <row r="25" spans="5:25" ht="28.8" customHeight="1" x14ac:dyDescent="0.3"/>
    <row r="26" spans="5:25" ht="28.8" customHeight="1" x14ac:dyDescent="0.3"/>
    <row r="27" spans="5:25" ht="28.8" customHeight="1" x14ac:dyDescent="0.3"/>
    <row r="28" spans="5:25" ht="28.8" customHeight="1" x14ac:dyDescent="0.3"/>
    <row r="29" spans="5:25" ht="28.8" customHeight="1" x14ac:dyDescent="0.3"/>
    <row r="30" spans="5:25" ht="28.8" customHeight="1" x14ac:dyDescent="0.3"/>
    <row r="31" spans="5:25" ht="28.8" customHeight="1" x14ac:dyDescent="0.3"/>
    <row r="32" spans="5:25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  <row r="67" ht="28.8" customHeight="1" x14ac:dyDescent="0.3"/>
    <row r="68" ht="28.8" customHeight="1" x14ac:dyDescent="0.3"/>
    <row r="69" ht="28.8" customHeight="1" x14ac:dyDescent="0.3"/>
  </sheetData>
  <mergeCells count="2">
    <mergeCell ref="E9:K11"/>
    <mergeCell ref="S11:Y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7637-ED17-407C-8138-A3434EAF3E99}">
  <sheetPr codeName="Planilha6">
    <tabColor rgb="FFFFC000"/>
  </sheetPr>
  <dimension ref="A1:AY67"/>
  <sheetViews>
    <sheetView zoomScale="40" zoomScaleNormal="40" workbookViewId="0">
      <selection activeCell="J13" sqref="J13"/>
    </sheetView>
  </sheetViews>
  <sheetFormatPr defaultRowHeight="14.4" x14ac:dyDescent="0.3"/>
  <cols>
    <col min="5" max="5" width="5.6640625" bestFit="1" customWidth="1"/>
    <col min="6" max="6" width="29.88671875" bestFit="1" customWidth="1"/>
    <col min="7" max="7" width="49.88671875" customWidth="1"/>
    <col min="8" max="8" width="30.44140625" bestFit="1" customWidth="1"/>
    <col min="9" max="9" width="11.33203125" bestFit="1" customWidth="1"/>
    <col min="10" max="10" width="29.88671875" bestFit="1" customWidth="1"/>
    <col min="11" max="11" width="49.88671875" bestFit="1" customWidth="1"/>
    <col min="12" max="12" width="30.44140625" bestFit="1" customWidth="1"/>
    <col min="13" max="13" width="25.109375" bestFit="1" customWidth="1"/>
    <col min="14" max="14" width="51.21875" bestFit="1" customWidth="1"/>
    <col min="15" max="16" width="41.77734375" bestFit="1" customWidth="1"/>
  </cols>
  <sheetData>
    <row r="1" spans="1:51" s="126" customFormat="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s="126" customFormat="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2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s="126" customFormat="1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>
      <c r="I12" s="178" t="s">
        <v>396</v>
      </c>
      <c r="J12" s="178" t="s">
        <v>32</v>
      </c>
      <c r="K12" s="178" t="s">
        <v>33</v>
      </c>
      <c r="L12" s="178" t="s">
        <v>34</v>
      </c>
      <c r="M12" s="178" t="s">
        <v>35</v>
      </c>
      <c r="N12" s="178" t="s">
        <v>36</v>
      </c>
      <c r="O12" s="178" t="s">
        <v>37</v>
      </c>
    </row>
    <row r="13" spans="1:51" ht="28.8" customHeight="1" x14ac:dyDescent="0.3">
      <c r="I13" s="179">
        <v>1</v>
      </c>
      <c r="J13" s="179" t="s">
        <v>38</v>
      </c>
      <c r="K13" s="179" t="s">
        <v>39</v>
      </c>
      <c r="L13" s="179" t="s">
        <v>40</v>
      </c>
      <c r="M13" s="179" t="s">
        <v>41</v>
      </c>
      <c r="N13" s="179" t="s">
        <v>42</v>
      </c>
      <c r="O13" s="179" t="s">
        <v>43</v>
      </c>
    </row>
    <row r="14" spans="1:51" ht="28.8" customHeight="1" x14ac:dyDescent="0.3">
      <c r="I14" s="179">
        <f>I13+1</f>
        <v>2</v>
      </c>
      <c r="J14" s="179" t="s">
        <v>44</v>
      </c>
      <c r="K14" s="179" t="s">
        <v>45</v>
      </c>
      <c r="L14" s="179" t="s">
        <v>40</v>
      </c>
      <c r="M14" s="179" t="s">
        <v>46</v>
      </c>
      <c r="N14" s="179" t="s">
        <v>47</v>
      </c>
      <c r="O14" s="179" t="s">
        <v>48</v>
      </c>
    </row>
    <row r="15" spans="1:51" ht="28.8" customHeight="1" x14ac:dyDescent="0.3">
      <c r="I15" s="179">
        <f t="shared" ref="I15:I32" si="0">I14+1</f>
        <v>3</v>
      </c>
      <c r="J15" s="179" t="s">
        <v>49</v>
      </c>
      <c r="K15" s="179" t="s">
        <v>50</v>
      </c>
      <c r="L15" s="179" t="s">
        <v>51</v>
      </c>
      <c r="M15" s="179" t="s">
        <v>52</v>
      </c>
      <c r="N15" s="179" t="s">
        <v>53</v>
      </c>
      <c r="O15" s="179" t="s">
        <v>54</v>
      </c>
    </row>
    <row r="16" spans="1:51" ht="28.8" customHeight="1" x14ac:dyDescent="0.3">
      <c r="I16" s="179">
        <f t="shared" si="0"/>
        <v>4</v>
      </c>
      <c r="J16" s="179" t="s">
        <v>55</v>
      </c>
      <c r="K16" s="179" t="s">
        <v>56</v>
      </c>
      <c r="L16" s="179" t="s">
        <v>57</v>
      </c>
      <c r="M16" s="179" t="s">
        <v>58</v>
      </c>
      <c r="N16" s="179" t="s">
        <v>59</v>
      </c>
      <c r="O16" s="179" t="s">
        <v>60</v>
      </c>
    </row>
    <row r="17" spans="9:15" ht="28.8" customHeight="1" x14ac:dyDescent="0.3">
      <c r="I17" s="179">
        <f t="shared" si="0"/>
        <v>5</v>
      </c>
      <c r="J17" s="179" t="s">
        <v>61</v>
      </c>
      <c r="K17" s="179" t="s">
        <v>62</v>
      </c>
      <c r="L17" s="179" t="s">
        <v>63</v>
      </c>
      <c r="M17" s="179" t="s">
        <v>64</v>
      </c>
      <c r="N17" s="179" t="s">
        <v>65</v>
      </c>
      <c r="O17" s="179" t="s">
        <v>66</v>
      </c>
    </row>
    <row r="18" spans="9:15" ht="28.8" customHeight="1" x14ac:dyDescent="0.3">
      <c r="I18" s="179">
        <f t="shared" si="0"/>
        <v>6</v>
      </c>
      <c r="J18" s="179" t="s">
        <v>67</v>
      </c>
      <c r="K18" s="179" t="s">
        <v>68</v>
      </c>
      <c r="L18" s="179" t="s">
        <v>69</v>
      </c>
      <c r="M18" s="179" t="s">
        <v>70</v>
      </c>
      <c r="N18" s="179" t="s">
        <v>71</v>
      </c>
      <c r="O18" s="179" t="s">
        <v>72</v>
      </c>
    </row>
    <row r="19" spans="9:15" ht="28.8" customHeight="1" x14ac:dyDescent="0.3">
      <c r="I19" s="179">
        <f t="shared" si="0"/>
        <v>7</v>
      </c>
      <c r="J19" s="179" t="s">
        <v>73</v>
      </c>
      <c r="K19" s="179" t="s">
        <v>74</v>
      </c>
      <c r="L19" s="179" t="s">
        <v>75</v>
      </c>
      <c r="M19" s="179" t="s">
        <v>76</v>
      </c>
      <c r="N19" s="179" t="s">
        <v>77</v>
      </c>
      <c r="O19" s="179" t="s">
        <v>78</v>
      </c>
    </row>
    <row r="20" spans="9:15" ht="28.8" customHeight="1" x14ac:dyDescent="0.3">
      <c r="I20" s="179">
        <f t="shared" si="0"/>
        <v>8</v>
      </c>
      <c r="J20" s="179" t="s">
        <v>79</v>
      </c>
      <c r="K20" s="179" t="s">
        <v>80</v>
      </c>
      <c r="L20" s="179" t="s">
        <v>81</v>
      </c>
      <c r="M20" s="179" t="s">
        <v>82</v>
      </c>
      <c r="N20" s="179" t="s">
        <v>83</v>
      </c>
      <c r="O20" s="179" t="s">
        <v>84</v>
      </c>
    </row>
    <row r="21" spans="9:15" ht="28.8" customHeight="1" x14ac:dyDescent="0.3">
      <c r="I21" s="179">
        <f t="shared" si="0"/>
        <v>9</v>
      </c>
      <c r="J21" s="179" t="s">
        <v>85</v>
      </c>
      <c r="K21" s="179" t="s">
        <v>86</v>
      </c>
      <c r="L21" s="179" t="s">
        <v>87</v>
      </c>
      <c r="M21" s="179" t="s">
        <v>88</v>
      </c>
      <c r="N21" s="179" t="s">
        <v>89</v>
      </c>
      <c r="O21" s="179" t="s">
        <v>90</v>
      </c>
    </row>
    <row r="22" spans="9:15" ht="28.8" customHeight="1" x14ac:dyDescent="0.3">
      <c r="I22" s="179">
        <f t="shared" si="0"/>
        <v>10</v>
      </c>
      <c r="J22" s="179" t="s">
        <v>91</v>
      </c>
      <c r="K22" s="179" t="s">
        <v>92</v>
      </c>
      <c r="L22" s="179" t="s">
        <v>93</v>
      </c>
      <c r="M22" s="179" t="s">
        <v>94</v>
      </c>
      <c r="N22" s="179" t="s">
        <v>95</v>
      </c>
      <c r="O22" s="179" t="s">
        <v>96</v>
      </c>
    </row>
    <row r="23" spans="9:15" ht="28.8" customHeight="1" x14ac:dyDescent="0.3">
      <c r="I23" s="179">
        <f t="shared" si="0"/>
        <v>11</v>
      </c>
      <c r="J23" s="179" t="s">
        <v>97</v>
      </c>
      <c r="K23" s="179" t="s">
        <v>98</v>
      </c>
      <c r="L23" s="179" t="s">
        <v>99</v>
      </c>
      <c r="M23" s="179" t="s">
        <v>100</v>
      </c>
      <c r="N23" s="179" t="s">
        <v>101</v>
      </c>
      <c r="O23" s="179" t="s">
        <v>102</v>
      </c>
    </row>
    <row r="24" spans="9:15" ht="28.8" customHeight="1" x14ac:dyDescent="0.3">
      <c r="I24" s="179">
        <f t="shared" si="0"/>
        <v>12</v>
      </c>
      <c r="J24" s="179" t="s">
        <v>103</v>
      </c>
      <c r="K24" s="179" t="s">
        <v>104</v>
      </c>
      <c r="L24" s="179" t="s">
        <v>105</v>
      </c>
      <c r="M24" s="179" t="s">
        <v>106</v>
      </c>
      <c r="N24" s="179" t="s">
        <v>107</v>
      </c>
      <c r="O24" s="179" t="s">
        <v>108</v>
      </c>
    </row>
    <row r="25" spans="9:15" ht="28.8" customHeight="1" x14ac:dyDescent="0.3">
      <c r="I25" s="179">
        <f t="shared" si="0"/>
        <v>13</v>
      </c>
      <c r="J25" s="179" t="s">
        <v>109</v>
      </c>
      <c r="K25" s="179" t="s">
        <v>110</v>
      </c>
      <c r="L25" s="179" t="s">
        <v>111</v>
      </c>
      <c r="M25" s="179" t="s">
        <v>112</v>
      </c>
      <c r="N25" s="179" t="s">
        <v>113</v>
      </c>
      <c r="O25" s="179" t="s">
        <v>114</v>
      </c>
    </row>
    <row r="26" spans="9:15" ht="28.8" customHeight="1" x14ac:dyDescent="0.3">
      <c r="I26" s="179">
        <f t="shared" si="0"/>
        <v>14</v>
      </c>
      <c r="J26" s="179" t="s">
        <v>115</v>
      </c>
      <c r="K26" s="179" t="s">
        <v>116</v>
      </c>
      <c r="L26" s="179" t="s">
        <v>117</v>
      </c>
      <c r="M26" s="179" t="s">
        <v>118</v>
      </c>
      <c r="N26" s="179" t="s">
        <v>119</v>
      </c>
      <c r="O26" s="179" t="s">
        <v>120</v>
      </c>
    </row>
    <row r="27" spans="9:15" ht="28.8" customHeight="1" x14ac:dyDescent="0.3">
      <c r="I27" s="179">
        <f t="shared" si="0"/>
        <v>15</v>
      </c>
      <c r="J27" s="179" t="s">
        <v>121</v>
      </c>
      <c r="K27" s="179" t="s">
        <v>122</v>
      </c>
      <c r="L27" s="179" t="s">
        <v>123</v>
      </c>
      <c r="M27" s="179" t="s">
        <v>124</v>
      </c>
      <c r="N27" s="179" t="s">
        <v>125</v>
      </c>
      <c r="O27" s="179" t="s">
        <v>126</v>
      </c>
    </row>
    <row r="28" spans="9:15" ht="28.8" customHeight="1" x14ac:dyDescent="0.3">
      <c r="I28" s="179">
        <f t="shared" si="0"/>
        <v>16</v>
      </c>
      <c r="J28" s="179" t="s">
        <v>127</v>
      </c>
      <c r="K28" s="179" t="s">
        <v>128</v>
      </c>
      <c r="L28" s="179" t="s">
        <v>129</v>
      </c>
      <c r="M28" s="179" t="s">
        <v>130</v>
      </c>
      <c r="N28" s="179" t="s">
        <v>131</v>
      </c>
      <c r="O28" s="179" t="s">
        <v>102</v>
      </c>
    </row>
    <row r="29" spans="9:15" ht="28.8" customHeight="1" x14ac:dyDescent="0.3">
      <c r="I29" s="179">
        <f t="shared" si="0"/>
        <v>17</v>
      </c>
      <c r="J29" s="179" t="s">
        <v>132</v>
      </c>
      <c r="K29" s="179" t="s">
        <v>133</v>
      </c>
      <c r="L29" s="179" t="s">
        <v>134</v>
      </c>
      <c r="M29" s="179" t="s">
        <v>135</v>
      </c>
      <c r="N29" s="179" t="s">
        <v>136</v>
      </c>
      <c r="O29" s="179" t="s">
        <v>108</v>
      </c>
    </row>
    <row r="30" spans="9:15" ht="28.8" customHeight="1" x14ac:dyDescent="0.3">
      <c r="I30" s="179">
        <f t="shared" si="0"/>
        <v>18</v>
      </c>
      <c r="J30" s="179" t="s">
        <v>137</v>
      </c>
      <c r="K30" s="179" t="s">
        <v>138</v>
      </c>
      <c r="L30" s="179" t="s">
        <v>139</v>
      </c>
      <c r="M30" s="179" t="s">
        <v>140</v>
      </c>
      <c r="N30" s="179" t="s">
        <v>141</v>
      </c>
      <c r="O30" s="179" t="s">
        <v>142</v>
      </c>
    </row>
    <row r="31" spans="9:15" ht="28.8" customHeight="1" x14ac:dyDescent="0.3">
      <c r="I31" s="179">
        <f t="shared" si="0"/>
        <v>19</v>
      </c>
      <c r="J31" s="179" t="s">
        <v>143</v>
      </c>
      <c r="K31" s="179" t="s">
        <v>144</v>
      </c>
      <c r="L31" s="179" t="s">
        <v>145</v>
      </c>
      <c r="M31" s="179" t="s">
        <v>146</v>
      </c>
      <c r="N31" s="179" t="s">
        <v>147</v>
      </c>
      <c r="O31" s="179" t="s">
        <v>96</v>
      </c>
    </row>
    <row r="32" spans="9:15" ht="28.8" customHeight="1" x14ac:dyDescent="0.3">
      <c r="I32" s="179">
        <f t="shared" si="0"/>
        <v>20</v>
      </c>
      <c r="J32" s="179" t="s">
        <v>148</v>
      </c>
      <c r="K32" s="179" t="s">
        <v>149</v>
      </c>
      <c r="L32" s="179" t="s">
        <v>150</v>
      </c>
      <c r="M32" s="179" t="s">
        <v>151</v>
      </c>
      <c r="N32" s="179" t="s">
        <v>152</v>
      </c>
      <c r="O32" s="179" t="s">
        <v>78</v>
      </c>
    </row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  <row r="67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28470-B281-4DE9-829E-052D86ED25D1}">
  <sheetPr codeName="Planilha29">
    <tabColor rgb="FFFFC000"/>
  </sheetPr>
  <dimension ref="A1:AY66"/>
  <sheetViews>
    <sheetView zoomScale="40" zoomScaleNormal="40" workbookViewId="0">
      <selection activeCell="R11" sqref="R11"/>
    </sheetView>
  </sheetViews>
  <sheetFormatPr defaultRowHeight="14.4" x14ac:dyDescent="0.3"/>
  <cols>
    <col min="1" max="4" width="8.88671875" style="126"/>
    <col min="5" max="5" width="4.5546875" style="126" bestFit="1" customWidth="1"/>
    <col min="6" max="6" width="21.88671875" style="126" bestFit="1" customWidth="1"/>
    <col min="7" max="7" width="26" style="126" bestFit="1" customWidth="1"/>
    <col min="8" max="8" width="19.44140625" style="126" bestFit="1" customWidth="1"/>
    <col min="9" max="9" width="12.109375" style="126" bestFit="1" customWidth="1"/>
    <col min="10" max="10" width="12.6640625" style="126" bestFit="1" customWidth="1"/>
    <col min="11" max="11" width="5.6640625" style="126" bestFit="1" customWidth="1"/>
    <col min="12" max="12" width="31.77734375" style="126" bestFit="1" customWidth="1"/>
    <col min="13" max="13" width="26.5546875" style="126" bestFit="1" customWidth="1"/>
    <col min="14" max="14" width="44.33203125" style="126" bestFit="1" customWidth="1"/>
    <col min="15" max="15" width="28.77734375" style="126" bestFit="1" customWidth="1"/>
    <col min="16" max="16" width="32.6640625" style="126" bestFit="1" customWidth="1"/>
    <col min="17" max="17" width="37.33203125" style="126" bestFit="1" customWidth="1"/>
    <col min="18" max="18" width="30.44140625" style="126" bestFit="1" customWidth="1"/>
    <col min="19" max="16384" width="8.88671875" style="126"/>
  </cols>
  <sheetData>
    <row r="1" spans="1:5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78" t="s">
        <v>31</v>
      </c>
      <c r="L13" s="181" t="s">
        <v>153</v>
      </c>
      <c r="M13" s="181" t="s">
        <v>154</v>
      </c>
      <c r="N13" s="182" t="s">
        <v>155</v>
      </c>
      <c r="O13" s="181" t="s">
        <v>156</v>
      </c>
      <c r="P13" s="181" t="s">
        <v>157</v>
      </c>
      <c r="Q13" s="181" t="s">
        <v>158</v>
      </c>
      <c r="R13" s="181" t="s">
        <v>159</v>
      </c>
    </row>
    <row r="14" spans="1:51" ht="28.8" customHeight="1" x14ac:dyDescent="0.3">
      <c r="K14" s="179">
        <v>1</v>
      </c>
      <c r="L14" s="179" t="s">
        <v>160</v>
      </c>
      <c r="M14" s="179" t="s">
        <v>161</v>
      </c>
      <c r="N14" s="180">
        <v>10000</v>
      </c>
      <c r="O14" s="179" t="s">
        <v>162</v>
      </c>
      <c r="P14" s="179" t="s">
        <v>163</v>
      </c>
      <c r="Q14" s="179" t="s">
        <v>41</v>
      </c>
      <c r="R14" s="179" t="s">
        <v>164</v>
      </c>
    </row>
    <row r="15" spans="1:51" ht="28.8" customHeight="1" x14ac:dyDescent="0.3">
      <c r="K15" s="179">
        <f>K14+1</f>
        <v>2</v>
      </c>
      <c r="L15" s="179" t="s">
        <v>165</v>
      </c>
      <c r="M15" s="179" t="s">
        <v>166</v>
      </c>
      <c r="N15" s="180">
        <v>2000</v>
      </c>
      <c r="O15" s="179" t="s">
        <v>167</v>
      </c>
      <c r="P15" s="179" t="s">
        <v>168</v>
      </c>
      <c r="Q15" s="179" t="s">
        <v>169</v>
      </c>
      <c r="R15" s="179" t="s">
        <v>170</v>
      </c>
    </row>
    <row r="16" spans="1:51" ht="28.8" customHeight="1" x14ac:dyDescent="0.3">
      <c r="K16" s="179">
        <f t="shared" ref="K16:K33" si="0">K15+1</f>
        <v>3</v>
      </c>
      <c r="L16" s="179" t="s">
        <v>171</v>
      </c>
      <c r="M16" s="179" t="s">
        <v>161</v>
      </c>
      <c r="N16" s="180">
        <v>15000</v>
      </c>
      <c r="O16" s="179" t="s">
        <v>172</v>
      </c>
      <c r="P16" s="179" t="s">
        <v>173</v>
      </c>
      <c r="Q16" s="179" t="s">
        <v>174</v>
      </c>
      <c r="R16" s="179" t="s">
        <v>175</v>
      </c>
    </row>
    <row r="17" spans="11:18" ht="28.8" customHeight="1" x14ac:dyDescent="0.3">
      <c r="K17" s="179">
        <f t="shared" si="0"/>
        <v>4</v>
      </c>
      <c r="L17" s="179" t="s">
        <v>176</v>
      </c>
      <c r="M17" s="179" t="s">
        <v>177</v>
      </c>
      <c r="N17" s="180">
        <v>1200</v>
      </c>
      <c r="O17" s="179" t="s">
        <v>178</v>
      </c>
      <c r="P17" s="179" t="s">
        <v>179</v>
      </c>
      <c r="Q17" s="179" t="s">
        <v>58</v>
      </c>
      <c r="R17" s="179" t="s">
        <v>164</v>
      </c>
    </row>
    <row r="18" spans="11:18" ht="28.8" customHeight="1" x14ac:dyDescent="0.3">
      <c r="K18" s="179">
        <f t="shared" si="0"/>
        <v>5</v>
      </c>
      <c r="L18" s="179" t="s">
        <v>180</v>
      </c>
      <c r="M18" s="179" t="s">
        <v>161</v>
      </c>
      <c r="N18" s="180">
        <v>12500</v>
      </c>
      <c r="O18" s="179" t="s">
        <v>181</v>
      </c>
      <c r="P18" s="179" t="s">
        <v>61</v>
      </c>
      <c r="Q18" s="179" t="s">
        <v>182</v>
      </c>
      <c r="R18" s="179" t="s">
        <v>164</v>
      </c>
    </row>
    <row r="19" spans="11:18" ht="28.8" customHeight="1" x14ac:dyDescent="0.3">
      <c r="K19" s="179">
        <f t="shared" si="0"/>
        <v>6</v>
      </c>
      <c r="L19" s="179" t="s">
        <v>183</v>
      </c>
      <c r="M19" s="179" t="s">
        <v>161</v>
      </c>
      <c r="N19" s="180">
        <v>8000</v>
      </c>
      <c r="O19" s="179" t="s">
        <v>184</v>
      </c>
      <c r="P19" s="179" t="s">
        <v>185</v>
      </c>
      <c r="Q19" s="179" t="s">
        <v>186</v>
      </c>
      <c r="R19" s="179" t="s">
        <v>175</v>
      </c>
    </row>
    <row r="20" spans="11:18" ht="28.8" customHeight="1" x14ac:dyDescent="0.3">
      <c r="K20" s="179">
        <f t="shared" si="0"/>
        <v>7</v>
      </c>
      <c r="L20" s="179" t="s">
        <v>187</v>
      </c>
      <c r="M20" s="179" t="s">
        <v>166</v>
      </c>
      <c r="N20" s="180">
        <v>2500</v>
      </c>
      <c r="O20" s="179" t="s">
        <v>188</v>
      </c>
      <c r="P20" s="179" t="s">
        <v>189</v>
      </c>
      <c r="Q20" s="179" t="s">
        <v>190</v>
      </c>
      <c r="R20" s="179" t="s">
        <v>170</v>
      </c>
    </row>
    <row r="21" spans="11:18" ht="28.8" customHeight="1" x14ac:dyDescent="0.3">
      <c r="K21" s="179">
        <f t="shared" si="0"/>
        <v>8</v>
      </c>
      <c r="L21" s="179" t="s">
        <v>191</v>
      </c>
      <c r="M21" s="179" t="s">
        <v>177</v>
      </c>
      <c r="N21" s="180">
        <v>1800</v>
      </c>
      <c r="O21" s="179" t="s">
        <v>192</v>
      </c>
      <c r="P21" s="179" t="s">
        <v>193</v>
      </c>
      <c r="Q21" s="179" t="s">
        <v>82</v>
      </c>
      <c r="R21" s="179" t="s">
        <v>164</v>
      </c>
    </row>
    <row r="22" spans="11:18" ht="28.8" customHeight="1" x14ac:dyDescent="0.3">
      <c r="K22" s="179">
        <f t="shared" si="0"/>
        <v>9</v>
      </c>
      <c r="L22" s="179" t="s">
        <v>194</v>
      </c>
      <c r="M22" s="179" t="s">
        <v>161</v>
      </c>
      <c r="N22" s="180">
        <v>10500</v>
      </c>
      <c r="O22" s="179" t="s">
        <v>195</v>
      </c>
      <c r="P22" s="179" t="s">
        <v>85</v>
      </c>
      <c r="Q22" s="179" t="s">
        <v>88</v>
      </c>
      <c r="R22" s="179" t="s">
        <v>164</v>
      </c>
    </row>
    <row r="23" spans="11:18" ht="28.8" customHeight="1" x14ac:dyDescent="0.3">
      <c r="K23" s="179">
        <f t="shared" si="0"/>
        <v>10</v>
      </c>
      <c r="L23" s="179" t="s">
        <v>196</v>
      </c>
      <c r="M23" s="179" t="s">
        <v>166</v>
      </c>
      <c r="N23" s="180">
        <v>2200</v>
      </c>
      <c r="O23" s="179" t="s">
        <v>197</v>
      </c>
      <c r="P23" s="179" t="s">
        <v>198</v>
      </c>
      <c r="Q23" s="179" t="s">
        <v>94</v>
      </c>
      <c r="R23" s="179" t="s">
        <v>170</v>
      </c>
    </row>
    <row r="24" spans="11:18" ht="28.8" customHeight="1" x14ac:dyDescent="0.3">
      <c r="K24" s="179">
        <f t="shared" si="0"/>
        <v>11</v>
      </c>
      <c r="L24" s="179" t="s">
        <v>199</v>
      </c>
      <c r="M24" s="179" t="s">
        <v>161</v>
      </c>
      <c r="N24" s="180">
        <v>14000</v>
      </c>
      <c r="O24" s="179" t="s">
        <v>200</v>
      </c>
      <c r="P24" s="179" t="s">
        <v>97</v>
      </c>
      <c r="Q24" s="179" t="s">
        <v>100</v>
      </c>
      <c r="R24" s="179" t="s">
        <v>164</v>
      </c>
    </row>
    <row r="25" spans="11:18" ht="28.8" customHeight="1" x14ac:dyDescent="0.3">
      <c r="K25" s="179">
        <f t="shared" si="0"/>
        <v>12</v>
      </c>
      <c r="L25" s="179" t="s">
        <v>201</v>
      </c>
      <c r="M25" s="179" t="s">
        <v>177</v>
      </c>
      <c r="N25" s="180">
        <v>1000</v>
      </c>
      <c r="O25" s="179" t="s">
        <v>202</v>
      </c>
      <c r="P25" s="179" t="s">
        <v>203</v>
      </c>
      <c r="Q25" s="179" t="s">
        <v>106</v>
      </c>
      <c r="R25" s="179" t="s">
        <v>175</v>
      </c>
    </row>
    <row r="26" spans="11:18" ht="28.8" customHeight="1" x14ac:dyDescent="0.3">
      <c r="K26" s="179">
        <f t="shared" si="0"/>
        <v>13</v>
      </c>
      <c r="L26" s="179" t="s">
        <v>204</v>
      </c>
      <c r="M26" s="179" t="s">
        <v>161</v>
      </c>
      <c r="N26" s="180">
        <v>13000</v>
      </c>
      <c r="O26" s="179" t="s">
        <v>205</v>
      </c>
      <c r="P26" s="179" t="s">
        <v>109</v>
      </c>
      <c r="Q26" s="179" t="s">
        <v>112</v>
      </c>
      <c r="R26" s="179" t="s">
        <v>164</v>
      </c>
    </row>
    <row r="27" spans="11:18" ht="28.8" customHeight="1" x14ac:dyDescent="0.3">
      <c r="K27" s="179">
        <f t="shared" si="0"/>
        <v>14</v>
      </c>
      <c r="L27" s="179" t="s">
        <v>206</v>
      </c>
      <c r="M27" s="179" t="s">
        <v>166</v>
      </c>
      <c r="N27" s="180">
        <v>1900</v>
      </c>
      <c r="O27" s="179" t="s">
        <v>207</v>
      </c>
      <c r="P27" s="179" t="s">
        <v>115</v>
      </c>
      <c r="Q27" s="179" t="s">
        <v>118</v>
      </c>
      <c r="R27" s="179" t="s">
        <v>170</v>
      </c>
    </row>
    <row r="28" spans="11:18" ht="28.8" customHeight="1" x14ac:dyDescent="0.3">
      <c r="K28" s="179">
        <f t="shared" si="0"/>
        <v>15</v>
      </c>
      <c r="L28" s="179" t="s">
        <v>208</v>
      </c>
      <c r="M28" s="179" t="s">
        <v>161</v>
      </c>
      <c r="N28" s="180">
        <v>16000</v>
      </c>
      <c r="O28" s="179" t="s">
        <v>209</v>
      </c>
      <c r="P28" s="179" t="s">
        <v>121</v>
      </c>
      <c r="Q28" s="179" t="s">
        <v>124</v>
      </c>
      <c r="R28" s="179" t="s">
        <v>164</v>
      </c>
    </row>
    <row r="29" spans="11:18" ht="28.8" customHeight="1" x14ac:dyDescent="0.3">
      <c r="K29" s="179">
        <f t="shared" si="0"/>
        <v>16</v>
      </c>
      <c r="L29" s="179" t="s">
        <v>210</v>
      </c>
      <c r="M29" s="179" t="s">
        <v>177</v>
      </c>
      <c r="N29" s="180">
        <v>1500</v>
      </c>
      <c r="O29" s="179" t="s">
        <v>211</v>
      </c>
      <c r="P29" s="179" t="s">
        <v>127</v>
      </c>
      <c r="Q29" s="179" t="s">
        <v>130</v>
      </c>
      <c r="R29" s="179" t="s">
        <v>164</v>
      </c>
    </row>
    <row r="30" spans="11:18" ht="28.8" customHeight="1" x14ac:dyDescent="0.3">
      <c r="K30" s="179">
        <f t="shared" si="0"/>
        <v>17</v>
      </c>
      <c r="L30" s="179" t="s">
        <v>212</v>
      </c>
      <c r="M30" s="179" t="s">
        <v>166</v>
      </c>
      <c r="N30" s="180">
        <v>2300</v>
      </c>
      <c r="O30" s="179" t="s">
        <v>213</v>
      </c>
      <c r="P30" s="179" t="s">
        <v>132</v>
      </c>
      <c r="Q30" s="179" t="s">
        <v>135</v>
      </c>
      <c r="R30" s="179" t="s">
        <v>175</v>
      </c>
    </row>
    <row r="31" spans="11:18" ht="28.8" customHeight="1" x14ac:dyDescent="0.3">
      <c r="K31" s="179">
        <f t="shared" si="0"/>
        <v>18</v>
      </c>
      <c r="L31" s="179" t="s">
        <v>214</v>
      </c>
      <c r="M31" s="179" t="s">
        <v>161</v>
      </c>
      <c r="N31" s="180">
        <v>11000</v>
      </c>
      <c r="O31" s="179" t="s">
        <v>215</v>
      </c>
      <c r="P31" s="179" t="s">
        <v>137</v>
      </c>
      <c r="Q31" s="179" t="s">
        <v>140</v>
      </c>
      <c r="R31" s="179" t="s">
        <v>164</v>
      </c>
    </row>
    <row r="32" spans="11:18" ht="28.8" customHeight="1" x14ac:dyDescent="0.3">
      <c r="K32" s="179">
        <f t="shared" si="0"/>
        <v>19</v>
      </c>
      <c r="L32" s="179" t="s">
        <v>216</v>
      </c>
      <c r="M32" s="179" t="s">
        <v>166</v>
      </c>
      <c r="N32" s="180">
        <v>1700</v>
      </c>
      <c r="O32" s="179" t="s">
        <v>217</v>
      </c>
      <c r="P32" s="179" t="s">
        <v>143</v>
      </c>
      <c r="Q32" s="179" t="s">
        <v>146</v>
      </c>
      <c r="R32" s="179" t="s">
        <v>170</v>
      </c>
    </row>
    <row r="33" spans="11:18" ht="28.8" customHeight="1" x14ac:dyDescent="0.3">
      <c r="K33" s="179">
        <f t="shared" si="0"/>
        <v>20</v>
      </c>
      <c r="L33" s="179" t="s">
        <v>218</v>
      </c>
      <c r="M33" s="179" t="s">
        <v>177</v>
      </c>
      <c r="N33" s="180">
        <v>1300</v>
      </c>
      <c r="O33" s="179" t="s">
        <v>219</v>
      </c>
      <c r="P33" s="179" t="s">
        <v>148</v>
      </c>
      <c r="Q33" s="179" t="s">
        <v>151</v>
      </c>
      <c r="R33" s="179" t="s">
        <v>164</v>
      </c>
    </row>
    <row r="34" spans="11:18" ht="28.8" customHeight="1" x14ac:dyDescent="0.3"/>
    <row r="35" spans="11:18" ht="28.8" customHeight="1" x14ac:dyDescent="0.3"/>
    <row r="36" spans="11:18" ht="28.8" customHeight="1" x14ac:dyDescent="0.3"/>
    <row r="37" spans="11:18" ht="28.8" customHeight="1" x14ac:dyDescent="0.3"/>
    <row r="38" spans="11:18" ht="28.8" customHeight="1" x14ac:dyDescent="0.3"/>
    <row r="39" spans="11:18" ht="28.8" customHeight="1" x14ac:dyDescent="0.3"/>
    <row r="40" spans="11:18" ht="28.8" customHeight="1" x14ac:dyDescent="0.3"/>
    <row r="41" spans="11:18" ht="28.8" customHeight="1" x14ac:dyDescent="0.3"/>
    <row r="42" spans="11:18" ht="28.8" customHeight="1" x14ac:dyDescent="0.3"/>
    <row r="43" spans="11:18" ht="28.8" customHeight="1" x14ac:dyDescent="0.3"/>
    <row r="44" spans="11:18" ht="28.8" customHeight="1" x14ac:dyDescent="0.3"/>
    <row r="45" spans="11:18" ht="28.8" customHeight="1" x14ac:dyDescent="0.3"/>
    <row r="46" spans="11:18" ht="28.8" customHeight="1" x14ac:dyDescent="0.3"/>
    <row r="47" spans="11:18" ht="28.8" customHeight="1" x14ac:dyDescent="0.3"/>
    <row r="48" spans="11:1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0AAE6-9E02-4DF5-A528-C6871DA6989C}">
  <sheetPr codeName="Planilha30">
    <tabColor rgb="FFFFC000"/>
  </sheetPr>
  <dimension ref="A1:AY66"/>
  <sheetViews>
    <sheetView zoomScale="40" zoomScaleNormal="40" workbookViewId="0">
      <selection activeCell="AB22" sqref="AB22"/>
    </sheetView>
  </sheetViews>
  <sheetFormatPr defaultRowHeight="14.4" x14ac:dyDescent="0.3"/>
  <cols>
    <col min="1" max="4" width="8.88671875" style="126"/>
    <col min="5" max="5" width="4.5546875" style="126" bestFit="1" customWidth="1"/>
    <col min="6" max="6" width="21.88671875" style="126" bestFit="1" customWidth="1"/>
    <col min="7" max="7" width="26" style="126" bestFit="1" customWidth="1"/>
    <col min="8" max="8" width="19.44140625" style="126" bestFit="1" customWidth="1"/>
    <col min="9" max="9" width="12.109375" style="126" bestFit="1" customWidth="1"/>
    <col min="10" max="10" width="12.6640625" style="126" bestFit="1" customWidth="1"/>
    <col min="11" max="11" width="5.109375" style="126" bestFit="1" customWidth="1"/>
    <col min="12" max="12" width="27.6640625" style="126" bestFit="1" customWidth="1"/>
    <col min="13" max="13" width="24.33203125" style="126" bestFit="1" customWidth="1"/>
    <col min="14" max="14" width="29.88671875" style="126" bestFit="1" customWidth="1"/>
    <col min="15" max="15" width="52.33203125" style="126" bestFit="1" customWidth="1"/>
    <col min="16" max="16" width="27.6640625" style="126" bestFit="1" customWidth="1"/>
    <col min="17" max="17" width="20.44140625" style="126" bestFit="1" customWidth="1"/>
    <col min="18" max="18" width="36" style="126" bestFit="1" customWidth="1"/>
    <col min="19" max="19" width="31.5546875" style="126" bestFit="1" customWidth="1"/>
    <col min="20" max="16384" width="8.88671875" style="126"/>
  </cols>
  <sheetData>
    <row r="1" spans="1:5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78" t="s">
        <v>220</v>
      </c>
      <c r="L13" s="178" t="s">
        <v>221</v>
      </c>
      <c r="M13" s="182" t="s">
        <v>222</v>
      </c>
      <c r="N13" s="178" t="s">
        <v>32</v>
      </c>
      <c r="O13" s="178" t="s">
        <v>223</v>
      </c>
      <c r="P13" s="178" t="s">
        <v>224</v>
      </c>
      <c r="Q13" s="178" t="s">
        <v>225</v>
      </c>
      <c r="R13" s="178" t="s">
        <v>226</v>
      </c>
      <c r="S13" s="178" t="s">
        <v>227</v>
      </c>
    </row>
    <row r="14" spans="1:51" ht="28.8" customHeight="1" x14ac:dyDescent="0.3">
      <c r="K14" s="179">
        <v>1</v>
      </c>
      <c r="L14" s="183">
        <v>45604</v>
      </c>
      <c r="M14" s="184">
        <v>0.33333333333333331</v>
      </c>
      <c r="N14" s="179" t="s">
        <v>38</v>
      </c>
      <c r="O14" s="179" t="s">
        <v>228</v>
      </c>
      <c r="P14" s="179" t="s">
        <v>229</v>
      </c>
      <c r="Q14" s="179">
        <v>10</v>
      </c>
      <c r="R14" s="179" t="s">
        <v>161</v>
      </c>
      <c r="S14" s="179" t="s">
        <v>230</v>
      </c>
    </row>
    <row r="15" spans="1:51" ht="28.8" customHeight="1" x14ac:dyDescent="0.3">
      <c r="K15" s="179">
        <f>K14+1</f>
        <v>2</v>
      </c>
      <c r="L15" s="183">
        <v>45604</v>
      </c>
      <c r="M15" s="184">
        <v>0.39583333333333331</v>
      </c>
      <c r="N15" s="179" t="s">
        <v>44</v>
      </c>
      <c r="O15" s="179" t="s">
        <v>231</v>
      </c>
      <c r="P15" s="179" t="s">
        <v>232</v>
      </c>
      <c r="Q15" s="179">
        <v>2</v>
      </c>
      <c r="R15" s="179" t="s">
        <v>166</v>
      </c>
      <c r="S15" s="179" t="s">
        <v>233</v>
      </c>
    </row>
    <row r="16" spans="1:51" ht="28.8" customHeight="1" x14ac:dyDescent="0.3">
      <c r="K16" s="179">
        <f t="shared" ref="K16:K33" si="0">K15+1</f>
        <v>3</v>
      </c>
      <c r="L16" s="183">
        <v>45604</v>
      </c>
      <c r="M16" s="184">
        <v>0.32291666666666669</v>
      </c>
      <c r="N16" s="179" t="s">
        <v>49</v>
      </c>
      <c r="O16" s="179" t="s">
        <v>234</v>
      </c>
      <c r="P16" s="179" t="s">
        <v>235</v>
      </c>
      <c r="Q16" s="179">
        <v>50</v>
      </c>
      <c r="R16" s="179" t="s">
        <v>177</v>
      </c>
      <c r="S16" s="179" t="s">
        <v>230</v>
      </c>
    </row>
    <row r="17" spans="11:19" ht="28.8" customHeight="1" x14ac:dyDescent="0.3">
      <c r="K17" s="179">
        <f t="shared" si="0"/>
        <v>4</v>
      </c>
      <c r="L17" s="183">
        <v>45604</v>
      </c>
      <c r="M17" s="184">
        <v>0.41666666666666669</v>
      </c>
      <c r="N17" s="179" t="s">
        <v>55</v>
      </c>
      <c r="O17" s="179" t="s">
        <v>236</v>
      </c>
      <c r="P17" s="179" t="s">
        <v>237</v>
      </c>
      <c r="Q17" s="179">
        <v>15</v>
      </c>
      <c r="R17" s="179" t="s">
        <v>161</v>
      </c>
      <c r="S17" s="179" t="s">
        <v>230</v>
      </c>
    </row>
    <row r="18" spans="11:19" ht="28.8" customHeight="1" x14ac:dyDescent="0.3">
      <c r="K18" s="179">
        <f t="shared" si="0"/>
        <v>5</v>
      </c>
      <c r="L18" s="183">
        <v>45604</v>
      </c>
      <c r="M18" s="184">
        <v>0.34375</v>
      </c>
      <c r="N18" s="179" t="s">
        <v>61</v>
      </c>
      <c r="O18" s="179" t="s">
        <v>238</v>
      </c>
      <c r="P18" s="179" t="s">
        <v>229</v>
      </c>
      <c r="Q18" s="179">
        <v>100</v>
      </c>
      <c r="R18" s="179" t="s">
        <v>161</v>
      </c>
      <c r="S18" s="179" t="s">
        <v>239</v>
      </c>
    </row>
    <row r="19" spans="11:19" ht="28.8" customHeight="1" x14ac:dyDescent="0.3">
      <c r="K19" s="179">
        <f t="shared" si="0"/>
        <v>6</v>
      </c>
      <c r="L19" s="183">
        <v>45604</v>
      </c>
      <c r="M19" s="184">
        <v>0.375</v>
      </c>
      <c r="N19" s="179" t="s">
        <v>67</v>
      </c>
      <c r="O19" s="179" t="s">
        <v>240</v>
      </c>
      <c r="P19" s="179" t="s">
        <v>232</v>
      </c>
      <c r="Q19" s="179">
        <v>200</v>
      </c>
      <c r="R19" s="179" t="s">
        <v>166</v>
      </c>
      <c r="S19" s="179" t="s">
        <v>230</v>
      </c>
    </row>
    <row r="20" spans="11:19" ht="28.8" customHeight="1" x14ac:dyDescent="0.3">
      <c r="K20" s="179">
        <f t="shared" si="0"/>
        <v>7</v>
      </c>
      <c r="L20" s="183">
        <v>45604</v>
      </c>
      <c r="M20" s="184">
        <v>0.45833333333333331</v>
      </c>
      <c r="N20" s="179" t="s">
        <v>73</v>
      </c>
      <c r="O20" s="179" t="s">
        <v>241</v>
      </c>
      <c r="P20" s="179" t="s">
        <v>235</v>
      </c>
      <c r="Q20" s="179">
        <v>30</v>
      </c>
      <c r="R20" s="179" t="s">
        <v>177</v>
      </c>
      <c r="S20" s="179" t="s">
        <v>233</v>
      </c>
    </row>
    <row r="21" spans="11:19" ht="28.8" customHeight="1" x14ac:dyDescent="0.3">
      <c r="K21" s="179">
        <f t="shared" si="0"/>
        <v>8</v>
      </c>
      <c r="L21" s="183">
        <v>45604</v>
      </c>
      <c r="M21" s="184">
        <v>0.3125</v>
      </c>
      <c r="N21" s="179" t="s">
        <v>79</v>
      </c>
      <c r="O21" s="179" t="s">
        <v>242</v>
      </c>
      <c r="P21" s="179" t="s">
        <v>237</v>
      </c>
      <c r="Q21" s="179">
        <v>20</v>
      </c>
      <c r="R21" s="179" t="s">
        <v>161</v>
      </c>
      <c r="S21" s="179" t="s">
        <v>230</v>
      </c>
    </row>
    <row r="22" spans="11:19" ht="28.8" customHeight="1" x14ac:dyDescent="0.3">
      <c r="K22" s="179">
        <f t="shared" si="0"/>
        <v>9</v>
      </c>
      <c r="L22" s="183">
        <v>45604</v>
      </c>
      <c r="M22" s="184">
        <v>0.40625</v>
      </c>
      <c r="N22" s="179" t="s">
        <v>85</v>
      </c>
      <c r="O22" s="179" t="s">
        <v>243</v>
      </c>
      <c r="P22" s="179" t="s">
        <v>229</v>
      </c>
      <c r="Q22" s="179">
        <v>500</v>
      </c>
      <c r="R22" s="179" t="s">
        <v>161</v>
      </c>
      <c r="S22" s="179" t="s">
        <v>230</v>
      </c>
    </row>
    <row r="23" spans="11:19" ht="28.8" customHeight="1" x14ac:dyDescent="0.3">
      <c r="K23" s="179">
        <f t="shared" si="0"/>
        <v>10</v>
      </c>
      <c r="L23" s="183">
        <v>45604</v>
      </c>
      <c r="M23" s="184">
        <v>0.42708333333333331</v>
      </c>
      <c r="N23" s="179" t="s">
        <v>91</v>
      </c>
      <c r="O23" s="179" t="s">
        <v>244</v>
      </c>
      <c r="P23" s="179" t="s">
        <v>232</v>
      </c>
      <c r="Q23" s="179">
        <v>5</v>
      </c>
      <c r="R23" s="179" t="s">
        <v>166</v>
      </c>
      <c r="S23" s="179" t="s">
        <v>239</v>
      </c>
    </row>
    <row r="24" spans="11:19" ht="28.8" customHeight="1" x14ac:dyDescent="0.3">
      <c r="K24" s="179">
        <f t="shared" si="0"/>
        <v>11</v>
      </c>
      <c r="L24" s="183">
        <v>45604</v>
      </c>
      <c r="M24" s="184">
        <v>0.47916666666666669</v>
      </c>
      <c r="N24" s="179" t="s">
        <v>97</v>
      </c>
      <c r="O24" s="179" t="s">
        <v>245</v>
      </c>
      <c r="P24" s="179" t="s">
        <v>235</v>
      </c>
      <c r="Q24" s="179">
        <v>40</v>
      </c>
      <c r="R24" s="179" t="s">
        <v>161</v>
      </c>
      <c r="S24" s="179" t="s">
        <v>230</v>
      </c>
    </row>
    <row r="25" spans="11:19" ht="28.8" customHeight="1" x14ac:dyDescent="0.3">
      <c r="K25" s="179">
        <f t="shared" si="0"/>
        <v>12</v>
      </c>
      <c r="L25" s="183">
        <v>45604</v>
      </c>
      <c r="M25" s="184">
        <v>0.36458333333333331</v>
      </c>
      <c r="N25" s="179" t="s">
        <v>103</v>
      </c>
      <c r="O25" s="179" t="s">
        <v>246</v>
      </c>
      <c r="P25" s="179" t="s">
        <v>237</v>
      </c>
      <c r="Q25" s="179">
        <v>80</v>
      </c>
      <c r="R25" s="179" t="s">
        <v>177</v>
      </c>
      <c r="S25" s="179" t="s">
        <v>233</v>
      </c>
    </row>
    <row r="26" spans="11:19" ht="28.8" customHeight="1" x14ac:dyDescent="0.3">
      <c r="K26" s="179">
        <f t="shared" si="0"/>
        <v>13</v>
      </c>
      <c r="L26" s="183">
        <v>45604</v>
      </c>
      <c r="M26" s="184">
        <v>0.38541666666666669</v>
      </c>
      <c r="N26" s="179" t="s">
        <v>109</v>
      </c>
      <c r="O26" s="179" t="s">
        <v>247</v>
      </c>
      <c r="P26" s="179" t="s">
        <v>229</v>
      </c>
      <c r="Q26" s="179">
        <v>20</v>
      </c>
      <c r="R26" s="179" t="s">
        <v>161</v>
      </c>
      <c r="S26" s="179" t="s">
        <v>230</v>
      </c>
    </row>
    <row r="27" spans="11:19" ht="28.8" customHeight="1" x14ac:dyDescent="0.3">
      <c r="K27" s="179">
        <f t="shared" si="0"/>
        <v>14</v>
      </c>
      <c r="L27" s="183">
        <v>45604</v>
      </c>
      <c r="M27" s="184">
        <v>0.29166666666666669</v>
      </c>
      <c r="N27" s="179" t="s">
        <v>115</v>
      </c>
      <c r="O27" s="179" t="s">
        <v>248</v>
      </c>
      <c r="P27" s="179" t="s">
        <v>232</v>
      </c>
      <c r="Q27" s="179">
        <v>35</v>
      </c>
      <c r="R27" s="179" t="s">
        <v>166</v>
      </c>
      <c r="S27" s="179" t="s">
        <v>230</v>
      </c>
    </row>
    <row r="28" spans="11:19" ht="28.8" customHeight="1" x14ac:dyDescent="0.3">
      <c r="K28" s="179">
        <f t="shared" si="0"/>
        <v>15</v>
      </c>
      <c r="L28" s="183">
        <v>45604</v>
      </c>
      <c r="M28" s="184">
        <v>0.4375</v>
      </c>
      <c r="N28" s="179" t="s">
        <v>121</v>
      </c>
      <c r="O28" s="179" t="s">
        <v>249</v>
      </c>
      <c r="P28" s="179" t="s">
        <v>235</v>
      </c>
      <c r="Q28" s="179">
        <v>300</v>
      </c>
      <c r="R28" s="179" t="s">
        <v>161</v>
      </c>
      <c r="S28" s="179" t="s">
        <v>239</v>
      </c>
    </row>
    <row r="29" spans="11:19" ht="28.8" customHeight="1" x14ac:dyDescent="0.3">
      <c r="K29" s="179">
        <f t="shared" si="0"/>
        <v>16</v>
      </c>
      <c r="L29" s="183">
        <v>45604</v>
      </c>
      <c r="M29" s="184">
        <v>0.40972222222222221</v>
      </c>
      <c r="N29" s="179" t="s">
        <v>127</v>
      </c>
      <c r="O29" s="179" t="s">
        <v>250</v>
      </c>
      <c r="P29" s="179" t="s">
        <v>237</v>
      </c>
      <c r="Q29" s="179">
        <v>60</v>
      </c>
      <c r="R29" s="179" t="s">
        <v>177</v>
      </c>
      <c r="S29" s="179" t="s">
        <v>230</v>
      </c>
    </row>
    <row r="30" spans="11:19" ht="28.8" customHeight="1" x14ac:dyDescent="0.3">
      <c r="K30" s="179">
        <f t="shared" si="0"/>
        <v>17</v>
      </c>
      <c r="L30" s="183">
        <v>45604</v>
      </c>
      <c r="M30" s="184">
        <v>0.34722222222222221</v>
      </c>
      <c r="N30" s="179" t="s">
        <v>132</v>
      </c>
      <c r="O30" s="179" t="s">
        <v>251</v>
      </c>
      <c r="P30" s="179" t="s">
        <v>229</v>
      </c>
      <c r="Q30" s="179">
        <v>15</v>
      </c>
      <c r="R30" s="179" t="s">
        <v>166</v>
      </c>
      <c r="S30" s="179" t="s">
        <v>233</v>
      </c>
    </row>
    <row r="31" spans="11:19" ht="28.8" customHeight="1" x14ac:dyDescent="0.3">
      <c r="K31" s="179">
        <f t="shared" si="0"/>
        <v>18</v>
      </c>
      <c r="L31" s="183">
        <v>45604</v>
      </c>
      <c r="M31" s="184">
        <v>0.48958333333333331</v>
      </c>
      <c r="N31" s="179" t="s">
        <v>137</v>
      </c>
      <c r="O31" s="179" t="s">
        <v>252</v>
      </c>
      <c r="P31" s="179" t="s">
        <v>232</v>
      </c>
      <c r="Q31" s="179">
        <v>70</v>
      </c>
      <c r="R31" s="179" t="s">
        <v>161</v>
      </c>
      <c r="S31" s="179" t="s">
        <v>230</v>
      </c>
    </row>
    <row r="32" spans="11:19" ht="28.8" customHeight="1" x14ac:dyDescent="0.3">
      <c r="K32" s="179">
        <f t="shared" si="0"/>
        <v>19</v>
      </c>
      <c r="L32" s="183">
        <v>45604</v>
      </c>
      <c r="M32" s="184">
        <v>0.38194444444444442</v>
      </c>
      <c r="N32" s="179" t="s">
        <v>143</v>
      </c>
      <c r="O32" s="179" t="s">
        <v>253</v>
      </c>
      <c r="P32" s="179" t="s">
        <v>235</v>
      </c>
      <c r="Q32" s="179">
        <v>120</v>
      </c>
      <c r="R32" s="179" t="s">
        <v>166</v>
      </c>
      <c r="S32" s="179" t="s">
        <v>230</v>
      </c>
    </row>
    <row r="33" spans="11:19" ht="28.8" customHeight="1" x14ac:dyDescent="0.3">
      <c r="K33" s="179">
        <f t="shared" si="0"/>
        <v>20</v>
      </c>
      <c r="L33" s="183">
        <v>45604</v>
      </c>
      <c r="M33" s="184">
        <v>0.44444444444444442</v>
      </c>
      <c r="N33" s="179" t="s">
        <v>148</v>
      </c>
      <c r="O33" s="179" t="s">
        <v>254</v>
      </c>
      <c r="P33" s="179" t="s">
        <v>237</v>
      </c>
      <c r="Q33" s="179">
        <v>25</v>
      </c>
      <c r="R33" s="179" t="s">
        <v>177</v>
      </c>
      <c r="S33" s="179" t="s">
        <v>230</v>
      </c>
    </row>
    <row r="34" spans="11:19" ht="28.8" customHeight="1" x14ac:dyDescent="0.3"/>
    <row r="35" spans="11:19" ht="28.8" customHeight="1" x14ac:dyDescent="0.3"/>
    <row r="36" spans="11:19" ht="28.8" customHeight="1" x14ac:dyDescent="0.3"/>
    <row r="37" spans="11:19" ht="28.8" customHeight="1" x14ac:dyDescent="0.3"/>
    <row r="38" spans="11:19" ht="28.8" customHeight="1" x14ac:dyDescent="0.3"/>
    <row r="39" spans="11:19" ht="28.8" customHeight="1" x14ac:dyDescent="0.3"/>
    <row r="40" spans="11:19" ht="28.8" customHeight="1" x14ac:dyDescent="0.3"/>
    <row r="41" spans="11:19" ht="28.8" customHeight="1" x14ac:dyDescent="0.3"/>
    <row r="42" spans="11:19" ht="28.8" customHeight="1" x14ac:dyDescent="0.3"/>
    <row r="43" spans="11:19" ht="28.8" customHeight="1" x14ac:dyDescent="0.3"/>
    <row r="44" spans="11:19" ht="28.8" customHeight="1" x14ac:dyDescent="0.3"/>
    <row r="45" spans="11:19" ht="28.8" customHeight="1" x14ac:dyDescent="0.3"/>
    <row r="46" spans="11:19" ht="28.8" customHeight="1" x14ac:dyDescent="0.3"/>
    <row r="47" spans="11:19" ht="28.8" customHeight="1" x14ac:dyDescent="0.3"/>
    <row r="48" spans="11:19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E2C99-C7C3-43E9-92CE-FE387B7BD4DB}">
  <sheetPr codeName="Planilha31">
    <tabColor rgb="FFFFC000"/>
  </sheetPr>
  <dimension ref="A1:AY66"/>
  <sheetViews>
    <sheetView zoomScale="40" zoomScaleNormal="40" workbookViewId="0">
      <selection activeCell="T26" sqref="T26"/>
    </sheetView>
  </sheetViews>
  <sheetFormatPr defaultRowHeight="14.4" x14ac:dyDescent="0.3"/>
  <cols>
    <col min="1" max="4" width="8.88671875" style="126"/>
    <col min="5" max="5" width="4.5546875" style="126" bestFit="1" customWidth="1"/>
    <col min="6" max="6" width="21.88671875" style="126" bestFit="1" customWidth="1"/>
    <col min="7" max="7" width="26" style="126" bestFit="1" customWidth="1"/>
    <col min="8" max="8" width="19.44140625" style="126" bestFit="1" customWidth="1"/>
    <col min="9" max="9" width="12.109375" style="126" bestFit="1" customWidth="1"/>
    <col min="10" max="10" width="12.6640625" style="126" bestFit="1" customWidth="1"/>
    <col min="11" max="11" width="5.44140625" style="126" bestFit="1" customWidth="1"/>
    <col min="12" max="12" width="25.44140625" style="126" customWidth="1"/>
    <col min="13" max="13" width="26.21875" style="126" customWidth="1"/>
    <col min="14" max="14" width="25.44140625" style="126" customWidth="1"/>
    <col min="15" max="15" width="24.33203125" style="126" customWidth="1"/>
    <col min="16" max="16" width="45.44140625" style="126" bestFit="1" customWidth="1"/>
    <col min="17" max="17" width="20.44140625" style="126" bestFit="1" customWidth="1"/>
    <col min="18" max="18" width="36" style="126" bestFit="1" customWidth="1"/>
    <col min="19" max="19" width="31.5546875" style="126" bestFit="1" customWidth="1"/>
    <col min="20" max="16384" width="8.88671875" style="126"/>
  </cols>
  <sheetData>
    <row r="1" spans="1:5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81" t="s">
        <v>220</v>
      </c>
      <c r="L13" s="181" t="s">
        <v>255</v>
      </c>
      <c r="M13" s="181" t="s">
        <v>256</v>
      </c>
      <c r="N13" s="181" t="s">
        <v>257</v>
      </c>
      <c r="O13" s="181" t="s">
        <v>258</v>
      </c>
      <c r="P13" s="181" t="s">
        <v>259</v>
      </c>
    </row>
    <row r="14" spans="1:51" ht="28.8" customHeight="1" x14ac:dyDescent="0.3">
      <c r="K14" s="179">
        <v>1</v>
      </c>
      <c r="L14" s="185">
        <v>50</v>
      </c>
      <c r="M14" s="180">
        <v>1000</v>
      </c>
      <c r="N14" s="186">
        <f>L14*M14</f>
        <v>50000</v>
      </c>
      <c r="O14" s="186">
        <f>L14*M14+N14</f>
        <v>100000</v>
      </c>
      <c r="P14" s="179" t="s">
        <v>260</v>
      </c>
    </row>
    <row r="15" spans="1:51" ht="28.8" customHeight="1" x14ac:dyDescent="0.3">
      <c r="K15" s="179">
        <f>K14+1</f>
        <v>2</v>
      </c>
      <c r="L15" s="185">
        <v>120</v>
      </c>
      <c r="M15" s="179">
        <v>800</v>
      </c>
      <c r="N15" s="186">
        <v>400</v>
      </c>
      <c r="O15" s="186">
        <v>600</v>
      </c>
      <c r="P15" s="179" t="s">
        <v>261</v>
      </c>
    </row>
    <row r="16" spans="1:51" ht="28.8" customHeight="1" x14ac:dyDescent="0.3">
      <c r="K16" s="179">
        <f t="shared" ref="K16:K33" si="0">K15+1</f>
        <v>3</v>
      </c>
      <c r="L16" s="185">
        <v>30</v>
      </c>
      <c r="M16" s="179">
        <v>500</v>
      </c>
      <c r="N16" s="186">
        <v>250</v>
      </c>
      <c r="O16" s="186">
        <v>400</v>
      </c>
      <c r="P16" s="179" t="s">
        <v>262</v>
      </c>
    </row>
    <row r="17" spans="11:16" ht="28.8" customHeight="1" x14ac:dyDescent="0.3">
      <c r="K17" s="179">
        <f t="shared" si="0"/>
        <v>4</v>
      </c>
      <c r="L17" s="185">
        <v>200</v>
      </c>
      <c r="M17" s="180">
        <v>1200</v>
      </c>
      <c r="N17" s="186">
        <v>600</v>
      </c>
      <c r="O17" s="186">
        <v>900</v>
      </c>
      <c r="P17" s="179" t="s">
        <v>263</v>
      </c>
    </row>
    <row r="18" spans="11:16" ht="28.8" customHeight="1" x14ac:dyDescent="0.3">
      <c r="K18" s="179">
        <f t="shared" si="0"/>
        <v>5</v>
      </c>
      <c r="L18" s="185">
        <v>15</v>
      </c>
      <c r="M18" s="180">
        <v>2000</v>
      </c>
      <c r="N18" s="186">
        <v>700</v>
      </c>
      <c r="O18" s="186">
        <v>1000</v>
      </c>
      <c r="P18" s="179" t="s">
        <v>264</v>
      </c>
    </row>
    <row r="19" spans="11:16" ht="28.8" customHeight="1" x14ac:dyDescent="0.3">
      <c r="K19" s="179">
        <f t="shared" si="0"/>
        <v>6</v>
      </c>
      <c r="L19" s="185">
        <v>80</v>
      </c>
      <c r="M19" s="180">
        <v>1500</v>
      </c>
      <c r="N19" s="186">
        <v>500</v>
      </c>
      <c r="O19" s="186">
        <v>800</v>
      </c>
      <c r="P19" s="179" t="s">
        <v>265</v>
      </c>
    </row>
    <row r="20" spans="11:16" ht="28.8" customHeight="1" x14ac:dyDescent="0.3">
      <c r="K20" s="179">
        <f t="shared" si="0"/>
        <v>7</v>
      </c>
      <c r="L20" s="185">
        <v>60</v>
      </c>
      <c r="M20" s="179">
        <v>400</v>
      </c>
      <c r="N20" s="186">
        <v>200</v>
      </c>
      <c r="O20" s="186">
        <v>300</v>
      </c>
      <c r="P20" s="179" t="s">
        <v>266</v>
      </c>
    </row>
    <row r="21" spans="11:16" ht="28.8" customHeight="1" x14ac:dyDescent="0.3">
      <c r="K21" s="179">
        <f t="shared" si="0"/>
        <v>8</v>
      </c>
      <c r="L21" s="185">
        <v>180</v>
      </c>
      <c r="M21" s="180">
        <v>2500</v>
      </c>
      <c r="N21" s="186">
        <v>800</v>
      </c>
      <c r="O21" s="186">
        <v>1200</v>
      </c>
      <c r="P21" s="179" t="s">
        <v>267</v>
      </c>
    </row>
    <row r="22" spans="11:16" ht="28.8" customHeight="1" x14ac:dyDescent="0.3">
      <c r="K22" s="179">
        <f t="shared" si="0"/>
        <v>9</v>
      </c>
      <c r="L22" s="185">
        <v>90</v>
      </c>
      <c r="M22" s="180">
        <v>1800</v>
      </c>
      <c r="N22" s="186">
        <v>550</v>
      </c>
      <c r="O22" s="186">
        <v>850</v>
      </c>
      <c r="P22" s="179" t="s">
        <v>268</v>
      </c>
    </row>
    <row r="23" spans="11:16" ht="28.8" customHeight="1" x14ac:dyDescent="0.3">
      <c r="K23" s="179">
        <f t="shared" si="0"/>
        <v>10</v>
      </c>
      <c r="L23" s="185">
        <v>40</v>
      </c>
      <c r="M23" s="179">
        <v>600</v>
      </c>
      <c r="N23" s="186">
        <v>300</v>
      </c>
      <c r="O23" s="186">
        <v>500</v>
      </c>
      <c r="P23" s="179" t="s">
        <v>269</v>
      </c>
    </row>
    <row r="24" spans="11:16" ht="28.8" customHeight="1" x14ac:dyDescent="0.3">
      <c r="K24" s="179">
        <f t="shared" si="0"/>
        <v>11</v>
      </c>
      <c r="L24" s="185">
        <v>150</v>
      </c>
      <c r="M24" s="180">
        <v>1000</v>
      </c>
      <c r="N24" s="186">
        <v>600</v>
      </c>
      <c r="O24" s="186">
        <v>950</v>
      </c>
      <c r="P24" s="179" t="s">
        <v>270</v>
      </c>
    </row>
    <row r="25" spans="11:16" ht="28.8" customHeight="1" x14ac:dyDescent="0.3">
      <c r="K25" s="179">
        <f t="shared" si="0"/>
        <v>12</v>
      </c>
      <c r="L25" s="185">
        <v>20</v>
      </c>
      <c r="M25" s="179">
        <v>700</v>
      </c>
      <c r="N25" s="186">
        <v>250</v>
      </c>
      <c r="O25" s="186">
        <v>400</v>
      </c>
      <c r="P25" s="179" t="s">
        <v>271</v>
      </c>
    </row>
    <row r="26" spans="11:16" ht="28.8" customHeight="1" x14ac:dyDescent="0.3">
      <c r="K26" s="179">
        <f t="shared" si="0"/>
        <v>13</v>
      </c>
      <c r="L26" s="185">
        <v>170</v>
      </c>
      <c r="M26" s="180">
        <v>2000</v>
      </c>
      <c r="N26" s="186">
        <v>750</v>
      </c>
      <c r="O26" s="186">
        <v>1150</v>
      </c>
      <c r="P26" s="179" t="s">
        <v>272</v>
      </c>
    </row>
    <row r="27" spans="11:16" ht="28.8" customHeight="1" x14ac:dyDescent="0.3">
      <c r="K27" s="179">
        <f t="shared" si="0"/>
        <v>14</v>
      </c>
      <c r="L27" s="185">
        <v>35</v>
      </c>
      <c r="M27" s="179">
        <v>900</v>
      </c>
      <c r="N27" s="186">
        <v>350</v>
      </c>
      <c r="O27" s="186">
        <v>550</v>
      </c>
      <c r="P27" s="179" t="s">
        <v>273</v>
      </c>
    </row>
    <row r="28" spans="11:16" ht="28.8" customHeight="1" x14ac:dyDescent="0.3">
      <c r="K28" s="179">
        <f t="shared" si="0"/>
        <v>15</v>
      </c>
      <c r="L28" s="185">
        <v>220</v>
      </c>
      <c r="M28" s="180">
        <v>2500</v>
      </c>
      <c r="N28" s="186">
        <v>900</v>
      </c>
      <c r="O28" s="186">
        <v>1400</v>
      </c>
      <c r="P28" s="179" t="s">
        <v>274</v>
      </c>
    </row>
    <row r="29" spans="11:16" ht="28.8" customHeight="1" x14ac:dyDescent="0.3">
      <c r="K29" s="179">
        <f t="shared" si="0"/>
        <v>16</v>
      </c>
      <c r="L29" s="185">
        <v>110</v>
      </c>
      <c r="M29" s="180">
        <v>1100</v>
      </c>
      <c r="N29" s="186">
        <v>450</v>
      </c>
      <c r="O29" s="186">
        <v>700</v>
      </c>
      <c r="P29" s="179" t="s">
        <v>275</v>
      </c>
    </row>
    <row r="30" spans="11:16" ht="28.8" customHeight="1" x14ac:dyDescent="0.3">
      <c r="K30" s="179">
        <f t="shared" si="0"/>
        <v>17</v>
      </c>
      <c r="L30" s="185">
        <v>75</v>
      </c>
      <c r="M30" s="180">
        <v>1300</v>
      </c>
      <c r="N30" s="186">
        <v>500</v>
      </c>
      <c r="O30" s="186">
        <v>750</v>
      </c>
      <c r="P30" s="179" t="s">
        <v>276</v>
      </c>
    </row>
    <row r="31" spans="11:16" ht="28.8" customHeight="1" x14ac:dyDescent="0.3">
      <c r="K31" s="179">
        <f t="shared" si="0"/>
        <v>18</v>
      </c>
      <c r="L31" s="185">
        <v>25</v>
      </c>
      <c r="M31" s="179">
        <v>950</v>
      </c>
      <c r="N31" s="186">
        <v>300</v>
      </c>
      <c r="O31" s="186">
        <v>450</v>
      </c>
      <c r="P31" s="179" t="s">
        <v>277</v>
      </c>
    </row>
    <row r="32" spans="11:16" ht="28.8" customHeight="1" x14ac:dyDescent="0.3">
      <c r="K32" s="179">
        <f t="shared" si="0"/>
        <v>19</v>
      </c>
      <c r="L32" s="185">
        <v>140</v>
      </c>
      <c r="M32" s="180">
        <v>1600</v>
      </c>
      <c r="N32" s="186">
        <v>650</v>
      </c>
      <c r="O32" s="186">
        <v>1000</v>
      </c>
      <c r="P32" s="179" t="s">
        <v>278</v>
      </c>
    </row>
    <row r="33" spans="11:16" ht="28.8" customHeight="1" x14ac:dyDescent="0.3">
      <c r="K33" s="179">
        <f t="shared" si="0"/>
        <v>20</v>
      </c>
      <c r="L33" s="185">
        <v>50</v>
      </c>
      <c r="M33" s="179">
        <v>850</v>
      </c>
      <c r="N33" s="186">
        <v>350</v>
      </c>
      <c r="O33" s="186">
        <v>550</v>
      </c>
      <c r="P33" s="179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F82DA-602F-43A8-84A9-755032734479}">
  <sheetPr codeName="Planilha32">
    <tabColor rgb="FFFFC000"/>
  </sheetPr>
  <dimension ref="A1:AY66"/>
  <sheetViews>
    <sheetView zoomScale="40" zoomScaleNormal="40" workbookViewId="0">
      <selection activeCell="P28" sqref="P28"/>
    </sheetView>
  </sheetViews>
  <sheetFormatPr defaultRowHeight="14.4" x14ac:dyDescent="0.3"/>
  <cols>
    <col min="1" max="4" width="8.88671875" style="126"/>
    <col min="5" max="5" width="4.5546875" style="126" bestFit="1" customWidth="1"/>
    <col min="6" max="6" width="21.88671875" style="126" bestFit="1" customWidth="1"/>
    <col min="7" max="7" width="26" style="126" bestFit="1" customWidth="1"/>
    <col min="8" max="8" width="19.44140625" style="126" bestFit="1" customWidth="1"/>
    <col min="9" max="9" width="12.109375" style="126" bestFit="1" customWidth="1"/>
    <col min="10" max="10" width="12.6640625" style="126" bestFit="1" customWidth="1"/>
    <col min="11" max="11" width="5.109375" style="126" bestFit="1" customWidth="1"/>
    <col min="12" max="12" width="25.44140625" style="126" customWidth="1"/>
    <col min="13" max="13" width="26.21875" style="126" customWidth="1"/>
    <col min="14" max="14" width="25.44140625" style="126" customWidth="1"/>
    <col min="15" max="15" width="24.33203125" style="126" customWidth="1"/>
    <col min="16" max="16" width="45.44140625" style="126" bestFit="1" customWidth="1"/>
    <col min="17" max="17" width="20.44140625" style="126" bestFit="1" customWidth="1"/>
    <col min="18" max="18" width="36" style="126" bestFit="1" customWidth="1"/>
    <col min="19" max="19" width="31.5546875" style="126" bestFit="1" customWidth="1"/>
    <col min="20" max="16384" width="8.88671875" style="126"/>
  </cols>
  <sheetData>
    <row r="1" spans="1:5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81" t="s">
        <v>220</v>
      </c>
      <c r="L13" s="181" t="s">
        <v>255</v>
      </c>
      <c r="M13" s="181" t="s">
        <v>256</v>
      </c>
      <c r="N13" s="181" t="s">
        <v>257</v>
      </c>
      <c r="O13" s="181" t="s">
        <v>258</v>
      </c>
      <c r="P13" s="181" t="s">
        <v>259</v>
      </c>
    </row>
    <row r="14" spans="1:51" ht="28.8" customHeight="1" x14ac:dyDescent="0.3">
      <c r="K14" s="179">
        <v>1</v>
      </c>
      <c r="L14" s="185">
        <v>50</v>
      </c>
      <c r="M14" s="180">
        <v>1000</v>
      </c>
      <c r="N14" s="186">
        <f>L14*M14</f>
        <v>50000</v>
      </c>
      <c r="O14" s="186">
        <f>L14*M14+N14</f>
        <v>100000</v>
      </c>
      <c r="P14" s="179" t="s">
        <v>260</v>
      </c>
    </row>
    <row r="15" spans="1:51" ht="28.8" customHeight="1" x14ac:dyDescent="0.3">
      <c r="K15" s="179">
        <f>K14+1</f>
        <v>2</v>
      </c>
      <c r="L15" s="185">
        <v>120</v>
      </c>
      <c r="M15" s="179">
        <v>800</v>
      </c>
      <c r="N15" s="186">
        <v>400</v>
      </c>
      <c r="O15" s="186">
        <v>600</v>
      </c>
      <c r="P15" s="179" t="s">
        <v>261</v>
      </c>
    </row>
    <row r="16" spans="1:51" ht="28.8" customHeight="1" x14ac:dyDescent="0.3">
      <c r="K16" s="179">
        <f t="shared" ref="K16:K33" si="0">K15+1</f>
        <v>3</v>
      </c>
      <c r="L16" s="185">
        <v>30</v>
      </c>
      <c r="M16" s="179">
        <v>500</v>
      </c>
      <c r="N16" s="186">
        <v>250</v>
      </c>
      <c r="O16" s="186">
        <v>400</v>
      </c>
      <c r="P16" s="179" t="s">
        <v>262</v>
      </c>
    </row>
    <row r="17" spans="11:16" ht="28.8" customHeight="1" x14ac:dyDescent="0.3">
      <c r="K17" s="179">
        <f t="shared" si="0"/>
        <v>4</v>
      </c>
      <c r="L17" s="185">
        <v>200</v>
      </c>
      <c r="M17" s="180">
        <v>1200</v>
      </c>
      <c r="N17" s="186">
        <v>600</v>
      </c>
      <c r="O17" s="186">
        <v>900</v>
      </c>
      <c r="P17" s="179" t="s">
        <v>263</v>
      </c>
    </row>
    <row r="18" spans="11:16" ht="28.8" customHeight="1" x14ac:dyDescent="0.3">
      <c r="K18" s="179">
        <f t="shared" si="0"/>
        <v>5</v>
      </c>
      <c r="L18" s="185">
        <v>15</v>
      </c>
      <c r="M18" s="180">
        <v>2000</v>
      </c>
      <c r="N18" s="186">
        <v>700</v>
      </c>
      <c r="O18" s="186">
        <v>1000</v>
      </c>
      <c r="P18" s="179" t="s">
        <v>264</v>
      </c>
    </row>
    <row r="19" spans="11:16" ht="28.8" customHeight="1" x14ac:dyDescent="0.3">
      <c r="K19" s="179">
        <f t="shared" si="0"/>
        <v>6</v>
      </c>
      <c r="L19" s="185">
        <v>80</v>
      </c>
      <c r="M19" s="180">
        <v>1500</v>
      </c>
      <c r="N19" s="186">
        <v>500</v>
      </c>
      <c r="O19" s="186">
        <v>800</v>
      </c>
      <c r="P19" s="179" t="s">
        <v>265</v>
      </c>
    </row>
    <row r="20" spans="11:16" ht="28.8" customHeight="1" x14ac:dyDescent="0.3">
      <c r="K20" s="179">
        <f t="shared" si="0"/>
        <v>7</v>
      </c>
      <c r="L20" s="185">
        <v>60</v>
      </c>
      <c r="M20" s="179">
        <v>400</v>
      </c>
      <c r="N20" s="186">
        <v>200</v>
      </c>
      <c r="O20" s="186">
        <v>300</v>
      </c>
      <c r="P20" s="179" t="s">
        <v>266</v>
      </c>
    </row>
    <row r="21" spans="11:16" ht="28.8" customHeight="1" x14ac:dyDescent="0.3">
      <c r="K21" s="179">
        <f t="shared" si="0"/>
        <v>8</v>
      </c>
      <c r="L21" s="185">
        <v>180</v>
      </c>
      <c r="M21" s="180">
        <v>2500</v>
      </c>
      <c r="N21" s="186">
        <v>800</v>
      </c>
      <c r="O21" s="186">
        <v>1200</v>
      </c>
      <c r="P21" s="179" t="s">
        <v>267</v>
      </c>
    </row>
    <row r="22" spans="11:16" ht="28.8" customHeight="1" x14ac:dyDescent="0.3">
      <c r="K22" s="179">
        <f t="shared" si="0"/>
        <v>9</v>
      </c>
      <c r="L22" s="185">
        <v>90</v>
      </c>
      <c r="M22" s="180">
        <v>1800</v>
      </c>
      <c r="N22" s="186">
        <v>550</v>
      </c>
      <c r="O22" s="186">
        <v>850</v>
      </c>
      <c r="P22" s="179" t="s">
        <v>268</v>
      </c>
    </row>
    <row r="23" spans="11:16" ht="28.8" customHeight="1" x14ac:dyDescent="0.3">
      <c r="K23" s="179">
        <f t="shared" si="0"/>
        <v>10</v>
      </c>
      <c r="L23" s="185">
        <v>40</v>
      </c>
      <c r="M23" s="179">
        <v>600</v>
      </c>
      <c r="N23" s="186">
        <v>300</v>
      </c>
      <c r="O23" s="186">
        <v>500</v>
      </c>
      <c r="P23" s="179" t="s">
        <v>269</v>
      </c>
    </row>
    <row r="24" spans="11:16" ht="28.8" customHeight="1" x14ac:dyDescent="0.3">
      <c r="K24" s="179">
        <f t="shared" si="0"/>
        <v>11</v>
      </c>
      <c r="L24" s="185">
        <v>150</v>
      </c>
      <c r="M24" s="180">
        <v>1000</v>
      </c>
      <c r="N24" s="186">
        <v>600</v>
      </c>
      <c r="O24" s="186">
        <v>950</v>
      </c>
      <c r="P24" s="179" t="s">
        <v>270</v>
      </c>
    </row>
    <row r="25" spans="11:16" ht="28.8" customHeight="1" x14ac:dyDescent="0.3">
      <c r="K25" s="179">
        <f t="shared" si="0"/>
        <v>12</v>
      </c>
      <c r="L25" s="185">
        <v>20</v>
      </c>
      <c r="M25" s="179">
        <v>700</v>
      </c>
      <c r="N25" s="186">
        <v>250</v>
      </c>
      <c r="O25" s="186">
        <v>400</v>
      </c>
      <c r="P25" s="179" t="s">
        <v>271</v>
      </c>
    </row>
    <row r="26" spans="11:16" ht="28.8" customHeight="1" x14ac:dyDescent="0.3">
      <c r="K26" s="179">
        <f t="shared" si="0"/>
        <v>13</v>
      </c>
      <c r="L26" s="185">
        <v>170</v>
      </c>
      <c r="M26" s="180">
        <v>2000</v>
      </c>
      <c r="N26" s="186">
        <v>750</v>
      </c>
      <c r="O26" s="186">
        <v>1150</v>
      </c>
      <c r="P26" s="179" t="s">
        <v>272</v>
      </c>
    </row>
    <row r="27" spans="11:16" ht="28.8" customHeight="1" x14ac:dyDescent="0.3">
      <c r="K27" s="179">
        <f t="shared" si="0"/>
        <v>14</v>
      </c>
      <c r="L27" s="185">
        <v>35</v>
      </c>
      <c r="M27" s="179">
        <v>900</v>
      </c>
      <c r="N27" s="186">
        <v>350</v>
      </c>
      <c r="O27" s="186">
        <v>550</v>
      </c>
      <c r="P27" s="179" t="s">
        <v>273</v>
      </c>
    </row>
    <row r="28" spans="11:16" ht="28.8" customHeight="1" x14ac:dyDescent="0.3">
      <c r="K28" s="179">
        <f t="shared" si="0"/>
        <v>15</v>
      </c>
      <c r="L28" s="185">
        <v>220</v>
      </c>
      <c r="M28" s="180">
        <v>2500</v>
      </c>
      <c r="N28" s="186">
        <v>900</v>
      </c>
      <c r="O28" s="186">
        <v>1400</v>
      </c>
      <c r="P28" s="179" t="s">
        <v>274</v>
      </c>
    </row>
    <row r="29" spans="11:16" ht="28.8" customHeight="1" x14ac:dyDescent="0.3">
      <c r="K29" s="179">
        <f t="shared" si="0"/>
        <v>16</v>
      </c>
      <c r="L29" s="185">
        <v>110</v>
      </c>
      <c r="M29" s="180">
        <v>1100</v>
      </c>
      <c r="N29" s="186">
        <v>450</v>
      </c>
      <c r="O29" s="186">
        <v>700</v>
      </c>
      <c r="P29" s="179" t="s">
        <v>275</v>
      </c>
    </row>
    <row r="30" spans="11:16" ht="28.8" customHeight="1" x14ac:dyDescent="0.3">
      <c r="K30" s="179">
        <f t="shared" si="0"/>
        <v>17</v>
      </c>
      <c r="L30" s="185">
        <v>75</v>
      </c>
      <c r="M30" s="180">
        <v>1300</v>
      </c>
      <c r="N30" s="186">
        <v>500</v>
      </c>
      <c r="O30" s="186">
        <v>750</v>
      </c>
      <c r="P30" s="179" t="s">
        <v>276</v>
      </c>
    </row>
    <row r="31" spans="11:16" ht="28.8" customHeight="1" x14ac:dyDescent="0.3">
      <c r="K31" s="179">
        <f t="shared" si="0"/>
        <v>18</v>
      </c>
      <c r="L31" s="185">
        <v>25</v>
      </c>
      <c r="M31" s="179">
        <v>950</v>
      </c>
      <c r="N31" s="186">
        <v>300</v>
      </c>
      <c r="O31" s="186">
        <v>450</v>
      </c>
      <c r="P31" s="179" t="s">
        <v>277</v>
      </c>
    </row>
    <row r="32" spans="11:16" ht="28.8" customHeight="1" x14ac:dyDescent="0.3">
      <c r="K32" s="179">
        <f t="shared" si="0"/>
        <v>19</v>
      </c>
      <c r="L32" s="185">
        <v>140</v>
      </c>
      <c r="M32" s="180">
        <v>1600</v>
      </c>
      <c r="N32" s="186">
        <v>650</v>
      </c>
      <c r="O32" s="186">
        <v>1000</v>
      </c>
      <c r="P32" s="179" t="s">
        <v>278</v>
      </c>
    </row>
    <row r="33" spans="11:16" ht="28.8" customHeight="1" x14ac:dyDescent="0.3">
      <c r="K33" s="179">
        <f t="shared" si="0"/>
        <v>20</v>
      </c>
      <c r="L33" s="185">
        <v>50</v>
      </c>
      <c r="M33" s="179">
        <v>850</v>
      </c>
      <c r="N33" s="186">
        <v>350</v>
      </c>
      <c r="O33" s="186">
        <v>550</v>
      </c>
      <c r="P33" s="179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E1C1C-4E7F-482C-BFF7-15473EC0951C}">
  <sheetPr codeName="Planilha33">
    <tabColor rgb="FFFFC000"/>
  </sheetPr>
  <dimension ref="A1:AY66"/>
  <sheetViews>
    <sheetView zoomScale="40" zoomScaleNormal="40" workbookViewId="0">
      <selection activeCell="Q25" sqref="Q25"/>
    </sheetView>
  </sheetViews>
  <sheetFormatPr defaultRowHeight="14.4" x14ac:dyDescent="0.3"/>
  <cols>
    <col min="1" max="4" width="8.88671875" style="126"/>
    <col min="5" max="5" width="4.5546875" style="126" bestFit="1" customWidth="1"/>
    <col min="6" max="6" width="21.88671875" style="126" bestFit="1" customWidth="1"/>
    <col min="7" max="7" width="26" style="126" bestFit="1" customWidth="1"/>
    <col min="8" max="8" width="19.44140625" style="126" bestFit="1" customWidth="1"/>
    <col min="9" max="9" width="12.109375" style="126" bestFit="1" customWidth="1"/>
    <col min="10" max="10" width="12.6640625" style="126" bestFit="1" customWidth="1"/>
    <col min="11" max="11" width="4.5546875" style="126" customWidth="1"/>
    <col min="12" max="12" width="25.44140625" style="126" customWidth="1"/>
    <col min="13" max="13" width="26.21875" style="126" customWidth="1"/>
    <col min="14" max="14" width="25.44140625" style="126" customWidth="1"/>
    <col min="15" max="15" width="24.33203125" style="126" customWidth="1"/>
    <col min="16" max="16" width="45.44140625" style="126" customWidth="1"/>
    <col min="17" max="17" width="20.44140625" style="126" bestFit="1" customWidth="1"/>
    <col min="18" max="18" width="36" style="126" bestFit="1" customWidth="1"/>
    <col min="19" max="19" width="31.5546875" style="126" bestFit="1" customWidth="1"/>
    <col min="20" max="16384" width="8.88671875" style="126"/>
  </cols>
  <sheetData>
    <row r="1" spans="1:5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81" t="s">
        <v>220</v>
      </c>
      <c r="L13" s="181" t="s">
        <v>255</v>
      </c>
      <c r="M13" s="181" t="s">
        <v>256</v>
      </c>
      <c r="N13" s="181" t="s">
        <v>257</v>
      </c>
      <c r="O13" s="181" t="s">
        <v>258</v>
      </c>
      <c r="P13" s="181" t="s">
        <v>259</v>
      </c>
    </row>
    <row r="14" spans="1:51" ht="28.8" customHeight="1" x14ac:dyDescent="0.3">
      <c r="K14" s="179">
        <v>1</v>
      </c>
      <c r="L14" s="185">
        <v>50</v>
      </c>
      <c r="M14" s="180">
        <v>1000</v>
      </c>
      <c r="N14" s="186">
        <f>L14*M14</f>
        <v>50000</v>
      </c>
      <c r="O14" s="186">
        <f>L14*M14+N14</f>
        <v>100000</v>
      </c>
      <c r="P14" s="179" t="s">
        <v>260</v>
      </c>
    </row>
    <row r="15" spans="1:51" ht="28.8" customHeight="1" x14ac:dyDescent="0.3">
      <c r="K15" s="179">
        <f>K14+1</f>
        <v>2</v>
      </c>
      <c r="L15" s="185">
        <v>120</v>
      </c>
      <c r="M15" s="179">
        <v>800</v>
      </c>
      <c r="N15" s="186">
        <v>400</v>
      </c>
      <c r="O15" s="186">
        <v>600</v>
      </c>
      <c r="P15" s="179" t="s">
        <v>261</v>
      </c>
    </row>
    <row r="16" spans="1:51" ht="28.8" customHeight="1" x14ac:dyDescent="0.3">
      <c r="K16" s="179">
        <f t="shared" ref="K16:K33" si="0">K15+1</f>
        <v>3</v>
      </c>
      <c r="L16" s="185">
        <v>30</v>
      </c>
      <c r="M16" s="179">
        <v>500</v>
      </c>
      <c r="N16" s="186">
        <v>250</v>
      </c>
      <c r="O16" s="186">
        <v>400</v>
      </c>
      <c r="P16" s="179" t="s">
        <v>262</v>
      </c>
    </row>
    <row r="17" spans="11:16" ht="28.8" customHeight="1" x14ac:dyDescent="0.3">
      <c r="K17" s="179">
        <f t="shared" si="0"/>
        <v>4</v>
      </c>
      <c r="L17" s="185">
        <v>200</v>
      </c>
      <c r="M17" s="180">
        <v>1200</v>
      </c>
      <c r="N17" s="186">
        <v>600</v>
      </c>
      <c r="O17" s="186">
        <v>900</v>
      </c>
      <c r="P17" s="179" t="s">
        <v>263</v>
      </c>
    </row>
    <row r="18" spans="11:16" ht="28.8" customHeight="1" x14ac:dyDescent="0.3">
      <c r="K18" s="179">
        <f t="shared" si="0"/>
        <v>5</v>
      </c>
      <c r="L18" s="185">
        <v>15</v>
      </c>
      <c r="M18" s="180">
        <v>2000</v>
      </c>
      <c r="N18" s="186">
        <v>700</v>
      </c>
      <c r="O18" s="186">
        <v>1000</v>
      </c>
      <c r="P18" s="179" t="s">
        <v>264</v>
      </c>
    </row>
    <row r="19" spans="11:16" ht="28.8" customHeight="1" x14ac:dyDescent="0.3">
      <c r="K19" s="179">
        <f t="shared" si="0"/>
        <v>6</v>
      </c>
      <c r="L19" s="185">
        <v>80</v>
      </c>
      <c r="M19" s="180">
        <v>1500</v>
      </c>
      <c r="N19" s="186">
        <v>500</v>
      </c>
      <c r="O19" s="186">
        <v>800</v>
      </c>
      <c r="P19" s="179" t="s">
        <v>265</v>
      </c>
    </row>
    <row r="20" spans="11:16" ht="28.8" customHeight="1" x14ac:dyDescent="0.3">
      <c r="K20" s="179">
        <f t="shared" si="0"/>
        <v>7</v>
      </c>
      <c r="L20" s="185">
        <v>60</v>
      </c>
      <c r="M20" s="179">
        <v>400</v>
      </c>
      <c r="N20" s="186">
        <v>200</v>
      </c>
      <c r="O20" s="186">
        <v>300</v>
      </c>
      <c r="P20" s="179" t="s">
        <v>266</v>
      </c>
    </row>
    <row r="21" spans="11:16" ht="28.8" customHeight="1" x14ac:dyDescent="0.3">
      <c r="K21" s="179">
        <f t="shared" si="0"/>
        <v>8</v>
      </c>
      <c r="L21" s="185">
        <v>180</v>
      </c>
      <c r="M21" s="180">
        <v>2500</v>
      </c>
      <c r="N21" s="186">
        <v>800</v>
      </c>
      <c r="O21" s="186">
        <v>1200</v>
      </c>
      <c r="P21" s="179" t="s">
        <v>267</v>
      </c>
    </row>
    <row r="22" spans="11:16" ht="28.8" customHeight="1" x14ac:dyDescent="0.3">
      <c r="K22" s="179">
        <f t="shared" si="0"/>
        <v>9</v>
      </c>
      <c r="L22" s="185">
        <v>90</v>
      </c>
      <c r="M22" s="180">
        <v>1800</v>
      </c>
      <c r="N22" s="186">
        <v>550</v>
      </c>
      <c r="O22" s="186">
        <v>850</v>
      </c>
      <c r="P22" s="179" t="s">
        <v>268</v>
      </c>
    </row>
    <row r="23" spans="11:16" ht="28.8" customHeight="1" x14ac:dyDescent="0.3">
      <c r="K23" s="179">
        <f t="shared" si="0"/>
        <v>10</v>
      </c>
      <c r="L23" s="185">
        <v>40</v>
      </c>
      <c r="M23" s="179">
        <v>600</v>
      </c>
      <c r="N23" s="186">
        <v>300</v>
      </c>
      <c r="O23" s="186">
        <v>500</v>
      </c>
      <c r="P23" s="179" t="s">
        <v>269</v>
      </c>
    </row>
    <row r="24" spans="11:16" ht="28.8" customHeight="1" x14ac:dyDescent="0.3">
      <c r="K24" s="179">
        <f t="shared" si="0"/>
        <v>11</v>
      </c>
      <c r="L24" s="185">
        <v>150</v>
      </c>
      <c r="M24" s="180">
        <v>1000</v>
      </c>
      <c r="N24" s="186">
        <v>600</v>
      </c>
      <c r="O24" s="186">
        <v>950</v>
      </c>
      <c r="P24" s="179" t="s">
        <v>270</v>
      </c>
    </row>
    <row r="25" spans="11:16" ht="28.8" customHeight="1" x14ac:dyDescent="0.3">
      <c r="K25" s="179">
        <f t="shared" si="0"/>
        <v>12</v>
      </c>
      <c r="L25" s="185">
        <v>20</v>
      </c>
      <c r="M25" s="179">
        <v>700</v>
      </c>
      <c r="N25" s="186">
        <v>250</v>
      </c>
      <c r="O25" s="186">
        <v>400</v>
      </c>
      <c r="P25" s="179" t="s">
        <v>271</v>
      </c>
    </row>
    <row r="26" spans="11:16" ht="28.8" customHeight="1" x14ac:dyDescent="0.3">
      <c r="K26" s="179">
        <f t="shared" si="0"/>
        <v>13</v>
      </c>
      <c r="L26" s="185">
        <v>170</v>
      </c>
      <c r="M26" s="180">
        <v>2000</v>
      </c>
      <c r="N26" s="186">
        <v>750</v>
      </c>
      <c r="O26" s="186">
        <v>1150</v>
      </c>
      <c r="P26" s="179" t="s">
        <v>272</v>
      </c>
    </row>
    <row r="27" spans="11:16" ht="28.8" customHeight="1" x14ac:dyDescent="0.3">
      <c r="K27" s="179">
        <f t="shared" si="0"/>
        <v>14</v>
      </c>
      <c r="L27" s="185">
        <v>35</v>
      </c>
      <c r="M27" s="179">
        <v>900</v>
      </c>
      <c r="N27" s="186">
        <v>350</v>
      </c>
      <c r="O27" s="186">
        <v>550</v>
      </c>
      <c r="P27" s="179" t="s">
        <v>273</v>
      </c>
    </row>
    <row r="28" spans="11:16" ht="28.8" customHeight="1" x14ac:dyDescent="0.3">
      <c r="K28" s="179">
        <f t="shared" si="0"/>
        <v>15</v>
      </c>
      <c r="L28" s="185">
        <v>220</v>
      </c>
      <c r="M28" s="180">
        <v>2500</v>
      </c>
      <c r="N28" s="186">
        <v>900</v>
      </c>
      <c r="O28" s="186">
        <v>1400</v>
      </c>
      <c r="P28" s="179" t="s">
        <v>274</v>
      </c>
    </row>
    <row r="29" spans="11:16" ht="28.8" customHeight="1" x14ac:dyDescent="0.3">
      <c r="K29" s="179">
        <f t="shared" si="0"/>
        <v>16</v>
      </c>
      <c r="L29" s="185">
        <v>110</v>
      </c>
      <c r="M29" s="180">
        <v>1100</v>
      </c>
      <c r="N29" s="186">
        <v>450</v>
      </c>
      <c r="O29" s="186">
        <v>700</v>
      </c>
      <c r="P29" s="179" t="s">
        <v>275</v>
      </c>
    </row>
    <row r="30" spans="11:16" ht="28.8" customHeight="1" x14ac:dyDescent="0.3">
      <c r="K30" s="179">
        <f t="shared" si="0"/>
        <v>17</v>
      </c>
      <c r="L30" s="185">
        <v>75</v>
      </c>
      <c r="M30" s="180">
        <v>1300</v>
      </c>
      <c r="N30" s="186">
        <v>500</v>
      </c>
      <c r="O30" s="186">
        <v>750</v>
      </c>
      <c r="P30" s="179" t="s">
        <v>276</v>
      </c>
    </row>
    <row r="31" spans="11:16" ht="28.8" customHeight="1" x14ac:dyDescent="0.3">
      <c r="K31" s="179">
        <f t="shared" si="0"/>
        <v>18</v>
      </c>
      <c r="L31" s="185">
        <v>25</v>
      </c>
      <c r="M31" s="179">
        <v>950</v>
      </c>
      <c r="N31" s="186">
        <v>300</v>
      </c>
      <c r="O31" s="186">
        <v>450</v>
      </c>
      <c r="P31" s="179" t="s">
        <v>277</v>
      </c>
    </row>
    <row r="32" spans="11:16" ht="28.8" customHeight="1" x14ac:dyDescent="0.3">
      <c r="K32" s="179">
        <f t="shared" si="0"/>
        <v>19</v>
      </c>
      <c r="L32" s="185">
        <v>140</v>
      </c>
      <c r="M32" s="180">
        <v>1600</v>
      </c>
      <c r="N32" s="186">
        <v>650</v>
      </c>
      <c r="O32" s="186">
        <v>1000</v>
      </c>
      <c r="P32" s="179" t="s">
        <v>278</v>
      </c>
    </row>
    <row r="33" spans="11:16" ht="28.8" customHeight="1" x14ac:dyDescent="0.3">
      <c r="K33" s="179">
        <f t="shared" si="0"/>
        <v>20</v>
      </c>
      <c r="L33" s="185">
        <v>50</v>
      </c>
      <c r="M33" s="179">
        <v>850</v>
      </c>
      <c r="N33" s="186">
        <v>350</v>
      </c>
      <c r="O33" s="186">
        <v>550</v>
      </c>
      <c r="P33" s="179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1AB1F-2926-4669-9EC2-12A373849C81}">
  <sheetPr codeName="Planilha34">
    <tabColor rgb="FFFFC000"/>
  </sheetPr>
  <dimension ref="A1:AY66"/>
  <sheetViews>
    <sheetView zoomScale="40" zoomScaleNormal="40" workbookViewId="0">
      <selection activeCell="O13" sqref="O13"/>
    </sheetView>
  </sheetViews>
  <sheetFormatPr defaultRowHeight="14.4" x14ac:dyDescent="0.3"/>
  <cols>
    <col min="1" max="4" width="8.88671875" style="126"/>
    <col min="5" max="5" width="4.5546875" style="126" bestFit="1" customWidth="1"/>
    <col min="6" max="6" width="21.88671875" style="126" bestFit="1" customWidth="1"/>
    <col min="7" max="7" width="26" style="126" bestFit="1" customWidth="1"/>
    <col min="8" max="8" width="19.44140625" style="126" bestFit="1" customWidth="1"/>
    <col min="9" max="9" width="12.109375" style="126" bestFit="1" customWidth="1"/>
    <col min="10" max="10" width="12.6640625" style="126" bestFit="1" customWidth="1"/>
    <col min="11" max="11" width="4.5546875" style="126" customWidth="1"/>
    <col min="12" max="12" width="25.44140625" style="126" customWidth="1"/>
    <col min="13" max="13" width="26.21875" style="126" customWidth="1"/>
    <col min="14" max="14" width="25.44140625" style="126" customWidth="1"/>
    <col min="15" max="15" width="24.33203125" style="126" customWidth="1"/>
    <col min="16" max="16" width="45.44140625" style="126" customWidth="1"/>
    <col min="17" max="17" width="20.44140625" style="126" bestFit="1" customWidth="1"/>
    <col min="18" max="18" width="36" style="126" bestFit="1" customWidth="1"/>
    <col min="19" max="19" width="31.5546875" style="126" bestFit="1" customWidth="1"/>
    <col min="20" max="16384" width="8.88671875" style="126"/>
  </cols>
  <sheetData>
    <row r="1" spans="1:5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x14ac:dyDescent="0.3">
      <c r="K13" s="181" t="s">
        <v>220</v>
      </c>
      <c r="L13" s="181" t="s">
        <v>255</v>
      </c>
      <c r="M13" s="181" t="s">
        <v>256</v>
      </c>
      <c r="N13" s="181" t="s">
        <v>257</v>
      </c>
      <c r="O13" s="181" t="s">
        <v>258</v>
      </c>
      <c r="P13" s="181" t="s">
        <v>259</v>
      </c>
    </row>
    <row r="14" spans="1:51" ht="28.8" customHeight="1" x14ac:dyDescent="0.3">
      <c r="K14" s="179">
        <v>1</v>
      </c>
      <c r="L14" s="185">
        <v>50</v>
      </c>
      <c r="M14" s="180">
        <v>1000</v>
      </c>
      <c r="N14" s="186">
        <f>L14*M14</f>
        <v>50000</v>
      </c>
      <c r="O14" s="186">
        <f>L14*M14+N14</f>
        <v>100000</v>
      </c>
      <c r="P14" s="179" t="s">
        <v>260</v>
      </c>
    </row>
    <row r="15" spans="1:51" ht="28.8" customHeight="1" x14ac:dyDescent="0.3">
      <c r="K15" s="179">
        <f>K14+1</f>
        <v>2</v>
      </c>
      <c r="L15" s="185">
        <v>120</v>
      </c>
      <c r="M15" s="179">
        <v>800</v>
      </c>
      <c r="N15" s="186">
        <v>400</v>
      </c>
      <c r="O15" s="186">
        <v>600</v>
      </c>
      <c r="P15" s="179" t="s">
        <v>261</v>
      </c>
    </row>
    <row r="16" spans="1:51" ht="28.8" customHeight="1" x14ac:dyDescent="0.3">
      <c r="K16" s="179">
        <f t="shared" ref="K16:K33" si="0">K15+1</f>
        <v>3</v>
      </c>
      <c r="L16" s="185">
        <v>30</v>
      </c>
      <c r="M16" s="179">
        <v>500</v>
      </c>
      <c r="N16" s="186">
        <v>250</v>
      </c>
      <c r="O16" s="186">
        <v>400</v>
      </c>
      <c r="P16" s="179" t="s">
        <v>262</v>
      </c>
    </row>
    <row r="17" spans="11:16" ht="28.8" customHeight="1" x14ac:dyDescent="0.3">
      <c r="K17" s="179">
        <f t="shared" si="0"/>
        <v>4</v>
      </c>
      <c r="L17" s="185">
        <v>200</v>
      </c>
      <c r="M17" s="180">
        <v>1200</v>
      </c>
      <c r="N17" s="186">
        <v>600</v>
      </c>
      <c r="O17" s="186">
        <v>900</v>
      </c>
      <c r="P17" s="179" t="s">
        <v>263</v>
      </c>
    </row>
    <row r="18" spans="11:16" ht="28.8" customHeight="1" x14ac:dyDescent="0.3">
      <c r="K18" s="179">
        <f t="shared" si="0"/>
        <v>5</v>
      </c>
      <c r="L18" s="185">
        <v>15</v>
      </c>
      <c r="M18" s="180">
        <v>2000</v>
      </c>
      <c r="N18" s="186">
        <v>700</v>
      </c>
      <c r="O18" s="186">
        <v>1000</v>
      </c>
      <c r="P18" s="179" t="s">
        <v>264</v>
      </c>
    </row>
    <row r="19" spans="11:16" ht="28.8" customHeight="1" x14ac:dyDescent="0.3">
      <c r="K19" s="179">
        <f t="shared" si="0"/>
        <v>6</v>
      </c>
      <c r="L19" s="185">
        <v>80</v>
      </c>
      <c r="M19" s="180">
        <v>1500</v>
      </c>
      <c r="N19" s="186">
        <v>500</v>
      </c>
      <c r="O19" s="186">
        <v>800</v>
      </c>
      <c r="P19" s="179" t="s">
        <v>265</v>
      </c>
    </row>
    <row r="20" spans="11:16" ht="28.8" customHeight="1" x14ac:dyDescent="0.3">
      <c r="K20" s="179">
        <f t="shared" si="0"/>
        <v>7</v>
      </c>
      <c r="L20" s="185">
        <v>60</v>
      </c>
      <c r="M20" s="179">
        <v>400</v>
      </c>
      <c r="N20" s="186">
        <v>200</v>
      </c>
      <c r="O20" s="186">
        <v>300</v>
      </c>
      <c r="P20" s="179" t="s">
        <v>266</v>
      </c>
    </row>
    <row r="21" spans="11:16" ht="28.8" customHeight="1" x14ac:dyDescent="0.3">
      <c r="K21" s="179">
        <f t="shared" si="0"/>
        <v>8</v>
      </c>
      <c r="L21" s="185">
        <v>180</v>
      </c>
      <c r="M21" s="180">
        <v>2500</v>
      </c>
      <c r="N21" s="186">
        <v>800</v>
      </c>
      <c r="O21" s="186">
        <v>1200</v>
      </c>
      <c r="P21" s="179" t="s">
        <v>267</v>
      </c>
    </row>
    <row r="22" spans="11:16" ht="28.8" customHeight="1" x14ac:dyDescent="0.3">
      <c r="K22" s="179">
        <f t="shared" si="0"/>
        <v>9</v>
      </c>
      <c r="L22" s="185">
        <v>90</v>
      </c>
      <c r="M22" s="180">
        <v>1800</v>
      </c>
      <c r="N22" s="186">
        <v>550</v>
      </c>
      <c r="O22" s="186">
        <v>850</v>
      </c>
      <c r="P22" s="179" t="s">
        <v>268</v>
      </c>
    </row>
    <row r="23" spans="11:16" ht="28.8" customHeight="1" x14ac:dyDescent="0.3">
      <c r="K23" s="179">
        <f t="shared" si="0"/>
        <v>10</v>
      </c>
      <c r="L23" s="185">
        <v>40</v>
      </c>
      <c r="M23" s="179">
        <v>600</v>
      </c>
      <c r="N23" s="186">
        <v>300</v>
      </c>
      <c r="O23" s="186">
        <v>500</v>
      </c>
      <c r="P23" s="179" t="s">
        <v>269</v>
      </c>
    </row>
    <row r="24" spans="11:16" ht="28.8" customHeight="1" x14ac:dyDescent="0.3">
      <c r="K24" s="179">
        <f t="shared" si="0"/>
        <v>11</v>
      </c>
      <c r="L24" s="185">
        <v>150</v>
      </c>
      <c r="M24" s="180">
        <v>1000</v>
      </c>
      <c r="N24" s="186">
        <v>600</v>
      </c>
      <c r="O24" s="186">
        <v>950</v>
      </c>
      <c r="P24" s="179" t="s">
        <v>270</v>
      </c>
    </row>
    <row r="25" spans="11:16" ht="28.8" customHeight="1" x14ac:dyDescent="0.3">
      <c r="K25" s="179">
        <f t="shared" si="0"/>
        <v>12</v>
      </c>
      <c r="L25" s="185">
        <v>20</v>
      </c>
      <c r="M25" s="179">
        <v>700</v>
      </c>
      <c r="N25" s="186">
        <v>250</v>
      </c>
      <c r="O25" s="186">
        <v>400</v>
      </c>
      <c r="P25" s="179" t="s">
        <v>271</v>
      </c>
    </row>
    <row r="26" spans="11:16" ht="28.8" customHeight="1" x14ac:dyDescent="0.3">
      <c r="K26" s="179">
        <f t="shared" si="0"/>
        <v>13</v>
      </c>
      <c r="L26" s="185">
        <v>170</v>
      </c>
      <c r="M26" s="180">
        <v>2000</v>
      </c>
      <c r="N26" s="186">
        <v>750</v>
      </c>
      <c r="O26" s="186">
        <v>1150</v>
      </c>
      <c r="P26" s="179" t="s">
        <v>272</v>
      </c>
    </row>
    <row r="27" spans="11:16" ht="28.8" customHeight="1" x14ac:dyDescent="0.3">
      <c r="K27" s="179">
        <f t="shared" si="0"/>
        <v>14</v>
      </c>
      <c r="L27" s="185">
        <v>35</v>
      </c>
      <c r="M27" s="179">
        <v>900</v>
      </c>
      <c r="N27" s="186">
        <v>350</v>
      </c>
      <c r="O27" s="186">
        <v>550</v>
      </c>
      <c r="P27" s="179" t="s">
        <v>273</v>
      </c>
    </row>
    <row r="28" spans="11:16" ht="28.8" customHeight="1" x14ac:dyDescent="0.3">
      <c r="K28" s="179">
        <f t="shared" si="0"/>
        <v>15</v>
      </c>
      <c r="L28" s="185">
        <v>220</v>
      </c>
      <c r="M28" s="180">
        <v>2500</v>
      </c>
      <c r="N28" s="186">
        <v>900</v>
      </c>
      <c r="O28" s="186">
        <v>1400</v>
      </c>
      <c r="P28" s="179" t="s">
        <v>274</v>
      </c>
    </row>
    <row r="29" spans="11:16" ht="28.8" customHeight="1" x14ac:dyDescent="0.3">
      <c r="K29" s="179">
        <f t="shared" si="0"/>
        <v>16</v>
      </c>
      <c r="L29" s="185">
        <v>110</v>
      </c>
      <c r="M29" s="180">
        <v>1100</v>
      </c>
      <c r="N29" s="186">
        <v>450</v>
      </c>
      <c r="O29" s="186">
        <v>700</v>
      </c>
      <c r="P29" s="179" t="s">
        <v>275</v>
      </c>
    </row>
    <row r="30" spans="11:16" ht="28.8" customHeight="1" x14ac:dyDescent="0.3">
      <c r="K30" s="179">
        <f t="shared" si="0"/>
        <v>17</v>
      </c>
      <c r="L30" s="185">
        <v>75</v>
      </c>
      <c r="M30" s="180">
        <v>1300</v>
      </c>
      <c r="N30" s="186">
        <v>500</v>
      </c>
      <c r="O30" s="186">
        <v>750</v>
      </c>
      <c r="P30" s="179" t="s">
        <v>276</v>
      </c>
    </row>
    <row r="31" spans="11:16" ht="28.8" customHeight="1" x14ac:dyDescent="0.3">
      <c r="K31" s="179">
        <f t="shared" si="0"/>
        <v>18</v>
      </c>
      <c r="L31" s="185">
        <v>25</v>
      </c>
      <c r="M31" s="179">
        <v>950</v>
      </c>
      <c r="N31" s="186">
        <v>300</v>
      </c>
      <c r="O31" s="186">
        <v>450</v>
      </c>
      <c r="P31" s="179" t="s">
        <v>277</v>
      </c>
    </row>
    <row r="32" spans="11:16" ht="28.8" customHeight="1" x14ac:dyDescent="0.3">
      <c r="K32" s="179">
        <f t="shared" si="0"/>
        <v>19</v>
      </c>
      <c r="L32" s="185">
        <v>140</v>
      </c>
      <c r="M32" s="180">
        <v>1600</v>
      </c>
      <c r="N32" s="186">
        <v>650</v>
      </c>
      <c r="O32" s="186">
        <v>1000</v>
      </c>
      <c r="P32" s="179" t="s">
        <v>278</v>
      </c>
    </row>
    <row r="33" spans="11:16" ht="28.8" customHeight="1" x14ac:dyDescent="0.3">
      <c r="K33" s="179">
        <f t="shared" si="0"/>
        <v>20</v>
      </c>
      <c r="L33" s="185">
        <v>50</v>
      </c>
      <c r="M33" s="179">
        <v>850</v>
      </c>
      <c r="N33" s="186">
        <v>350</v>
      </c>
      <c r="O33" s="186">
        <v>550</v>
      </c>
      <c r="P33" s="179" t="s">
        <v>279</v>
      </c>
    </row>
    <row r="34" spans="11:16" ht="28.8" customHeight="1" x14ac:dyDescent="0.3"/>
    <row r="35" spans="11:16" ht="28.8" customHeight="1" x14ac:dyDescent="0.3"/>
    <row r="36" spans="11:16" ht="28.8" customHeight="1" x14ac:dyDescent="0.3"/>
    <row r="37" spans="11:16" ht="28.8" customHeight="1" x14ac:dyDescent="0.3"/>
    <row r="38" spans="11:16" ht="28.8" customHeight="1" x14ac:dyDescent="0.3"/>
    <row r="39" spans="11:16" ht="28.8" customHeight="1" x14ac:dyDescent="0.3"/>
    <row r="40" spans="11:16" ht="28.8" customHeight="1" x14ac:dyDescent="0.3"/>
    <row r="41" spans="11:16" ht="28.8" customHeight="1" x14ac:dyDescent="0.3"/>
    <row r="42" spans="11:16" ht="28.8" customHeight="1" x14ac:dyDescent="0.3"/>
    <row r="43" spans="11:16" ht="28.8" customHeight="1" x14ac:dyDescent="0.3"/>
    <row r="44" spans="11:16" ht="28.8" customHeight="1" x14ac:dyDescent="0.3"/>
    <row r="45" spans="11:16" ht="28.8" customHeight="1" x14ac:dyDescent="0.3"/>
    <row r="46" spans="11:16" ht="28.8" customHeight="1" x14ac:dyDescent="0.3"/>
    <row r="47" spans="11:16" ht="28.8" customHeight="1" x14ac:dyDescent="0.3"/>
    <row r="48" spans="11:16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A7624-8143-4CFA-ABF8-6AB5E39AAA64}">
  <sheetPr codeName="Planilha35">
    <tabColor rgb="FFC00000"/>
  </sheetPr>
  <dimension ref="A1:AY66"/>
  <sheetViews>
    <sheetView zoomScale="40" zoomScaleNormal="40" workbookViewId="0">
      <selection activeCell="A19" sqref="A19"/>
    </sheetView>
  </sheetViews>
  <sheetFormatPr defaultRowHeight="14.4" x14ac:dyDescent="0.3"/>
  <cols>
    <col min="1" max="4" width="8.88671875" style="126"/>
    <col min="5" max="5" width="4.5546875" style="126" bestFit="1" customWidth="1"/>
    <col min="6" max="6" width="21.88671875" style="126" bestFit="1" customWidth="1"/>
    <col min="7" max="7" width="26" style="126" bestFit="1" customWidth="1"/>
    <col min="8" max="8" width="19.44140625" style="126" bestFit="1" customWidth="1"/>
    <col min="9" max="9" width="12.109375" style="126" bestFit="1" customWidth="1"/>
    <col min="10" max="10" width="12.6640625" style="126" bestFit="1" customWidth="1"/>
    <col min="11" max="11" width="4.5546875" style="126" customWidth="1"/>
    <col min="12" max="12" width="25.44140625" style="126" customWidth="1"/>
    <col min="13" max="13" width="26.21875" style="126" customWidth="1"/>
    <col min="14" max="14" width="2.6640625" style="126" bestFit="1" customWidth="1"/>
    <col min="15" max="15" width="47.6640625" style="126" customWidth="1"/>
    <col min="16" max="16" width="2.6640625" style="126" bestFit="1" customWidth="1"/>
    <col min="17" max="17" width="20.44140625" style="126" bestFit="1" customWidth="1"/>
    <col min="18" max="18" width="2.6640625" style="126" bestFit="1" customWidth="1"/>
    <col min="19" max="19" width="46.88671875" style="126" customWidth="1"/>
    <col min="20" max="23" width="8.88671875" style="126"/>
    <col min="24" max="24" width="23.44140625" style="126" bestFit="1" customWidth="1"/>
    <col min="25" max="25" width="2.6640625" style="126" bestFit="1" customWidth="1"/>
    <col min="26" max="26" width="51.109375" style="126" customWidth="1"/>
    <col min="27" max="16384" width="8.88671875" style="126"/>
  </cols>
  <sheetData>
    <row r="1" spans="1:5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thickBot="1" x14ac:dyDescent="0.35"/>
    <row r="14" spans="1:51" ht="28.8" customHeight="1" x14ac:dyDescent="0.3">
      <c r="N14" s="304" t="s">
        <v>280</v>
      </c>
      <c r="O14" s="305"/>
      <c r="P14" s="305"/>
      <c r="Q14" s="305"/>
      <c r="R14" s="305"/>
      <c r="S14" s="305"/>
      <c r="T14" s="306"/>
      <c r="W14" s="326" t="s">
        <v>281</v>
      </c>
      <c r="X14" s="327"/>
      <c r="Y14" s="327"/>
      <c r="Z14" s="327"/>
      <c r="AA14" s="328"/>
    </row>
    <row r="15" spans="1:51" ht="28.8" customHeight="1" x14ac:dyDescent="0.3">
      <c r="N15" s="307"/>
      <c r="O15" s="308"/>
      <c r="P15" s="308"/>
      <c r="Q15" s="308"/>
      <c r="R15" s="308"/>
      <c r="S15" s="308"/>
      <c r="T15" s="309"/>
      <c r="W15" s="329"/>
      <c r="X15" s="330"/>
      <c r="Y15" s="330"/>
      <c r="Z15" s="330"/>
      <c r="AA15" s="331"/>
    </row>
    <row r="16" spans="1:51" ht="28.8" customHeight="1" x14ac:dyDescent="0.3">
      <c r="N16" s="307"/>
      <c r="O16" s="308"/>
      <c r="P16" s="308"/>
      <c r="Q16" s="308"/>
      <c r="R16" s="308"/>
      <c r="S16" s="308"/>
      <c r="T16" s="309"/>
      <c r="W16" s="329"/>
      <c r="X16" s="330"/>
      <c r="Y16" s="330"/>
      <c r="Z16" s="330"/>
      <c r="AA16" s="331"/>
    </row>
    <row r="17" spans="14:27" ht="28.8" customHeight="1" x14ac:dyDescent="0.55000000000000004">
      <c r="N17" s="17" t="s">
        <v>13</v>
      </c>
      <c r="O17" s="56" t="s">
        <v>13</v>
      </c>
      <c r="P17" s="56" t="s">
        <v>13</v>
      </c>
      <c r="Q17" s="56" t="s">
        <v>13</v>
      </c>
      <c r="R17" s="56" t="s">
        <v>13</v>
      </c>
      <c r="S17" s="58" t="s">
        <v>13</v>
      </c>
      <c r="T17" s="154" t="s">
        <v>13</v>
      </c>
      <c r="W17" s="42" t="s">
        <v>13</v>
      </c>
      <c r="X17" s="39" t="s">
        <v>13</v>
      </c>
      <c r="Y17" s="40" t="s">
        <v>13</v>
      </c>
      <c r="Z17" s="40" t="s">
        <v>13</v>
      </c>
      <c r="AA17" s="43" t="s">
        <v>13</v>
      </c>
    </row>
    <row r="18" spans="14:27" ht="28.8" customHeight="1" x14ac:dyDescent="0.55000000000000004">
      <c r="N18" s="17" t="s">
        <v>13</v>
      </c>
      <c r="O18" s="164" t="s">
        <v>3</v>
      </c>
      <c r="P18" s="57"/>
      <c r="Q18" s="56" t="s">
        <v>13</v>
      </c>
      <c r="R18" s="56" t="s">
        <v>13</v>
      </c>
      <c r="S18" s="149"/>
      <c r="T18" s="154" t="s">
        <v>13</v>
      </c>
      <c r="W18" s="42" t="s">
        <v>13</v>
      </c>
      <c r="X18" s="191" t="s">
        <v>282</v>
      </c>
      <c r="Y18" s="41"/>
      <c r="Z18" s="128"/>
      <c r="AA18" s="44" t="s">
        <v>13</v>
      </c>
    </row>
    <row r="19" spans="14:27" ht="28.8" customHeight="1" x14ac:dyDescent="0.55000000000000004">
      <c r="N19" s="17" t="s">
        <v>13</v>
      </c>
      <c r="O19" s="56" t="s">
        <v>13</v>
      </c>
      <c r="P19" s="56" t="s">
        <v>13</v>
      </c>
      <c r="Q19" s="56" t="s">
        <v>13</v>
      </c>
      <c r="R19" s="56" t="s">
        <v>13</v>
      </c>
      <c r="S19" s="58" t="s">
        <v>13</v>
      </c>
      <c r="T19" s="13" t="s">
        <v>13</v>
      </c>
      <c r="W19" s="42" t="s">
        <v>13</v>
      </c>
      <c r="X19" s="97"/>
      <c r="Y19" s="40"/>
      <c r="Z19" s="40"/>
      <c r="AA19" s="43" t="s">
        <v>13</v>
      </c>
    </row>
    <row r="20" spans="14:27" ht="28.8" customHeight="1" x14ac:dyDescent="0.55000000000000004">
      <c r="N20" s="17" t="s">
        <v>13</v>
      </c>
      <c r="O20" s="187" t="s">
        <v>4</v>
      </c>
      <c r="P20" s="57"/>
      <c r="Q20" s="56" t="s">
        <v>13</v>
      </c>
      <c r="R20" s="56" t="s">
        <v>13</v>
      </c>
      <c r="S20" s="149"/>
      <c r="T20" s="154" t="s">
        <v>13</v>
      </c>
      <c r="W20" s="42" t="s">
        <v>13</v>
      </c>
      <c r="X20" s="191" t="s">
        <v>283</v>
      </c>
      <c r="Y20" s="41"/>
      <c r="Z20" s="128"/>
      <c r="AA20" s="44" t="s">
        <v>13</v>
      </c>
    </row>
    <row r="21" spans="14:27" ht="28.8" customHeight="1" x14ac:dyDescent="0.55000000000000004">
      <c r="N21" s="17" t="s">
        <v>13</v>
      </c>
      <c r="O21" s="188"/>
      <c r="P21" s="56" t="s">
        <v>13</v>
      </c>
      <c r="Q21" s="56" t="s">
        <v>13</v>
      </c>
      <c r="R21" s="56" t="s">
        <v>13</v>
      </c>
      <c r="S21" s="163" t="s">
        <v>13</v>
      </c>
      <c r="T21" s="154" t="s">
        <v>13</v>
      </c>
      <c r="W21" s="42" t="s">
        <v>13</v>
      </c>
      <c r="X21" s="41"/>
      <c r="Y21" s="40"/>
      <c r="Z21" s="40"/>
      <c r="AA21" s="43" t="s">
        <v>13</v>
      </c>
    </row>
    <row r="22" spans="14:27" ht="28.8" customHeight="1" x14ac:dyDescent="0.55000000000000004">
      <c r="N22" s="17" t="s">
        <v>13</v>
      </c>
      <c r="O22" s="187" t="s">
        <v>5</v>
      </c>
      <c r="P22" s="56" t="s">
        <v>13</v>
      </c>
      <c r="Q22" s="56" t="s">
        <v>13</v>
      </c>
      <c r="R22" s="56" t="s">
        <v>13</v>
      </c>
      <c r="S22" s="189" t="s">
        <v>13</v>
      </c>
      <c r="T22" s="154" t="s">
        <v>13</v>
      </c>
      <c r="W22" s="42" t="s">
        <v>13</v>
      </c>
      <c r="X22" s="41"/>
      <c r="Y22" s="41"/>
      <c r="Z22" s="41"/>
      <c r="AA22" s="44" t="s">
        <v>13</v>
      </c>
    </row>
    <row r="23" spans="14:27" ht="28.8" customHeight="1" x14ac:dyDescent="0.55000000000000004">
      <c r="N23" s="17" t="s">
        <v>13</v>
      </c>
      <c r="O23" s="188"/>
      <c r="P23" s="56" t="s">
        <v>13</v>
      </c>
      <c r="Q23" s="56" t="s">
        <v>13</v>
      </c>
      <c r="R23" s="56" t="s">
        <v>13</v>
      </c>
      <c r="S23" s="163" t="s">
        <v>13</v>
      </c>
      <c r="T23" s="154" t="s">
        <v>13</v>
      </c>
      <c r="W23" s="42" t="s">
        <v>13</v>
      </c>
      <c r="X23" s="41"/>
      <c r="Y23" s="40"/>
      <c r="Z23" s="40"/>
      <c r="AA23" s="43" t="s">
        <v>13</v>
      </c>
    </row>
    <row r="24" spans="14:27" ht="28.8" customHeight="1" x14ac:dyDescent="0.55000000000000004">
      <c r="N24" s="17" t="s">
        <v>13</v>
      </c>
      <c r="O24" s="187" t="s">
        <v>6</v>
      </c>
      <c r="P24" s="56" t="s">
        <v>13</v>
      </c>
      <c r="Q24" s="56" t="s">
        <v>13</v>
      </c>
      <c r="R24" s="56" t="s">
        <v>13</v>
      </c>
      <c r="S24" s="189" t="s">
        <v>13</v>
      </c>
      <c r="T24" s="154" t="s">
        <v>13</v>
      </c>
      <c r="W24" s="42" t="s">
        <v>13</v>
      </c>
      <c r="X24" s="41"/>
      <c r="Y24" s="41"/>
      <c r="Z24" s="41"/>
      <c r="AA24" s="43" t="s">
        <v>13</v>
      </c>
    </row>
    <row r="25" spans="14:27" ht="28.8" customHeight="1" x14ac:dyDescent="0.55000000000000004">
      <c r="N25" s="17" t="s">
        <v>13</v>
      </c>
      <c r="O25" s="188"/>
      <c r="P25" s="56" t="s">
        <v>13</v>
      </c>
      <c r="Q25" s="56" t="s">
        <v>13</v>
      </c>
      <c r="R25" s="56" t="s">
        <v>13</v>
      </c>
      <c r="S25" s="163" t="s">
        <v>13</v>
      </c>
      <c r="T25" s="154" t="s">
        <v>13</v>
      </c>
      <c r="W25" s="42" t="s">
        <v>13</v>
      </c>
      <c r="X25" s="41"/>
      <c r="Y25" s="41"/>
      <c r="Z25" s="40"/>
      <c r="AA25" s="43" t="s">
        <v>13</v>
      </c>
    </row>
    <row r="26" spans="14:27" ht="28.8" customHeight="1" x14ac:dyDescent="0.55000000000000004">
      <c r="N26" s="75"/>
      <c r="O26" s="187" t="s">
        <v>7</v>
      </c>
      <c r="P26" s="86"/>
      <c r="Q26" s="86"/>
      <c r="R26" s="86"/>
      <c r="S26" s="190"/>
      <c r="T26" s="7"/>
      <c r="W26" s="42" t="s">
        <v>13</v>
      </c>
      <c r="X26" s="41"/>
      <c r="Y26" s="41"/>
      <c r="Z26" s="41"/>
      <c r="AA26" s="43" t="s">
        <v>13</v>
      </c>
    </row>
    <row r="27" spans="14:27" ht="28.8" customHeight="1" thickBot="1" x14ac:dyDescent="0.6">
      <c r="N27" s="75"/>
      <c r="O27" s="86"/>
      <c r="P27" s="86"/>
      <c r="Q27" s="86"/>
      <c r="R27" s="86"/>
      <c r="S27" s="86"/>
      <c r="T27" s="7"/>
      <c r="W27" s="45" t="s">
        <v>13</v>
      </c>
      <c r="X27" s="47" t="s">
        <v>13</v>
      </c>
      <c r="Y27" s="48" t="s">
        <v>13</v>
      </c>
      <c r="Z27" s="46" t="s">
        <v>13</v>
      </c>
      <c r="AA27" s="49" t="s">
        <v>13</v>
      </c>
    </row>
    <row r="28" spans="14:27" ht="28.8" customHeight="1" x14ac:dyDescent="0.3">
      <c r="N28" s="75"/>
      <c r="O28" s="86"/>
      <c r="P28" s="86"/>
      <c r="Q28" s="86"/>
      <c r="R28" s="86"/>
      <c r="S28" s="86"/>
      <c r="T28" s="7"/>
    </row>
    <row r="29" spans="14:27" ht="28.8" customHeight="1" x14ac:dyDescent="0.3">
      <c r="N29" s="75"/>
      <c r="O29" s="86"/>
      <c r="P29" s="86"/>
      <c r="Q29" s="86"/>
      <c r="R29" s="86"/>
      <c r="S29" s="86"/>
      <c r="T29" s="7"/>
    </row>
    <row r="30" spans="14:27" ht="28.8" customHeight="1" x14ac:dyDescent="0.3">
      <c r="N30" s="75"/>
      <c r="O30" s="86"/>
      <c r="P30" s="86"/>
      <c r="Q30" s="86"/>
      <c r="R30" s="86"/>
      <c r="S30" s="86"/>
      <c r="T30" s="7"/>
    </row>
    <row r="31" spans="14:27" ht="28.8" customHeight="1" thickBot="1" x14ac:dyDescent="0.35">
      <c r="N31" s="87"/>
      <c r="O31" s="88"/>
      <c r="P31" s="88"/>
      <c r="Q31" s="88"/>
      <c r="R31" s="88"/>
      <c r="S31" s="88"/>
      <c r="T31" s="89"/>
    </row>
    <row r="32" spans="14:27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N14:T16"/>
    <mergeCell ref="W14:AA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D8A9E-38FA-4653-989A-67569D16AA89}">
  <sheetPr codeName="Planilha36">
    <tabColor rgb="FFC00000"/>
  </sheetPr>
  <dimension ref="A1:AY66"/>
  <sheetViews>
    <sheetView zoomScale="40" zoomScaleNormal="40" workbookViewId="0">
      <selection activeCell="G36" sqref="G36"/>
    </sheetView>
  </sheetViews>
  <sheetFormatPr defaultRowHeight="14.4" x14ac:dyDescent="0.3"/>
  <cols>
    <col min="1" max="4" width="8.88671875" style="126"/>
    <col min="5" max="5" width="4.5546875" style="126" bestFit="1" customWidth="1"/>
    <col min="6" max="6" width="21.88671875" style="126" bestFit="1" customWidth="1"/>
    <col min="7" max="7" width="26" style="126" bestFit="1" customWidth="1"/>
    <col min="8" max="8" width="19.44140625" style="126" bestFit="1" customWidth="1"/>
    <col min="9" max="9" width="12.109375" style="126" bestFit="1" customWidth="1"/>
    <col min="10" max="10" width="12.6640625" style="126" bestFit="1" customWidth="1"/>
    <col min="11" max="11" width="4.5546875" style="126" customWidth="1"/>
    <col min="12" max="12" width="25.44140625" style="126" customWidth="1"/>
    <col min="13" max="13" width="26.21875" style="126" customWidth="1"/>
    <col min="14" max="14" width="2.6640625" style="126" bestFit="1" customWidth="1"/>
    <col min="15" max="15" width="47.6640625" style="126" customWidth="1"/>
    <col min="16" max="16" width="2.6640625" style="126" bestFit="1" customWidth="1"/>
    <col min="17" max="17" width="20.44140625" style="126" bestFit="1" customWidth="1"/>
    <col min="18" max="18" width="2.6640625" style="126" bestFit="1" customWidth="1"/>
    <col min="19" max="19" width="31.33203125" style="126" customWidth="1"/>
    <col min="20" max="23" width="8.88671875" style="126"/>
    <col min="24" max="24" width="23.44140625" style="126" bestFit="1" customWidth="1"/>
    <col min="25" max="25" width="2.6640625" style="126" bestFit="1" customWidth="1"/>
    <col min="26" max="26" width="51.109375" style="126" customWidth="1"/>
    <col min="27" max="16384" width="8.88671875" style="126"/>
  </cols>
  <sheetData>
    <row r="1" spans="1:5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  <c r="AX1" s="127"/>
      <c r="AY1" s="127"/>
    </row>
    <row r="2" spans="1:51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  <c r="AX2" s="127"/>
      <c r="AY2" s="127"/>
    </row>
    <row r="3" spans="1:51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  <c r="AX3" s="127"/>
      <c r="AY3" s="127"/>
    </row>
    <row r="4" spans="1:51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</row>
    <row r="5" spans="1:51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</row>
    <row r="6" spans="1:51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</row>
    <row r="7" spans="1:51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</row>
    <row r="8" spans="1:51" ht="28.8" customHeight="1" x14ac:dyDescent="0.3"/>
    <row r="9" spans="1:51" ht="28.8" customHeight="1" x14ac:dyDescent="0.3"/>
    <row r="10" spans="1:51" ht="28.8" customHeight="1" x14ac:dyDescent="0.3"/>
    <row r="11" spans="1:51" ht="28.8" customHeight="1" x14ac:dyDescent="0.3"/>
    <row r="12" spans="1:51" ht="28.8" customHeight="1" x14ac:dyDescent="0.3"/>
    <row r="13" spans="1:51" ht="28.8" customHeight="1" thickBot="1" x14ac:dyDescent="0.35"/>
    <row r="14" spans="1:51" ht="28.8" customHeight="1" x14ac:dyDescent="0.3">
      <c r="N14" s="304" t="s">
        <v>280</v>
      </c>
      <c r="O14" s="305"/>
      <c r="P14" s="305"/>
      <c r="Q14" s="305"/>
      <c r="R14" s="305"/>
      <c r="S14" s="305"/>
      <c r="T14" s="306"/>
    </row>
    <row r="15" spans="1:51" ht="28.8" customHeight="1" x14ac:dyDescent="0.3">
      <c r="N15" s="307"/>
      <c r="O15" s="308"/>
      <c r="P15" s="308"/>
      <c r="Q15" s="308"/>
      <c r="R15" s="308"/>
      <c r="S15" s="308"/>
      <c r="T15" s="309"/>
    </row>
    <row r="16" spans="1:51" ht="28.8" customHeight="1" x14ac:dyDescent="0.3">
      <c r="N16" s="307"/>
      <c r="O16" s="308"/>
      <c r="P16" s="308"/>
      <c r="Q16" s="308"/>
      <c r="R16" s="308"/>
      <c r="S16" s="308"/>
      <c r="T16" s="309"/>
    </row>
    <row r="17" spans="14:20" ht="28.8" customHeight="1" x14ac:dyDescent="0.55000000000000004">
      <c r="N17" s="17" t="s">
        <v>13</v>
      </c>
      <c r="O17" s="56" t="s">
        <v>13</v>
      </c>
      <c r="P17" s="56" t="s">
        <v>13</v>
      </c>
      <c r="Q17" s="56" t="s">
        <v>13</v>
      </c>
      <c r="R17" s="56" t="s">
        <v>13</v>
      </c>
      <c r="S17" s="58" t="s">
        <v>13</v>
      </c>
      <c r="T17" s="154" t="s">
        <v>13</v>
      </c>
    </row>
    <row r="18" spans="14:20" ht="28.8" customHeight="1" x14ac:dyDescent="0.55000000000000004">
      <c r="N18" s="17" t="s">
        <v>13</v>
      </c>
      <c r="O18" s="164" t="s">
        <v>3</v>
      </c>
      <c r="P18" s="57"/>
      <c r="Q18" s="56" t="s">
        <v>13</v>
      </c>
      <c r="R18" s="56" t="s">
        <v>13</v>
      </c>
      <c r="S18" s="149"/>
      <c r="T18" s="154" t="s">
        <v>13</v>
      </c>
    </row>
    <row r="19" spans="14:20" ht="28.8" customHeight="1" x14ac:dyDescent="0.55000000000000004">
      <c r="N19" s="17" t="s">
        <v>13</v>
      </c>
      <c r="O19" s="56" t="s">
        <v>13</v>
      </c>
      <c r="P19" s="56" t="s">
        <v>13</v>
      </c>
      <c r="Q19" s="56" t="s">
        <v>13</v>
      </c>
      <c r="R19" s="56" t="s">
        <v>13</v>
      </c>
      <c r="S19" s="58" t="s">
        <v>13</v>
      </c>
      <c r="T19" s="13" t="s">
        <v>13</v>
      </c>
    </row>
    <row r="20" spans="14:20" ht="28.8" customHeight="1" x14ac:dyDescent="0.55000000000000004">
      <c r="N20" s="17" t="s">
        <v>13</v>
      </c>
      <c r="O20" s="187" t="s">
        <v>4</v>
      </c>
      <c r="P20" s="57"/>
      <c r="Q20" s="56" t="s">
        <v>13</v>
      </c>
      <c r="R20" s="56" t="s">
        <v>13</v>
      </c>
      <c r="S20" s="149"/>
      <c r="T20" s="154" t="s">
        <v>13</v>
      </c>
    </row>
    <row r="21" spans="14:20" ht="28.8" customHeight="1" x14ac:dyDescent="0.55000000000000004">
      <c r="N21" s="17" t="s">
        <v>13</v>
      </c>
      <c r="O21" s="188"/>
      <c r="P21" s="56" t="s">
        <v>13</v>
      </c>
      <c r="Q21" s="56" t="s">
        <v>13</v>
      </c>
      <c r="R21" s="56" t="s">
        <v>13</v>
      </c>
      <c r="S21" s="163" t="s">
        <v>13</v>
      </c>
      <c r="T21" s="154" t="s">
        <v>13</v>
      </c>
    </row>
    <row r="22" spans="14:20" ht="28.8" customHeight="1" x14ac:dyDescent="0.55000000000000004">
      <c r="N22" s="17" t="s">
        <v>13</v>
      </c>
      <c r="O22" s="187" t="s">
        <v>5</v>
      </c>
      <c r="P22" s="56" t="s">
        <v>13</v>
      </c>
      <c r="Q22" s="56" t="s">
        <v>13</v>
      </c>
      <c r="R22" s="56" t="s">
        <v>13</v>
      </c>
      <c r="S22" s="189" t="s">
        <v>13</v>
      </c>
      <c r="T22" s="154" t="s">
        <v>13</v>
      </c>
    </row>
    <row r="23" spans="14:20" ht="28.8" customHeight="1" x14ac:dyDescent="0.55000000000000004">
      <c r="N23" s="17" t="s">
        <v>13</v>
      </c>
      <c r="O23" s="188"/>
      <c r="P23" s="56" t="s">
        <v>13</v>
      </c>
      <c r="Q23" s="56" t="s">
        <v>13</v>
      </c>
      <c r="R23" s="56" t="s">
        <v>13</v>
      </c>
      <c r="S23" s="163" t="s">
        <v>13</v>
      </c>
      <c r="T23" s="154" t="s">
        <v>13</v>
      </c>
    </row>
    <row r="24" spans="14:20" ht="28.8" customHeight="1" x14ac:dyDescent="0.55000000000000004">
      <c r="N24" s="17" t="s">
        <v>13</v>
      </c>
      <c r="O24" s="187" t="s">
        <v>6</v>
      </c>
      <c r="P24" s="56" t="s">
        <v>13</v>
      </c>
      <c r="Q24" s="56" t="s">
        <v>13</v>
      </c>
      <c r="R24" s="56" t="s">
        <v>13</v>
      </c>
      <c r="S24" s="189" t="s">
        <v>13</v>
      </c>
      <c r="T24" s="154" t="s">
        <v>13</v>
      </c>
    </row>
    <row r="25" spans="14:20" ht="28.8" customHeight="1" x14ac:dyDescent="0.55000000000000004">
      <c r="N25" s="17" t="s">
        <v>13</v>
      </c>
      <c r="O25" s="188"/>
      <c r="P25" s="56" t="s">
        <v>13</v>
      </c>
      <c r="Q25" s="56" t="s">
        <v>13</v>
      </c>
      <c r="R25" s="56" t="s">
        <v>13</v>
      </c>
      <c r="S25" s="163" t="s">
        <v>13</v>
      </c>
      <c r="T25" s="154" t="s">
        <v>13</v>
      </c>
    </row>
    <row r="26" spans="14:20" ht="28.8" customHeight="1" x14ac:dyDescent="0.3">
      <c r="N26" s="75"/>
      <c r="O26" s="187" t="s">
        <v>7</v>
      </c>
      <c r="P26" s="86"/>
      <c r="Q26" s="86"/>
      <c r="R26" s="86"/>
      <c r="S26" s="190"/>
      <c r="T26" s="7"/>
    </row>
    <row r="27" spans="14:20" ht="28.8" customHeight="1" x14ac:dyDescent="0.3">
      <c r="N27" s="75"/>
      <c r="O27" s="86"/>
      <c r="P27" s="86"/>
      <c r="Q27" s="86"/>
      <c r="R27" s="86"/>
      <c r="S27" s="86"/>
      <c r="T27" s="7"/>
    </row>
    <row r="28" spans="14:20" ht="28.8" customHeight="1" x14ac:dyDescent="0.3">
      <c r="N28" s="75"/>
      <c r="O28" s="86"/>
      <c r="P28" s="86"/>
      <c r="Q28" s="86"/>
      <c r="R28" s="86"/>
      <c r="S28" s="86"/>
      <c r="T28" s="7"/>
    </row>
    <row r="29" spans="14:20" ht="28.8" customHeight="1" x14ac:dyDescent="0.3">
      <c r="N29" s="75"/>
      <c r="O29" s="86"/>
      <c r="P29" s="86"/>
      <c r="Q29" s="86"/>
      <c r="R29" s="86"/>
      <c r="S29" s="86"/>
      <c r="T29" s="7"/>
    </row>
    <row r="30" spans="14:20" ht="28.8" customHeight="1" x14ac:dyDescent="0.3">
      <c r="N30" s="75"/>
      <c r="O30" s="86"/>
      <c r="P30" s="86"/>
      <c r="Q30" s="86"/>
      <c r="R30" s="86"/>
      <c r="S30" s="86"/>
      <c r="T30" s="7"/>
    </row>
    <row r="31" spans="14:20" ht="28.8" customHeight="1" thickBot="1" x14ac:dyDescent="0.35">
      <c r="N31" s="87"/>
      <c r="O31" s="88"/>
      <c r="P31" s="88"/>
      <c r="Q31" s="88"/>
      <c r="R31" s="88"/>
      <c r="S31" s="88"/>
      <c r="T31" s="89"/>
    </row>
    <row r="32" spans="14:20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N14:T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4C65B-976F-4821-8648-7AD25197BDE0}">
  <sheetPr codeName="Planilha37">
    <tabColor rgb="FF00B050"/>
  </sheetPr>
  <dimension ref="A1:AW66"/>
  <sheetViews>
    <sheetView zoomScale="40" zoomScaleNormal="40" workbookViewId="0">
      <selection activeCell="X36" sqref="X36"/>
    </sheetView>
  </sheetViews>
  <sheetFormatPr defaultRowHeight="14.4" x14ac:dyDescent="0.3"/>
  <cols>
    <col min="1" max="4" width="8.88671875" style="126"/>
    <col min="5" max="5" width="4.5546875" style="126" bestFit="1" customWidth="1"/>
    <col min="6" max="6" width="21.88671875" style="126" bestFit="1" customWidth="1"/>
    <col min="7" max="7" width="26" style="126" bestFit="1" customWidth="1"/>
    <col min="8" max="8" width="19.44140625" style="126" bestFit="1" customWidth="1"/>
    <col min="9" max="9" width="12.109375" style="126" bestFit="1" customWidth="1"/>
    <col min="10" max="10" width="12.6640625" style="126" bestFit="1" customWidth="1"/>
    <col min="11" max="11" width="4.5546875" style="126" customWidth="1"/>
    <col min="12" max="12" width="25.44140625" style="126" customWidth="1"/>
    <col min="13" max="13" width="26.21875" style="126" customWidth="1"/>
    <col min="14" max="14" width="2.6640625" style="126" bestFit="1" customWidth="1"/>
    <col min="15" max="15" width="99.33203125" style="126" bestFit="1" customWidth="1"/>
    <col min="16" max="16" width="11.21875" style="126" customWidth="1"/>
    <col min="17" max="17" width="56.1093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x14ac:dyDescent="0.3"/>
    <row r="12" spans="1:49" ht="28.8" customHeight="1" x14ac:dyDescent="0.3"/>
    <row r="13" spans="1:49" ht="28.8" customHeight="1" thickBot="1" x14ac:dyDescent="0.35"/>
    <row r="14" spans="1:49" ht="28.8" customHeight="1" x14ac:dyDescent="0.3">
      <c r="N14" s="304" t="s">
        <v>280</v>
      </c>
      <c r="O14" s="305"/>
      <c r="P14" s="305"/>
      <c r="Q14" s="305"/>
      <c r="R14" s="306"/>
    </row>
    <row r="15" spans="1:49" ht="28.8" customHeight="1" x14ac:dyDescent="0.3">
      <c r="N15" s="307"/>
      <c r="O15" s="308"/>
      <c r="P15" s="308"/>
      <c r="Q15" s="308"/>
      <c r="R15" s="309"/>
    </row>
    <row r="16" spans="1:49" ht="28.8" customHeight="1" x14ac:dyDescent="0.3">
      <c r="N16" s="307"/>
      <c r="O16" s="308"/>
      <c r="P16" s="308"/>
      <c r="Q16" s="308"/>
      <c r="R16" s="309"/>
    </row>
    <row r="17" spans="14:18" ht="28.8" customHeight="1" x14ac:dyDescent="0.55000000000000004">
      <c r="N17" s="17" t="s">
        <v>13</v>
      </c>
      <c r="O17" s="56" t="s">
        <v>13</v>
      </c>
      <c r="P17" s="56" t="s">
        <v>13</v>
      </c>
      <c r="Q17" s="58" t="s">
        <v>13</v>
      </c>
      <c r="R17" s="154" t="s">
        <v>13</v>
      </c>
    </row>
    <row r="18" spans="14:18" ht="28.8" customHeight="1" x14ac:dyDescent="0.55000000000000004">
      <c r="N18" s="17" t="s">
        <v>13</v>
      </c>
      <c r="O18" s="164" t="s">
        <v>284</v>
      </c>
      <c r="P18" s="56" t="s">
        <v>13</v>
      </c>
      <c r="Q18" s="192"/>
      <c r="R18" s="154" t="s">
        <v>13</v>
      </c>
    </row>
    <row r="19" spans="14:18" ht="28.8" customHeight="1" x14ac:dyDescent="0.55000000000000004">
      <c r="N19" s="17" t="s">
        <v>13</v>
      </c>
      <c r="O19" s="56" t="s">
        <v>13</v>
      </c>
      <c r="P19" s="56" t="s">
        <v>13</v>
      </c>
      <c r="Q19" s="58" t="s">
        <v>13</v>
      </c>
      <c r="R19" s="13" t="s">
        <v>13</v>
      </c>
    </row>
    <row r="20" spans="14:18" ht="28.8" customHeight="1" x14ac:dyDescent="0.55000000000000004">
      <c r="N20" s="17" t="s">
        <v>13</v>
      </c>
      <c r="O20" s="187" t="s">
        <v>285</v>
      </c>
      <c r="P20" s="56" t="s">
        <v>13</v>
      </c>
      <c r="Q20" s="192"/>
      <c r="R20" s="154" t="s">
        <v>13</v>
      </c>
    </row>
    <row r="21" spans="14:18" ht="28.8" customHeight="1" x14ac:dyDescent="0.55000000000000004">
      <c r="N21" s="17" t="s">
        <v>13</v>
      </c>
      <c r="O21" s="188"/>
      <c r="P21" s="56" t="s">
        <v>13</v>
      </c>
      <c r="Q21" s="163" t="s">
        <v>13</v>
      </c>
      <c r="R21" s="154" t="s">
        <v>13</v>
      </c>
    </row>
    <row r="22" spans="14:18" ht="28.8" customHeight="1" x14ac:dyDescent="0.55000000000000004">
      <c r="N22" s="17" t="s">
        <v>13</v>
      </c>
      <c r="O22" s="86"/>
      <c r="P22" s="86"/>
      <c r="Q22" s="86"/>
      <c r="R22" s="154" t="s">
        <v>13</v>
      </c>
    </row>
    <row r="23" spans="14:18" ht="28.8" customHeight="1" x14ac:dyDescent="0.55000000000000004">
      <c r="N23" s="17" t="s">
        <v>13</v>
      </c>
      <c r="O23" s="86"/>
      <c r="P23" s="86"/>
      <c r="Q23" s="86"/>
      <c r="R23" s="154" t="s">
        <v>13</v>
      </c>
    </row>
    <row r="24" spans="14:18" ht="28.8" customHeight="1" x14ac:dyDescent="0.55000000000000004">
      <c r="N24" s="17" t="s">
        <v>13</v>
      </c>
      <c r="O24" s="86"/>
      <c r="P24" s="86"/>
      <c r="Q24" s="86"/>
      <c r="R24" s="154" t="s">
        <v>13</v>
      </c>
    </row>
    <row r="25" spans="14:18" ht="28.8" customHeight="1" x14ac:dyDescent="0.55000000000000004">
      <c r="N25" s="17" t="s">
        <v>13</v>
      </c>
      <c r="O25" s="86"/>
      <c r="P25" s="86"/>
      <c r="Q25" s="86"/>
      <c r="R25" s="154" t="s">
        <v>13</v>
      </c>
    </row>
    <row r="26" spans="14:18" ht="28.8" customHeight="1" thickBot="1" x14ac:dyDescent="0.35">
      <c r="N26" s="87"/>
      <c r="O26" s="88"/>
      <c r="P26" s="88"/>
      <c r="Q26" s="88"/>
      <c r="R26" s="89"/>
    </row>
    <row r="27" spans="14:18" ht="28.8" customHeight="1" x14ac:dyDescent="0.3"/>
    <row r="28" spans="14:18" ht="28.8" customHeight="1" x14ac:dyDescent="0.3"/>
    <row r="29" spans="14:18" ht="28.8" customHeight="1" x14ac:dyDescent="0.3"/>
    <row r="30" spans="14:18" ht="28.8" customHeight="1" x14ac:dyDescent="0.3"/>
    <row r="31" spans="14:18" ht="28.8" customHeight="1" x14ac:dyDescent="0.3"/>
    <row r="32" spans="14:18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N14:R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3C90F-34AD-404D-B4DA-B6EDB56960A3}">
  <sheetPr codeName="Planilha38">
    <tabColor rgb="FF00B050"/>
  </sheetPr>
  <dimension ref="A1:AW66"/>
  <sheetViews>
    <sheetView zoomScale="25" zoomScaleNormal="25" workbookViewId="0">
      <selection activeCell="M13" sqref="M13:Q46"/>
    </sheetView>
  </sheetViews>
  <sheetFormatPr defaultRowHeight="14.4" x14ac:dyDescent="0.3"/>
  <cols>
    <col min="1" max="4" width="8.88671875" style="126"/>
    <col min="5" max="5" width="4.5546875" style="126" bestFit="1" customWidth="1"/>
    <col min="6" max="6" width="21.88671875" style="126" bestFit="1" customWidth="1"/>
    <col min="7" max="7" width="26" style="126" bestFit="1" customWidth="1"/>
    <col min="8" max="8" width="19.44140625" style="126" bestFit="1" customWidth="1"/>
    <col min="9" max="9" width="12.109375" style="126" bestFit="1" customWidth="1"/>
    <col min="10" max="10" width="12.6640625" style="126" bestFit="1" customWidth="1"/>
    <col min="11" max="11" width="4.5546875" style="126" customWidth="1"/>
    <col min="12" max="12" width="25.44140625" style="126" customWidth="1"/>
    <col min="13" max="13" width="9" style="126" customWidth="1"/>
    <col min="14" max="14" width="30.6640625" style="126" bestFit="1" customWidth="1"/>
    <col min="15" max="15" width="29.33203125" style="126" customWidth="1"/>
    <col min="16" max="16" width="73.4414062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x14ac:dyDescent="0.3"/>
    <row r="12" spans="1:49" ht="28.8" customHeight="1" thickBot="1" x14ac:dyDescent="0.35"/>
    <row r="13" spans="1:49" ht="28.8" customHeight="1" x14ac:dyDescent="0.3">
      <c r="M13" s="332" t="s">
        <v>286</v>
      </c>
      <c r="N13" s="333"/>
      <c r="O13" s="333"/>
      <c r="P13" s="333"/>
      <c r="Q13" s="334"/>
    </row>
    <row r="14" spans="1:49" ht="28.8" customHeight="1" thickBot="1" x14ac:dyDescent="0.35">
      <c r="M14" s="335"/>
      <c r="N14" s="336"/>
      <c r="O14" s="336"/>
      <c r="P14" s="336"/>
      <c r="Q14" s="337"/>
    </row>
    <row r="15" spans="1:49" ht="28.8" customHeight="1" thickBot="1" x14ac:dyDescent="0.35">
      <c r="M15" s="8"/>
      <c r="N15" s="62"/>
      <c r="O15" s="62"/>
      <c r="P15" s="62"/>
      <c r="Q15" s="63"/>
    </row>
    <row r="16" spans="1:49" ht="28.8" customHeight="1" thickBot="1" x14ac:dyDescent="0.35">
      <c r="M16" s="8"/>
      <c r="N16" s="193" t="s">
        <v>287</v>
      </c>
      <c r="O16" s="62"/>
      <c r="P16" s="60"/>
      <c r="Q16" s="63"/>
    </row>
    <row r="17" spans="13:17" ht="28.8" customHeight="1" thickBot="1" x14ac:dyDescent="0.35">
      <c r="M17" s="8"/>
      <c r="N17" s="193"/>
      <c r="O17" s="62"/>
      <c r="P17" s="62"/>
      <c r="Q17" s="63"/>
    </row>
    <row r="18" spans="13:17" ht="28.8" customHeight="1" thickBot="1" x14ac:dyDescent="0.35">
      <c r="M18" s="8"/>
      <c r="N18" s="193" t="s">
        <v>288</v>
      </c>
      <c r="O18" s="62"/>
      <c r="P18" s="60"/>
      <c r="Q18" s="63"/>
    </row>
    <row r="19" spans="13:17" ht="28.8" customHeight="1" thickBot="1" x14ac:dyDescent="0.35">
      <c r="M19" s="8"/>
      <c r="N19" s="193"/>
      <c r="O19" s="62"/>
      <c r="P19" s="62"/>
      <c r="Q19" s="63"/>
    </row>
    <row r="20" spans="13:17" ht="28.8" customHeight="1" thickBot="1" x14ac:dyDescent="0.35">
      <c r="M20" s="8"/>
      <c r="N20" s="193" t="s">
        <v>289</v>
      </c>
      <c r="O20" s="62"/>
      <c r="P20" s="60"/>
      <c r="Q20" s="63"/>
    </row>
    <row r="21" spans="13:17" ht="28.8" customHeight="1" thickBot="1" x14ac:dyDescent="0.35">
      <c r="M21" s="8"/>
      <c r="N21" s="193"/>
      <c r="O21" s="62"/>
      <c r="P21" s="62"/>
      <c r="Q21" s="63"/>
    </row>
    <row r="22" spans="13:17" ht="28.8" customHeight="1" thickBot="1" x14ac:dyDescent="0.35">
      <c r="M22" s="8"/>
      <c r="N22" s="193" t="s">
        <v>290</v>
      </c>
      <c r="O22" s="62"/>
      <c r="P22" s="60"/>
      <c r="Q22" s="63"/>
    </row>
    <row r="23" spans="13:17" ht="28.8" customHeight="1" thickBot="1" x14ac:dyDescent="0.35">
      <c r="M23" s="8"/>
      <c r="N23" s="193"/>
      <c r="O23" s="62"/>
      <c r="P23" s="62"/>
      <c r="Q23" s="63"/>
    </row>
    <row r="24" spans="13:17" ht="28.8" customHeight="1" thickBot="1" x14ac:dyDescent="0.35">
      <c r="M24" s="8"/>
      <c r="N24" s="193" t="s">
        <v>291</v>
      </c>
      <c r="O24" s="62"/>
      <c r="P24" s="60"/>
      <c r="Q24" s="63"/>
    </row>
    <row r="25" spans="13:17" ht="28.8" customHeight="1" thickBot="1" x14ac:dyDescent="0.35">
      <c r="M25" s="8"/>
      <c r="N25" s="193"/>
      <c r="O25" s="62"/>
      <c r="P25" s="62"/>
      <c r="Q25" s="63"/>
    </row>
    <row r="26" spans="13:17" ht="28.8" customHeight="1" thickBot="1" x14ac:dyDescent="0.35">
      <c r="M26" s="8"/>
      <c r="N26" s="193" t="s">
        <v>292</v>
      </c>
      <c r="O26" s="62"/>
      <c r="P26" s="60"/>
      <c r="Q26" s="63"/>
    </row>
    <row r="27" spans="13:17" ht="28.8" customHeight="1" thickBot="1" x14ac:dyDescent="0.35">
      <c r="M27" s="8"/>
      <c r="N27" s="193"/>
      <c r="O27" s="62"/>
      <c r="P27" s="62"/>
      <c r="Q27" s="63"/>
    </row>
    <row r="28" spans="13:17" ht="28.8" customHeight="1" thickBot="1" x14ac:dyDescent="0.35">
      <c r="M28" s="8"/>
      <c r="N28" s="193" t="s">
        <v>293</v>
      </c>
      <c r="O28" s="62"/>
      <c r="P28" s="60"/>
      <c r="Q28" s="63"/>
    </row>
    <row r="29" spans="13:17" ht="28.8" customHeight="1" thickBot="1" x14ac:dyDescent="0.35">
      <c r="M29" s="8"/>
      <c r="N29" s="193"/>
      <c r="O29" s="62"/>
      <c r="P29" s="62"/>
      <c r="Q29" s="63"/>
    </row>
    <row r="30" spans="13:17" ht="28.8" customHeight="1" thickBot="1" x14ac:dyDescent="0.35">
      <c r="M30" s="8"/>
      <c r="N30" s="193" t="s">
        <v>294</v>
      </c>
      <c r="O30" s="62"/>
      <c r="P30" s="60"/>
      <c r="Q30" s="63"/>
    </row>
    <row r="31" spans="13:17" ht="28.8" customHeight="1" thickBot="1" x14ac:dyDescent="0.35">
      <c r="M31" s="8"/>
      <c r="N31" s="193"/>
      <c r="O31" s="62"/>
      <c r="P31" s="62"/>
      <c r="Q31" s="63"/>
    </row>
    <row r="32" spans="13:17" ht="28.8" customHeight="1" thickBot="1" x14ac:dyDescent="0.35">
      <c r="M32" s="8"/>
      <c r="N32" s="193" t="s">
        <v>295</v>
      </c>
      <c r="O32" s="62"/>
      <c r="P32" s="60"/>
      <c r="Q32" s="63"/>
    </row>
    <row r="33" spans="13:17" ht="28.8" customHeight="1" thickBot="1" x14ac:dyDescent="0.35">
      <c r="M33" s="8"/>
      <c r="N33" s="194"/>
      <c r="O33" s="62"/>
      <c r="P33" s="62"/>
      <c r="Q33" s="63"/>
    </row>
    <row r="34" spans="13:17" ht="28.8" customHeight="1" thickBot="1" x14ac:dyDescent="0.35">
      <c r="M34" s="8"/>
      <c r="N34" s="193" t="s">
        <v>296</v>
      </c>
      <c r="O34" s="62"/>
      <c r="P34" s="60"/>
      <c r="Q34" s="63"/>
    </row>
    <row r="35" spans="13:17" ht="28.8" customHeight="1" thickBot="1" x14ac:dyDescent="0.35">
      <c r="M35" s="8"/>
      <c r="N35" s="194"/>
      <c r="O35" s="62"/>
      <c r="P35" s="62"/>
      <c r="Q35" s="63"/>
    </row>
    <row r="36" spans="13:17" ht="28.8" customHeight="1" thickBot="1" x14ac:dyDescent="0.35">
      <c r="M36" s="8"/>
      <c r="N36" s="193" t="s">
        <v>297</v>
      </c>
      <c r="O36" s="62"/>
      <c r="P36" s="61"/>
      <c r="Q36" s="63"/>
    </row>
    <row r="37" spans="13:17" ht="28.8" customHeight="1" thickBot="1" x14ac:dyDescent="0.35">
      <c r="M37" s="8"/>
      <c r="N37" s="194"/>
      <c r="O37" s="62"/>
      <c r="P37" s="62"/>
      <c r="Q37" s="63"/>
    </row>
    <row r="38" spans="13:17" ht="28.8" customHeight="1" thickBot="1" x14ac:dyDescent="0.45">
      <c r="M38" s="8"/>
      <c r="N38" s="193" t="s">
        <v>298</v>
      </c>
      <c r="O38" s="62"/>
      <c r="P38" s="195" t="s">
        <v>300</v>
      </c>
      <c r="Q38" s="63"/>
    </row>
    <row r="39" spans="13:17" ht="28.8" customHeight="1" thickBot="1" x14ac:dyDescent="0.35">
      <c r="M39" s="8"/>
      <c r="N39" s="194"/>
      <c r="O39" s="62"/>
      <c r="P39" s="62"/>
      <c r="Q39" s="63"/>
    </row>
    <row r="40" spans="13:17" ht="28.8" customHeight="1" thickBot="1" x14ac:dyDescent="0.35">
      <c r="M40" s="8"/>
      <c r="N40" s="193" t="s">
        <v>299</v>
      </c>
      <c r="O40" s="62"/>
      <c r="P40" s="60"/>
      <c r="Q40" s="63"/>
    </row>
    <row r="41" spans="13:17" ht="28.8" customHeight="1" x14ac:dyDescent="0.3">
      <c r="M41" s="8"/>
      <c r="N41" s="62"/>
      <c r="O41" s="62"/>
      <c r="P41" s="62"/>
      <c r="Q41" s="63"/>
    </row>
    <row r="42" spans="13:17" ht="28.8" customHeight="1" x14ac:dyDescent="0.3">
      <c r="M42" s="8"/>
      <c r="N42" s="62"/>
      <c r="O42" s="62"/>
      <c r="P42" s="62"/>
      <c r="Q42" s="63"/>
    </row>
    <row r="43" spans="13:17" ht="28.8" customHeight="1" x14ac:dyDescent="0.3">
      <c r="M43" s="8"/>
      <c r="N43" s="62"/>
      <c r="O43" s="62"/>
      <c r="P43" s="62"/>
      <c r="Q43" s="63"/>
    </row>
    <row r="44" spans="13:17" ht="28.8" customHeight="1" x14ac:dyDescent="0.3">
      <c r="M44" s="8"/>
      <c r="N44" s="62"/>
      <c r="O44" s="62"/>
      <c r="P44" s="62"/>
      <c r="Q44" s="63"/>
    </row>
    <row r="45" spans="13:17" ht="28.8" customHeight="1" x14ac:dyDescent="0.3">
      <c r="M45" s="8"/>
      <c r="N45" s="62"/>
      <c r="O45" s="62"/>
      <c r="P45" s="62"/>
      <c r="Q45" s="63"/>
    </row>
    <row r="46" spans="13:17" ht="28.8" customHeight="1" thickBot="1" x14ac:dyDescent="0.35">
      <c r="M46" s="64"/>
      <c r="N46" s="65"/>
      <c r="O46" s="65"/>
      <c r="P46" s="65"/>
      <c r="Q46" s="66"/>
    </row>
    <row r="47" spans="13:17" ht="28.8" customHeight="1" x14ac:dyDescent="0.3"/>
    <row r="48" spans="13:17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M13:Q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BF768-0A6B-464C-ADF2-C292B4AC449F}">
  <sheetPr codeName="Planilha39">
    <tabColor rgb="FF00B050"/>
  </sheetPr>
  <dimension ref="A1:AW66"/>
  <sheetViews>
    <sheetView topLeftCell="G1" zoomScale="40" zoomScaleNormal="40" workbookViewId="0">
      <selection activeCell="A48" sqref="A48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11.21875" style="126" customWidth="1"/>
    <col min="7" max="7" width="26" style="126" bestFit="1" customWidth="1"/>
    <col min="8" max="8" width="19.44140625" style="126" bestFit="1" customWidth="1"/>
    <col min="9" max="9" width="104.33203125" style="126" bestFit="1" customWidth="1"/>
    <col min="10" max="10" width="12.6640625" style="126" customWidth="1"/>
    <col min="11" max="11" width="4.5546875" style="126" customWidth="1"/>
    <col min="12" max="12" width="25.44140625" style="126" bestFit="1" customWidth="1"/>
    <col min="13" max="13" width="29" style="126" bestFit="1" customWidth="1"/>
    <col min="14" max="14" width="47.88671875" style="126" bestFit="1" customWidth="1"/>
    <col min="15" max="15" width="29.33203125" style="126" customWidth="1"/>
    <col min="16" max="16" width="73.4414062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thickBot="1" x14ac:dyDescent="0.35"/>
    <row r="10" spans="1:49" ht="28.8" customHeight="1" x14ac:dyDescent="0.3">
      <c r="D10" s="332" t="s">
        <v>301</v>
      </c>
      <c r="E10" s="333"/>
      <c r="F10" s="334"/>
      <c r="H10" s="200"/>
      <c r="I10" s="201"/>
      <c r="J10" s="201"/>
      <c r="K10" s="201"/>
      <c r="L10" s="201"/>
      <c r="M10" s="201"/>
      <c r="N10" s="201"/>
      <c r="O10" s="201"/>
      <c r="P10" s="202"/>
    </row>
    <row r="11" spans="1:49" ht="28.8" customHeight="1" x14ac:dyDescent="0.3">
      <c r="D11" s="338"/>
      <c r="E11" s="339"/>
      <c r="F11" s="340"/>
      <c r="H11" s="203"/>
      <c r="I11" s="197" t="s">
        <v>397</v>
      </c>
      <c r="J11" s="204"/>
      <c r="K11" s="204"/>
      <c r="L11" s="204"/>
      <c r="M11" s="204"/>
      <c r="N11" s="205" t="s">
        <v>306</v>
      </c>
      <c r="O11" s="204"/>
      <c r="P11" s="206"/>
    </row>
    <row r="12" spans="1:49" ht="28.8" customHeight="1" x14ac:dyDescent="0.5">
      <c r="D12" s="338"/>
      <c r="E12" s="339"/>
      <c r="F12" s="340"/>
      <c r="H12" s="203"/>
      <c r="I12" s="207" t="s">
        <v>307</v>
      </c>
      <c r="J12" s="204"/>
      <c r="K12" s="204"/>
      <c r="L12" s="204"/>
      <c r="M12" s="204"/>
      <c r="N12" s="199" t="s">
        <v>308</v>
      </c>
      <c r="O12" s="204"/>
      <c r="P12" s="206"/>
    </row>
    <row r="13" spans="1:49" ht="28.8" customHeight="1" x14ac:dyDescent="0.35">
      <c r="D13" s="79"/>
      <c r="E13" s="80"/>
      <c r="F13" s="81"/>
      <c r="H13" s="203"/>
      <c r="I13" s="207" t="s">
        <v>309</v>
      </c>
      <c r="J13" s="204"/>
      <c r="K13" s="204"/>
      <c r="L13" s="204"/>
      <c r="M13" s="204"/>
      <c r="N13" s="208"/>
      <c r="O13" s="204"/>
      <c r="P13" s="206"/>
    </row>
    <row r="14" spans="1:49" ht="28.8" customHeight="1" x14ac:dyDescent="0.3">
      <c r="D14" s="82"/>
      <c r="E14" s="196" t="s">
        <v>302</v>
      </c>
      <c r="F14" s="83"/>
      <c r="H14" s="209"/>
      <c r="I14" s="210"/>
      <c r="J14" s="210"/>
      <c r="K14" s="210"/>
      <c r="L14" s="210"/>
      <c r="M14" s="210"/>
      <c r="N14" s="210"/>
      <c r="O14" s="210"/>
      <c r="P14" s="211"/>
    </row>
    <row r="15" spans="1:49" ht="28.8" customHeight="1" thickBot="1" x14ac:dyDescent="0.35">
      <c r="D15" s="84"/>
      <c r="E15" s="85"/>
      <c r="F15" s="83"/>
      <c r="H15" s="212"/>
      <c r="I15" s="213"/>
      <c r="J15" s="213"/>
      <c r="K15" s="213"/>
      <c r="L15" s="213"/>
      <c r="M15" s="213"/>
      <c r="N15" s="213"/>
      <c r="O15" s="213"/>
      <c r="P15" s="214"/>
    </row>
    <row r="16" spans="1:49" ht="28.8" customHeight="1" thickBot="1" x14ac:dyDescent="0.55000000000000004">
      <c r="D16" s="78"/>
      <c r="E16" s="50"/>
      <c r="F16" s="7"/>
      <c r="H16" s="215"/>
      <c r="I16" s="238" t="s">
        <v>310</v>
      </c>
      <c r="J16" s="216"/>
      <c r="K16" s="216"/>
      <c r="L16" s="216"/>
      <c r="M16" s="216"/>
      <c r="N16" s="198" t="s">
        <v>311</v>
      </c>
      <c r="O16" s="216"/>
      <c r="P16" s="217"/>
    </row>
    <row r="17" spans="4:16" ht="28.8" customHeight="1" x14ac:dyDescent="0.3">
      <c r="D17" s="78"/>
      <c r="E17" s="77"/>
      <c r="F17" s="7"/>
      <c r="H17" s="215"/>
      <c r="I17" s="218"/>
      <c r="J17" s="216"/>
      <c r="K17" s="216"/>
      <c r="L17" s="216"/>
      <c r="M17" s="216"/>
      <c r="N17" s="218"/>
      <c r="O17" s="216"/>
      <c r="P17" s="217"/>
    </row>
    <row r="18" spans="4:16" ht="28.8" customHeight="1" x14ac:dyDescent="0.3">
      <c r="D18" s="75"/>
      <c r="E18" s="196" t="s">
        <v>303</v>
      </c>
      <c r="F18" s="7"/>
      <c r="H18" s="215"/>
      <c r="I18" s="219"/>
      <c r="J18" s="219"/>
      <c r="K18" s="219"/>
      <c r="L18" s="219"/>
      <c r="M18" s="219"/>
      <c r="N18" s="219"/>
      <c r="O18" s="219"/>
      <c r="P18" s="220"/>
    </row>
    <row r="19" spans="4:16" ht="28.8" customHeight="1" thickBot="1" x14ac:dyDescent="0.45">
      <c r="D19" s="75"/>
      <c r="E19" s="77"/>
      <c r="F19" s="7"/>
      <c r="H19" s="221"/>
      <c r="I19" s="239" t="s">
        <v>312</v>
      </c>
      <c r="J19" s="222"/>
      <c r="K19" s="222"/>
      <c r="L19" s="242" t="s">
        <v>313</v>
      </c>
      <c r="M19" s="242" t="s">
        <v>314</v>
      </c>
      <c r="N19" s="223"/>
      <c r="O19" s="239" t="s">
        <v>315</v>
      </c>
      <c r="P19" s="223"/>
    </row>
    <row r="20" spans="4:16" ht="28.8" customHeight="1" thickBot="1" x14ac:dyDescent="0.35">
      <c r="D20" s="75"/>
      <c r="E20" s="51"/>
      <c r="F20" s="7"/>
      <c r="H20" s="224"/>
      <c r="I20" s="240" t="s">
        <v>316</v>
      </c>
      <c r="J20" s="222"/>
      <c r="K20" s="222"/>
      <c r="L20" s="225"/>
      <c r="M20" s="225"/>
      <c r="N20" s="223"/>
      <c r="O20" s="222"/>
      <c r="P20" s="223"/>
    </row>
    <row r="21" spans="4:16" ht="28.8" customHeight="1" x14ac:dyDescent="0.3">
      <c r="D21" s="75"/>
      <c r="E21" s="77"/>
      <c r="F21" s="7"/>
      <c r="H21" s="224"/>
      <c r="I21" s="241" t="s">
        <v>317</v>
      </c>
      <c r="J21" s="226"/>
      <c r="K21" s="226"/>
      <c r="L21" s="224"/>
      <c r="M21" s="224"/>
      <c r="N21" s="227"/>
      <c r="O21" s="226"/>
      <c r="P21" s="227"/>
    </row>
    <row r="22" spans="4:16" ht="28.8" customHeight="1" x14ac:dyDescent="0.3">
      <c r="D22" s="75"/>
      <c r="E22" s="196" t="s">
        <v>304</v>
      </c>
      <c r="F22" s="71"/>
      <c r="H22" s="224"/>
      <c r="I22" s="240" t="s">
        <v>318</v>
      </c>
      <c r="J22" s="222"/>
      <c r="K22" s="222"/>
      <c r="L22" s="225"/>
      <c r="M22" s="225"/>
      <c r="N22" s="223"/>
      <c r="O22" s="222"/>
      <c r="P22" s="223"/>
    </row>
    <row r="23" spans="4:16" ht="28.8" customHeight="1" thickBot="1" x14ac:dyDescent="0.35">
      <c r="D23" s="75"/>
      <c r="E23" s="76"/>
      <c r="F23" s="71"/>
      <c r="H23" s="224"/>
      <c r="I23" s="241" t="s">
        <v>319</v>
      </c>
      <c r="J23" s="226"/>
      <c r="K23" s="226"/>
      <c r="L23" s="224"/>
      <c r="M23" s="224"/>
      <c r="N23" s="227"/>
      <c r="O23" s="226"/>
      <c r="P23" s="227"/>
    </row>
    <row r="24" spans="4:16" ht="28.8" customHeight="1" thickBot="1" x14ac:dyDescent="0.35">
      <c r="D24" s="75"/>
      <c r="E24" s="67"/>
      <c r="F24" s="71"/>
      <c r="H24" s="224"/>
      <c r="I24" s="240" t="s">
        <v>320</v>
      </c>
      <c r="J24" s="222"/>
      <c r="K24" s="222"/>
      <c r="L24" s="225"/>
      <c r="M24" s="225"/>
      <c r="N24" s="223"/>
      <c r="O24" s="222"/>
      <c r="P24" s="223"/>
    </row>
    <row r="25" spans="4:16" ht="28.8" customHeight="1" x14ac:dyDescent="0.3">
      <c r="D25" s="75"/>
      <c r="E25" s="76"/>
      <c r="F25" s="71"/>
      <c r="H25" s="228"/>
      <c r="I25" s="228"/>
      <c r="J25" s="229"/>
      <c r="K25" s="229"/>
      <c r="L25" s="228"/>
      <c r="M25" s="228"/>
      <c r="N25" s="230"/>
      <c r="O25" s="229"/>
      <c r="P25" s="230"/>
    </row>
    <row r="26" spans="4:16" ht="28.8" customHeight="1" x14ac:dyDescent="0.4">
      <c r="D26" s="75"/>
      <c r="E26" s="196" t="s">
        <v>305</v>
      </c>
      <c r="F26" s="71"/>
      <c r="H26" s="224"/>
      <c r="I26" s="243" t="s">
        <v>321</v>
      </c>
      <c r="J26" s="226"/>
      <c r="K26" s="226"/>
      <c r="L26" s="226"/>
      <c r="M26" s="243" t="s">
        <v>322</v>
      </c>
      <c r="N26" s="227"/>
      <c r="O26" s="246" t="s">
        <v>323</v>
      </c>
      <c r="P26" s="227"/>
    </row>
    <row r="27" spans="4:16" ht="28.8" customHeight="1" thickBot="1" x14ac:dyDescent="0.35">
      <c r="D27" s="75"/>
      <c r="E27" s="76"/>
      <c r="F27" s="71"/>
      <c r="H27" s="224"/>
      <c r="I27" s="224"/>
      <c r="J27" s="226"/>
      <c r="K27" s="226"/>
      <c r="L27" s="226"/>
      <c r="M27" s="224"/>
      <c r="N27" s="227"/>
      <c r="O27" s="226"/>
      <c r="P27" s="227"/>
    </row>
    <row r="28" spans="4:16" ht="28.8" customHeight="1" thickBot="1" x14ac:dyDescent="0.35">
      <c r="D28" s="75"/>
      <c r="E28" s="67"/>
      <c r="F28" s="71"/>
      <c r="H28" s="224"/>
      <c r="I28" s="224"/>
      <c r="J28" s="226"/>
      <c r="K28" s="226"/>
      <c r="L28" s="226"/>
      <c r="M28" s="224"/>
      <c r="N28" s="227"/>
      <c r="O28" s="226"/>
      <c r="P28" s="227"/>
    </row>
    <row r="29" spans="4:16" ht="28.8" customHeight="1" x14ac:dyDescent="0.3">
      <c r="D29" s="69"/>
      <c r="E29" s="70"/>
      <c r="F29" s="71"/>
      <c r="H29" s="224"/>
      <c r="I29" s="224"/>
      <c r="J29" s="226"/>
      <c r="K29" s="226"/>
      <c r="L29" s="226"/>
      <c r="M29" s="224"/>
      <c r="N29" s="227"/>
      <c r="O29" s="226"/>
      <c r="P29" s="227"/>
    </row>
    <row r="30" spans="4:16" ht="28.8" customHeight="1" x14ac:dyDescent="0.3">
      <c r="D30" s="69"/>
      <c r="E30" s="70"/>
      <c r="F30" s="71"/>
      <c r="H30" s="224"/>
      <c r="I30" s="228"/>
      <c r="J30" s="229"/>
      <c r="K30" s="229"/>
      <c r="L30" s="229"/>
      <c r="M30" s="224"/>
      <c r="N30" s="227"/>
      <c r="O30" s="226"/>
      <c r="P30" s="227"/>
    </row>
    <row r="31" spans="4:16" ht="28.8" customHeight="1" x14ac:dyDescent="0.3">
      <c r="D31" s="69"/>
      <c r="E31" s="70"/>
      <c r="F31" s="71"/>
      <c r="H31" s="212"/>
      <c r="I31" s="213"/>
      <c r="J31" s="213"/>
      <c r="K31" s="213"/>
      <c r="L31" s="213"/>
      <c r="M31" s="213"/>
      <c r="N31" s="213"/>
      <c r="O31" s="213"/>
      <c r="P31" s="214"/>
    </row>
    <row r="32" spans="4:16" ht="28.8" customHeight="1" x14ac:dyDescent="0.4">
      <c r="D32" s="69"/>
      <c r="E32" s="70"/>
      <c r="F32" s="71"/>
      <c r="H32" s="215"/>
      <c r="I32" s="247" t="s">
        <v>316</v>
      </c>
      <c r="J32" s="231"/>
      <c r="K32" s="232"/>
      <c r="L32" s="232"/>
      <c r="M32" s="232"/>
      <c r="N32" s="232"/>
      <c r="O32" s="233"/>
      <c r="P32" s="217"/>
    </row>
    <row r="33" spans="1:16" ht="28.8" customHeight="1" x14ac:dyDescent="0.4">
      <c r="D33" s="69"/>
      <c r="E33" s="70"/>
      <c r="F33" s="71"/>
      <c r="H33" s="215"/>
      <c r="I33" s="247" t="s">
        <v>324</v>
      </c>
      <c r="J33" s="231"/>
      <c r="K33" s="232"/>
      <c r="L33" s="232"/>
      <c r="M33" s="232"/>
      <c r="N33" s="232"/>
      <c r="O33" s="233"/>
      <c r="P33" s="217"/>
    </row>
    <row r="34" spans="1:16" ht="28.8" customHeight="1" thickBot="1" x14ac:dyDescent="0.45">
      <c r="D34" s="72"/>
      <c r="E34" s="73"/>
      <c r="F34" s="74"/>
      <c r="H34" s="215"/>
      <c r="I34" s="247" t="s">
        <v>325</v>
      </c>
      <c r="J34" s="231"/>
      <c r="K34" s="232"/>
      <c r="L34" s="232"/>
      <c r="M34" s="232"/>
      <c r="N34" s="232"/>
      <c r="O34" s="233"/>
      <c r="P34" s="217"/>
    </row>
    <row r="35" spans="1:16" ht="28.8" customHeight="1" x14ac:dyDescent="0.4">
      <c r="H35" s="215"/>
      <c r="I35" s="247" t="s">
        <v>326</v>
      </c>
      <c r="J35" s="231"/>
      <c r="K35" s="232"/>
      <c r="L35" s="232"/>
      <c r="M35" s="232"/>
      <c r="N35" s="232"/>
      <c r="O35" s="233"/>
      <c r="P35" s="217"/>
    </row>
    <row r="36" spans="1:16" ht="28.8" customHeight="1" x14ac:dyDescent="0.3">
      <c r="H36" s="234"/>
      <c r="I36" s="219"/>
      <c r="J36" s="219"/>
      <c r="K36" s="219"/>
      <c r="L36" s="219"/>
      <c r="M36" s="219"/>
      <c r="N36" s="219"/>
      <c r="O36" s="219"/>
      <c r="P36" s="220"/>
    </row>
    <row r="37" spans="1:16" ht="28.8" customHeight="1" x14ac:dyDescent="0.3">
      <c r="H37" s="235"/>
      <c r="I37" s="236"/>
      <c r="J37" s="236"/>
      <c r="K37" s="236"/>
      <c r="L37" s="236"/>
      <c r="M37" s="236"/>
      <c r="N37" s="236"/>
      <c r="O37" s="236"/>
      <c r="P37" s="237"/>
    </row>
    <row r="38" spans="1:16" ht="28.8" customHeight="1" x14ac:dyDescent="0.4">
      <c r="H38" s="224"/>
      <c r="I38" s="245" t="s">
        <v>327</v>
      </c>
      <c r="J38" s="226"/>
      <c r="K38" s="226"/>
      <c r="L38" s="226"/>
      <c r="M38" s="226"/>
      <c r="N38" s="226"/>
      <c r="O38" s="226"/>
      <c r="P38" s="227"/>
    </row>
    <row r="39" spans="1:16" ht="28.8" customHeight="1" x14ac:dyDescent="0.3">
      <c r="H39" s="224"/>
      <c r="I39" s="226"/>
      <c r="J39" s="226"/>
      <c r="K39" s="226"/>
      <c r="L39" s="226"/>
      <c r="M39" s="226"/>
      <c r="N39" s="226"/>
      <c r="O39" s="226"/>
      <c r="P39" s="227"/>
    </row>
    <row r="40" spans="1:16" ht="28.8" customHeight="1" x14ac:dyDescent="0.3">
      <c r="H40" s="224"/>
      <c r="I40" s="229"/>
      <c r="J40" s="229"/>
      <c r="K40" s="229"/>
      <c r="L40" s="226"/>
      <c r="M40" s="229"/>
      <c r="N40" s="229"/>
      <c r="O40" s="229"/>
      <c r="P40" s="227"/>
    </row>
    <row r="41" spans="1:16" ht="28.8" customHeight="1" x14ac:dyDescent="0.4">
      <c r="H41" s="224"/>
      <c r="I41" s="244" t="s">
        <v>328</v>
      </c>
      <c r="J41" s="226"/>
      <c r="K41" s="226"/>
      <c r="L41" s="226"/>
      <c r="M41" s="248" t="s">
        <v>329</v>
      </c>
      <c r="N41" s="226"/>
      <c r="O41" s="226"/>
      <c r="P41" s="227"/>
    </row>
    <row r="42" spans="1:16" ht="28.8" customHeight="1" x14ac:dyDescent="0.3">
      <c r="H42" s="228"/>
      <c r="I42" s="229"/>
      <c r="J42" s="229"/>
      <c r="K42" s="229"/>
      <c r="L42" s="229"/>
      <c r="M42" s="229"/>
      <c r="N42" s="229"/>
      <c r="O42" s="229"/>
      <c r="P42" s="230"/>
    </row>
    <row r="43" spans="1:16" ht="28.8" customHeight="1" x14ac:dyDescent="0.3"/>
    <row r="44" spans="1:16" ht="28.8" customHeight="1" x14ac:dyDescent="0.3"/>
    <row r="45" spans="1:16" ht="28.8" customHeight="1" x14ac:dyDescent="0.3"/>
    <row r="46" spans="1:16" ht="28.8" customHeight="1" x14ac:dyDescent="0.3"/>
    <row r="47" spans="1:16" ht="28.8" customHeight="1" x14ac:dyDescent="0.3"/>
    <row r="48" spans="1:16" ht="28.8" customHeight="1" x14ac:dyDescent="0.3">
      <c r="A48" s="126" t="s">
        <v>398</v>
      </c>
    </row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D10:F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25B54-63D7-412B-AAD7-4CCFC6E91CA4}">
  <sheetPr codeName="Planilha40">
    <tabColor rgb="FF00B050"/>
  </sheetPr>
  <dimension ref="A1:AW66"/>
  <sheetViews>
    <sheetView zoomScale="40" zoomScaleNormal="40" workbookViewId="0">
      <selection activeCell="N15" sqref="N15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23.21875" style="126" bestFit="1" customWidth="1"/>
    <col min="7" max="7" width="26" style="126" bestFit="1" customWidth="1"/>
    <col min="8" max="8" width="25.6640625" style="126" bestFit="1" customWidth="1"/>
    <col min="9" max="9" width="22.88671875" style="126" bestFit="1" customWidth="1"/>
    <col min="10" max="10" width="27.88671875" style="126" bestFit="1" customWidth="1"/>
    <col min="11" max="11" width="36.77734375" style="126" bestFit="1" customWidth="1"/>
    <col min="12" max="12" width="25.44140625" style="126" bestFit="1" customWidth="1"/>
    <col min="13" max="13" width="29" style="126" bestFit="1" customWidth="1"/>
    <col min="14" max="14" width="47.88671875" style="126" bestFit="1" customWidth="1"/>
    <col min="15" max="15" width="29.33203125" style="126" customWidth="1"/>
    <col min="16" max="16" width="73.4414062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thickBot="1" x14ac:dyDescent="0.35"/>
    <row r="10" spans="1:49" ht="28.8" customHeight="1" x14ac:dyDescent="0.4">
      <c r="E10" s="251" t="s">
        <v>330</v>
      </c>
      <c r="F10" s="252" t="s">
        <v>297</v>
      </c>
      <c r="H10" s="341" t="s">
        <v>351</v>
      </c>
      <c r="I10" s="342"/>
      <c r="J10" s="342"/>
      <c r="K10" s="343"/>
    </row>
    <row r="11" spans="1:49" ht="28.8" customHeight="1" x14ac:dyDescent="0.3">
      <c r="E11" s="249" t="s">
        <v>331</v>
      </c>
      <c r="F11" s="253">
        <v>5000</v>
      </c>
      <c r="H11" s="344" t="s">
        <v>352</v>
      </c>
      <c r="I11" s="345"/>
      <c r="J11" s="255" t="s">
        <v>353</v>
      </c>
      <c r="K11" s="256" t="s">
        <v>354</v>
      </c>
    </row>
    <row r="12" spans="1:49" ht="28.8" customHeight="1" x14ac:dyDescent="0.35">
      <c r="E12" s="249" t="s">
        <v>332</v>
      </c>
      <c r="F12" s="253">
        <v>3000</v>
      </c>
      <c r="H12" s="258" t="s">
        <v>355</v>
      </c>
      <c r="I12" s="257">
        <v>2259.1999999999998</v>
      </c>
      <c r="J12" s="259">
        <v>0</v>
      </c>
      <c r="K12" s="260">
        <v>0</v>
      </c>
    </row>
    <row r="13" spans="1:49" ht="28.8" customHeight="1" x14ac:dyDescent="0.35">
      <c r="E13" s="249" t="s">
        <v>333</v>
      </c>
      <c r="F13" s="253">
        <v>2000</v>
      </c>
      <c r="H13" s="261">
        <f>I12</f>
        <v>2259.1999999999998</v>
      </c>
      <c r="I13" s="257">
        <v>2826.65</v>
      </c>
      <c r="J13" s="262">
        <v>7.4999999999999997E-2</v>
      </c>
      <c r="K13" s="260">
        <v>164.44</v>
      </c>
    </row>
    <row r="14" spans="1:49" ht="28.8" customHeight="1" x14ac:dyDescent="0.35">
      <c r="E14" s="249" t="s">
        <v>334</v>
      </c>
      <c r="F14" s="253">
        <v>5000</v>
      </c>
      <c r="H14" s="261">
        <f>I13</f>
        <v>2826.65</v>
      </c>
      <c r="I14" s="257">
        <v>3751.05</v>
      </c>
      <c r="J14" s="262">
        <v>0.15</v>
      </c>
      <c r="K14" s="260">
        <v>381.44</v>
      </c>
    </row>
    <row r="15" spans="1:49" ht="28.8" customHeight="1" x14ac:dyDescent="0.35">
      <c r="E15" s="249" t="s">
        <v>335</v>
      </c>
      <c r="F15" s="253">
        <v>3000</v>
      </c>
      <c r="H15" s="261">
        <f>I14</f>
        <v>3751.05</v>
      </c>
      <c r="I15" s="257">
        <v>4664.68</v>
      </c>
      <c r="J15" s="262">
        <v>0.22500000000000001</v>
      </c>
      <c r="K15" s="260">
        <v>662.77</v>
      </c>
    </row>
    <row r="16" spans="1:49" ht="28.8" customHeight="1" thickBot="1" x14ac:dyDescent="0.4">
      <c r="E16" s="249" t="s">
        <v>336</v>
      </c>
      <c r="F16" s="253">
        <v>2000</v>
      </c>
      <c r="H16" s="263" t="s">
        <v>356</v>
      </c>
      <c r="I16" s="264">
        <f>I15</f>
        <v>4664.68</v>
      </c>
      <c r="J16" s="265">
        <v>0.27500000000000002</v>
      </c>
      <c r="K16" s="266">
        <v>896</v>
      </c>
    </row>
    <row r="17" spans="5:11" ht="28.8" customHeight="1" thickBot="1" x14ac:dyDescent="0.35">
      <c r="E17" s="249" t="s">
        <v>337</v>
      </c>
      <c r="F17" s="253">
        <v>5000</v>
      </c>
    </row>
    <row r="18" spans="5:11" ht="28.8" customHeight="1" x14ac:dyDescent="0.3">
      <c r="E18" s="249" t="s">
        <v>338</v>
      </c>
      <c r="F18" s="253">
        <v>3000</v>
      </c>
      <c r="H18" s="341" t="s">
        <v>315</v>
      </c>
      <c r="I18" s="342"/>
      <c r="J18" s="342"/>
      <c r="K18" s="343"/>
    </row>
    <row r="19" spans="5:11" ht="28.8" customHeight="1" x14ac:dyDescent="0.3">
      <c r="E19" s="249" t="s">
        <v>14</v>
      </c>
      <c r="F19" s="253">
        <v>5000</v>
      </c>
      <c r="H19" s="249" t="s">
        <v>319</v>
      </c>
      <c r="I19" s="259">
        <v>0.11</v>
      </c>
      <c r="J19" s="267" t="s">
        <v>319</v>
      </c>
      <c r="K19" s="268">
        <v>0.11</v>
      </c>
    </row>
    <row r="20" spans="5:11" ht="28.8" customHeight="1" x14ac:dyDescent="0.3">
      <c r="E20" s="249" t="s">
        <v>339</v>
      </c>
      <c r="F20" s="253">
        <v>3000</v>
      </c>
      <c r="H20" s="249" t="s">
        <v>357</v>
      </c>
      <c r="I20" s="267" t="s">
        <v>358</v>
      </c>
      <c r="J20" s="267" t="s">
        <v>357</v>
      </c>
      <c r="K20" s="269" t="s">
        <v>358</v>
      </c>
    </row>
    <row r="21" spans="5:11" ht="28.8" customHeight="1" thickBot="1" x14ac:dyDescent="0.35">
      <c r="E21" s="249" t="s">
        <v>340</v>
      </c>
      <c r="F21" s="253">
        <v>2000</v>
      </c>
      <c r="H21" s="250" t="s">
        <v>359</v>
      </c>
      <c r="I21" s="265">
        <v>1.4999999999999999E-2</v>
      </c>
      <c r="J21" s="270" t="s">
        <v>359</v>
      </c>
      <c r="K21" s="271">
        <v>1.4999999999999999E-2</v>
      </c>
    </row>
    <row r="22" spans="5:11" ht="28.8" customHeight="1" thickBot="1" x14ac:dyDescent="0.35">
      <c r="E22" s="249" t="s">
        <v>341</v>
      </c>
      <c r="F22" s="253">
        <v>5000</v>
      </c>
    </row>
    <row r="23" spans="5:11" ht="28.8" customHeight="1" x14ac:dyDescent="0.4">
      <c r="E23" s="249" t="s">
        <v>342</v>
      </c>
      <c r="F23" s="253">
        <v>3000</v>
      </c>
      <c r="H23" s="272" t="s">
        <v>360</v>
      </c>
    </row>
    <row r="24" spans="5:11" ht="28.8" customHeight="1" thickBot="1" x14ac:dyDescent="0.4">
      <c r="E24" s="249" t="s">
        <v>343</v>
      </c>
      <c r="F24" s="253">
        <v>2000</v>
      </c>
      <c r="H24" s="273">
        <v>0.08</v>
      </c>
    </row>
    <row r="25" spans="5:11" ht="28.8" customHeight="1" x14ac:dyDescent="0.3">
      <c r="E25" s="249" t="s">
        <v>344</v>
      </c>
      <c r="F25" s="253">
        <v>5000</v>
      </c>
    </row>
    <row r="26" spans="5:11" ht="28.8" customHeight="1" x14ac:dyDescent="0.3">
      <c r="E26" s="249" t="s">
        <v>345</v>
      </c>
      <c r="F26" s="253">
        <v>4000</v>
      </c>
    </row>
    <row r="27" spans="5:11" ht="28.8" customHeight="1" x14ac:dyDescent="0.3">
      <c r="E27" s="249" t="s">
        <v>346</v>
      </c>
      <c r="F27" s="253">
        <v>3000</v>
      </c>
    </row>
    <row r="28" spans="5:11" ht="28.8" customHeight="1" x14ac:dyDescent="0.3">
      <c r="E28" s="249" t="s">
        <v>347</v>
      </c>
      <c r="F28" s="253">
        <v>2000</v>
      </c>
    </row>
    <row r="29" spans="5:11" ht="28.8" customHeight="1" x14ac:dyDescent="0.3">
      <c r="E29" s="249" t="s">
        <v>348</v>
      </c>
      <c r="F29" s="253">
        <v>5000</v>
      </c>
    </row>
    <row r="30" spans="5:11" ht="28.8" customHeight="1" x14ac:dyDescent="0.3">
      <c r="E30" s="249" t="s">
        <v>349</v>
      </c>
      <c r="F30" s="253">
        <v>3000</v>
      </c>
    </row>
    <row r="31" spans="5:11" ht="28.8" customHeight="1" thickBot="1" x14ac:dyDescent="0.35">
      <c r="E31" s="250" t="s">
        <v>350</v>
      </c>
      <c r="F31" s="254">
        <v>2000</v>
      </c>
    </row>
    <row r="32" spans="5:11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3">
    <mergeCell ref="H10:K10"/>
    <mergeCell ref="H11:I11"/>
    <mergeCell ref="H18:K1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668E-500D-4CA2-B913-5B35813BD264}">
  <sheetPr codeName="Planilha41">
    <tabColor rgb="FF7030A0"/>
  </sheetPr>
  <dimension ref="A1:AW66"/>
  <sheetViews>
    <sheetView topLeftCell="A4" zoomScale="40" zoomScaleNormal="40" workbookViewId="0">
      <selection activeCell="I36" sqref="I36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23.21875" style="126" bestFit="1" customWidth="1"/>
    <col min="7" max="7" width="26" style="126" bestFit="1" customWidth="1"/>
    <col min="8" max="8" width="25.6640625" style="126" bestFit="1" customWidth="1"/>
    <col min="9" max="9" width="22.88671875" style="126" bestFit="1" customWidth="1"/>
    <col min="10" max="10" width="27.88671875" style="126" bestFit="1" customWidth="1"/>
    <col min="11" max="11" width="36.77734375" style="126" bestFit="1" customWidth="1"/>
    <col min="12" max="12" width="25.44140625" style="126" bestFit="1" customWidth="1"/>
    <col min="13" max="13" width="29" style="126" bestFit="1" customWidth="1"/>
    <col min="14" max="14" width="47.88671875" style="126" bestFit="1" customWidth="1"/>
    <col min="15" max="15" width="29.33203125" style="126" customWidth="1"/>
    <col min="16" max="16" width="73.4414062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thickBot="1" x14ac:dyDescent="0.35"/>
    <row r="12" spans="1:49" ht="28.8" customHeight="1" x14ac:dyDescent="0.3">
      <c r="H12" s="332" t="s">
        <v>400</v>
      </c>
      <c r="I12" s="333"/>
      <c r="J12" s="333"/>
      <c r="K12" s="333"/>
      <c r="L12" s="334"/>
    </row>
    <row r="13" spans="1:49" ht="28.8" customHeight="1" thickBot="1" x14ac:dyDescent="0.35">
      <c r="H13" s="335"/>
      <c r="I13" s="336"/>
      <c r="J13" s="336"/>
      <c r="K13" s="336"/>
      <c r="L13" s="337"/>
    </row>
    <row r="14" spans="1:49" ht="28.8" customHeight="1" thickBot="1" x14ac:dyDescent="0.35">
      <c r="H14" s="8"/>
      <c r="I14" s="62"/>
      <c r="J14" s="62"/>
      <c r="K14" s="62"/>
      <c r="L14" s="63"/>
    </row>
    <row r="15" spans="1:49" ht="28.8" customHeight="1" thickBot="1" x14ac:dyDescent="0.35">
      <c r="H15" s="8"/>
      <c r="I15" s="193" t="s">
        <v>361</v>
      </c>
      <c r="J15" s="62"/>
      <c r="K15" s="60"/>
      <c r="L15" s="63"/>
    </row>
    <row r="16" spans="1:49" ht="28.8" customHeight="1" thickBot="1" x14ac:dyDescent="0.35">
      <c r="H16" s="8"/>
      <c r="I16" s="193"/>
      <c r="J16" s="62"/>
      <c r="K16" s="62"/>
      <c r="L16" s="63"/>
    </row>
    <row r="17" spans="8:12" ht="28.8" customHeight="1" thickBot="1" x14ac:dyDescent="0.35">
      <c r="H17" s="8"/>
      <c r="I17" s="193" t="s">
        <v>365</v>
      </c>
      <c r="J17" s="62"/>
      <c r="K17" s="60"/>
      <c r="L17" s="63"/>
    </row>
    <row r="18" spans="8:12" ht="28.8" customHeight="1" thickBot="1" x14ac:dyDescent="0.35">
      <c r="H18" s="8"/>
      <c r="I18" s="193"/>
      <c r="J18" s="62"/>
      <c r="K18" s="62"/>
      <c r="L18" s="63"/>
    </row>
    <row r="19" spans="8:12" ht="28.8" customHeight="1" thickBot="1" x14ac:dyDescent="0.35">
      <c r="H19" s="8"/>
      <c r="I19" s="193" t="s">
        <v>362</v>
      </c>
      <c r="J19" s="62"/>
      <c r="K19" s="60"/>
      <c r="L19" s="63"/>
    </row>
    <row r="20" spans="8:12" ht="28.8" customHeight="1" thickBot="1" x14ac:dyDescent="0.35">
      <c r="H20" s="8"/>
      <c r="I20" s="193"/>
      <c r="J20" s="62"/>
      <c r="K20" s="62"/>
      <c r="L20" s="63"/>
    </row>
    <row r="21" spans="8:12" ht="28.8" customHeight="1" thickBot="1" x14ac:dyDescent="0.35">
      <c r="H21" s="8"/>
      <c r="I21" s="193" t="s">
        <v>293</v>
      </c>
      <c r="J21" s="62"/>
      <c r="K21" s="60"/>
      <c r="L21" s="63"/>
    </row>
    <row r="22" spans="8:12" ht="28.8" customHeight="1" thickBot="1" x14ac:dyDescent="0.35">
      <c r="H22" s="8"/>
      <c r="I22" s="193"/>
      <c r="J22" s="62"/>
      <c r="K22" s="62"/>
      <c r="L22" s="63"/>
    </row>
    <row r="23" spans="8:12" ht="28.8" customHeight="1" thickBot="1" x14ac:dyDescent="0.35">
      <c r="H23" s="8"/>
      <c r="I23" s="193" t="s">
        <v>399</v>
      </c>
      <c r="J23" s="62"/>
      <c r="K23" s="60"/>
      <c r="L23" s="63"/>
    </row>
    <row r="24" spans="8:12" ht="28.8" customHeight="1" thickBot="1" x14ac:dyDescent="0.35">
      <c r="H24" s="8"/>
      <c r="I24" s="193"/>
      <c r="J24" s="62"/>
      <c r="K24" s="62"/>
      <c r="L24" s="63"/>
    </row>
    <row r="25" spans="8:12" ht="28.8" customHeight="1" thickBot="1" x14ac:dyDescent="0.35">
      <c r="H25" s="8"/>
      <c r="I25" s="193" t="s">
        <v>363</v>
      </c>
      <c r="J25" s="62"/>
      <c r="K25" s="60"/>
      <c r="L25" s="63"/>
    </row>
    <row r="26" spans="8:12" ht="28.8" customHeight="1" thickBot="1" x14ac:dyDescent="0.35">
      <c r="H26" s="8"/>
      <c r="I26" s="193"/>
      <c r="J26" s="62"/>
      <c r="K26" s="62"/>
      <c r="L26" s="63"/>
    </row>
    <row r="27" spans="8:12" ht="28.8" customHeight="1" thickBot="1" x14ac:dyDescent="0.35">
      <c r="H27" s="8"/>
      <c r="I27" s="193" t="s">
        <v>294</v>
      </c>
      <c r="J27" s="62"/>
      <c r="K27" s="60"/>
      <c r="L27" s="63"/>
    </row>
    <row r="28" spans="8:12" ht="28.8" customHeight="1" x14ac:dyDescent="0.3">
      <c r="H28" s="75"/>
      <c r="I28" s="86"/>
      <c r="J28" s="86"/>
      <c r="K28" s="86"/>
      <c r="L28" s="7"/>
    </row>
    <row r="29" spans="8:12" ht="28.8" customHeight="1" x14ac:dyDescent="0.3">
      <c r="H29" s="75"/>
      <c r="I29" s="86"/>
      <c r="J29" s="86"/>
      <c r="K29" s="86"/>
      <c r="L29" s="7"/>
    </row>
    <row r="30" spans="8:12" ht="28.8" customHeight="1" x14ac:dyDescent="0.3">
      <c r="H30" s="75"/>
      <c r="I30" s="86"/>
      <c r="J30" s="86"/>
      <c r="K30" s="86"/>
      <c r="L30" s="7"/>
    </row>
    <row r="31" spans="8:12" ht="28.8" customHeight="1" x14ac:dyDescent="0.3">
      <c r="H31" s="75"/>
      <c r="I31" s="86"/>
      <c r="J31" s="86"/>
      <c r="K31" s="86"/>
      <c r="L31" s="7"/>
    </row>
    <row r="32" spans="8:12" ht="28.8" customHeight="1" x14ac:dyDescent="0.3">
      <c r="H32" s="75"/>
      <c r="I32" s="86"/>
      <c r="J32" s="86"/>
      <c r="K32" s="86"/>
      <c r="L32" s="7"/>
    </row>
    <row r="33" spans="8:12" ht="28.8" customHeight="1" x14ac:dyDescent="0.3">
      <c r="H33" s="75"/>
      <c r="I33" s="86"/>
      <c r="J33" s="86"/>
      <c r="K33" s="86"/>
      <c r="L33" s="7"/>
    </row>
    <row r="34" spans="8:12" ht="28.8" customHeight="1" thickBot="1" x14ac:dyDescent="0.35">
      <c r="H34" s="87"/>
      <c r="I34" s="88"/>
      <c r="J34" s="88"/>
      <c r="K34" s="88"/>
      <c r="L34" s="89"/>
    </row>
    <row r="35" spans="8:12" ht="28.8" customHeight="1" x14ac:dyDescent="0.3"/>
    <row r="36" spans="8:12" ht="28.8" customHeight="1" x14ac:dyDescent="0.3"/>
    <row r="37" spans="8:12" ht="28.8" customHeight="1" x14ac:dyDescent="0.3"/>
    <row r="38" spans="8:12" ht="28.8" customHeight="1" x14ac:dyDescent="0.3"/>
    <row r="39" spans="8:12" ht="28.8" customHeight="1" x14ac:dyDescent="0.3"/>
    <row r="40" spans="8:12" ht="28.8" customHeight="1" x14ac:dyDescent="0.3"/>
    <row r="41" spans="8:12" ht="28.8" customHeight="1" x14ac:dyDescent="0.3"/>
    <row r="42" spans="8:12" ht="28.8" customHeight="1" x14ac:dyDescent="0.3"/>
    <row r="43" spans="8:12" ht="28.8" customHeight="1" x14ac:dyDescent="0.3"/>
    <row r="44" spans="8:12" ht="28.8" customHeight="1" x14ac:dyDescent="0.3"/>
    <row r="45" spans="8:12" ht="28.8" customHeight="1" x14ac:dyDescent="0.3"/>
    <row r="46" spans="8:12" ht="28.8" customHeight="1" x14ac:dyDescent="0.3"/>
    <row r="47" spans="8:12" ht="28.8" customHeight="1" x14ac:dyDescent="0.3"/>
    <row r="48" spans="8:12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D83D1-DE8A-4B61-9E34-406C839CC34A}">
  <sheetPr codeName="Planilha42">
    <tabColor rgb="FF7030A0"/>
  </sheetPr>
  <dimension ref="A1:AW66"/>
  <sheetViews>
    <sheetView zoomScale="40" zoomScaleNormal="40" workbookViewId="0">
      <selection activeCell="K17" sqref="K17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23.21875" style="126" bestFit="1" customWidth="1"/>
    <col min="7" max="7" width="26" style="126" bestFit="1" customWidth="1"/>
    <col min="8" max="8" width="25.6640625" style="126" bestFit="1" customWidth="1"/>
    <col min="9" max="9" width="22.88671875" style="126" bestFit="1" customWidth="1"/>
    <col min="10" max="10" width="27.88671875" style="126" bestFit="1" customWidth="1"/>
    <col min="11" max="11" width="36.77734375" style="126" bestFit="1" customWidth="1"/>
    <col min="12" max="12" width="25.44140625" style="126" bestFit="1" customWidth="1"/>
    <col min="13" max="13" width="29" style="126" bestFit="1" customWidth="1"/>
    <col min="14" max="14" width="47.88671875" style="126" bestFit="1" customWidth="1"/>
    <col min="15" max="15" width="29.33203125" style="126" customWidth="1"/>
    <col min="16" max="16" width="73.4414062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thickBot="1" x14ac:dyDescent="0.35"/>
    <row r="12" spans="1:49" ht="28.8" customHeight="1" x14ac:dyDescent="0.3">
      <c r="H12" s="332" t="s">
        <v>371</v>
      </c>
      <c r="I12" s="333"/>
      <c r="J12" s="333"/>
      <c r="K12" s="333"/>
      <c r="L12" s="334"/>
    </row>
    <row r="13" spans="1:49" ht="28.8" customHeight="1" thickBot="1" x14ac:dyDescent="0.35">
      <c r="H13" s="335"/>
      <c r="I13" s="336"/>
      <c r="J13" s="336"/>
      <c r="K13" s="336"/>
      <c r="L13" s="337"/>
    </row>
    <row r="14" spans="1:49" ht="28.8" customHeight="1" thickBot="1" x14ac:dyDescent="0.35">
      <c r="H14" s="8"/>
      <c r="I14" s="62"/>
      <c r="J14" s="62"/>
      <c r="K14" s="62"/>
      <c r="L14" s="63"/>
    </row>
    <row r="15" spans="1:49" ht="28.8" customHeight="1" thickBot="1" x14ac:dyDescent="0.35">
      <c r="H15" s="8"/>
      <c r="I15" s="347" t="s">
        <v>365</v>
      </c>
      <c r="J15" s="62"/>
      <c r="K15" s="60"/>
      <c r="L15" s="63"/>
    </row>
    <row r="16" spans="1:49" ht="28.8" customHeight="1" thickBot="1" x14ac:dyDescent="0.35">
      <c r="H16" s="8"/>
      <c r="I16" s="92" t="s">
        <v>13</v>
      </c>
      <c r="J16" s="62"/>
      <c r="K16" s="62"/>
      <c r="L16" s="63"/>
    </row>
    <row r="17" spans="8:12" ht="28.8" customHeight="1" thickBot="1" x14ac:dyDescent="0.35">
      <c r="H17" s="8"/>
      <c r="I17" s="347" t="s">
        <v>366</v>
      </c>
      <c r="J17" s="62"/>
      <c r="K17" s="60"/>
      <c r="L17" s="63"/>
    </row>
    <row r="18" spans="8:12" ht="28.8" customHeight="1" thickBot="1" x14ac:dyDescent="0.35">
      <c r="H18" s="8"/>
      <c r="I18" s="92" t="s">
        <v>13</v>
      </c>
      <c r="J18" s="62"/>
      <c r="K18" s="62"/>
      <c r="L18" s="63"/>
    </row>
    <row r="19" spans="8:12" ht="28.8" customHeight="1" thickBot="1" x14ac:dyDescent="0.35">
      <c r="H19" s="8"/>
      <c r="I19" s="347" t="s">
        <v>293</v>
      </c>
      <c r="J19" s="62"/>
      <c r="K19" s="60"/>
      <c r="L19" s="63"/>
    </row>
    <row r="20" spans="8:12" ht="28.8" customHeight="1" thickBot="1" x14ac:dyDescent="0.35">
      <c r="H20" s="8"/>
      <c r="I20" s="92" t="s">
        <v>13</v>
      </c>
      <c r="J20" s="62"/>
      <c r="K20" s="62"/>
      <c r="L20" s="63"/>
    </row>
    <row r="21" spans="8:12" ht="28.8" customHeight="1" thickBot="1" x14ac:dyDescent="0.35">
      <c r="H21" s="8"/>
      <c r="I21" s="347" t="s">
        <v>282</v>
      </c>
      <c r="J21" s="62"/>
      <c r="K21" s="60"/>
      <c r="L21" s="63"/>
    </row>
    <row r="22" spans="8:12" ht="28.8" customHeight="1" thickBot="1" x14ac:dyDescent="0.35">
      <c r="H22" s="8"/>
      <c r="I22" s="92" t="s">
        <v>13</v>
      </c>
      <c r="J22" s="62"/>
      <c r="K22" s="62"/>
      <c r="L22" s="63"/>
    </row>
    <row r="23" spans="8:12" ht="28.8" customHeight="1" thickBot="1" x14ac:dyDescent="0.35">
      <c r="H23" s="8"/>
      <c r="I23" s="347" t="s">
        <v>283</v>
      </c>
      <c r="J23" s="62"/>
      <c r="K23" s="60"/>
      <c r="L23" s="63"/>
    </row>
    <row r="24" spans="8:12" ht="28.8" customHeight="1" thickBot="1" x14ac:dyDescent="0.35">
      <c r="H24" s="8"/>
      <c r="I24" s="92" t="s">
        <v>13</v>
      </c>
      <c r="J24" s="62"/>
      <c r="K24" s="62"/>
      <c r="L24" s="63"/>
    </row>
    <row r="25" spans="8:12" ht="28.8" customHeight="1" thickBot="1" x14ac:dyDescent="0.35">
      <c r="H25" s="8"/>
      <c r="I25" s="347" t="s">
        <v>367</v>
      </c>
      <c r="J25" s="62"/>
      <c r="K25" s="60"/>
      <c r="L25" s="63"/>
    </row>
    <row r="26" spans="8:12" ht="28.8" customHeight="1" thickBot="1" x14ac:dyDescent="0.35">
      <c r="H26" s="8"/>
      <c r="I26" s="92" t="s">
        <v>13</v>
      </c>
      <c r="J26" s="62"/>
      <c r="K26" s="62"/>
      <c r="L26" s="63"/>
    </row>
    <row r="27" spans="8:12" ht="28.8" customHeight="1" thickBot="1" x14ac:dyDescent="0.35">
      <c r="H27" s="8"/>
      <c r="I27" s="347" t="s">
        <v>368</v>
      </c>
      <c r="J27" s="62"/>
      <c r="K27" s="60"/>
      <c r="L27" s="63"/>
    </row>
    <row r="28" spans="8:12" ht="28.8" customHeight="1" thickBot="1" x14ac:dyDescent="0.35">
      <c r="H28" s="75"/>
      <c r="I28" s="92"/>
      <c r="J28" s="86"/>
      <c r="K28" s="86"/>
      <c r="L28" s="7"/>
    </row>
    <row r="29" spans="8:12" ht="28.8" customHeight="1" thickBot="1" x14ac:dyDescent="0.35">
      <c r="H29" s="75"/>
      <c r="I29" s="347" t="s">
        <v>369</v>
      </c>
      <c r="J29" s="86"/>
      <c r="K29" s="50"/>
      <c r="L29" s="7"/>
    </row>
    <row r="30" spans="8:12" ht="28.8" customHeight="1" thickBot="1" x14ac:dyDescent="0.35">
      <c r="H30" s="75"/>
      <c r="I30" s="92"/>
      <c r="J30" s="86"/>
      <c r="K30" s="86"/>
      <c r="L30" s="7"/>
    </row>
    <row r="31" spans="8:12" ht="28.8" customHeight="1" thickBot="1" x14ac:dyDescent="0.35">
      <c r="H31" s="75"/>
      <c r="I31" s="347" t="s">
        <v>370</v>
      </c>
      <c r="J31" s="86"/>
      <c r="K31" s="50"/>
      <c r="L31" s="7"/>
    </row>
    <row r="32" spans="8:12" ht="28.8" customHeight="1" x14ac:dyDescent="0.3">
      <c r="H32" s="75"/>
      <c r="I32" s="70"/>
      <c r="J32" s="86"/>
      <c r="K32" s="86"/>
      <c r="L32" s="7"/>
    </row>
    <row r="33" spans="8:12" ht="28.8" customHeight="1" x14ac:dyDescent="0.3">
      <c r="H33" s="75"/>
      <c r="I33" s="86"/>
      <c r="J33" s="86"/>
      <c r="K33" s="86"/>
      <c r="L33" s="7"/>
    </row>
    <row r="34" spans="8:12" ht="28.8" customHeight="1" x14ac:dyDescent="0.3">
      <c r="H34" s="75"/>
      <c r="I34" s="86"/>
      <c r="J34" s="86"/>
      <c r="K34" s="86"/>
      <c r="L34" s="7"/>
    </row>
    <row r="35" spans="8:12" ht="28.8" customHeight="1" x14ac:dyDescent="0.3">
      <c r="H35" s="75"/>
      <c r="I35" s="86"/>
      <c r="J35" s="86"/>
      <c r="K35" s="86"/>
      <c r="L35" s="7"/>
    </row>
    <row r="36" spans="8:12" ht="28.8" customHeight="1" x14ac:dyDescent="0.3">
      <c r="H36" s="75"/>
      <c r="I36" s="86"/>
      <c r="J36" s="86"/>
      <c r="K36" s="86"/>
      <c r="L36" s="7"/>
    </row>
    <row r="37" spans="8:12" ht="28.8" customHeight="1" x14ac:dyDescent="0.3">
      <c r="H37" s="75"/>
      <c r="I37" s="86"/>
      <c r="J37" s="86"/>
      <c r="K37" s="86"/>
      <c r="L37" s="7"/>
    </row>
    <row r="38" spans="8:12" ht="28.8" customHeight="1" thickBot="1" x14ac:dyDescent="0.35">
      <c r="H38" s="87"/>
      <c r="I38" s="88"/>
      <c r="J38" s="88"/>
      <c r="K38" s="88"/>
      <c r="L38" s="89"/>
    </row>
    <row r="39" spans="8:12" ht="28.8" customHeight="1" x14ac:dyDescent="0.3"/>
    <row r="40" spans="8:12" ht="28.8" customHeight="1" x14ac:dyDescent="0.3"/>
    <row r="41" spans="8:12" ht="28.8" customHeight="1" x14ac:dyDescent="0.3"/>
    <row r="42" spans="8:12" ht="28.8" customHeight="1" x14ac:dyDescent="0.3"/>
    <row r="43" spans="8:12" ht="28.8" customHeight="1" x14ac:dyDescent="0.3"/>
    <row r="44" spans="8:12" ht="28.8" customHeight="1" x14ac:dyDescent="0.3"/>
    <row r="45" spans="8:12" ht="28.8" customHeight="1" x14ac:dyDescent="0.3"/>
    <row r="46" spans="8:12" ht="28.8" customHeight="1" x14ac:dyDescent="0.3"/>
    <row r="47" spans="8:12" ht="28.8" customHeight="1" x14ac:dyDescent="0.3"/>
    <row r="48" spans="8:12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B80ECAB-29EB-47CD-8940-8144B4C4089B}">
          <x14:formula1>
            <xm:f>BD_CADAS!$D$8:$D$28</xm:f>
          </x14:formula1>
          <xm:sqref>K15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0FEF8-CD32-4F59-8452-17067DCCF61B}">
  <sheetPr codeName="Planilha43">
    <tabColor rgb="FF7030A0"/>
  </sheetPr>
  <dimension ref="A1:AW66"/>
  <sheetViews>
    <sheetView zoomScale="40" zoomScaleNormal="40" workbookViewId="0">
      <selection activeCell="M25" sqref="M25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23.21875" style="126" bestFit="1" customWidth="1"/>
    <col min="7" max="7" width="26" style="126" bestFit="1" customWidth="1"/>
    <col min="8" max="8" width="25.6640625" style="126" bestFit="1" customWidth="1"/>
    <col min="9" max="9" width="22.88671875" style="126" bestFit="1" customWidth="1"/>
    <col min="10" max="10" width="27.88671875" style="126" bestFit="1" customWidth="1"/>
    <col min="11" max="11" width="36.77734375" style="126" bestFit="1" customWidth="1"/>
    <col min="12" max="12" width="25.44140625" style="126" bestFit="1" customWidth="1"/>
    <col min="13" max="13" width="29" style="126" bestFit="1" customWidth="1"/>
    <col min="14" max="14" width="47.88671875" style="126" bestFit="1" customWidth="1"/>
    <col min="15" max="15" width="29.33203125" style="126" customWidth="1"/>
    <col min="16" max="16" width="73.4414062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thickBot="1" x14ac:dyDescent="0.35"/>
    <row r="12" spans="1:49" ht="28.8" customHeight="1" x14ac:dyDescent="0.4">
      <c r="H12" s="332" t="s">
        <v>372</v>
      </c>
      <c r="I12" s="333"/>
      <c r="J12" s="333"/>
      <c r="K12" s="333"/>
      <c r="L12" s="334"/>
      <c r="N12" s="350" t="s">
        <v>374</v>
      </c>
      <c r="O12" s="350" t="s">
        <v>283</v>
      </c>
    </row>
    <row r="13" spans="1:49" ht="28.8" customHeight="1" thickBot="1" x14ac:dyDescent="0.4">
      <c r="H13" s="335"/>
      <c r="I13" s="336"/>
      <c r="J13" s="336"/>
      <c r="K13" s="336"/>
      <c r="L13" s="337"/>
      <c r="N13" s="351" t="s">
        <v>401</v>
      </c>
      <c r="O13" s="352">
        <v>16700</v>
      </c>
    </row>
    <row r="14" spans="1:49" ht="28.8" customHeight="1" thickBot="1" x14ac:dyDescent="0.35">
      <c r="H14" s="8"/>
      <c r="I14" s="62"/>
      <c r="J14" s="62"/>
      <c r="K14" s="62"/>
      <c r="L14" s="63"/>
      <c r="N14" s="68"/>
    </row>
    <row r="15" spans="1:49" ht="28.8" customHeight="1" thickBot="1" x14ac:dyDescent="0.35">
      <c r="H15" s="8"/>
      <c r="I15" s="347" t="s">
        <v>365</v>
      </c>
      <c r="J15" s="62"/>
      <c r="K15" s="60"/>
      <c r="L15" s="63"/>
      <c r="N15" s="68"/>
    </row>
    <row r="16" spans="1:49" ht="28.8" customHeight="1" thickBot="1" x14ac:dyDescent="0.45">
      <c r="H16" s="8"/>
      <c r="I16" s="92" t="s">
        <v>13</v>
      </c>
      <c r="J16" s="62"/>
      <c r="K16" s="62"/>
      <c r="L16" s="63"/>
      <c r="N16" s="350" t="s">
        <v>402</v>
      </c>
    </row>
    <row r="17" spans="8:15" ht="28.8" customHeight="1" thickBot="1" x14ac:dyDescent="0.4">
      <c r="H17" s="8"/>
      <c r="I17" s="347" t="s">
        <v>366</v>
      </c>
      <c r="J17" s="62"/>
      <c r="K17" s="60"/>
      <c r="L17" s="63"/>
      <c r="N17" s="353">
        <v>20</v>
      </c>
      <c r="O17" s="1"/>
    </row>
    <row r="18" spans="8:15" ht="28.8" customHeight="1" thickBot="1" x14ac:dyDescent="0.35">
      <c r="H18" s="8"/>
      <c r="I18" s="92" t="s">
        <v>13</v>
      </c>
      <c r="J18" s="62"/>
      <c r="K18" s="62"/>
      <c r="L18" s="63"/>
    </row>
    <row r="19" spans="8:15" ht="28.8" customHeight="1" thickBot="1" x14ac:dyDescent="0.35">
      <c r="H19" s="8"/>
      <c r="I19" s="347" t="s">
        <v>293</v>
      </c>
      <c r="J19" s="62"/>
      <c r="K19" s="60"/>
      <c r="L19" s="63"/>
    </row>
    <row r="20" spans="8:15" ht="28.8" customHeight="1" thickBot="1" x14ac:dyDescent="0.35">
      <c r="H20" s="8"/>
      <c r="I20" s="92" t="s">
        <v>13</v>
      </c>
      <c r="J20" s="62"/>
      <c r="K20" s="62"/>
      <c r="L20" s="63"/>
    </row>
    <row r="21" spans="8:15" ht="28.8" customHeight="1" thickBot="1" x14ac:dyDescent="0.35">
      <c r="H21" s="8"/>
      <c r="I21" s="347" t="s">
        <v>282</v>
      </c>
      <c r="J21" s="62"/>
      <c r="K21" s="60"/>
      <c r="L21" s="63"/>
    </row>
    <row r="22" spans="8:15" ht="28.8" customHeight="1" x14ac:dyDescent="0.3">
      <c r="H22" s="8"/>
      <c r="I22" s="70"/>
      <c r="J22" s="62"/>
      <c r="K22" s="62"/>
      <c r="L22" s="63"/>
    </row>
    <row r="23" spans="8:15" ht="28.8" customHeight="1" x14ac:dyDescent="0.3">
      <c r="H23" s="8"/>
      <c r="I23" s="86"/>
      <c r="J23" s="62"/>
      <c r="K23" s="348"/>
      <c r="L23" s="63"/>
    </row>
    <row r="24" spans="8:15" ht="28.8" customHeight="1" x14ac:dyDescent="0.3">
      <c r="H24" s="8"/>
      <c r="I24" s="86"/>
      <c r="J24" s="62"/>
      <c r="K24" s="62"/>
      <c r="L24" s="63"/>
    </row>
    <row r="25" spans="8:15" ht="28.8" customHeight="1" x14ac:dyDescent="0.3">
      <c r="H25" s="8"/>
      <c r="I25" s="86"/>
      <c r="J25" s="62"/>
      <c r="K25" s="62"/>
      <c r="L25" s="63"/>
    </row>
    <row r="26" spans="8:15" ht="28.8" customHeight="1" x14ac:dyDescent="0.3">
      <c r="H26" s="8"/>
      <c r="I26" s="86"/>
      <c r="J26" s="62"/>
      <c r="K26" s="62"/>
      <c r="L26" s="63"/>
    </row>
    <row r="27" spans="8:15" ht="28.8" customHeight="1" thickBot="1" x14ac:dyDescent="0.35">
      <c r="H27" s="64"/>
      <c r="I27" s="88"/>
      <c r="J27" s="65"/>
      <c r="K27" s="349"/>
      <c r="L27" s="66"/>
    </row>
    <row r="28" spans="8:15" ht="28.8" customHeight="1" x14ac:dyDescent="0.3"/>
    <row r="29" spans="8:15" ht="28.8" customHeight="1" x14ac:dyDescent="0.3"/>
    <row r="30" spans="8:15" ht="28.8" customHeight="1" x14ac:dyDescent="0.3"/>
    <row r="31" spans="8:15" ht="28.8" customHeight="1" x14ac:dyDescent="0.3"/>
    <row r="32" spans="8:15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82836-25C8-47A6-A7B2-4739FD27837C}">
  <sheetPr codeName="Planilha45">
    <tabColor rgb="FF7030A0"/>
  </sheetPr>
  <dimension ref="A1:AW66"/>
  <sheetViews>
    <sheetView zoomScale="40" zoomScaleNormal="40" workbookViewId="0">
      <selection activeCell="H25" sqref="H25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23.21875" style="126" bestFit="1" customWidth="1"/>
    <col min="7" max="7" width="26" style="126" bestFit="1" customWidth="1"/>
    <col min="8" max="8" width="25.6640625" style="126" bestFit="1" customWidth="1"/>
    <col min="9" max="9" width="22.88671875" style="126" bestFit="1" customWidth="1"/>
    <col min="10" max="10" width="27.88671875" style="126" bestFit="1" customWidth="1"/>
    <col min="11" max="11" width="36.77734375" style="126" bestFit="1" customWidth="1"/>
    <col min="12" max="12" width="25.44140625" style="126" bestFit="1" customWidth="1"/>
    <col min="13" max="13" width="29" style="126" bestFit="1" customWidth="1"/>
    <col min="14" max="14" width="47.88671875" style="126" bestFit="1" customWidth="1"/>
    <col min="15" max="15" width="29.33203125" style="126" customWidth="1"/>
    <col min="16" max="16" width="73.4414062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x14ac:dyDescent="0.3"/>
    <row r="12" spans="1:49" ht="28.8" customHeight="1" x14ac:dyDescent="0.3"/>
    <row r="13" spans="1:49" ht="28.8" customHeight="1" x14ac:dyDescent="0.3"/>
    <row r="14" spans="1:49" ht="28.8" customHeight="1" thickBot="1" x14ac:dyDescent="0.35"/>
    <row r="15" spans="1:49" ht="28.8" customHeight="1" x14ac:dyDescent="0.3">
      <c r="I15" s="332" t="s">
        <v>371</v>
      </c>
      <c r="J15" s="333"/>
      <c r="K15" s="333"/>
      <c r="L15" s="333"/>
      <c r="M15" s="334"/>
    </row>
    <row r="16" spans="1:49" ht="28.8" customHeight="1" thickBot="1" x14ac:dyDescent="0.35">
      <c r="I16" s="335"/>
      <c r="J16" s="336"/>
      <c r="K16" s="336"/>
      <c r="L16" s="336"/>
      <c r="M16" s="337"/>
    </row>
    <row r="17" spans="9:13" ht="28.8" customHeight="1" thickBot="1" x14ac:dyDescent="0.35">
      <c r="I17" s="8"/>
      <c r="J17" s="62"/>
      <c r="K17" s="62"/>
      <c r="L17" s="62"/>
      <c r="M17" s="63"/>
    </row>
    <row r="18" spans="9:13" ht="28.8" customHeight="1" thickBot="1" x14ac:dyDescent="0.35">
      <c r="I18" s="8"/>
      <c r="J18" s="347" t="s">
        <v>365</v>
      </c>
      <c r="K18" s="62"/>
      <c r="L18" s="60"/>
      <c r="M18" s="63"/>
    </row>
    <row r="19" spans="9:13" ht="28.8" customHeight="1" thickBot="1" x14ac:dyDescent="0.35">
      <c r="I19" s="8"/>
      <c r="J19" s="92" t="s">
        <v>13</v>
      </c>
      <c r="K19" s="62"/>
      <c r="L19" s="62"/>
      <c r="M19" s="63"/>
    </row>
    <row r="20" spans="9:13" ht="28.8" customHeight="1" thickBot="1" x14ac:dyDescent="0.35">
      <c r="I20" s="8"/>
      <c r="J20" s="347" t="s">
        <v>366</v>
      </c>
      <c r="K20" s="62"/>
      <c r="L20" s="60"/>
      <c r="M20" s="63"/>
    </row>
    <row r="21" spans="9:13" ht="28.8" customHeight="1" thickBot="1" x14ac:dyDescent="0.35">
      <c r="I21" s="8"/>
      <c r="J21" s="92" t="s">
        <v>13</v>
      </c>
      <c r="K21" s="62"/>
      <c r="L21" s="62"/>
      <c r="M21" s="63"/>
    </row>
    <row r="22" spans="9:13" ht="28.8" customHeight="1" thickBot="1" x14ac:dyDescent="0.35">
      <c r="I22" s="8"/>
      <c r="J22" s="347" t="s">
        <v>293</v>
      </c>
      <c r="K22" s="62"/>
      <c r="L22" s="60"/>
      <c r="M22" s="63"/>
    </row>
    <row r="23" spans="9:13" ht="28.8" customHeight="1" thickBot="1" x14ac:dyDescent="0.35">
      <c r="I23" s="8"/>
      <c r="J23" s="92" t="s">
        <v>13</v>
      </c>
      <c r="K23" s="62"/>
      <c r="L23" s="62"/>
      <c r="M23" s="63"/>
    </row>
    <row r="24" spans="9:13" ht="28.8" customHeight="1" thickBot="1" x14ac:dyDescent="0.35">
      <c r="I24" s="8"/>
      <c r="J24" s="347" t="s">
        <v>282</v>
      </c>
      <c r="K24" s="62"/>
      <c r="L24" s="60"/>
      <c r="M24" s="63"/>
    </row>
    <row r="25" spans="9:13" ht="28.8" customHeight="1" thickBot="1" x14ac:dyDescent="0.35">
      <c r="I25" s="8"/>
      <c r="J25" s="92" t="s">
        <v>13</v>
      </c>
      <c r="K25" s="62"/>
      <c r="L25" s="62"/>
      <c r="M25" s="63"/>
    </row>
    <row r="26" spans="9:13" ht="28.8" customHeight="1" thickBot="1" x14ac:dyDescent="0.35">
      <c r="I26" s="8"/>
      <c r="J26" s="347" t="s">
        <v>283</v>
      </c>
      <c r="K26" s="62"/>
      <c r="L26" s="60"/>
      <c r="M26" s="63"/>
    </row>
    <row r="27" spans="9:13" ht="28.8" customHeight="1" thickBot="1" x14ac:dyDescent="0.35">
      <c r="I27" s="8"/>
      <c r="J27" s="92" t="s">
        <v>13</v>
      </c>
      <c r="K27" s="62"/>
      <c r="L27" s="62"/>
      <c r="M27" s="63"/>
    </row>
    <row r="28" spans="9:13" ht="28.8" customHeight="1" thickBot="1" x14ac:dyDescent="0.35">
      <c r="I28" s="8"/>
      <c r="J28" s="347" t="s">
        <v>367</v>
      </c>
      <c r="K28" s="62"/>
      <c r="L28" s="60"/>
      <c r="M28" s="63"/>
    </row>
    <row r="29" spans="9:13" ht="28.8" customHeight="1" thickBot="1" x14ac:dyDescent="0.35">
      <c r="I29" s="8"/>
      <c r="J29" s="92" t="s">
        <v>13</v>
      </c>
      <c r="K29" s="62"/>
      <c r="L29" s="62"/>
      <c r="M29" s="63"/>
    </row>
    <row r="30" spans="9:13" ht="28.8" customHeight="1" thickBot="1" x14ac:dyDescent="0.35">
      <c r="I30" s="8"/>
      <c r="J30" s="347" t="s">
        <v>368</v>
      </c>
      <c r="K30" s="62"/>
      <c r="L30" s="60"/>
      <c r="M30" s="63"/>
    </row>
    <row r="31" spans="9:13" ht="28.8" customHeight="1" thickBot="1" x14ac:dyDescent="0.35">
      <c r="I31" s="75"/>
      <c r="J31" s="92"/>
      <c r="K31" s="86"/>
      <c r="L31" s="86"/>
      <c r="M31" s="7"/>
    </row>
    <row r="32" spans="9:13" ht="28.8" customHeight="1" thickBot="1" x14ac:dyDescent="0.35">
      <c r="I32" s="75"/>
      <c r="J32" s="347" t="s">
        <v>369</v>
      </c>
      <c r="K32" s="86"/>
      <c r="L32" s="50"/>
      <c r="M32" s="7"/>
    </row>
    <row r="33" spans="9:13" ht="28.8" customHeight="1" thickBot="1" x14ac:dyDescent="0.35">
      <c r="I33" s="75"/>
      <c r="J33" s="92"/>
      <c r="K33" s="86"/>
      <c r="L33" s="86"/>
      <c r="M33" s="7"/>
    </row>
    <row r="34" spans="9:13" ht="28.8" customHeight="1" thickBot="1" x14ac:dyDescent="0.35">
      <c r="I34" s="75"/>
      <c r="J34" s="347" t="s">
        <v>370</v>
      </c>
      <c r="K34" s="86"/>
      <c r="L34" s="50"/>
      <c r="M34" s="7"/>
    </row>
    <row r="35" spans="9:13" ht="28.8" customHeight="1" x14ac:dyDescent="0.3">
      <c r="I35" s="75"/>
      <c r="J35" s="70"/>
      <c r="K35" s="86"/>
      <c r="L35" s="86"/>
      <c r="M35" s="7"/>
    </row>
    <row r="36" spans="9:13" ht="28.8" customHeight="1" thickBot="1" x14ac:dyDescent="0.35">
      <c r="I36" s="87"/>
      <c r="J36" s="88"/>
      <c r="K36" s="88"/>
      <c r="L36" s="88"/>
      <c r="M36" s="89"/>
    </row>
    <row r="37" spans="9:13" ht="28.8" customHeight="1" x14ac:dyDescent="0.3">
      <c r="I37" s="90"/>
      <c r="J37" s="90"/>
      <c r="K37" s="90"/>
      <c r="L37" s="90"/>
      <c r="M37" s="90"/>
    </row>
    <row r="38" spans="9:13" ht="28.8" customHeight="1" x14ac:dyDescent="0.3">
      <c r="I38" s="90"/>
      <c r="J38" s="90"/>
      <c r="K38" s="90"/>
      <c r="L38" s="90"/>
      <c r="M38" s="90"/>
    </row>
    <row r="39" spans="9:13" ht="28.8" customHeight="1" x14ac:dyDescent="0.3">
      <c r="I39" s="90"/>
      <c r="J39" s="90"/>
      <c r="K39" s="90"/>
      <c r="L39" s="90"/>
      <c r="M39" s="90"/>
    </row>
    <row r="40" spans="9:13" ht="28.8" customHeight="1" x14ac:dyDescent="0.3">
      <c r="I40" s="90"/>
      <c r="J40" s="90"/>
      <c r="K40" s="90"/>
      <c r="L40" s="90"/>
      <c r="M40" s="90"/>
    </row>
    <row r="41" spans="9:13" ht="28.8" customHeight="1" x14ac:dyDescent="0.3">
      <c r="I41" s="90"/>
      <c r="J41" s="90"/>
      <c r="K41" s="90"/>
      <c r="L41" s="90"/>
      <c r="M41" s="90"/>
    </row>
    <row r="42" spans="9:13" ht="28.8" customHeight="1" x14ac:dyDescent="0.3"/>
    <row r="43" spans="9:13" ht="28.8" customHeight="1" x14ac:dyDescent="0.3"/>
    <row r="44" spans="9:13" ht="28.8" customHeight="1" x14ac:dyDescent="0.3"/>
    <row r="45" spans="9:13" ht="28.8" customHeight="1" x14ac:dyDescent="0.3"/>
    <row r="46" spans="9:13" ht="28.8" customHeight="1" x14ac:dyDescent="0.3"/>
    <row r="47" spans="9:13" ht="28.8" customHeight="1" x14ac:dyDescent="0.3"/>
    <row r="48" spans="9:13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I15:M1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05214-C487-4973-BEC2-B5A04CCEF868}">
  <sheetPr codeName="Planilha44">
    <tabColor rgb="FF7030A0"/>
  </sheetPr>
  <dimension ref="A1:AW66"/>
  <sheetViews>
    <sheetView zoomScale="40" zoomScaleNormal="40" workbookViewId="0">
      <selection activeCell="E35" sqref="E35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23.21875" style="126" bestFit="1" customWidth="1"/>
    <col min="7" max="7" width="26" style="126" bestFit="1" customWidth="1"/>
    <col min="8" max="8" width="25.6640625" style="126" bestFit="1" customWidth="1"/>
    <col min="9" max="9" width="22.88671875" style="126" bestFit="1" customWidth="1"/>
    <col min="10" max="10" width="27.88671875" style="126" bestFit="1" customWidth="1"/>
    <col min="11" max="11" width="36.77734375" style="126" bestFit="1" customWidth="1"/>
    <col min="12" max="12" width="25.44140625" style="126" bestFit="1" customWidth="1"/>
    <col min="13" max="13" width="29" style="126" bestFit="1" customWidth="1"/>
    <col min="14" max="14" width="47.88671875" style="126" bestFit="1" customWidth="1"/>
    <col min="15" max="15" width="29.33203125" style="126" customWidth="1"/>
    <col min="16" max="16" width="73.4414062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thickBot="1" x14ac:dyDescent="0.35"/>
    <row r="12" spans="1:49" ht="28.8" customHeight="1" x14ac:dyDescent="0.4">
      <c r="H12" s="332" t="s">
        <v>372</v>
      </c>
      <c r="I12" s="333"/>
      <c r="J12" s="333"/>
      <c r="K12" s="333"/>
      <c r="L12" s="334"/>
      <c r="N12" s="350" t="s">
        <v>374</v>
      </c>
      <c r="O12" s="350" t="s">
        <v>283</v>
      </c>
    </row>
    <row r="13" spans="1:49" ht="28.8" customHeight="1" thickBot="1" x14ac:dyDescent="0.4">
      <c r="H13" s="335"/>
      <c r="I13" s="336"/>
      <c r="J13" s="336"/>
      <c r="K13" s="336"/>
      <c r="L13" s="337"/>
      <c r="N13" s="351" t="s">
        <v>401</v>
      </c>
      <c r="O13" s="352">
        <v>16700</v>
      </c>
    </row>
    <row r="14" spans="1:49" ht="28.8" customHeight="1" thickBot="1" x14ac:dyDescent="0.35">
      <c r="H14" s="8"/>
      <c r="I14" s="62"/>
      <c r="J14" s="62"/>
      <c r="K14" s="62"/>
      <c r="L14" s="63"/>
      <c r="N14" s="68"/>
    </row>
    <row r="15" spans="1:49" ht="28.8" customHeight="1" thickBot="1" x14ac:dyDescent="0.4">
      <c r="H15" s="8"/>
      <c r="I15" s="354" t="s">
        <v>375</v>
      </c>
      <c r="J15" s="62"/>
      <c r="K15" s="60"/>
      <c r="L15" s="63"/>
      <c r="N15" s="68"/>
    </row>
    <row r="16" spans="1:49" ht="28.8" customHeight="1" thickBot="1" x14ac:dyDescent="0.45">
      <c r="H16" s="8"/>
      <c r="I16" s="354" t="s">
        <v>13</v>
      </c>
      <c r="J16" s="62"/>
      <c r="K16" s="62"/>
      <c r="L16" s="63"/>
      <c r="N16" s="350" t="s">
        <v>402</v>
      </c>
    </row>
    <row r="17" spans="8:15" ht="28.8" customHeight="1" thickBot="1" x14ac:dyDescent="0.4">
      <c r="H17" s="8"/>
      <c r="I17" s="354" t="s">
        <v>282</v>
      </c>
      <c r="J17" s="62"/>
      <c r="K17" s="60"/>
      <c r="L17" s="63"/>
      <c r="N17" s="353">
        <v>20</v>
      </c>
      <c r="O17" s="1"/>
    </row>
    <row r="18" spans="8:15" ht="28.8" customHeight="1" thickBot="1" x14ac:dyDescent="0.4">
      <c r="H18" s="8"/>
      <c r="I18" s="354" t="s">
        <v>13</v>
      </c>
      <c r="J18" s="62"/>
      <c r="K18" s="62"/>
      <c r="L18" s="63"/>
    </row>
    <row r="19" spans="8:15" ht="28.8" customHeight="1" thickBot="1" x14ac:dyDescent="0.4">
      <c r="H19" s="8"/>
      <c r="I19" s="354" t="s">
        <v>373</v>
      </c>
      <c r="J19" s="62"/>
      <c r="K19" s="60"/>
      <c r="L19" s="63"/>
    </row>
    <row r="20" spans="8:15" ht="28.8" customHeight="1" thickBot="1" x14ac:dyDescent="0.4">
      <c r="H20" s="8"/>
      <c r="I20" s="354" t="s">
        <v>13</v>
      </c>
      <c r="J20" s="62"/>
      <c r="K20" s="62"/>
      <c r="L20" s="63"/>
    </row>
    <row r="21" spans="8:15" ht="28.8" customHeight="1" thickBot="1" x14ac:dyDescent="0.4">
      <c r="H21" s="8"/>
      <c r="I21" s="354" t="s">
        <v>403</v>
      </c>
      <c r="J21" s="62"/>
      <c r="K21" s="60"/>
      <c r="L21" s="63"/>
    </row>
    <row r="22" spans="8:15" ht="28.8" customHeight="1" x14ac:dyDescent="0.3">
      <c r="H22" s="8"/>
      <c r="I22" s="70"/>
      <c r="J22" s="62"/>
      <c r="K22" s="62"/>
      <c r="L22" s="63"/>
    </row>
    <row r="23" spans="8:15" ht="28.8" customHeight="1" x14ac:dyDescent="0.3">
      <c r="H23" s="8"/>
      <c r="I23" s="86"/>
      <c r="J23" s="62"/>
      <c r="K23" s="348"/>
      <c r="L23" s="63"/>
    </row>
    <row r="24" spans="8:15" ht="28.8" customHeight="1" x14ac:dyDescent="0.3">
      <c r="H24" s="8"/>
      <c r="I24" s="86"/>
      <c r="J24" s="62"/>
      <c r="K24" s="62"/>
      <c r="L24" s="63"/>
    </row>
    <row r="25" spans="8:15" ht="28.8" customHeight="1" x14ac:dyDescent="0.3">
      <c r="H25" s="8"/>
      <c r="I25" s="86"/>
      <c r="J25" s="62"/>
      <c r="K25" s="62"/>
      <c r="L25" s="63"/>
    </row>
    <row r="26" spans="8:15" ht="28.8" customHeight="1" x14ac:dyDescent="0.3">
      <c r="H26" s="8"/>
      <c r="I26" s="86"/>
      <c r="J26" s="62"/>
      <c r="K26" s="62"/>
      <c r="L26" s="63"/>
    </row>
    <row r="27" spans="8:15" ht="28.8" customHeight="1" thickBot="1" x14ac:dyDescent="0.35">
      <c r="H27" s="64"/>
      <c r="I27" s="88"/>
      <c r="J27" s="65"/>
      <c r="K27" s="349"/>
      <c r="L27" s="66"/>
    </row>
    <row r="28" spans="8:15" ht="28.8" customHeight="1" x14ac:dyDescent="0.3"/>
    <row r="29" spans="8:15" ht="28.8" customHeight="1" x14ac:dyDescent="0.3"/>
    <row r="30" spans="8:15" ht="28.8" customHeight="1" x14ac:dyDescent="0.3"/>
    <row r="31" spans="8:15" ht="28.8" customHeight="1" x14ac:dyDescent="0.3"/>
    <row r="32" spans="8:15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H12:L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0651F-3075-4BEC-914E-DE878730F15C}">
  <sheetPr codeName="Planilha48">
    <tabColor rgb="FFFF0000"/>
  </sheetPr>
  <dimension ref="A1:AW66"/>
  <sheetViews>
    <sheetView zoomScale="40" zoomScaleNormal="40" workbookViewId="0">
      <selection activeCell="N29" sqref="N29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23.21875" style="126" bestFit="1" customWidth="1"/>
    <col min="7" max="7" width="26" style="126" customWidth="1"/>
    <col min="8" max="8" width="15.33203125" style="126" customWidth="1"/>
    <col min="9" max="9" width="22.88671875" style="126" bestFit="1" customWidth="1"/>
    <col min="10" max="10" width="27.88671875" style="126" bestFit="1" customWidth="1"/>
    <col min="11" max="11" width="29.5546875" style="126" customWidth="1"/>
    <col min="12" max="12" width="43.77734375" style="126" customWidth="1"/>
    <col min="13" max="13" width="19.21875" style="126" customWidth="1"/>
    <col min="14" max="14" width="47.88671875" style="126" bestFit="1" customWidth="1"/>
    <col min="15" max="15" width="29.33203125" style="126" customWidth="1"/>
    <col min="16" max="16" width="73.4414062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thickBot="1" x14ac:dyDescent="0.35"/>
    <row r="12" spans="1:49" ht="28.8" customHeight="1" x14ac:dyDescent="0.3">
      <c r="H12" s="332" t="s">
        <v>577</v>
      </c>
      <c r="I12" s="333"/>
      <c r="J12" s="333"/>
      <c r="K12" s="333"/>
      <c r="L12" s="333"/>
      <c r="M12" s="334"/>
    </row>
    <row r="13" spans="1:49" ht="28.8" customHeight="1" x14ac:dyDescent="0.3">
      <c r="H13" s="338"/>
      <c r="I13" s="339"/>
      <c r="J13" s="339"/>
      <c r="K13" s="339"/>
      <c r="L13" s="339"/>
      <c r="M13" s="340"/>
    </row>
    <row r="14" spans="1:49" ht="28.8" customHeight="1" x14ac:dyDescent="0.3">
      <c r="H14" s="109"/>
      <c r="I14" s="98"/>
      <c r="J14" s="98"/>
      <c r="K14" s="98"/>
      <c r="L14" s="98"/>
      <c r="M14" s="110"/>
    </row>
    <row r="15" spans="1:49" ht="28.8" customHeight="1" x14ac:dyDescent="0.4">
      <c r="H15" s="111"/>
      <c r="I15" s="432" t="s">
        <v>376</v>
      </c>
      <c r="J15" s="99"/>
      <c r="K15" s="99"/>
      <c r="L15" s="100"/>
      <c r="M15" s="112"/>
    </row>
    <row r="16" spans="1:49" ht="28.8" customHeight="1" x14ac:dyDescent="0.4">
      <c r="H16" s="111"/>
      <c r="I16" s="433"/>
      <c r="J16" s="99"/>
      <c r="K16" s="99"/>
      <c r="L16" s="101"/>
      <c r="M16" s="112"/>
    </row>
    <row r="17" spans="8:13" ht="28.8" customHeight="1" x14ac:dyDescent="0.4">
      <c r="H17" s="113"/>
      <c r="I17" s="434" t="s">
        <v>377</v>
      </c>
      <c r="J17" s="102"/>
      <c r="K17" s="103"/>
      <c r="L17" s="104"/>
      <c r="M17" s="114"/>
    </row>
    <row r="18" spans="8:13" ht="28.8" customHeight="1" x14ac:dyDescent="0.4">
      <c r="H18" s="113"/>
      <c r="I18" s="434"/>
      <c r="J18" s="102"/>
      <c r="K18" s="103"/>
      <c r="L18" s="103"/>
      <c r="M18" s="114"/>
    </row>
    <row r="19" spans="8:13" ht="28.8" customHeight="1" x14ac:dyDescent="0.4">
      <c r="H19" s="113"/>
      <c r="I19" s="434" t="s">
        <v>365</v>
      </c>
      <c r="J19" s="102"/>
      <c r="K19" s="103"/>
      <c r="L19" s="105"/>
      <c r="M19" s="114"/>
    </row>
    <row r="20" spans="8:13" ht="28.8" customHeight="1" x14ac:dyDescent="0.35">
      <c r="H20" s="113"/>
      <c r="I20" s="435"/>
      <c r="J20" s="103"/>
      <c r="K20" s="103"/>
      <c r="L20" s="103"/>
      <c r="M20" s="114"/>
    </row>
    <row r="21" spans="8:13" ht="28.8" customHeight="1" x14ac:dyDescent="0.4">
      <c r="H21" s="113"/>
      <c r="I21" s="434" t="s">
        <v>36</v>
      </c>
      <c r="J21" s="103"/>
      <c r="K21" s="103"/>
      <c r="L21" s="106"/>
      <c r="M21" s="114"/>
    </row>
    <row r="22" spans="8:13" ht="28.8" customHeight="1" x14ac:dyDescent="0.35">
      <c r="H22" s="113"/>
      <c r="I22" s="435"/>
      <c r="J22" s="103"/>
      <c r="K22" s="103"/>
      <c r="L22" s="103"/>
      <c r="M22" s="114"/>
    </row>
    <row r="23" spans="8:13" ht="28.8" customHeight="1" x14ac:dyDescent="0.4">
      <c r="H23" s="113"/>
      <c r="I23" s="434" t="s">
        <v>35</v>
      </c>
      <c r="J23" s="103"/>
      <c r="K23" s="103"/>
      <c r="L23" s="104"/>
      <c r="M23" s="114"/>
    </row>
    <row r="24" spans="8:13" ht="28.8" customHeight="1" x14ac:dyDescent="0.35">
      <c r="H24" s="113"/>
      <c r="I24" s="435"/>
      <c r="J24" s="103"/>
      <c r="K24" s="103"/>
      <c r="L24" s="103"/>
      <c r="M24" s="114"/>
    </row>
    <row r="25" spans="8:13" ht="28.8" customHeight="1" x14ac:dyDescent="0.4">
      <c r="H25" s="113"/>
      <c r="I25" s="434" t="s">
        <v>378</v>
      </c>
      <c r="J25" s="103"/>
      <c r="K25" s="103"/>
      <c r="L25" s="104"/>
      <c r="M25" s="114"/>
    </row>
    <row r="26" spans="8:13" ht="28.8" customHeight="1" x14ac:dyDescent="0.35">
      <c r="H26" s="113"/>
      <c r="I26" s="435"/>
      <c r="J26" s="103"/>
      <c r="K26" s="107"/>
      <c r="L26" s="107"/>
      <c r="M26" s="115"/>
    </row>
    <row r="27" spans="8:13" ht="28.8" customHeight="1" x14ac:dyDescent="0.4">
      <c r="H27" s="113"/>
      <c r="I27" s="434" t="s">
        <v>379</v>
      </c>
      <c r="J27" s="103"/>
      <c r="K27" s="107"/>
      <c r="L27" s="108"/>
      <c r="M27" s="115"/>
    </row>
    <row r="28" spans="8:13" ht="28.8" customHeight="1" x14ac:dyDescent="0.4">
      <c r="H28" s="111"/>
      <c r="I28" s="433"/>
      <c r="J28" s="99"/>
      <c r="K28" s="99"/>
      <c r="L28" s="101"/>
      <c r="M28" s="112"/>
    </row>
    <row r="29" spans="8:13" ht="28.8" customHeight="1" x14ac:dyDescent="0.4">
      <c r="H29" s="113"/>
      <c r="I29" s="434" t="s">
        <v>380</v>
      </c>
      <c r="J29" s="103"/>
      <c r="K29" s="107"/>
      <c r="L29" s="108"/>
      <c r="M29" s="115"/>
    </row>
    <row r="30" spans="8:13" ht="28.8" customHeight="1" x14ac:dyDescent="0.35">
      <c r="H30" s="113"/>
      <c r="I30" s="435"/>
      <c r="J30" s="103"/>
      <c r="K30" s="107"/>
      <c r="L30" s="107"/>
      <c r="M30" s="115"/>
    </row>
    <row r="31" spans="8:13" ht="28.8" customHeight="1" x14ac:dyDescent="0.4">
      <c r="H31" s="113"/>
      <c r="I31" s="434" t="s">
        <v>381</v>
      </c>
      <c r="J31" s="103"/>
      <c r="K31" s="107"/>
      <c r="L31" s="120"/>
      <c r="M31" s="115"/>
    </row>
    <row r="32" spans="8:13" ht="28.8" customHeight="1" x14ac:dyDescent="0.3">
      <c r="H32" s="113"/>
      <c r="I32" s="103"/>
      <c r="J32" s="103"/>
      <c r="K32" s="107"/>
      <c r="L32" s="107"/>
      <c r="M32" s="115"/>
    </row>
    <row r="33" spans="8:13" ht="28.8" customHeight="1" x14ac:dyDescent="0.3">
      <c r="H33" s="113"/>
      <c r="I33" s="103"/>
      <c r="J33" s="103"/>
      <c r="K33" s="107"/>
      <c r="L33" s="107"/>
      <c r="M33" s="115"/>
    </row>
    <row r="34" spans="8:13" ht="28.8" customHeight="1" x14ac:dyDescent="0.3">
      <c r="H34" s="113"/>
      <c r="I34" s="103"/>
      <c r="J34" s="103"/>
      <c r="K34" s="107"/>
      <c r="L34" s="107"/>
      <c r="M34" s="115"/>
    </row>
    <row r="35" spans="8:13" ht="28.8" customHeight="1" x14ac:dyDescent="0.3">
      <c r="H35" s="113"/>
      <c r="I35" s="103"/>
      <c r="J35" s="103"/>
      <c r="K35" s="107"/>
      <c r="L35" s="107"/>
      <c r="M35" s="115"/>
    </row>
    <row r="36" spans="8:13" ht="28.8" customHeight="1" thickBot="1" x14ac:dyDescent="0.35">
      <c r="H36" s="116"/>
      <c r="I36" s="117"/>
      <c r="J36" s="117"/>
      <c r="K36" s="118"/>
      <c r="L36" s="118"/>
      <c r="M36" s="119"/>
    </row>
    <row r="37" spans="8:13" ht="28.8" customHeight="1" x14ac:dyDescent="0.3"/>
    <row r="38" spans="8:13" ht="28.8" customHeight="1" x14ac:dyDescent="0.3"/>
    <row r="39" spans="8:13" ht="28.8" customHeight="1" x14ac:dyDescent="0.3"/>
    <row r="40" spans="8:13" ht="28.8" customHeight="1" x14ac:dyDescent="0.3"/>
    <row r="41" spans="8:13" ht="28.8" customHeight="1" x14ac:dyDescent="0.3"/>
    <row r="42" spans="8:13" ht="28.8" customHeight="1" x14ac:dyDescent="0.3"/>
    <row r="43" spans="8:13" ht="28.8" customHeight="1" x14ac:dyDescent="0.3"/>
    <row r="44" spans="8:13" ht="28.8" customHeight="1" x14ac:dyDescent="0.3"/>
    <row r="45" spans="8:13" ht="28.8" customHeight="1" x14ac:dyDescent="0.3"/>
    <row r="46" spans="8:13" ht="28.8" customHeight="1" x14ac:dyDescent="0.3"/>
    <row r="47" spans="8:13" ht="28.8" customHeight="1" x14ac:dyDescent="0.3"/>
    <row r="48" spans="8:13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C5C6A-8C0E-4405-A174-DC3F4C6123B9}">
  <sheetPr codeName="Planilha49">
    <tabColor rgb="FFFF0000"/>
  </sheetPr>
  <dimension ref="A1:AW66"/>
  <sheetViews>
    <sheetView zoomScale="40" zoomScaleNormal="40" workbookViewId="0">
      <selection activeCell="O24" sqref="O24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23.21875" style="126" bestFit="1" customWidth="1"/>
    <col min="7" max="7" width="26" style="126" customWidth="1"/>
    <col min="8" max="8" width="15.33203125" style="126" customWidth="1"/>
    <col min="9" max="9" width="22.88671875" style="126" bestFit="1" customWidth="1"/>
    <col min="10" max="10" width="27.88671875" style="126" bestFit="1" customWidth="1"/>
    <col min="11" max="11" width="29.5546875" style="126" customWidth="1"/>
    <col min="12" max="12" width="40.44140625" style="126" customWidth="1"/>
    <col min="13" max="13" width="19.21875" style="126" customWidth="1"/>
    <col min="14" max="14" width="47.88671875" style="126" bestFit="1" customWidth="1"/>
    <col min="15" max="15" width="29.33203125" style="126" customWidth="1"/>
    <col min="16" max="16" width="73.4414062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thickBot="1" x14ac:dyDescent="0.35"/>
    <row r="12" spans="1:49" ht="28.8" customHeight="1" x14ac:dyDescent="0.3">
      <c r="H12" s="332" t="s">
        <v>382</v>
      </c>
      <c r="I12" s="333"/>
      <c r="J12" s="333"/>
      <c r="K12" s="333"/>
      <c r="L12" s="333"/>
      <c r="M12" s="334"/>
    </row>
    <row r="13" spans="1:49" ht="28.8" customHeight="1" x14ac:dyDescent="0.3">
      <c r="H13" s="338"/>
      <c r="I13" s="339"/>
      <c r="J13" s="339"/>
      <c r="K13" s="339"/>
      <c r="L13" s="339"/>
      <c r="M13" s="340"/>
    </row>
    <row r="14" spans="1:49" ht="28.8" customHeight="1" x14ac:dyDescent="0.3">
      <c r="H14" s="109"/>
      <c r="I14" s="98"/>
      <c r="J14" s="98"/>
      <c r="K14" s="98"/>
      <c r="L14" s="98"/>
      <c r="M14" s="110"/>
    </row>
    <row r="15" spans="1:49" ht="28.8" customHeight="1" x14ac:dyDescent="0.4">
      <c r="H15" s="111"/>
      <c r="I15" s="432" t="s">
        <v>376</v>
      </c>
      <c r="J15" s="99"/>
      <c r="K15" s="99"/>
      <c r="L15" s="100"/>
      <c r="M15" s="112"/>
    </row>
    <row r="16" spans="1:49" ht="28.8" customHeight="1" x14ac:dyDescent="0.4">
      <c r="H16" s="111"/>
      <c r="I16" s="433"/>
      <c r="J16" s="99"/>
      <c r="K16" s="99"/>
      <c r="L16" s="101"/>
      <c r="M16" s="112"/>
    </row>
    <row r="17" spans="8:13" ht="28.8" customHeight="1" x14ac:dyDescent="0.4">
      <c r="H17" s="113"/>
      <c r="I17" s="434" t="s">
        <v>377</v>
      </c>
      <c r="J17" s="102"/>
      <c r="K17" s="103"/>
      <c r="L17" s="104"/>
      <c r="M17" s="114"/>
    </row>
    <row r="18" spans="8:13" ht="28.8" customHeight="1" x14ac:dyDescent="0.4">
      <c r="H18" s="113"/>
      <c r="I18" s="434"/>
      <c r="J18" s="102"/>
      <c r="K18" s="103"/>
      <c r="L18" s="103"/>
      <c r="M18" s="114"/>
    </row>
    <row r="19" spans="8:13" ht="28.8" customHeight="1" x14ac:dyDescent="0.4">
      <c r="H19" s="113"/>
      <c r="I19" s="434" t="s">
        <v>365</v>
      </c>
      <c r="J19" s="102"/>
      <c r="K19" s="103"/>
      <c r="L19" s="105"/>
      <c r="M19" s="114"/>
    </row>
    <row r="20" spans="8:13" ht="28.8" customHeight="1" x14ac:dyDescent="0.35">
      <c r="H20" s="113"/>
      <c r="I20" s="435"/>
      <c r="J20" s="103"/>
      <c r="K20" s="103"/>
      <c r="L20" s="103"/>
      <c r="M20" s="114"/>
    </row>
    <row r="21" spans="8:13" ht="28.8" customHeight="1" x14ac:dyDescent="0.4">
      <c r="H21" s="113"/>
      <c r="I21" s="434" t="s">
        <v>36</v>
      </c>
      <c r="J21" s="103"/>
      <c r="K21" s="103"/>
      <c r="L21" s="106"/>
      <c r="M21" s="114"/>
    </row>
    <row r="22" spans="8:13" ht="28.8" customHeight="1" x14ac:dyDescent="0.35">
      <c r="H22" s="113"/>
      <c r="I22" s="435"/>
      <c r="J22" s="103"/>
      <c r="K22" s="103"/>
      <c r="L22" s="103"/>
      <c r="M22" s="114"/>
    </row>
    <row r="23" spans="8:13" ht="28.8" customHeight="1" x14ac:dyDescent="0.4">
      <c r="H23" s="113"/>
      <c r="I23" s="434" t="s">
        <v>35</v>
      </c>
      <c r="J23" s="103"/>
      <c r="K23" s="103"/>
      <c r="L23" s="104"/>
      <c r="M23" s="114"/>
    </row>
    <row r="24" spans="8:13" ht="28.8" customHeight="1" x14ac:dyDescent="0.35">
      <c r="H24" s="113"/>
      <c r="I24" s="435"/>
      <c r="J24" s="103"/>
      <c r="K24" s="103"/>
      <c r="L24" s="103"/>
      <c r="M24" s="114"/>
    </row>
    <row r="25" spans="8:13" ht="28.8" customHeight="1" x14ac:dyDescent="0.4">
      <c r="H25" s="113"/>
      <c r="I25" s="434" t="s">
        <v>378</v>
      </c>
      <c r="J25" s="103"/>
      <c r="K25" s="103"/>
      <c r="L25" s="104"/>
      <c r="M25" s="114"/>
    </row>
    <row r="26" spans="8:13" ht="28.8" customHeight="1" x14ac:dyDescent="0.35">
      <c r="H26" s="113"/>
      <c r="I26" s="435"/>
      <c r="J26" s="103"/>
      <c r="K26" s="107"/>
      <c r="L26" s="107"/>
      <c r="M26" s="115"/>
    </row>
    <row r="27" spans="8:13" ht="28.8" customHeight="1" x14ac:dyDescent="0.4">
      <c r="H27" s="113"/>
      <c r="I27" s="434" t="s">
        <v>379</v>
      </c>
      <c r="J27" s="103"/>
      <c r="K27" s="107"/>
      <c r="L27" s="108"/>
      <c r="M27" s="115"/>
    </row>
    <row r="28" spans="8:13" ht="28.8" customHeight="1" x14ac:dyDescent="0.4">
      <c r="H28" s="111"/>
      <c r="I28" s="433"/>
      <c r="J28" s="99"/>
      <c r="K28" s="99"/>
      <c r="L28" s="101"/>
      <c r="M28" s="112"/>
    </row>
    <row r="29" spans="8:13" ht="28.8" customHeight="1" x14ac:dyDescent="0.4">
      <c r="H29" s="113"/>
      <c r="I29" s="434" t="s">
        <v>380</v>
      </c>
      <c r="J29" s="103"/>
      <c r="K29" s="107"/>
      <c r="L29" s="108"/>
      <c r="M29" s="115"/>
    </row>
    <row r="30" spans="8:13" ht="28.8" customHeight="1" x14ac:dyDescent="0.35">
      <c r="H30" s="113"/>
      <c r="I30" s="435"/>
      <c r="J30" s="103"/>
      <c r="K30" s="107"/>
      <c r="L30" s="107"/>
      <c r="M30" s="115"/>
    </row>
    <row r="31" spans="8:13" ht="28.8" customHeight="1" x14ac:dyDescent="0.4">
      <c r="H31" s="113"/>
      <c r="I31" s="434" t="s">
        <v>381</v>
      </c>
      <c r="J31" s="103"/>
      <c r="K31" s="107"/>
      <c r="L31" s="120"/>
      <c r="M31" s="115"/>
    </row>
    <row r="32" spans="8:13" ht="28.8" customHeight="1" x14ac:dyDescent="0.3">
      <c r="H32" s="113"/>
      <c r="I32" s="103"/>
      <c r="J32" s="103"/>
      <c r="K32" s="107"/>
      <c r="L32" s="107"/>
      <c r="M32" s="115"/>
    </row>
    <row r="33" spans="8:13" ht="28.8" customHeight="1" thickBot="1" x14ac:dyDescent="0.35">
      <c r="H33" s="116"/>
      <c r="I33" s="117"/>
      <c r="J33" s="117"/>
      <c r="K33" s="118"/>
      <c r="L33" s="118"/>
      <c r="M33" s="119"/>
    </row>
    <row r="34" spans="8:13" ht="28.8" customHeight="1" x14ac:dyDescent="0.3"/>
    <row r="35" spans="8:13" ht="28.8" customHeight="1" x14ac:dyDescent="0.3"/>
    <row r="36" spans="8:13" ht="28.8" customHeight="1" x14ac:dyDescent="0.3"/>
    <row r="37" spans="8:13" ht="28.8" customHeight="1" x14ac:dyDescent="0.3"/>
    <row r="38" spans="8:13" ht="28.8" customHeight="1" x14ac:dyDescent="0.3"/>
    <row r="39" spans="8:13" ht="28.8" customHeight="1" x14ac:dyDescent="0.3"/>
    <row r="40" spans="8:13" ht="28.8" customHeight="1" x14ac:dyDescent="0.3"/>
    <row r="41" spans="8:13" ht="28.8" customHeight="1" x14ac:dyDescent="0.3"/>
    <row r="42" spans="8:13" ht="28.8" customHeight="1" x14ac:dyDescent="0.3"/>
    <row r="43" spans="8:13" ht="28.8" customHeight="1" x14ac:dyDescent="0.3"/>
    <row r="44" spans="8:13" ht="28.8" customHeight="1" x14ac:dyDescent="0.3"/>
    <row r="45" spans="8:13" ht="28.8" customHeight="1" x14ac:dyDescent="0.3"/>
    <row r="46" spans="8:13" ht="28.8" customHeight="1" x14ac:dyDescent="0.3"/>
    <row r="47" spans="8:13" ht="28.8" customHeight="1" x14ac:dyDescent="0.3"/>
    <row r="48" spans="8:13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F71D8-40D0-488A-A648-AE8BE23837A6}">
  <sheetPr codeName="Planilha50">
    <tabColor rgb="FFFF0000"/>
  </sheetPr>
  <dimension ref="A1:AW66"/>
  <sheetViews>
    <sheetView zoomScale="40" zoomScaleNormal="40" workbookViewId="0">
      <selection activeCell="I15" sqref="I15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23.21875" style="126" bestFit="1" customWidth="1"/>
    <col min="7" max="7" width="26" style="126" customWidth="1"/>
    <col min="8" max="8" width="15.33203125" style="126" customWidth="1"/>
    <col min="9" max="9" width="22.88671875" style="126" bestFit="1" customWidth="1"/>
    <col min="10" max="10" width="27.88671875" style="126" bestFit="1" customWidth="1"/>
    <col min="11" max="11" width="29.5546875" style="126" customWidth="1"/>
    <col min="12" max="12" width="40.44140625" style="126" customWidth="1"/>
    <col min="13" max="13" width="19.21875" style="126" customWidth="1"/>
    <col min="14" max="14" width="47.88671875" style="126" bestFit="1" customWidth="1"/>
    <col min="15" max="15" width="29.33203125" style="126" customWidth="1"/>
    <col min="16" max="16" width="73.4414062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thickBot="1" x14ac:dyDescent="0.35"/>
    <row r="12" spans="1:49" ht="28.8" customHeight="1" x14ac:dyDescent="0.3">
      <c r="H12" s="332" t="s">
        <v>578</v>
      </c>
      <c r="I12" s="333"/>
      <c r="J12" s="333"/>
      <c r="K12" s="333"/>
      <c r="L12" s="333"/>
      <c r="M12" s="334"/>
    </row>
    <row r="13" spans="1:49" ht="28.8" customHeight="1" x14ac:dyDescent="0.3">
      <c r="H13" s="338"/>
      <c r="I13" s="339"/>
      <c r="J13" s="339"/>
      <c r="K13" s="339"/>
      <c r="L13" s="339"/>
      <c r="M13" s="340"/>
    </row>
    <row r="14" spans="1:49" ht="28.8" customHeight="1" x14ac:dyDescent="0.3">
      <c r="H14" s="109"/>
      <c r="I14" s="98"/>
      <c r="J14" s="98"/>
      <c r="K14" s="98"/>
      <c r="L14" s="98"/>
      <c r="M14" s="110"/>
    </row>
    <row r="15" spans="1:49" ht="28.8" customHeight="1" x14ac:dyDescent="0.4">
      <c r="H15" s="111"/>
      <c r="I15" s="432" t="s">
        <v>383</v>
      </c>
      <c r="J15" s="433"/>
      <c r="K15" s="99"/>
      <c r="L15" s="100"/>
      <c r="M15" s="112"/>
    </row>
    <row r="16" spans="1:49" ht="28.8" customHeight="1" x14ac:dyDescent="0.4">
      <c r="H16" s="111"/>
      <c r="I16" s="432"/>
      <c r="J16" s="433"/>
      <c r="K16" s="99"/>
      <c r="L16" s="101"/>
      <c r="M16" s="112"/>
    </row>
    <row r="17" spans="8:13" ht="28.8" customHeight="1" x14ac:dyDescent="0.4">
      <c r="H17" s="113"/>
      <c r="I17" s="432" t="s">
        <v>384</v>
      </c>
      <c r="J17" s="434"/>
      <c r="K17" s="103"/>
      <c r="L17" s="104"/>
      <c r="M17" s="114"/>
    </row>
    <row r="18" spans="8:13" ht="28.8" customHeight="1" x14ac:dyDescent="0.4">
      <c r="H18" s="113"/>
      <c r="I18" s="432"/>
      <c r="J18" s="434"/>
      <c r="K18" s="103"/>
      <c r="L18" s="103"/>
      <c r="M18" s="114"/>
    </row>
    <row r="19" spans="8:13" ht="28.8" customHeight="1" x14ac:dyDescent="0.4">
      <c r="H19" s="113"/>
      <c r="I19" s="432" t="s">
        <v>385</v>
      </c>
      <c r="J19" s="434"/>
      <c r="K19" s="103"/>
      <c r="L19" s="105"/>
      <c r="M19" s="114"/>
    </row>
    <row r="20" spans="8:13" ht="28.8" customHeight="1" x14ac:dyDescent="0.4">
      <c r="H20" s="113"/>
      <c r="I20" s="432"/>
      <c r="J20" s="435"/>
      <c r="K20" s="103"/>
      <c r="L20" s="103"/>
      <c r="M20" s="114"/>
    </row>
    <row r="21" spans="8:13" ht="28.8" customHeight="1" x14ac:dyDescent="0.4">
      <c r="H21" s="113"/>
      <c r="I21" s="432" t="s">
        <v>386</v>
      </c>
      <c r="J21" s="435"/>
      <c r="K21" s="103"/>
      <c r="L21" s="106"/>
      <c r="M21" s="114"/>
    </row>
    <row r="22" spans="8:13" ht="28.8" customHeight="1" x14ac:dyDescent="0.35">
      <c r="H22" s="113"/>
      <c r="I22" s="436"/>
      <c r="J22" s="435"/>
      <c r="K22" s="103"/>
      <c r="L22" s="103"/>
      <c r="M22" s="114"/>
    </row>
    <row r="23" spans="8:13" ht="28.8" customHeight="1" x14ac:dyDescent="0.4">
      <c r="H23" s="113"/>
      <c r="I23" s="432" t="s">
        <v>387</v>
      </c>
      <c r="J23" s="435"/>
      <c r="K23" s="103"/>
      <c r="L23" s="104"/>
      <c r="M23" s="114"/>
    </row>
    <row r="24" spans="8:13" ht="28.8" customHeight="1" x14ac:dyDescent="0.35">
      <c r="H24" s="113"/>
      <c r="I24" s="435"/>
      <c r="J24" s="435"/>
      <c r="K24" s="103"/>
      <c r="L24" s="103"/>
      <c r="M24" s="114"/>
    </row>
    <row r="25" spans="8:13" ht="28.8" customHeight="1" x14ac:dyDescent="0.4">
      <c r="H25" s="113"/>
      <c r="I25" s="434"/>
      <c r="J25" s="435"/>
      <c r="K25" s="103"/>
      <c r="L25" s="103"/>
      <c r="M25" s="114"/>
    </row>
    <row r="26" spans="8:13" ht="28.8" customHeight="1" x14ac:dyDescent="0.35">
      <c r="H26" s="113"/>
      <c r="I26" s="435"/>
      <c r="J26" s="435"/>
      <c r="K26" s="107"/>
      <c r="L26" s="107"/>
      <c r="M26" s="115"/>
    </row>
    <row r="27" spans="8:13" ht="28.8" customHeight="1" x14ac:dyDescent="0.4">
      <c r="H27" s="113"/>
      <c r="I27" s="434"/>
      <c r="J27" s="435"/>
      <c r="K27" s="107"/>
      <c r="L27" s="107"/>
      <c r="M27" s="115"/>
    </row>
    <row r="28" spans="8:13" ht="28.8" customHeight="1" thickBot="1" x14ac:dyDescent="0.45">
      <c r="H28" s="437"/>
      <c r="I28" s="438"/>
      <c r="J28" s="439"/>
      <c r="K28" s="439"/>
      <c r="L28" s="440"/>
      <c r="M28" s="441"/>
    </row>
    <row r="29" spans="8:13" ht="28.8" customHeight="1" x14ac:dyDescent="0.3"/>
    <row r="30" spans="8:13" ht="28.8" customHeight="1" x14ac:dyDescent="0.3"/>
    <row r="31" spans="8:13" ht="28.8" customHeight="1" x14ac:dyDescent="0.3"/>
    <row r="32" spans="8:13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60566-BAFA-46F5-935C-6AE7DFC711E4}">
  <sheetPr codeName="Planilha51">
    <tabColor rgb="FFFF0000"/>
  </sheetPr>
  <dimension ref="A1:AW66"/>
  <sheetViews>
    <sheetView zoomScale="40" zoomScaleNormal="40" workbookViewId="0">
      <selection activeCell="I22" sqref="I22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23.21875" style="126" bestFit="1" customWidth="1"/>
    <col min="7" max="7" width="26" style="126" customWidth="1"/>
    <col min="8" max="8" width="15.33203125" style="126" customWidth="1"/>
    <col min="9" max="9" width="22.88671875" style="126" bestFit="1" customWidth="1"/>
    <col min="10" max="10" width="27.88671875" style="126" bestFit="1" customWidth="1"/>
    <col min="11" max="11" width="29.5546875" style="126" customWidth="1"/>
    <col min="12" max="12" width="40.44140625" style="126" customWidth="1"/>
    <col min="13" max="13" width="19.21875" style="126" customWidth="1"/>
    <col min="14" max="14" width="47.88671875" style="126" bestFit="1" customWidth="1"/>
    <col min="15" max="15" width="29.33203125" style="126" customWidth="1"/>
    <col min="16" max="16" width="73.4414062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thickBot="1" x14ac:dyDescent="0.35"/>
    <row r="12" spans="1:49" ht="28.8" customHeight="1" x14ac:dyDescent="0.3">
      <c r="H12" s="332" t="s">
        <v>390</v>
      </c>
      <c r="I12" s="333"/>
      <c r="J12" s="333"/>
      <c r="K12" s="333"/>
      <c r="L12" s="333"/>
      <c r="M12" s="334"/>
    </row>
    <row r="13" spans="1:49" ht="28.8" customHeight="1" x14ac:dyDescent="0.3">
      <c r="H13" s="338"/>
      <c r="I13" s="339"/>
      <c r="J13" s="339"/>
      <c r="K13" s="339"/>
      <c r="L13" s="339"/>
      <c r="M13" s="340"/>
    </row>
    <row r="14" spans="1:49" ht="28.8" customHeight="1" x14ac:dyDescent="0.3">
      <c r="H14" s="109"/>
      <c r="I14" s="98"/>
      <c r="J14" s="98"/>
      <c r="K14" s="98"/>
      <c r="L14" s="98"/>
      <c r="M14" s="110"/>
    </row>
    <row r="15" spans="1:49" ht="28.8" customHeight="1" x14ac:dyDescent="0.4">
      <c r="H15" s="111"/>
      <c r="I15" s="442" t="s">
        <v>388</v>
      </c>
      <c r="J15" s="433"/>
      <c r="K15" s="99"/>
      <c r="L15" s="100"/>
      <c r="M15" s="112"/>
    </row>
    <row r="16" spans="1:49" ht="28.8" customHeight="1" x14ac:dyDescent="0.4">
      <c r="H16" s="111"/>
      <c r="I16" s="443"/>
      <c r="J16" s="433"/>
      <c r="K16" s="99"/>
      <c r="L16" s="101"/>
      <c r="M16" s="112"/>
    </row>
    <row r="17" spans="8:13" ht="28.8" customHeight="1" x14ac:dyDescent="0.4">
      <c r="H17" s="113"/>
      <c r="I17" s="442" t="s">
        <v>389</v>
      </c>
      <c r="J17" s="434"/>
      <c r="K17" s="103"/>
      <c r="L17" s="104"/>
      <c r="M17" s="114"/>
    </row>
    <row r="18" spans="8:13" ht="28.8" customHeight="1" x14ac:dyDescent="0.4">
      <c r="H18" s="113"/>
      <c r="I18" s="444"/>
      <c r="J18" s="434"/>
      <c r="K18" s="103"/>
      <c r="L18" s="103"/>
      <c r="M18" s="114"/>
    </row>
    <row r="19" spans="8:13" ht="28.8" customHeight="1" x14ac:dyDescent="0.4">
      <c r="H19" s="113"/>
      <c r="I19" s="442" t="s">
        <v>380</v>
      </c>
      <c r="J19" s="434"/>
      <c r="K19" s="103"/>
      <c r="L19" s="105"/>
      <c r="M19" s="114"/>
    </row>
    <row r="20" spans="8:13" ht="28.8" customHeight="1" x14ac:dyDescent="0.35">
      <c r="H20" s="113"/>
      <c r="I20" s="444"/>
      <c r="J20" s="435"/>
      <c r="K20" s="103"/>
      <c r="L20" s="103"/>
      <c r="M20" s="114"/>
    </row>
    <row r="21" spans="8:13" ht="28.8" customHeight="1" x14ac:dyDescent="0.35">
      <c r="H21" s="113"/>
      <c r="I21" s="442" t="s">
        <v>225</v>
      </c>
      <c r="J21" s="435"/>
      <c r="K21" s="103"/>
      <c r="L21" s="106"/>
      <c r="M21" s="114"/>
    </row>
    <row r="22" spans="8:13" ht="28.8" customHeight="1" x14ac:dyDescent="0.35">
      <c r="H22" s="113"/>
      <c r="I22" s="436"/>
      <c r="J22" s="435"/>
      <c r="K22" s="103"/>
      <c r="L22" s="103"/>
      <c r="M22" s="114"/>
    </row>
    <row r="23" spans="8:13" ht="28.8" customHeight="1" x14ac:dyDescent="0.4">
      <c r="H23" s="113"/>
      <c r="I23" s="432"/>
      <c r="J23" s="435"/>
      <c r="K23" s="103"/>
      <c r="L23" s="103"/>
      <c r="M23" s="114"/>
    </row>
    <row r="24" spans="8:13" ht="28.8" customHeight="1" x14ac:dyDescent="0.35">
      <c r="H24" s="113"/>
      <c r="I24" s="435"/>
      <c r="J24" s="435"/>
      <c r="K24" s="103"/>
      <c r="L24" s="103"/>
      <c r="M24" s="114"/>
    </row>
    <row r="25" spans="8:13" ht="28.8" customHeight="1" x14ac:dyDescent="0.4">
      <c r="H25" s="113"/>
      <c r="I25" s="434"/>
      <c r="J25" s="435"/>
      <c r="K25" s="103"/>
      <c r="L25" s="103"/>
      <c r="M25" s="114"/>
    </row>
    <row r="26" spans="8:13" ht="28.8" customHeight="1" x14ac:dyDescent="0.35">
      <c r="H26" s="113"/>
      <c r="I26" s="435"/>
      <c r="J26" s="435"/>
      <c r="K26" s="107"/>
      <c r="L26" s="107"/>
      <c r="M26" s="115"/>
    </row>
    <row r="27" spans="8:13" ht="28.8" customHeight="1" thickBot="1" x14ac:dyDescent="0.45">
      <c r="H27" s="116"/>
      <c r="I27" s="446"/>
      <c r="J27" s="447"/>
      <c r="K27" s="118"/>
      <c r="L27" s="118"/>
      <c r="M27" s="119"/>
    </row>
    <row r="28" spans="8:13" ht="28.8" customHeight="1" x14ac:dyDescent="0.4">
      <c r="H28" s="121"/>
      <c r="I28" s="445"/>
      <c r="J28" s="121"/>
      <c r="K28" s="121"/>
      <c r="L28" s="122"/>
      <c r="M28" s="121"/>
    </row>
    <row r="29" spans="8:13" ht="28.8" customHeight="1" x14ac:dyDescent="0.3"/>
    <row r="30" spans="8:13" ht="28.8" customHeight="1" x14ac:dyDescent="0.3"/>
    <row r="31" spans="8:13" ht="28.8" customHeight="1" x14ac:dyDescent="0.3"/>
    <row r="32" spans="8:13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3FBAB-DD5D-426B-B555-6B5484FCF7F9}">
  <sheetPr codeName="Planilha52">
    <tabColor rgb="FFFF0000"/>
  </sheetPr>
  <dimension ref="A1:AW66"/>
  <sheetViews>
    <sheetView zoomScale="40" zoomScaleNormal="40" workbookViewId="0">
      <selection activeCell="I22" sqref="I22"/>
    </sheetView>
  </sheetViews>
  <sheetFormatPr defaultRowHeight="14.4" x14ac:dyDescent="0.3"/>
  <cols>
    <col min="1" max="4" width="8.88671875" style="126"/>
    <col min="5" max="5" width="32.88671875" style="126" customWidth="1"/>
    <col min="6" max="6" width="10.44140625" style="126" bestFit="1" customWidth="1"/>
    <col min="7" max="7" width="14.33203125" style="126" bestFit="1" customWidth="1"/>
    <col min="8" max="8" width="20.44140625" style="126" bestFit="1" customWidth="1"/>
    <col min="9" max="9" width="22.88671875" style="126" bestFit="1" customWidth="1"/>
    <col min="10" max="10" width="27.88671875" style="126" bestFit="1" customWidth="1"/>
    <col min="11" max="11" width="29.5546875" style="126" customWidth="1"/>
    <col min="12" max="12" width="40.44140625" style="126" customWidth="1"/>
    <col min="13" max="13" width="19.21875" style="126" customWidth="1"/>
    <col min="14" max="14" width="47.88671875" style="126" bestFit="1" customWidth="1"/>
    <col min="15" max="15" width="29.33203125" style="126" customWidth="1"/>
    <col min="16" max="16" width="73.4414062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x14ac:dyDescent="0.3">
      <c r="E11" s="178" t="s">
        <v>388</v>
      </c>
      <c r="F11" s="178" t="s">
        <v>389</v>
      </c>
      <c r="G11" s="178" t="s">
        <v>380</v>
      </c>
      <c r="H11" s="178" t="s">
        <v>225</v>
      </c>
    </row>
    <row r="12" spans="1:49" ht="28.8" customHeight="1" x14ac:dyDescent="0.4">
      <c r="H12" s="121"/>
      <c r="I12" s="445"/>
      <c r="J12" s="121"/>
      <c r="K12" s="121"/>
      <c r="L12" s="122"/>
      <c r="M12" s="121"/>
    </row>
    <row r="13" spans="1:49" ht="28.8" customHeight="1" x14ac:dyDescent="0.3"/>
    <row r="14" spans="1:49" ht="28.8" customHeight="1" x14ac:dyDescent="0.3"/>
    <row r="15" spans="1:49" ht="28.8" customHeight="1" x14ac:dyDescent="0.3"/>
    <row r="16" spans="1:49" ht="28.8" customHeight="1" x14ac:dyDescent="0.3"/>
    <row r="17" ht="28.8" customHeight="1" x14ac:dyDescent="0.3"/>
    <row r="18" ht="28.8" customHeight="1" x14ac:dyDescent="0.3"/>
    <row r="19" ht="28.8" customHeight="1" x14ac:dyDescent="0.3"/>
    <row r="20" ht="28.8" customHeight="1" x14ac:dyDescent="0.3"/>
    <row r="21" ht="28.8" customHeight="1" x14ac:dyDescent="0.3"/>
    <row r="22" ht="28.8" customHeight="1" x14ac:dyDescent="0.3"/>
    <row r="23" ht="28.8" customHeight="1" x14ac:dyDescent="0.3"/>
    <row r="24" ht="28.8" customHeight="1" x14ac:dyDescent="0.3"/>
    <row r="25" ht="28.8" customHeight="1" x14ac:dyDescent="0.3"/>
    <row r="26" ht="28.8" customHeight="1" x14ac:dyDescent="0.3"/>
    <row r="27" ht="28.8" customHeight="1" x14ac:dyDescent="0.3"/>
    <row r="28" ht="28.8" customHeight="1" x14ac:dyDescent="0.3"/>
    <row r="29" ht="28.8" customHeight="1" x14ac:dyDescent="0.3"/>
    <row r="30" ht="28.8" customHeight="1" x14ac:dyDescent="0.3"/>
    <row r="31" ht="28.8" customHeight="1" x14ac:dyDescent="0.3"/>
    <row r="32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46A4E-B804-4F37-88E8-D26CB255486A}">
  <sheetPr codeName="Planilha53">
    <tabColor rgb="FFFF0000"/>
  </sheetPr>
  <dimension ref="A1:AW66"/>
  <sheetViews>
    <sheetView zoomScale="40" zoomScaleNormal="40" workbookViewId="0">
      <selection activeCell="E17" sqref="E17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23.21875" style="126" bestFit="1" customWidth="1"/>
    <col min="7" max="7" width="26" style="126" customWidth="1"/>
    <col min="8" max="8" width="15.33203125" style="126" customWidth="1"/>
    <col min="9" max="9" width="22.88671875" style="126" bestFit="1" customWidth="1"/>
    <col min="10" max="10" width="27.88671875" style="126" bestFit="1" customWidth="1"/>
    <col min="11" max="11" width="29.5546875" style="126" customWidth="1"/>
    <col min="12" max="12" width="43.77734375" style="126" customWidth="1"/>
    <col min="13" max="13" width="19.21875" style="126" customWidth="1"/>
    <col min="14" max="14" width="47.88671875" style="126" bestFit="1" customWidth="1"/>
    <col min="15" max="15" width="29.33203125" style="126" customWidth="1"/>
    <col min="16" max="16" width="73.4414062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x14ac:dyDescent="0.3"/>
    <row r="10" spans="1:49" ht="28.8" customHeight="1" x14ac:dyDescent="0.3"/>
    <row r="11" spans="1:49" ht="28.8" customHeight="1" thickBot="1" x14ac:dyDescent="0.35"/>
    <row r="12" spans="1:49" ht="28.8" customHeight="1" x14ac:dyDescent="0.3">
      <c r="H12" s="332" t="s">
        <v>395</v>
      </c>
      <c r="I12" s="333"/>
      <c r="J12" s="333"/>
      <c r="K12" s="333"/>
      <c r="L12" s="333"/>
      <c r="M12" s="334"/>
    </row>
    <row r="13" spans="1:49" ht="28.8" customHeight="1" x14ac:dyDescent="0.3">
      <c r="H13" s="338"/>
      <c r="I13" s="339"/>
      <c r="J13" s="339"/>
      <c r="K13" s="339"/>
      <c r="L13" s="339"/>
      <c r="M13" s="340"/>
    </row>
    <row r="14" spans="1:49" ht="28.8" customHeight="1" x14ac:dyDescent="0.3">
      <c r="H14" s="109"/>
      <c r="I14" s="98"/>
      <c r="J14" s="98"/>
      <c r="K14" s="98"/>
      <c r="L14" s="98"/>
      <c r="M14" s="110"/>
    </row>
    <row r="15" spans="1:49" ht="28.8" customHeight="1" x14ac:dyDescent="0.3">
      <c r="H15" s="111"/>
      <c r="I15" s="193" t="s">
        <v>391</v>
      </c>
      <c r="J15" s="99"/>
      <c r="K15" s="99"/>
      <c r="L15" s="100"/>
      <c r="M15" s="112"/>
    </row>
    <row r="16" spans="1:49" ht="28.8" customHeight="1" x14ac:dyDescent="0.3">
      <c r="H16" s="111"/>
      <c r="I16" s="193"/>
      <c r="J16" s="99"/>
      <c r="K16" s="99"/>
      <c r="L16" s="101"/>
      <c r="M16" s="112"/>
    </row>
    <row r="17" spans="8:13" ht="28.8" customHeight="1" x14ac:dyDescent="0.3">
      <c r="H17" s="113"/>
      <c r="I17" s="193" t="s">
        <v>376</v>
      </c>
      <c r="J17" s="102"/>
      <c r="K17" s="103"/>
      <c r="L17" s="104"/>
      <c r="M17" s="114"/>
    </row>
    <row r="18" spans="8:13" ht="28.8" customHeight="1" x14ac:dyDescent="0.3">
      <c r="H18" s="113"/>
      <c r="I18" s="193"/>
      <c r="J18" s="102"/>
      <c r="K18" s="103"/>
      <c r="L18" s="103"/>
      <c r="M18" s="114"/>
    </row>
    <row r="19" spans="8:13" ht="28.8" customHeight="1" x14ac:dyDescent="0.3">
      <c r="H19" s="113"/>
      <c r="I19" s="193" t="s">
        <v>392</v>
      </c>
      <c r="J19" s="102"/>
      <c r="K19" s="103"/>
      <c r="L19" s="105"/>
      <c r="M19" s="114"/>
    </row>
    <row r="20" spans="8:13" ht="28.8" customHeight="1" x14ac:dyDescent="0.3">
      <c r="H20" s="113"/>
      <c r="I20" s="193"/>
      <c r="J20" s="103"/>
      <c r="K20" s="103"/>
      <c r="L20" s="103"/>
      <c r="M20" s="114"/>
    </row>
    <row r="21" spans="8:13" ht="28.8" customHeight="1" x14ac:dyDescent="0.3">
      <c r="H21" s="113"/>
      <c r="I21" s="193" t="s">
        <v>35</v>
      </c>
      <c r="J21" s="103"/>
      <c r="K21" s="103"/>
      <c r="L21" s="106"/>
      <c r="M21" s="114"/>
    </row>
    <row r="22" spans="8:13" ht="28.8" customHeight="1" x14ac:dyDescent="0.3">
      <c r="H22" s="113"/>
      <c r="I22" s="193"/>
      <c r="J22" s="103"/>
      <c r="K22" s="103"/>
      <c r="L22" s="103"/>
      <c r="M22" s="114"/>
    </row>
    <row r="23" spans="8:13" ht="28.8" customHeight="1" x14ac:dyDescent="0.3">
      <c r="H23" s="113"/>
      <c r="I23" s="193" t="s">
        <v>380</v>
      </c>
      <c r="J23" s="103"/>
      <c r="K23" s="103"/>
      <c r="L23" s="104"/>
      <c r="M23" s="114"/>
    </row>
    <row r="24" spans="8:13" ht="28.8" customHeight="1" x14ac:dyDescent="0.3">
      <c r="H24" s="113"/>
      <c r="I24" s="449"/>
      <c r="J24" s="103"/>
      <c r="K24" s="103"/>
      <c r="L24" s="103"/>
      <c r="M24" s="114"/>
    </row>
    <row r="25" spans="8:13" ht="28.8" customHeight="1" x14ac:dyDescent="0.3">
      <c r="H25" s="113"/>
      <c r="I25" s="193" t="s">
        <v>393</v>
      </c>
      <c r="J25" s="103"/>
      <c r="K25" s="103"/>
      <c r="L25" s="104"/>
      <c r="M25" s="114"/>
    </row>
    <row r="26" spans="8:13" ht="28.8" customHeight="1" x14ac:dyDescent="0.3">
      <c r="H26" s="113"/>
      <c r="I26" s="193"/>
      <c r="J26" s="103"/>
      <c r="K26" s="107"/>
      <c r="L26" s="107"/>
      <c r="M26" s="115"/>
    </row>
    <row r="27" spans="8:13" ht="28.8" customHeight="1" x14ac:dyDescent="0.3">
      <c r="H27" s="113"/>
      <c r="I27" s="193" t="s">
        <v>225</v>
      </c>
      <c r="J27" s="103"/>
      <c r="K27" s="107"/>
      <c r="L27" s="108"/>
      <c r="M27" s="115"/>
    </row>
    <row r="28" spans="8:13" ht="28.8" customHeight="1" x14ac:dyDescent="0.3">
      <c r="H28" s="111"/>
      <c r="I28" s="193"/>
      <c r="J28" s="99"/>
      <c r="K28" s="99"/>
      <c r="L28" s="101"/>
      <c r="M28" s="112"/>
    </row>
    <row r="29" spans="8:13" ht="28.8" customHeight="1" x14ac:dyDescent="0.3">
      <c r="H29" s="113"/>
      <c r="I29" s="193" t="s">
        <v>394</v>
      </c>
      <c r="J29" s="103"/>
      <c r="K29" s="107"/>
      <c r="L29" s="108"/>
      <c r="M29" s="115"/>
    </row>
    <row r="30" spans="8:13" ht="28.8" customHeight="1" x14ac:dyDescent="0.35">
      <c r="H30" s="113"/>
      <c r="I30" s="435"/>
      <c r="J30" s="103"/>
      <c r="K30" s="107"/>
      <c r="L30" s="107"/>
      <c r="M30" s="115"/>
    </row>
    <row r="31" spans="8:13" ht="28.8" customHeight="1" x14ac:dyDescent="0.4">
      <c r="H31" s="113"/>
      <c r="I31" s="434"/>
      <c r="J31" s="103"/>
      <c r="K31" s="107"/>
      <c r="L31" s="448"/>
      <c r="M31" s="115"/>
    </row>
    <row r="32" spans="8:13" ht="28.8" customHeight="1" x14ac:dyDescent="0.3">
      <c r="H32" s="113"/>
      <c r="I32" s="103"/>
      <c r="J32" s="103"/>
      <c r="K32" s="107"/>
      <c r="L32" s="107"/>
      <c r="M32" s="115"/>
    </row>
    <row r="33" spans="8:13" ht="28.8" customHeight="1" x14ac:dyDescent="0.3">
      <c r="H33" s="113"/>
      <c r="I33" s="103"/>
      <c r="J33" s="103"/>
      <c r="K33" s="107"/>
      <c r="L33" s="107"/>
      <c r="M33" s="115"/>
    </row>
    <row r="34" spans="8:13" ht="28.8" customHeight="1" x14ac:dyDescent="0.3">
      <c r="H34" s="113"/>
      <c r="I34" s="103"/>
      <c r="J34" s="103"/>
      <c r="K34" s="107"/>
      <c r="L34" s="107"/>
      <c r="M34" s="115"/>
    </row>
    <row r="35" spans="8:13" ht="28.8" customHeight="1" thickBot="1" x14ac:dyDescent="0.35">
      <c r="H35" s="116"/>
      <c r="I35" s="117"/>
      <c r="J35" s="117"/>
      <c r="K35" s="118"/>
      <c r="L35" s="118"/>
      <c r="M35" s="119"/>
    </row>
    <row r="36" spans="8:13" ht="28.8" customHeight="1" x14ac:dyDescent="0.3">
      <c r="H36" s="123"/>
      <c r="I36" s="123"/>
      <c r="J36" s="123"/>
      <c r="K36" s="124"/>
      <c r="L36" s="124"/>
      <c r="M36" s="124"/>
    </row>
    <row r="37" spans="8:13" ht="28.8" customHeight="1" x14ac:dyDescent="0.3"/>
    <row r="38" spans="8:13" ht="28.8" customHeight="1" x14ac:dyDescent="0.3"/>
    <row r="39" spans="8:13" ht="28.8" customHeight="1" x14ac:dyDescent="0.3"/>
    <row r="40" spans="8:13" ht="28.8" customHeight="1" x14ac:dyDescent="0.3"/>
    <row r="41" spans="8:13" ht="28.8" customHeight="1" x14ac:dyDescent="0.3"/>
    <row r="42" spans="8:13" ht="28.8" customHeight="1" x14ac:dyDescent="0.3"/>
    <row r="43" spans="8:13" ht="28.8" customHeight="1" x14ac:dyDescent="0.3"/>
    <row r="44" spans="8:13" ht="28.8" customHeight="1" x14ac:dyDescent="0.3"/>
    <row r="45" spans="8:13" ht="28.8" customHeight="1" x14ac:dyDescent="0.3"/>
    <row r="46" spans="8:13" ht="28.8" customHeight="1" x14ac:dyDescent="0.3"/>
    <row r="47" spans="8:13" ht="28.8" customHeight="1" x14ac:dyDescent="0.3"/>
    <row r="48" spans="8:13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H12:M1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A57179-3184-45A2-ADFF-8DD1D6DB2E21}">
  <sheetPr codeName="Planilha54">
    <tabColor rgb="FFF13FF5"/>
  </sheetPr>
  <dimension ref="A1:AW66"/>
  <sheetViews>
    <sheetView zoomScale="40" zoomScaleNormal="40" workbookViewId="0">
      <selection activeCell="I29" sqref="I29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23.21875" style="126" bestFit="1" customWidth="1"/>
    <col min="7" max="7" width="26" style="126" customWidth="1"/>
    <col min="8" max="8" width="15.33203125" style="126" customWidth="1"/>
    <col min="9" max="9" width="22.88671875" style="126" bestFit="1" customWidth="1"/>
    <col min="10" max="10" width="10.109375" style="126" bestFit="1" customWidth="1"/>
    <col min="11" max="11" width="22.44140625" style="126" customWidth="1"/>
    <col min="12" max="12" width="15.33203125" style="126" customWidth="1"/>
    <col min="13" max="13" width="21" style="126" bestFit="1" customWidth="1"/>
    <col min="14" max="14" width="10.109375" style="126" bestFit="1" customWidth="1"/>
    <col min="15" max="15" width="21" style="126" bestFit="1" customWidth="1"/>
    <col min="16" max="16" width="25.10937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x14ac:dyDescent="0.3"/>
    <row r="10" spans="1:49" ht="28.8" customHeight="1" x14ac:dyDescent="0.3">
      <c r="C10" s="462" t="s">
        <v>579</v>
      </c>
      <c r="D10" s="463"/>
      <c r="E10" s="463"/>
      <c r="F10" s="463"/>
      <c r="G10" s="464"/>
      <c r="I10" s="465" t="s">
        <v>594</v>
      </c>
      <c r="J10" s="178" t="s">
        <v>595</v>
      </c>
      <c r="K10" s="178" t="s">
        <v>596</v>
      </c>
      <c r="M10" s="466" t="s">
        <v>604</v>
      </c>
      <c r="N10" s="466" t="s">
        <v>595</v>
      </c>
      <c r="O10" s="178" t="s">
        <v>596</v>
      </c>
      <c r="Q10" s="471" t="s">
        <v>609</v>
      </c>
      <c r="R10" s="471"/>
      <c r="S10" s="471"/>
      <c r="T10" s="471"/>
      <c r="U10" s="471"/>
      <c r="V10" s="471"/>
      <c r="W10" s="471"/>
      <c r="X10" s="471"/>
    </row>
    <row r="11" spans="1:49" ht="28.8" customHeight="1" x14ac:dyDescent="0.4">
      <c r="C11" s="453" t="s">
        <v>580</v>
      </c>
      <c r="D11" s="453"/>
      <c r="E11" s="453"/>
      <c r="F11" s="453"/>
      <c r="G11" s="454" t="s">
        <v>581</v>
      </c>
      <c r="I11" s="458" t="s">
        <v>597</v>
      </c>
      <c r="J11" s="459">
        <v>1</v>
      </c>
      <c r="K11" s="460" t="e">
        <f>('[3]N_RHREF '!#REF!-'[3]N_RHREF '!#REF!-'[3]N_RHREF '!#REF!-'[3]N_RHREF '!#REF!-'[3]N_RHREF '!#REF!)</f>
        <v>#REF!</v>
      </c>
      <c r="M11" s="467" t="s">
        <v>597</v>
      </c>
      <c r="N11" s="467"/>
      <c r="O11" s="468" t="e">
        <f>'[3]N_RHREF '!#REF!</f>
        <v>#REF!</v>
      </c>
      <c r="Q11" s="472" t="s">
        <v>610</v>
      </c>
      <c r="R11" s="472"/>
      <c r="S11" s="472"/>
      <c r="T11" s="472"/>
      <c r="U11" s="472"/>
      <c r="V11" s="472"/>
      <c r="W11" s="473"/>
      <c r="X11" s="474"/>
    </row>
    <row r="12" spans="1:49" ht="28.8" customHeight="1" x14ac:dyDescent="0.35">
      <c r="C12" s="451" t="s">
        <v>582</v>
      </c>
      <c r="D12" s="451"/>
      <c r="E12" s="451"/>
      <c r="F12" s="451"/>
      <c r="G12" s="452">
        <v>450</v>
      </c>
      <c r="I12" s="458" t="s">
        <v>598</v>
      </c>
      <c r="J12" s="459">
        <v>4</v>
      </c>
      <c r="K12" s="460" t="e">
        <f>'[3]N_RHREF '!#REF!</f>
        <v>#REF!</v>
      </c>
      <c r="M12" s="467" t="s">
        <v>604</v>
      </c>
      <c r="N12" s="467"/>
      <c r="O12" s="468" t="e">
        <f>'[3]N_RHREF '!#REF!</f>
        <v>#REF!</v>
      </c>
      <c r="Q12" s="472" t="s">
        <v>611</v>
      </c>
      <c r="R12" s="472"/>
      <c r="S12" s="472"/>
      <c r="T12" s="472"/>
      <c r="U12" s="472"/>
      <c r="V12" s="472"/>
      <c r="W12" s="475">
        <f>(K29*L29)+(K30*L30)+(K31*L31)</f>
        <v>0</v>
      </c>
      <c r="X12" s="475"/>
    </row>
    <row r="13" spans="1:49" ht="28.8" customHeight="1" x14ac:dyDescent="0.35">
      <c r="C13" s="451" t="s">
        <v>583</v>
      </c>
      <c r="D13" s="451"/>
      <c r="E13" s="451"/>
      <c r="F13" s="451"/>
      <c r="G13" s="452">
        <v>4500</v>
      </c>
      <c r="I13" s="458" t="s">
        <v>599</v>
      </c>
      <c r="J13" s="459">
        <v>4</v>
      </c>
      <c r="K13" s="460" t="e">
        <f>'[3]N_RHREF '!#REF!</f>
        <v>#REF!</v>
      </c>
      <c r="Q13" s="472" t="s">
        <v>612</v>
      </c>
      <c r="R13" s="472"/>
      <c r="S13" s="472"/>
      <c r="T13" s="472"/>
      <c r="U13" s="472"/>
      <c r="V13" s="472"/>
      <c r="W13" s="475"/>
      <c r="X13" s="475"/>
    </row>
    <row r="14" spans="1:49" ht="28.8" customHeight="1" x14ac:dyDescent="0.35">
      <c r="C14" s="451" t="s">
        <v>584</v>
      </c>
      <c r="D14" s="451"/>
      <c r="E14" s="451"/>
      <c r="F14" s="451"/>
      <c r="G14" s="452">
        <v>37500</v>
      </c>
      <c r="J14" s="455"/>
      <c r="K14" s="456"/>
      <c r="M14" s="465" t="s">
        <v>605</v>
      </c>
      <c r="N14" s="178" t="s">
        <v>595</v>
      </c>
      <c r="O14" s="178" t="s">
        <v>596</v>
      </c>
      <c r="Q14" s="472" t="s">
        <v>613</v>
      </c>
      <c r="R14" s="472"/>
      <c r="S14" s="472"/>
      <c r="T14" s="472"/>
      <c r="U14" s="472"/>
      <c r="V14" s="472"/>
      <c r="W14" s="475"/>
      <c r="X14" s="475"/>
    </row>
    <row r="15" spans="1:49" ht="28.8" customHeight="1" x14ac:dyDescent="0.35">
      <c r="C15" s="451" t="s">
        <v>585</v>
      </c>
      <c r="D15" s="451"/>
      <c r="E15" s="451"/>
      <c r="F15" s="451"/>
      <c r="G15" s="452"/>
      <c r="I15" s="466" t="s">
        <v>600</v>
      </c>
      <c r="J15" s="466" t="s">
        <v>595</v>
      </c>
      <c r="K15" s="178" t="s">
        <v>596</v>
      </c>
      <c r="M15" s="458" t="s">
        <v>597</v>
      </c>
      <c r="N15" s="459"/>
      <c r="O15" s="460" t="e">
        <f>'[3]N_RHREF '!#REF!</f>
        <v>#REF!</v>
      </c>
    </row>
    <row r="16" spans="1:49" ht="28.8" customHeight="1" x14ac:dyDescent="0.35">
      <c r="C16" s="451" t="s">
        <v>586</v>
      </c>
      <c r="D16" s="451"/>
      <c r="E16" s="451"/>
      <c r="F16" s="451"/>
      <c r="G16" s="452"/>
      <c r="I16" s="467" t="s">
        <v>597</v>
      </c>
      <c r="J16" s="467"/>
      <c r="K16" s="468" t="e">
        <f>'[3]N_RHREF '!#REF!</f>
        <v>#REF!</v>
      </c>
      <c r="M16" s="458" t="s">
        <v>601</v>
      </c>
      <c r="N16" s="459"/>
      <c r="O16" s="460">
        <f>'[3]N_RHREF '!J1</f>
        <v>0</v>
      </c>
    </row>
    <row r="17" spans="3:15" ht="28.8" customHeight="1" x14ac:dyDescent="0.35">
      <c r="C17" s="451" t="s">
        <v>295</v>
      </c>
      <c r="D17" s="451"/>
      <c r="E17" s="451"/>
      <c r="F17" s="451"/>
      <c r="G17" s="452"/>
      <c r="I17" s="467" t="s">
        <v>601</v>
      </c>
      <c r="J17" s="467"/>
      <c r="K17" s="468" t="e">
        <f>'[3]N_RHREF '!#REF!</f>
        <v>#REF!</v>
      </c>
      <c r="M17" s="458" t="s">
        <v>599</v>
      </c>
      <c r="N17" s="459"/>
      <c r="O17" s="460">
        <f>'[3]N_RHREF '!J2</f>
        <v>0</v>
      </c>
    </row>
    <row r="18" spans="3:15" ht="28.8" customHeight="1" x14ac:dyDescent="0.35">
      <c r="C18" s="451" t="s">
        <v>587</v>
      </c>
      <c r="D18" s="451"/>
      <c r="E18" s="451"/>
      <c r="F18" s="451"/>
      <c r="G18" s="452">
        <v>130</v>
      </c>
      <c r="I18" s="467" t="s">
        <v>602</v>
      </c>
      <c r="J18" s="467"/>
      <c r="K18" s="468" t="e">
        <f>'[3]N_RHREF '!#REF!</f>
        <v>#REF!</v>
      </c>
    </row>
    <row r="19" spans="3:15" ht="28.8" customHeight="1" x14ac:dyDescent="0.35">
      <c r="C19" s="451" t="s">
        <v>588</v>
      </c>
      <c r="D19" s="451"/>
      <c r="E19" s="451"/>
      <c r="F19" s="451"/>
      <c r="G19" s="452">
        <v>45000</v>
      </c>
      <c r="J19" s="415"/>
      <c r="K19" s="457"/>
      <c r="M19" s="465" t="s">
        <v>606</v>
      </c>
      <c r="N19" s="178" t="s">
        <v>595</v>
      </c>
      <c r="O19" s="178" t="s">
        <v>596</v>
      </c>
    </row>
    <row r="20" spans="3:15" ht="28.8" customHeight="1" x14ac:dyDescent="0.35">
      <c r="C20" s="451" t="s">
        <v>589</v>
      </c>
      <c r="D20" s="451"/>
      <c r="E20" s="451"/>
      <c r="F20" s="451"/>
      <c r="G20" s="452"/>
      <c r="I20" s="466" t="s">
        <v>603</v>
      </c>
      <c r="J20" s="466" t="s">
        <v>595</v>
      </c>
      <c r="K20" s="178" t="s">
        <v>596</v>
      </c>
      <c r="M20" s="458" t="s">
        <v>597</v>
      </c>
      <c r="N20" s="459"/>
      <c r="O20" s="460">
        <f>'[3]N_RHREF '!J3</f>
        <v>0</v>
      </c>
    </row>
    <row r="21" spans="3:15" ht="28.8" customHeight="1" x14ac:dyDescent="0.35">
      <c r="C21" s="451" t="s">
        <v>590</v>
      </c>
      <c r="D21" s="451"/>
      <c r="E21" s="451"/>
      <c r="F21" s="451"/>
      <c r="G21" s="452"/>
      <c r="I21" s="467" t="s">
        <v>597</v>
      </c>
      <c r="J21" s="467"/>
      <c r="K21" s="468" t="e">
        <f>'[3]N_RHREF '!#REF!</f>
        <v>#REF!</v>
      </c>
      <c r="M21" s="458" t="s">
        <v>607</v>
      </c>
      <c r="N21" s="459"/>
      <c r="O21" s="460">
        <f>'[3]N_RHREF '!J4</f>
        <v>0</v>
      </c>
    </row>
    <row r="22" spans="3:15" ht="28.8" customHeight="1" x14ac:dyDescent="0.35">
      <c r="C22" s="451" t="s">
        <v>591</v>
      </c>
      <c r="D22" s="451"/>
      <c r="E22" s="451"/>
      <c r="F22" s="451"/>
      <c r="G22" s="452">
        <v>2500</v>
      </c>
      <c r="I22" s="467" t="s">
        <v>601</v>
      </c>
      <c r="J22" s="467"/>
      <c r="K22" s="468" t="e">
        <f>'[3]N_RHREF '!#REF!</f>
        <v>#REF!</v>
      </c>
      <c r="M22" s="458" t="s">
        <v>601</v>
      </c>
      <c r="N22" s="459"/>
      <c r="O22" s="460">
        <f>'[3]N_RHREF '!J5</f>
        <v>0</v>
      </c>
    </row>
    <row r="23" spans="3:15" ht="28.8" customHeight="1" x14ac:dyDescent="0.35">
      <c r="C23" s="451" t="s">
        <v>592</v>
      </c>
      <c r="D23" s="451"/>
      <c r="E23" s="451"/>
      <c r="F23" s="451"/>
      <c r="G23" s="452">
        <v>6000</v>
      </c>
      <c r="I23" s="467" t="s">
        <v>602</v>
      </c>
      <c r="J23" s="467"/>
      <c r="K23" s="468" t="e">
        <f>'[3]N_RHREF '!#REF!</f>
        <v>#REF!</v>
      </c>
      <c r="M23" s="467" t="s">
        <v>602</v>
      </c>
      <c r="N23" s="469"/>
      <c r="O23" s="470">
        <f>'[3]N_RHREF '!J6</f>
        <v>0</v>
      </c>
    </row>
    <row r="24" spans="3:15" ht="28.8" customHeight="1" x14ac:dyDescent="0.35">
      <c r="C24" s="451" t="s">
        <v>571</v>
      </c>
      <c r="D24" s="451"/>
      <c r="E24" s="451"/>
      <c r="F24" s="451"/>
      <c r="G24" s="452"/>
    </row>
    <row r="25" spans="3:15" ht="28.8" customHeight="1" x14ac:dyDescent="0.35">
      <c r="C25" s="451" t="s">
        <v>593</v>
      </c>
      <c r="D25" s="451"/>
      <c r="E25" s="451"/>
      <c r="F25" s="451"/>
      <c r="G25" s="452"/>
      <c r="M25" s="465" t="s">
        <v>608</v>
      </c>
      <c r="N25" s="178" t="s">
        <v>595</v>
      </c>
      <c r="O25" s="178" t="s">
        <v>596</v>
      </c>
    </row>
    <row r="26" spans="3:15" ht="28.8" customHeight="1" x14ac:dyDescent="0.35">
      <c r="M26" s="458" t="s">
        <v>597</v>
      </c>
      <c r="N26" s="459"/>
      <c r="O26" s="460">
        <f>'[3]N_RHREF '!J7</f>
        <v>0</v>
      </c>
    </row>
    <row r="27" spans="3:15" ht="28.8" customHeight="1" x14ac:dyDescent="0.35">
      <c r="M27" s="458" t="s">
        <v>607</v>
      </c>
      <c r="N27" s="459"/>
      <c r="O27" s="460">
        <f>'[3]N_RHREF '!J8</f>
        <v>0</v>
      </c>
    </row>
    <row r="28" spans="3:15" ht="28.8" customHeight="1" x14ac:dyDescent="0.35">
      <c r="M28" s="458" t="s">
        <v>599</v>
      </c>
      <c r="N28" s="459"/>
      <c r="O28" s="460">
        <f>'[3]N_RHREF '!J9</f>
        <v>2259.1999999999998</v>
      </c>
    </row>
    <row r="29" spans="3:15" ht="28.8" customHeight="1" x14ac:dyDescent="0.3"/>
    <row r="30" spans="3:15" ht="28.8" customHeight="1" x14ac:dyDescent="0.3"/>
    <row r="31" spans="3:15" ht="28.8" customHeight="1" x14ac:dyDescent="0.3"/>
    <row r="32" spans="3:15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5">
    <mergeCell ref="Q14:V14"/>
    <mergeCell ref="W14:X14"/>
    <mergeCell ref="Q10:X10"/>
    <mergeCell ref="Q11:V11"/>
    <mergeCell ref="W11:X11"/>
    <mergeCell ref="Q12:V12"/>
    <mergeCell ref="W12:X12"/>
    <mergeCell ref="Q13:V13"/>
    <mergeCell ref="W13:X13"/>
    <mergeCell ref="C21:F21"/>
    <mergeCell ref="C22:F22"/>
    <mergeCell ref="C23:F23"/>
    <mergeCell ref="C24:F24"/>
    <mergeCell ref="C25:F25"/>
    <mergeCell ref="C10:G10"/>
    <mergeCell ref="C15:F15"/>
    <mergeCell ref="C16:F16"/>
    <mergeCell ref="C17:F17"/>
    <mergeCell ref="C18:F18"/>
    <mergeCell ref="C19:F19"/>
    <mergeCell ref="C20:F20"/>
    <mergeCell ref="C11:F11"/>
    <mergeCell ref="C12:F12"/>
    <mergeCell ref="C13:F13"/>
    <mergeCell ref="C14:F1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19231-4B36-4A98-85EA-46C9F1B9BF1E}">
  <sheetPr codeName="Planilha55">
    <tabColor rgb="FFF13FF5"/>
  </sheetPr>
  <dimension ref="A1:AW66"/>
  <sheetViews>
    <sheetView zoomScale="40" zoomScaleNormal="40" workbookViewId="0">
      <selection activeCell="P35" sqref="P35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23.21875" style="126" bestFit="1" customWidth="1"/>
    <col min="7" max="7" width="26" style="126" customWidth="1"/>
    <col min="8" max="8" width="15.33203125" style="126" customWidth="1"/>
    <col min="9" max="9" width="22.88671875" style="126" bestFit="1" customWidth="1"/>
    <col min="10" max="10" width="81.77734375" style="126" bestFit="1" customWidth="1"/>
    <col min="11" max="11" width="22.44140625" style="126" customWidth="1"/>
    <col min="12" max="12" width="16.77734375" style="126" bestFit="1" customWidth="1"/>
    <col min="13" max="13" width="21" style="126" bestFit="1" customWidth="1"/>
    <col min="14" max="14" width="10.109375" style="126" bestFit="1" customWidth="1"/>
    <col min="15" max="15" width="21" style="126" bestFit="1" customWidth="1"/>
    <col min="16" max="16" width="25.109375" style="126" customWidth="1"/>
    <col min="17" max="17" width="15.5546875" style="126" customWidth="1"/>
    <col min="18" max="21" width="8.88671875" style="126"/>
    <col min="22" max="22" width="23.44140625" style="126" bestFit="1" customWidth="1"/>
    <col min="23" max="23" width="2.6640625" style="126" bestFit="1" customWidth="1"/>
    <col min="24" max="24" width="51.109375" style="126" customWidth="1"/>
    <col min="25" max="16384" width="8.88671875" style="126"/>
  </cols>
  <sheetData>
    <row r="1" spans="1:49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  <c r="AV1" s="127"/>
      <c r="AW1" s="127"/>
    </row>
    <row r="2" spans="1:49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  <c r="AV2" s="127"/>
      <c r="AW2" s="127"/>
    </row>
    <row r="3" spans="1:49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  <c r="AV3" s="127"/>
      <c r="AW3" s="127"/>
    </row>
    <row r="4" spans="1:49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</row>
    <row r="5" spans="1:49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</row>
    <row r="6" spans="1:49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</row>
    <row r="7" spans="1:49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</row>
    <row r="8" spans="1:49" ht="28.8" customHeight="1" x14ac:dyDescent="0.3"/>
    <row r="9" spans="1:49" ht="28.8" customHeight="1" x14ac:dyDescent="0.3"/>
    <row r="10" spans="1:49" ht="28.8" customHeight="1" x14ac:dyDescent="0.3">
      <c r="J10" s="465" t="s">
        <v>614</v>
      </c>
      <c r="K10" s="178" t="s">
        <v>615</v>
      </c>
      <c r="L10" s="178" t="s">
        <v>616</v>
      </c>
    </row>
    <row r="11" spans="1:49" ht="28.8" customHeight="1" x14ac:dyDescent="0.4">
      <c r="J11" s="467"/>
      <c r="K11" s="488"/>
      <c r="L11" s="489"/>
    </row>
    <row r="12" spans="1:49" ht="28.8" customHeight="1" x14ac:dyDescent="0.4">
      <c r="J12" s="490" t="s">
        <v>617</v>
      </c>
      <c r="K12" s="491"/>
      <c r="L12" s="492"/>
    </row>
    <row r="13" spans="1:49" ht="28.8" customHeight="1" x14ac:dyDescent="0.3">
      <c r="J13" s="477"/>
      <c r="K13" s="478"/>
      <c r="L13" s="479"/>
    </row>
    <row r="14" spans="1:49" ht="28.8" customHeight="1" x14ac:dyDescent="0.3">
      <c r="J14" s="480"/>
      <c r="K14" s="481"/>
      <c r="L14" s="482"/>
    </row>
    <row r="15" spans="1:49" ht="28.8" customHeight="1" x14ac:dyDescent="0.4">
      <c r="J15" s="493" t="s">
        <v>618</v>
      </c>
      <c r="K15" s="476"/>
      <c r="L15" s="450"/>
    </row>
    <row r="16" spans="1:49" ht="28.8" customHeight="1" x14ac:dyDescent="0.4">
      <c r="J16" s="493" t="s">
        <v>619</v>
      </c>
      <c r="K16" s="476"/>
      <c r="L16" s="450"/>
    </row>
    <row r="17" spans="10:12" ht="28.8" customHeight="1" x14ac:dyDescent="0.4">
      <c r="J17" s="494" t="s">
        <v>620</v>
      </c>
      <c r="K17" s="483"/>
      <c r="L17" s="484"/>
    </row>
    <row r="18" spans="10:12" ht="28.8" customHeight="1" x14ac:dyDescent="0.3">
      <c r="J18" s="485"/>
      <c r="K18" s="486"/>
      <c r="L18" s="487"/>
    </row>
    <row r="19" spans="10:12" ht="28.8" customHeight="1" x14ac:dyDescent="0.3">
      <c r="J19" s="495" t="s">
        <v>621</v>
      </c>
      <c r="K19" s="496"/>
      <c r="L19" s="497"/>
    </row>
    <row r="20" spans="10:12" ht="28.8" customHeight="1" x14ac:dyDescent="0.35">
      <c r="J20" s="467" t="s">
        <v>622</v>
      </c>
      <c r="K20" s="488">
        <f>[3]N_CUSTOFIXOEVARIAVEL!Q20</f>
        <v>0</v>
      </c>
      <c r="L20" s="488"/>
    </row>
    <row r="21" spans="10:12" ht="28.8" customHeight="1" x14ac:dyDescent="0.35">
      <c r="J21" s="467" t="s">
        <v>623</v>
      </c>
      <c r="K21" s="488">
        <f>[3]N_CUSTOFIXOEVARIAVEL!Q21</f>
        <v>0</v>
      </c>
      <c r="L21" s="488"/>
    </row>
    <row r="22" spans="10:12" ht="28.8" customHeight="1" x14ac:dyDescent="0.4">
      <c r="J22" s="467" t="s">
        <v>584</v>
      </c>
      <c r="K22" s="488">
        <f>[3]N_CUSTOFIXOEVARIAVEL!Q22</f>
        <v>0</v>
      </c>
      <c r="L22" s="489"/>
    </row>
    <row r="23" spans="10:12" ht="28.8" customHeight="1" x14ac:dyDescent="0.4">
      <c r="J23" s="467" t="s">
        <v>624</v>
      </c>
      <c r="K23" s="488"/>
      <c r="L23" s="489"/>
    </row>
    <row r="24" spans="10:12" ht="28.8" customHeight="1" x14ac:dyDescent="0.4">
      <c r="J24" s="467" t="s">
        <v>625</v>
      </c>
      <c r="K24" s="488"/>
      <c r="L24" s="489"/>
    </row>
    <row r="25" spans="10:12" ht="28.8" customHeight="1" x14ac:dyDescent="0.35">
      <c r="J25" s="467" t="s">
        <v>626</v>
      </c>
      <c r="K25" s="488"/>
      <c r="L25" s="488"/>
    </row>
    <row r="26" spans="10:12" ht="28.8" customHeight="1" x14ac:dyDescent="0.35">
      <c r="J26" s="467" t="s">
        <v>627</v>
      </c>
      <c r="K26" s="498">
        <f>[3]N_CUSTOFIXOEVARIAVEL!Q26</f>
        <v>0</v>
      </c>
      <c r="L26" s="488"/>
    </row>
    <row r="27" spans="10:12" ht="28.8" customHeight="1" x14ac:dyDescent="0.35">
      <c r="J27" s="467" t="s">
        <v>628</v>
      </c>
      <c r="K27" s="488">
        <f>[3]N_CUSTOFIXOEVARIAVEL!Q27</f>
        <v>0</v>
      </c>
      <c r="L27" s="488"/>
    </row>
    <row r="28" spans="10:12" ht="28.8" customHeight="1" x14ac:dyDescent="0.35">
      <c r="J28" s="467" t="s">
        <v>629</v>
      </c>
      <c r="K28" s="488"/>
      <c r="L28" s="488"/>
    </row>
    <row r="29" spans="10:12" ht="28.8" customHeight="1" x14ac:dyDescent="0.35">
      <c r="J29" s="467" t="s">
        <v>630</v>
      </c>
      <c r="K29" s="488"/>
      <c r="L29" s="488"/>
    </row>
    <row r="30" spans="10:12" ht="28.8" customHeight="1" x14ac:dyDescent="0.35">
      <c r="J30" s="467" t="s">
        <v>631</v>
      </c>
      <c r="K30" s="488">
        <f>[3]N_CUSTOFIXOEVARIAVEL!Q30</f>
        <v>0</v>
      </c>
      <c r="L30" s="488"/>
    </row>
    <row r="31" spans="10:12" ht="28.8" customHeight="1" x14ac:dyDescent="0.35">
      <c r="J31" s="467" t="s">
        <v>632</v>
      </c>
      <c r="K31" s="488">
        <f>[3]N_CUSTOFIXOEVARIAVEL!Q31</f>
        <v>0</v>
      </c>
      <c r="L31" s="488"/>
    </row>
    <row r="32" spans="10:12" ht="28.8" customHeight="1" x14ac:dyDescent="0.35">
      <c r="J32" s="467" t="s">
        <v>633</v>
      </c>
      <c r="K32" s="488"/>
      <c r="L32" s="488"/>
    </row>
    <row r="33" spans="10:12" ht="28.8" customHeight="1" x14ac:dyDescent="0.35">
      <c r="J33" s="467" t="s">
        <v>634</v>
      </c>
      <c r="K33" s="488"/>
      <c r="L33" s="488"/>
    </row>
    <row r="34" spans="10:12" ht="28.8" customHeight="1" x14ac:dyDescent="0.35">
      <c r="J34" s="467" t="s">
        <v>635</v>
      </c>
      <c r="K34" s="488"/>
      <c r="L34" s="488"/>
    </row>
    <row r="35" spans="10:12" ht="28.8" customHeight="1" x14ac:dyDescent="0.35">
      <c r="J35" s="467" t="s">
        <v>636</v>
      </c>
      <c r="K35" s="488"/>
      <c r="L35" s="488"/>
    </row>
    <row r="36" spans="10:12" ht="28.8" customHeight="1" x14ac:dyDescent="0.35">
      <c r="J36" s="467" t="s">
        <v>637</v>
      </c>
      <c r="K36" s="488"/>
      <c r="L36" s="488"/>
    </row>
    <row r="37" spans="10:12" ht="28.8" customHeight="1" x14ac:dyDescent="0.35">
      <c r="J37" s="467" t="s">
        <v>638</v>
      </c>
      <c r="K37" s="488"/>
      <c r="L37" s="488"/>
    </row>
    <row r="38" spans="10:12" ht="28.8" customHeight="1" x14ac:dyDescent="0.35">
      <c r="J38" s="467" t="s">
        <v>639</v>
      </c>
      <c r="K38" s="488"/>
      <c r="L38" s="488"/>
    </row>
    <row r="39" spans="10:12" ht="28.8" customHeight="1" x14ac:dyDescent="0.35">
      <c r="J39" s="467" t="s">
        <v>640</v>
      </c>
      <c r="K39" s="488"/>
      <c r="L39" s="488"/>
    </row>
    <row r="40" spans="10:12" ht="28.8" customHeight="1" x14ac:dyDescent="0.3"/>
    <row r="41" spans="10:12" ht="28.8" customHeight="1" x14ac:dyDescent="0.3"/>
    <row r="42" spans="10:12" ht="28.8" customHeight="1" x14ac:dyDescent="0.3"/>
    <row r="43" spans="10:12" ht="28.8" customHeight="1" x14ac:dyDescent="0.3"/>
    <row r="44" spans="10:12" ht="28.8" customHeight="1" x14ac:dyDescent="0.3"/>
    <row r="45" spans="10:12" ht="28.8" customHeight="1" x14ac:dyDescent="0.3"/>
    <row r="46" spans="10:12" ht="28.8" customHeight="1" x14ac:dyDescent="0.3"/>
    <row r="47" spans="10:12" ht="28.8" customHeight="1" x14ac:dyDescent="0.3"/>
    <row r="48" spans="10:12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1">
    <mergeCell ref="J19:L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F7299-CF97-4E05-A6F3-729CA59058C7}">
  <sheetPr codeName="Planilha56">
    <tabColor rgb="FFF13FF5"/>
  </sheetPr>
  <dimension ref="A1:AU66"/>
  <sheetViews>
    <sheetView zoomScale="40" zoomScaleNormal="40" workbookViewId="0">
      <selection activeCell="H29" sqref="H29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23.21875" style="126" bestFit="1" customWidth="1"/>
    <col min="7" max="7" width="26" style="126" customWidth="1"/>
    <col min="8" max="8" width="32.33203125" style="126" bestFit="1" customWidth="1"/>
    <col min="9" max="9" width="22.88671875" style="126" bestFit="1" customWidth="1"/>
    <col min="10" max="10" width="49.5546875" style="126" customWidth="1"/>
    <col min="11" max="11" width="22.44140625" style="126" customWidth="1"/>
    <col min="12" max="12" width="36.5546875" style="126" bestFit="1" customWidth="1"/>
    <col min="13" max="13" width="21" style="126" bestFit="1" customWidth="1"/>
    <col min="14" max="14" width="25.109375" style="126" customWidth="1"/>
    <col min="15" max="15" width="15.5546875" style="126" customWidth="1"/>
    <col min="16" max="19" width="8.88671875" style="126"/>
    <col min="20" max="20" width="23.44140625" style="126" bestFit="1" customWidth="1"/>
    <col min="21" max="21" width="2.6640625" style="126" bestFit="1" customWidth="1"/>
    <col min="22" max="22" width="51.109375" style="126" customWidth="1"/>
    <col min="23" max="16384" width="8.88671875" style="126"/>
  </cols>
  <sheetData>
    <row r="1" spans="1:47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</row>
    <row r="2" spans="1:47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</row>
    <row r="3" spans="1:47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</row>
    <row r="4" spans="1:47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</row>
    <row r="5" spans="1:47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</row>
    <row r="6" spans="1:47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</row>
    <row r="7" spans="1:47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</row>
    <row r="8" spans="1:47" ht="28.8" customHeight="1" x14ac:dyDescent="0.3"/>
    <row r="9" spans="1:47" ht="28.8" customHeight="1" x14ac:dyDescent="0.3"/>
    <row r="10" spans="1:47" ht="28.8" customHeight="1" x14ac:dyDescent="0.3"/>
    <row r="11" spans="1:47" ht="28.8" customHeight="1" x14ac:dyDescent="0.3">
      <c r="H11" s="465" t="s">
        <v>9</v>
      </c>
      <c r="I11" s="178" t="s">
        <v>595</v>
      </c>
      <c r="J11" s="466" t="s">
        <v>641</v>
      </c>
      <c r="K11" s="500"/>
      <c r="L11" s="465" t="s">
        <v>11</v>
      </c>
      <c r="M11" s="178" t="s">
        <v>595</v>
      </c>
      <c r="N11" s="466" t="s">
        <v>641</v>
      </c>
    </row>
    <row r="12" spans="1:47" ht="28.8" customHeight="1" x14ac:dyDescent="0.4">
      <c r="H12" s="467" t="s">
        <v>3</v>
      </c>
      <c r="I12" s="501">
        <f>[3]N_PRODREQ!N31</f>
        <v>0</v>
      </c>
      <c r="J12" s="488"/>
      <c r="L12" s="467" t="s">
        <v>3</v>
      </c>
      <c r="M12" s="501"/>
      <c r="N12" s="488"/>
    </row>
    <row r="13" spans="1:47" ht="28.8" customHeight="1" x14ac:dyDescent="0.4">
      <c r="H13" s="467" t="s">
        <v>4</v>
      </c>
      <c r="I13" s="501">
        <f>[3]N_PRODREQ!N33</f>
        <v>0</v>
      </c>
      <c r="J13" s="488"/>
      <c r="L13" s="467" t="s">
        <v>4</v>
      </c>
      <c r="M13" s="501"/>
      <c r="N13" s="488"/>
    </row>
    <row r="14" spans="1:47" ht="28.8" customHeight="1" x14ac:dyDescent="0.4">
      <c r="H14" s="467" t="s">
        <v>642</v>
      </c>
      <c r="I14" s="501">
        <f>[3]N_PRODREQ!N35</f>
        <v>0</v>
      </c>
      <c r="J14" s="489"/>
      <c r="L14" s="467" t="s">
        <v>642</v>
      </c>
      <c r="M14" s="501"/>
      <c r="N14" s="489"/>
    </row>
    <row r="15" spans="1:47" ht="28.8" customHeight="1" x14ac:dyDescent="0.4">
      <c r="H15" s="467" t="s">
        <v>643</v>
      </c>
      <c r="I15" s="501">
        <f>[3]N_PRODREQ!N37</f>
        <v>0</v>
      </c>
      <c r="J15" s="489"/>
      <c r="L15" s="467" t="s">
        <v>643</v>
      </c>
      <c r="M15" s="501"/>
      <c r="N15" s="489"/>
    </row>
    <row r="16" spans="1:47" ht="28.8" customHeight="1" x14ac:dyDescent="0.4">
      <c r="H16" s="467" t="s">
        <v>644</v>
      </c>
      <c r="I16" s="501">
        <f>[3]N_PRODREQ!N39</f>
        <v>0</v>
      </c>
      <c r="J16" s="489"/>
      <c r="L16" s="467" t="s">
        <v>644</v>
      </c>
      <c r="M16" s="501"/>
      <c r="N16" s="489"/>
    </row>
    <row r="17" spans="8:14" ht="28.8" customHeight="1" x14ac:dyDescent="0.3"/>
    <row r="18" spans="8:14" ht="28.8" customHeight="1" x14ac:dyDescent="0.3"/>
    <row r="19" spans="8:14" ht="28.8" customHeight="1" x14ac:dyDescent="0.3">
      <c r="H19" s="465" t="s">
        <v>645</v>
      </c>
      <c r="I19" s="178" t="s">
        <v>595</v>
      </c>
      <c r="J19" s="466" t="s">
        <v>641</v>
      </c>
      <c r="K19" s="500"/>
      <c r="L19" s="465" t="s">
        <v>10</v>
      </c>
      <c r="M19" s="178" t="s">
        <v>595</v>
      </c>
      <c r="N19" s="466" t="s">
        <v>641</v>
      </c>
    </row>
    <row r="20" spans="8:14" ht="28.8" customHeight="1" x14ac:dyDescent="0.4">
      <c r="H20" s="467" t="s">
        <v>3</v>
      </c>
      <c r="I20" s="501"/>
      <c r="J20" s="488"/>
      <c r="L20" s="467" t="s">
        <v>3</v>
      </c>
      <c r="M20" s="501"/>
      <c r="N20" s="488"/>
    </row>
    <row r="21" spans="8:14" ht="28.8" customHeight="1" x14ac:dyDescent="0.4">
      <c r="H21" s="467" t="s">
        <v>4</v>
      </c>
      <c r="I21" s="501"/>
      <c r="J21" s="488"/>
      <c r="L21" s="467" t="s">
        <v>4</v>
      </c>
      <c r="M21" s="501"/>
      <c r="N21" s="488"/>
    </row>
    <row r="22" spans="8:14" ht="28.8" customHeight="1" x14ac:dyDescent="0.4">
      <c r="H22" s="467" t="s">
        <v>642</v>
      </c>
      <c r="I22" s="501"/>
      <c r="J22" s="489"/>
      <c r="L22" s="467" t="s">
        <v>642</v>
      </c>
      <c r="M22" s="501"/>
      <c r="N22" s="489"/>
    </row>
    <row r="23" spans="8:14" ht="28.8" customHeight="1" x14ac:dyDescent="0.4">
      <c r="H23" s="467" t="s">
        <v>643</v>
      </c>
      <c r="I23" s="501"/>
      <c r="J23" s="489"/>
      <c r="L23" s="467" t="s">
        <v>643</v>
      </c>
      <c r="M23" s="501"/>
      <c r="N23" s="489"/>
    </row>
    <row r="24" spans="8:14" ht="28.8" customHeight="1" x14ac:dyDescent="0.4">
      <c r="H24" s="467" t="s">
        <v>644</v>
      </c>
      <c r="I24" s="501"/>
      <c r="J24" s="489"/>
      <c r="L24" s="467" t="s">
        <v>644</v>
      </c>
      <c r="M24" s="501"/>
      <c r="N24" s="489"/>
    </row>
    <row r="25" spans="8:14" ht="28.8" customHeight="1" x14ac:dyDescent="0.3"/>
    <row r="26" spans="8:14" ht="28.8" customHeight="1" x14ac:dyDescent="0.3"/>
    <row r="27" spans="8:14" ht="28.8" customHeight="1" x14ac:dyDescent="0.3"/>
    <row r="28" spans="8:14" ht="28.8" customHeight="1" x14ac:dyDescent="0.3"/>
    <row r="29" spans="8:14" ht="28.8" customHeight="1" x14ac:dyDescent="0.3"/>
    <row r="30" spans="8:14" ht="28.8" customHeight="1" x14ac:dyDescent="0.3"/>
    <row r="31" spans="8:14" ht="28.8" customHeight="1" x14ac:dyDescent="0.3"/>
    <row r="32" spans="8:14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B5723-395D-4049-A718-9E36FFC302E7}">
  <sheetPr codeName="Planilha57">
    <tabColor rgb="FF171717"/>
  </sheetPr>
  <dimension ref="A1:AU66"/>
  <sheetViews>
    <sheetView zoomScale="40" zoomScaleNormal="40" workbookViewId="0">
      <selection activeCell="J25" sqref="J25"/>
    </sheetView>
  </sheetViews>
  <sheetFormatPr defaultRowHeight="14.4" x14ac:dyDescent="0.3"/>
  <cols>
    <col min="1" max="4" width="8.88671875" style="126"/>
    <col min="5" max="5" width="72.33203125" style="126" bestFit="1" customWidth="1"/>
    <col min="6" max="6" width="41.5546875" style="126" bestFit="1" customWidth="1"/>
    <col min="7" max="7" width="26" style="126" customWidth="1"/>
    <col min="8" max="8" width="32.33203125" style="126" bestFit="1" customWidth="1"/>
    <col min="9" max="9" width="22.88671875" style="126" bestFit="1" customWidth="1"/>
    <col min="10" max="10" width="26.77734375" style="126" customWidth="1"/>
    <col min="11" max="11" width="32.109375" style="126" bestFit="1" customWidth="1"/>
    <col min="12" max="12" width="36.5546875" style="126" bestFit="1" customWidth="1"/>
    <col min="13" max="13" width="21" style="126" bestFit="1" customWidth="1"/>
    <col min="14" max="14" width="25.109375" style="126" customWidth="1"/>
    <col min="15" max="15" width="15.5546875" style="126" customWidth="1"/>
    <col min="16" max="19" width="8.88671875" style="126"/>
    <col min="20" max="20" width="23.44140625" style="126" bestFit="1" customWidth="1"/>
    <col min="21" max="21" width="2.6640625" style="126" bestFit="1" customWidth="1"/>
    <col min="22" max="22" width="51.109375" style="126" customWidth="1"/>
    <col min="23" max="16384" width="8.88671875" style="126"/>
  </cols>
  <sheetData>
    <row r="1" spans="1:47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</row>
    <row r="2" spans="1:47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</row>
    <row r="3" spans="1:47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</row>
    <row r="4" spans="1:47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</row>
    <row r="5" spans="1:47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</row>
    <row r="6" spans="1:47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</row>
    <row r="7" spans="1:47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</row>
    <row r="8" spans="1:47" ht="28.8" customHeight="1" x14ac:dyDescent="0.3"/>
    <row r="9" spans="1:47" ht="28.8" customHeight="1" x14ac:dyDescent="0.3"/>
    <row r="10" spans="1:47" ht="28.8" customHeight="1" x14ac:dyDescent="0.3"/>
    <row r="11" spans="1:47" ht="28.8" customHeight="1" x14ac:dyDescent="0.3"/>
    <row r="12" spans="1:47" ht="28.8" customHeight="1" x14ac:dyDescent="0.3">
      <c r="F12" s="502"/>
      <c r="G12" s="506" t="s">
        <v>283</v>
      </c>
      <c r="H12" s="506"/>
      <c r="K12" s="502"/>
      <c r="L12" s="506" t="s">
        <v>283</v>
      </c>
      <c r="M12" s="506"/>
    </row>
    <row r="13" spans="1:47" ht="28.8" customHeight="1" x14ac:dyDescent="0.3">
      <c r="F13" s="505" t="s">
        <v>282</v>
      </c>
      <c r="G13" s="507" t="s">
        <v>646</v>
      </c>
      <c r="H13" s="507" t="s">
        <v>647</v>
      </c>
      <c r="K13" s="505" t="s">
        <v>648</v>
      </c>
      <c r="L13" s="507" t="s">
        <v>646</v>
      </c>
      <c r="M13" s="507" t="s">
        <v>647</v>
      </c>
    </row>
    <row r="14" spans="1:47" ht="28.8" customHeight="1" x14ac:dyDescent="0.3">
      <c r="F14" s="504" t="s">
        <v>645</v>
      </c>
      <c r="G14" s="508">
        <v>100</v>
      </c>
      <c r="H14" s="509"/>
      <c r="K14" s="504" t="s">
        <v>3</v>
      </c>
      <c r="L14" s="503"/>
      <c r="M14" s="503"/>
    </row>
    <row r="15" spans="1:47" ht="28.8" customHeight="1" x14ac:dyDescent="0.3">
      <c r="F15" s="504" t="s">
        <v>9</v>
      </c>
      <c r="G15" s="509">
        <v>200</v>
      </c>
      <c r="H15" s="509"/>
      <c r="K15" s="504" t="s">
        <v>4</v>
      </c>
      <c r="L15" s="503"/>
      <c r="M15" s="503"/>
    </row>
    <row r="16" spans="1:47" ht="28.8" customHeight="1" x14ac:dyDescent="0.3">
      <c r="F16" s="504" t="s">
        <v>10</v>
      </c>
      <c r="G16" s="509">
        <v>300</v>
      </c>
      <c r="H16" s="509"/>
      <c r="K16" s="504" t="s">
        <v>5</v>
      </c>
      <c r="L16" s="503"/>
      <c r="M16" s="503"/>
    </row>
    <row r="17" spans="6:13" ht="28.8" customHeight="1" x14ac:dyDescent="0.3">
      <c r="F17" s="504" t="s">
        <v>11</v>
      </c>
      <c r="G17" s="509">
        <v>400</v>
      </c>
      <c r="H17" s="509"/>
      <c r="K17" s="504" t="s">
        <v>6</v>
      </c>
      <c r="L17" s="503"/>
      <c r="M17" s="503"/>
    </row>
    <row r="18" spans="6:13" ht="28.8" customHeight="1" x14ac:dyDescent="0.3">
      <c r="K18" s="504" t="s">
        <v>7</v>
      </c>
      <c r="L18" s="377"/>
      <c r="M18" s="377"/>
    </row>
    <row r="19" spans="6:13" ht="28.8" customHeight="1" x14ac:dyDescent="0.3"/>
    <row r="20" spans="6:13" ht="28.8" customHeight="1" x14ac:dyDescent="0.3"/>
    <row r="21" spans="6:13" ht="28.8" customHeight="1" x14ac:dyDescent="0.3"/>
    <row r="22" spans="6:13" ht="28.8" customHeight="1" x14ac:dyDescent="0.3"/>
    <row r="23" spans="6:13" ht="28.8" customHeight="1" x14ac:dyDescent="0.3"/>
    <row r="24" spans="6:13" ht="28.8" customHeight="1" x14ac:dyDescent="0.3"/>
    <row r="25" spans="6:13" ht="28.8" customHeight="1" x14ac:dyDescent="0.3"/>
    <row r="26" spans="6:13" ht="28.8" customHeight="1" x14ac:dyDescent="0.3"/>
    <row r="27" spans="6:13" ht="28.8" customHeight="1" x14ac:dyDescent="0.3"/>
    <row r="28" spans="6:13" ht="28.8" customHeight="1" x14ac:dyDescent="0.3"/>
    <row r="29" spans="6:13" ht="28.8" customHeight="1" x14ac:dyDescent="0.3"/>
    <row r="30" spans="6:13" ht="28.8" customHeight="1" x14ac:dyDescent="0.3"/>
    <row r="31" spans="6:13" ht="28.8" customHeight="1" x14ac:dyDescent="0.3"/>
    <row r="32" spans="6:13" ht="28.8" customHeight="1" x14ac:dyDescent="0.3"/>
    <row r="33" ht="28.8" customHeight="1" x14ac:dyDescent="0.3"/>
    <row r="34" ht="28.8" customHeight="1" x14ac:dyDescent="0.3"/>
    <row r="35" ht="28.8" customHeight="1" x14ac:dyDescent="0.3"/>
    <row r="36" ht="28.8" customHeight="1" x14ac:dyDescent="0.3"/>
    <row r="37" ht="28.8" customHeight="1" x14ac:dyDescent="0.3"/>
    <row r="38" ht="28.8" customHeight="1" x14ac:dyDescent="0.3"/>
    <row r="39" ht="28.8" customHeight="1" x14ac:dyDescent="0.3"/>
    <row r="40" ht="28.8" customHeight="1" x14ac:dyDescent="0.3"/>
    <row r="41" ht="28.8" customHeight="1" x14ac:dyDescent="0.3"/>
    <row r="42" ht="28.8" customHeight="1" x14ac:dyDescent="0.3"/>
    <row r="43" ht="28.8" customHeight="1" x14ac:dyDescent="0.3"/>
    <row r="44" ht="28.8" customHeight="1" x14ac:dyDescent="0.3"/>
    <row r="45" ht="28.8" customHeight="1" x14ac:dyDescent="0.3"/>
    <row r="46" ht="28.8" customHeight="1" x14ac:dyDescent="0.3"/>
    <row r="47" ht="28.8" customHeight="1" x14ac:dyDescent="0.3"/>
    <row r="4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G12:H12"/>
    <mergeCell ref="L12:M1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38CC7-3D80-40CF-B89A-6AE31FA636E0}">
  <sheetPr codeName="Planilha58">
    <tabColor rgb="FF171717"/>
  </sheetPr>
  <dimension ref="A1:AU66"/>
  <sheetViews>
    <sheetView zoomScale="25" zoomScaleNormal="25" workbookViewId="0">
      <selection activeCell="T19" sqref="T19"/>
    </sheetView>
  </sheetViews>
  <sheetFormatPr defaultRowHeight="14.4" x14ac:dyDescent="0.3"/>
  <cols>
    <col min="1" max="1" width="8.88671875" style="126"/>
    <col min="2" max="2" width="14.33203125" style="126" bestFit="1" customWidth="1"/>
    <col min="3" max="3" width="36.109375" style="126" customWidth="1"/>
    <col min="4" max="4" width="30.33203125" style="126" customWidth="1"/>
    <col min="5" max="5" width="47.6640625" style="126" customWidth="1"/>
    <col min="6" max="6" width="32.109375" style="126" bestFit="1" customWidth="1"/>
    <col min="7" max="7" width="26" style="126" customWidth="1"/>
    <col min="8" max="8" width="49" style="126" customWidth="1"/>
    <col min="9" max="9" width="25.44140625" style="126" bestFit="1" customWidth="1"/>
    <col min="10" max="10" width="21.44140625" style="126" bestFit="1" customWidth="1"/>
    <col min="11" max="11" width="51.6640625" style="126" customWidth="1"/>
    <col min="12" max="12" width="34.77734375" style="126" bestFit="1" customWidth="1"/>
    <col min="13" max="13" width="49.44140625" style="126" customWidth="1"/>
    <col min="14" max="14" width="28.109375" style="126" bestFit="1" customWidth="1"/>
    <col min="15" max="15" width="17" style="126" bestFit="1" customWidth="1"/>
    <col min="16" max="16" width="33" style="126" bestFit="1" customWidth="1"/>
    <col min="17" max="17" width="12.5546875" style="126" bestFit="1" customWidth="1"/>
    <col min="18" max="18" width="13" style="126" bestFit="1" customWidth="1"/>
    <col min="19" max="19" width="8.88671875" style="126"/>
    <col min="20" max="20" width="23.44140625" style="126" bestFit="1" customWidth="1"/>
    <col min="21" max="21" width="2.6640625" style="126" bestFit="1" customWidth="1"/>
    <col min="22" max="22" width="51.109375" style="126" customWidth="1"/>
    <col min="23" max="16384" width="8.88671875" style="126"/>
  </cols>
  <sheetData>
    <row r="1" spans="1:47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</row>
    <row r="2" spans="1:47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</row>
    <row r="3" spans="1:47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</row>
    <row r="4" spans="1:47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</row>
    <row r="5" spans="1:47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</row>
    <row r="6" spans="1:47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</row>
    <row r="7" spans="1:47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</row>
    <row r="8" spans="1:47" ht="28.8" customHeight="1" x14ac:dyDescent="0.3"/>
    <row r="9" spans="1:47" ht="28.8" customHeight="1" thickBot="1" x14ac:dyDescent="0.35"/>
    <row r="10" spans="1:47" ht="28.8" customHeight="1" thickBot="1" x14ac:dyDescent="0.45">
      <c r="E10" s="513" t="s">
        <v>364</v>
      </c>
      <c r="F10" s="514"/>
      <c r="G10" s="514"/>
      <c r="H10" s="514"/>
      <c r="I10" s="514"/>
      <c r="J10" s="514"/>
      <c r="K10" s="515"/>
      <c r="L10" s="516"/>
      <c r="M10" s="517" t="s">
        <v>404</v>
      </c>
      <c r="N10" s="518"/>
      <c r="O10" s="518"/>
      <c r="P10" s="519"/>
      <c r="Q10" s="364"/>
    </row>
    <row r="11" spans="1:47" ht="28.8" customHeight="1" x14ac:dyDescent="0.4">
      <c r="E11" s="520" t="s">
        <v>287</v>
      </c>
      <c r="F11" s="521" t="s">
        <v>365</v>
      </c>
      <c r="G11" s="521" t="s">
        <v>405</v>
      </c>
      <c r="H11" s="521" t="s">
        <v>293</v>
      </c>
      <c r="I11" s="521" t="s">
        <v>399</v>
      </c>
      <c r="J11" s="521" t="s">
        <v>406</v>
      </c>
      <c r="K11" s="522" t="s">
        <v>407</v>
      </c>
      <c r="L11" s="355"/>
      <c r="M11" s="535" t="s">
        <v>408</v>
      </c>
      <c r="N11" s="499" t="s">
        <v>365</v>
      </c>
      <c r="O11" s="499" t="s">
        <v>294</v>
      </c>
      <c r="P11" s="536" t="s">
        <v>405</v>
      </c>
      <c r="Q11" s="371"/>
    </row>
    <row r="12" spans="1:47" ht="28.8" customHeight="1" x14ac:dyDescent="0.4">
      <c r="E12" s="523" t="s">
        <v>409</v>
      </c>
      <c r="F12" s="524" t="s">
        <v>410</v>
      </c>
      <c r="G12" s="524" t="s">
        <v>411</v>
      </c>
      <c r="H12" s="525" t="s">
        <v>412</v>
      </c>
      <c r="I12" s="524" t="s">
        <v>413</v>
      </c>
      <c r="J12" s="524" t="s">
        <v>414</v>
      </c>
      <c r="K12" s="526" t="s">
        <v>415</v>
      </c>
      <c r="L12" s="355"/>
      <c r="M12" s="537"/>
      <c r="N12" s="538"/>
      <c r="O12" s="538"/>
      <c r="P12" s="539"/>
      <c r="Q12" s="371"/>
    </row>
    <row r="13" spans="1:47" ht="28.8" customHeight="1" x14ac:dyDescent="0.4">
      <c r="E13" s="523" t="s">
        <v>416</v>
      </c>
      <c r="F13" s="524" t="s">
        <v>417</v>
      </c>
      <c r="G13" s="524" t="s">
        <v>418</v>
      </c>
      <c r="H13" s="525" t="s">
        <v>419</v>
      </c>
      <c r="I13" s="524" t="s">
        <v>420</v>
      </c>
      <c r="J13" s="524" t="s">
        <v>414</v>
      </c>
      <c r="K13" s="527" t="s">
        <v>421</v>
      </c>
      <c r="L13" s="355"/>
      <c r="M13" s="537"/>
      <c r="N13" s="538"/>
      <c r="O13" s="538"/>
      <c r="P13" s="539"/>
      <c r="Q13" s="371"/>
    </row>
    <row r="14" spans="1:47" ht="28.8" customHeight="1" x14ac:dyDescent="0.4">
      <c r="E14" s="523" t="s">
        <v>422</v>
      </c>
      <c r="F14" s="524" t="s">
        <v>423</v>
      </c>
      <c r="G14" s="524" t="s">
        <v>424</v>
      </c>
      <c r="H14" s="525" t="s">
        <v>425</v>
      </c>
      <c r="I14" s="524" t="s">
        <v>426</v>
      </c>
      <c r="J14" s="524" t="s">
        <v>414</v>
      </c>
      <c r="K14" s="526" t="s">
        <v>427</v>
      </c>
      <c r="L14" s="355"/>
      <c r="M14" s="537"/>
      <c r="N14" s="538"/>
      <c r="O14" s="538"/>
      <c r="P14" s="539"/>
      <c r="Q14" s="371"/>
    </row>
    <row r="15" spans="1:47" ht="28.8" customHeight="1" x14ac:dyDescent="0.4">
      <c r="E15" s="523" t="s">
        <v>428</v>
      </c>
      <c r="F15" s="524" t="s">
        <v>429</v>
      </c>
      <c r="G15" s="524" t="s">
        <v>430</v>
      </c>
      <c r="H15" s="525" t="s">
        <v>431</v>
      </c>
      <c r="I15" s="524" t="s">
        <v>414</v>
      </c>
      <c r="J15" s="524" t="s">
        <v>414</v>
      </c>
      <c r="K15" s="528" t="s">
        <v>432</v>
      </c>
      <c r="L15" s="1"/>
      <c r="M15" s="537"/>
      <c r="N15" s="538"/>
      <c r="O15" s="538"/>
      <c r="P15" s="539"/>
      <c r="Q15" s="371"/>
    </row>
    <row r="16" spans="1:47" ht="28.8" customHeight="1" x14ac:dyDescent="0.4">
      <c r="E16" s="523" t="s">
        <v>433</v>
      </c>
      <c r="F16" s="524" t="s">
        <v>434</v>
      </c>
      <c r="G16" s="524" t="s">
        <v>435</v>
      </c>
      <c r="H16" s="525" t="s">
        <v>436</v>
      </c>
      <c r="I16" s="524" t="s">
        <v>437</v>
      </c>
      <c r="J16" s="524" t="s">
        <v>414</v>
      </c>
      <c r="K16" s="527" t="s">
        <v>438</v>
      </c>
      <c r="L16" s="1"/>
      <c r="M16" s="537"/>
      <c r="N16" s="538"/>
      <c r="O16" s="538"/>
      <c r="P16" s="539"/>
      <c r="Q16" s="371"/>
    </row>
    <row r="17" spans="5:17" ht="28.8" customHeight="1" x14ac:dyDescent="0.4">
      <c r="E17" s="523" t="s">
        <v>439</v>
      </c>
      <c r="F17" s="524" t="s">
        <v>440</v>
      </c>
      <c r="G17" s="524" t="s">
        <v>441</v>
      </c>
      <c r="H17" s="525" t="s">
        <v>442</v>
      </c>
      <c r="I17" s="524" t="s">
        <v>443</v>
      </c>
      <c r="J17" s="524" t="s">
        <v>414</v>
      </c>
      <c r="K17" s="526" t="s">
        <v>444</v>
      </c>
      <c r="L17" s="1"/>
      <c r="M17" s="537"/>
      <c r="N17" s="538"/>
      <c r="O17" s="538"/>
      <c r="P17" s="539"/>
      <c r="Q17" s="371"/>
    </row>
    <row r="18" spans="5:17" ht="28.8" customHeight="1" x14ac:dyDescent="0.4">
      <c r="E18" s="523" t="s">
        <v>445</v>
      </c>
      <c r="F18" s="524" t="s">
        <v>446</v>
      </c>
      <c r="G18" s="524" t="s">
        <v>447</v>
      </c>
      <c r="H18" s="525" t="s">
        <v>448</v>
      </c>
      <c r="I18" s="524" t="s">
        <v>449</v>
      </c>
      <c r="J18" s="524" t="s">
        <v>414</v>
      </c>
      <c r="K18" s="526" t="s">
        <v>450</v>
      </c>
      <c r="M18" s="537"/>
      <c r="N18" s="538"/>
      <c r="O18" s="538"/>
      <c r="P18" s="539"/>
      <c r="Q18" s="371"/>
    </row>
    <row r="19" spans="5:17" ht="28.8" customHeight="1" x14ac:dyDescent="0.4">
      <c r="E19" s="523" t="s">
        <v>451</v>
      </c>
      <c r="F19" s="524" t="s">
        <v>452</v>
      </c>
      <c r="G19" s="524" t="s">
        <v>453</v>
      </c>
      <c r="H19" s="525" t="s">
        <v>454</v>
      </c>
      <c r="I19" s="524" t="s">
        <v>455</v>
      </c>
      <c r="J19" s="524" t="s">
        <v>414</v>
      </c>
      <c r="K19" s="529" t="s">
        <v>456</v>
      </c>
      <c r="M19" s="537"/>
      <c r="N19" s="538"/>
      <c r="O19" s="538"/>
      <c r="P19" s="539"/>
      <c r="Q19" s="371"/>
    </row>
    <row r="20" spans="5:17" ht="28.8" customHeight="1" x14ac:dyDescent="0.4">
      <c r="E20" s="523" t="s">
        <v>457</v>
      </c>
      <c r="F20" s="524" t="s">
        <v>458</v>
      </c>
      <c r="G20" s="524" t="s">
        <v>459</v>
      </c>
      <c r="H20" s="525" t="s">
        <v>460</v>
      </c>
      <c r="I20" s="524" t="s">
        <v>461</v>
      </c>
      <c r="J20" s="524" t="s">
        <v>462</v>
      </c>
      <c r="K20" s="526" t="s">
        <v>463</v>
      </c>
      <c r="M20" s="537"/>
      <c r="N20" s="538"/>
      <c r="O20" s="538"/>
      <c r="P20" s="539"/>
      <c r="Q20" s="371"/>
    </row>
    <row r="21" spans="5:17" ht="28.8" customHeight="1" x14ac:dyDescent="0.4">
      <c r="E21" s="523" t="s">
        <v>464</v>
      </c>
      <c r="F21" s="524" t="s">
        <v>465</v>
      </c>
      <c r="G21" s="524" t="s">
        <v>466</v>
      </c>
      <c r="H21" s="525" t="s">
        <v>467</v>
      </c>
      <c r="I21" s="524" t="s">
        <v>468</v>
      </c>
      <c r="J21" s="524" t="s">
        <v>462</v>
      </c>
      <c r="K21" s="527" t="s">
        <v>469</v>
      </c>
      <c r="M21" s="537"/>
      <c r="N21" s="538"/>
      <c r="O21" s="538"/>
      <c r="P21" s="539"/>
      <c r="Q21" s="371"/>
    </row>
    <row r="22" spans="5:17" ht="28.8" customHeight="1" x14ac:dyDescent="0.4">
      <c r="E22" s="523" t="s">
        <v>470</v>
      </c>
      <c r="F22" s="524" t="s">
        <v>471</v>
      </c>
      <c r="G22" s="524" t="s">
        <v>472</v>
      </c>
      <c r="H22" s="525" t="s">
        <v>473</v>
      </c>
      <c r="I22" s="524" t="s">
        <v>474</v>
      </c>
      <c r="J22" s="524" t="s">
        <v>462</v>
      </c>
      <c r="K22" s="527" t="s">
        <v>475</v>
      </c>
      <c r="M22" s="537"/>
      <c r="N22" s="538"/>
      <c r="O22" s="538"/>
      <c r="P22" s="539"/>
      <c r="Q22" s="371"/>
    </row>
    <row r="23" spans="5:17" ht="28.8" customHeight="1" x14ac:dyDescent="0.4">
      <c r="E23" s="523" t="s">
        <v>476</v>
      </c>
      <c r="F23" s="524" t="s">
        <v>477</v>
      </c>
      <c r="G23" s="524" t="s">
        <v>478</v>
      </c>
      <c r="H23" s="525" t="s">
        <v>479</v>
      </c>
      <c r="I23" s="524" t="s">
        <v>480</v>
      </c>
      <c r="J23" s="524" t="s">
        <v>462</v>
      </c>
      <c r="K23" s="530" t="s">
        <v>481</v>
      </c>
      <c r="M23" s="537"/>
      <c r="N23" s="538"/>
      <c r="O23" s="538"/>
      <c r="P23" s="539"/>
      <c r="Q23" s="371"/>
    </row>
    <row r="24" spans="5:17" ht="28.8" customHeight="1" thickBot="1" x14ac:dyDescent="0.45">
      <c r="E24" s="523" t="s">
        <v>482</v>
      </c>
      <c r="F24" s="524" t="s">
        <v>483</v>
      </c>
      <c r="G24" s="524" t="s">
        <v>484</v>
      </c>
      <c r="H24" s="525" t="s">
        <v>485</v>
      </c>
      <c r="I24" s="524" t="s">
        <v>468</v>
      </c>
      <c r="J24" s="524" t="s">
        <v>462</v>
      </c>
      <c r="K24" s="526" t="s">
        <v>486</v>
      </c>
      <c r="L24" s="383"/>
      <c r="M24" s="540"/>
      <c r="N24" s="541"/>
      <c r="O24" s="541"/>
      <c r="P24" s="542"/>
    </row>
    <row r="25" spans="5:17" ht="28.8" customHeight="1" x14ac:dyDescent="0.35">
      <c r="E25" s="523" t="s">
        <v>487</v>
      </c>
      <c r="F25" s="524" t="s">
        <v>488</v>
      </c>
      <c r="G25" s="524" t="s">
        <v>489</v>
      </c>
      <c r="H25" s="525" t="s">
        <v>490</v>
      </c>
      <c r="I25" s="524" t="s">
        <v>491</v>
      </c>
      <c r="J25" s="524" t="s">
        <v>462</v>
      </c>
      <c r="K25" s="526" t="s">
        <v>492</v>
      </c>
    </row>
    <row r="26" spans="5:17" ht="28.8" customHeight="1" x14ac:dyDescent="0.35">
      <c r="E26" s="523" t="s">
        <v>493</v>
      </c>
      <c r="F26" s="524" t="s">
        <v>494</v>
      </c>
      <c r="G26" s="524" t="s">
        <v>495</v>
      </c>
      <c r="H26" s="525" t="s">
        <v>496</v>
      </c>
      <c r="I26" s="524" t="s">
        <v>497</v>
      </c>
      <c r="J26" s="524" t="s">
        <v>462</v>
      </c>
      <c r="K26" s="528" t="s">
        <v>498</v>
      </c>
    </row>
    <row r="27" spans="5:17" ht="28.8" customHeight="1" x14ac:dyDescent="0.35">
      <c r="E27" s="523" t="s">
        <v>499</v>
      </c>
      <c r="F27" s="524" t="s">
        <v>500</v>
      </c>
      <c r="G27" s="524" t="s">
        <v>501</v>
      </c>
      <c r="H27" s="525" t="s">
        <v>502</v>
      </c>
      <c r="I27" s="524" t="s">
        <v>503</v>
      </c>
      <c r="J27" s="524" t="s">
        <v>462</v>
      </c>
      <c r="K27" s="526" t="s">
        <v>504</v>
      </c>
    </row>
    <row r="28" spans="5:17" ht="28.8" customHeight="1" x14ac:dyDescent="0.35">
      <c r="E28" s="523" t="s">
        <v>505</v>
      </c>
      <c r="F28" s="524" t="s">
        <v>506</v>
      </c>
      <c r="G28" s="524" t="s">
        <v>507</v>
      </c>
      <c r="H28" s="525" t="s">
        <v>508</v>
      </c>
      <c r="I28" s="524" t="s">
        <v>509</v>
      </c>
      <c r="J28" s="524" t="s">
        <v>510</v>
      </c>
      <c r="K28" s="526" t="s">
        <v>511</v>
      </c>
    </row>
    <row r="29" spans="5:17" ht="28.8" customHeight="1" x14ac:dyDescent="0.35">
      <c r="E29" s="523" t="s">
        <v>512</v>
      </c>
      <c r="F29" s="524" t="s">
        <v>513</v>
      </c>
      <c r="G29" s="524" t="s">
        <v>514</v>
      </c>
      <c r="H29" s="525" t="s">
        <v>515</v>
      </c>
      <c r="I29" s="524" t="s">
        <v>516</v>
      </c>
      <c r="J29" s="524" t="s">
        <v>510</v>
      </c>
      <c r="K29" s="526" t="s">
        <v>517</v>
      </c>
    </row>
    <row r="30" spans="5:17" ht="28.8" customHeight="1" x14ac:dyDescent="0.35">
      <c r="E30" s="523" t="s">
        <v>518</v>
      </c>
      <c r="F30" s="524" t="s">
        <v>519</v>
      </c>
      <c r="G30" s="524" t="s">
        <v>520</v>
      </c>
      <c r="H30" s="525" t="s">
        <v>521</v>
      </c>
      <c r="I30" s="524" t="s">
        <v>522</v>
      </c>
      <c r="J30" s="524" t="s">
        <v>510</v>
      </c>
      <c r="K30" s="526" t="s">
        <v>523</v>
      </c>
    </row>
    <row r="31" spans="5:17" ht="28.8" customHeight="1" x14ac:dyDescent="0.35">
      <c r="E31" s="523" t="s">
        <v>524</v>
      </c>
      <c r="F31" s="524" t="s">
        <v>525</v>
      </c>
      <c r="G31" s="524" t="s">
        <v>526</v>
      </c>
      <c r="H31" s="525" t="s">
        <v>527</v>
      </c>
      <c r="I31" s="524" t="s">
        <v>528</v>
      </c>
      <c r="J31" s="524" t="s">
        <v>510</v>
      </c>
      <c r="K31" s="526" t="s">
        <v>529</v>
      </c>
    </row>
    <row r="32" spans="5:17" ht="28.8" customHeight="1" thickBot="1" x14ac:dyDescent="0.4">
      <c r="E32" s="531" t="s">
        <v>530</v>
      </c>
      <c r="F32" s="532" t="s">
        <v>531</v>
      </c>
      <c r="G32" s="532" t="s">
        <v>532</v>
      </c>
      <c r="H32" s="533" t="s">
        <v>533</v>
      </c>
      <c r="I32" s="532" t="s">
        <v>534</v>
      </c>
      <c r="J32" s="532" t="s">
        <v>510</v>
      </c>
      <c r="K32" s="534" t="s">
        <v>535</v>
      </c>
    </row>
    <row r="33" spans="2:18" ht="28.8" customHeight="1" x14ac:dyDescent="0.3"/>
    <row r="34" spans="2:18" ht="28.8" customHeight="1" thickBot="1" x14ac:dyDescent="0.35"/>
    <row r="35" spans="2:18" ht="28.8" customHeight="1" thickBot="1" x14ac:dyDescent="0.45">
      <c r="B35" s="543" t="s">
        <v>536</v>
      </c>
      <c r="C35" s="544"/>
      <c r="D35" s="544"/>
      <c r="E35" s="544"/>
      <c r="F35" s="544"/>
      <c r="G35" s="544"/>
      <c r="H35" s="544"/>
      <c r="I35" s="544"/>
      <c r="J35" s="544"/>
      <c r="K35" s="544"/>
      <c r="L35" s="544"/>
      <c r="M35" s="544"/>
      <c r="N35" s="544"/>
      <c r="O35" s="544"/>
      <c r="P35" s="544"/>
      <c r="Q35" s="544"/>
      <c r="R35" s="545"/>
    </row>
    <row r="36" spans="2:18" ht="28.8" customHeight="1" x14ac:dyDescent="0.4">
      <c r="B36" s="546" t="s">
        <v>287</v>
      </c>
      <c r="C36" s="547" t="s">
        <v>288</v>
      </c>
      <c r="D36" s="547" t="s">
        <v>289</v>
      </c>
      <c r="E36" s="547" t="s">
        <v>290</v>
      </c>
      <c r="F36" s="547" t="s">
        <v>291</v>
      </c>
      <c r="G36" s="547" t="s">
        <v>292</v>
      </c>
      <c r="H36" s="547" t="s">
        <v>293</v>
      </c>
      <c r="I36" s="547" t="s">
        <v>294</v>
      </c>
      <c r="J36" s="547" t="s">
        <v>295</v>
      </c>
      <c r="K36" s="547" t="s">
        <v>311</v>
      </c>
      <c r="L36" s="548" t="s">
        <v>537</v>
      </c>
      <c r="M36" s="548" t="s">
        <v>538</v>
      </c>
      <c r="N36" s="548" t="s">
        <v>539</v>
      </c>
      <c r="O36" s="548" t="s">
        <v>360</v>
      </c>
      <c r="P36" s="548" t="s">
        <v>540</v>
      </c>
      <c r="Q36" s="548" t="s">
        <v>541</v>
      </c>
      <c r="R36" s="549" t="s">
        <v>319</v>
      </c>
    </row>
    <row r="37" spans="2:18" ht="28.8" customHeight="1" x14ac:dyDescent="0.3">
      <c r="B37" s="398" t="s">
        <v>542</v>
      </c>
      <c r="C37" s="377" t="s">
        <v>543</v>
      </c>
      <c r="D37" s="377" t="s">
        <v>544</v>
      </c>
      <c r="E37" s="377" t="s">
        <v>545</v>
      </c>
      <c r="F37" s="377">
        <v>3336859865</v>
      </c>
      <c r="G37" s="377" t="s">
        <v>546</v>
      </c>
      <c r="H37" s="399" t="s">
        <v>442</v>
      </c>
      <c r="I37" s="400" t="s">
        <v>547</v>
      </c>
      <c r="J37" s="377" t="s">
        <v>548</v>
      </c>
      <c r="K37" s="377" t="s">
        <v>549</v>
      </c>
      <c r="L37" s="401">
        <v>3000</v>
      </c>
      <c r="M37" s="401"/>
      <c r="N37" s="401"/>
      <c r="O37" s="401"/>
      <c r="P37" s="401"/>
      <c r="Q37" s="401"/>
      <c r="R37" s="402"/>
    </row>
    <row r="38" spans="2:18" ht="28.8" customHeight="1" x14ac:dyDescent="0.3">
      <c r="B38" s="398" t="s">
        <v>550</v>
      </c>
      <c r="C38" s="377" t="s">
        <v>543</v>
      </c>
      <c r="D38" s="377" t="s">
        <v>551</v>
      </c>
      <c r="E38" s="377" t="s">
        <v>552</v>
      </c>
      <c r="F38" s="377">
        <v>3336859865</v>
      </c>
      <c r="G38" s="377" t="s">
        <v>553</v>
      </c>
      <c r="H38" s="399" t="s">
        <v>448</v>
      </c>
      <c r="I38" s="400" t="s">
        <v>554</v>
      </c>
      <c r="J38" s="377" t="s">
        <v>555</v>
      </c>
      <c r="K38" s="377" t="s">
        <v>549</v>
      </c>
      <c r="L38" s="401">
        <v>3000</v>
      </c>
      <c r="M38" s="401"/>
      <c r="N38" s="401"/>
      <c r="O38" s="401"/>
      <c r="P38" s="401"/>
      <c r="Q38" s="401"/>
      <c r="R38" s="402"/>
    </row>
    <row r="39" spans="2:18" ht="28.8" customHeight="1" x14ac:dyDescent="0.3">
      <c r="B39" s="398" t="s">
        <v>556</v>
      </c>
      <c r="C39" s="377" t="s">
        <v>543</v>
      </c>
      <c r="D39" s="377" t="s">
        <v>544</v>
      </c>
      <c r="E39" s="377" t="s">
        <v>545</v>
      </c>
      <c r="F39" s="377">
        <v>3336859865</v>
      </c>
      <c r="G39" s="377" t="s">
        <v>557</v>
      </c>
      <c r="H39" s="399" t="s">
        <v>454</v>
      </c>
      <c r="I39" s="400" t="s">
        <v>558</v>
      </c>
      <c r="J39" s="377" t="s">
        <v>559</v>
      </c>
      <c r="K39" s="377" t="s">
        <v>549</v>
      </c>
      <c r="L39" s="401">
        <v>3000</v>
      </c>
      <c r="M39" s="401"/>
      <c r="N39" s="401"/>
      <c r="O39" s="401"/>
      <c r="P39" s="401"/>
      <c r="Q39" s="401"/>
      <c r="R39" s="402"/>
    </row>
    <row r="40" spans="2:18" ht="28.8" customHeight="1" x14ac:dyDescent="0.3">
      <c r="B40" s="398" t="s">
        <v>560</v>
      </c>
      <c r="C40" s="377" t="s">
        <v>543</v>
      </c>
      <c r="D40" s="377" t="s">
        <v>561</v>
      </c>
      <c r="E40" s="377" t="s">
        <v>552</v>
      </c>
      <c r="F40" s="377">
        <v>3336859865</v>
      </c>
      <c r="G40" s="377" t="s">
        <v>562</v>
      </c>
      <c r="H40" s="399" t="s">
        <v>460</v>
      </c>
      <c r="I40" s="400" t="s">
        <v>563</v>
      </c>
      <c r="J40" s="377" t="s">
        <v>564</v>
      </c>
      <c r="K40" s="377" t="s">
        <v>549</v>
      </c>
      <c r="L40" s="401">
        <v>3000</v>
      </c>
      <c r="M40" s="401"/>
      <c r="N40" s="401"/>
      <c r="O40" s="401"/>
      <c r="P40" s="401"/>
      <c r="Q40" s="401"/>
      <c r="R40" s="402"/>
    </row>
    <row r="41" spans="2:18" ht="28.8" customHeight="1" thickBot="1" x14ac:dyDescent="0.35">
      <c r="B41" s="384"/>
      <c r="C41" s="385"/>
      <c r="D41" s="385"/>
      <c r="E41" s="385"/>
      <c r="F41" s="385"/>
      <c r="G41" s="385"/>
      <c r="H41" s="385"/>
      <c r="I41" s="385"/>
      <c r="J41" s="385"/>
      <c r="K41" s="385"/>
      <c r="L41" s="385"/>
      <c r="M41" s="385"/>
      <c r="N41" s="385"/>
      <c r="O41" s="385"/>
      <c r="P41" s="385"/>
      <c r="Q41" s="385"/>
      <c r="R41" s="386"/>
    </row>
    <row r="42" spans="2:18" ht="28.8" customHeight="1" x14ac:dyDescent="0.3"/>
    <row r="43" spans="2:18" ht="28.8" customHeight="1" x14ac:dyDescent="0.3"/>
    <row r="44" spans="2:18" ht="28.8" customHeight="1" x14ac:dyDescent="0.3"/>
    <row r="45" spans="2:18" ht="28.8" customHeight="1" x14ac:dyDescent="0.3"/>
    <row r="46" spans="2:18" ht="28.8" customHeight="1" x14ac:dyDescent="0.3"/>
    <row r="47" spans="2:18" ht="28.8" customHeight="1" x14ac:dyDescent="0.3"/>
    <row r="48" spans="2:18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3">
    <mergeCell ref="E10:K10"/>
    <mergeCell ref="M10:P10"/>
    <mergeCell ref="B35:R35"/>
  </mergeCells>
  <hyperlinks>
    <hyperlink ref="M28" r:id="rId1" display="andréa.melo29@email.com" xr:uid="{C4EA4A1B-26E0-42C9-BF70-66E6A36F238C}"/>
    <hyperlink ref="K15" r:id="rId2" xr:uid="{C21EECCD-46A6-4E2F-AC67-9E52B4A1B3D2}"/>
    <hyperlink ref="K26" r:id="rId3" xr:uid="{01799DF7-0412-4547-A33A-EA963AC7CC6F}"/>
    <hyperlink ref="K19" r:id="rId4" xr:uid="{9669162A-2754-450F-82E3-02FF3260D66E}"/>
    <hyperlink ref="I37" r:id="rId5" xr:uid="{7D8812B5-5549-4813-820A-E534AC0B5D92}"/>
    <hyperlink ref="I38" r:id="rId6" xr:uid="{25BE2819-D5BA-41F5-9755-92749E0ADFC9}"/>
    <hyperlink ref="I39" r:id="rId7" xr:uid="{949DFCA6-CB6D-4FA8-99CD-A6C4D233CD59}"/>
    <hyperlink ref="I40" r:id="rId8" xr:uid="{284D7F50-88EB-4A0B-94B5-EF2ACECCDABA}"/>
  </hyperlinks>
  <pageMargins left="0.511811024" right="0.511811024" top="0.78740157499999996" bottom="0.78740157499999996" header="0.31496062000000002" footer="0.31496062000000002"/>
  <pageSetup paperSize="9" orientation="portrait" r:id="rId9"/>
  <drawing r:id="rId1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7C82B-B2A8-4BD4-9508-2C22EEC577A0}">
  <sheetPr codeName="Planilha59">
    <tabColor rgb="FF171717"/>
  </sheetPr>
  <dimension ref="A1:AU66"/>
  <sheetViews>
    <sheetView tabSelected="1" zoomScale="40" zoomScaleNormal="40" workbookViewId="0">
      <selection activeCell="C19" sqref="C19"/>
    </sheetView>
  </sheetViews>
  <sheetFormatPr defaultRowHeight="14.4" x14ac:dyDescent="0.3"/>
  <cols>
    <col min="1" max="1" width="8.88671875" style="126"/>
    <col min="2" max="2" width="14.33203125" style="126" bestFit="1" customWidth="1"/>
    <col min="3" max="3" width="36.109375" style="126" customWidth="1"/>
    <col min="4" max="4" width="30.33203125" style="126" customWidth="1"/>
    <col min="5" max="5" width="21" style="126" bestFit="1" customWidth="1"/>
    <col min="6" max="6" width="45.44140625" style="126" bestFit="1" customWidth="1"/>
    <col min="7" max="7" width="34" style="126" bestFit="1" customWidth="1"/>
    <col min="8" max="8" width="50.44140625" style="126" bestFit="1" customWidth="1"/>
    <col min="9" max="9" width="46.21875" style="126" bestFit="1" customWidth="1"/>
    <col min="10" max="10" width="35.6640625" style="126" bestFit="1" customWidth="1"/>
    <col min="11" max="11" width="36.21875" style="126" bestFit="1" customWidth="1"/>
    <col min="12" max="12" width="36" style="126" bestFit="1" customWidth="1"/>
    <col min="13" max="13" width="49.44140625" style="126" customWidth="1"/>
    <col min="14" max="14" width="28.109375" style="126" bestFit="1" customWidth="1"/>
    <col min="15" max="15" width="17" style="126" bestFit="1" customWidth="1"/>
    <col min="16" max="16" width="33" style="126" bestFit="1" customWidth="1"/>
    <col min="17" max="17" width="12.5546875" style="126" bestFit="1" customWidth="1"/>
    <col min="18" max="18" width="13" style="126" bestFit="1" customWidth="1"/>
    <col min="19" max="19" width="8.88671875" style="126"/>
    <col min="20" max="20" width="23.44140625" style="126" bestFit="1" customWidth="1"/>
    <col min="21" max="21" width="2.6640625" style="126" bestFit="1" customWidth="1"/>
    <col min="22" max="22" width="51.109375" style="126" customWidth="1"/>
    <col min="23" max="16384" width="8.88671875" style="126"/>
  </cols>
  <sheetData>
    <row r="1" spans="1:47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  <c r="AF1" s="127"/>
      <c r="AG1" s="127"/>
      <c r="AH1" s="127"/>
      <c r="AI1" s="127"/>
      <c r="AJ1" s="127"/>
      <c r="AK1" s="127"/>
      <c r="AL1" s="127"/>
      <c r="AM1" s="127"/>
      <c r="AN1" s="127"/>
      <c r="AO1" s="127"/>
      <c r="AP1" s="127"/>
      <c r="AQ1" s="127"/>
      <c r="AR1" s="127"/>
      <c r="AS1" s="127"/>
      <c r="AT1" s="127"/>
      <c r="AU1" s="127"/>
    </row>
    <row r="2" spans="1:47" x14ac:dyDescent="0.3">
      <c r="A2" s="127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  <c r="R2" s="127"/>
      <c r="S2" s="127"/>
      <c r="T2" s="127"/>
      <c r="U2" s="127"/>
      <c r="V2" s="127"/>
      <c r="W2" s="127"/>
      <c r="X2" s="127"/>
      <c r="Y2" s="127"/>
      <c r="Z2" s="127"/>
      <c r="AA2" s="127"/>
      <c r="AB2" s="127"/>
      <c r="AC2" s="127"/>
      <c r="AD2" s="127"/>
      <c r="AE2" s="127"/>
      <c r="AF2" s="127"/>
      <c r="AG2" s="127"/>
      <c r="AH2" s="127"/>
      <c r="AI2" s="127"/>
      <c r="AJ2" s="127"/>
      <c r="AK2" s="127"/>
      <c r="AL2" s="127"/>
      <c r="AM2" s="127"/>
      <c r="AN2" s="127"/>
      <c r="AO2" s="127"/>
      <c r="AP2" s="127"/>
      <c r="AQ2" s="127"/>
      <c r="AR2" s="127"/>
      <c r="AS2" s="127"/>
      <c r="AT2" s="127"/>
      <c r="AU2" s="127"/>
    </row>
    <row r="3" spans="1:47" ht="61.2" customHeight="1" x14ac:dyDescent="0.3">
      <c r="A3" s="127"/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  <c r="R3" s="127"/>
      <c r="S3" s="127"/>
      <c r="T3" s="127"/>
      <c r="U3" s="127"/>
      <c r="V3" s="127"/>
      <c r="W3" s="127"/>
      <c r="X3" s="127"/>
      <c r="Y3" s="127"/>
      <c r="Z3" s="127"/>
      <c r="AA3" s="127"/>
      <c r="AB3" s="127"/>
      <c r="AC3" s="127"/>
      <c r="AD3" s="127"/>
      <c r="AE3" s="127"/>
      <c r="AF3" s="127"/>
      <c r="AG3" s="127"/>
      <c r="AH3" s="127"/>
      <c r="AI3" s="127"/>
      <c r="AJ3" s="127"/>
      <c r="AK3" s="127"/>
      <c r="AL3" s="127"/>
      <c r="AM3" s="127"/>
      <c r="AN3" s="127"/>
      <c r="AO3" s="127"/>
      <c r="AP3" s="127"/>
      <c r="AQ3" s="127"/>
      <c r="AR3" s="127"/>
      <c r="AS3" s="127"/>
      <c r="AT3" s="127"/>
      <c r="AU3" s="127"/>
    </row>
    <row r="4" spans="1:47" ht="46.2" customHeight="1" x14ac:dyDescent="0.3">
      <c r="A4" s="177"/>
      <c r="B4" s="177"/>
      <c r="C4" s="177"/>
      <c r="D4" s="177"/>
      <c r="E4" s="177"/>
      <c r="F4" s="177"/>
      <c r="G4" s="177"/>
      <c r="H4" s="177"/>
      <c r="I4" s="177"/>
      <c r="J4" s="177"/>
      <c r="K4" s="177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</row>
    <row r="5" spans="1:47" x14ac:dyDescent="0.3">
      <c r="A5" s="177"/>
      <c r="B5" s="177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</row>
    <row r="6" spans="1:47" x14ac:dyDescent="0.3">
      <c r="A6" s="177"/>
      <c r="B6" s="177"/>
      <c r="C6" s="177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</row>
    <row r="7" spans="1:47" x14ac:dyDescent="0.3">
      <c r="A7" s="177"/>
      <c r="B7" s="177"/>
      <c r="C7" s="177"/>
      <c r="D7" s="177"/>
      <c r="E7" s="177"/>
      <c r="F7" s="177"/>
      <c r="G7" s="177"/>
      <c r="H7" s="177"/>
      <c r="I7" s="177"/>
      <c r="J7" s="177"/>
      <c r="K7" s="177"/>
      <c r="L7" s="177"/>
      <c r="M7" s="177"/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</row>
    <row r="8" spans="1:47" ht="28.8" customHeight="1" x14ac:dyDescent="0.3"/>
    <row r="9" spans="1:47" ht="28.8" customHeight="1" x14ac:dyDescent="0.3"/>
    <row r="10" spans="1:47" ht="28.8" customHeight="1" x14ac:dyDescent="0.3"/>
    <row r="11" spans="1:47" ht="28.8" customHeight="1" x14ac:dyDescent="0.3">
      <c r="E11" s="550" t="s">
        <v>565</v>
      </c>
      <c r="F11" s="550"/>
      <c r="G11" s="550"/>
      <c r="H11" s="550"/>
      <c r="I11" s="550"/>
      <c r="J11" s="404"/>
      <c r="K11" s="404"/>
      <c r="L11" s="360"/>
    </row>
    <row r="12" spans="1:47" ht="28.8" customHeight="1" x14ac:dyDescent="0.4">
      <c r="E12" s="551" t="s">
        <v>282</v>
      </c>
      <c r="F12" s="551" t="s">
        <v>566</v>
      </c>
      <c r="G12" s="552" t="s">
        <v>367</v>
      </c>
      <c r="H12" s="551" t="s">
        <v>368</v>
      </c>
      <c r="I12" s="551" t="s">
        <v>567</v>
      </c>
      <c r="J12" s="407"/>
      <c r="K12" s="407"/>
      <c r="L12" s="355"/>
    </row>
    <row r="13" spans="1:47" ht="28.8" customHeight="1" x14ac:dyDescent="0.4">
      <c r="E13" s="553"/>
      <c r="F13" s="553"/>
      <c r="G13" s="554">
        <v>20</v>
      </c>
      <c r="H13" s="553"/>
      <c r="I13" s="553" t="s">
        <v>568</v>
      </c>
      <c r="J13" s="95"/>
      <c r="K13" s="410"/>
      <c r="L13" s="355"/>
    </row>
    <row r="14" spans="1:47" ht="28.8" customHeight="1" x14ac:dyDescent="0.35">
      <c r="E14" s="553"/>
      <c r="F14" s="555"/>
      <c r="G14" s="556">
        <v>30</v>
      </c>
      <c r="H14" s="553"/>
      <c r="I14" s="553" t="s">
        <v>568</v>
      </c>
      <c r="J14" s="95"/>
      <c r="K14" s="371"/>
      <c r="L14" s="355"/>
    </row>
    <row r="15" spans="1:47" ht="28.8" customHeight="1" x14ac:dyDescent="0.35">
      <c r="E15" s="553"/>
      <c r="F15" s="553"/>
      <c r="G15" s="556">
        <v>23</v>
      </c>
      <c r="H15" s="553"/>
      <c r="I15" s="553" t="s">
        <v>568</v>
      </c>
      <c r="J15" s="95"/>
      <c r="K15" s="410"/>
      <c r="L15" s="355"/>
    </row>
    <row r="16" spans="1:47" ht="28.8" customHeight="1" x14ac:dyDescent="0.35">
      <c r="E16" s="553"/>
      <c r="F16" s="553"/>
      <c r="G16" s="556">
        <v>50</v>
      </c>
      <c r="H16" s="553"/>
      <c r="I16" s="553" t="s">
        <v>568</v>
      </c>
      <c r="J16" s="95"/>
      <c r="K16" s="413"/>
      <c r="L16" s="1"/>
    </row>
    <row r="17" spans="5:12" ht="28.8" customHeight="1" x14ac:dyDescent="0.35">
      <c r="E17" s="553"/>
      <c r="F17" s="553"/>
      <c r="G17" s="556">
        <v>77</v>
      </c>
      <c r="H17" s="553"/>
      <c r="I17" s="553" t="s">
        <v>568</v>
      </c>
      <c r="J17" s="95"/>
      <c r="K17" s="371"/>
      <c r="L17" s="1"/>
    </row>
    <row r="18" spans="5:12" ht="28.8" customHeight="1" x14ac:dyDescent="0.35">
      <c r="E18" s="553"/>
      <c r="F18" s="553"/>
      <c r="G18" s="556">
        <v>55</v>
      </c>
      <c r="H18" s="553"/>
      <c r="I18" s="553" t="s">
        <v>568</v>
      </c>
      <c r="J18" s="95"/>
      <c r="K18" s="410"/>
      <c r="L18" s="1"/>
    </row>
    <row r="19" spans="5:12" ht="28.8" customHeight="1" x14ac:dyDescent="0.35">
      <c r="E19" s="553"/>
      <c r="F19" s="553"/>
      <c r="G19" s="556">
        <v>130</v>
      </c>
      <c r="H19" s="553"/>
      <c r="I19" s="553" t="s">
        <v>568</v>
      </c>
      <c r="J19" s="95"/>
      <c r="K19" s="410"/>
    </row>
    <row r="20" spans="5:12" ht="28.8" customHeight="1" x14ac:dyDescent="0.35">
      <c r="E20" s="553"/>
      <c r="F20" s="553"/>
      <c r="G20" s="556">
        <v>62</v>
      </c>
      <c r="H20" s="553"/>
      <c r="I20" s="553" t="s">
        <v>568</v>
      </c>
      <c r="J20" s="95"/>
      <c r="K20" s="414"/>
    </row>
    <row r="21" spans="5:12" ht="28.8" customHeight="1" x14ac:dyDescent="0.35">
      <c r="E21" s="553"/>
      <c r="F21" s="553"/>
      <c r="G21" s="556">
        <v>8</v>
      </c>
      <c r="H21" s="553"/>
      <c r="I21" s="553" t="s">
        <v>568</v>
      </c>
      <c r="J21" s="95"/>
      <c r="K21" s="410"/>
    </row>
    <row r="22" spans="5:12" ht="28.8" customHeight="1" x14ac:dyDescent="0.35">
      <c r="E22" s="553"/>
      <c r="F22" s="553"/>
      <c r="G22" s="556">
        <v>54</v>
      </c>
      <c r="H22" s="553"/>
      <c r="I22" s="553" t="s">
        <v>568</v>
      </c>
      <c r="J22" s="95"/>
      <c r="K22" s="371"/>
    </row>
    <row r="23" spans="5:12" ht="28.8" customHeight="1" x14ac:dyDescent="0.35">
      <c r="E23" s="553"/>
      <c r="F23" s="553"/>
      <c r="G23" s="556">
        <v>4</v>
      </c>
      <c r="H23" s="553"/>
      <c r="I23" s="553" t="s">
        <v>568</v>
      </c>
      <c r="J23" s="95"/>
      <c r="K23" s="371"/>
    </row>
    <row r="24" spans="5:12" ht="28.8" customHeight="1" x14ac:dyDescent="0.35">
      <c r="E24" s="553"/>
      <c r="F24" s="553"/>
      <c r="G24" s="556">
        <v>64</v>
      </c>
      <c r="H24" s="553"/>
      <c r="I24" s="553" t="s">
        <v>568</v>
      </c>
      <c r="J24" s="95"/>
      <c r="K24" s="415"/>
    </row>
    <row r="25" spans="5:12" ht="28.8" customHeight="1" x14ac:dyDescent="0.35">
      <c r="E25" s="553"/>
      <c r="F25" s="553"/>
      <c r="G25" s="556">
        <v>78</v>
      </c>
      <c r="H25" s="553"/>
      <c r="I25" s="553" t="s">
        <v>568</v>
      </c>
      <c r="J25" s="95"/>
      <c r="K25" s="410"/>
      <c r="L25" s="383"/>
    </row>
    <row r="26" spans="5:12" ht="28.8" customHeight="1" thickBot="1" x14ac:dyDescent="0.35">
      <c r="E26" s="95"/>
      <c r="F26" s="95"/>
      <c r="G26" s="95"/>
      <c r="H26" s="410"/>
      <c r="I26" s="95"/>
      <c r="J26" s="95"/>
      <c r="K26" s="410"/>
    </row>
    <row r="27" spans="5:12" ht="28.8" customHeight="1" x14ac:dyDescent="0.4">
      <c r="E27" s="510" t="s">
        <v>569</v>
      </c>
      <c r="F27" s="511"/>
      <c r="G27" s="511"/>
      <c r="H27" s="511"/>
      <c r="I27" s="511"/>
      <c r="J27" s="511"/>
      <c r="K27" s="511"/>
      <c r="L27" s="512"/>
    </row>
    <row r="28" spans="5:12" ht="28.8" customHeight="1" x14ac:dyDescent="0.3">
      <c r="E28" s="557" t="s">
        <v>220</v>
      </c>
      <c r="F28" s="461" t="s">
        <v>570</v>
      </c>
      <c r="G28" s="461" t="s">
        <v>571</v>
      </c>
      <c r="H28" s="461" t="s">
        <v>572</v>
      </c>
      <c r="I28" s="461" t="s">
        <v>573</v>
      </c>
      <c r="J28" s="461" t="s">
        <v>574</v>
      </c>
      <c r="K28" s="461" t="s">
        <v>575</v>
      </c>
      <c r="L28" s="558" t="s">
        <v>576</v>
      </c>
    </row>
    <row r="29" spans="5:12" ht="28.8" customHeight="1" x14ac:dyDescent="0.4">
      <c r="E29" s="559"/>
      <c r="F29" s="509"/>
      <c r="G29" s="509"/>
      <c r="H29" s="509"/>
      <c r="I29" s="509"/>
      <c r="J29" s="538"/>
      <c r="K29" s="538"/>
      <c r="L29" s="539"/>
    </row>
    <row r="30" spans="5:12" ht="28.8" customHeight="1" x14ac:dyDescent="0.4">
      <c r="E30" s="559"/>
      <c r="F30" s="509"/>
      <c r="G30" s="509"/>
      <c r="H30" s="509"/>
      <c r="I30" s="509"/>
      <c r="J30" s="538"/>
      <c r="K30" s="538"/>
      <c r="L30" s="539"/>
    </row>
    <row r="31" spans="5:12" ht="28.8" customHeight="1" x14ac:dyDescent="0.4">
      <c r="E31" s="537"/>
      <c r="F31" s="538"/>
      <c r="G31" s="538"/>
      <c r="H31" s="538"/>
      <c r="I31" s="538"/>
      <c r="J31" s="538"/>
      <c r="K31" s="538"/>
      <c r="L31" s="539"/>
    </row>
    <row r="32" spans="5:12" ht="28.8" customHeight="1" x14ac:dyDescent="0.4">
      <c r="E32" s="537"/>
      <c r="F32" s="538"/>
      <c r="G32" s="538"/>
      <c r="H32" s="538"/>
      <c r="I32" s="538"/>
      <c r="J32" s="538"/>
      <c r="K32" s="538"/>
      <c r="L32" s="539"/>
    </row>
    <row r="33" spans="5:12" ht="28.8" customHeight="1" x14ac:dyDescent="0.4">
      <c r="E33" s="537"/>
      <c r="F33" s="538"/>
      <c r="G33" s="538"/>
      <c r="H33" s="538"/>
      <c r="I33" s="538"/>
      <c r="J33" s="538"/>
      <c r="K33" s="538"/>
      <c r="L33" s="539"/>
    </row>
    <row r="34" spans="5:12" ht="28.8" customHeight="1" thickBot="1" x14ac:dyDescent="0.45">
      <c r="E34" s="540"/>
      <c r="F34" s="541"/>
      <c r="G34" s="541"/>
      <c r="H34" s="541"/>
      <c r="I34" s="541"/>
      <c r="J34" s="541"/>
      <c r="K34" s="541"/>
      <c r="L34" s="542"/>
    </row>
    <row r="35" spans="5:12" ht="28.8" customHeight="1" x14ac:dyDescent="0.3"/>
    <row r="36" spans="5:12" ht="28.8" customHeight="1" x14ac:dyDescent="0.3"/>
    <row r="37" spans="5:12" ht="28.8" customHeight="1" x14ac:dyDescent="0.3"/>
    <row r="38" spans="5:12" ht="28.8" customHeight="1" x14ac:dyDescent="0.3"/>
    <row r="39" spans="5:12" ht="28.8" customHeight="1" x14ac:dyDescent="0.3"/>
    <row r="40" spans="5:12" ht="28.8" customHeight="1" x14ac:dyDescent="0.3"/>
    <row r="41" spans="5:12" ht="28.8" customHeight="1" x14ac:dyDescent="0.3"/>
    <row r="42" spans="5:12" ht="28.8" customHeight="1" x14ac:dyDescent="0.3"/>
    <row r="43" spans="5:12" ht="28.8" customHeight="1" x14ac:dyDescent="0.3"/>
    <row r="44" spans="5:12" ht="28.8" customHeight="1" x14ac:dyDescent="0.3"/>
    <row r="45" spans="5:12" ht="28.8" customHeight="1" x14ac:dyDescent="0.3"/>
    <row r="46" spans="5:12" ht="28.8" customHeight="1" x14ac:dyDescent="0.3"/>
    <row r="47" spans="5:12" ht="28.8" customHeight="1" x14ac:dyDescent="0.3"/>
    <row r="48" spans="5:12" ht="28.8" customHeight="1" x14ac:dyDescent="0.3"/>
    <row r="49" ht="28.8" customHeight="1" x14ac:dyDescent="0.3"/>
    <row r="50" ht="28.8" customHeight="1" x14ac:dyDescent="0.3"/>
    <row r="51" ht="28.8" customHeight="1" x14ac:dyDescent="0.3"/>
    <row r="52" ht="28.8" customHeight="1" x14ac:dyDescent="0.3"/>
    <row r="53" ht="28.8" customHeight="1" x14ac:dyDescent="0.3"/>
    <row r="54" ht="28.8" customHeight="1" x14ac:dyDescent="0.3"/>
    <row r="55" ht="28.8" customHeight="1" x14ac:dyDescent="0.3"/>
    <row r="56" ht="28.8" customHeight="1" x14ac:dyDescent="0.3"/>
    <row r="57" ht="28.8" customHeight="1" x14ac:dyDescent="0.3"/>
    <row r="58" ht="28.8" customHeight="1" x14ac:dyDescent="0.3"/>
    <row r="59" ht="28.8" customHeight="1" x14ac:dyDescent="0.3"/>
    <row r="60" ht="28.8" customHeight="1" x14ac:dyDescent="0.3"/>
    <row r="61" ht="28.8" customHeight="1" x14ac:dyDescent="0.3"/>
    <row r="62" ht="28.8" customHeight="1" x14ac:dyDescent="0.3"/>
    <row r="63" ht="28.8" customHeight="1" x14ac:dyDescent="0.3"/>
    <row r="64" ht="28.8" customHeight="1" x14ac:dyDescent="0.3"/>
    <row r="65" ht="28.8" customHeight="1" x14ac:dyDescent="0.3"/>
    <row r="66" ht="28.8" customHeight="1" x14ac:dyDescent="0.3"/>
  </sheetData>
  <mergeCells count="2">
    <mergeCell ref="E11:I11"/>
    <mergeCell ref="E27:L27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24952-B8F5-4D2E-B0D6-75E649AE77CA}">
  <sheetPr codeName="Planilha46">
    <tabColor rgb="FFFF0000"/>
  </sheetPr>
  <dimension ref="A1:AE37"/>
  <sheetViews>
    <sheetView showGridLines="0" zoomScale="55" zoomScaleNormal="55" workbookViewId="0">
      <selection activeCell="D8" sqref="D8"/>
    </sheetView>
  </sheetViews>
  <sheetFormatPr defaultRowHeight="14.4" x14ac:dyDescent="0.3"/>
  <cols>
    <col min="1" max="2" width="8.88671875" style="126"/>
    <col min="3" max="3" width="30.5546875" style="126" bestFit="1" customWidth="1"/>
    <col min="4" max="4" width="21.109375" style="126" bestFit="1" customWidth="1"/>
    <col min="5" max="5" width="17.88671875" style="126" bestFit="1" customWidth="1"/>
    <col min="6" max="6" width="31.77734375" style="126" bestFit="1" customWidth="1"/>
    <col min="7" max="7" width="16.109375" style="126" bestFit="1" customWidth="1"/>
    <col min="8" max="8" width="13.33203125" style="126" bestFit="1" customWidth="1"/>
    <col min="9" max="9" width="32.21875" style="126" bestFit="1" customWidth="1"/>
    <col min="10" max="10" width="19.33203125" style="126" customWidth="1"/>
    <col min="11" max="11" width="29.5546875" style="126" bestFit="1" customWidth="1"/>
    <col min="12" max="12" width="28" style="126" bestFit="1" customWidth="1"/>
    <col min="13" max="13" width="21.33203125" style="126" bestFit="1" customWidth="1"/>
    <col min="14" max="14" width="31" style="126" bestFit="1" customWidth="1"/>
    <col min="15" max="16384" width="8.88671875" style="126"/>
  </cols>
  <sheetData>
    <row r="1" spans="1:31" ht="61.5" customHeight="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</row>
    <row r="2" spans="1:31" ht="46.2" customHeight="1" x14ac:dyDescent="0.3">
      <c r="A2" s="346"/>
      <c r="B2" s="346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  <c r="R2" s="346"/>
      <c r="S2" s="346"/>
      <c r="T2" s="346"/>
      <c r="U2" s="346"/>
      <c r="V2" s="346"/>
      <c r="W2" s="346"/>
      <c r="X2" s="346"/>
      <c r="Y2" s="346"/>
      <c r="Z2" s="346"/>
      <c r="AA2" s="346"/>
      <c r="AB2" s="346"/>
      <c r="AC2" s="346"/>
      <c r="AD2" s="346"/>
      <c r="AE2" s="346"/>
    </row>
    <row r="4" spans="1:31" x14ac:dyDescent="0.3">
      <c r="B4" s="1"/>
      <c r="C4" s="1"/>
      <c r="D4" s="1"/>
      <c r="E4" s="1"/>
      <c r="F4" s="1"/>
      <c r="G4" s="1"/>
      <c r="H4" s="1"/>
      <c r="I4" s="1"/>
      <c r="J4" s="1"/>
      <c r="K4" s="1"/>
    </row>
    <row r="5" spans="1:31" ht="18" thickBot="1" x14ac:dyDescent="0.35">
      <c r="B5" s="1"/>
      <c r="C5" s="355"/>
      <c r="D5" s="356"/>
      <c r="E5" s="356"/>
      <c r="F5" s="1"/>
      <c r="G5" s="1"/>
      <c r="H5" s="355"/>
      <c r="I5" s="356"/>
      <c r="J5" s="356"/>
      <c r="K5" s="1"/>
    </row>
    <row r="6" spans="1:31" ht="18" thickBot="1" x14ac:dyDescent="0.35">
      <c r="B6" s="1"/>
      <c r="C6" s="357" t="s">
        <v>364</v>
      </c>
      <c r="D6" s="358"/>
      <c r="E6" s="358"/>
      <c r="F6" s="358"/>
      <c r="G6" s="358"/>
      <c r="H6" s="358"/>
      <c r="I6" s="359"/>
      <c r="J6" s="360"/>
      <c r="K6" s="361" t="s">
        <v>404</v>
      </c>
      <c r="L6" s="362"/>
      <c r="M6" s="362"/>
      <c r="N6" s="363"/>
      <c r="O6" s="364"/>
    </row>
    <row r="7" spans="1:31" x14ac:dyDescent="0.3">
      <c r="B7" s="1"/>
      <c r="C7" s="365" t="s">
        <v>287</v>
      </c>
      <c r="D7" s="366" t="s">
        <v>365</v>
      </c>
      <c r="E7" s="366" t="s">
        <v>405</v>
      </c>
      <c r="F7" s="366" t="s">
        <v>293</v>
      </c>
      <c r="G7" s="366" t="s">
        <v>399</v>
      </c>
      <c r="H7" s="366" t="s">
        <v>406</v>
      </c>
      <c r="I7" s="367" t="s">
        <v>407</v>
      </c>
      <c r="J7" s="355"/>
      <c r="K7" s="368" t="s">
        <v>408</v>
      </c>
      <c r="L7" s="369" t="s">
        <v>365</v>
      </c>
      <c r="M7" s="369" t="s">
        <v>294</v>
      </c>
      <c r="N7" s="370" t="s">
        <v>405</v>
      </c>
      <c r="O7" s="371"/>
    </row>
    <row r="8" spans="1:31" x14ac:dyDescent="0.3">
      <c r="B8" s="1"/>
      <c r="C8" s="372" t="s">
        <v>409</v>
      </c>
      <c r="D8" s="373" t="s">
        <v>410</v>
      </c>
      <c r="E8" s="373" t="s">
        <v>411</v>
      </c>
      <c r="F8" s="374" t="s">
        <v>412</v>
      </c>
      <c r="G8" s="373" t="s">
        <v>413</v>
      </c>
      <c r="H8" s="373" t="s">
        <v>414</v>
      </c>
      <c r="I8" s="375" t="s">
        <v>415</v>
      </c>
      <c r="J8" s="355"/>
      <c r="K8" s="376"/>
      <c r="L8" s="377"/>
      <c r="M8" s="377"/>
      <c r="N8" s="378"/>
      <c r="O8" s="371"/>
    </row>
    <row r="9" spans="1:31" x14ac:dyDescent="0.3">
      <c r="B9" s="1"/>
      <c r="C9" s="372" t="s">
        <v>416</v>
      </c>
      <c r="D9" s="373" t="s">
        <v>417</v>
      </c>
      <c r="E9" s="373" t="s">
        <v>418</v>
      </c>
      <c r="F9" s="374" t="s">
        <v>419</v>
      </c>
      <c r="G9" s="373" t="s">
        <v>420</v>
      </c>
      <c r="H9" s="373" t="s">
        <v>414</v>
      </c>
      <c r="I9" s="379" t="s">
        <v>421</v>
      </c>
      <c r="J9" s="355"/>
      <c r="K9" s="376"/>
      <c r="L9" s="377"/>
      <c r="M9" s="377"/>
      <c r="N9" s="378"/>
      <c r="O9" s="371"/>
    </row>
    <row r="10" spans="1:31" x14ac:dyDescent="0.3">
      <c r="B10" s="1"/>
      <c r="C10" s="372" t="s">
        <v>422</v>
      </c>
      <c r="D10" s="373" t="s">
        <v>423</v>
      </c>
      <c r="E10" s="373" t="s">
        <v>424</v>
      </c>
      <c r="F10" s="374" t="s">
        <v>425</v>
      </c>
      <c r="G10" s="373" t="s">
        <v>426</v>
      </c>
      <c r="H10" s="373" t="s">
        <v>414</v>
      </c>
      <c r="I10" s="375" t="s">
        <v>427</v>
      </c>
      <c r="J10" s="355"/>
      <c r="K10" s="376"/>
      <c r="L10" s="377"/>
      <c r="M10" s="377"/>
      <c r="N10" s="378"/>
      <c r="O10" s="371"/>
    </row>
    <row r="11" spans="1:31" x14ac:dyDescent="0.3">
      <c r="B11" s="1"/>
      <c r="C11" s="372" t="s">
        <v>428</v>
      </c>
      <c r="D11" s="373" t="s">
        <v>429</v>
      </c>
      <c r="E11" s="373" t="s">
        <v>430</v>
      </c>
      <c r="F11" s="374" t="s">
        <v>431</v>
      </c>
      <c r="G11" s="373" t="s">
        <v>414</v>
      </c>
      <c r="H11" s="373" t="s">
        <v>414</v>
      </c>
      <c r="I11" s="380" t="s">
        <v>432</v>
      </c>
      <c r="J11" s="1"/>
      <c r="K11" s="376"/>
      <c r="L11" s="377"/>
      <c r="M11" s="377"/>
      <c r="N11" s="378"/>
      <c r="O11" s="371"/>
    </row>
    <row r="12" spans="1:31" x14ac:dyDescent="0.3">
      <c r="B12" s="1"/>
      <c r="C12" s="372" t="s">
        <v>433</v>
      </c>
      <c r="D12" s="373" t="s">
        <v>434</v>
      </c>
      <c r="E12" s="373" t="s">
        <v>435</v>
      </c>
      <c r="F12" s="374" t="s">
        <v>436</v>
      </c>
      <c r="G12" s="373" t="s">
        <v>437</v>
      </c>
      <c r="H12" s="373" t="s">
        <v>414</v>
      </c>
      <c r="I12" s="379" t="s">
        <v>438</v>
      </c>
      <c r="J12" s="1"/>
      <c r="K12" s="376"/>
      <c r="L12" s="377"/>
      <c r="M12" s="377"/>
      <c r="N12" s="378"/>
      <c r="O12" s="371"/>
    </row>
    <row r="13" spans="1:31" x14ac:dyDescent="0.3">
      <c r="B13" s="1"/>
      <c r="C13" s="372" t="s">
        <v>439</v>
      </c>
      <c r="D13" s="373" t="s">
        <v>440</v>
      </c>
      <c r="E13" s="373" t="s">
        <v>441</v>
      </c>
      <c r="F13" s="374" t="s">
        <v>442</v>
      </c>
      <c r="G13" s="373" t="s">
        <v>443</v>
      </c>
      <c r="H13" s="373" t="s">
        <v>414</v>
      </c>
      <c r="I13" s="375" t="s">
        <v>444</v>
      </c>
      <c r="J13" s="1"/>
      <c r="K13" s="376"/>
      <c r="L13" s="377"/>
      <c r="M13" s="377"/>
      <c r="N13" s="378"/>
      <c r="O13" s="371"/>
    </row>
    <row r="14" spans="1:31" x14ac:dyDescent="0.3">
      <c r="C14" s="372" t="s">
        <v>445</v>
      </c>
      <c r="D14" s="373" t="s">
        <v>446</v>
      </c>
      <c r="E14" s="373" t="s">
        <v>447</v>
      </c>
      <c r="F14" s="374" t="s">
        <v>448</v>
      </c>
      <c r="G14" s="373" t="s">
        <v>449</v>
      </c>
      <c r="H14" s="373" t="s">
        <v>414</v>
      </c>
      <c r="I14" s="375" t="s">
        <v>450</v>
      </c>
      <c r="K14" s="376"/>
      <c r="L14" s="377"/>
      <c r="M14" s="377"/>
      <c r="N14" s="378"/>
      <c r="O14" s="371"/>
    </row>
    <row r="15" spans="1:31" x14ac:dyDescent="0.3">
      <c r="C15" s="372" t="s">
        <v>451</v>
      </c>
      <c r="D15" s="373" t="s">
        <v>452</v>
      </c>
      <c r="E15" s="373" t="s">
        <v>453</v>
      </c>
      <c r="F15" s="374" t="s">
        <v>454</v>
      </c>
      <c r="G15" s="373" t="s">
        <v>455</v>
      </c>
      <c r="H15" s="373" t="s">
        <v>414</v>
      </c>
      <c r="I15" s="381" t="s">
        <v>456</v>
      </c>
      <c r="K15" s="376"/>
      <c r="L15" s="377"/>
      <c r="M15" s="377"/>
      <c r="N15" s="378"/>
      <c r="O15" s="371"/>
    </row>
    <row r="16" spans="1:31" x14ac:dyDescent="0.3">
      <c r="C16" s="372" t="s">
        <v>457</v>
      </c>
      <c r="D16" s="373" t="s">
        <v>458</v>
      </c>
      <c r="E16" s="373" t="s">
        <v>459</v>
      </c>
      <c r="F16" s="374" t="s">
        <v>460</v>
      </c>
      <c r="G16" s="373" t="s">
        <v>461</v>
      </c>
      <c r="H16" s="373" t="s">
        <v>462</v>
      </c>
      <c r="I16" s="375" t="s">
        <v>463</v>
      </c>
      <c r="K16" s="376"/>
      <c r="L16" s="377"/>
      <c r="M16" s="377"/>
      <c r="N16" s="378"/>
      <c r="O16" s="371"/>
    </row>
    <row r="17" spans="3:19" x14ac:dyDescent="0.3">
      <c r="C17" s="372" t="s">
        <v>464</v>
      </c>
      <c r="D17" s="373" t="s">
        <v>465</v>
      </c>
      <c r="E17" s="373" t="s">
        <v>466</v>
      </c>
      <c r="F17" s="374" t="s">
        <v>467</v>
      </c>
      <c r="G17" s="373" t="s">
        <v>468</v>
      </c>
      <c r="H17" s="373" t="s">
        <v>462</v>
      </c>
      <c r="I17" s="379" t="s">
        <v>469</v>
      </c>
      <c r="K17" s="376"/>
      <c r="L17" s="377"/>
      <c r="M17" s="377"/>
      <c r="N17" s="378"/>
      <c r="O17" s="371"/>
    </row>
    <row r="18" spans="3:19" x14ac:dyDescent="0.3">
      <c r="C18" s="372" t="s">
        <v>470</v>
      </c>
      <c r="D18" s="373" t="s">
        <v>471</v>
      </c>
      <c r="E18" s="373" t="s">
        <v>472</v>
      </c>
      <c r="F18" s="374" t="s">
        <v>473</v>
      </c>
      <c r="G18" s="373" t="s">
        <v>474</v>
      </c>
      <c r="H18" s="373" t="s">
        <v>462</v>
      </c>
      <c r="I18" s="379" t="s">
        <v>475</v>
      </c>
      <c r="K18" s="376"/>
      <c r="L18" s="377"/>
      <c r="M18" s="377"/>
      <c r="N18" s="378"/>
      <c r="O18" s="371"/>
    </row>
    <row r="19" spans="3:19" x14ac:dyDescent="0.3">
      <c r="C19" s="372" t="s">
        <v>476</v>
      </c>
      <c r="D19" s="373" t="s">
        <v>477</v>
      </c>
      <c r="E19" s="373" t="s">
        <v>478</v>
      </c>
      <c r="F19" s="374" t="s">
        <v>479</v>
      </c>
      <c r="G19" s="373" t="s">
        <v>480</v>
      </c>
      <c r="H19" s="373" t="s">
        <v>462</v>
      </c>
      <c r="I19" s="382" t="s">
        <v>481</v>
      </c>
      <c r="K19" s="376"/>
      <c r="L19" s="377"/>
      <c r="M19" s="377"/>
      <c r="N19" s="378"/>
      <c r="O19" s="371"/>
    </row>
    <row r="20" spans="3:19" ht="15" thickBot="1" x14ac:dyDescent="0.35">
      <c r="C20" s="372" t="s">
        <v>482</v>
      </c>
      <c r="D20" s="373" t="s">
        <v>483</v>
      </c>
      <c r="E20" s="373" t="s">
        <v>484</v>
      </c>
      <c r="F20" s="374" t="s">
        <v>485</v>
      </c>
      <c r="G20" s="373" t="s">
        <v>468</v>
      </c>
      <c r="H20" s="373" t="s">
        <v>462</v>
      </c>
      <c r="I20" s="375" t="s">
        <v>486</v>
      </c>
      <c r="J20" s="383"/>
      <c r="K20" s="384"/>
      <c r="L20" s="385"/>
      <c r="M20" s="385"/>
      <c r="N20" s="386"/>
    </row>
    <row r="21" spans="3:19" x14ac:dyDescent="0.3">
      <c r="C21" s="372" t="s">
        <v>487</v>
      </c>
      <c r="D21" s="373" t="s">
        <v>488</v>
      </c>
      <c r="E21" s="373" t="s">
        <v>489</v>
      </c>
      <c r="F21" s="374" t="s">
        <v>490</v>
      </c>
      <c r="G21" s="373" t="s">
        <v>491</v>
      </c>
      <c r="H21" s="373" t="s">
        <v>462</v>
      </c>
      <c r="I21" s="375" t="s">
        <v>492</v>
      </c>
    </row>
    <row r="22" spans="3:19" x14ac:dyDescent="0.3">
      <c r="C22" s="372" t="s">
        <v>493</v>
      </c>
      <c r="D22" s="373" t="s">
        <v>494</v>
      </c>
      <c r="E22" s="373" t="s">
        <v>495</v>
      </c>
      <c r="F22" s="374" t="s">
        <v>496</v>
      </c>
      <c r="G22" s="373" t="s">
        <v>497</v>
      </c>
      <c r="H22" s="373" t="s">
        <v>462</v>
      </c>
      <c r="I22" s="380" t="s">
        <v>498</v>
      </c>
    </row>
    <row r="23" spans="3:19" x14ac:dyDescent="0.3">
      <c r="C23" s="372" t="s">
        <v>499</v>
      </c>
      <c r="D23" s="373" t="s">
        <v>500</v>
      </c>
      <c r="E23" s="373" t="s">
        <v>501</v>
      </c>
      <c r="F23" s="374" t="s">
        <v>502</v>
      </c>
      <c r="G23" s="373" t="s">
        <v>503</v>
      </c>
      <c r="H23" s="373" t="s">
        <v>462</v>
      </c>
      <c r="I23" s="375" t="s">
        <v>504</v>
      </c>
    </row>
    <row r="24" spans="3:19" x14ac:dyDescent="0.3">
      <c r="C24" s="372" t="s">
        <v>505</v>
      </c>
      <c r="D24" s="373" t="s">
        <v>506</v>
      </c>
      <c r="E24" s="373" t="s">
        <v>507</v>
      </c>
      <c r="F24" s="374" t="s">
        <v>508</v>
      </c>
      <c r="G24" s="373" t="s">
        <v>509</v>
      </c>
      <c r="H24" s="373" t="s">
        <v>510</v>
      </c>
      <c r="I24" s="375" t="s">
        <v>511</v>
      </c>
    </row>
    <row r="25" spans="3:19" x14ac:dyDescent="0.3">
      <c r="C25" s="372" t="s">
        <v>512</v>
      </c>
      <c r="D25" s="373" t="s">
        <v>513</v>
      </c>
      <c r="E25" s="373" t="s">
        <v>514</v>
      </c>
      <c r="F25" s="374" t="s">
        <v>515</v>
      </c>
      <c r="G25" s="373" t="s">
        <v>516</v>
      </c>
      <c r="H25" s="373" t="s">
        <v>510</v>
      </c>
      <c r="I25" s="375" t="s">
        <v>517</v>
      </c>
    </row>
    <row r="26" spans="3:19" x14ac:dyDescent="0.3">
      <c r="C26" s="372" t="s">
        <v>518</v>
      </c>
      <c r="D26" s="373" t="s">
        <v>519</v>
      </c>
      <c r="E26" s="373" t="s">
        <v>520</v>
      </c>
      <c r="F26" s="374" t="s">
        <v>521</v>
      </c>
      <c r="G26" s="373" t="s">
        <v>522</v>
      </c>
      <c r="H26" s="373" t="s">
        <v>510</v>
      </c>
      <c r="I26" s="375" t="s">
        <v>523</v>
      </c>
    </row>
    <row r="27" spans="3:19" x14ac:dyDescent="0.3">
      <c r="C27" s="372" t="s">
        <v>524</v>
      </c>
      <c r="D27" s="373" t="s">
        <v>525</v>
      </c>
      <c r="E27" s="373" t="s">
        <v>526</v>
      </c>
      <c r="F27" s="374" t="s">
        <v>527</v>
      </c>
      <c r="G27" s="373" t="s">
        <v>528</v>
      </c>
      <c r="H27" s="373" t="s">
        <v>510</v>
      </c>
      <c r="I27" s="375" t="s">
        <v>529</v>
      </c>
    </row>
    <row r="28" spans="3:19" ht="15" thickBot="1" x14ac:dyDescent="0.35">
      <c r="C28" s="387" t="s">
        <v>530</v>
      </c>
      <c r="D28" s="388" t="s">
        <v>531</v>
      </c>
      <c r="E28" s="388" t="s">
        <v>532</v>
      </c>
      <c r="F28" s="389" t="s">
        <v>533</v>
      </c>
      <c r="G28" s="388" t="s">
        <v>534</v>
      </c>
      <c r="H28" s="388" t="s">
        <v>510</v>
      </c>
      <c r="I28" s="390" t="s">
        <v>535</v>
      </c>
    </row>
    <row r="30" spans="3:19" ht="15" thickBot="1" x14ac:dyDescent="0.35"/>
    <row r="31" spans="3:19" ht="15" thickBot="1" x14ac:dyDescent="0.35">
      <c r="C31" s="391" t="s">
        <v>536</v>
      </c>
      <c r="D31" s="392"/>
      <c r="E31" s="392"/>
      <c r="F31" s="392"/>
      <c r="G31" s="392"/>
      <c r="H31" s="392"/>
      <c r="I31" s="392"/>
      <c r="J31" s="392"/>
      <c r="K31" s="392"/>
      <c r="L31" s="392"/>
      <c r="M31" s="392"/>
      <c r="N31" s="392"/>
      <c r="O31" s="392"/>
      <c r="P31" s="392"/>
      <c r="Q31" s="392"/>
      <c r="R31" s="392"/>
      <c r="S31" s="393"/>
    </row>
    <row r="32" spans="3:19" x14ac:dyDescent="0.3">
      <c r="C32" s="394" t="s">
        <v>287</v>
      </c>
      <c r="D32" s="395" t="s">
        <v>288</v>
      </c>
      <c r="E32" s="395" t="s">
        <v>289</v>
      </c>
      <c r="F32" s="395" t="s">
        <v>290</v>
      </c>
      <c r="G32" s="395" t="s">
        <v>291</v>
      </c>
      <c r="H32" s="395" t="s">
        <v>292</v>
      </c>
      <c r="I32" s="395" t="s">
        <v>293</v>
      </c>
      <c r="J32" s="395" t="s">
        <v>294</v>
      </c>
      <c r="K32" s="395" t="s">
        <v>295</v>
      </c>
      <c r="L32" s="395" t="s">
        <v>311</v>
      </c>
      <c r="M32" s="396" t="s">
        <v>537</v>
      </c>
      <c r="N32" s="396" t="s">
        <v>538</v>
      </c>
      <c r="O32" s="396" t="s">
        <v>539</v>
      </c>
      <c r="P32" s="396" t="s">
        <v>360</v>
      </c>
      <c r="Q32" s="396" t="s">
        <v>540</v>
      </c>
      <c r="R32" s="396" t="s">
        <v>541</v>
      </c>
      <c r="S32" s="397" t="s">
        <v>319</v>
      </c>
    </row>
    <row r="33" spans="3:19" x14ac:dyDescent="0.3">
      <c r="C33" s="398" t="s">
        <v>542</v>
      </c>
      <c r="D33" s="377" t="s">
        <v>543</v>
      </c>
      <c r="E33" s="377" t="s">
        <v>544</v>
      </c>
      <c r="F33" s="377" t="s">
        <v>545</v>
      </c>
      <c r="G33" s="377">
        <v>3336859865</v>
      </c>
      <c r="H33" s="377" t="s">
        <v>546</v>
      </c>
      <c r="I33" s="399" t="s">
        <v>442</v>
      </c>
      <c r="J33" s="400" t="s">
        <v>547</v>
      </c>
      <c r="K33" s="377" t="s">
        <v>548</v>
      </c>
      <c r="L33" s="377" t="s">
        <v>549</v>
      </c>
      <c r="M33" s="401">
        <v>3000</v>
      </c>
      <c r="N33" s="401"/>
      <c r="O33" s="401"/>
      <c r="P33" s="401"/>
      <c r="Q33" s="401"/>
      <c r="R33" s="401"/>
      <c r="S33" s="402"/>
    </row>
    <row r="34" spans="3:19" x14ac:dyDescent="0.3">
      <c r="C34" s="398" t="s">
        <v>550</v>
      </c>
      <c r="D34" s="377" t="s">
        <v>543</v>
      </c>
      <c r="E34" s="377" t="s">
        <v>551</v>
      </c>
      <c r="F34" s="377" t="s">
        <v>552</v>
      </c>
      <c r="G34" s="377">
        <v>3336859865</v>
      </c>
      <c r="H34" s="377" t="s">
        <v>553</v>
      </c>
      <c r="I34" s="399" t="s">
        <v>448</v>
      </c>
      <c r="J34" s="400" t="s">
        <v>554</v>
      </c>
      <c r="K34" s="377" t="s">
        <v>555</v>
      </c>
      <c r="L34" s="377" t="s">
        <v>549</v>
      </c>
      <c r="M34" s="401">
        <v>3000</v>
      </c>
      <c r="N34" s="401"/>
      <c r="O34" s="401"/>
      <c r="P34" s="401"/>
      <c r="Q34" s="401"/>
      <c r="R34" s="401"/>
      <c r="S34" s="402"/>
    </row>
    <row r="35" spans="3:19" x14ac:dyDescent="0.3">
      <c r="C35" s="398" t="s">
        <v>556</v>
      </c>
      <c r="D35" s="377" t="s">
        <v>543</v>
      </c>
      <c r="E35" s="377" t="s">
        <v>544</v>
      </c>
      <c r="F35" s="377" t="s">
        <v>545</v>
      </c>
      <c r="G35" s="377">
        <v>3336859865</v>
      </c>
      <c r="H35" s="377" t="s">
        <v>557</v>
      </c>
      <c r="I35" s="399" t="s">
        <v>454</v>
      </c>
      <c r="J35" s="400" t="s">
        <v>558</v>
      </c>
      <c r="K35" s="377" t="s">
        <v>559</v>
      </c>
      <c r="L35" s="377" t="s">
        <v>549</v>
      </c>
      <c r="M35" s="401">
        <v>3000</v>
      </c>
      <c r="N35" s="401"/>
      <c r="O35" s="401"/>
      <c r="P35" s="401"/>
      <c r="Q35" s="401"/>
      <c r="R35" s="401"/>
      <c r="S35" s="402"/>
    </row>
    <row r="36" spans="3:19" x14ac:dyDescent="0.3">
      <c r="C36" s="398" t="s">
        <v>560</v>
      </c>
      <c r="D36" s="377" t="s">
        <v>543</v>
      </c>
      <c r="E36" s="377" t="s">
        <v>561</v>
      </c>
      <c r="F36" s="377" t="s">
        <v>552</v>
      </c>
      <c r="G36" s="377">
        <v>3336859865</v>
      </c>
      <c r="H36" s="377" t="s">
        <v>562</v>
      </c>
      <c r="I36" s="399" t="s">
        <v>460</v>
      </c>
      <c r="J36" s="400" t="s">
        <v>563</v>
      </c>
      <c r="K36" s="377" t="s">
        <v>564</v>
      </c>
      <c r="L36" s="377" t="s">
        <v>549</v>
      </c>
      <c r="M36" s="401">
        <v>3000</v>
      </c>
      <c r="N36" s="401"/>
      <c r="O36" s="401"/>
      <c r="P36" s="401"/>
      <c r="Q36" s="401"/>
      <c r="R36" s="401"/>
      <c r="S36" s="402"/>
    </row>
    <row r="37" spans="3:19" ht="15" thickBot="1" x14ac:dyDescent="0.35">
      <c r="C37" s="384"/>
      <c r="D37" s="385"/>
      <c r="E37" s="385"/>
      <c r="F37" s="385"/>
      <c r="G37" s="385"/>
      <c r="H37" s="385"/>
      <c r="I37" s="385"/>
      <c r="J37" s="385"/>
      <c r="K37" s="385"/>
      <c r="L37" s="385"/>
      <c r="M37" s="385"/>
      <c r="N37" s="385"/>
      <c r="O37" s="385"/>
      <c r="P37" s="385"/>
      <c r="Q37" s="385"/>
      <c r="R37" s="385"/>
      <c r="S37" s="386"/>
    </row>
  </sheetData>
  <mergeCells count="6">
    <mergeCell ref="A2:AE2"/>
    <mergeCell ref="D5:E5"/>
    <mergeCell ref="I5:J5"/>
    <mergeCell ref="C6:I6"/>
    <mergeCell ref="K6:N6"/>
    <mergeCell ref="C31:S31"/>
  </mergeCells>
  <hyperlinks>
    <hyperlink ref="K24" r:id="rId1" display="andréa.melo29@email.com" xr:uid="{DA8428CF-F25F-4FA2-AA2B-E02149495918}"/>
    <hyperlink ref="I11" r:id="rId2" xr:uid="{38E75BCF-BB3D-4791-8404-9B2714BC6109}"/>
    <hyperlink ref="I22" r:id="rId3" xr:uid="{082609C8-C4AB-4F76-99DA-3FB57766DEC4}"/>
    <hyperlink ref="I15" r:id="rId4" xr:uid="{E69748C8-687E-4F86-B9EB-195E94A7C944}"/>
    <hyperlink ref="J33" r:id="rId5" xr:uid="{7DF154AD-951E-48F1-AC8C-365725AE64E2}"/>
    <hyperlink ref="J34" r:id="rId6" xr:uid="{00EEAEDD-1F3E-483D-A06C-745452F370E7}"/>
    <hyperlink ref="J35" r:id="rId7" xr:uid="{1AEC7AE7-CB1B-41DE-BF0C-74464A087766}"/>
    <hyperlink ref="J36" r:id="rId8" xr:uid="{1B2A1F2C-CD25-46B5-87B4-D2B0FA7DCE6F}"/>
  </hyperlinks>
  <pageMargins left="0.511811024" right="0.511811024" top="0.78740157499999996" bottom="0.78740157499999996" header="0.31496062000000002" footer="0.31496062000000002"/>
  <pageSetup paperSize="9" orientation="portrait" r:id="rId9"/>
  <drawing r:id="rId1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78475-30DF-41D0-BB79-485660171371}">
  <sheetPr codeName="Planilha47">
    <tabColor rgb="FFFF0000"/>
  </sheetPr>
  <dimension ref="A1:AE37"/>
  <sheetViews>
    <sheetView showGridLines="0" zoomScale="55" zoomScaleNormal="55" workbookViewId="0">
      <selection activeCell="L35" sqref="L35"/>
    </sheetView>
  </sheetViews>
  <sheetFormatPr defaultRowHeight="14.4" x14ac:dyDescent="0.3"/>
  <cols>
    <col min="1" max="2" width="8.88671875" style="126"/>
    <col min="3" max="3" width="20.88671875" style="126" customWidth="1"/>
    <col min="4" max="4" width="28" style="126" bestFit="1" customWidth="1"/>
    <col min="5" max="5" width="21.33203125" style="126" customWidth="1"/>
    <col min="6" max="6" width="31" style="126" customWidth="1"/>
    <col min="7" max="7" width="32.6640625" style="126" bestFit="1" customWidth="1"/>
    <col min="8" max="8" width="24" style="126" bestFit="1" customWidth="1"/>
    <col min="9" max="10" width="24.5546875" style="126" bestFit="1" customWidth="1"/>
    <col min="11" max="11" width="17.88671875" style="126" bestFit="1" customWidth="1"/>
    <col min="12" max="12" width="28" style="126" bestFit="1" customWidth="1"/>
    <col min="13" max="13" width="21.33203125" style="126" bestFit="1" customWidth="1"/>
    <col min="14" max="14" width="31" style="126" bestFit="1" customWidth="1"/>
    <col min="15" max="16384" width="8.88671875" style="126"/>
  </cols>
  <sheetData>
    <row r="1" spans="1:31" ht="61.5" customHeight="1" x14ac:dyDescent="0.3">
      <c r="A1" s="127"/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  <c r="R1" s="127"/>
      <c r="S1" s="127"/>
      <c r="T1" s="127"/>
      <c r="U1" s="127"/>
      <c r="V1" s="127"/>
      <c r="W1" s="127"/>
      <c r="X1" s="127"/>
      <c r="Y1" s="127"/>
      <c r="Z1" s="127"/>
      <c r="AA1" s="127"/>
      <c r="AB1" s="127"/>
      <c r="AC1" s="127"/>
      <c r="AD1" s="127"/>
      <c r="AE1" s="127"/>
    </row>
    <row r="2" spans="1:31" ht="46.2" customHeight="1" x14ac:dyDescent="0.3">
      <c r="A2" s="346"/>
      <c r="B2" s="346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  <c r="R2" s="346"/>
      <c r="S2" s="346"/>
      <c r="T2" s="346"/>
      <c r="U2" s="346"/>
      <c r="V2" s="346"/>
      <c r="W2" s="346"/>
      <c r="X2" s="346"/>
      <c r="Y2" s="346"/>
      <c r="Z2" s="346"/>
      <c r="AA2" s="346"/>
      <c r="AB2" s="346"/>
      <c r="AC2" s="346"/>
      <c r="AD2" s="346"/>
      <c r="AE2" s="346"/>
    </row>
    <row r="4" spans="1:31" x14ac:dyDescent="0.3">
      <c r="B4" s="1"/>
      <c r="C4" s="1"/>
      <c r="D4" s="1"/>
      <c r="E4" s="1"/>
      <c r="F4" s="1"/>
      <c r="G4" s="1"/>
      <c r="H4" s="1"/>
      <c r="I4" s="1"/>
      <c r="J4" s="1"/>
      <c r="K4" s="1"/>
    </row>
    <row r="5" spans="1:31" ht="17.399999999999999" x14ac:dyDescent="0.3">
      <c r="B5" s="1"/>
      <c r="C5" s="355"/>
      <c r="D5" s="356"/>
      <c r="E5" s="356"/>
      <c r="F5" s="1"/>
      <c r="G5" s="1"/>
      <c r="H5" s="355"/>
      <c r="I5" s="356"/>
      <c r="J5" s="356"/>
      <c r="K5" s="1"/>
    </row>
    <row r="6" spans="1:31" ht="17.399999999999999" x14ac:dyDescent="0.3">
      <c r="B6" s="1"/>
      <c r="C6" s="403" t="s">
        <v>565</v>
      </c>
      <c r="D6" s="403"/>
      <c r="E6" s="403"/>
      <c r="F6" s="403"/>
      <c r="G6" s="403"/>
      <c r="H6" s="404"/>
      <c r="I6" s="404"/>
      <c r="J6" s="360"/>
    </row>
    <row r="7" spans="1:31" x14ac:dyDescent="0.3">
      <c r="B7" s="1"/>
      <c r="C7" s="405" t="s">
        <v>282</v>
      </c>
      <c r="D7" s="405" t="s">
        <v>566</v>
      </c>
      <c r="E7" s="406" t="s">
        <v>367</v>
      </c>
      <c r="F7" s="405" t="s">
        <v>368</v>
      </c>
      <c r="G7" s="405" t="s">
        <v>567</v>
      </c>
      <c r="H7" s="407"/>
      <c r="I7" s="407"/>
      <c r="J7" s="355"/>
    </row>
    <row r="8" spans="1:31" x14ac:dyDescent="0.3">
      <c r="B8" s="1"/>
      <c r="C8" s="408"/>
      <c r="D8" s="408"/>
      <c r="E8" s="409">
        <v>20</v>
      </c>
      <c r="F8" s="408"/>
      <c r="G8" s="408" t="s">
        <v>568</v>
      </c>
      <c r="H8" s="95"/>
      <c r="I8" s="410"/>
      <c r="J8" s="355"/>
    </row>
    <row r="9" spans="1:31" x14ac:dyDescent="0.3">
      <c r="B9" s="1"/>
      <c r="C9" s="408"/>
      <c r="D9" s="411"/>
      <c r="E9" s="412">
        <v>30</v>
      </c>
      <c r="F9" s="408"/>
      <c r="G9" s="408" t="s">
        <v>568</v>
      </c>
      <c r="H9" s="95"/>
      <c r="I9" s="371"/>
      <c r="J9" s="355"/>
    </row>
    <row r="10" spans="1:31" x14ac:dyDescent="0.3">
      <c r="B10" s="1"/>
      <c r="C10" s="408"/>
      <c r="D10" s="408"/>
      <c r="E10" s="412">
        <v>23</v>
      </c>
      <c r="F10" s="408"/>
      <c r="G10" s="408" t="s">
        <v>568</v>
      </c>
      <c r="H10" s="95"/>
      <c r="I10" s="410"/>
      <c r="J10" s="355"/>
    </row>
    <row r="11" spans="1:31" x14ac:dyDescent="0.3">
      <c r="B11" s="1"/>
      <c r="C11" s="408"/>
      <c r="D11" s="408"/>
      <c r="E11" s="412">
        <v>50</v>
      </c>
      <c r="F11" s="408"/>
      <c r="G11" s="408" t="s">
        <v>568</v>
      </c>
      <c r="H11" s="95"/>
      <c r="I11" s="413"/>
      <c r="J11" s="1"/>
    </row>
    <row r="12" spans="1:31" x14ac:dyDescent="0.3">
      <c r="B12" s="1"/>
      <c r="C12" s="408"/>
      <c r="D12" s="408"/>
      <c r="E12" s="412">
        <v>77</v>
      </c>
      <c r="F12" s="408"/>
      <c r="G12" s="408" t="s">
        <v>568</v>
      </c>
      <c r="H12" s="95"/>
      <c r="I12" s="371"/>
      <c r="J12" s="1"/>
    </row>
    <row r="13" spans="1:31" x14ac:dyDescent="0.3">
      <c r="B13" s="1"/>
      <c r="C13" s="408"/>
      <c r="D13" s="408"/>
      <c r="E13" s="412">
        <v>55</v>
      </c>
      <c r="F13" s="408"/>
      <c r="G13" s="408" t="s">
        <v>568</v>
      </c>
      <c r="H13" s="95"/>
      <c r="I13" s="410"/>
      <c r="J13" s="1"/>
    </row>
    <row r="14" spans="1:31" x14ac:dyDescent="0.3">
      <c r="C14" s="408"/>
      <c r="D14" s="408"/>
      <c r="E14" s="412">
        <v>130</v>
      </c>
      <c r="F14" s="408"/>
      <c r="G14" s="408" t="s">
        <v>568</v>
      </c>
      <c r="H14" s="95"/>
      <c r="I14" s="410"/>
    </row>
    <row r="15" spans="1:31" x14ac:dyDescent="0.3">
      <c r="C15" s="408"/>
      <c r="D15" s="408"/>
      <c r="E15" s="412">
        <v>62</v>
      </c>
      <c r="F15" s="408"/>
      <c r="G15" s="408" t="s">
        <v>568</v>
      </c>
      <c r="H15" s="95"/>
      <c r="I15" s="414"/>
    </row>
    <row r="16" spans="1:31" x14ac:dyDescent="0.3">
      <c r="C16" s="408"/>
      <c r="D16" s="408"/>
      <c r="E16" s="412">
        <v>8</v>
      </c>
      <c r="F16" s="408"/>
      <c r="G16" s="408" t="s">
        <v>568</v>
      </c>
      <c r="H16" s="95"/>
      <c r="I16" s="410"/>
    </row>
    <row r="17" spans="3:19" x14ac:dyDescent="0.3">
      <c r="C17" s="408"/>
      <c r="D17" s="408"/>
      <c r="E17" s="412">
        <v>54</v>
      </c>
      <c r="F17" s="408"/>
      <c r="G17" s="408" t="s">
        <v>568</v>
      </c>
      <c r="H17" s="95"/>
      <c r="I17" s="371"/>
    </row>
    <row r="18" spans="3:19" x14ac:dyDescent="0.3">
      <c r="C18" s="408"/>
      <c r="D18" s="408"/>
      <c r="E18" s="412">
        <v>4</v>
      </c>
      <c r="F18" s="408"/>
      <c r="G18" s="408" t="s">
        <v>568</v>
      </c>
      <c r="H18" s="95"/>
      <c r="I18" s="371"/>
    </row>
    <row r="19" spans="3:19" x14ac:dyDescent="0.3">
      <c r="C19" s="408"/>
      <c r="D19" s="408"/>
      <c r="E19" s="412">
        <v>64</v>
      </c>
      <c r="F19" s="408"/>
      <c r="G19" s="408" t="s">
        <v>568</v>
      </c>
      <c r="H19" s="95"/>
      <c r="I19" s="415"/>
    </row>
    <row r="20" spans="3:19" x14ac:dyDescent="0.3">
      <c r="C20" s="408"/>
      <c r="D20" s="408"/>
      <c r="E20" s="412">
        <v>78</v>
      </c>
      <c r="F20" s="408"/>
      <c r="G20" s="408" t="s">
        <v>568</v>
      </c>
      <c r="H20" s="95"/>
      <c r="I20" s="410"/>
      <c r="J20" s="383"/>
      <c r="K20" s="383"/>
      <c r="L20" s="1"/>
    </row>
    <row r="21" spans="3:19" ht="15" thickBot="1" x14ac:dyDescent="0.35">
      <c r="C21" s="95"/>
      <c r="D21" s="95"/>
      <c r="E21" s="95"/>
      <c r="F21" s="410"/>
      <c r="G21" s="95"/>
      <c r="H21" s="95"/>
      <c r="I21" s="410"/>
    </row>
    <row r="22" spans="3:19" ht="17.399999999999999" x14ac:dyDescent="0.3">
      <c r="C22" s="416" t="s">
        <v>569</v>
      </c>
      <c r="D22" s="417"/>
      <c r="E22" s="417"/>
      <c r="F22" s="417"/>
      <c r="G22" s="417"/>
      <c r="H22" s="417"/>
      <c r="I22" s="417"/>
      <c r="J22" s="418"/>
      <c r="K22" s="419"/>
    </row>
    <row r="23" spans="3:19" ht="17.399999999999999" x14ac:dyDescent="0.3">
      <c r="C23" s="420" t="s">
        <v>220</v>
      </c>
      <c r="D23" s="421" t="s">
        <v>570</v>
      </c>
      <c r="E23" s="421" t="s">
        <v>571</v>
      </c>
      <c r="F23" s="421" t="s">
        <v>572</v>
      </c>
      <c r="G23" s="421" t="s">
        <v>573</v>
      </c>
      <c r="H23" s="421" t="s">
        <v>574</v>
      </c>
      <c r="I23" s="421" t="s">
        <v>575</v>
      </c>
      <c r="J23" s="422" t="s">
        <v>576</v>
      </c>
      <c r="K23" s="423" t="s">
        <v>259</v>
      </c>
    </row>
    <row r="24" spans="3:19" ht="18" x14ac:dyDescent="0.3">
      <c r="C24" s="424"/>
      <c r="D24" s="425"/>
      <c r="E24" s="425"/>
      <c r="F24" s="425"/>
      <c r="G24" s="425"/>
      <c r="H24" s="377"/>
      <c r="I24" s="377"/>
      <c r="J24" s="378"/>
      <c r="K24" s="1"/>
    </row>
    <row r="25" spans="3:19" ht="18" x14ac:dyDescent="0.3">
      <c r="C25" s="424"/>
      <c r="D25" s="425"/>
      <c r="E25" s="425"/>
      <c r="F25" s="425"/>
      <c r="G25" s="425"/>
      <c r="H25" s="377"/>
      <c r="I25" s="377"/>
      <c r="J25" s="378"/>
      <c r="K25" s="1"/>
    </row>
    <row r="26" spans="3:19" x14ac:dyDescent="0.3">
      <c r="C26" s="376"/>
      <c r="D26" s="377"/>
      <c r="E26" s="377"/>
      <c r="F26" s="377"/>
      <c r="G26" s="377"/>
      <c r="H26" s="377"/>
      <c r="I26" s="377"/>
      <c r="J26" s="378"/>
      <c r="K26" s="1"/>
    </row>
    <row r="27" spans="3:19" x14ac:dyDescent="0.3">
      <c r="C27" s="376"/>
      <c r="D27" s="377"/>
      <c r="E27" s="377"/>
      <c r="F27" s="377"/>
      <c r="G27" s="377"/>
      <c r="H27" s="377"/>
      <c r="I27" s="377"/>
      <c r="J27" s="378"/>
      <c r="K27" s="1"/>
    </row>
    <row r="28" spans="3:19" x14ac:dyDescent="0.3">
      <c r="C28" s="376"/>
      <c r="D28" s="377"/>
      <c r="E28" s="377"/>
      <c r="F28" s="377"/>
      <c r="G28" s="377"/>
      <c r="H28" s="377"/>
      <c r="I28" s="377"/>
      <c r="J28" s="378"/>
      <c r="K28" s="1"/>
    </row>
    <row r="29" spans="3:19" ht="15" thickBot="1" x14ac:dyDescent="0.35">
      <c r="C29" s="384"/>
      <c r="D29" s="385"/>
      <c r="E29" s="385"/>
      <c r="F29" s="385"/>
      <c r="G29" s="385"/>
      <c r="H29" s="385"/>
      <c r="I29" s="385"/>
      <c r="J29" s="386"/>
      <c r="K29" s="1"/>
    </row>
    <row r="31" spans="3:19" x14ac:dyDescent="0.3">
      <c r="C31" s="426"/>
      <c r="D31" s="426"/>
      <c r="E31" s="426"/>
      <c r="F31" s="426"/>
      <c r="G31" s="426"/>
      <c r="H31" s="426"/>
      <c r="I31" s="426"/>
      <c r="J31" s="426"/>
      <c r="K31" s="426"/>
      <c r="L31" s="426"/>
      <c r="M31" s="426"/>
      <c r="N31" s="426"/>
      <c r="O31" s="426"/>
      <c r="P31" s="426"/>
      <c r="Q31" s="426"/>
      <c r="R31" s="426"/>
      <c r="S31" s="426"/>
    </row>
    <row r="32" spans="3:19" x14ac:dyDescent="0.3">
      <c r="C32" s="427"/>
      <c r="D32" s="427"/>
      <c r="E32" s="427"/>
      <c r="F32" s="427"/>
      <c r="G32" s="427"/>
      <c r="H32" s="427"/>
      <c r="I32" s="427"/>
      <c r="J32" s="427"/>
      <c r="K32" s="427"/>
      <c r="L32" s="427"/>
      <c r="M32" s="428"/>
      <c r="N32" s="428"/>
      <c r="O32" s="428"/>
      <c r="P32" s="428"/>
      <c r="Q32" s="428"/>
      <c r="R32" s="428"/>
      <c r="S32" s="428"/>
    </row>
    <row r="33" spans="3:19" x14ac:dyDescent="0.3">
      <c r="C33" s="355"/>
      <c r="D33" s="1"/>
      <c r="E33" s="1"/>
      <c r="F33" s="1"/>
      <c r="G33" s="1"/>
      <c r="H33" s="1"/>
      <c r="I33" s="410"/>
      <c r="J33" s="429"/>
      <c r="K33" s="1"/>
      <c r="L33" s="1"/>
      <c r="M33" s="430"/>
      <c r="N33" s="430"/>
      <c r="O33" s="430"/>
      <c r="P33" s="430"/>
      <c r="Q33" s="430"/>
      <c r="R33" s="430"/>
      <c r="S33" s="430"/>
    </row>
    <row r="34" spans="3:19" x14ac:dyDescent="0.3">
      <c r="C34" s="355"/>
      <c r="D34" s="1"/>
      <c r="E34" s="1"/>
      <c r="F34" s="1"/>
      <c r="G34" s="1"/>
      <c r="H34" s="1"/>
      <c r="I34" s="410"/>
      <c r="J34" s="429"/>
      <c r="K34" s="1"/>
      <c r="L34" s="1"/>
      <c r="M34" s="430"/>
      <c r="N34" s="430"/>
      <c r="O34" s="430"/>
      <c r="P34" s="430"/>
      <c r="Q34" s="430"/>
      <c r="R34" s="430"/>
      <c r="S34" s="430"/>
    </row>
    <row r="35" spans="3:19" x14ac:dyDescent="0.3">
      <c r="C35" s="355"/>
      <c r="D35" s="1"/>
      <c r="E35" s="1"/>
      <c r="F35" s="1"/>
      <c r="G35" s="1"/>
      <c r="H35" s="1"/>
      <c r="I35" s="410"/>
      <c r="J35" s="429"/>
      <c r="K35" s="1"/>
      <c r="L35" s="431"/>
      <c r="M35" s="430"/>
      <c r="N35" s="430"/>
      <c r="O35" s="430"/>
      <c r="P35" s="430"/>
      <c r="Q35" s="430"/>
      <c r="R35" s="430"/>
      <c r="S35" s="430"/>
    </row>
    <row r="36" spans="3:19" x14ac:dyDescent="0.3">
      <c r="C36" s="355"/>
      <c r="D36" s="1"/>
      <c r="E36" s="1"/>
      <c r="F36" s="1"/>
      <c r="G36" s="1"/>
      <c r="H36" s="1"/>
      <c r="I36" s="410"/>
      <c r="J36" s="429"/>
      <c r="K36" s="1"/>
      <c r="L36" s="1"/>
      <c r="M36" s="430"/>
      <c r="N36" s="430"/>
      <c r="O36" s="430"/>
      <c r="P36" s="430"/>
      <c r="Q36" s="430"/>
      <c r="R36" s="430"/>
      <c r="S36" s="430"/>
    </row>
    <row r="37" spans="3:19" x14ac:dyDescent="0.3"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</sheetData>
  <mergeCells count="5">
    <mergeCell ref="A2:AE2"/>
    <mergeCell ref="D5:E5"/>
    <mergeCell ref="I5:J5"/>
    <mergeCell ref="C6:G6"/>
    <mergeCell ref="C22:J2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38</vt:i4>
      </vt:variant>
    </vt:vector>
  </HeadingPairs>
  <TitlesOfParts>
    <vt:vector size="38" baseType="lpstr">
      <vt:lpstr>NOVO</vt:lpstr>
      <vt:lpstr>N_PRODHOME</vt:lpstr>
      <vt:lpstr>N_PRODREQ</vt:lpstr>
      <vt:lpstr>N_ EQUIPES</vt:lpstr>
      <vt:lpstr>N_PRODLANC</vt:lpstr>
      <vt:lpstr>N_PRODGRAF </vt:lpstr>
      <vt:lpstr>N_LOGCLIENTES</vt:lpstr>
      <vt:lpstr>N_LOGVEIC</vt:lpstr>
      <vt:lpstr>N_LOGCRON</vt:lpstr>
      <vt:lpstr>N_LOGFRETE</vt:lpstr>
      <vt:lpstr>N_LOGRELAT</vt:lpstr>
      <vt:lpstr>N_LOGRAST</vt:lpstr>
      <vt:lpstr>N_LOGCAD</vt:lpstr>
      <vt:lpstr>N_ESTQSAÍDAS</vt:lpstr>
      <vt:lpstr>N_ESTQENTRAD</vt:lpstr>
      <vt:lpstr>N_RHCONTRATAÇÃO</vt:lpstr>
      <vt:lpstr>N_CADASTRAR</vt:lpstr>
      <vt:lpstr>N_RHFOLHA</vt:lpstr>
      <vt:lpstr>N_RHREF </vt:lpstr>
      <vt:lpstr>N_VCLIENTES</vt:lpstr>
      <vt:lpstr>N_VCINTRL</vt:lpstr>
      <vt:lpstr>N_VMETAS</vt:lpstr>
      <vt:lpstr>N_VRELCOM</vt:lpstr>
      <vt:lpstr>N_VRELMET</vt:lpstr>
      <vt:lpstr>N_CCADASTROF</vt:lpstr>
      <vt:lpstr>N_PROCFOR</vt:lpstr>
      <vt:lpstr>N_CMP</vt:lpstr>
      <vt:lpstr>N_CSOLICITAR</vt:lpstr>
      <vt:lpstr>SOLICITAÇÕES</vt:lpstr>
      <vt:lpstr>N_CREALIZARP</vt:lpstr>
      <vt:lpstr>N_FINANÇAS</vt:lpstr>
      <vt:lpstr>N_FINANÇAS (2)</vt:lpstr>
      <vt:lpstr>N_FINANÇAS (3)</vt:lpstr>
      <vt:lpstr>BANCO DE DADOS</vt:lpstr>
      <vt:lpstr>BANCO DE DADOS (2)</vt:lpstr>
      <vt:lpstr>BANCO DE DADOS (3)</vt:lpstr>
      <vt:lpstr>BD_CADAS</vt:lpstr>
      <vt:lpstr>BD_CADAS (2)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moraes369@gmail.com</cp:lastModifiedBy>
  <cp:revision/>
  <dcterms:created xsi:type="dcterms:W3CDTF">2024-10-25T18:08:44Z</dcterms:created>
  <dcterms:modified xsi:type="dcterms:W3CDTF">2024-11-26T20:37:24Z</dcterms:modified>
  <cp:category/>
  <cp:contentStatus/>
</cp:coreProperties>
</file>