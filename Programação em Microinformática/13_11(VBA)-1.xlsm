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orae\Desktop\"/>
    </mc:Choice>
  </mc:AlternateContent>
  <xr:revisionPtr revIDLastSave="0" documentId="13_ncr:1_{0B332BDD-3F94-4AB3-92CB-14915C739340}" xr6:coauthVersionLast="47" xr6:coauthVersionMax="47" xr10:uidLastSave="{00000000-0000-0000-0000-000000000000}"/>
  <bookViews>
    <workbookView xWindow="-108" yWindow="-108" windowWidth="23256" windowHeight="12456" tabRatio="902" firstSheet="22" activeTab="32" xr2:uid="{D62A3A3B-6FA0-4DAA-89BC-434730893DC8}"/>
  </bookViews>
  <sheets>
    <sheet name="NOVO" sheetId="64" r:id="rId1"/>
    <sheet name="N_PRODHOME" sheetId="80" r:id="rId2"/>
    <sheet name="N_PRODREQ" sheetId="65" r:id="rId3"/>
    <sheet name="N_ EQUIPES" sheetId="74" r:id="rId4"/>
    <sheet name="N_PRODLANC" sheetId="73" r:id="rId5"/>
    <sheet name="N_PRODGRAF " sheetId="87" r:id="rId6"/>
    <sheet name="N_LOGCLIENTES" sheetId="66" r:id="rId7"/>
    <sheet name="N_LOGVEIC" sheetId="93" r:id="rId8"/>
    <sheet name="N_LOGCRON" sheetId="94" r:id="rId9"/>
    <sheet name="N_LOGFRETE" sheetId="95" r:id="rId10"/>
    <sheet name="N_LOGRELAT" sheetId="96" r:id="rId11"/>
    <sheet name="N_LOGRAST" sheetId="97" r:id="rId12"/>
    <sheet name="N_LOGCAD" sheetId="98" r:id="rId13"/>
    <sheet name="N_ESTQSAÍDAS" sheetId="99" r:id="rId14"/>
    <sheet name="N_ESTQENTRAD" sheetId="100" r:id="rId15"/>
    <sheet name="N_RHCONTRATAÇÃO" sheetId="101" r:id="rId16"/>
    <sheet name="N_CADASTRAR" sheetId="102" r:id="rId17"/>
    <sheet name="N_RHFOLHA" sheetId="103" r:id="rId18"/>
    <sheet name="N_RHREF " sheetId="104" r:id="rId19"/>
    <sheet name="N_VCLIENTES" sheetId="105" r:id="rId20"/>
    <sheet name="N_VCINTRL" sheetId="106" r:id="rId21"/>
    <sheet name="N_VMETAS" sheetId="107" r:id="rId22"/>
    <sheet name="N_VRELCOM" sheetId="109" r:id="rId23"/>
    <sheet name="N_VRELMET" sheetId="108" r:id="rId24"/>
    <sheet name="N_CCADASTROF" sheetId="70" r:id="rId25"/>
    <sheet name="N_PROCFOR" sheetId="89" r:id="rId26"/>
    <sheet name="N_CMP" sheetId="88" r:id="rId27"/>
    <sheet name="N_CSOLICITAR" sheetId="90" r:id="rId28"/>
    <sheet name="N_CREALIZARP" sheetId="91" r:id="rId29"/>
    <sheet name="N_FINANÇAS" sheetId="69" r:id="rId30"/>
    <sheet name="BANCO DE DADOS" sheetId="92" r:id="rId31"/>
    <sheet name="BD_CADAS" sheetId="110" r:id="rId32"/>
    <sheet name="BD_CADAS (2)" sheetId="111" r:id="rId33"/>
  </sheets>
  <externalReferences>
    <externalReference r:id="rId34"/>
    <externalReference r:id="rId35"/>
  </externalReferences>
  <definedNames>
    <definedName name="QUEIJOS">#REF!</definedName>
    <definedName name="QUEIJOS_OFC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6" i="104" l="1"/>
  <c r="H15" i="104"/>
  <c r="H14" i="104"/>
  <c r="H13" i="104"/>
  <c r="K15" i="98"/>
  <c r="K16" i="98" s="1"/>
  <c r="K17" i="98" s="1"/>
  <c r="K18" i="98" s="1"/>
  <c r="K19" i="98" s="1"/>
  <c r="K20" i="98" s="1"/>
  <c r="K21" i="98" s="1"/>
  <c r="K22" i="98" s="1"/>
  <c r="K23" i="98" s="1"/>
  <c r="K24" i="98" s="1"/>
  <c r="K25" i="98" s="1"/>
  <c r="K26" i="98" s="1"/>
  <c r="K27" i="98" s="1"/>
  <c r="K28" i="98" s="1"/>
  <c r="K29" i="98" s="1"/>
  <c r="K30" i="98" s="1"/>
  <c r="K31" i="98" s="1"/>
  <c r="K32" i="98" s="1"/>
  <c r="K33" i="98" s="1"/>
  <c r="N14" i="98"/>
  <c r="O14" i="98" s="1"/>
  <c r="K15" i="97" l="1"/>
  <c r="K16" i="97" s="1"/>
  <c r="K17" i="97" s="1"/>
  <c r="K18" i="97" s="1"/>
  <c r="K19" i="97" s="1"/>
  <c r="K20" i="97" s="1"/>
  <c r="K21" i="97" s="1"/>
  <c r="K22" i="97" s="1"/>
  <c r="K23" i="97" s="1"/>
  <c r="K24" i="97" s="1"/>
  <c r="K25" i="97" s="1"/>
  <c r="K26" i="97" s="1"/>
  <c r="K27" i="97" s="1"/>
  <c r="K28" i="97" s="1"/>
  <c r="K29" i="97" s="1"/>
  <c r="K30" i="97" s="1"/>
  <c r="K31" i="97" s="1"/>
  <c r="K32" i="97" s="1"/>
  <c r="K33" i="97" s="1"/>
  <c r="N14" i="97"/>
  <c r="O14" i="97" s="1"/>
  <c r="K15" i="96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N14" i="96"/>
  <c r="O14" i="96" s="1"/>
  <c r="K15" i="95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N14" i="95"/>
  <c r="O14" i="95" s="1"/>
  <c r="K15" i="94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15" i="93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T35" i="65" l="1"/>
  <c r="T33" i="65"/>
  <c r="T31" i="65"/>
  <c r="T29" i="65"/>
  <c r="T27" i="65"/>
  <c r="I14" i="66"/>
  <c r="I15" i="66" s="1"/>
  <c r="I16" i="66" s="1"/>
  <c r="I17" i="66" s="1"/>
  <c r="I18" i="66" s="1"/>
  <c r="I19" i="66" s="1"/>
  <c r="I20" i="66" s="1"/>
  <c r="I21" i="66" s="1"/>
  <c r="I22" i="66" s="1"/>
  <c r="I23" i="66" s="1"/>
  <c r="I24" i="66" s="1"/>
  <c r="I25" i="66" s="1"/>
  <c r="I26" i="66" s="1"/>
  <c r="I27" i="66" s="1"/>
  <c r="I28" i="66" s="1"/>
  <c r="I29" i="66" s="1"/>
  <c r="I30" i="66" s="1"/>
  <c r="I31" i="66" s="1"/>
  <c r="I32" i="66" s="1"/>
</calcChain>
</file>

<file path=xl/sharedStrings.xml><?xml version="1.0" encoding="utf-8"?>
<sst xmlns="http://schemas.openxmlformats.org/spreadsheetml/2006/main" count="1406" uniqueCount="586">
  <si>
    <t>DESENVOLVIDO POR: 1º SEMESTRE DO CURSO DE ADS 2024</t>
  </si>
  <si>
    <t xml:space="preserve">LISTA DE INGREDIENTES POR UNIDADE </t>
  </si>
  <si>
    <t>TIPOS DE QUEIJO</t>
  </si>
  <si>
    <t>LEITE (L)</t>
  </si>
  <si>
    <t>VINAGRE (L)</t>
  </si>
  <si>
    <t>COALHO(L)</t>
  </si>
  <si>
    <t>SAL(KG)</t>
  </si>
  <si>
    <t>FERMENTO(KG)</t>
  </si>
  <si>
    <t xml:space="preserve">QUEIJO MEIA CURA </t>
  </si>
  <si>
    <t>QUEIJO MINAS</t>
  </si>
  <si>
    <t>QUEIJO COALHO</t>
  </si>
  <si>
    <t>QUEIJO MUSSARELA</t>
  </si>
  <si>
    <t>DEMANDA</t>
  </si>
  <si>
    <t> </t>
  </si>
  <si>
    <t>GERENTE DE PRODUÇÃO</t>
  </si>
  <si>
    <t>ZÉZINHO</t>
  </si>
  <si>
    <t xml:space="preserve">MÁQUINA  QUEIJO MEIA CURA </t>
  </si>
  <si>
    <t>OPERADOR</t>
  </si>
  <si>
    <t>ZE OLIVIERA</t>
  </si>
  <si>
    <t>ZÉ GOMES</t>
  </si>
  <si>
    <t>AUXILIAR</t>
  </si>
  <si>
    <t xml:space="preserve">ZÉ </t>
  </si>
  <si>
    <t>ZÉ RIBEIRO</t>
  </si>
  <si>
    <t>ZÉ DA SILVA</t>
  </si>
  <si>
    <t>JOSÉ</t>
  </si>
  <si>
    <t>ZÉ MENDES</t>
  </si>
  <si>
    <t>SEU ZÉ</t>
  </si>
  <si>
    <t>LANÇAR PRODUÇÃO</t>
  </si>
  <si>
    <t>MÁQUINA/SETOR</t>
  </si>
  <si>
    <t>UNIDADES PRODUZIDAS</t>
  </si>
  <si>
    <t>ESTADO ATUAL</t>
  </si>
  <si>
    <t xml:space="preserve">ID </t>
  </si>
  <si>
    <t>Nome do Cliente</t>
  </si>
  <si>
    <t>Endereço Completo</t>
  </si>
  <si>
    <t>Cidade/Estado</t>
  </si>
  <si>
    <t>Telefone</t>
  </si>
  <si>
    <t>E-mail</t>
  </si>
  <si>
    <t>Preferências de Entrega</t>
  </si>
  <si>
    <t>Ana Silva</t>
  </si>
  <si>
    <t>Rua das Flores, 123, Apt 45</t>
  </si>
  <si>
    <t>São Paulo/SP</t>
  </si>
  <si>
    <t>(11) 91234-5678</t>
  </si>
  <si>
    <t>ana.silva@example.com</t>
  </si>
  <si>
    <t>Entregar pela manhã</t>
  </si>
  <si>
    <t>João Oliveira</t>
  </si>
  <si>
    <t>Av. Paulista, 456, Bloco B</t>
  </si>
  <si>
    <t>(11) 92345-6789</t>
  </si>
  <si>
    <t>joao.oliveira@example.com</t>
  </si>
  <si>
    <t>Deixar com o porteiro</t>
  </si>
  <si>
    <t>Maria Souza</t>
  </si>
  <si>
    <t>Rua do Sol, 789</t>
  </si>
  <si>
    <t>Rio de Janeiro/RJ</t>
  </si>
  <si>
    <t>(21) 93456-7890</t>
  </si>
  <si>
    <t>maria.souza@example.com</t>
  </si>
  <si>
    <t>Entregar após 18h</t>
  </si>
  <si>
    <t>Pedro Santos</t>
  </si>
  <si>
    <t>Av. das Américas, 101, Casa 3</t>
  </si>
  <si>
    <t>Curitiba/PR</t>
  </si>
  <si>
    <t>(41) 94567-8901</t>
  </si>
  <si>
    <t>pedro.santos@example.com</t>
  </si>
  <si>
    <t>Entregar em mãos</t>
  </si>
  <si>
    <t>Lucas Pereira</t>
  </si>
  <si>
    <t>Rua das Palmeiras, 500</t>
  </si>
  <si>
    <t>Belo Horizonte/MG</t>
  </si>
  <si>
    <t>(31) 95678-9012</t>
  </si>
  <si>
    <t>lucas.pereira@example.com</t>
  </si>
  <si>
    <t>Deixar na portaria</t>
  </si>
  <si>
    <t>Mariana Costa</t>
  </si>
  <si>
    <t>Rua da Praia, 23, Apt 101</t>
  </si>
  <si>
    <t>Salvador/BA</t>
  </si>
  <si>
    <t>(71) 96789-0123</t>
  </si>
  <si>
    <t>mariana.costa@example.com</t>
  </si>
  <si>
    <t>Entregar pela tarde</t>
  </si>
  <si>
    <t>Rafael Lima</t>
  </si>
  <si>
    <t>Av. Central, 77</t>
  </si>
  <si>
    <t>Porto Alegre/RS</t>
  </si>
  <si>
    <t>(51) 97890-1234</t>
  </si>
  <si>
    <t>rafael.lima@example.com</t>
  </si>
  <si>
    <t>Entrega urgente</t>
  </si>
  <si>
    <t>Julia Rocha</t>
  </si>
  <si>
    <t>Rua Verde, 222</t>
  </si>
  <si>
    <t>Recife/PE</t>
  </si>
  <si>
    <t>(81) 98901-2345</t>
  </si>
  <si>
    <t>julia.rocha@example.com</t>
  </si>
  <si>
    <t>Não tocar a campainha</t>
  </si>
  <si>
    <t>Gabriel Alves</t>
  </si>
  <si>
    <t>Rua Azul, 300, Casa A</t>
  </si>
  <si>
    <t>Belém/PA</t>
  </si>
  <si>
    <t>(91) 90012-3456</t>
  </si>
  <si>
    <t>gabriel.alves@example.com</t>
  </si>
  <si>
    <t>Entregar somente à tarde</t>
  </si>
  <si>
    <t>Camila Ribeiro</t>
  </si>
  <si>
    <t>Av. das Rosas, 121, Bloco C</t>
  </si>
  <si>
    <t>Fortaleza/CE</t>
  </si>
  <si>
    <t>(85) 91023-4567</t>
  </si>
  <si>
    <t>camila.ribeiro@example.com</t>
  </si>
  <si>
    <t>Horário comercial</t>
  </si>
  <si>
    <t>Thiago Martins</t>
  </si>
  <si>
    <t>Rua Amarela, 50, Apt 202</t>
  </si>
  <si>
    <t>Campinas/SP</t>
  </si>
  <si>
    <t>(19) 92134-5678</t>
  </si>
  <si>
    <t>thiago.martins@example.com</t>
  </si>
  <si>
    <t>Com aviso prévio</t>
  </si>
  <si>
    <t>Larissa Fernandes</t>
  </si>
  <si>
    <t>Av. Brasil, 1400, Casa B</t>
  </si>
  <si>
    <t>Manaus/AM</t>
  </si>
  <si>
    <t>(92) 93245-6789</t>
  </si>
  <si>
    <t>larissa.fernandes@example.com</t>
  </si>
  <si>
    <t>Sem preferência</t>
  </si>
  <si>
    <t>Felipe Mendes</t>
  </si>
  <si>
    <t>Rua do Campo, 765</t>
  </si>
  <si>
    <t>Vitória/ES</t>
  </si>
  <si>
    <t>(27) 94356-7890</t>
  </si>
  <si>
    <t>felipe.mendes@example.com</t>
  </si>
  <si>
    <t>Entregar após 17h</t>
  </si>
  <si>
    <t>Beatriz Nogueira</t>
  </si>
  <si>
    <t>Av. Independência, 2000, Apt 15</t>
  </si>
  <si>
    <t>Goiânia/GO</t>
  </si>
  <si>
    <t>(62) 95467-8901</t>
  </si>
  <si>
    <t>beatriz.nogueira@example.com</t>
  </si>
  <si>
    <t>Deixar com a vizinha</t>
  </si>
  <si>
    <t>Vinicius Matos</t>
  </si>
  <si>
    <t>Rua do Parque, 432, Casa C</t>
  </si>
  <si>
    <t>Natal/RN</t>
  </si>
  <si>
    <t>(84) 96578-9012</t>
  </si>
  <si>
    <t>vinicius.matos@example.com</t>
  </si>
  <si>
    <t>Somente pela manhã</t>
  </si>
  <si>
    <t>Renata Borges</t>
  </si>
  <si>
    <t>Rua da Igreja, 15, Bloco A</t>
  </si>
  <si>
    <t>Florianópolis/SC</t>
  </si>
  <si>
    <t>(48) 97689-0123</t>
  </si>
  <si>
    <t>renata.borges@example.com</t>
  </si>
  <si>
    <t>Igor Cardoso</t>
  </si>
  <si>
    <t>Av. Verde, 1010</t>
  </si>
  <si>
    <t>Campo Grande/MS</t>
  </si>
  <si>
    <t>(67) 98790-1234</t>
  </si>
  <si>
    <t>igor.cardoso@example.com</t>
  </si>
  <si>
    <t>Paula Azevedo</t>
  </si>
  <si>
    <t>Rua das Pedras, 89, Apt 309</t>
  </si>
  <si>
    <t>São Luís/MA</t>
  </si>
  <si>
    <t>(98) 99801-2345</t>
  </si>
  <si>
    <t>paula.azevedo@example.com</t>
  </si>
  <si>
    <t>Entregar após 19h</t>
  </si>
  <si>
    <t>Bruno Batista</t>
  </si>
  <si>
    <t>Av. Mar, 707</t>
  </si>
  <si>
    <t>João Pessoa/PB</t>
  </si>
  <si>
    <t>(83) 90912-3456</t>
  </si>
  <si>
    <t>bruno.batista@example.com</t>
  </si>
  <si>
    <t>Elisa Teixeira</t>
  </si>
  <si>
    <t>Rua Nova, 10, Casa 2</t>
  </si>
  <si>
    <t>Teresina/PI</t>
  </si>
  <si>
    <t>(86) 91923-4567</t>
  </si>
  <si>
    <t>elisa.teixeira@example.com</t>
  </si>
  <si>
    <t>Nome da Empresa</t>
  </si>
  <si>
    <t>Tipo de Veículo</t>
  </si>
  <si>
    <t>Capacidade de Carga (kg)</t>
  </si>
  <si>
    <t>Placa do Veículo</t>
  </si>
  <si>
    <t>Nome do Motorista</t>
  </si>
  <si>
    <t>Telefone do Motorista</t>
  </si>
  <si>
    <t>Status do Veículo</t>
  </si>
  <si>
    <t>TransLog</t>
  </si>
  <si>
    <t>Caminhão</t>
  </si>
  <si>
    <t>ABC1D23</t>
  </si>
  <si>
    <t>Carlos Souza</t>
  </si>
  <si>
    <t>Em operação</t>
  </si>
  <si>
    <t>Carga Rápida</t>
  </si>
  <si>
    <t>Van</t>
  </si>
  <si>
    <t>DEF4G56</t>
  </si>
  <si>
    <t>Marcos Lima</t>
  </si>
  <si>
    <t>(21) 92345-6789</t>
  </si>
  <si>
    <t>Disponível</t>
  </si>
  <si>
    <t>Transporte Silva</t>
  </si>
  <si>
    <t>GHI7J89</t>
  </si>
  <si>
    <t>Pedro Oliveira</t>
  </si>
  <si>
    <t>(31) 93456-7890</t>
  </si>
  <si>
    <t>Em manutenção</t>
  </si>
  <si>
    <t>FretEx</t>
  </si>
  <si>
    <t>Utilitário</t>
  </si>
  <si>
    <t>JKL1M23</t>
  </si>
  <si>
    <t>Ana Ferreira</t>
  </si>
  <si>
    <t>Entrega Expressa</t>
  </si>
  <si>
    <t>MNO4P56</t>
  </si>
  <si>
    <t>(51) 95678-9012</t>
  </si>
  <si>
    <t>Logística Norte</t>
  </si>
  <si>
    <t>PQR7S89</t>
  </si>
  <si>
    <t>João Santos</t>
  </si>
  <si>
    <t>(61) 96789-0123</t>
  </si>
  <si>
    <t>Via Cargo</t>
  </si>
  <si>
    <t>STU1V23</t>
  </si>
  <si>
    <t>Maria Costa</t>
  </si>
  <si>
    <t>(71) 97890-1234</t>
  </si>
  <si>
    <t>Rota Segura</t>
  </si>
  <si>
    <t>VWX4Y56</t>
  </si>
  <si>
    <t>Tiago Nunes</t>
  </si>
  <si>
    <t>Fast Transport</t>
  </si>
  <si>
    <t>YZA7B89</t>
  </si>
  <si>
    <t>Global Delivery</t>
  </si>
  <si>
    <t>CDE1F23</t>
  </si>
  <si>
    <t>Camila Rocha</t>
  </si>
  <si>
    <t>MegaTrans</t>
  </si>
  <si>
    <t>FGH4I56</t>
  </si>
  <si>
    <t>Nova Rota</t>
  </si>
  <si>
    <t>IJK7L89</t>
  </si>
  <si>
    <t>Larissa Melo</t>
  </si>
  <si>
    <t>Cargo Plus</t>
  </si>
  <si>
    <t>LMN1O23</t>
  </si>
  <si>
    <t>RapidFret</t>
  </si>
  <si>
    <t>OPQ4R56</t>
  </si>
  <si>
    <t>Logística Total</t>
  </si>
  <si>
    <t>RST7U89</t>
  </si>
  <si>
    <t>Entrega Sul</t>
  </si>
  <si>
    <t>UVW1X23</t>
  </si>
  <si>
    <t>TransCo</t>
  </si>
  <si>
    <t>XYZ4A56</t>
  </si>
  <si>
    <t>Entregas Ágeis</t>
  </si>
  <si>
    <t>ABC7D89</t>
  </si>
  <si>
    <t>Carga Forte</t>
  </si>
  <si>
    <t>DEF1G23</t>
  </si>
  <si>
    <t>Transporte VIP</t>
  </si>
  <si>
    <t>GHI4J56</t>
  </si>
  <si>
    <t>ID</t>
  </si>
  <si>
    <t>Data da Entrega</t>
  </si>
  <si>
    <t>Hora de Saída</t>
  </si>
  <si>
    <t>Endereço de Entrega</t>
  </si>
  <si>
    <t>Produto(s)</t>
  </si>
  <si>
    <t>Quantidade</t>
  </si>
  <si>
    <t>Veículo Responsável</t>
  </si>
  <si>
    <t>Status</t>
  </si>
  <si>
    <t>Rua das Flores, 123, São Paulo</t>
  </si>
  <si>
    <t>Queijo Meia Cura</t>
  </si>
  <si>
    <t>Em trânsito</t>
  </si>
  <si>
    <t>Av. Paulista, 456, São Paulo</t>
  </si>
  <si>
    <t>Queijo Coalho</t>
  </si>
  <si>
    <t>Preparando entrega</t>
  </si>
  <si>
    <t>Rua do Sol, 789, Rio de Janeiro</t>
  </si>
  <si>
    <t>Minas</t>
  </si>
  <si>
    <t>Av. das Américas, 101, Curitiba</t>
  </si>
  <si>
    <t>Mussarela</t>
  </si>
  <si>
    <t>Rua das Palmeiras, 500, BH</t>
  </si>
  <si>
    <t>Entregue</t>
  </si>
  <si>
    <t>Rua da Praia, 23, Salvador</t>
  </si>
  <si>
    <t>Av. Central, 77, Porto Alegre</t>
  </si>
  <si>
    <t>Rua Verde, 222, Recife</t>
  </si>
  <si>
    <t>Rua Azul, 300, Belém</t>
  </si>
  <si>
    <t>Av. das Rosas, 121, Fortaleza</t>
  </si>
  <si>
    <t>Rua Amarela, 50, Campinas</t>
  </si>
  <si>
    <t>Av. Brasil, 1400, Manaus</t>
  </si>
  <si>
    <t>Rua do Campo, 765, Vitória</t>
  </si>
  <si>
    <t>Av. Independência, 2000, Goiânia</t>
  </si>
  <si>
    <t>Rua do Parque, 432, Natal</t>
  </si>
  <si>
    <t>Rua da Igreja, 15, Florianópolis</t>
  </si>
  <si>
    <t>Av. Verde, 1010, Campo Grande</t>
  </si>
  <si>
    <t>Rua das Pedras, 89, São Luís</t>
  </si>
  <si>
    <t>Av. Mar, 707, João Pessoa</t>
  </si>
  <si>
    <t>Rua Nova, 10, Teresina</t>
  </si>
  <si>
    <t>Distância (km)</t>
  </si>
  <si>
    <t>Peso Total (kg)</t>
  </si>
  <si>
    <t>Custo do Frete</t>
  </si>
  <si>
    <t>Valor do Frete</t>
  </si>
  <si>
    <t>Observações</t>
  </si>
  <si>
    <t>Entrega rápida</t>
  </si>
  <si>
    <t>Cliente VIP</t>
  </si>
  <si>
    <t>Inclui seguro</t>
  </si>
  <si>
    <t>Rotas alternativas usadas</t>
  </si>
  <si>
    <t>Carga frágil</t>
  </si>
  <si>
    <t>Requer duas paradas</t>
  </si>
  <si>
    <t>Entrega noturna</t>
  </si>
  <si>
    <t>Inclui serviço de montagem</t>
  </si>
  <si>
    <t>Cliente novo</t>
  </si>
  <si>
    <t>Tempo de espera extra</t>
  </si>
  <si>
    <t>Solicitação urgente</t>
  </si>
  <si>
    <t>Entrega agendada</t>
  </si>
  <si>
    <t>Inclui monitoramento</t>
  </si>
  <si>
    <t>Entrega em área remota</t>
  </si>
  <si>
    <t>Veículo com escolta</t>
  </si>
  <si>
    <t>Retorno ao armazém previsto</t>
  </si>
  <si>
    <t>Serviço de manuseio extra</t>
  </si>
  <si>
    <t>Condições meteorológicas</t>
  </si>
  <si>
    <t>Necessário reforço na carga</t>
  </si>
  <si>
    <t>Pedido programado</t>
  </si>
  <si>
    <t>SAÍDA DE MATÉRIA PRIMA</t>
  </si>
  <si>
    <t>SAÍDA DE PRODUTOS</t>
  </si>
  <si>
    <t>PRODUTO</t>
  </si>
  <si>
    <t>QUANTIDADE</t>
  </si>
  <si>
    <t>PARA QUAL CARGO/SETOR PRECISA CONTRATAR?</t>
  </si>
  <si>
    <t>QUANTOS COLABORADORES PRECISA CONTRATAR?</t>
  </si>
  <si>
    <t>CADASTRO DE COLABORADOR</t>
  </si>
  <si>
    <t>NOME</t>
  </si>
  <si>
    <t>NACIONALIDADE</t>
  </si>
  <si>
    <t>ESTADO CIVIL</t>
  </si>
  <si>
    <t>PROFISSÃO</t>
  </si>
  <si>
    <t>RG</t>
  </si>
  <si>
    <t>CPF</t>
  </si>
  <si>
    <t>ENDEREÇO</t>
  </si>
  <si>
    <t>E-MAIL</t>
  </si>
  <si>
    <t>CELULAR</t>
  </si>
  <si>
    <t>CARGO</t>
  </si>
  <si>
    <t>SALÁRIO</t>
  </si>
  <si>
    <t>HORÁRIO DE TRABALHO</t>
  </si>
  <si>
    <t>DATA DE INÍCIO</t>
  </si>
  <si>
    <t>8h às 12h e das 13h às 17h</t>
  </si>
  <si>
    <t>GERADOR DE FOLHA DE PAGAMENTO</t>
  </si>
  <si>
    <t>CPF DO COLABORADOR</t>
  </si>
  <si>
    <t>MÊS E ANO</t>
  </si>
  <si>
    <t>QUANTIDADE DE HORAS EXTRAS</t>
  </si>
  <si>
    <t>NÚMERO DE FALTAS</t>
  </si>
  <si>
    <t>Recibo de Pagamento de Salário</t>
  </si>
  <si>
    <t>Rua X, n° X, XX, Bragança Paulista-SP</t>
  </si>
  <si>
    <t>Mês/Ano</t>
  </si>
  <si>
    <t>CNPJ: XX.XXX.XXX/0001-XX</t>
  </si>
  <si>
    <t>NOME DO COLABORADOR</t>
  </si>
  <si>
    <t>SETOR/CARGO</t>
  </si>
  <si>
    <t>DESCRIÇÃO</t>
  </si>
  <si>
    <t>REFERÊNCIA</t>
  </si>
  <si>
    <t>PROVENTOS</t>
  </si>
  <si>
    <t>DESCONTOS</t>
  </si>
  <si>
    <t>SALÁRIO BASE</t>
  </si>
  <si>
    <t>HORAS EXTRAS</t>
  </si>
  <si>
    <t>FALTAS</t>
  </si>
  <si>
    <t>INSS</t>
  </si>
  <si>
    <t>IRPF</t>
  </si>
  <si>
    <t>OBSERVAÇÕES:</t>
  </si>
  <si>
    <t>TOTAL DE PROVENTOS</t>
  </si>
  <si>
    <t>TOTAL DE DESCONTOS</t>
  </si>
  <si>
    <t>BASE FGTS</t>
  </si>
  <si>
    <t>FGTS DO MÊS</t>
  </si>
  <si>
    <t>BASE INSS</t>
  </si>
  <si>
    <t>Declaro ter recebido a importância líquida discriminada neste recibo.</t>
  </si>
  <si>
    <t>Local e data.</t>
  </si>
  <si>
    <t>Assinatura.</t>
  </si>
  <si>
    <t>CARGO E SETOR</t>
  </si>
  <si>
    <t>GERENTE DE RH</t>
  </si>
  <si>
    <t>ANALISTA DE RH</t>
  </si>
  <si>
    <t>AUXILIAR DE RH</t>
  </si>
  <si>
    <t>GERENTE DE FINANCEIRO</t>
  </si>
  <si>
    <t>ANALISTA DE FINANCEIRO</t>
  </si>
  <si>
    <t>AUXILIAR DE FINANCEIRO</t>
  </si>
  <si>
    <t>GERENTE DE VENDAS</t>
  </si>
  <si>
    <t>VENDEDOR DE VENDAS</t>
  </si>
  <si>
    <t>OPERADOR DE PRODUÇÃO</t>
  </si>
  <si>
    <t>AUXILIAR DE PRODUÇÃO</t>
  </si>
  <si>
    <t>GERENTE DE COMPRAS</t>
  </si>
  <si>
    <t>ANALISTA DE COMPRAS</t>
  </si>
  <si>
    <t>AUXILIAR DE COMPRAS</t>
  </si>
  <si>
    <t>GERENTE DE LOGÍSTICA</t>
  </si>
  <si>
    <t>COORDENADOR DE LOGÍSTICA</t>
  </si>
  <si>
    <t>ANALISTA DE LOGÍSTICA</t>
  </si>
  <si>
    <t>AUXILIAR DE LOGÍSTICA</t>
  </si>
  <si>
    <t>GERENTE DE ESTOQUE</t>
  </si>
  <si>
    <t>COORDENADOR DE ESTOQUE</t>
  </si>
  <si>
    <t>AUXILIAR DE ESTOQUE</t>
  </si>
  <si>
    <t>TABELA IMPOSTO DE RENDA - Lei nº 14.848/24</t>
  </si>
  <si>
    <t>FAIXAS SALARIAIS</t>
  </si>
  <si>
    <t>%(ALIQUOTA)</t>
  </si>
  <si>
    <t>VALOR A DEDUZIR</t>
  </si>
  <si>
    <t>ATE</t>
  </si>
  <si>
    <t>ACIMA</t>
  </si>
  <si>
    <t>IR</t>
  </si>
  <si>
    <t>VER TABELA</t>
  </si>
  <si>
    <t>VAL REFEIÇÃO</t>
  </si>
  <si>
    <t>FGTS</t>
  </si>
  <si>
    <t>NOME:</t>
  </si>
  <si>
    <t>TELEFONE:</t>
  </si>
  <si>
    <t>ESTADO:</t>
  </si>
  <si>
    <t>CADASTRO DE CLIENTES</t>
  </si>
  <si>
    <t>CNPJ</t>
  </si>
  <si>
    <t>NOME DO CLIENTE</t>
  </si>
  <si>
    <t>PREÇO UNITÁRIO</t>
  </si>
  <si>
    <t>VALOR TOTAL DA VENDA</t>
  </si>
  <si>
    <t>DATA DE VENDA</t>
  </si>
  <si>
    <t xml:space="preserve">VENDEDOR </t>
  </si>
  <si>
    <t>CONTROLE DE VENDAS</t>
  </si>
  <si>
    <t>CONTROLE DE METAS</t>
  </si>
  <si>
    <t>MÊS</t>
  </si>
  <si>
    <t>META DE VENDA MENSAL</t>
  </si>
  <si>
    <t>VENDEDOR</t>
  </si>
  <si>
    <t>ID do fornecedor</t>
  </si>
  <si>
    <t>F001</t>
  </si>
  <si>
    <t xml:space="preserve">Nome </t>
  </si>
  <si>
    <t>Laticínios São João Ltda.</t>
  </si>
  <si>
    <t>12.345.678/0001-90</t>
  </si>
  <si>
    <t>vendas@saojoao.com.br</t>
  </si>
  <si>
    <t>(11) 1234-5678</t>
  </si>
  <si>
    <t>Endereço</t>
  </si>
  <si>
    <t>Rua das Leiteiras, 123, São Paulo</t>
  </si>
  <si>
    <t>Condições de pagamento</t>
  </si>
  <si>
    <t>A vista</t>
  </si>
  <si>
    <t>Produto</t>
  </si>
  <si>
    <t>Leite</t>
  </si>
  <si>
    <t>Valor unitario do produto</t>
  </si>
  <si>
    <t>PROCURAR FORNECEDOR</t>
  </si>
  <si>
    <t>CONTROLE DE MATÉRIA-PRIMA</t>
  </si>
  <si>
    <t>ID do Produto</t>
  </si>
  <si>
    <t>Quantidade minima</t>
  </si>
  <si>
    <t>Quantidade atual</t>
  </si>
  <si>
    <t>Quantidade miníma a comprar</t>
  </si>
  <si>
    <t>Necessidade de compra</t>
  </si>
  <si>
    <t>Data de solicitação</t>
  </si>
  <si>
    <t>Setor</t>
  </si>
  <si>
    <t>SOLICITAR COMPRA</t>
  </si>
  <si>
    <t>Data do pedido</t>
  </si>
  <si>
    <t>E- mail</t>
  </si>
  <si>
    <t>Valor do produto</t>
  </si>
  <si>
    <t>Valor do pedido</t>
  </si>
  <si>
    <t>REALIZAR PEDIDO</t>
  </si>
  <si>
    <t xml:space="preserve">CNPJ </t>
  </si>
  <si>
    <r>
      <t xml:space="preserve">Empregador </t>
    </r>
    <r>
      <rPr>
        <b/>
        <sz val="22"/>
        <color theme="1"/>
        <rFont val="Arial"/>
        <family val="2"/>
      </rPr>
      <t>QUEIJARIA ALPINA</t>
    </r>
  </si>
  <si>
    <t>a</t>
  </si>
  <si>
    <t>CIDADE</t>
  </si>
  <si>
    <t>CADASTRO DE CLIENTE</t>
  </si>
  <si>
    <t>QUEIIJOS</t>
  </si>
  <si>
    <t>PREÇOS UNITARIO</t>
  </si>
  <si>
    <t>NÍVEL DA  META</t>
  </si>
  <si>
    <t>CADASTRO DE FORNECEDORES</t>
  </si>
  <si>
    <t>TELEFONE</t>
  </si>
  <si>
    <t>ESTADO</t>
  </si>
  <si>
    <t>EMAIL</t>
  </si>
  <si>
    <t>NOME DO FORNECEDOR</t>
  </si>
  <si>
    <t>Casa de queijo de Monte Verde</t>
  </si>
  <si>
    <t>93.946.695/0001-80</t>
  </si>
  <si>
    <t>(15) 3865-2730</t>
  </si>
  <si>
    <t>Rua das Flores, 123</t>
  </si>
  <si>
    <t>Sorocaba</t>
  </si>
  <si>
    <t>São Paulo</t>
  </si>
  <si>
    <t>lucas.silva23@email.com</t>
  </si>
  <si>
    <t>Queijaria de Minas</t>
  </si>
  <si>
    <t>21.675.749/0001-09</t>
  </si>
  <si>
    <t>(12) 3628-7030</t>
  </si>
  <si>
    <t>Avenida Brasil, 4567</t>
  </si>
  <si>
    <t>Taubate</t>
  </si>
  <si>
    <t>maria.gomes78@email.com</t>
  </si>
  <si>
    <t>Aqui Queijo</t>
  </si>
  <si>
    <t>65.357.706/0001-50</t>
  </si>
  <si>
    <t>(14) 3615-7048</t>
  </si>
  <si>
    <t>Rua do Sol, 89</t>
  </si>
  <si>
    <t>Bauru</t>
  </si>
  <si>
    <t>pedro.santos45@email.com</t>
  </si>
  <si>
    <t>Uai Queijo</t>
  </si>
  <si>
    <t>09.091.029/0001-09</t>
  </si>
  <si>
    <t>(11) 3257-0877</t>
  </si>
  <si>
    <t>Travessa da Paz, 12</t>
  </si>
  <si>
    <t>julia.martins56@email.com</t>
  </si>
  <si>
    <t>Cruzilha Queijos</t>
  </si>
  <si>
    <t>09.190.296/0001-25</t>
  </si>
  <si>
    <t>(12) 2143-7408</t>
  </si>
  <si>
    <t>Rua da Esperança, 34</t>
  </si>
  <si>
    <t>Aparecida</t>
  </si>
  <si>
    <t>fernando.lima12@email.com</t>
  </si>
  <si>
    <t>Montana</t>
  </si>
  <si>
    <t>41.676.392/0001-90</t>
  </si>
  <si>
    <t>(18) 2801-0384</t>
  </si>
  <si>
    <t>Avenida das Américas, 567</t>
  </si>
  <si>
    <t>Adamantina</t>
  </si>
  <si>
    <t>ana.paula91@email.com</t>
  </si>
  <si>
    <t>Chale do Ito</t>
  </si>
  <si>
    <t>31.537.669/0001-40</t>
  </si>
  <si>
    <t>(15) 3284-8741</t>
  </si>
  <si>
    <t>Rua São Jorge, 78</t>
  </si>
  <si>
    <t>Itapeva</t>
  </si>
  <si>
    <t>roberto.costa34@email.com</t>
  </si>
  <si>
    <t>Restaurante So Queijo</t>
  </si>
  <si>
    <t>29.140.170/0001-53</t>
  </si>
  <si>
    <t>(12) 2873-4816</t>
  </si>
  <si>
    <t>Praça da Liberdade, 9</t>
  </si>
  <si>
    <t>Bananal</t>
  </si>
  <si>
    <t>claudia.rodrigues67@email.com</t>
  </si>
  <si>
    <t>Arcobaleno Frios e Queijos</t>
  </si>
  <si>
    <t>22.322.380/0001-13</t>
  </si>
  <si>
    <t>(38) 2237-4245</t>
  </si>
  <si>
    <t>Rua dos Reis, 101</t>
  </si>
  <si>
    <t>Aricanduva</t>
  </si>
  <si>
    <t>Minas Gerais</t>
  </si>
  <si>
    <t>ricardo.alves89@email.com</t>
  </si>
  <si>
    <t>Restaurante Libertango</t>
  </si>
  <si>
    <t>05.790.326/0001-83</t>
  </si>
  <si>
    <t>(34) 3036-2382</t>
  </si>
  <si>
    <t>Avenida dos Girassóis, 234</t>
  </si>
  <si>
    <t>Uberaba</t>
  </si>
  <si>
    <t>beatriz.souza22@email.com</t>
  </si>
  <si>
    <t>Monte Verde Laticinios</t>
  </si>
  <si>
    <t>17.389.690/0001-15</t>
  </si>
  <si>
    <t>(37) 2351-7051</t>
  </si>
  <si>
    <t>Rua das Acácias, 45</t>
  </si>
  <si>
    <t>Formiga</t>
  </si>
  <si>
    <t>thiago.ferreira10@email.com</t>
  </si>
  <si>
    <t>Armazem do Queijo</t>
  </si>
  <si>
    <t>03.044.803/0001-36</t>
  </si>
  <si>
    <t>(35) 2674-7424</t>
  </si>
  <si>
    <t>Estrada do Ouro, 678</t>
  </si>
  <si>
    <t>Pouso Alegre</t>
  </si>
  <si>
    <t>leticia.brito14@email.com</t>
  </si>
  <si>
    <t xml:space="preserve">Rancho do Caipira </t>
  </si>
  <si>
    <t>49.619.326/0001-90</t>
  </si>
  <si>
    <t>(34) 2355-3004</t>
  </si>
  <si>
    <t>Rua da Alegria, 23</t>
  </si>
  <si>
    <t>carlos.oliveira11@email.com</t>
  </si>
  <si>
    <t>Queijo e Doces Monte Verde</t>
  </si>
  <si>
    <t>76.018.260/0001-56</t>
  </si>
  <si>
    <t>(31) 2766-4584</t>
  </si>
  <si>
    <t>Avenida da Saúde, 345</t>
  </si>
  <si>
    <t>Contagem</t>
  </si>
  <si>
    <t>simone.nunes83@email.com</t>
  </si>
  <si>
    <t>Cantinho do Doce</t>
  </si>
  <si>
    <t>66.501.356/0001-17</t>
  </si>
  <si>
    <t>(38) 2532-5231</t>
  </si>
  <si>
    <t>Rua do Comércio, 11</t>
  </si>
  <si>
    <t>Arinos</t>
  </si>
  <si>
    <t>andréa.melo29@email.com</t>
  </si>
  <si>
    <t>A Pioneira</t>
  </si>
  <si>
    <t>18.996.600/0001-17</t>
  </si>
  <si>
    <t>(35) 2146-6560</t>
  </si>
  <si>
    <t>Rua do Limoeiro, 87</t>
  </si>
  <si>
    <t>Camanducaia</t>
  </si>
  <si>
    <t>vinicius.pires75@email.com</t>
  </si>
  <si>
    <t>Supermercado du Tato</t>
  </si>
  <si>
    <t>21.153.490/0001-36</t>
  </si>
  <si>
    <t>(43) 2678-1201</t>
  </si>
  <si>
    <t>Avenida da Independência, 456</t>
  </si>
  <si>
    <t>Alvorada do Sul</t>
  </si>
  <si>
    <t>Parana</t>
  </si>
  <si>
    <t>patricia.santos18@email.com</t>
  </si>
  <si>
    <t>Queijos Santa Fe</t>
  </si>
  <si>
    <t>24.851.065/0001-09</t>
  </si>
  <si>
    <t>(45) 2102-1100</t>
  </si>
  <si>
    <t>Rua das Palmeiras, 62</t>
  </si>
  <si>
    <t>Campo Bonito</t>
  </si>
  <si>
    <t>renan.campos90@email.com</t>
  </si>
  <si>
    <t>Supermercado Avenida</t>
  </si>
  <si>
    <t>03.531.020/0001-87</t>
  </si>
  <si>
    <t>(42) 2436-0843</t>
  </si>
  <si>
    <t>Rua do Conhecimento, 90</t>
  </si>
  <si>
    <t>Bituruna</t>
  </si>
  <si>
    <t>eliane.torres57@email.com</t>
  </si>
  <si>
    <t>Supermercado Bosque</t>
  </si>
  <si>
    <t>73.027.684/0001-99</t>
  </si>
  <si>
    <t>(42) 2463-2316</t>
  </si>
  <si>
    <t>Travessa do Coração, 33</t>
  </si>
  <si>
    <t>Irati</t>
  </si>
  <si>
    <t>joão.paulo82@email.com</t>
  </si>
  <si>
    <t>Supermercado Kurihara</t>
  </si>
  <si>
    <t>10.070.973/0001-50</t>
  </si>
  <si>
    <t>(43) 2781-3471</t>
  </si>
  <si>
    <t>Rua do Trabalho, 47</t>
  </si>
  <si>
    <t>Ponta Grossa</t>
  </si>
  <si>
    <t>isabela.machado39@email.com</t>
  </si>
  <si>
    <t>CADASTRO DE FUNCIONÁRIOS ATIVOS</t>
  </si>
  <si>
    <t>SALÁRIO BRUTO</t>
  </si>
  <si>
    <t>DATA DE INICIO</t>
  </si>
  <si>
    <t>HORA EXTRA</t>
  </si>
  <si>
    <t>VALE REFEIÇÃO</t>
  </si>
  <si>
    <t>IRRF</t>
  </si>
  <si>
    <t>Joao</t>
  </si>
  <si>
    <t>brasileira</t>
  </si>
  <si>
    <t>solteiro</t>
  </si>
  <si>
    <t>vendedor</t>
  </si>
  <si>
    <t>333955598-28</t>
  </si>
  <si>
    <t>jaoa@email.com</t>
  </si>
  <si>
    <t>11 98585-5284</t>
  </si>
  <si>
    <t>vendas</t>
  </si>
  <si>
    <t xml:space="preserve">Ana  </t>
  </si>
  <si>
    <t>casada</t>
  </si>
  <si>
    <t>vendedora</t>
  </si>
  <si>
    <t>333955598-29</t>
  </si>
  <si>
    <t>ana@email.com</t>
  </si>
  <si>
    <t>11 95472-6872</t>
  </si>
  <si>
    <t xml:space="preserve">Carlos  </t>
  </si>
  <si>
    <t>333955598-30</t>
  </si>
  <si>
    <t>carlos@email.com</t>
  </si>
  <si>
    <t>12 95472-6873</t>
  </si>
  <si>
    <t xml:space="preserve">Beatriz  </t>
  </si>
  <si>
    <t>solteira</t>
  </si>
  <si>
    <t>333955598-31</t>
  </si>
  <si>
    <t>beatriz@email.com</t>
  </si>
  <si>
    <t>13 95472-6874</t>
  </si>
  <si>
    <t>RECEITA</t>
  </si>
  <si>
    <t>QUANTIDADE VENDIDA</t>
  </si>
  <si>
    <t>MES</t>
  </si>
  <si>
    <t>Outubro</t>
  </si>
  <si>
    <t>CALCULO DE FRETE</t>
  </si>
  <si>
    <t>DISTÂNCIA (km)</t>
  </si>
  <si>
    <t>GASOLINA</t>
  </si>
  <si>
    <t>PREÇO DA GASOLINA</t>
  </si>
  <si>
    <t>CONSUMO DO VEÍCULO</t>
  </si>
  <si>
    <t>PESO TOTAL (kg)</t>
  </si>
  <si>
    <t>CUSTO DO FRETE</t>
  </si>
  <si>
    <t>VALOR DO FRETE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</si>
</sst>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  <numFmt numFmtId="165" formatCode="_-[$R$-416]\ * #,##0.00_-;\-[$R$-416]\ * #,##0.00_-;_-[$R$-416]\ * &quot;-&quot;??_-;_-@_-"/>
  </numFmts>
  <fonts count="5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2"/>
      <color rgb="FF000000"/>
      <name val="Calibri"/>
      <family val="2"/>
    </font>
    <font>
      <sz val="16"/>
      <color rgb="FF000000"/>
      <name val="Calibri"/>
      <family val="2"/>
    </font>
    <font>
      <sz val="14"/>
      <color rgb="FF000000"/>
      <name val="Arial"/>
      <family val="2"/>
    </font>
    <font>
      <b/>
      <sz val="11"/>
      <color rgb="FF000000"/>
      <name val="Arial"/>
      <family val="2"/>
    </font>
    <font>
      <sz val="16"/>
      <color rgb="FF000000"/>
      <name val="Arial"/>
      <family val="2"/>
    </font>
    <font>
      <b/>
      <sz val="14"/>
      <color theme="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22"/>
      <color rgb="FF000000"/>
      <name val="Arial"/>
      <family val="2"/>
    </font>
    <font>
      <b/>
      <sz val="12"/>
      <color rgb="FF000000"/>
      <name val="Arial"/>
      <family val="2"/>
    </font>
    <font>
      <b/>
      <sz val="22"/>
      <color theme="1"/>
      <name val="Arial"/>
      <family val="2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72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Calibri"/>
      <family val="2"/>
      <scheme val="minor"/>
    </font>
    <font>
      <b/>
      <sz val="72"/>
      <color theme="0"/>
      <name val="Arial"/>
      <family val="2"/>
    </font>
    <font>
      <b/>
      <sz val="20"/>
      <color theme="0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0"/>
      <name val="Arial"/>
      <family val="2"/>
    </font>
    <font>
      <b/>
      <sz val="11"/>
      <color theme="0"/>
      <name val="Arial"/>
      <family val="2"/>
    </font>
    <font>
      <b/>
      <sz val="16"/>
      <color rgb="FF000000"/>
      <name val="Arial"/>
      <family val="2"/>
    </font>
    <font>
      <b/>
      <sz val="14"/>
      <color rgb="FF000000"/>
      <name val="Arial"/>
      <family val="2"/>
    </font>
    <font>
      <sz val="12"/>
      <color rgb="FF000000"/>
      <name val="Arial"/>
      <family val="2"/>
    </font>
    <font>
      <b/>
      <sz val="16"/>
      <color theme="0"/>
      <name val="Arial"/>
      <family val="2"/>
    </font>
    <font>
      <sz val="14"/>
      <color theme="1"/>
      <name val="Arial"/>
      <family val="2"/>
    </font>
    <font>
      <sz val="14"/>
      <color theme="0"/>
      <name val="Arial"/>
      <family val="2"/>
    </font>
    <font>
      <sz val="14"/>
      <name val="Arial"/>
      <family val="2"/>
    </font>
    <font>
      <u/>
      <sz val="14"/>
      <color theme="1"/>
      <name val="Arial"/>
      <family val="2"/>
    </font>
    <font>
      <sz val="12"/>
      <color theme="1"/>
      <name val="Calibri"/>
      <family val="2"/>
      <scheme val="minor"/>
    </font>
    <font>
      <u/>
      <sz val="12"/>
      <color theme="1"/>
      <name val="Arial"/>
      <family val="2"/>
    </font>
    <font>
      <sz val="16"/>
      <color theme="1"/>
      <name val="Arial"/>
      <family val="2"/>
    </font>
    <font>
      <sz val="18"/>
      <color theme="1"/>
      <name val="Arial"/>
      <family val="2"/>
    </font>
    <font>
      <sz val="18"/>
      <color rgb="FF000000"/>
      <name val="Arial"/>
      <family val="2"/>
    </font>
    <font>
      <b/>
      <sz val="18"/>
      <color theme="1"/>
      <name val="Arial"/>
      <family val="2"/>
    </font>
    <font>
      <b/>
      <sz val="16"/>
      <color theme="1"/>
      <name val="Arial"/>
      <family val="2"/>
    </font>
    <font>
      <b/>
      <sz val="18"/>
      <color theme="0"/>
      <name val="Arial"/>
      <family val="2"/>
    </font>
    <font>
      <b/>
      <sz val="20"/>
      <color theme="1"/>
      <name val="Arial"/>
      <family val="2"/>
    </font>
    <font>
      <sz val="22"/>
      <color theme="1"/>
      <name val="Arial"/>
      <family val="2"/>
    </font>
    <font>
      <sz val="8"/>
      <color theme="1"/>
      <name val="Arial"/>
      <family val="2"/>
    </font>
    <font>
      <sz val="18"/>
      <color theme="0"/>
      <name val="Arial"/>
      <family val="2"/>
    </font>
    <font>
      <sz val="11"/>
      <color theme="0"/>
      <name val="Arial"/>
      <family val="2"/>
    </font>
    <font>
      <u/>
      <sz val="11"/>
      <color theme="1"/>
      <name val="Arial"/>
      <family val="2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gradientFill type="path" left="0.5" right="0.5" top="0.5" bottom="0.5">
        <stop position="0">
          <color theme="2" tint="-0.89803765984069339"/>
        </stop>
        <stop position="1">
          <color theme="2" tint="-0.74901577806939912"/>
        </stop>
      </gradientFill>
    </fill>
    <fill>
      <patternFill patternType="solid">
        <fgColor theme="2" tint="-0.749992370372631"/>
        <bgColor indexed="64"/>
      </patternFill>
    </fill>
    <fill>
      <patternFill patternType="solid">
        <fgColor theme="2" tint="-0.749992370372631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39997558519241921"/>
        <bgColor rgb="FF00000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000000"/>
      </patternFill>
    </fill>
    <fill>
      <patternFill patternType="solid">
        <fgColor rgb="FF3D5B7A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D597A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theme="4" tint="0.79998168889431442"/>
        <bgColor auto="1"/>
      </patternFill>
    </fill>
    <fill>
      <patternFill patternType="solid">
        <fgColor rgb="FF3D5B7A"/>
        <bgColor indexed="64"/>
      </patternFill>
    </fill>
    <fill>
      <patternFill patternType="solid">
        <fgColor rgb="FF3D5B7A"/>
        <bgColor auto="1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rgb="FF000000"/>
      </patternFill>
    </fill>
  </fills>
  <borders count="7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44" fontId="16" fillId="0" borderId="0" applyFont="0" applyFill="0" applyBorder="0" applyAlignment="0" applyProtection="0"/>
    <xf numFmtId="44" fontId="16" fillId="0" borderId="0" applyFont="0" applyFill="0" applyBorder="0" applyAlignment="0" applyProtection="0"/>
  </cellStyleXfs>
  <cellXfs count="543">
    <xf numFmtId="0" fontId="0" fillId="0" borderId="0" xfId="0"/>
    <xf numFmtId="0" fontId="0" fillId="2" borderId="0" xfId="0" applyFill="1"/>
    <xf numFmtId="0" fontId="0" fillId="7" borderId="0" xfId="0" applyFill="1"/>
    <xf numFmtId="0" fontId="2" fillId="10" borderId="7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2" fillId="11" borderId="0" xfId="0" applyFont="1" applyFill="1" applyAlignment="1">
      <alignment horizontal="center" vertical="center"/>
    </xf>
    <xf numFmtId="0" fontId="2" fillId="11" borderId="8" xfId="0" applyFont="1" applyFill="1" applyBorder="1" applyAlignment="1">
      <alignment horizontal="center" vertical="center"/>
    </xf>
    <xf numFmtId="0" fontId="0" fillId="10" borderId="8" xfId="0" applyFill="1" applyBorder="1"/>
    <xf numFmtId="0" fontId="9" fillId="10" borderId="7" xfId="0" applyFont="1" applyFill="1" applyBorder="1"/>
    <xf numFmtId="0" fontId="4" fillId="11" borderId="0" xfId="0" applyFont="1" applyFill="1" applyAlignment="1">
      <alignment horizontal="left" vertical="center"/>
    </xf>
    <xf numFmtId="0" fontId="3" fillId="11" borderId="0" xfId="0" applyFont="1" applyFill="1" applyAlignment="1">
      <alignment horizontal="center" vertical="center"/>
    </xf>
    <xf numFmtId="0" fontId="2" fillId="11" borderId="8" xfId="0" applyFont="1" applyFill="1" applyBorder="1" applyAlignment="1">
      <alignment horizontal="left" vertical="center"/>
    </xf>
    <xf numFmtId="0" fontId="2" fillId="11" borderId="0" xfId="0" applyFont="1" applyFill="1"/>
    <xf numFmtId="0" fontId="2" fillId="11" borderId="8" xfId="0" applyFont="1" applyFill="1" applyBorder="1"/>
    <xf numFmtId="0" fontId="2" fillId="10" borderId="9" xfId="0" applyFont="1" applyFill="1" applyBorder="1" applyAlignment="1">
      <alignment vertical="center"/>
    </xf>
    <xf numFmtId="0" fontId="2" fillId="11" borderId="10" xfId="0" applyFont="1" applyFill="1" applyBorder="1"/>
    <xf numFmtId="0" fontId="2" fillId="11" borderId="11" xfId="0" applyFont="1" applyFill="1" applyBorder="1"/>
    <xf numFmtId="0" fontId="2" fillId="11" borderId="7" xfId="0" applyFont="1" applyFill="1" applyBorder="1" applyAlignment="1">
      <alignment horizontal="left" vertical="center"/>
    </xf>
    <xf numFmtId="0" fontId="3" fillId="11" borderId="0" xfId="0" applyFont="1" applyFill="1" applyAlignment="1">
      <alignment horizontal="left" vertical="center"/>
    </xf>
    <xf numFmtId="0" fontId="2" fillId="11" borderId="0" xfId="0" applyFont="1" applyFill="1" applyAlignment="1">
      <alignment horizontal="left" vertical="center"/>
    </xf>
    <xf numFmtId="0" fontId="2" fillId="11" borderId="9" xfId="0" applyFont="1" applyFill="1" applyBorder="1" applyAlignment="1">
      <alignment horizontal="left" vertical="center"/>
    </xf>
    <xf numFmtId="0" fontId="2" fillId="11" borderId="10" xfId="0" applyFont="1" applyFill="1" applyBorder="1" applyAlignment="1">
      <alignment horizontal="left" vertical="center"/>
    </xf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7" borderId="0" xfId="0" applyFill="1"/>
    <xf numFmtId="0" fontId="8" fillId="17" borderId="0" xfId="0" applyFont="1" applyFill="1" applyAlignment="1">
      <alignment horizontal="center" vertical="center"/>
    </xf>
    <xf numFmtId="0" fontId="9" fillId="17" borderId="0" xfId="0" applyFont="1" applyFill="1" applyAlignment="1">
      <alignment horizontal="center" vertical="center"/>
    </xf>
    <xf numFmtId="0" fontId="2" fillId="17" borderId="0" xfId="0" applyFont="1" applyFill="1" applyAlignment="1">
      <alignment vertical="center"/>
    </xf>
    <xf numFmtId="0" fontId="2" fillId="12" borderId="0" xfId="0" applyFont="1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9" fillId="17" borderId="0" xfId="0" applyFont="1" applyFill="1"/>
    <xf numFmtId="0" fontId="10" fillId="17" borderId="0" xfId="0" applyFont="1" applyFill="1" applyAlignment="1">
      <alignment horizontal="center" vertical="center"/>
    </xf>
    <xf numFmtId="0" fontId="10" fillId="17" borderId="0" xfId="0" applyFont="1" applyFill="1" applyAlignment="1">
      <alignment vertical="center"/>
    </xf>
    <xf numFmtId="0" fontId="6" fillId="17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left" vertical="center"/>
    </xf>
    <xf numFmtId="0" fontId="3" fillId="12" borderId="0" xfId="0" applyFont="1" applyFill="1" applyAlignment="1">
      <alignment horizontal="center" vertical="center"/>
    </xf>
    <xf numFmtId="0" fontId="2" fillId="12" borderId="0" xfId="0" applyFont="1" applyFill="1" applyAlignment="1">
      <alignment horizontal="left" vertical="center"/>
    </xf>
    <xf numFmtId="0" fontId="2" fillId="12" borderId="0" xfId="0" applyFont="1" applyFill="1"/>
    <xf numFmtId="0" fontId="14" fillId="13" borderId="0" xfId="0" applyFont="1" applyFill="1" applyBorder="1" applyAlignment="1"/>
    <xf numFmtId="0" fontId="2" fillId="13" borderId="0" xfId="0" applyFont="1" applyFill="1" applyBorder="1" applyAlignment="1"/>
    <xf numFmtId="0" fontId="4" fillId="13" borderId="0" xfId="0" applyFont="1" applyFill="1" applyBorder="1" applyAlignment="1"/>
    <xf numFmtId="0" fontId="13" fillId="13" borderId="44" xfId="0" applyFont="1" applyFill="1" applyBorder="1" applyAlignment="1"/>
    <xf numFmtId="0" fontId="2" fillId="13" borderId="45" xfId="0" applyFont="1" applyFill="1" applyBorder="1" applyAlignment="1"/>
    <xf numFmtId="0" fontId="4" fillId="13" borderId="45" xfId="0" applyFont="1" applyFill="1" applyBorder="1" applyAlignment="1"/>
    <xf numFmtId="0" fontId="13" fillId="13" borderId="46" xfId="0" applyFont="1" applyFill="1" applyBorder="1" applyAlignment="1"/>
    <xf numFmtId="0" fontId="2" fillId="13" borderId="47" xfId="0" applyFont="1" applyFill="1" applyBorder="1" applyAlignment="1"/>
    <xf numFmtId="0" fontId="14" fillId="13" borderId="47" xfId="0" applyFont="1" applyFill="1" applyBorder="1" applyAlignment="1"/>
    <xf numFmtId="0" fontId="4" fillId="13" borderId="47" xfId="0" applyFont="1" applyFill="1" applyBorder="1" applyAlignment="1"/>
    <xf numFmtId="0" fontId="2" fillId="13" borderId="48" xfId="0" applyFont="1" applyFill="1" applyBorder="1" applyAlignment="1"/>
    <xf numFmtId="0" fontId="0" fillId="2" borderId="52" xfId="0" applyFill="1" applyBorder="1"/>
    <xf numFmtId="0" fontId="0" fillId="2" borderId="52" xfId="0" applyFill="1" applyBorder="1" applyAlignment="1">
      <alignment horizontal="center"/>
    </xf>
    <xf numFmtId="0" fontId="2" fillId="11" borderId="0" xfId="0" applyFont="1" applyFill="1" applyBorder="1" applyAlignment="1">
      <alignment vertical="center"/>
    </xf>
    <xf numFmtId="0" fontId="2" fillId="11" borderId="7" xfId="0" applyFont="1" applyFill="1" applyBorder="1" applyAlignment="1">
      <alignment vertical="center"/>
    </xf>
    <xf numFmtId="0" fontId="7" fillId="3" borderId="0" xfId="0" applyFont="1" applyFill="1" applyBorder="1" applyAlignment="1">
      <alignment vertical="center"/>
    </xf>
    <xf numFmtId="0" fontId="2" fillId="3" borderId="0" xfId="0" applyFont="1" applyFill="1" applyBorder="1"/>
    <xf numFmtId="0" fontId="2" fillId="11" borderId="0" xfId="0" applyFont="1" applyFill="1" applyBorder="1" applyAlignment="1">
      <alignment horizontal="left" vertical="center"/>
    </xf>
    <xf numFmtId="0" fontId="3" fillId="11" borderId="0" xfId="0" applyFont="1" applyFill="1" applyBorder="1" applyAlignment="1">
      <alignment horizontal="left" vertical="center"/>
    </xf>
    <xf numFmtId="0" fontId="2" fillId="11" borderId="0" xfId="0" applyFont="1" applyFill="1" applyBorder="1"/>
    <xf numFmtId="0" fontId="11" fillId="3" borderId="0" xfId="0" applyFont="1" applyFill="1" applyBorder="1" applyAlignment="1">
      <alignment horizontal="center" vertical="center"/>
    </xf>
    <xf numFmtId="0" fontId="9" fillId="2" borderId="52" xfId="0" applyFont="1" applyFill="1" applyBorder="1"/>
    <xf numFmtId="0" fontId="9" fillId="2" borderId="52" xfId="0" applyFont="1" applyFill="1" applyBorder="1" applyAlignment="1">
      <alignment horizontal="center"/>
    </xf>
    <xf numFmtId="0" fontId="9" fillId="10" borderId="0" xfId="0" applyFont="1" applyFill="1" applyBorder="1"/>
    <xf numFmtId="0" fontId="9" fillId="10" borderId="8" xfId="0" applyFont="1" applyFill="1" applyBorder="1"/>
    <xf numFmtId="0" fontId="9" fillId="10" borderId="9" xfId="0" applyFont="1" applyFill="1" applyBorder="1"/>
    <xf numFmtId="0" fontId="9" fillId="10" borderId="10" xfId="0" applyFont="1" applyFill="1" applyBorder="1"/>
    <xf numFmtId="0" fontId="9" fillId="10" borderId="11" xfId="0" applyFont="1" applyFill="1" applyBorder="1"/>
    <xf numFmtId="0" fontId="21" fillId="2" borderId="52" xfId="0" applyFont="1" applyFill="1" applyBorder="1" applyAlignment="1">
      <alignment horizontal="center" vertical="center"/>
    </xf>
    <xf numFmtId="0" fontId="19" fillId="2" borderId="0" xfId="0" applyFont="1" applyFill="1" applyAlignment="1">
      <alignment vertical="center"/>
    </xf>
    <xf numFmtId="0" fontId="21" fillId="10" borderId="7" xfId="0" applyFont="1" applyFill="1" applyBorder="1" applyAlignment="1">
      <alignment horizontal="left" vertical="center"/>
    </xf>
    <xf numFmtId="0" fontId="21" fillId="10" borderId="0" xfId="0" applyFont="1" applyFill="1" applyBorder="1" applyAlignment="1">
      <alignment vertical="center"/>
    </xf>
    <xf numFmtId="0" fontId="21" fillId="10" borderId="8" xfId="0" applyFont="1" applyFill="1" applyBorder="1" applyAlignment="1">
      <alignment vertical="center"/>
    </xf>
    <xf numFmtId="0" fontId="21" fillId="10" borderId="9" xfId="0" applyFont="1" applyFill="1" applyBorder="1" applyAlignment="1">
      <alignment horizontal="left" vertical="center"/>
    </xf>
    <xf numFmtId="0" fontId="21" fillId="10" borderId="10" xfId="0" applyFont="1" applyFill="1" applyBorder="1" applyAlignment="1">
      <alignment vertical="center"/>
    </xf>
    <xf numFmtId="0" fontId="21" fillId="10" borderId="11" xfId="0" applyFont="1" applyFill="1" applyBorder="1" applyAlignment="1">
      <alignment vertical="center"/>
    </xf>
    <xf numFmtId="0" fontId="0" fillId="10" borderId="7" xfId="0" applyFill="1" applyBorder="1"/>
    <xf numFmtId="0" fontId="21" fillId="10" borderId="0" xfId="0" applyFont="1" applyFill="1" applyBorder="1" applyAlignment="1">
      <alignment horizontal="center" vertical="center"/>
    </xf>
    <xf numFmtId="0" fontId="0" fillId="10" borderId="0" xfId="0" applyFill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22" fillId="10" borderId="7" xfId="0" applyFont="1" applyFill="1" applyBorder="1" applyAlignment="1">
      <alignment horizontal="center" vertical="center"/>
    </xf>
    <xf numFmtId="0" fontId="22" fillId="10" borderId="0" xfId="0" applyFont="1" applyFill="1" applyBorder="1" applyAlignment="1">
      <alignment vertical="center"/>
    </xf>
    <xf numFmtId="0" fontId="22" fillId="10" borderId="8" xfId="0" applyFont="1" applyFill="1" applyBorder="1" applyAlignment="1">
      <alignment vertical="center"/>
    </xf>
    <xf numFmtId="0" fontId="19" fillId="10" borderId="7" xfId="0" applyFont="1" applyFill="1" applyBorder="1" applyAlignment="1">
      <alignment vertical="center"/>
    </xf>
    <xf numFmtId="0" fontId="19" fillId="10" borderId="8" xfId="0" applyFont="1" applyFill="1" applyBorder="1" applyAlignment="1">
      <alignment vertical="center"/>
    </xf>
    <xf numFmtId="0" fontId="19" fillId="10" borderId="7" xfId="0" applyFont="1" applyFill="1" applyBorder="1" applyAlignment="1">
      <alignment horizontal="center" vertical="center"/>
    </xf>
    <xf numFmtId="0" fontId="19" fillId="10" borderId="0" xfId="0" applyFont="1" applyFill="1" applyBorder="1" applyAlignment="1">
      <alignment vertical="center"/>
    </xf>
    <xf numFmtId="0" fontId="0" fillId="10" borderId="0" xfId="0" applyFill="1" applyBorder="1"/>
    <xf numFmtId="0" fontId="0" fillId="10" borderId="9" xfId="0" applyFill="1" applyBorder="1"/>
    <xf numFmtId="0" fontId="0" fillId="10" borderId="10" xfId="0" applyFill="1" applyBorder="1"/>
    <xf numFmtId="0" fontId="0" fillId="10" borderId="11" xfId="0" applyFill="1" applyBorder="1"/>
    <xf numFmtId="0" fontId="0" fillId="2" borderId="0" xfId="0" applyFill="1" applyBorder="1"/>
    <xf numFmtId="0" fontId="30" fillId="3" borderId="0" xfId="0" applyFont="1" applyFill="1" applyBorder="1" applyAlignment="1">
      <alignment horizontal="center" vertical="center"/>
    </xf>
    <xf numFmtId="0" fontId="3" fillId="11" borderId="0" xfId="0" applyFont="1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3" fillId="3" borderId="0" xfId="0" applyFont="1" applyFill="1" applyBorder="1" applyAlignment="1">
      <alignment vertical="center"/>
    </xf>
    <xf numFmtId="0" fontId="15" fillId="3" borderId="0" xfId="0" applyFont="1" applyFill="1"/>
    <xf numFmtId="0" fontId="0" fillId="0" borderId="0" xfId="0"/>
    <xf numFmtId="0" fontId="31" fillId="13" borderId="0" xfId="0" applyFont="1" applyFill="1" applyBorder="1" applyAlignment="1"/>
    <xf numFmtId="0" fontId="0" fillId="0" borderId="0" xfId="0"/>
    <xf numFmtId="0" fontId="0" fillId="7" borderId="0" xfId="0" applyFill="1"/>
    <xf numFmtId="0" fontId="33" fillId="10" borderId="0" xfId="0" applyFont="1" applyFill="1" applyBorder="1"/>
    <xf numFmtId="0" fontId="20" fillId="10" borderId="0" xfId="0" applyFont="1" applyFill="1" applyBorder="1" applyAlignment="1">
      <alignment horizontal="left"/>
    </xf>
    <xf numFmtId="0" fontId="33" fillId="10" borderId="0" xfId="0" applyFont="1" applyFill="1" applyBorder="1" applyAlignment="1">
      <alignment horizontal="left"/>
    </xf>
    <xf numFmtId="0" fontId="20" fillId="10" borderId="0" xfId="0" applyFont="1" applyFill="1" applyBorder="1"/>
    <xf numFmtId="0" fontId="0" fillId="10" borderId="0" xfId="0" applyFont="1" applyFill="1" applyBorder="1"/>
    <xf numFmtId="0" fontId="33" fillId="11" borderId="0" xfId="0" applyFont="1" applyFill="1" applyBorder="1" applyAlignment="1">
      <alignment horizontal="left"/>
    </xf>
    <xf numFmtId="0" fontId="33" fillId="2" borderId="1" xfId="0" applyFont="1" applyFill="1" applyBorder="1" applyAlignment="1">
      <alignment horizontal="left"/>
    </xf>
    <xf numFmtId="0" fontId="33" fillId="2" borderId="1" xfId="0" applyNumberFormat="1" applyFont="1" applyFill="1" applyBorder="1" applyAlignment="1">
      <alignment horizontal="left"/>
    </xf>
    <xf numFmtId="0" fontId="36" fillId="2" borderId="1" xfId="2" applyFont="1" applyFill="1" applyBorder="1" applyAlignment="1">
      <alignment horizontal="left"/>
    </xf>
    <xf numFmtId="0" fontId="33" fillId="3" borderId="1" xfId="0" applyFont="1" applyFill="1" applyBorder="1" applyAlignment="1">
      <alignment horizontal="left"/>
    </xf>
    <xf numFmtId="165" fontId="33" fillId="3" borderId="1" xfId="0" applyNumberFormat="1" applyFont="1" applyFill="1" applyBorder="1" applyAlignment="1">
      <alignment horizontal="left"/>
    </xf>
    <xf numFmtId="0" fontId="24" fillId="10" borderId="0" xfId="0" applyFont="1" applyFill="1" applyBorder="1"/>
    <xf numFmtId="0" fontId="27" fillId="10" borderId="0" xfId="0" applyFont="1" applyFill="1" applyBorder="1" applyAlignment="1">
      <alignment vertical="center"/>
    </xf>
    <xf numFmtId="0" fontId="37" fillId="10" borderId="0" xfId="0" applyFont="1" applyFill="1" applyBorder="1"/>
    <xf numFmtId="0" fontId="26" fillId="2" borderId="1" xfId="0" applyFont="1" applyFill="1" applyBorder="1"/>
    <xf numFmtId="0" fontId="26" fillId="10" borderId="0" xfId="0" applyFont="1" applyFill="1" applyBorder="1"/>
    <xf numFmtId="0" fontId="24" fillId="10" borderId="0" xfId="0" applyFont="1" applyFill="1" applyBorder="1" applyAlignment="1">
      <alignment horizontal="left"/>
    </xf>
    <xf numFmtId="0" fontId="26" fillId="10" borderId="0" xfId="0" applyFont="1" applyFill="1" applyBorder="1" applyAlignment="1">
      <alignment horizontal="left"/>
    </xf>
    <xf numFmtId="0" fontId="26" fillId="2" borderId="1" xfId="0" applyFont="1" applyFill="1" applyBorder="1" applyAlignment="1">
      <alignment horizontal="left"/>
    </xf>
    <xf numFmtId="0" fontId="26" fillId="2" borderId="1" xfId="0" applyNumberFormat="1" applyFont="1" applyFill="1" applyBorder="1" applyAlignment="1">
      <alignment horizontal="left"/>
    </xf>
    <xf numFmtId="0" fontId="38" fillId="2" borderId="1" xfId="2" applyFont="1" applyFill="1" applyBorder="1" applyAlignment="1">
      <alignment horizontal="left"/>
    </xf>
    <xf numFmtId="0" fontId="26" fillId="11" borderId="0" xfId="0" applyFont="1" applyFill="1" applyBorder="1" applyAlignment="1">
      <alignment horizontal="left"/>
    </xf>
    <xf numFmtId="0" fontId="26" fillId="3" borderId="1" xfId="0" applyFont="1" applyFill="1" applyBorder="1" applyAlignment="1">
      <alignment horizontal="left"/>
    </xf>
    <xf numFmtId="0" fontId="27" fillId="10" borderId="7" xfId="0" applyFont="1" applyFill="1" applyBorder="1" applyAlignment="1">
      <alignment vertical="center"/>
    </xf>
    <xf numFmtId="0" fontId="27" fillId="10" borderId="8" xfId="0" applyFont="1" applyFill="1" applyBorder="1" applyAlignment="1">
      <alignment vertical="center"/>
    </xf>
    <xf numFmtId="0" fontId="37" fillId="10" borderId="7" xfId="0" applyFont="1" applyFill="1" applyBorder="1"/>
    <xf numFmtId="0" fontId="37" fillId="10" borderId="8" xfId="0" applyFont="1" applyFill="1" applyBorder="1"/>
    <xf numFmtId="0" fontId="26" fillId="10" borderId="7" xfId="0" applyFont="1" applyFill="1" applyBorder="1" applyAlignment="1">
      <alignment horizontal="left"/>
    </xf>
    <xf numFmtId="0" fontId="26" fillId="10" borderId="8" xfId="0" applyFont="1" applyFill="1" applyBorder="1" applyAlignment="1">
      <alignment horizontal="left"/>
    </xf>
    <xf numFmtId="0" fontId="26" fillId="11" borderId="8" xfId="0" applyFont="1" applyFill="1" applyBorder="1" applyAlignment="1">
      <alignment horizontal="left"/>
    </xf>
    <xf numFmtId="0" fontId="26" fillId="10" borderId="9" xfId="0" applyFont="1" applyFill="1" applyBorder="1" applyAlignment="1">
      <alignment horizontal="left"/>
    </xf>
    <xf numFmtId="0" fontId="26" fillId="10" borderId="10" xfId="0" applyFont="1" applyFill="1" applyBorder="1" applyAlignment="1">
      <alignment horizontal="left"/>
    </xf>
    <xf numFmtId="0" fontId="26" fillId="11" borderId="10" xfId="0" applyFont="1" applyFill="1" applyBorder="1" applyAlignment="1">
      <alignment horizontal="left"/>
    </xf>
    <xf numFmtId="0" fontId="26" fillId="11" borderId="11" xfId="0" applyFont="1" applyFill="1" applyBorder="1" applyAlignment="1">
      <alignment horizontal="left"/>
    </xf>
    <xf numFmtId="165" fontId="26" fillId="3" borderId="1" xfId="0" applyNumberFormat="1" applyFont="1" applyFill="1" applyBorder="1" applyAlignment="1">
      <alignment horizontal="left"/>
    </xf>
    <xf numFmtId="0" fontId="37" fillId="2" borderId="0" xfId="0" applyFont="1" applyFill="1" applyBorder="1"/>
    <xf numFmtId="0" fontId="26" fillId="2" borderId="0" xfId="0" applyFont="1" applyFill="1" applyBorder="1"/>
    <xf numFmtId="0" fontId="24" fillId="2" borderId="0" xfId="0" applyFont="1" applyFill="1" applyBorder="1" applyAlignment="1">
      <alignment horizontal="left"/>
    </xf>
    <xf numFmtId="0" fontId="26" fillId="2" borderId="0" xfId="0" applyFont="1" applyFill="1" applyBorder="1" applyAlignment="1">
      <alignment horizontal="left"/>
    </xf>
    <xf numFmtId="0" fontId="26" fillId="3" borderId="0" xfId="0" applyFont="1" applyFill="1" applyBorder="1" applyAlignment="1">
      <alignment horizontal="left"/>
    </xf>
    <xf numFmtId="165" fontId="26" fillId="3" borderId="0" xfId="0" applyNumberFormat="1" applyFont="1" applyFill="1" applyBorder="1" applyAlignment="1">
      <alignment horizontal="left"/>
    </xf>
    <xf numFmtId="0" fontId="0" fillId="0" borderId="0" xfId="0"/>
    <xf numFmtId="0" fontId="0" fillId="7" borderId="0" xfId="0" applyFill="1"/>
    <xf numFmtId="0" fontId="34" fillId="2" borderId="1" xfId="0" applyFont="1" applyFill="1" applyBorder="1"/>
    <xf numFmtId="0" fontId="33" fillId="2" borderId="1" xfId="0" applyFont="1" applyFill="1" applyBorder="1"/>
    <xf numFmtId="0" fontId="32" fillId="2" borderId="0" xfId="0" applyFont="1" applyFill="1" applyBorder="1" applyAlignment="1"/>
    <xf numFmtId="0" fontId="33" fillId="2" borderId="0" xfId="0" applyFont="1" applyFill="1" applyBorder="1"/>
    <xf numFmtId="0" fontId="33" fillId="10" borderId="7" xfId="0" applyFont="1" applyFill="1" applyBorder="1"/>
    <xf numFmtId="0" fontId="33" fillId="10" borderId="8" xfId="0" applyFont="1" applyFill="1" applyBorder="1"/>
    <xf numFmtId="0" fontId="33" fillId="10" borderId="9" xfId="0" applyFont="1" applyFill="1" applyBorder="1"/>
    <xf numFmtId="0" fontId="33" fillId="10" borderId="10" xfId="0" applyFont="1" applyFill="1" applyBorder="1"/>
    <xf numFmtId="0" fontId="33" fillId="10" borderId="11" xfId="0" applyFont="1" applyFill="1" applyBorder="1"/>
    <xf numFmtId="0" fontId="0" fillId="0" borderId="0" xfId="0"/>
    <xf numFmtId="0" fontId="0" fillId="7" borderId="0" xfId="0" applyFill="1"/>
    <xf numFmtId="0" fontId="33" fillId="2" borderId="1" xfId="0" applyFont="1" applyFill="1" applyBorder="1"/>
    <xf numFmtId="0" fontId="33" fillId="10" borderId="7" xfId="0" applyFont="1" applyFill="1" applyBorder="1" applyAlignment="1">
      <alignment horizontal="left"/>
    </xf>
    <xf numFmtId="0" fontId="33" fillId="10" borderId="8" xfId="0" applyFont="1" applyFill="1" applyBorder="1" applyAlignment="1">
      <alignment horizontal="left"/>
    </xf>
    <xf numFmtId="0" fontId="0" fillId="10" borderId="7" xfId="0" applyFont="1" applyFill="1" applyBorder="1"/>
    <xf numFmtId="0" fontId="0" fillId="10" borderId="8" xfId="0" applyFont="1" applyFill="1" applyBorder="1"/>
    <xf numFmtId="0" fontId="33" fillId="11" borderId="8" xfId="0" applyFont="1" applyFill="1" applyBorder="1" applyAlignment="1">
      <alignment horizontal="left"/>
    </xf>
    <xf numFmtId="0" fontId="33" fillId="10" borderId="9" xfId="0" applyFont="1" applyFill="1" applyBorder="1" applyAlignment="1">
      <alignment horizontal="left"/>
    </xf>
    <xf numFmtId="0" fontId="33" fillId="10" borderId="10" xfId="0" applyFont="1" applyFill="1" applyBorder="1" applyAlignment="1">
      <alignment horizontal="left"/>
    </xf>
    <xf numFmtId="0" fontId="33" fillId="11" borderId="10" xfId="0" applyFont="1" applyFill="1" applyBorder="1" applyAlignment="1">
      <alignment horizontal="left"/>
    </xf>
    <xf numFmtId="0" fontId="33" fillId="11" borderId="11" xfId="0" applyFont="1" applyFill="1" applyBorder="1" applyAlignment="1">
      <alignment horizontal="left"/>
    </xf>
    <xf numFmtId="0" fontId="33" fillId="2" borderId="0" xfId="0" applyFont="1" applyFill="1" applyBorder="1" applyAlignment="1">
      <alignment horizontal="left"/>
    </xf>
    <xf numFmtId="0" fontId="33" fillId="3" borderId="0" xfId="0" applyFont="1" applyFill="1" applyBorder="1" applyAlignment="1">
      <alignment horizontal="left"/>
    </xf>
    <xf numFmtId="165" fontId="33" fillId="3" borderId="0" xfId="0" applyNumberFormat="1" applyFont="1" applyFill="1" applyBorder="1" applyAlignment="1">
      <alignment horizontal="left"/>
    </xf>
    <xf numFmtId="0" fontId="20" fillId="2" borderId="0" xfId="0" applyFont="1" applyFill="1" applyBorder="1" applyAlignment="1">
      <alignment vertical="center"/>
    </xf>
    <xf numFmtId="0" fontId="20" fillId="2" borderId="0" xfId="0" applyFont="1" applyFill="1" applyBorder="1" applyAlignment="1">
      <alignment horizontal="left"/>
    </xf>
    <xf numFmtId="0" fontId="0" fillId="2" borderId="0" xfId="0" applyFont="1" applyFill="1" applyBorder="1"/>
    <xf numFmtId="0" fontId="0" fillId="0" borderId="0" xfId="0"/>
    <xf numFmtId="0" fontId="0" fillId="7" borderId="0" xfId="0" applyFill="1"/>
    <xf numFmtId="0" fontId="7" fillId="2" borderId="0" xfId="0" applyFont="1" applyFill="1" applyBorder="1" applyAlignment="1">
      <alignment vertical="center"/>
    </xf>
    <xf numFmtId="0" fontId="7" fillId="2" borderId="0" xfId="0" applyFont="1" applyFill="1" applyBorder="1" applyAlignment="1">
      <alignment horizontal="left" vertical="center"/>
    </xf>
    <xf numFmtId="0" fontId="35" fillId="2" borderId="0" xfId="0" applyFont="1" applyFill="1" applyBorder="1" applyAlignment="1">
      <alignment horizontal="left" vertical="center"/>
    </xf>
    <xf numFmtId="0" fontId="34" fillId="2" borderId="0" xfId="0" applyFont="1" applyFill="1" applyBorder="1" applyAlignment="1">
      <alignment horizontal="left" vertical="center"/>
    </xf>
    <xf numFmtId="0" fontId="7" fillId="3" borderId="0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horizontal="left" vertical="center"/>
    </xf>
    <xf numFmtId="0" fontId="0" fillId="0" borderId="0" xfId="0"/>
    <xf numFmtId="0" fontId="33" fillId="2" borderId="1" xfId="0" applyFont="1" applyFill="1" applyBorder="1" applyAlignment="1">
      <alignment horizontal="left" vertical="center"/>
    </xf>
    <xf numFmtId="14" fontId="33" fillId="2" borderId="1" xfId="0" applyNumberFormat="1" applyFont="1" applyFill="1" applyBorder="1" applyAlignment="1">
      <alignment horizontal="left" vertical="center"/>
    </xf>
    <xf numFmtId="1" fontId="33" fillId="2" borderId="1" xfId="0" applyNumberFormat="1" applyFont="1" applyFill="1" applyBorder="1" applyAlignment="1">
      <alignment horizontal="left" vertical="center"/>
    </xf>
    <xf numFmtId="0" fontId="0" fillId="7" borderId="0" xfId="0" applyFill="1"/>
    <xf numFmtId="0" fontId="7" fillId="2" borderId="0" xfId="0" applyFont="1" applyFill="1" applyBorder="1" applyAlignment="1">
      <alignment vertical="center"/>
    </xf>
    <xf numFmtId="165" fontId="33" fillId="3" borderId="1" xfId="0" applyNumberFormat="1" applyFont="1" applyFill="1" applyBorder="1" applyAlignment="1">
      <alignment horizontal="left" vertical="center"/>
    </xf>
    <xf numFmtId="164" fontId="0" fillId="2" borderId="1" xfId="0" applyNumberFormat="1" applyFont="1" applyFill="1" applyBorder="1" applyAlignment="1">
      <alignment horizontal="left" vertical="center"/>
    </xf>
    <xf numFmtId="0" fontId="18" fillId="2" borderId="0" xfId="0" applyFont="1" applyFill="1" applyBorder="1" applyAlignment="1">
      <alignment horizontal="left" vertical="center"/>
    </xf>
    <xf numFmtId="0" fontId="30" fillId="3" borderId="0" xfId="0" applyFont="1" applyFill="1" applyBorder="1" applyAlignment="1">
      <alignment horizontal="left" vertical="center"/>
    </xf>
    <xf numFmtId="0" fontId="7" fillId="10" borderId="0" xfId="0" applyFont="1" applyFill="1" applyBorder="1" applyAlignment="1">
      <alignment horizontal="left" vertical="center"/>
    </xf>
    <xf numFmtId="0" fontId="34" fillId="10" borderId="0" xfId="0" applyFont="1" applyFill="1" applyBorder="1" applyAlignment="1">
      <alignment horizontal="left" vertical="center"/>
    </xf>
    <xf numFmtId="0" fontId="20" fillId="10" borderId="0" xfId="0" applyFont="1" applyFill="1" applyBorder="1" applyAlignment="1">
      <alignment horizontal="left" vertical="center"/>
    </xf>
    <xf numFmtId="0" fontId="33" fillId="10" borderId="0" xfId="0" applyFont="1" applyFill="1" applyBorder="1" applyAlignment="1">
      <alignment horizontal="left" vertical="center"/>
    </xf>
    <xf numFmtId="0" fontId="20" fillId="10" borderId="50" xfId="0" applyFont="1" applyFill="1" applyBorder="1" applyAlignment="1">
      <alignment horizontal="left" vertical="center"/>
    </xf>
    <xf numFmtId="0" fontId="34" fillId="10" borderId="7" xfId="0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0" fontId="34" fillId="10" borderId="8" xfId="0" applyFont="1" applyFill="1" applyBorder="1" applyAlignment="1">
      <alignment horizontal="left" vertical="center"/>
    </xf>
    <xf numFmtId="0" fontId="7" fillId="11" borderId="8" xfId="0" applyFont="1" applyFill="1" applyBorder="1" applyAlignment="1">
      <alignment horizontal="left" vertical="center"/>
    </xf>
    <xf numFmtId="0" fontId="34" fillId="10" borderId="9" xfId="0" applyFont="1" applyFill="1" applyBorder="1" applyAlignment="1">
      <alignment horizontal="left" vertical="center"/>
    </xf>
    <xf numFmtId="0" fontId="34" fillId="10" borderId="10" xfId="0" applyFont="1" applyFill="1" applyBorder="1" applyAlignment="1">
      <alignment horizontal="left" vertical="center"/>
    </xf>
    <xf numFmtId="0" fontId="7" fillId="11" borderId="11" xfId="0" applyFont="1" applyFill="1" applyBorder="1" applyAlignment="1">
      <alignment horizontal="left" vertical="center"/>
    </xf>
    <xf numFmtId="0" fontId="33" fillId="10" borderId="31" xfId="0" applyFont="1" applyFill="1" applyBorder="1" applyAlignment="1">
      <alignment horizontal="left" vertical="center"/>
    </xf>
    <xf numFmtId="0" fontId="20" fillId="10" borderId="63" xfId="0" applyFont="1" applyFill="1" applyBorder="1" applyAlignment="1">
      <alignment horizontal="left" vertical="center"/>
    </xf>
    <xf numFmtId="0" fontId="33" fillId="10" borderId="7" xfId="0" applyFont="1" applyFill="1" applyBorder="1" applyAlignment="1">
      <alignment horizontal="left" vertical="center"/>
    </xf>
    <xf numFmtId="0" fontId="20" fillId="10" borderId="8" xfId="0" applyFont="1" applyFill="1" applyBorder="1" applyAlignment="1">
      <alignment horizontal="left" vertical="center"/>
    </xf>
    <xf numFmtId="0" fontId="33" fillId="10" borderId="8" xfId="0" applyFont="1" applyFill="1" applyBorder="1" applyAlignment="1">
      <alignment horizontal="left" vertical="center"/>
    </xf>
    <xf numFmtId="0" fontId="0" fillId="10" borderId="7" xfId="0" applyFont="1" applyFill="1" applyBorder="1" applyAlignment="1">
      <alignment horizontal="left" vertical="center"/>
    </xf>
    <xf numFmtId="0" fontId="17" fillId="10" borderId="0" xfId="0" applyFont="1" applyFill="1" applyBorder="1" applyAlignment="1">
      <alignment horizontal="left" vertical="center"/>
    </xf>
    <xf numFmtId="0" fontId="0" fillId="10" borderId="8" xfId="0" applyFont="1" applyFill="1" applyBorder="1" applyAlignment="1">
      <alignment horizontal="left" vertical="center"/>
    </xf>
    <xf numFmtId="0" fontId="20" fillId="11" borderId="8" xfId="0" applyFont="1" applyFill="1" applyBorder="1" applyAlignment="1">
      <alignment horizontal="left" vertical="center"/>
    </xf>
    <xf numFmtId="0" fontId="33" fillId="10" borderId="9" xfId="0" applyFont="1" applyFill="1" applyBorder="1" applyAlignment="1">
      <alignment vertical="center"/>
    </xf>
    <xf numFmtId="0" fontId="33" fillId="10" borderId="10" xfId="0" applyFont="1" applyFill="1" applyBorder="1" applyAlignment="1">
      <alignment vertical="center"/>
    </xf>
    <xf numFmtId="0" fontId="33" fillId="10" borderId="10" xfId="0" applyFont="1" applyFill="1" applyBorder="1" applyAlignment="1">
      <alignment horizontal="left" vertical="center"/>
    </xf>
    <xf numFmtId="0" fontId="20" fillId="11" borderId="11" xfId="0" applyFont="1" applyFill="1" applyBorder="1" applyAlignment="1">
      <alignment horizontal="left" vertical="center"/>
    </xf>
    <xf numFmtId="0" fontId="33" fillId="10" borderId="0" xfId="0" applyFont="1" applyFill="1" applyBorder="1" applyAlignment="1">
      <alignment vertical="center"/>
    </xf>
    <xf numFmtId="0" fontId="33" fillId="10" borderId="7" xfId="0" applyFont="1" applyFill="1" applyBorder="1" applyAlignment="1">
      <alignment vertical="center"/>
    </xf>
    <xf numFmtId="0" fontId="20" fillId="2" borderId="0" xfId="0" applyFont="1" applyFill="1" applyBorder="1" applyAlignment="1">
      <alignment horizontal="left" vertical="center"/>
    </xf>
    <xf numFmtId="0" fontId="33" fillId="2" borderId="0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left" vertical="center"/>
    </xf>
    <xf numFmtId="0" fontId="20" fillId="3" borderId="0" xfId="0" applyFont="1" applyFill="1" applyBorder="1" applyAlignment="1">
      <alignment horizontal="left" vertical="center"/>
    </xf>
    <xf numFmtId="0" fontId="31" fillId="2" borderId="12" xfId="0" applyFont="1" applyFill="1" applyBorder="1" applyAlignment="1"/>
    <xf numFmtId="0" fontId="20" fillId="8" borderId="23" xfId="0" applyFont="1" applyFill="1" applyBorder="1" applyAlignment="1">
      <alignment horizontal="center" vertical="center"/>
    </xf>
    <xf numFmtId="0" fontId="20" fillId="8" borderId="19" xfId="0" applyFont="1" applyFill="1" applyBorder="1" applyAlignment="1">
      <alignment horizontal="center" vertical="center"/>
    </xf>
    <xf numFmtId="0" fontId="20" fillId="8" borderId="16" xfId="0" applyFont="1" applyFill="1" applyBorder="1" applyAlignment="1">
      <alignment horizontal="center" vertical="center"/>
    </xf>
    <xf numFmtId="0" fontId="20" fillId="8" borderId="24" xfId="0" applyFont="1" applyFill="1" applyBorder="1" applyAlignment="1">
      <alignment horizontal="center" vertical="center"/>
    </xf>
    <xf numFmtId="0" fontId="39" fillId="2" borderId="17" xfId="0" applyFont="1" applyFill="1" applyBorder="1" applyAlignment="1">
      <alignment horizontal="center" vertical="center"/>
    </xf>
    <xf numFmtId="0" fontId="39" fillId="2" borderId="19" xfId="0" applyFont="1" applyFill="1" applyBorder="1" applyAlignment="1">
      <alignment horizontal="center" vertical="center"/>
    </xf>
    <xf numFmtId="0" fontId="39" fillId="2" borderId="24" xfId="0" applyFont="1" applyFill="1" applyBorder="1" applyAlignment="1">
      <alignment horizontal="center" vertical="center"/>
    </xf>
    <xf numFmtId="0" fontId="39" fillId="2" borderId="18" xfId="0" applyFont="1" applyFill="1" applyBorder="1" applyAlignment="1">
      <alignment horizontal="center" vertical="center"/>
    </xf>
    <xf numFmtId="0" fontId="39" fillId="2" borderId="12" xfId="0" applyFont="1" applyFill="1" applyBorder="1" applyAlignment="1">
      <alignment horizontal="center" vertical="center"/>
    </xf>
    <xf numFmtId="0" fontId="39" fillId="2" borderId="26" xfId="0" applyFont="1" applyFill="1" applyBorder="1" applyAlignment="1">
      <alignment horizontal="center" vertical="center"/>
    </xf>
    <xf numFmtId="0" fontId="39" fillId="2" borderId="28" xfId="0" applyFont="1" applyFill="1" applyBorder="1" applyAlignment="1">
      <alignment horizontal="center" vertical="center"/>
    </xf>
    <xf numFmtId="0" fontId="39" fillId="2" borderId="29" xfId="0" applyFont="1" applyFill="1" applyBorder="1" applyAlignment="1">
      <alignment horizontal="center" vertical="center"/>
    </xf>
    <xf numFmtId="0" fontId="39" fillId="2" borderId="30" xfId="0" applyFont="1" applyFill="1" applyBorder="1" applyAlignment="1">
      <alignment horizontal="center" vertical="center"/>
    </xf>
    <xf numFmtId="0" fontId="20" fillId="8" borderId="25" xfId="0" applyFont="1" applyFill="1" applyBorder="1" applyAlignment="1">
      <alignment horizontal="center" vertical="center"/>
    </xf>
    <xf numFmtId="0" fontId="20" fillId="8" borderId="27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40" fillId="10" borderId="7" xfId="0" applyFont="1" applyFill="1" applyBorder="1"/>
    <xf numFmtId="0" fontId="41" fillId="10" borderId="0" xfId="0" applyFont="1" applyFill="1" applyAlignment="1">
      <alignment horizontal="center" vertical="center"/>
    </xf>
    <xf numFmtId="0" fontId="41" fillId="10" borderId="7" xfId="0" applyFont="1" applyFill="1" applyBorder="1" applyAlignment="1">
      <alignment vertical="center"/>
    </xf>
    <xf numFmtId="0" fontId="6" fillId="11" borderId="0" xfId="0" applyFont="1" applyFill="1" applyAlignment="1">
      <alignment horizontal="left" vertical="center"/>
    </xf>
    <xf numFmtId="0" fontId="30" fillId="9" borderId="1" xfId="0" applyFont="1" applyFill="1" applyBorder="1" applyAlignment="1">
      <alignment horizontal="center" vertical="center"/>
    </xf>
    <xf numFmtId="0" fontId="0" fillId="0" borderId="0" xfId="0" applyAlignment="1"/>
    <xf numFmtId="0" fontId="0" fillId="2" borderId="0" xfId="0" applyFill="1" applyAlignment="1"/>
    <xf numFmtId="0" fontId="29" fillId="11" borderId="0" xfId="0" applyFont="1" applyFill="1" applyAlignment="1">
      <alignment horizontal="left" vertical="center"/>
    </xf>
    <xf numFmtId="0" fontId="2" fillId="11" borderId="0" xfId="0" applyFont="1" applyFill="1" applyAlignment="1">
      <alignment vertical="center"/>
    </xf>
    <xf numFmtId="0" fontId="2" fillId="11" borderId="8" xfId="0" applyFont="1" applyFill="1" applyBorder="1" applyAlignment="1"/>
    <xf numFmtId="0" fontId="29" fillId="11" borderId="0" xfId="0" applyFont="1" applyFill="1" applyAlignment="1">
      <alignment vertical="center"/>
    </xf>
    <xf numFmtId="0" fontId="3" fillId="11" borderId="0" xfId="0" applyFont="1" applyFill="1" applyAlignment="1">
      <alignment vertical="center"/>
    </xf>
    <xf numFmtId="0" fontId="2" fillId="11" borderId="0" xfId="0" applyFont="1" applyFill="1" applyAlignment="1"/>
    <xf numFmtId="0" fontId="2" fillId="11" borderId="10" xfId="0" applyFont="1" applyFill="1" applyBorder="1" applyAlignment="1"/>
    <xf numFmtId="0" fontId="2" fillId="11" borderId="11" xfId="0" applyFont="1" applyFill="1" applyBorder="1" applyAlignment="1"/>
    <xf numFmtId="0" fontId="2" fillId="11" borderId="9" xfId="0" applyFont="1" applyFill="1" applyBorder="1" applyAlignment="1">
      <alignment vertical="center"/>
    </xf>
    <xf numFmtId="0" fontId="2" fillId="11" borderId="10" xfId="0" applyFont="1" applyFill="1" applyBorder="1" applyAlignment="1">
      <alignment vertical="center"/>
    </xf>
    <xf numFmtId="0" fontId="0" fillId="2" borderId="0" xfId="0" applyFill="1" applyBorder="1" applyAlignment="1"/>
    <xf numFmtId="0" fontId="2" fillId="11" borderId="0" xfId="0" applyFont="1" applyFill="1" applyBorder="1" applyAlignment="1"/>
    <xf numFmtId="0" fontId="29" fillId="11" borderId="0" xfId="0" applyFont="1" applyFill="1" applyBorder="1" applyAlignment="1">
      <alignment horizontal="left" vertical="center"/>
    </xf>
    <xf numFmtId="0" fontId="29" fillId="11" borderId="0" xfId="0" applyFont="1" applyFill="1" applyBorder="1" applyAlignment="1">
      <alignment vertical="center"/>
    </xf>
    <xf numFmtId="0" fontId="32" fillId="3" borderId="0" xfId="0" applyFont="1" applyFill="1" applyBorder="1" applyAlignment="1">
      <alignment vertical="center"/>
    </xf>
    <xf numFmtId="0" fontId="23" fillId="3" borderId="0" xfId="0" applyFont="1" applyFill="1" applyBorder="1" applyAlignment="1">
      <alignment vertical="center"/>
    </xf>
    <xf numFmtId="0" fontId="2" fillId="3" borderId="0" xfId="0" applyFont="1" applyFill="1" applyBorder="1" applyAlignment="1">
      <alignment horizontal="left" vertical="center"/>
    </xf>
    <xf numFmtId="0" fontId="2" fillId="3" borderId="0" xfId="0" applyFont="1" applyFill="1" applyBorder="1" applyAlignment="1"/>
    <xf numFmtId="0" fontId="29" fillId="3" borderId="0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29" fillId="3" borderId="0" xfId="0" applyFont="1" applyFill="1" applyBorder="1" applyAlignment="1">
      <alignment vertical="center"/>
    </xf>
    <xf numFmtId="0" fontId="30" fillId="3" borderId="0" xfId="0" applyFont="1" applyFill="1" applyBorder="1" applyAlignment="1">
      <alignment vertical="center"/>
    </xf>
    <xf numFmtId="0" fontId="4" fillId="3" borderId="0" xfId="0" applyFont="1" applyFill="1" applyBorder="1" applyAlignment="1">
      <alignment horizontal="left" vertical="center"/>
    </xf>
    <xf numFmtId="0" fontId="43" fillId="11" borderId="0" xfId="0" applyFont="1" applyFill="1" applyBorder="1" applyAlignment="1">
      <alignment horizontal="left" vertical="center"/>
    </xf>
    <xf numFmtId="0" fontId="30" fillId="9" borderId="0" xfId="0" applyFont="1" applyFill="1" applyBorder="1" applyAlignment="1">
      <alignment horizontal="center" vertical="center"/>
    </xf>
    <xf numFmtId="0" fontId="0" fillId="16" borderId="0" xfId="0" applyFill="1" applyAlignment="1"/>
    <xf numFmtId="0" fontId="44" fillId="17" borderId="1" xfId="0" applyFont="1" applyFill="1" applyBorder="1" applyAlignment="1">
      <alignment horizontal="center" vertical="center"/>
    </xf>
    <xf numFmtId="0" fontId="39" fillId="13" borderId="1" xfId="0" applyFont="1" applyFill="1" applyBorder="1" applyAlignment="1">
      <alignment horizontal="left" vertical="center" wrapText="1"/>
    </xf>
    <xf numFmtId="3" fontId="39" fillId="13" borderId="1" xfId="0" applyNumberFormat="1" applyFont="1" applyFill="1" applyBorder="1" applyAlignment="1">
      <alignment horizontal="left" vertical="center" wrapText="1"/>
    </xf>
    <xf numFmtId="0" fontId="44" fillId="17" borderId="1" xfId="0" applyFont="1" applyFill="1" applyBorder="1" applyAlignment="1">
      <alignment horizontal="left" vertical="center"/>
    </xf>
    <xf numFmtId="0" fontId="44" fillId="17" borderId="1" xfId="0" applyFont="1" applyFill="1" applyBorder="1" applyAlignment="1">
      <alignment horizontal="right" vertical="center"/>
    </xf>
    <xf numFmtId="14" fontId="39" fillId="13" borderId="1" xfId="0" applyNumberFormat="1" applyFont="1" applyFill="1" applyBorder="1" applyAlignment="1">
      <alignment horizontal="left" vertical="center" wrapText="1"/>
    </xf>
    <xf numFmtId="20" fontId="39" fillId="13" borderId="1" xfId="0" applyNumberFormat="1" applyFont="1" applyFill="1" applyBorder="1" applyAlignment="1">
      <alignment horizontal="left" vertical="center" wrapText="1"/>
    </xf>
    <xf numFmtId="2" fontId="39" fillId="13" borderId="1" xfId="0" applyNumberFormat="1" applyFont="1" applyFill="1" applyBorder="1" applyAlignment="1">
      <alignment horizontal="left" vertical="center" wrapText="1"/>
    </xf>
    <xf numFmtId="8" fontId="39" fillId="13" borderId="1" xfId="0" applyNumberFormat="1" applyFont="1" applyFill="1" applyBorder="1" applyAlignment="1">
      <alignment horizontal="left" vertical="center" wrapText="1"/>
    </xf>
    <xf numFmtId="0" fontId="29" fillId="10" borderId="0" xfId="0" applyFont="1" applyFill="1" applyBorder="1" applyAlignment="1">
      <alignment vertical="center"/>
    </xf>
    <xf numFmtId="0" fontId="25" fillId="10" borderId="0" xfId="0" applyFont="1" applyFill="1" applyBorder="1"/>
    <xf numFmtId="0" fontId="2" fillId="9" borderId="1" xfId="0" applyFont="1" applyFill="1" applyBorder="1" applyAlignment="1"/>
    <xf numFmtId="0" fontId="0" fillId="8" borderId="1" xfId="0" applyFill="1" applyBorder="1"/>
    <xf numFmtId="0" fontId="29" fillId="13" borderId="0" xfId="0" applyFont="1" applyFill="1" applyBorder="1" applyAlignment="1"/>
    <xf numFmtId="0" fontId="30" fillId="3" borderId="1" xfId="0" applyFont="1" applyFill="1" applyBorder="1" applyAlignment="1">
      <alignment horizontal="center" vertical="center"/>
    </xf>
    <xf numFmtId="0" fontId="43" fillId="10" borderId="0" xfId="0" applyFont="1" applyFill="1" applyBorder="1" applyAlignment="1">
      <alignment horizontal="left" vertical="center"/>
    </xf>
    <xf numFmtId="0" fontId="39" fillId="10" borderId="0" xfId="0" applyFont="1" applyFill="1" applyBorder="1" applyAlignment="1">
      <alignment horizontal="left" vertical="center"/>
    </xf>
    <xf numFmtId="0" fontId="43" fillId="19" borderId="52" xfId="0" applyFont="1" applyFill="1" applyBorder="1" applyAlignment="1">
      <alignment horizontal="center"/>
    </xf>
    <xf numFmtId="0" fontId="43" fillId="10" borderId="0" xfId="0" applyFont="1" applyFill="1" applyBorder="1" applyAlignment="1">
      <alignment horizontal="center" vertical="center"/>
    </xf>
    <xf numFmtId="0" fontId="46" fillId="20" borderId="0" xfId="0" applyFont="1" applyFill="1" applyAlignment="1">
      <alignment vertical="center"/>
    </xf>
    <xf numFmtId="0" fontId="8" fillId="21" borderId="0" xfId="0" applyFont="1" applyFill="1"/>
    <xf numFmtId="0" fontId="12" fillId="20" borderId="0" xfId="0" applyFont="1" applyFill="1"/>
    <xf numFmtId="0" fontId="9" fillId="20" borderId="49" xfId="0" applyFont="1" applyFill="1" applyBorder="1"/>
    <xf numFmtId="0" fontId="9" fillId="20" borderId="50" xfId="0" applyFont="1" applyFill="1" applyBorder="1"/>
    <xf numFmtId="0" fontId="9" fillId="20" borderId="15" xfId="0" applyFont="1" applyFill="1" applyBorder="1"/>
    <xf numFmtId="0" fontId="9" fillId="20" borderId="51" xfId="0" applyFont="1" applyFill="1" applyBorder="1"/>
    <xf numFmtId="0" fontId="9" fillId="20" borderId="0" xfId="0" applyFont="1" applyFill="1"/>
    <xf numFmtId="0" fontId="12" fillId="20" borderId="0" xfId="0" applyFont="1" applyFill="1" applyAlignment="1">
      <alignment horizontal="left" vertical="center"/>
    </xf>
    <xf numFmtId="0" fontId="9" fillId="20" borderId="20" xfId="0" applyFont="1" applyFill="1" applyBorder="1"/>
    <xf numFmtId="0" fontId="39" fillId="20" borderId="0" xfId="0" applyFont="1" applyFill="1"/>
    <xf numFmtId="0" fontId="47" fillId="2" borderId="1" xfId="0" applyFont="1" applyFill="1" applyBorder="1"/>
    <xf numFmtId="0" fontId="9" fillId="20" borderId="53" xfId="0" applyFont="1" applyFill="1" applyBorder="1"/>
    <xf numFmtId="0" fontId="9" fillId="20" borderId="14" xfId="0" applyFont="1" applyFill="1" applyBorder="1"/>
    <xf numFmtId="0" fontId="9" fillId="20" borderId="3" xfId="0" applyFont="1" applyFill="1" applyBorder="1"/>
    <xf numFmtId="0" fontId="9" fillId="21" borderId="49" xfId="0" applyFont="1" applyFill="1" applyBorder="1"/>
    <xf numFmtId="0" fontId="9" fillId="21" borderId="50" xfId="0" applyFont="1" applyFill="1" applyBorder="1"/>
    <xf numFmtId="0" fontId="9" fillId="21" borderId="15" xfId="0" applyFont="1" applyFill="1" applyBorder="1"/>
    <xf numFmtId="0" fontId="9" fillId="21" borderId="51" xfId="0" applyFont="1" applyFill="1" applyBorder="1"/>
    <xf numFmtId="0" fontId="9" fillId="21" borderId="0" xfId="0" applyFont="1" applyFill="1"/>
    <xf numFmtId="0" fontId="9" fillId="21" borderId="20" xfId="0" applyFont="1" applyFill="1" applyBorder="1"/>
    <xf numFmtId="0" fontId="9" fillId="2" borderId="1" xfId="0" applyFont="1" applyFill="1" applyBorder="1"/>
    <xf numFmtId="0" fontId="9" fillId="21" borderId="14" xfId="0" applyFont="1" applyFill="1" applyBorder="1"/>
    <xf numFmtId="0" fontId="9" fillId="21" borderId="3" xfId="0" applyFont="1" applyFill="1" applyBorder="1"/>
    <xf numFmtId="0" fontId="9" fillId="22" borderId="13" xfId="0" applyFont="1" applyFill="1" applyBorder="1"/>
    <xf numFmtId="0" fontId="9" fillId="22" borderId="54" xfId="0" applyFont="1" applyFill="1" applyBorder="1"/>
    <xf numFmtId="0" fontId="9" fillId="22" borderId="56" xfId="0" applyFont="1" applyFill="1" applyBorder="1"/>
    <xf numFmtId="0" fontId="9" fillId="22" borderId="51" xfId="0" applyFont="1" applyFill="1" applyBorder="1"/>
    <xf numFmtId="0" fontId="9" fillId="22" borderId="55" xfId="0" applyFont="1" applyFill="1" applyBorder="1"/>
    <xf numFmtId="0" fontId="9" fillId="22" borderId="0" xfId="0" applyFont="1" applyFill="1"/>
    <xf numFmtId="0" fontId="9" fillId="22" borderId="20" xfId="0" applyFont="1" applyFill="1" applyBorder="1"/>
    <xf numFmtId="0" fontId="9" fillId="22" borderId="53" xfId="0" applyFont="1" applyFill="1" applyBorder="1"/>
    <xf numFmtId="0" fontId="9" fillId="22" borderId="14" xfId="0" applyFont="1" applyFill="1" applyBorder="1"/>
    <xf numFmtId="0" fontId="9" fillId="22" borderId="3" xfId="0" applyFont="1" applyFill="1" applyBorder="1"/>
    <xf numFmtId="0" fontId="9" fillId="21" borderId="55" xfId="0" applyFont="1" applyFill="1" applyBorder="1"/>
    <xf numFmtId="0" fontId="9" fillId="21" borderId="54" xfId="0" applyFont="1" applyFill="1" applyBorder="1"/>
    <xf numFmtId="0" fontId="9" fillId="21" borderId="56" xfId="0" applyFont="1" applyFill="1" applyBorder="1"/>
    <xf numFmtId="0" fontId="9" fillId="21" borderId="53" xfId="0" applyFont="1" applyFill="1" applyBorder="1"/>
    <xf numFmtId="0" fontId="9" fillId="22" borderId="49" xfId="0" applyFont="1" applyFill="1" applyBorder="1"/>
    <xf numFmtId="0" fontId="9" fillId="22" borderId="50" xfId="0" applyFont="1" applyFill="1" applyBorder="1"/>
    <xf numFmtId="0" fontId="9" fillId="22" borderId="15" xfId="0" applyFont="1" applyFill="1" applyBorder="1"/>
    <xf numFmtId="0" fontId="12" fillId="21" borderId="0" xfId="0" applyFont="1" applyFill="1"/>
    <xf numFmtId="0" fontId="45" fillId="22" borderId="54" xfId="0" applyFont="1" applyFill="1" applyBorder="1"/>
    <xf numFmtId="0" fontId="33" fillId="22" borderId="55" xfId="0" applyFont="1" applyFill="1" applyBorder="1"/>
    <xf numFmtId="0" fontId="33" fillId="22" borderId="51" xfId="0" applyFont="1" applyFill="1" applyBorder="1"/>
    <xf numFmtId="0" fontId="45" fillId="22" borderId="55" xfId="0" applyFont="1" applyFill="1" applyBorder="1"/>
    <xf numFmtId="0" fontId="45" fillId="22" borderId="51" xfId="0" applyFont="1" applyFill="1" applyBorder="1"/>
    <xf numFmtId="0" fontId="43" fillId="22" borderId="0" xfId="0" applyFont="1" applyFill="1"/>
    <xf numFmtId="0" fontId="42" fillId="22" borderId="0" xfId="0" applyFont="1" applyFill="1"/>
    <xf numFmtId="0" fontId="45" fillId="22" borderId="0" xfId="0" applyFont="1" applyFill="1"/>
    <xf numFmtId="0" fontId="43" fillId="21" borderId="1" xfId="0" applyFont="1" applyFill="1" applyBorder="1"/>
    <xf numFmtId="0" fontId="39" fillId="22" borderId="0" xfId="0" applyFont="1" applyFill="1"/>
    <xf numFmtId="0" fontId="39" fillId="10" borderId="36" xfId="0" applyFont="1" applyFill="1" applyBorder="1" applyAlignment="1">
      <alignment horizontal="left" vertical="center"/>
    </xf>
    <xf numFmtId="0" fontId="39" fillId="10" borderId="38" xfId="0" applyFont="1" applyFill="1" applyBorder="1" applyAlignment="1">
      <alignment horizontal="left" vertical="center"/>
    </xf>
    <xf numFmtId="0" fontId="44" fillId="17" borderId="34" xfId="0" applyFont="1" applyFill="1" applyBorder="1" applyAlignment="1">
      <alignment horizontal="center"/>
    </xf>
    <xf numFmtId="0" fontId="44" fillId="17" borderId="35" xfId="0" applyFont="1" applyFill="1" applyBorder="1" applyAlignment="1">
      <alignment horizontal="center"/>
    </xf>
    <xf numFmtId="44" fontId="39" fillId="10" borderId="37" xfId="0" applyNumberFormat="1" applyFont="1" applyFill="1" applyBorder="1" applyAlignment="1">
      <alignment horizontal="left" vertical="center"/>
    </xf>
    <xf numFmtId="44" fontId="39" fillId="10" borderId="40" xfId="0" applyNumberFormat="1" applyFont="1" applyFill="1" applyBorder="1" applyAlignment="1">
      <alignment horizontal="left" vertical="center"/>
    </xf>
    <xf numFmtId="0" fontId="43" fillId="19" borderId="1" xfId="0" applyFont="1" applyFill="1" applyBorder="1" applyAlignment="1">
      <alignment horizontal="center" vertical="center"/>
    </xf>
    <xf numFmtId="0" fontId="43" fillId="19" borderId="37" xfId="0" applyFont="1" applyFill="1" applyBorder="1" applyAlignment="1">
      <alignment vertical="center"/>
    </xf>
    <xf numFmtId="44" fontId="39" fillId="10" borderId="1" xfId="0" applyNumberFormat="1" applyFont="1" applyFill="1" applyBorder="1" applyAlignment="1">
      <alignment horizontal="left"/>
    </xf>
    <xf numFmtId="0" fontId="39" fillId="10" borderId="36" xfId="0" applyFont="1" applyFill="1" applyBorder="1" applyAlignment="1">
      <alignment horizontal="left"/>
    </xf>
    <xf numFmtId="9" fontId="39" fillId="10" borderId="1" xfId="0" applyNumberFormat="1" applyFont="1" applyFill="1" applyBorder="1" applyAlignment="1">
      <alignment horizontal="left" vertical="center"/>
    </xf>
    <xf numFmtId="164" fontId="39" fillId="10" borderId="37" xfId="0" applyNumberFormat="1" applyFont="1" applyFill="1" applyBorder="1" applyAlignment="1">
      <alignment horizontal="left" vertical="center"/>
    </xf>
    <xf numFmtId="44" fontId="39" fillId="10" borderId="36" xfId="0" applyNumberFormat="1" applyFont="1" applyFill="1" applyBorder="1" applyAlignment="1">
      <alignment horizontal="left"/>
    </xf>
    <xf numFmtId="10" fontId="39" fillId="10" borderId="1" xfId="0" applyNumberFormat="1" applyFont="1" applyFill="1" applyBorder="1" applyAlignment="1">
      <alignment horizontal="left" vertical="center"/>
    </xf>
    <xf numFmtId="0" fontId="39" fillId="10" borderId="38" xfId="0" applyFont="1" applyFill="1" applyBorder="1" applyAlignment="1">
      <alignment horizontal="left"/>
    </xf>
    <xf numFmtId="44" fontId="39" fillId="10" borderId="39" xfId="0" applyNumberFormat="1" applyFont="1" applyFill="1" applyBorder="1" applyAlignment="1">
      <alignment horizontal="left"/>
    </xf>
    <xf numFmtId="10" fontId="39" fillId="10" borderId="39" xfId="0" applyNumberFormat="1" applyFont="1" applyFill="1" applyBorder="1" applyAlignment="1">
      <alignment horizontal="left" vertical="center"/>
    </xf>
    <xf numFmtId="164" fontId="39" fillId="10" borderId="40" xfId="0" applyNumberFormat="1" applyFont="1" applyFill="1" applyBorder="1" applyAlignment="1">
      <alignment horizontal="left" vertical="center"/>
    </xf>
    <xf numFmtId="0" fontId="39" fillId="10" borderId="1" xfId="0" applyFont="1" applyFill="1" applyBorder="1" applyAlignment="1">
      <alignment horizontal="left" vertical="center"/>
    </xf>
    <xf numFmtId="9" fontId="39" fillId="10" borderId="37" xfId="0" applyNumberFormat="1" applyFont="1" applyFill="1" applyBorder="1" applyAlignment="1">
      <alignment horizontal="left" vertical="center"/>
    </xf>
    <xf numFmtId="0" fontId="39" fillId="10" borderId="37" xfId="0" applyFont="1" applyFill="1" applyBorder="1" applyAlignment="1">
      <alignment horizontal="left" vertical="center"/>
    </xf>
    <xf numFmtId="0" fontId="39" fillId="10" borderId="39" xfId="0" applyFont="1" applyFill="1" applyBorder="1" applyAlignment="1">
      <alignment horizontal="left" vertical="center"/>
    </xf>
    <xf numFmtId="10" fontId="39" fillId="10" borderId="40" xfId="0" applyNumberFormat="1" applyFont="1" applyFill="1" applyBorder="1" applyAlignment="1">
      <alignment horizontal="left" vertical="center"/>
    </xf>
    <xf numFmtId="0" fontId="48" fillId="17" borderId="60" xfId="0" applyFont="1" applyFill="1" applyBorder="1"/>
    <xf numFmtId="9" fontId="39" fillId="10" borderId="61" xfId="0" applyNumberFormat="1" applyFont="1" applyFill="1" applyBorder="1" applyAlignment="1">
      <alignment horizontal="left"/>
    </xf>
    <xf numFmtId="0" fontId="12" fillId="2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7" fillId="17" borderId="0" xfId="0" applyFont="1" applyFill="1" applyAlignment="1">
      <alignment horizontal="center" vertical="center"/>
    </xf>
    <xf numFmtId="0" fontId="7" fillId="18" borderId="0" xfId="0" applyFont="1" applyFill="1" applyAlignment="1">
      <alignment horizontal="center" vertical="center"/>
    </xf>
    <xf numFmtId="0" fontId="5" fillId="12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7" borderId="0" xfId="0" applyFill="1" applyAlignment="1">
      <alignment horizontal="center"/>
    </xf>
    <xf numFmtId="0" fontId="8" fillId="17" borderId="0" xfId="0" applyFont="1" applyFill="1" applyAlignment="1">
      <alignment horizontal="center" vertical="center"/>
    </xf>
    <xf numFmtId="0" fontId="42" fillId="10" borderId="7" xfId="0" applyFont="1" applyFill="1" applyBorder="1" applyAlignment="1">
      <alignment horizontal="center" vertical="center"/>
    </xf>
    <xf numFmtId="0" fontId="42" fillId="10" borderId="20" xfId="0" applyFont="1" applyFill="1" applyBorder="1" applyAlignment="1">
      <alignment horizontal="center" vertical="center"/>
    </xf>
    <xf numFmtId="0" fontId="29" fillId="9" borderId="31" xfId="0" applyFont="1" applyFill="1" applyBorder="1" applyAlignment="1">
      <alignment horizontal="center" vertical="center"/>
    </xf>
    <xf numFmtId="0" fontId="29" fillId="9" borderId="15" xfId="0" applyFont="1" applyFill="1" applyBorder="1" applyAlignment="1">
      <alignment horizontal="center" vertical="center"/>
    </xf>
    <xf numFmtId="0" fontId="29" fillId="9" borderId="21" xfId="0" applyFont="1" applyFill="1" applyBorder="1" applyAlignment="1">
      <alignment horizontal="center" vertical="center"/>
    </xf>
    <xf numFmtId="0" fontId="29" fillId="9" borderId="3" xfId="0" applyFont="1" applyFill="1" applyBorder="1" applyAlignment="1">
      <alignment horizontal="center" vertical="center"/>
    </xf>
    <xf numFmtId="0" fontId="41" fillId="3" borderId="13" xfId="0" applyFont="1" applyFill="1" applyBorder="1" applyAlignment="1">
      <alignment horizontal="center" vertical="center"/>
    </xf>
    <xf numFmtId="0" fontId="41" fillId="3" borderId="2" xfId="0" applyFont="1" applyFill="1" applyBorder="1" applyAlignment="1">
      <alignment horizontal="center" vertical="center"/>
    </xf>
    <xf numFmtId="0" fontId="0" fillId="8" borderId="32" xfId="0" applyFill="1" applyBorder="1" applyAlignment="1">
      <alignment horizontal="center"/>
    </xf>
    <xf numFmtId="0" fontId="0" fillId="8" borderId="33" xfId="0" applyFill="1" applyBorder="1" applyAlignment="1">
      <alignment horizontal="center"/>
    </xf>
    <xf numFmtId="0" fontId="32" fillId="5" borderId="4" xfId="0" applyFont="1" applyFill="1" applyBorder="1" applyAlignment="1">
      <alignment horizontal="center" vertical="center"/>
    </xf>
    <xf numFmtId="0" fontId="32" fillId="5" borderId="5" xfId="0" applyFont="1" applyFill="1" applyBorder="1" applyAlignment="1">
      <alignment horizontal="center" vertical="center"/>
    </xf>
    <xf numFmtId="0" fontId="32" fillId="5" borderId="6" xfId="0" applyFont="1" applyFill="1" applyBorder="1" applyAlignment="1">
      <alignment horizontal="center" vertical="center"/>
    </xf>
    <xf numFmtId="0" fontId="32" fillId="5" borderId="21" xfId="0" applyFont="1" applyFill="1" applyBorder="1" applyAlignment="1">
      <alignment horizontal="center" vertical="center"/>
    </xf>
    <xf numFmtId="0" fontId="32" fillId="5" borderId="14" xfId="0" applyFont="1" applyFill="1" applyBorder="1" applyAlignment="1">
      <alignment horizontal="center" vertical="center"/>
    </xf>
    <xf numFmtId="0" fontId="32" fillId="5" borderId="22" xfId="0" applyFont="1" applyFill="1" applyBorder="1" applyAlignment="1">
      <alignment horizontal="center" vertical="center"/>
    </xf>
    <xf numFmtId="0" fontId="32" fillId="4" borderId="4" xfId="0" applyFont="1" applyFill="1" applyBorder="1" applyAlignment="1">
      <alignment horizontal="center" vertical="center"/>
    </xf>
    <xf numFmtId="0" fontId="32" fillId="4" borderId="5" xfId="0" applyFont="1" applyFill="1" applyBorder="1" applyAlignment="1">
      <alignment horizontal="center" vertical="center"/>
    </xf>
    <xf numFmtId="0" fontId="32" fillId="4" borderId="6" xfId="0" applyFont="1" applyFill="1" applyBorder="1" applyAlignment="1">
      <alignment horizontal="center" vertical="center"/>
    </xf>
    <xf numFmtId="0" fontId="32" fillId="4" borderId="21" xfId="0" applyFont="1" applyFill="1" applyBorder="1" applyAlignment="1">
      <alignment horizontal="center" vertical="center"/>
    </xf>
    <xf numFmtId="0" fontId="32" fillId="4" borderId="14" xfId="0" applyFont="1" applyFill="1" applyBorder="1" applyAlignment="1">
      <alignment horizontal="center" vertical="center"/>
    </xf>
    <xf numFmtId="0" fontId="32" fillId="4" borderId="22" xfId="0" applyFont="1" applyFill="1" applyBorder="1" applyAlignment="1">
      <alignment horizontal="center" vertical="center"/>
    </xf>
    <xf numFmtId="0" fontId="23" fillId="12" borderId="4" xfId="0" applyFont="1" applyFill="1" applyBorder="1" applyAlignment="1">
      <alignment horizontal="center" vertical="center"/>
    </xf>
    <xf numFmtId="0" fontId="23" fillId="12" borderId="5" xfId="0" applyFont="1" applyFill="1" applyBorder="1" applyAlignment="1">
      <alignment horizontal="center" vertical="center"/>
    </xf>
    <xf numFmtId="0" fontId="23" fillId="12" borderId="6" xfId="0" applyFont="1" applyFill="1" applyBorder="1" applyAlignment="1">
      <alignment horizontal="center" vertical="center"/>
    </xf>
    <xf numFmtId="0" fontId="23" fillId="12" borderId="7" xfId="0" applyFont="1" applyFill="1" applyBorder="1" applyAlignment="1">
      <alignment horizontal="center" vertical="center"/>
    </xf>
    <xf numFmtId="0" fontId="23" fillId="12" borderId="0" xfId="0" applyFont="1" applyFill="1" applyBorder="1" applyAlignment="1">
      <alignment horizontal="center" vertical="center"/>
    </xf>
    <xf numFmtId="0" fontId="23" fillId="12" borderId="8" xfId="0" applyFont="1" applyFill="1" applyBorder="1" applyAlignment="1">
      <alignment horizontal="center" vertical="center"/>
    </xf>
    <xf numFmtId="0" fontId="23" fillId="12" borderId="9" xfId="0" applyFont="1" applyFill="1" applyBorder="1" applyAlignment="1">
      <alignment horizontal="center" vertical="center"/>
    </xf>
    <xf numFmtId="0" fontId="23" fillId="12" borderId="10" xfId="0" applyFont="1" applyFill="1" applyBorder="1" applyAlignment="1">
      <alignment horizontal="center" vertical="center"/>
    </xf>
    <xf numFmtId="0" fontId="23" fillId="12" borderId="11" xfId="0" applyFont="1" applyFill="1" applyBorder="1" applyAlignment="1">
      <alignment horizontal="center" vertical="center"/>
    </xf>
    <xf numFmtId="0" fontId="23" fillId="6" borderId="4" xfId="0" applyFont="1" applyFill="1" applyBorder="1" applyAlignment="1">
      <alignment horizontal="center" vertical="center"/>
    </xf>
    <xf numFmtId="0" fontId="23" fillId="6" borderId="5" xfId="0" applyFont="1" applyFill="1" applyBorder="1" applyAlignment="1">
      <alignment horizontal="center" vertical="center"/>
    </xf>
    <xf numFmtId="0" fontId="23" fillId="6" borderId="6" xfId="0" applyFont="1" applyFill="1" applyBorder="1" applyAlignment="1">
      <alignment horizontal="center" vertical="center"/>
    </xf>
    <xf numFmtId="0" fontId="23" fillId="6" borderId="21" xfId="0" applyFont="1" applyFill="1" applyBorder="1" applyAlignment="1">
      <alignment horizontal="center" vertical="center"/>
    </xf>
    <xf numFmtId="0" fontId="23" fillId="6" borderId="14" xfId="0" applyFont="1" applyFill="1" applyBorder="1" applyAlignment="1">
      <alignment horizontal="center" vertical="center"/>
    </xf>
    <xf numFmtId="0" fontId="23" fillId="6" borderId="22" xfId="0" applyFont="1" applyFill="1" applyBorder="1" applyAlignment="1">
      <alignment horizontal="center" vertical="center"/>
    </xf>
    <xf numFmtId="0" fontId="20" fillId="8" borderId="31" xfId="0" applyFont="1" applyFill="1" applyBorder="1" applyAlignment="1">
      <alignment horizontal="center" vertical="center"/>
    </xf>
    <xf numFmtId="0" fontId="20" fillId="8" borderId="50" xfId="0" applyFont="1" applyFill="1" applyBorder="1" applyAlignment="1">
      <alignment horizontal="center" vertical="center"/>
    </xf>
    <xf numFmtId="0" fontId="20" fillId="8" borderId="63" xfId="0" applyFont="1" applyFill="1" applyBorder="1" applyAlignment="1">
      <alignment horizontal="center" vertical="center"/>
    </xf>
    <xf numFmtId="0" fontId="20" fillId="8" borderId="9" xfId="0" applyFont="1" applyFill="1" applyBorder="1" applyAlignment="1">
      <alignment horizontal="center" vertical="center"/>
    </xf>
    <xf numFmtId="0" fontId="20" fillId="8" borderId="10" xfId="0" applyFont="1" applyFill="1" applyBorder="1" applyAlignment="1">
      <alignment horizontal="center" vertical="center"/>
    </xf>
    <xf numFmtId="0" fontId="20" fillId="8" borderId="11" xfId="0" applyFont="1" applyFill="1" applyBorder="1" applyAlignment="1">
      <alignment horizontal="center" vertical="center"/>
    </xf>
    <xf numFmtId="0" fontId="32" fillId="3" borderId="0" xfId="0" applyFont="1" applyFill="1" applyBorder="1" applyAlignment="1">
      <alignment horizontal="center" vertical="center"/>
    </xf>
    <xf numFmtId="0" fontId="32" fillId="17" borderId="41" xfId="0" applyFont="1" applyFill="1" applyBorder="1" applyAlignment="1">
      <alignment horizontal="center" vertical="center"/>
    </xf>
    <xf numFmtId="0" fontId="32" fillId="17" borderId="42" xfId="0" applyFont="1" applyFill="1" applyBorder="1" applyAlignment="1">
      <alignment horizontal="center" vertical="center"/>
    </xf>
    <xf numFmtId="0" fontId="32" fillId="17" borderId="43" xfId="0" applyFont="1" applyFill="1" applyBorder="1" applyAlignment="1">
      <alignment horizontal="center" vertical="center"/>
    </xf>
    <xf numFmtId="0" fontId="32" fillId="17" borderId="44" xfId="0" applyFont="1" applyFill="1" applyBorder="1" applyAlignment="1">
      <alignment horizontal="center" vertical="center"/>
    </xf>
    <xf numFmtId="0" fontId="32" fillId="17" borderId="0" xfId="0" applyFont="1" applyFill="1" applyBorder="1" applyAlignment="1">
      <alignment horizontal="center" vertical="center"/>
    </xf>
    <xf numFmtId="0" fontId="32" fillId="17" borderId="45" xfId="0" applyFont="1" applyFill="1" applyBorder="1" applyAlignment="1">
      <alignment horizontal="center" vertical="center"/>
    </xf>
    <xf numFmtId="0" fontId="23" fillId="17" borderId="4" xfId="0" applyFont="1" applyFill="1" applyBorder="1" applyAlignment="1">
      <alignment horizontal="center" vertical="center"/>
    </xf>
    <xf numFmtId="0" fontId="23" fillId="17" borderId="5" xfId="0" applyFont="1" applyFill="1" applyBorder="1" applyAlignment="1">
      <alignment horizontal="center" vertical="center"/>
    </xf>
    <xf numFmtId="0" fontId="23" fillId="17" borderId="6" xfId="0" applyFont="1" applyFill="1" applyBorder="1" applyAlignment="1">
      <alignment horizontal="center" vertical="center"/>
    </xf>
    <xf numFmtId="0" fontId="23" fillId="17" borderId="9" xfId="0" applyFont="1" applyFill="1" applyBorder="1" applyAlignment="1">
      <alignment horizontal="center" vertical="center"/>
    </xf>
    <xf numFmtId="0" fontId="23" fillId="17" borderId="10" xfId="0" applyFont="1" applyFill="1" applyBorder="1" applyAlignment="1">
      <alignment horizontal="center" vertical="center"/>
    </xf>
    <xf numFmtId="0" fontId="23" fillId="17" borderId="11" xfId="0" applyFont="1" applyFill="1" applyBorder="1" applyAlignment="1">
      <alignment horizontal="center" vertical="center"/>
    </xf>
    <xf numFmtId="0" fontId="23" fillId="17" borderId="7" xfId="0" applyFont="1" applyFill="1" applyBorder="1" applyAlignment="1">
      <alignment horizontal="center" vertical="center"/>
    </xf>
    <xf numFmtId="0" fontId="23" fillId="17" borderId="0" xfId="0" applyFont="1" applyFill="1" applyBorder="1" applyAlignment="1">
      <alignment horizontal="center" vertical="center"/>
    </xf>
    <xf numFmtId="0" fontId="23" fillId="17" borderId="8" xfId="0" applyFont="1" applyFill="1" applyBorder="1" applyAlignment="1">
      <alignment horizontal="center" vertical="center"/>
    </xf>
    <xf numFmtId="0" fontId="44" fillId="17" borderId="57" xfId="0" applyFont="1" applyFill="1" applyBorder="1" applyAlignment="1">
      <alignment horizontal="center" vertical="center"/>
    </xf>
    <xf numFmtId="0" fontId="44" fillId="17" borderId="58" xfId="0" applyFont="1" applyFill="1" applyBorder="1" applyAlignment="1">
      <alignment horizontal="center" vertical="center"/>
    </xf>
    <xf numFmtId="0" fontId="44" fillId="17" borderId="59" xfId="0" applyFont="1" applyFill="1" applyBorder="1" applyAlignment="1">
      <alignment horizontal="center" vertical="center"/>
    </xf>
    <xf numFmtId="0" fontId="43" fillId="19" borderId="36" xfId="0" applyFont="1" applyFill="1" applyBorder="1" applyAlignment="1">
      <alignment horizontal="center" vertical="center"/>
    </xf>
    <xf numFmtId="0" fontId="43" fillId="19" borderId="1" xfId="0" applyFont="1" applyFill="1" applyBorder="1" applyAlignment="1">
      <alignment horizontal="center" vertical="center"/>
    </xf>
    <xf numFmtId="0" fontId="0" fillId="16" borderId="0" xfId="0" applyFill="1" applyAlignment="1">
      <alignment horizontal="center"/>
    </xf>
    <xf numFmtId="0" fontId="7" fillId="17" borderId="4" xfId="0" applyFont="1" applyFill="1" applyBorder="1" applyAlignment="1">
      <alignment horizontal="center" vertical="center"/>
    </xf>
    <xf numFmtId="0" fontId="7" fillId="17" borderId="5" xfId="0" applyFont="1" applyFill="1" applyBorder="1" applyAlignment="1">
      <alignment horizontal="center" vertical="center"/>
    </xf>
    <xf numFmtId="0" fontId="7" fillId="17" borderId="6" xfId="0" applyFont="1" applyFill="1" applyBorder="1" applyAlignment="1">
      <alignment horizontal="center" vertical="center"/>
    </xf>
    <xf numFmtId="0" fontId="7" fillId="17" borderId="7" xfId="0" applyFont="1" applyFill="1" applyBorder="1" applyAlignment="1">
      <alignment horizontal="center" vertical="center"/>
    </xf>
    <xf numFmtId="0" fontId="7" fillId="17" borderId="0" xfId="0" applyFont="1" applyFill="1" applyBorder="1" applyAlignment="1">
      <alignment horizontal="center" vertical="center"/>
    </xf>
    <xf numFmtId="0" fontId="7" fillId="17" borderId="8" xfId="0" applyFont="1" applyFill="1" applyBorder="1" applyAlignment="1">
      <alignment horizontal="center" vertical="center"/>
    </xf>
    <xf numFmtId="0" fontId="20" fillId="17" borderId="4" xfId="0" applyFont="1" applyFill="1" applyBorder="1" applyAlignment="1">
      <alignment horizontal="center" vertical="center"/>
    </xf>
    <xf numFmtId="0" fontId="20" fillId="17" borderId="5" xfId="0" applyFont="1" applyFill="1" applyBorder="1" applyAlignment="1">
      <alignment horizontal="center" vertical="center"/>
    </xf>
    <xf numFmtId="0" fontId="20" fillId="17" borderId="6" xfId="0" applyFont="1" applyFill="1" applyBorder="1" applyAlignment="1">
      <alignment horizontal="center" vertical="center"/>
    </xf>
    <xf numFmtId="0" fontId="20" fillId="17" borderId="7" xfId="0" applyFont="1" applyFill="1" applyBorder="1" applyAlignment="1">
      <alignment horizontal="center" vertical="center"/>
    </xf>
    <xf numFmtId="0" fontId="20" fillId="17" borderId="0" xfId="0" applyFont="1" applyFill="1" applyBorder="1" applyAlignment="1">
      <alignment horizontal="center" vertical="center"/>
    </xf>
    <xf numFmtId="0" fontId="20" fillId="17" borderId="8" xfId="0" applyFont="1" applyFill="1" applyBorder="1" applyAlignment="1">
      <alignment horizontal="center" vertical="center"/>
    </xf>
    <xf numFmtId="0" fontId="32" fillId="17" borderId="4" xfId="0" applyFont="1" applyFill="1" applyBorder="1" applyAlignment="1">
      <alignment horizontal="center" vertical="center"/>
    </xf>
    <xf numFmtId="0" fontId="32" fillId="17" borderId="5" xfId="0" applyFont="1" applyFill="1" applyBorder="1" applyAlignment="1">
      <alignment horizontal="center" vertical="center"/>
    </xf>
    <xf numFmtId="0" fontId="32" fillId="17" borderId="6" xfId="0" applyFont="1" applyFill="1" applyBorder="1" applyAlignment="1">
      <alignment horizontal="center" vertical="center"/>
    </xf>
    <xf numFmtId="0" fontId="32" fillId="17" borderId="7" xfId="0" applyFont="1" applyFill="1" applyBorder="1" applyAlignment="1">
      <alignment horizontal="center" vertical="center"/>
    </xf>
    <xf numFmtId="0" fontId="32" fillId="17" borderId="8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4" xfId="0" applyFont="1" applyFill="1" applyBorder="1" applyAlignment="1">
      <alignment horizontal="center" vertical="center"/>
    </xf>
    <xf numFmtId="0" fontId="7" fillId="17" borderId="22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vertical="center"/>
    </xf>
    <xf numFmtId="0" fontId="9" fillId="13" borderId="0" xfId="0" applyFont="1" applyFill="1" applyBorder="1"/>
    <xf numFmtId="0" fontId="9" fillId="13" borderId="10" xfId="0" applyFont="1" applyFill="1" applyBorder="1"/>
    <xf numFmtId="0" fontId="23" fillId="17" borderId="1" xfId="0" applyFont="1" applyFill="1" applyBorder="1"/>
    <xf numFmtId="0" fontId="39" fillId="10" borderId="62" xfId="0" applyFont="1" applyFill="1" applyBorder="1" applyAlignment="1">
      <alignment horizontal="left"/>
    </xf>
    <xf numFmtId="0" fontId="39" fillId="10" borderId="1" xfId="0" applyFont="1" applyFill="1" applyBorder="1" applyAlignment="1">
      <alignment horizontal="left"/>
    </xf>
    <xf numFmtId="0" fontId="6" fillId="11" borderId="1" xfId="0" applyFont="1" applyFill="1" applyBorder="1" applyAlignment="1">
      <alignment horizontal="left"/>
    </xf>
    <xf numFmtId="0" fontId="6" fillId="11" borderId="0" xfId="0" applyFont="1" applyFill="1"/>
    <xf numFmtId="0" fontId="0" fillId="2" borderId="0" xfId="0" applyFill="1" applyAlignment="1">
      <alignment horizontal="left" vertical="center"/>
    </xf>
    <xf numFmtId="0" fontId="7" fillId="2" borderId="0" xfId="0" applyFont="1" applyFill="1" applyAlignment="1">
      <alignment horizontal="center" vertical="center"/>
    </xf>
    <xf numFmtId="0" fontId="7" fillId="7" borderId="64" xfId="0" applyFont="1" applyFill="1" applyBorder="1" applyAlignment="1">
      <alignment horizontal="center" vertical="center"/>
    </xf>
    <xf numFmtId="0" fontId="7" fillId="7" borderId="65" xfId="0" applyFont="1" applyFill="1" applyBorder="1" applyAlignment="1">
      <alignment horizontal="center" vertical="center"/>
    </xf>
    <xf numFmtId="0" fontId="7" fillId="7" borderId="66" xfId="0" applyFont="1" applyFill="1" applyBorder="1" applyAlignment="1">
      <alignment horizontal="center" vertical="center"/>
    </xf>
    <xf numFmtId="0" fontId="24" fillId="2" borderId="0" xfId="0" applyFont="1" applyFill="1" applyAlignment="1">
      <alignment horizontal="center" vertical="center"/>
    </xf>
    <xf numFmtId="0" fontId="28" fillId="23" borderId="57" xfId="0" applyFont="1" applyFill="1" applyBorder="1" applyAlignment="1">
      <alignment horizontal="center"/>
    </xf>
    <xf numFmtId="0" fontId="28" fillId="23" borderId="58" xfId="0" applyFont="1" applyFill="1" applyBorder="1" applyAlignment="1">
      <alignment horizontal="center"/>
    </xf>
    <xf numFmtId="0" fontId="28" fillId="23" borderId="59" xfId="0" applyFont="1" applyFill="1" applyBorder="1" applyAlignment="1">
      <alignment horizontal="center"/>
    </xf>
    <xf numFmtId="0" fontId="28" fillId="3" borderId="0" xfId="0" applyFont="1" applyFill="1" applyAlignment="1">
      <alignment horizontal="center"/>
    </xf>
    <xf numFmtId="0" fontId="28" fillId="12" borderId="34" xfId="0" applyFont="1" applyFill="1" applyBorder="1" applyAlignment="1">
      <alignment horizontal="center" vertical="center"/>
    </xf>
    <xf numFmtId="0" fontId="28" fillId="12" borderId="67" xfId="0" applyFont="1" applyFill="1" applyBorder="1" applyAlignment="1">
      <alignment horizontal="center" vertical="center"/>
    </xf>
    <xf numFmtId="0" fontId="28" fillId="12" borderId="59" xfId="0" applyFont="1" applyFill="1" applyBorder="1" applyAlignment="1">
      <alignment horizontal="center" vertical="center"/>
    </xf>
    <xf numFmtId="0" fontId="28" fillId="17" borderId="36" xfId="0" applyFont="1" applyFill="1" applyBorder="1" applyAlignment="1">
      <alignment horizontal="center"/>
    </xf>
    <xf numFmtId="0" fontId="28" fillId="17" borderId="1" xfId="0" applyFont="1" applyFill="1" applyBorder="1" applyAlignment="1">
      <alignment horizontal="center"/>
    </xf>
    <xf numFmtId="0" fontId="28" fillId="17" borderId="37" xfId="0" applyFont="1" applyFill="1" applyBorder="1" applyAlignment="1">
      <alignment horizontal="center"/>
    </xf>
    <xf numFmtId="0" fontId="9" fillId="2" borderId="0" xfId="0" applyFont="1" applyFill="1" applyAlignment="1">
      <alignment horizontal="left"/>
    </xf>
    <xf numFmtId="0" fontId="15" fillId="3" borderId="68" xfId="0" applyFont="1" applyFill="1" applyBorder="1"/>
    <xf numFmtId="0" fontId="15" fillId="3" borderId="3" xfId="0" applyFont="1" applyFill="1" applyBorder="1"/>
    <xf numFmtId="0" fontId="9" fillId="2" borderId="1" xfId="0" applyFont="1" applyFill="1" applyBorder="1" applyAlignment="1">
      <alignment horizontal="left" vertical="center"/>
    </xf>
    <xf numFmtId="0" fontId="9" fillId="2" borderId="37" xfId="0" applyFont="1" applyFill="1" applyBorder="1" applyAlignment="1">
      <alignment horizontal="left" vertical="center"/>
    </xf>
    <xf numFmtId="0" fontId="0" fillId="0" borderId="36" xfId="0" applyBorder="1"/>
    <xf numFmtId="0" fontId="0" fillId="0" borderId="1" xfId="0" applyBorder="1"/>
    <xf numFmtId="0" fontId="0" fillId="0" borderId="37" xfId="0" applyBorder="1"/>
    <xf numFmtId="0" fontId="9" fillId="2" borderId="37" xfId="0" applyFont="1" applyFill="1" applyBorder="1" applyAlignment="1">
      <alignment horizontal="left"/>
    </xf>
    <xf numFmtId="0" fontId="1" fillId="2" borderId="37" xfId="2" applyFill="1" applyBorder="1" applyAlignment="1">
      <alignment horizontal="left" vertical="center"/>
    </xf>
    <xf numFmtId="0" fontId="1" fillId="2" borderId="37" xfId="2" applyFill="1" applyBorder="1" applyAlignment="1">
      <alignment horizontal="left"/>
    </xf>
    <xf numFmtId="0" fontId="9" fillId="2" borderId="37" xfId="0" applyFont="1" applyFill="1" applyBorder="1"/>
    <xf numFmtId="0" fontId="8" fillId="2" borderId="0" xfId="0" applyFont="1" applyFill="1" applyAlignment="1">
      <alignment horizontal="center" vertical="center"/>
    </xf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15" fillId="3" borderId="69" xfId="0" applyFont="1" applyFill="1" applyBorder="1"/>
    <xf numFmtId="0" fontId="15" fillId="3" borderId="70" xfId="0" applyFont="1" applyFill="1" applyBorder="1"/>
    <xf numFmtId="0" fontId="9" fillId="2" borderId="39" xfId="0" applyFont="1" applyFill="1" applyBorder="1" applyAlignment="1">
      <alignment horizontal="left" vertical="center"/>
    </xf>
    <xf numFmtId="0" fontId="9" fillId="2" borderId="40" xfId="0" applyFont="1" applyFill="1" applyBorder="1" applyAlignment="1">
      <alignment horizontal="left" vertical="center"/>
    </xf>
    <xf numFmtId="0" fontId="49" fillId="7" borderId="64" xfId="0" applyFont="1" applyFill="1" applyBorder="1" applyAlignment="1">
      <alignment horizontal="center"/>
    </xf>
    <xf numFmtId="0" fontId="49" fillId="7" borderId="65" xfId="0" applyFont="1" applyFill="1" applyBorder="1" applyAlignment="1">
      <alignment horizontal="center"/>
    </xf>
    <xf numFmtId="0" fontId="49" fillId="7" borderId="66" xfId="0" applyFont="1" applyFill="1" applyBorder="1" applyAlignment="1">
      <alignment horizontal="center"/>
    </xf>
    <xf numFmtId="0" fontId="28" fillId="17" borderId="68" xfId="0" applyFont="1" applyFill="1" applyBorder="1" applyAlignment="1">
      <alignment horizontal="center"/>
    </xf>
    <xf numFmtId="0" fontId="28" fillId="17" borderId="2" xfId="0" applyFont="1" applyFill="1" applyBorder="1" applyAlignment="1">
      <alignment horizontal="center"/>
    </xf>
    <xf numFmtId="0" fontId="28" fillId="17" borderId="2" xfId="0" applyFont="1" applyFill="1" applyBorder="1" applyAlignment="1">
      <alignment horizontal="center" vertical="center"/>
    </xf>
    <xf numFmtId="0" fontId="28" fillId="17" borderId="33" xfId="0" applyFont="1" applyFill="1" applyBorder="1" applyAlignment="1">
      <alignment horizontal="center" vertical="center"/>
    </xf>
    <xf numFmtId="0" fontId="0" fillId="0" borderId="36" xfId="0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1" fillId="0" borderId="1" xfId="2" applyBorder="1"/>
    <xf numFmtId="44" fontId="0" fillId="0" borderId="1" xfId="4" applyFont="1" applyBorder="1"/>
    <xf numFmtId="44" fontId="0" fillId="0" borderId="37" xfId="4" applyFont="1" applyBorder="1"/>
    <xf numFmtId="0" fontId="7" fillId="7" borderId="14" xfId="0" applyFont="1" applyFill="1" applyBorder="1" applyAlignment="1">
      <alignment horizontal="center" vertical="center"/>
    </xf>
    <xf numFmtId="0" fontId="7" fillId="2" borderId="0" xfId="0" applyFont="1" applyFill="1" applyAlignment="1">
      <alignment vertical="center"/>
    </xf>
    <xf numFmtId="0" fontId="28" fillId="12" borderId="1" xfId="0" applyFont="1" applyFill="1" applyBorder="1" applyAlignment="1">
      <alignment horizontal="center"/>
    </xf>
    <xf numFmtId="0" fontId="28" fillId="12" borderId="56" xfId="0" applyFont="1" applyFill="1" applyBorder="1" applyAlignment="1">
      <alignment horizontal="center"/>
    </xf>
    <xf numFmtId="0" fontId="28" fillId="3" borderId="0" xfId="0" applyFont="1" applyFill="1" applyAlignment="1">
      <alignment horizontal="center" vertical="center"/>
    </xf>
    <xf numFmtId="0" fontId="9" fillId="2" borderId="1" xfId="0" applyFont="1" applyFill="1" applyBorder="1" applyAlignment="1">
      <alignment horizontal="left"/>
    </xf>
    <xf numFmtId="0" fontId="8" fillId="2" borderId="18" xfId="0" applyFont="1" applyFill="1" applyBorder="1" applyAlignment="1">
      <alignment horizontal="left"/>
    </xf>
    <xf numFmtId="0" fontId="9" fillId="2" borderId="0" xfId="0" applyFont="1" applyFill="1" applyAlignment="1">
      <alignment horizontal="left" vertical="center"/>
    </xf>
    <xf numFmtId="0" fontId="50" fillId="2" borderId="1" xfId="0" applyFont="1" applyFill="1" applyBorder="1" applyAlignment="1">
      <alignment horizontal="left"/>
    </xf>
    <xf numFmtId="0" fontId="9" fillId="2" borderId="18" xfId="0" applyFont="1" applyFill="1" applyBorder="1" applyAlignment="1">
      <alignment horizontal="left"/>
    </xf>
    <xf numFmtId="0" fontId="1" fillId="2" borderId="0" xfId="2" applyFill="1" applyBorder="1" applyAlignment="1">
      <alignment horizontal="left" vertical="center"/>
    </xf>
    <xf numFmtId="0" fontId="1" fillId="2" borderId="0" xfId="2" applyFill="1" applyBorder="1" applyAlignment="1">
      <alignment horizontal="left"/>
    </xf>
    <xf numFmtId="0" fontId="9" fillId="2" borderId="0" xfId="0" applyFont="1" applyFill="1"/>
    <xf numFmtId="0" fontId="7" fillId="23" borderId="57" xfId="0" applyFont="1" applyFill="1" applyBorder="1" applyAlignment="1">
      <alignment horizontal="center"/>
    </xf>
    <xf numFmtId="0" fontId="7" fillId="23" borderId="58" xfId="0" applyFont="1" applyFill="1" applyBorder="1" applyAlignment="1">
      <alignment horizontal="center"/>
    </xf>
    <xf numFmtId="0" fontId="7" fillId="23" borderId="59" xfId="0" applyFont="1" applyFill="1" applyBorder="1" applyAlignment="1">
      <alignment horizontal="center"/>
    </xf>
    <xf numFmtId="0" fontId="7" fillId="3" borderId="0" xfId="0" applyFont="1" applyFill="1"/>
    <xf numFmtId="0" fontId="7" fillId="17" borderId="36" xfId="0" applyFont="1" applyFill="1" applyBorder="1" applyAlignment="1">
      <alignment horizontal="center" vertical="center"/>
    </xf>
    <xf numFmtId="0" fontId="7" fillId="17" borderId="1" xfId="0" applyFont="1" applyFill="1" applyBorder="1" applyAlignment="1">
      <alignment horizontal="center" vertical="center"/>
    </xf>
    <xf numFmtId="0" fontId="7" fillId="17" borderId="37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51" fillId="0" borderId="36" xfId="0" applyFont="1" applyBorder="1" applyAlignment="1">
      <alignment horizontal="center" vertical="center"/>
    </xf>
    <xf numFmtId="0" fontId="51" fillId="0" borderId="1" xfId="0" applyFont="1" applyBorder="1" applyAlignment="1">
      <alignment horizontal="center" vertical="center"/>
    </xf>
    <xf numFmtId="0" fontId="49" fillId="2" borderId="0" xfId="0" applyFont="1" applyFill="1"/>
    <xf numFmtId="0" fontId="28" fillId="2" borderId="0" xfId="0" applyFont="1" applyFill="1" applyAlignment="1">
      <alignment horizontal="center"/>
    </xf>
    <xf numFmtId="0" fontId="28" fillId="2" borderId="0" xfId="0" applyFont="1" applyFill="1" applyAlignment="1">
      <alignment horizontal="center" vertical="center"/>
    </xf>
    <xf numFmtId="0" fontId="1" fillId="2" borderId="0" xfId="2" applyFill="1" applyBorder="1"/>
    <xf numFmtId="44" fontId="0" fillId="2" borderId="0" xfId="4" applyFont="1" applyFill="1" applyBorder="1"/>
    <xf numFmtId="0" fontId="52" fillId="2" borderId="0" xfId="0" applyFont="1" applyFill="1"/>
  </cellXfs>
  <cellStyles count="5">
    <cellStyle name="Hiperlink" xfId="2" builtinId="8"/>
    <cellStyle name="Hyperlink" xfId="1" xr:uid="{00000000-000B-0000-0000-000008000000}"/>
    <cellStyle name="Moeda 2" xfId="3" xr:uid="{168EC4E4-4ACA-488B-BA7F-0FCC7F054CAC}"/>
    <cellStyle name="Moeda 3" xfId="4" xr:uid="{C8563BB4-4771-4099-B082-45013E377669}"/>
    <cellStyle name="Normal" xfId="0" builtinId="0"/>
  </cellStyles>
  <dxfs count="0"/>
  <tableStyles count="0" defaultTableStyle="TableStyleMedium2" defaultPivotStyle="PivotStyleLight16"/>
  <colors>
    <mruColors>
      <color rgb="FF3D5B7A"/>
      <color rgb="FF3A5775"/>
      <color rgb="FF8EA9DB"/>
      <color rgb="FF212121"/>
      <color rgb="FF3D597A"/>
      <color rgb="FF202020"/>
      <color rgb="FF1C1C1C"/>
      <color rgb="FF171717"/>
      <color rgb="FFD0CECE"/>
      <color rgb="FFF13F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sz="2000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CONTROLE DE ENTRADAS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3D5B7A"/>
            </a:solidFill>
            <a:ln>
              <a:noFill/>
            </a:ln>
            <a:effectLst/>
          </c:spPr>
          <c:invertIfNegative val="0"/>
          <c:cat>
            <c:strRef>
              <c:f>'[2]BANCO DE DADOS'!$C$7:$C$10</c:f>
              <c:strCache>
                <c:ptCount val="4"/>
                <c:pt idx="0">
                  <c:v>QUEIJO MEIA CURA</c:v>
                </c:pt>
                <c:pt idx="1">
                  <c:v>QUEIJO MINAS</c:v>
                </c:pt>
                <c:pt idx="2">
                  <c:v>QUEIJO COALHO</c:v>
                </c:pt>
                <c:pt idx="3">
                  <c:v>QUEIJO MUSSARELA</c:v>
                </c:pt>
              </c:strCache>
            </c:strRef>
          </c:cat>
          <c:val>
            <c:numRef>
              <c:f>'[2]BANCO DE DADOS'!$D$7:$D$10</c:f>
              <c:numCache>
                <c:formatCode>General</c:formatCode>
                <c:ptCount val="4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1-480F-8160-518E9C9F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71895984"/>
        <c:axId val="871898480"/>
      </c:barChart>
      <c:catAx>
        <c:axId val="871895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871898480"/>
        <c:crosses val="autoZero"/>
        <c:auto val="1"/>
        <c:lblAlgn val="ctr"/>
        <c:lblOffset val="100"/>
        <c:noMultiLvlLbl val="0"/>
      </c:catAx>
      <c:valAx>
        <c:axId val="87189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871895984"/>
        <c:crosses val="autoZero"/>
        <c:crossBetween val="between"/>
      </c:valAx>
      <c:spPr>
        <a:solidFill>
          <a:schemeClr val="tx2">
            <a:lumMod val="40000"/>
            <a:lumOff val="60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3.wdp"/><Relationship Id="rId13" Type="http://schemas.openxmlformats.org/officeDocument/2006/relationships/image" Target="../media/image8.png"/><Relationship Id="rId18" Type="http://schemas.microsoft.com/office/2007/relationships/hdphoto" Target="../media/hdphoto8.wdp"/><Relationship Id="rId3" Type="http://schemas.microsoft.com/office/2007/relationships/hdphoto" Target="../media/hdphoto1.wdp"/><Relationship Id="rId21" Type="http://schemas.microsoft.com/office/2007/relationships/hdphoto" Target="../media/hdphoto9.wdp"/><Relationship Id="rId7" Type="http://schemas.openxmlformats.org/officeDocument/2006/relationships/image" Target="../media/image5.png"/><Relationship Id="rId12" Type="http://schemas.microsoft.com/office/2007/relationships/hdphoto" Target="../media/hdphoto5.wdp"/><Relationship Id="rId17" Type="http://schemas.openxmlformats.org/officeDocument/2006/relationships/image" Target="../media/image10.png"/><Relationship Id="rId2" Type="http://schemas.openxmlformats.org/officeDocument/2006/relationships/image" Target="../media/image3.png"/><Relationship Id="rId16" Type="http://schemas.microsoft.com/office/2007/relationships/hdphoto" Target="../media/hdphoto7.wdp"/><Relationship Id="rId20" Type="http://schemas.openxmlformats.org/officeDocument/2006/relationships/image" Target="../media/image12.png"/><Relationship Id="rId1" Type="http://schemas.openxmlformats.org/officeDocument/2006/relationships/hyperlink" Target="#Home!A1"/><Relationship Id="rId6" Type="http://schemas.microsoft.com/office/2007/relationships/hdphoto" Target="../media/hdphoto2.wdp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5" Type="http://schemas.openxmlformats.org/officeDocument/2006/relationships/image" Target="../media/image9.png"/><Relationship Id="rId10" Type="http://schemas.microsoft.com/office/2007/relationships/hdphoto" Target="../media/hdphoto4.wdp"/><Relationship Id="rId19" Type="http://schemas.openxmlformats.org/officeDocument/2006/relationships/image" Target="../media/image11.png"/><Relationship Id="rId4" Type="http://schemas.openxmlformats.org/officeDocument/2006/relationships/hyperlink" Target="#Produ&#231;&#227;o!A1"/><Relationship Id="rId9" Type="http://schemas.openxmlformats.org/officeDocument/2006/relationships/image" Target="../media/image6.png"/><Relationship Id="rId14" Type="http://schemas.microsoft.com/office/2007/relationships/hdphoto" Target="../media/hdphoto6.wdp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0.png"/><Relationship Id="rId3" Type="http://schemas.openxmlformats.org/officeDocument/2006/relationships/image" Target="../media/image3.png"/><Relationship Id="rId21" Type="http://schemas.microsoft.com/office/2007/relationships/hdphoto" Target="../media/hdphoto10.wdp"/><Relationship Id="rId7" Type="http://schemas.microsoft.com/office/2007/relationships/hdphoto" Target="../media/hdphoto2.wdp"/><Relationship Id="rId12" Type="http://schemas.openxmlformats.org/officeDocument/2006/relationships/image" Target="../media/image7.png"/><Relationship Id="rId17" Type="http://schemas.microsoft.com/office/2007/relationships/hdphoto" Target="../media/hdphoto7.wdp"/><Relationship Id="rId2" Type="http://schemas.openxmlformats.org/officeDocument/2006/relationships/hyperlink" Target="#Home!A1"/><Relationship Id="rId16" Type="http://schemas.openxmlformats.org/officeDocument/2006/relationships/image" Target="../media/image9.png"/><Relationship Id="rId20" Type="http://schemas.openxmlformats.org/officeDocument/2006/relationships/image" Target="../media/image13.png"/><Relationship Id="rId1" Type="http://schemas.openxmlformats.org/officeDocument/2006/relationships/image" Target="../media/image11.png"/><Relationship Id="rId6" Type="http://schemas.openxmlformats.org/officeDocument/2006/relationships/image" Target="../media/image4.png"/><Relationship Id="rId11" Type="http://schemas.microsoft.com/office/2007/relationships/hdphoto" Target="../media/hdphoto4.wdp"/><Relationship Id="rId5" Type="http://schemas.openxmlformats.org/officeDocument/2006/relationships/hyperlink" Target="#Produ&#231;&#227;o!A1"/><Relationship Id="rId15" Type="http://schemas.microsoft.com/office/2007/relationships/hdphoto" Target="../media/hdphoto6.wdp"/><Relationship Id="rId10" Type="http://schemas.openxmlformats.org/officeDocument/2006/relationships/image" Target="../media/image6.png"/><Relationship Id="rId19" Type="http://schemas.microsoft.com/office/2007/relationships/hdphoto" Target="../media/hdphoto8.wdp"/><Relationship Id="rId4" Type="http://schemas.microsoft.com/office/2007/relationships/hdphoto" Target="../media/hdphoto1.wdp"/><Relationship Id="rId9" Type="http://schemas.microsoft.com/office/2007/relationships/hdphoto" Target="../media/hdphoto3.wdp"/><Relationship Id="rId1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0.png"/><Relationship Id="rId3" Type="http://schemas.openxmlformats.org/officeDocument/2006/relationships/image" Target="../media/image3.png"/><Relationship Id="rId21" Type="http://schemas.microsoft.com/office/2007/relationships/hdphoto" Target="../media/hdphoto10.wdp"/><Relationship Id="rId7" Type="http://schemas.microsoft.com/office/2007/relationships/hdphoto" Target="../media/hdphoto2.wdp"/><Relationship Id="rId12" Type="http://schemas.openxmlformats.org/officeDocument/2006/relationships/image" Target="../media/image7.png"/><Relationship Id="rId17" Type="http://schemas.microsoft.com/office/2007/relationships/hdphoto" Target="../media/hdphoto7.wdp"/><Relationship Id="rId2" Type="http://schemas.openxmlformats.org/officeDocument/2006/relationships/hyperlink" Target="#Home!A1"/><Relationship Id="rId16" Type="http://schemas.openxmlformats.org/officeDocument/2006/relationships/image" Target="../media/image9.png"/><Relationship Id="rId20" Type="http://schemas.openxmlformats.org/officeDocument/2006/relationships/image" Target="../media/image13.png"/><Relationship Id="rId1" Type="http://schemas.openxmlformats.org/officeDocument/2006/relationships/image" Target="../media/image11.png"/><Relationship Id="rId6" Type="http://schemas.openxmlformats.org/officeDocument/2006/relationships/image" Target="../media/image4.png"/><Relationship Id="rId11" Type="http://schemas.microsoft.com/office/2007/relationships/hdphoto" Target="../media/hdphoto4.wdp"/><Relationship Id="rId5" Type="http://schemas.openxmlformats.org/officeDocument/2006/relationships/hyperlink" Target="#Produ&#231;&#227;o!A1"/><Relationship Id="rId15" Type="http://schemas.microsoft.com/office/2007/relationships/hdphoto" Target="../media/hdphoto6.wdp"/><Relationship Id="rId10" Type="http://schemas.openxmlformats.org/officeDocument/2006/relationships/image" Target="../media/image6.png"/><Relationship Id="rId19" Type="http://schemas.microsoft.com/office/2007/relationships/hdphoto" Target="../media/hdphoto8.wdp"/><Relationship Id="rId4" Type="http://schemas.microsoft.com/office/2007/relationships/hdphoto" Target="../media/hdphoto1.wdp"/><Relationship Id="rId9" Type="http://schemas.microsoft.com/office/2007/relationships/hdphoto" Target="../media/hdphoto3.wdp"/><Relationship Id="rId14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0.png"/><Relationship Id="rId3" Type="http://schemas.openxmlformats.org/officeDocument/2006/relationships/image" Target="../media/image3.png"/><Relationship Id="rId21" Type="http://schemas.microsoft.com/office/2007/relationships/hdphoto" Target="../media/hdphoto10.wdp"/><Relationship Id="rId7" Type="http://schemas.microsoft.com/office/2007/relationships/hdphoto" Target="../media/hdphoto2.wdp"/><Relationship Id="rId12" Type="http://schemas.openxmlformats.org/officeDocument/2006/relationships/image" Target="../media/image7.png"/><Relationship Id="rId17" Type="http://schemas.microsoft.com/office/2007/relationships/hdphoto" Target="../media/hdphoto7.wdp"/><Relationship Id="rId2" Type="http://schemas.openxmlformats.org/officeDocument/2006/relationships/hyperlink" Target="#Home!A1"/><Relationship Id="rId16" Type="http://schemas.openxmlformats.org/officeDocument/2006/relationships/image" Target="../media/image9.png"/><Relationship Id="rId20" Type="http://schemas.openxmlformats.org/officeDocument/2006/relationships/image" Target="../media/image13.png"/><Relationship Id="rId1" Type="http://schemas.openxmlformats.org/officeDocument/2006/relationships/image" Target="../media/image11.png"/><Relationship Id="rId6" Type="http://schemas.openxmlformats.org/officeDocument/2006/relationships/image" Target="../media/image4.png"/><Relationship Id="rId11" Type="http://schemas.microsoft.com/office/2007/relationships/hdphoto" Target="../media/hdphoto4.wdp"/><Relationship Id="rId5" Type="http://schemas.openxmlformats.org/officeDocument/2006/relationships/hyperlink" Target="#Produ&#231;&#227;o!A1"/><Relationship Id="rId15" Type="http://schemas.microsoft.com/office/2007/relationships/hdphoto" Target="../media/hdphoto6.wdp"/><Relationship Id="rId10" Type="http://schemas.openxmlformats.org/officeDocument/2006/relationships/image" Target="../media/image6.png"/><Relationship Id="rId19" Type="http://schemas.microsoft.com/office/2007/relationships/hdphoto" Target="../media/hdphoto8.wdp"/><Relationship Id="rId4" Type="http://schemas.microsoft.com/office/2007/relationships/hdphoto" Target="../media/hdphoto1.wdp"/><Relationship Id="rId9" Type="http://schemas.microsoft.com/office/2007/relationships/hdphoto" Target="../media/hdphoto3.wdp"/><Relationship Id="rId14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0.png"/><Relationship Id="rId3" Type="http://schemas.openxmlformats.org/officeDocument/2006/relationships/image" Target="../media/image3.png"/><Relationship Id="rId21" Type="http://schemas.microsoft.com/office/2007/relationships/hdphoto" Target="../media/hdphoto10.wdp"/><Relationship Id="rId7" Type="http://schemas.microsoft.com/office/2007/relationships/hdphoto" Target="../media/hdphoto2.wdp"/><Relationship Id="rId12" Type="http://schemas.openxmlformats.org/officeDocument/2006/relationships/image" Target="../media/image7.png"/><Relationship Id="rId17" Type="http://schemas.microsoft.com/office/2007/relationships/hdphoto" Target="../media/hdphoto7.wdp"/><Relationship Id="rId2" Type="http://schemas.openxmlformats.org/officeDocument/2006/relationships/hyperlink" Target="#Home!A1"/><Relationship Id="rId16" Type="http://schemas.openxmlformats.org/officeDocument/2006/relationships/image" Target="../media/image9.png"/><Relationship Id="rId20" Type="http://schemas.openxmlformats.org/officeDocument/2006/relationships/image" Target="../media/image13.png"/><Relationship Id="rId1" Type="http://schemas.openxmlformats.org/officeDocument/2006/relationships/chart" Target="../charts/chart1.xml"/><Relationship Id="rId6" Type="http://schemas.openxmlformats.org/officeDocument/2006/relationships/image" Target="../media/image4.png"/><Relationship Id="rId11" Type="http://schemas.microsoft.com/office/2007/relationships/hdphoto" Target="../media/hdphoto4.wdp"/><Relationship Id="rId5" Type="http://schemas.openxmlformats.org/officeDocument/2006/relationships/hyperlink" Target="#Produ&#231;&#227;o!A1"/><Relationship Id="rId15" Type="http://schemas.microsoft.com/office/2007/relationships/hdphoto" Target="../media/hdphoto6.wdp"/><Relationship Id="rId10" Type="http://schemas.openxmlformats.org/officeDocument/2006/relationships/image" Target="../media/image6.png"/><Relationship Id="rId19" Type="http://schemas.microsoft.com/office/2007/relationships/hdphoto" Target="../media/hdphoto8.wdp"/><Relationship Id="rId4" Type="http://schemas.microsoft.com/office/2007/relationships/hdphoto" Target="../media/hdphoto1.wdp"/><Relationship Id="rId9" Type="http://schemas.microsoft.com/office/2007/relationships/hdphoto" Target="../media/hdphoto3.wdp"/><Relationship Id="rId14" Type="http://schemas.openxmlformats.org/officeDocument/2006/relationships/image" Target="../media/image8.png"/><Relationship Id="rId22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1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1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18.png"/><Relationship Id="rId22" Type="http://schemas.openxmlformats.org/officeDocument/2006/relationships/image" Target="../media/image13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18.png"/><Relationship Id="rId22" Type="http://schemas.openxmlformats.org/officeDocument/2006/relationships/image" Target="../media/image13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18.png"/><Relationship Id="rId22" Type="http://schemas.openxmlformats.org/officeDocument/2006/relationships/image" Target="../media/image13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18.png"/><Relationship Id="rId22" Type="http://schemas.openxmlformats.org/officeDocument/2006/relationships/image" Target="../media/image13.pn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9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9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9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9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9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25.xml.rels><?xml version="1.0" encoding="UTF-8" standalone="yes"?>
<Relationships xmlns="http://schemas.openxmlformats.org/package/2006/relationships"><Relationship Id="rId8" Type="http://schemas.microsoft.com/office/2007/relationships/hdphoto" Target="../media/hdphoto11.wdp"/><Relationship Id="rId13" Type="http://schemas.openxmlformats.org/officeDocument/2006/relationships/image" Target="../media/image24.png"/><Relationship Id="rId18" Type="http://schemas.microsoft.com/office/2007/relationships/hdphoto" Target="../media/hdphoto17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1.png"/><Relationship Id="rId12" Type="http://schemas.microsoft.com/office/2007/relationships/hdphoto" Target="../media/hdphoto14.wdp"/><Relationship Id="rId17" Type="http://schemas.openxmlformats.org/officeDocument/2006/relationships/image" Target="../media/image26.png"/><Relationship Id="rId2" Type="http://schemas.microsoft.com/office/2007/relationships/hdphoto" Target="../media/hdphoto12.wdp"/><Relationship Id="rId16" Type="http://schemas.microsoft.com/office/2007/relationships/hdphoto" Target="../media/hdphoto16.wdp"/><Relationship Id="rId20" Type="http://schemas.microsoft.com/office/2007/relationships/hdphoto" Target="../media/hdphoto18.wdp"/><Relationship Id="rId1" Type="http://schemas.openxmlformats.org/officeDocument/2006/relationships/image" Target="../media/image20.png"/><Relationship Id="rId6" Type="http://schemas.openxmlformats.org/officeDocument/2006/relationships/hyperlink" Target="#Produ&#231;&#227;o!A1"/><Relationship Id="rId11" Type="http://schemas.openxmlformats.org/officeDocument/2006/relationships/image" Target="../media/image23.png"/><Relationship Id="rId5" Type="http://schemas.microsoft.com/office/2007/relationships/hdphoto" Target="../media/hdphoto1.wdp"/><Relationship Id="rId15" Type="http://schemas.openxmlformats.org/officeDocument/2006/relationships/image" Target="../media/image25.png"/><Relationship Id="rId10" Type="http://schemas.microsoft.com/office/2007/relationships/hdphoto" Target="../media/hdphoto13.wdp"/><Relationship Id="rId19" Type="http://schemas.openxmlformats.org/officeDocument/2006/relationships/image" Target="../media/image27.png"/><Relationship Id="rId4" Type="http://schemas.openxmlformats.org/officeDocument/2006/relationships/image" Target="../media/image3.png"/><Relationship Id="rId9" Type="http://schemas.openxmlformats.org/officeDocument/2006/relationships/image" Target="../media/image22.png"/><Relationship Id="rId14" Type="http://schemas.microsoft.com/office/2007/relationships/hdphoto" Target="../media/hdphoto15.wdp"/></Relationships>
</file>

<file path=xl/drawings/_rels/drawing26.xml.rels><?xml version="1.0" encoding="UTF-8" standalone="yes"?>
<Relationships xmlns="http://schemas.openxmlformats.org/package/2006/relationships"><Relationship Id="rId8" Type="http://schemas.microsoft.com/office/2007/relationships/hdphoto" Target="../media/hdphoto11.wdp"/><Relationship Id="rId13" Type="http://schemas.openxmlformats.org/officeDocument/2006/relationships/image" Target="../media/image24.png"/><Relationship Id="rId18" Type="http://schemas.microsoft.com/office/2007/relationships/hdphoto" Target="../media/hdphoto17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1.png"/><Relationship Id="rId12" Type="http://schemas.microsoft.com/office/2007/relationships/hdphoto" Target="../media/hdphoto14.wdp"/><Relationship Id="rId17" Type="http://schemas.openxmlformats.org/officeDocument/2006/relationships/image" Target="../media/image26.png"/><Relationship Id="rId2" Type="http://schemas.microsoft.com/office/2007/relationships/hdphoto" Target="../media/hdphoto12.wdp"/><Relationship Id="rId16" Type="http://schemas.microsoft.com/office/2007/relationships/hdphoto" Target="../media/hdphoto16.wdp"/><Relationship Id="rId20" Type="http://schemas.microsoft.com/office/2007/relationships/hdphoto" Target="../media/hdphoto18.wdp"/><Relationship Id="rId1" Type="http://schemas.openxmlformats.org/officeDocument/2006/relationships/image" Target="../media/image20.png"/><Relationship Id="rId6" Type="http://schemas.openxmlformats.org/officeDocument/2006/relationships/hyperlink" Target="#Produ&#231;&#227;o!A1"/><Relationship Id="rId11" Type="http://schemas.openxmlformats.org/officeDocument/2006/relationships/image" Target="../media/image23.png"/><Relationship Id="rId5" Type="http://schemas.microsoft.com/office/2007/relationships/hdphoto" Target="../media/hdphoto1.wdp"/><Relationship Id="rId15" Type="http://schemas.openxmlformats.org/officeDocument/2006/relationships/image" Target="../media/image25.png"/><Relationship Id="rId10" Type="http://schemas.microsoft.com/office/2007/relationships/hdphoto" Target="../media/hdphoto13.wdp"/><Relationship Id="rId19" Type="http://schemas.openxmlformats.org/officeDocument/2006/relationships/image" Target="../media/image27.png"/><Relationship Id="rId4" Type="http://schemas.openxmlformats.org/officeDocument/2006/relationships/image" Target="../media/image3.png"/><Relationship Id="rId9" Type="http://schemas.openxmlformats.org/officeDocument/2006/relationships/image" Target="../media/image22.png"/><Relationship Id="rId14" Type="http://schemas.microsoft.com/office/2007/relationships/hdphoto" Target="../media/hdphoto15.wdp"/></Relationships>
</file>

<file path=xl/drawings/_rels/drawing27.xml.rels><?xml version="1.0" encoding="UTF-8" standalone="yes"?>
<Relationships xmlns="http://schemas.openxmlformats.org/package/2006/relationships"><Relationship Id="rId8" Type="http://schemas.microsoft.com/office/2007/relationships/hdphoto" Target="../media/hdphoto11.wdp"/><Relationship Id="rId13" Type="http://schemas.openxmlformats.org/officeDocument/2006/relationships/image" Target="../media/image24.png"/><Relationship Id="rId18" Type="http://schemas.microsoft.com/office/2007/relationships/hdphoto" Target="../media/hdphoto17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1.png"/><Relationship Id="rId12" Type="http://schemas.microsoft.com/office/2007/relationships/hdphoto" Target="../media/hdphoto14.wdp"/><Relationship Id="rId17" Type="http://schemas.openxmlformats.org/officeDocument/2006/relationships/image" Target="../media/image26.png"/><Relationship Id="rId2" Type="http://schemas.microsoft.com/office/2007/relationships/hdphoto" Target="../media/hdphoto12.wdp"/><Relationship Id="rId16" Type="http://schemas.microsoft.com/office/2007/relationships/hdphoto" Target="../media/hdphoto16.wdp"/><Relationship Id="rId20" Type="http://schemas.microsoft.com/office/2007/relationships/hdphoto" Target="../media/hdphoto18.wdp"/><Relationship Id="rId1" Type="http://schemas.openxmlformats.org/officeDocument/2006/relationships/image" Target="../media/image20.png"/><Relationship Id="rId6" Type="http://schemas.openxmlformats.org/officeDocument/2006/relationships/hyperlink" Target="#Produ&#231;&#227;o!A1"/><Relationship Id="rId11" Type="http://schemas.openxmlformats.org/officeDocument/2006/relationships/image" Target="../media/image23.png"/><Relationship Id="rId5" Type="http://schemas.microsoft.com/office/2007/relationships/hdphoto" Target="../media/hdphoto1.wdp"/><Relationship Id="rId15" Type="http://schemas.openxmlformats.org/officeDocument/2006/relationships/image" Target="../media/image25.png"/><Relationship Id="rId10" Type="http://schemas.microsoft.com/office/2007/relationships/hdphoto" Target="../media/hdphoto13.wdp"/><Relationship Id="rId19" Type="http://schemas.openxmlformats.org/officeDocument/2006/relationships/image" Target="../media/image27.png"/><Relationship Id="rId4" Type="http://schemas.openxmlformats.org/officeDocument/2006/relationships/image" Target="../media/image3.png"/><Relationship Id="rId9" Type="http://schemas.openxmlformats.org/officeDocument/2006/relationships/image" Target="../media/image22.png"/><Relationship Id="rId14" Type="http://schemas.microsoft.com/office/2007/relationships/hdphoto" Target="../media/hdphoto15.wdp"/></Relationships>
</file>

<file path=xl/drawings/_rels/drawing28.xml.rels><?xml version="1.0" encoding="UTF-8" standalone="yes"?>
<Relationships xmlns="http://schemas.openxmlformats.org/package/2006/relationships"><Relationship Id="rId8" Type="http://schemas.microsoft.com/office/2007/relationships/hdphoto" Target="../media/hdphoto11.wdp"/><Relationship Id="rId13" Type="http://schemas.openxmlformats.org/officeDocument/2006/relationships/image" Target="../media/image24.png"/><Relationship Id="rId18" Type="http://schemas.microsoft.com/office/2007/relationships/hdphoto" Target="../media/hdphoto17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1.png"/><Relationship Id="rId12" Type="http://schemas.microsoft.com/office/2007/relationships/hdphoto" Target="../media/hdphoto14.wdp"/><Relationship Id="rId17" Type="http://schemas.openxmlformats.org/officeDocument/2006/relationships/image" Target="../media/image26.png"/><Relationship Id="rId2" Type="http://schemas.microsoft.com/office/2007/relationships/hdphoto" Target="../media/hdphoto12.wdp"/><Relationship Id="rId16" Type="http://schemas.microsoft.com/office/2007/relationships/hdphoto" Target="../media/hdphoto16.wdp"/><Relationship Id="rId20" Type="http://schemas.microsoft.com/office/2007/relationships/hdphoto" Target="../media/hdphoto18.wdp"/><Relationship Id="rId1" Type="http://schemas.openxmlformats.org/officeDocument/2006/relationships/image" Target="../media/image20.png"/><Relationship Id="rId6" Type="http://schemas.openxmlformats.org/officeDocument/2006/relationships/hyperlink" Target="#Produ&#231;&#227;o!A1"/><Relationship Id="rId11" Type="http://schemas.openxmlformats.org/officeDocument/2006/relationships/image" Target="../media/image23.png"/><Relationship Id="rId5" Type="http://schemas.microsoft.com/office/2007/relationships/hdphoto" Target="../media/hdphoto1.wdp"/><Relationship Id="rId15" Type="http://schemas.openxmlformats.org/officeDocument/2006/relationships/image" Target="../media/image25.png"/><Relationship Id="rId10" Type="http://schemas.microsoft.com/office/2007/relationships/hdphoto" Target="../media/hdphoto13.wdp"/><Relationship Id="rId19" Type="http://schemas.openxmlformats.org/officeDocument/2006/relationships/image" Target="../media/image27.png"/><Relationship Id="rId4" Type="http://schemas.openxmlformats.org/officeDocument/2006/relationships/image" Target="../media/image3.png"/><Relationship Id="rId9" Type="http://schemas.openxmlformats.org/officeDocument/2006/relationships/image" Target="../media/image22.png"/><Relationship Id="rId14" Type="http://schemas.microsoft.com/office/2007/relationships/hdphoto" Target="../media/hdphoto15.wdp"/></Relationships>
</file>

<file path=xl/drawings/_rels/drawing29.xml.rels><?xml version="1.0" encoding="UTF-8" standalone="yes"?>
<Relationships xmlns="http://schemas.openxmlformats.org/package/2006/relationships"><Relationship Id="rId8" Type="http://schemas.microsoft.com/office/2007/relationships/hdphoto" Target="../media/hdphoto11.wdp"/><Relationship Id="rId13" Type="http://schemas.openxmlformats.org/officeDocument/2006/relationships/image" Target="../media/image24.png"/><Relationship Id="rId18" Type="http://schemas.microsoft.com/office/2007/relationships/hdphoto" Target="../media/hdphoto17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1.png"/><Relationship Id="rId12" Type="http://schemas.microsoft.com/office/2007/relationships/hdphoto" Target="../media/hdphoto19.wdp"/><Relationship Id="rId17" Type="http://schemas.openxmlformats.org/officeDocument/2006/relationships/image" Target="../media/image26.png"/><Relationship Id="rId2" Type="http://schemas.microsoft.com/office/2007/relationships/hdphoto" Target="../media/hdphoto12.wdp"/><Relationship Id="rId16" Type="http://schemas.microsoft.com/office/2007/relationships/hdphoto" Target="../media/hdphoto16.wdp"/><Relationship Id="rId20" Type="http://schemas.microsoft.com/office/2007/relationships/hdphoto" Target="../media/hdphoto20.wdp"/><Relationship Id="rId1" Type="http://schemas.openxmlformats.org/officeDocument/2006/relationships/image" Target="../media/image20.png"/><Relationship Id="rId6" Type="http://schemas.openxmlformats.org/officeDocument/2006/relationships/hyperlink" Target="#Produ&#231;&#227;o!A1"/><Relationship Id="rId11" Type="http://schemas.openxmlformats.org/officeDocument/2006/relationships/image" Target="../media/image28.png"/><Relationship Id="rId5" Type="http://schemas.microsoft.com/office/2007/relationships/hdphoto" Target="../media/hdphoto1.wdp"/><Relationship Id="rId15" Type="http://schemas.openxmlformats.org/officeDocument/2006/relationships/image" Target="../media/image25.png"/><Relationship Id="rId10" Type="http://schemas.microsoft.com/office/2007/relationships/hdphoto" Target="../media/hdphoto13.wdp"/><Relationship Id="rId19" Type="http://schemas.openxmlformats.org/officeDocument/2006/relationships/image" Target="../media/image29.png"/><Relationship Id="rId4" Type="http://schemas.openxmlformats.org/officeDocument/2006/relationships/image" Target="../media/image3.png"/><Relationship Id="rId9" Type="http://schemas.openxmlformats.org/officeDocument/2006/relationships/image" Target="../media/image22.png"/><Relationship Id="rId14" Type="http://schemas.microsoft.com/office/2007/relationships/hdphoto" Target="../media/hdphoto15.wdp"/></Relationships>
</file>

<file path=xl/drawings/_rels/drawing30.xml.rels><?xml version="1.0" encoding="UTF-8" standalone="yes"?>
<Relationships xmlns="http://schemas.openxmlformats.org/package/2006/relationships"><Relationship Id="rId8" Type="http://schemas.microsoft.com/office/2007/relationships/hdphoto" Target="../media/hdphoto11.wdp"/><Relationship Id="rId13" Type="http://schemas.openxmlformats.org/officeDocument/2006/relationships/image" Target="../media/image30.png"/><Relationship Id="rId18" Type="http://schemas.microsoft.com/office/2007/relationships/hdphoto" Target="../media/hdphoto17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1.png"/><Relationship Id="rId12" Type="http://schemas.microsoft.com/office/2007/relationships/hdphoto" Target="../media/hdphoto14.wdp"/><Relationship Id="rId17" Type="http://schemas.openxmlformats.org/officeDocument/2006/relationships/image" Target="../media/image26.png"/><Relationship Id="rId2" Type="http://schemas.microsoft.com/office/2007/relationships/hdphoto" Target="../media/hdphoto12.wdp"/><Relationship Id="rId16" Type="http://schemas.microsoft.com/office/2007/relationships/hdphoto" Target="../media/hdphoto16.wdp"/><Relationship Id="rId20" Type="http://schemas.microsoft.com/office/2007/relationships/hdphoto" Target="../media/hdphoto20.wdp"/><Relationship Id="rId1" Type="http://schemas.openxmlformats.org/officeDocument/2006/relationships/image" Target="../media/image20.png"/><Relationship Id="rId6" Type="http://schemas.openxmlformats.org/officeDocument/2006/relationships/hyperlink" Target="#Produ&#231;&#227;o!A1"/><Relationship Id="rId11" Type="http://schemas.openxmlformats.org/officeDocument/2006/relationships/image" Target="../media/image23.png"/><Relationship Id="rId5" Type="http://schemas.microsoft.com/office/2007/relationships/hdphoto" Target="../media/hdphoto1.wdp"/><Relationship Id="rId15" Type="http://schemas.openxmlformats.org/officeDocument/2006/relationships/image" Target="../media/image31.png"/><Relationship Id="rId10" Type="http://schemas.microsoft.com/office/2007/relationships/hdphoto" Target="../media/hdphoto13.wdp"/><Relationship Id="rId19" Type="http://schemas.openxmlformats.org/officeDocument/2006/relationships/image" Target="../media/image29.png"/><Relationship Id="rId4" Type="http://schemas.openxmlformats.org/officeDocument/2006/relationships/image" Target="../media/image3.png"/><Relationship Id="rId9" Type="http://schemas.openxmlformats.org/officeDocument/2006/relationships/image" Target="../media/image22.png"/><Relationship Id="rId14" Type="http://schemas.microsoft.com/office/2007/relationships/hdphoto" Target="../media/hdphoto21.wdp"/></Relationships>
</file>

<file path=xl/drawings/_rels/drawing31.xml.rels><?xml version="1.0" encoding="UTF-8" standalone="yes"?>
<Relationships xmlns="http://schemas.openxmlformats.org/package/2006/relationships"><Relationship Id="rId8" Type="http://schemas.microsoft.com/office/2007/relationships/hdphoto" Target="../media/hdphoto11.wdp"/><Relationship Id="rId13" Type="http://schemas.openxmlformats.org/officeDocument/2006/relationships/image" Target="../media/image32.png"/><Relationship Id="rId18" Type="http://schemas.microsoft.com/office/2007/relationships/hdphoto" Target="../media/hdphoto17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1.png"/><Relationship Id="rId12" Type="http://schemas.microsoft.com/office/2007/relationships/hdphoto" Target="../media/hdphoto14.wdp"/><Relationship Id="rId17" Type="http://schemas.openxmlformats.org/officeDocument/2006/relationships/image" Target="../media/image26.png"/><Relationship Id="rId2" Type="http://schemas.microsoft.com/office/2007/relationships/hdphoto" Target="../media/hdphoto12.wdp"/><Relationship Id="rId16" Type="http://schemas.microsoft.com/office/2007/relationships/hdphoto" Target="../media/hdphoto16.wdp"/><Relationship Id="rId20" Type="http://schemas.microsoft.com/office/2007/relationships/hdphoto" Target="../media/hdphoto20.wdp"/><Relationship Id="rId1" Type="http://schemas.openxmlformats.org/officeDocument/2006/relationships/image" Target="../media/image20.png"/><Relationship Id="rId6" Type="http://schemas.openxmlformats.org/officeDocument/2006/relationships/hyperlink" Target="#Produ&#231;&#227;o!A1"/><Relationship Id="rId11" Type="http://schemas.openxmlformats.org/officeDocument/2006/relationships/image" Target="../media/image23.png"/><Relationship Id="rId5" Type="http://schemas.microsoft.com/office/2007/relationships/hdphoto" Target="../media/hdphoto1.wdp"/><Relationship Id="rId15" Type="http://schemas.openxmlformats.org/officeDocument/2006/relationships/image" Target="../media/image31.png"/><Relationship Id="rId23" Type="http://schemas.microsoft.com/office/2007/relationships/hdphoto" Target="../media/hdphoto10.wdp"/><Relationship Id="rId10" Type="http://schemas.microsoft.com/office/2007/relationships/hdphoto" Target="../media/hdphoto13.wdp"/><Relationship Id="rId19" Type="http://schemas.openxmlformats.org/officeDocument/2006/relationships/image" Target="../media/image29.png"/><Relationship Id="rId4" Type="http://schemas.openxmlformats.org/officeDocument/2006/relationships/image" Target="../media/image3.png"/><Relationship Id="rId9" Type="http://schemas.openxmlformats.org/officeDocument/2006/relationships/image" Target="../media/image22.png"/><Relationship Id="rId14" Type="http://schemas.microsoft.com/office/2007/relationships/hdphoto" Target="../media/hdphoto21.wdp"/><Relationship Id="rId22" Type="http://schemas.openxmlformats.org/officeDocument/2006/relationships/image" Target="../media/image33.png"/></Relationships>
</file>

<file path=xl/drawings/_rels/drawing32.xml.rels><?xml version="1.0" encoding="UTF-8" standalone="yes"?>
<Relationships xmlns="http://schemas.openxmlformats.org/package/2006/relationships"><Relationship Id="rId8" Type="http://schemas.microsoft.com/office/2007/relationships/hdphoto" Target="../media/hdphoto11.wdp"/><Relationship Id="rId13" Type="http://schemas.openxmlformats.org/officeDocument/2006/relationships/image" Target="../media/image32.png"/><Relationship Id="rId18" Type="http://schemas.microsoft.com/office/2007/relationships/hdphoto" Target="../media/hdphoto17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1.png"/><Relationship Id="rId12" Type="http://schemas.microsoft.com/office/2007/relationships/hdphoto" Target="../media/hdphoto14.wdp"/><Relationship Id="rId17" Type="http://schemas.openxmlformats.org/officeDocument/2006/relationships/image" Target="../media/image26.png"/><Relationship Id="rId2" Type="http://schemas.microsoft.com/office/2007/relationships/hdphoto" Target="../media/hdphoto12.wdp"/><Relationship Id="rId16" Type="http://schemas.microsoft.com/office/2007/relationships/hdphoto" Target="../media/hdphoto16.wdp"/><Relationship Id="rId20" Type="http://schemas.microsoft.com/office/2007/relationships/hdphoto" Target="../media/hdphoto20.wdp"/><Relationship Id="rId1" Type="http://schemas.openxmlformats.org/officeDocument/2006/relationships/image" Target="../media/image20.png"/><Relationship Id="rId6" Type="http://schemas.openxmlformats.org/officeDocument/2006/relationships/hyperlink" Target="#Produ&#231;&#227;o!A1"/><Relationship Id="rId11" Type="http://schemas.openxmlformats.org/officeDocument/2006/relationships/image" Target="../media/image23.png"/><Relationship Id="rId5" Type="http://schemas.microsoft.com/office/2007/relationships/hdphoto" Target="../media/hdphoto1.wdp"/><Relationship Id="rId15" Type="http://schemas.openxmlformats.org/officeDocument/2006/relationships/image" Target="../media/image31.png"/><Relationship Id="rId23" Type="http://schemas.microsoft.com/office/2007/relationships/hdphoto" Target="../media/hdphoto10.wdp"/><Relationship Id="rId10" Type="http://schemas.microsoft.com/office/2007/relationships/hdphoto" Target="../media/hdphoto13.wdp"/><Relationship Id="rId19" Type="http://schemas.openxmlformats.org/officeDocument/2006/relationships/image" Target="../media/image29.png"/><Relationship Id="rId4" Type="http://schemas.openxmlformats.org/officeDocument/2006/relationships/image" Target="../media/image3.png"/><Relationship Id="rId9" Type="http://schemas.openxmlformats.org/officeDocument/2006/relationships/image" Target="../media/image22.png"/><Relationship Id="rId14" Type="http://schemas.microsoft.com/office/2007/relationships/hdphoto" Target="../media/hdphoto21.wdp"/><Relationship Id="rId22" Type="http://schemas.openxmlformats.org/officeDocument/2006/relationships/image" Target="../media/image33.png"/></Relationships>
</file>

<file path=xl/drawings/_rels/drawing33.xml.rels><?xml version="1.0" encoding="UTF-8" standalone="yes"?>
<Relationships xmlns="http://schemas.openxmlformats.org/package/2006/relationships"><Relationship Id="rId8" Type="http://schemas.microsoft.com/office/2007/relationships/hdphoto" Target="../media/hdphoto11.wdp"/><Relationship Id="rId13" Type="http://schemas.openxmlformats.org/officeDocument/2006/relationships/image" Target="../media/image32.png"/><Relationship Id="rId18" Type="http://schemas.microsoft.com/office/2007/relationships/hdphoto" Target="../media/hdphoto17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1.png"/><Relationship Id="rId12" Type="http://schemas.microsoft.com/office/2007/relationships/hdphoto" Target="../media/hdphoto14.wdp"/><Relationship Id="rId17" Type="http://schemas.openxmlformats.org/officeDocument/2006/relationships/image" Target="../media/image26.png"/><Relationship Id="rId2" Type="http://schemas.microsoft.com/office/2007/relationships/hdphoto" Target="../media/hdphoto12.wdp"/><Relationship Id="rId16" Type="http://schemas.microsoft.com/office/2007/relationships/hdphoto" Target="../media/hdphoto16.wdp"/><Relationship Id="rId20" Type="http://schemas.microsoft.com/office/2007/relationships/hdphoto" Target="../media/hdphoto20.wdp"/><Relationship Id="rId1" Type="http://schemas.openxmlformats.org/officeDocument/2006/relationships/image" Target="../media/image20.png"/><Relationship Id="rId6" Type="http://schemas.openxmlformats.org/officeDocument/2006/relationships/hyperlink" Target="#Produ&#231;&#227;o!A1"/><Relationship Id="rId11" Type="http://schemas.openxmlformats.org/officeDocument/2006/relationships/image" Target="../media/image23.png"/><Relationship Id="rId5" Type="http://schemas.microsoft.com/office/2007/relationships/hdphoto" Target="../media/hdphoto1.wdp"/><Relationship Id="rId15" Type="http://schemas.openxmlformats.org/officeDocument/2006/relationships/image" Target="../media/image31.png"/><Relationship Id="rId23" Type="http://schemas.microsoft.com/office/2007/relationships/hdphoto" Target="../media/hdphoto10.wdp"/><Relationship Id="rId10" Type="http://schemas.microsoft.com/office/2007/relationships/hdphoto" Target="../media/hdphoto13.wdp"/><Relationship Id="rId19" Type="http://schemas.openxmlformats.org/officeDocument/2006/relationships/image" Target="../media/image29.png"/><Relationship Id="rId4" Type="http://schemas.openxmlformats.org/officeDocument/2006/relationships/image" Target="../media/image3.png"/><Relationship Id="rId9" Type="http://schemas.openxmlformats.org/officeDocument/2006/relationships/image" Target="../media/image22.png"/><Relationship Id="rId14" Type="http://schemas.microsoft.com/office/2007/relationships/hdphoto" Target="../media/hdphoto21.wdp"/><Relationship Id="rId22" Type="http://schemas.openxmlformats.org/officeDocument/2006/relationships/image" Target="../media/image3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27</xdr:col>
      <xdr:colOff>266700</xdr:colOff>
      <xdr:row>0</xdr:row>
      <xdr:rowOff>95250</xdr:rowOff>
    </xdr:from>
    <xdr:to>
      <xdr:col>31</xdr:col>
      <xdr:colOff>514350</xdr:colOff>
      <xdr:row>0</xdr:row>
      <xdr:rowOff>762000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AD69FCF3-1DA2-47EC-9F09-304C9D0E1885}"/>
            </a:ext>
            <a:ext uri="{147F2762-F138-4A5C-976F-8EAC2B608ADB}">
              <a16:predDERef xmlns:a16="http://schemas.microsoft.com/office/drawing/2014/main" pred="{1A271014-B2D8-45B4-B4B0-3B0A451723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1896" b="31628"/>
        <a:stretch/>
      </xdr:blipFill>
      <xdr:spPr>
        <a:xfrm>
          <a:off x="16725900" y="95250"/>
          <a:ext cx="2686050" cy="666750"/>
        </a:xfrm>
        <a:prstGeom prst="rect">
          <a:avLst/>
        </a:prstGeom>
      </xdr:spPr>
    </xdr:pic>
    <xdr:clientData/>
  </xdr:twoCellAnchor>
  <xdr:twoCellAnchor>
    <xdr:from>
      <xdr:col>14</xdr:col>
      <xdr:colOff>243840</xdr:colOff>
      <xdr:row>0</xdr:row>
      <xdr:rowOff>691749</xdr:rowOff>
    </xdr:from>
    <xdr:to>
      <xdr:col>45</xdr:col>
      <xdr:colOff>182297</xdr:colOff>
      <xdr:row>76</xdr:row>
      <xdr:rowOff>2543080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4DC50336-6207-48CC-B652-28021BA5AAA2}"/>
            </a:ext>
          </a:extLst>
        </xdr:cNvPr>
        <xdr:cNvGrpSpPr/>
      </xdr:nvGrpSpPr>
      <xdr:grpSpPr>
        <a:xfrm>
          <a:off x="8778240" y="691749"/>
          <a:ext cx="18836057" cy="17319931"/>
          <a:chOff x="8778240" y="691749"/>
          <a:chExt cx="18836057" cy="17319931"/>
        </a:xfrm>
      </xdr:grpSpPr>
      <xdr:pic>
        <xdr:nvPicPr>
          <xdr:cNvPr id="9" name="Imagem 8">
            <a:extLst>
              <a:ext uri="{FF2B5EF4-FFF2-40B4-BE49-F238E27FC236}">
                <a16:creationId xmlns:a16="http://schemas.microsoft.com/office/drawing/2014/main" id="{1A271014-B2D8-45B4-B4B0-3B0A45172369}"/>
              </a:ext>
              <a:ext uri="{147F2762-F138-4A5C-976F-8EAC2B608ADB}">
                <a16:predDERef xmlns:a16="http://schemas.microsoft.com/office/drawing/2014/main" pred="{45AAF0B4-637A-42E1-B7D2-A6E46851A7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330773" y="691749"/>
            <a:ext cx="11730990" cy="12432269"/>
          </a:xfrm>
          <a:prstGeom prst="rect">
            <a:avLst/>
          </a:prstGeom>
        </xdr:spPr>
      </xdr:pic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511367E3-8F60-4615-B9E2-D76D9B6A4A1B}"/>
              </a:ext>
            </a:extLst>
          </xdr:cNvPr>
          <xdr:cNvGrpSpPr/>
        </xdr:nvGrpSpPr>
        <xdr:grpSpPr>
          <a:xfrm>
            <a:off x="8778240" y="12809825"/>
            <a:ext cx="18836057" cy="5201855"/>
            <a:chOff x="9753600" y="12480070"/>
            <a:chExt cx="18836057" cy="5150610"/>
          </a:xfrm>
        </xdr:grpSpPr>
        <xdr:sp macro="" textlink="">
          <xdr:nvSpPr>
            <xdr:cNvPr id="2" name="Retângulo 1">
              <a:extLst>
                <a:ext uri="{FF2B5EF4-FFF2-40B4-BE49-F238E27FC236}">
                  <a16:creationId xmlns:a16="http://schemas.microsoft.com/office/drawing/2014/main" id="{A27A1621-AD33-48E5-89E5-B6102C9218FB}"/>
                </a:ext>
                <a:ext uri="{147F2762-F138-4A5C-976F-8EAC2B608ADB}">
                  <a16:predDERef xmlns:a16="http://schemas.microsoft.com/office/drawing/2014/main" pred="{AD69FCF3-1DA2-47EC-9F09-304C9D0E1885}"/>
                </a:ext>
              </a:extLst>
            </xdr:cNvPr>
            <xdr:cNvSpPr/>
          </xdr:nvSpPr>
          <xdr:spPr>
            <a:xfrm>
              <a:off x="9753600" y="12480070"/>
              <a:ext cx="4815257" cy="1206718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en-US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sp macro="" textlink="">
          <xdr:nvSpPr>
            <xdr:cNvPr id="6" name="Retângulo 5">
              <a:extLst>
                <a:ext uri="{FF2B5EF4-FFF2-40B4-BE49-F238E27FC236}">
                  <a16:creationId xmlns:a16="http://schemas.microsoft.com/office/drawing/2014/main" id="{3363B077-DCDF-4B4E-A3A8-52F50972E801}"/>
                </a:ext>
              </a:extLst>
            </xdr:cNvPr>
            <xdr:cNvSpPr/>
          </xdr:nvSpPr>
          <xdr:spPr>
            <a:xfrm>
              <a:off x="16764000" y="12483880"/>
              <a:ext cx="4815257" cy="1199098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LOGISTICA</a:t>
              </a:r>
            </a:p>
          </xdr:txBody>
        </xdr:sp>
        <xdr:sp macro="" textlink="">
          <xdr:nvSpPr>
            <xdr:cNvPr id="7" name="Retângulo 6">
              <a:extLst>
                <a:ext uri="{FF2B5EF4-FFF2-40B4-BE49-F238E27FC236}">
                  <a16:creationId xmlns:a16="http://schemas.microsoft.com/office/drawing/2014/main" id="{F85E8954-78EF-4B2D-BBED-94A436E7D4D0}"/>
                </a:ext>
              </a:extLst>
            </xdr:cNvPr>
            <xdr:cNvSpPr/>
          </xdr:nvSpPr>
          <xdr:spPr>
            <a:xfrm>
              <a:off x="9753600" y="14384018"/>
              <a:ext cx="4815257" cy="1228094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sp macro="" textlink="">
          <xdr:nvSpPr>
            <xdr:cNvPr id="8" name="Retângulo 7">
              <a:extLst>
                <a:ext uri="{FF2B5EF4-FFF2-40B4-BE49-F238E27FC236}">
                  <a16:creationId xmlns:a16="http://schemas.microsoft.com/office/drawing/2014/main" id="{F6759180-4857-4EE9-8789-D8F31EA8B3E6}"/>
                </a:ext>
              </a:extLst>
            </xdr:cNvPr>
            <xdr:cNvSpPr/>
          </xdr:nvSpPr>
          <xdr:spPr>
            <a:xfrm>
              <a:off x="16764000" y="14387828"/>
              <a:ext cx="4815257" cy="1220474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sp macro="" textlink="">
          <xdr:nvSpPr>
            <xdr:cNvPr id="10" name="Retângulo 9">
              <a:extLst>
                <a:ext uri="{FF2B5EF4-FFF2-40B4-BE49-F238E27FC236}">
                  <a16:creationId xmlns:a16="http://schemas.microsoft.com/office/drawing/2014/main" id="{9CADF97B-1A34-49F5-99DD-83EA451C57DC}"/>
                </a:ext>
              </a:extLst>
            </xdr:cNvPr>
            <xdr:cNvSpPr/>
          </xdr:nvSpPr>
          <xdr:spPr>
            <a:xfrm>
              <a:off x="23774400" y="12488468"/>
              <a:ext cx="4815257" cy="1189923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sp macro="" textlink="">
          <xdr:nvSpPr>
            <xdr:cNvPr id="12" name="Retângulo 11">
              <a:extLst>
                <a:ext uri="{FF2B5EF4-FFF2-40B4-BE49-F238E27FC236}">
                  <a16:creationId xmlns:a16="http://schemas.microsoft.com/office/drawing/2014/main" id="{39E58D9A-D3C6-44CA-863A-BE15222A48E2}"/>
                </a:ext>
              </a:extLst>
            </xdr:cNvPr>
            <xdr:cNvSpPr/>
          </xdr:nvSpPr>
          <xdr:spPr>
            <a:xfrm>
              <a:off x="23774400" y="14387828"/>
              <a:ext cx="4815257" cy="1220474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sp macro="" textlink="">
          <xdr:nvSpPr>
            <xdr:cNvPr id="13" name="Retângulo 12">
              <a:extLst>
                <a:ext uri="{FF2B5EF4-FFF2-40B4-BE49-F238E27FC236}">
                  <a16:creationId xmlns:a16="http://schemas.microsoft.com/office/drawing/2014/main" id="{975C4812-9CB2-4690-BF00-90C779BCD6B5}"/>
                </a:ext>
              </a:extLst>
            </xdr:cNvPr>
            <xdr:cNvSpPr/>
          </xdr:nvSpPr>
          <xdr:spPr>
            <a:xfrm>
              <a:off x="16764000" y="16411762"/>
              <a:ext cx="4815257" cy="1218918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</xdr:grpSp>
    </xdr:grpSp>
    <xdr:clientData/>
  </xdr:twoCellAnchor>
  <xdr:twoCellAnchor>
    <xdr:from>
      <xdr:col>0</xdr:col>
      <xdr:colOff>55420</xdr:colOff>
      <xdr:row>1</xdr:row>
      <xdr:rowOff>55420</xdr:rowOff>
    </xdr:from>
    <xdr:to>
      <xdr:col>0</xdr:col>
      <xdr:colOff>512620</xdr:colOff>
      <xdr:row>1</xdr:row>
      <xdr:rowOff>512620</xdr:rowOff>
    </xdr:to>
    <xdr:sp macro="[0]!BotaoComLogin" textlink="">
      <xdr:nvSpPr>
        <xdr:cNvPr id="15" name="Círculo: Vazio 14">
          <a:extLst>
            <a:ext uri="{FF2B5EF4-FFF2-40B4-BE49-F238E27FC236}">
              <a16:creationId xmlns:a16="http://schemas.microsoft.com/office/drawing/2014/main" id="{712F380D-EDC3-4A67-AE6E-466806333055}"/>
            </a:ext>
          </a:extLst>
        </xdr:cNvPr>
        <xdr:cNvSpPr/>
      </xdr:nvSpPr>
      <xdr:spPr>
        <a:xfrm>
          <a:off x="55420" y="831275"/>
          <a:ext cx="457200" cy="4572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30B25C55-E74E-48A4-82A6-4D0589666D12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1990723" y="0"/>
          <a:ext cx="1021618" cy="781050"/>
          <a:chOff x="1993654" y="0"/>
          <a:chExt cx="1022595" cy="781538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9E8C459F-EE69-4FF8-B46C-B1A0D0B395DC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9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9A9AAB4-713C-4DC9-B950-AC7C81E671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BB1AE6ED-000B-4416-92CD-EFB3AEC63812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688043</xdr:colOff>
      <xdr:row>0</xdr:row>
      <xdr:rowOff>0</xdr:rowOff>
    </xdr:from>
    <xdr:to>
      <xdr:col>4</xdr:col>
      <xdr:colOff>1801396</xdr:colOff>
      <xdr:row>1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57696C48-F3E1-4819-8DDF-0360B76B2610}"/>
            </a:ext>
          </a:extLst>
        </xdr:cNvPr>
        <xdr:cNvGrpSpPr/>
      </xdr:nvGrpSpPr>
      <xdr:grpSpPr>
        <a:xfrm>
          <a:off x="3126443" y="0"/>
          <a:ext cx="1113353" cy="781050"/>
          <a:chOff x="3131328" y="0"/>
          <a:chExt cx="1118289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B0C1432B-9E4F-4268-97FD-B0C8B98E57D1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D56A50C6-E141-428C-8AC3-A62572C2A4BD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9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17FC7D0-0E5A-4807-9645-87EB83D742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80365" y="84878"/>
            <a:ext cx="418213" cy="416396"/>
          </a:xfrm>
          <a:prstGeom prst="rect">
            <a:avLst/>
          </a:prstGeom>
          <a:solidFill>
            <a:schemeClr val="bg1"/>
          </a:solidFill>
        </xdr:spPr>
      </xdr:pic>
    </xdr:grpSp>
    <xdr:clientData/>
  </xdr:twoCellAnchor>
  <xdr:twoCellAnchor editAs="absolute">
    <xdr:from>
      <xdr:col>5</xdr:col>
      <xdr:colOff>19775</xdr:colOff>
      <xdr:row>0</xdr:row>
      <xdr:rowOff>0</xdr:rowOff>
    </xdr:from>
    <xdr:to>
      <xdr:col>6</xdr:col>
      <xdr:colOff>289004</xdr:colOff>
      <xdr:row>1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3C2C7D12-A54B-48EC-8505-9BF8BB2276B0}"/>
            </a:ext>
          </a:extLst>
        </xdr:cNvPr>
        <xdr:cNvGrpSpPr/>
      </xdr:nvGrpSpPr>
      <xdr:grpSpPr>
        <a:xfrm>
          <a:off x="4439375" y="0"/>
          <a:ext cx="1107429" cy="781050"/>
          <a:chOff x="4450172" y="0"/>
          <a:chExt cx="1118289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3D04992B-4837-4B9B-A40E-B18340600125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54D02613-BEE2-489D-ABD2-0915D3917C44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3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EBB1EE4-DF7D-40DE-81BF-A3627801F0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497814</xdr:colOff>
      <xdr:row>0</xdr:row>
      <xdr:rowOff>0</xdr:rowOff>
    </xdr:from>
    <xdr:to>
      <xdr:col>7</xdr:col>
      <xdr:colOff>533494</xdr:colOff>
      <xdr:row>1</xdr:row>
      <xdr:rowOff>0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42FAB1E2-40D5-422C-BF3D-254710094740}"/>
            </a:ext>
          </a:extLst>
        </xdr:cNvPr>
        <xdr:cNvGrpSpPr/>
      </xdr:nvGrpSpPr>
      <xdr:grpSpPr>
        <a:xfrm>
          <a:off x="5755614" y="0"/>
          <a:ext cx="1102480" cy="781050"/>
          <a:chOff x="5781229" y="0"/>
          <a:chExt cx="1118289" cy="781538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37989574-7B25-40E2-A7B9-87FCFDD51907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CaixaDeTexto 15">
            <a:extLst>
              <a:ext uri="{FF2B5EF4-FFF2-40B4-BE49-F238E27FC236}">
                <a16:creationId xmlns:a16="http://schemas.microsoft.com/office/drawing/2014/main" id="{08EFB523-F328-49FA-9804-053D87900CB4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7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48F8317-CF0A-450E-B952-29E461A402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738649</xdr:colOff>
      <xdr:row>0</xdr:row>
      <xdr:rowOff>0</xdr:rowOff>
    </xdr:from>
    <xdr:to>
      <xdr:col>9</xdr:col>
      <xdr:colOff>15991</xdr:colOff>
      <xdr:row>1</xdr:row>
      <xdr:rowOff>0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D5B9E2E4-007D-488D-842A-D9233B83D527}"/>
            </a:ext>
          </a:extLst>
        </xdr:cNvPr>
        <xdr:cNvGrpSpPr/>
      </xdr:nvGrpSpPr>
      <xdr:grpSpPr>
        <a:xfrm>
          <a:off x="7063249" y="0"/>
          <a:ext cx="1125192" cy="781050"/>
          <a:chOff x="7112293" y="0"/>
          <a:chExt cx="1118289" cy="781538"/>
        </a:xfrm>
      </xdr:grpSpPr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AE44363D-7A13-4271-9017-B1BFEE8C01F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E651B490-158D-409B-BCF6-243F2DA605B4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1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E4359007-6860-4C65-9563-985E6D65E6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228764</xdr:colOff>
      <xdr:row>0</xdr:row>
      <xdr:rowOff>0</xdr:rowOff>
    </xdr:from>
    <xdr:to>
      <xdr:col>10</xdr:col>
      <xdr:colOff>4177</xdr:colOff>
      <xdr:row>1</xdr:row>
      <xdr:rowOff>0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9D137850-2684-4325-B684-086AD5562A7C}"/>
            </a:ext>
          </a:extLst>
        </xdr:cNvPr>
        <xdr:cNvGrpSpPr/>
      </xdr:nvGrpSpPr>
      <xdr:grpSpPr>
        <a:xfrm>
          <a:off x="8401214" y="0"/>
          <a:ext cx="1108913" cy="781050"/>
          <a:chOff x="8443355" y="0"/>
          <a:chExt cx="1118289" cy="781538"/>
        </a:xfrm>
      </xdr:grpSpPr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9EA586B5-BD38-4068-9E4D-DC3B16DBA516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4" name="CaixaDeTexto 23">
            <a:extLst>
              <a:ext uri="{FF2B5EF4-FFF2-40B4-BE49-F238E27FC236}">
                <a16:creationId xmlns:a16="http://schemas.microsoft.com/office/drawing/2014/main" id="{D9C02994-4538-445A-84DB-8B92522C6BF7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5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E9D505FE-6937-43F3-86D7-9E1D2B967F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212017</xdr:colOff>
      <xdr:row>0</xdr:row>
      <xdr:rowOff>0</xdr:rowOff>
    </xdr:from>
    <xdr:to>
      <xdr:col>11</xdr:col>
      <xdr:colOff>399095</xdr:colOff>
      <xdr:row>1</xdr:row>
      <xdr:rowOff>0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590E252F-26EF-4EE1-B726-AF4FBD886D72}"/>
            </a:ext>
          </a:extLst>
        </xdr:cNvPr>
        <xdr:cNvGrpSpPr/>
      </xdr:nvGrpSpPr>
      <xdr:grpSpPr>
        <a:xfrm>
          <a:off x="9717967" y="0"/>
          <a:ext cx="1101478" cy="781050"/>
          <a:chOff x="9774419" y="0"/>
          <a:chExt cx="1118289" cy="781538"/>
        </a:xfrm>
      </xdr:grpSpPr>
      <xdr:sp macro="" textlink="">
        <xdr:nvSpPr>
          <xdr:cNvPr id="27" name="Retângulo 26">
            <a:extLst>
              <a:ext uri="{FF2B5EF4-FFF2-40B4-BE49-F238E27FC236}">
                <a16:creationId xmlns:a16="http://schemas.microsoft.com/office/drawing/2014/main" id="{1E1A96CA-5AE8-48CD-8806-05D97FBBC24E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8" name="CaixaDeTexto 27">
            <a:extLst>
              <a:ext uri="{FF2B5EF4-FFF2-40B4-BE49-F238E27FC236}">
                <a16:creationId xmlns:a16="http://schemas.microsoft.com/office/drawing/2014/main" id="{FD744C1A-E4F9-4D75-B341-D989E65086FB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9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6511815E-53F8-4CCD-AEAC-375C863E69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610883</xdr:colOff>
      <xdr:row>0</xdr:row>
      <xdr:rowOff>0</xdr:rowOff>
    </xdr:from>
    <xdr:to>
      <xdr:col>13</xdr:col>
      <xdr:colOff>226970</xdr:colOff>
      <xdr:row>1</xdr:row>
      <xdr:rowOff>0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CA432A8F-D678-45A0-B019-17112C08B256}"/>
            </a:ext>
          </a:extLst>
        </xdr:cNvPr>
        <xdr:cNvGrpSpPr/>
      </xdr:nvGrpSpPr>
      <xdr:grpSpPr>
        <a:xfrm>
          <a:off x="11031233" y="0"/>
          <a:ext cx="1101987" cy="781050"/>
          <a:chOff x="11105473" y="0"/>
          <a:chExt cx="1118289" cy="781538"/>
        </a:xfrm>
      </xdr:grpSpPr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3BB8FEDE-FDF5-48F6-B770-790D8C85F8A5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" name="CaixaDeTexto 31">
            <a:extLst>
              <a:ext uri="{FF2B5EF4-FFF2-40B4-BE49-F238E27FC236}">
                <a16:creationId xmlns:a16="http://schemas.microsoft.com/office/drawing/2014/main" id="{671B47B2-D085-4696-A3CF-0206ACCB9F88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3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F30EA46-A335-42BD-BAB2-4ECA385D10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68384</xdr:colOff>
      <xdr:row>1</xdr:row>
      <xdr:rowOff>498229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307FE523-6BE3-45DF-9530-154B9A28BABB}"/>
            </a:ext>
          </a:extLst>
        </xdr:cNvPr>
        <xdr:cNvSpPr/>
      </xdr:nvSpPr>
      <xdr:spPr>
        <a:xfrm>
          <a:off x="609600" y="845623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</a:p>
      </xdr:txBody>
    </xdr:sp>
    <xdr:clientData/>
  </xdr:twoCellAnchor>
  <xdr:twoCellAnchor editAs="absolute">
    <xdr:from>
      <xdr:col>7</xdr:col>
      <xdr:colOff>350322</xdr:colOff>
      <xdr:row>1</xdr:row>
      <xdr:rowOff>68383</xdr:rowOff>
    </xdr:from>
    <xdr:to>
      <xdr:col>9</xdr:col>
      <xdr:colOff>400893</xdr:colOff>
      <xdr:row>1</xdr:row>
      <xdr:rowOff>498229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680D0889-A939-4570-A855-D11118A4B60A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6690162" y="845623"/>
          <a:ext cx="1902231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4</xdr:col>
      <xdr:colOff>1219200</xdr:colOff>
      <xdr:row>1</xdr:row>
      <xdr:rowOff>68383</xdr:rowOff>
    </xdr:from>
    <xdr:to>
      <xdr:col>6</xdr:col>
      <xdr:colOff>284119</xdr:colOff>
      <xdr:row>1</xdr:row>
      <xdr:rowOff>498229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CC48E4A9-9798-477D-B0E1-C63F365034B4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3657600" y="845623"/>
          <a:ext cx="1891939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11303</xdr:rowOff>
    </xdr:from>
    <xdr:to>
      <xdr:col>3</xdr:col>
      <xdr:colOff>0</xdr:colOff>
      <xdr:row>0</xdr:row>
      <xdr:rowOff>773302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C05CA310-D6A8-490B-9653-6B5CC81DD787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/>
        <a:srcRect l="9252" t="39637" r="14079" b="25703"/>
        <a:stretch/>
      </xdr:blipFill>
      <xdr:spPr>
        <a:xfrm>
          <a:off x="0" y="11303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3</xdr:col>
      <xdr:colOff>171450</xdr:colOff>
      <xdr:row>4</xdr:row>
      <xdr:rowOff>114301</xdr:rowOff>
    </xdr:from>
    <xdr:to>
      <xdr:col>12</xdr:col>
      <xdr:colOff>128174</xdr:colOff>
      <xdr:row>37</xdr:row>
      <xdr:rowOff>38100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412D5A57-627C-4741-9A27-9311E16397D8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>
          <a:alphaModFix amt="23000"/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2000250" y="1866901"/>
          <a:ext cx="9386474" cy="8477249"/>
        </a:xfrm>
        <a:prstGeom prst="rect">
          <a:avLst/>
        </a:prstGeom>
      </xdr:spPr>
    </xdr:pic>
    <xdr:clientData/>
  </xdr:twoCellAnchor>
  <xdr:twoCellAnchor editAs="absolute">
    <xdr:from>
      <xdr:col>15</xdr:col>
      <xdr:colOff>400050</xdr:colOff>
      <xdr:row>1</xdr:row>
      <xdr:rowOff>57150</xdr:rowOff>
    </xdr:from>
    <xdr:to>
      <xdr:col>16</xdr:col>
      <xdr:colOff>247650</xdr:colOff>
      <xdr:row>1</xdr:row>
      <xdr:rowOff>514350</xdr:rowOff>
    </xdr:to>
    <xdr:sp macro="[0]!BotaoComLogin" textlink="">
      <xdr:nvSpPr>
        <xdr:cNvPr id="40" name="Círculo: Vazio 39">
          <a:extLst>
            <a:ext uri="{FF2B5EF4-FFF2-40B4-BE49-F238E27FC236}">
              <a16:creationId xmlns:a16="http://schemas.microsoft.com/office/drawing/2014/main" id="{BEE4D8CC-DE1C-4AB1-9932-0BC116B83D3D}"/>
            </a:ext>
          </a:extLst>
        </xdr:cNvPr>
        <xdr:cNvSpPr/>
      </xdr:nvSpPr>
      <xdr:spPr>
        <a:xfrm>
          <a:off x="14058900" y="838200"/>
          <a:ext cx="457200" cy="4572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285750</xdr:colOff>
      <xdr:row>3</xdr:row>
      <xdr:rowOff>182682</xdr:rowOff>
    </xdr:from>
    <xdr:to>
      <xdr:col>4</xdr:col>
      <xdr:colOff>1245042</xdr:colOff>
      <xdr:row>5</xdr:row>
      <xdr:rowOff>171449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DD2119BC-029B-45F6-ACBF-276B04306587}"/>
            </a:ext>
          </a:extLst>
        </xdr:cNvPr>
        <xdr:cNvSpPr/>
      </xdr:nvSpPr>
      <xdr:spPr>
        <a:xfrm>
          <a:off x="285750" y="1344732"/>
          <a:ext cx="3397692" cy="76981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640200</xdr:colOff>
      <xdr:row>3</xdr:row>
      <xdr:rowOff>201150</xdr:rowOff>
    </xdr:from>
    <xdr:to>
      <xdr:col>16</xdr:col>
      <xdr:colOff>190500</xdr:colOff>
      <xdr:row>6</xdr:row>
      <xdr:rowOff>0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3EB06236-FA36-42B1-8B0C-F2FD642A175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632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6</xdr:col>
      <xdr:colOff>590550</xdr:colOff>
      <xdr:row>3</xdr:row>
      <xdr:rowOff>201150</xdr:rowOff>
    </xdr:from>
    <xdr:to>
      <xdr:col>9</xdr:col>
      <xdr:colOff>1074300</xdr:colOff>
      <xdr:row>6</xdr:row>
      <xdr:rowOff>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873DC564-DAE4-4475-B1D9-F21F5DC9DCDD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632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18</xdr:col>
      <xdr:colOff>476983</xdr:colOff>
      <xdr:row>35</xdr:row>
      <xdr:rowOff>293668</xdr:rowOff>
    </xdr:from>
    <xdr:to>
      <xdr:col>19</xdr:col>
      <xdr:colOff>723900</xdr:colOff>
      <xdr:row>38</xdr:row>
      <xdr:rowOff>171450</xdr:rowOff>
    </xdr:to>
    <xdr:sp macro="[1]!REQ_MP" textlink="">
      <xdr:nvSpPr>
        <xdr:cNvPr id="46" name="Retângulo: Cantos Arredondados 45">
          <a:extLst>
            <a:ext uri="{FF2B5EF4-FFF2-40B4-BE49-F238E27FC236}">
              <a16:creationId xmlns:a16="http://schemas.microsoft.com/office/drawing/2014/main" id="{4CAC7DE0-2950-4685-853F-0E7DD42F235F}"/>
            </a:ext>
          </a:extLst>
        </xdr:cNvPr>
        <xdr:cNvSpPr/>
      </xdr:nvSpPr>
      <xdr:spPr>
        <a:xfrm>
          <a:off x="18136333" y="13266718"/>
          <a:ext cx="1694717" cy="9636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REQUISIÇÃO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11303</xdr:rowOff>
    </xdr:from>
    <xdr:to>
      <xdr:col>3</xdr:col>
      <xdr:colOff>438150</xdr:colOff>
      <xdr:row>3</xdr:row>
      <xdr:rowOff>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838FC62B-9EB5-0901-C91F-4E877B57F872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52" t="39637" r="14079" b="25703"/>
        <a:stretch/>
      </xdr:blipFill>
      <xdr:spPr>
        <a:xfrm>
          <a:off x="0" y="11303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28572</xdr:colOff>
      <xdr:row>0</xdr:row>
      <xdr:rowOff>0</xdr:rowOff>
    </xdr:from>
    <xdr:to>
      <xdr:col>4</xdr:col>
      <xdr:colOff>1488916</xdr:colOff>
      <xdr:row>3</xdr:row>
      <xdr:rowOff>0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00000000-0008-0000-0400-000025000000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66972" y="0"/>
          <a:ext cx="1460344" cy="1162050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708568</xdr:colOff>
      <xdr:row>0</xdr:row>
      <xdr:rowOff>0</xdr:rowOff>
    </xdr:from>
    <xdr:to>
      <xdr:col>8</xdr:col>
      <xdr:colOff>90242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GrpSpPr/>
      </xdr:nvGrpSpPr>
      <xdr:grpSpPr>
        <a:xfrm>
          <a:off x="5966368" y="0"/>
          <a:ext cx="1591474" cy="1162050"/>
          <a:chOff x="3131328" y="0"/>
          <a:chExt cx="1118289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2" name="Imagem 1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80365" y="84878"/>
            <a:ext cx="418213" cy="416396"/>
          </a:xfrm>
          <a:prstGeom prst="rect">
            <a:avLst/>
          </a:prstGeom>
          <a:solidFill>
            <a:schemeClr val="bg1"/>
          </a:solidFill>
        </xdr:spPr>
      </xdr:pic>
    </xdr:grpSp>
    <xdr:clientData/>
  </xdr:twoCellAnchor>
  <xdr:twoCellAnchor editAs="absolute">
    <xdr:from>
      <xdr:col>10</xdr:col>
      <xdr:colOff>90944</xdr:colOff>
      <xdr:row>0</xdr:row>
      <xdr:rowOff>0</xdr:rowOff>
    </xdr:from>
    <xdr:to>
      <xdr:col>11</xdr:col>
      <xdr:colOff>775110</xdr:colOff>
      <xdr:row>3</xdr:row>
      <xdr:rowOff>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pSpPr/>
      </xdr:nvGrpSpPr>
      <xdr:grpSpPr>
        <a:xfrm>
          <a:off x="9596894" y="0"/>
          <a:ext cx="1598566" cy="1162050"/>
          <a:chOff x="4450172" y="0"/>
          <a:chExt cx="1118289" cy="781538"/>
        </a:xfrm>
      </xdr:grpSpPr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6" name="Imagem 1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185262</xdr:colOff>
      <xdr:row>0</xdr:row>
      <xdr:rowOff>0</xdr:rowOff>
    </xdr:from>
    <xdr:to>
      <xdr:col>16</xdr:col>
      <xdr:colOff>557553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pSpPr/>
      </xdr:nvGrpSpPr>
      <xdr:grpSpPr>
        <a:xfrm>
          <a:off x="13234512" y="0"/>
          <a:ext cx="1591491" cy="1162050"/>
          <a:chOff x="5781229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0" name="Imagem 1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17</xdr:col>
      <xdr:colOff>272505</xdr:colOff>
      <xdr:row>0</xdr:row>
      <xdr:rowOff>0</xdr:rowOff>
    </xdr:from>
    <xdr:to>
      <xdr:col>18</xdr:col>
      <xdr:colOff>817993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pSpPr/>
      </xdr:nvGrpSpPr>
      <xdr:grpSpPr>
        <a:xfrm>
          <a:off x="16865055" y="0"/>
          <a:ext cx="1612288" cy="1162050"/>
          <a:chOff x="7112293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4" name="Imagem 1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20</xdr:col>
      <xdr:colOff>75745</xdr:colOff>
      <xdr:row>0</xdr:row>
      <xdr:rowOff>0</xdr:rowOff>
    </xdr:from>
    <xdr:to>
      <xdr:col>21</xdr:col>
      <xdr:colOff>678052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pSpPr/>
      </xdr:nvGrpSpPr>
      <xdr:grpSpPr>
        <a:xfrm>
          <a:off x="20516395" y="0"/>
          <a:ext cx="1592907" cy="1162050"/>
          <a:chOff x="8443355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400-00001A000000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00000000-0008-0000-0400-00001B000000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8" name="Imagem 1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4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278704</xdr:colOff>
      <xdr:row>0</xdr:row>
      <xdr:rowOff>0</xdr:rowOff>
    </xdr:from>
    <xdr:to>
      <xdr:col>26</xdr:col>
      <xdr:colOff>39962</xdr:colOff>
      <xdr:row>3</xdr:row>
      <xdr:rowOff>0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GrpSpPr/>
      </xdr:nvGrpSpPr>
      <xdr:grpSpPr>
        <a:xfrm>
          <a:off x="24148354" y="0"/>
          <a:ext cx="1590058" cy="1162050"/>
          <a:chOff x="9774419" y="0"/>
          <a:chExt cx="1118289" cy="781538"/>
        </a:xfrm>
      </xdr:grpSpPr>
      <xdr:sp macro="" textlink="">
        <xdr:nvSpPr>
          <xdr:cNvPr id="30" name="Retângulo 29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00000000-0008-0000-0400-00001F000000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2" name="Imagem 1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29</xdr:col>
      <xdr:colOff>250214</xdr:colOff>
      <xdr:row>0</xdr:row>
      <xdr:rowOff>0</xdr:rowOff>
    </xdr:from>
    <xdr:to>
      <xdr:col>32</xdr:col>
      <xdr:colOff>19982</xdr:colOff>
      <xdr:row>3</xdr:row>
      <xdr:rowOff>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GrpSpPr/>
      </xdr:nvGrpSpPr>
      <xdr:grpSpPr>
        <a:xfrm>
          <a:off x="27777464" y="0"/>
          <a:ext cx="1598568" cy="1162050"/>
          <a:chOff x="11105473" y="0"/>
          <a:chExt cx="1118289" cy="781538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00000000-0008-0000-0400-000022000000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00000000-0008-0000-0400-00002300000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6" name="Imagem 1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35</xdr:col>
      <xdr:colOff>230232</xdr:colOff>
      <xdr:row>0</xdr:row>
      <xdr:rowOff>0</xdr:rowOff>
    </xdr:from>
    <xdr:to>
      <xdr:col>38</xdr:col>
      <xdr:colOff>0</xdr:colOff>
      <xdr:row>3</xdr:row>
      <xdr:rowOff>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984BF345-5BA1-42CE-B6A1-FF46A8AFDACD}"/>
            </a:ext>
          </a:extLst>
        </xdr:cNvPr>
        <xdr:cNvGrpSpPr/>
      </xdr:nvGrpSpPr>
      <xdr:grpSpPr>
        <a:xfrm>
          <a:off x="31415082" y="0"/>
          <a:ext cx="1598568" cy="116205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5B2F2C7A-3A41-4FD6-8E57-2F20D4C93475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5BE5CBCE-1F2B-4C43-B8BF-50E810590013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9" name="Imagem 48" descr="Ícone do banco de dados (símbolo png) preto">
            <a:extLst>
              <a:ext uri="{FF2B5EF4-FFF2-40B4-BE49-F238E27FC236}">
                <a16:creationId xmlns:a16="http://schemas.microsoft.com/office/drawing/2014/main" id="{F2B3580B-7D1F-46B1-832E-F7B561C22E1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9</xdr:col>
      <xdr:colOff>533400</xdr:colOff>
      <xdr:row>10</xdr:row>
      <xdr:rowOff>0</xdr:rowOff>
    </xdr:from>
    <xdr:to>
      <xdr:col>9</xdr:col>
      <xdr:colOff>990600</xdr:colOff>
      <xdr:row>11</xdr:row>
      <xdr:rowOff>133350</xdr:rowOff>
    </xdr:to>
    <xdr:sp macro="[0]!BotaoComLogin" textlink="">
      <xdr:nvSpPr>
        <xdr:cNvPr id="45" name="Círculo: Vazio 44">
          <a:extLst>
            <a:ext uri="{FF2B5EF4-FFF2-40B4-BE49-F238E27FC236}">
              <a16:creationId xmlns:a16="http://schemas.microsoft.com/office/drawing/2014/main" id="{6E142909-A74A-4D01-B03D-5B89DDB07F93}"/>
            </a:ext>
          </a:extLst>
        </xdr:cNvPr>
        <xdr:cNvSpPr/>
      </xdr:nvSpPr>
      <xdr:spPr>
        <a:xfrm>
          <a:off x="8705850" y="2895600"/>
          <a:ext cx="457200" cy="4572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16</xdr:col>
      <xdr:colOff>1878450</xdr:colOff>
      <xdr:row>3</xdr:row>
      <xdr:rowOff>182100</xdr:rowOff>
    </xdr:from>
    <xdr:to>
      <xdr:col>19</xdr:col>
      <xdr:colOff>438150</xdr:colOff>
      <xdr:row>5</xdr:row>
      <xdr:rowOff>171450</xdr:rowOff>
    </xdr:to>
    <xdr:sp macro="" textlink="">
      <xdr:nvSpPr>
        <xdr:cNvPr id="48" name="Retângulo 47">
          <a:extLst>
            <a:ext uri="{FF2B5EF4-FFF2-40B4-BE49-F238E27FC236}">
              <a16:creationId xmlns:a16="http://schemas.microsoft.com/office/drawing/2014/main" id="{BBE69C41-F214-4756-A858-082FE8EB997D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46900" y="13441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285750</xdr:colOff>
      <xdr:row>3</xdr:row>
      <xdr:rowOff>182682</xdr:rowOff>
    </xdr:from>
    <xdr:to>
      <xdr:col>6</xdr:col>
      <xdr:colOff>25842</xdr:colOff>
      <xdr:row>5</xdr:row>
      <xdr:rowOff>171449</xdr:rowOff>
    </xdr:to>
    <xdr:sp macro="" textlink="">
      <xdr:nvSpPr>
        <xdr:cNvPr id="78" name="Retângulo 77">
          <a:extLst>
            <a:ext uri="{FF2B5EF4-FFF2-40B4-BE49-F238E27FC236}">
              <a16:creationId xmlns:a16="http://schemas.microsoft.com/office/drawing/2014/main" id="{6387E164-EE07-4080-A517-A2AC7830177E}"/>
            </a:ext>
          </a:extLst>
        </xdr:cNvPr>
        <xdr:cNvSpPr/>
      </xdr:nvSpPr>
      <xdr:spPr>
        <a:xfrm>
          <a:off x="285750" y="1344732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1306950</xdr:colOff>
      <xdr:row>3</xdr:row>
      <xdr:rowOff>201150</xdr:rowOff>
    </xdr:from>
    <xdr:to>
      <xdr:col>17</xdr:col>
      <xdr:colOff>1104900</xdr:colOff>
      <xdr:row>6</xdr:row>
      <xdr:rowOff>0</xdr:rowOff>
    </xdr:to>
    <xdr:sp macro="" textlink="">
      <xdr:nvSpPr>
        <xdr:cNvPr id="79" name="Retângulo 78">
          <a:extLst>
            <a:ext uri="{FF2B5EF4-FFF2-40B4-BE49-F238E27FC236}">
              <a16:creationId xmlns:a16="http://schemas.microsoft.com/office/drawing/2014/main" id="{6B9085FD-6DBC-43D7-9686-6C53E958877C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632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9</xdr:col>
      <xdr:colOff>361950</xdr:colOff>
      <xdr:row>3</xdr:row>
      <xdr:rowOff>201150</xdr:rowOff>
    </xdr:from>
    <xdr:to>
      <xdr:col>12</xdr:col>
      <xdr:colOff>102750</xdr:colOff>
      <xdr:row>6</xdr:row>
      <xdr:rowOff>0</xdr:rowOff>
    </xdr:to>
    <xdr:sp macro="" textlink="">
      <xdr:nvSpPr>
        <xdr:cNvPr id="80" name="Retângulo 79">
          <a:extLst>
            <a:ext uri="{FF2B5EF4-FFF2-40B4-BE49-F238E27FC236}">
              <a16:creationId xmlns:a16="http://schemas.microsoft.com/office/drawing/2014/main" id="{DB25D4EA-B2B7-492C-9C81-6A37759D5B17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6320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438150</xdr:colOff>
      <xdr:row>2</xdr:row>
      <xdr:rowOff>769747</xdr:rowOff>
    </xdr:to>
    <xdr:pic>
      <xdr:nvPicPr>
        <xdr:cNvPr id="81" name="Imagem 80">
          <a:extLst>
            <a:ext uri="{FF2B5EF4-FFF2-40B4-BE49-F238E27FC236}">
              <a16:creationId xmlns:a16="http://schemas.microsoft.com/office/drawing/2014/main" id="{9DED9435-1324-498D-9FE9-B350CFD762AD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52" t="39637" r="14079" b="25703"/>
        <a:stretch/>
      </xdr:blipFill>
      <xdr:spPr>
        <a:xfrm>
          <a:off x="0" y="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19050</xdr:colOff>
      <xdr:row>0</xdr:row>
      <xdr:rowOff>0</xdr:rowOff>
    </xdr:from>
    <xdr:to>
      <xdr:col>32</xdr:col>
      <xdr:colOff>2002158</xdr:colOff>
      <xdr:row>3</xdr:row>
      <xdr:rowOff>0</xdr:rowOff>
    </xdr:to>
    <xdr:grpSp>
      <xdr:nvGrpSpPr>
        <xdr:cNvPr id="154" name="Agrupar 153">
          <a:extLst>
            <a:ext uri="{FF2B5EF4-FFF2-40B4-BE49-F238E27FC236}">
              <a16:creationId xmlns:a16="http://schemas.microsoft.com/office/drawing/2014/main" id="{1C824415-D25E-4C49-9A3F-F1BB86BA63DF}"/>
            </a:ext>
          </a:extLst>
        </xdr:cNvPr>
        <xdr:cNvGrpSpPr/>
      </xdr:nvGrpSpPr>
      <xdr:grpSpPr>
        <a:xfrm>
          <a:off x="2457450" y="0"/>
          <a:ext cx="30539058" cy="1162050"/>
          <a:chOff x="2419350" y="0"/>
          <a:chExt cx="30546678" cy="1162050"/>
        </a:xfrm>
      </xdr:grpSpPr>
      <xdr:grpSp>
        <xdr:nvGrpSpPr>
          <xdr:cNvPr id="82" name="Agrupar 81">
            <a:extLst>
              <a:ext uri="{FF2B5EF4-FFF2-40B4-BE49-F238E27FC236}">
                <a16:creationId xmlns:a16="http://schemas.microsoft.com/office/drawing/2014/main" id="{589C5E3B-0210-4312-8F84-3C19C230E2B1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19350" y="0"/>
            <a:ext cx="1460344" cy="1162050"/>
            <a:chOff x="1993654" y="0"/>
            <a:chExt cx="1022595" cy="781538"/>
          </a:xfrm>
        </xdr:grpSpPr>
        <xdr:sp macro="" textlink="">
          <xdr:nvSpPr>
            <xdr:cNvPr id="83" name="Retângulo 82">
              <a:extLst>
                <a:ext uri="{FF2B5EF4-FFF2-40B4-BE49-F238E27FC236}">
                  <a16:creationId xmlns:a16="http://schemas.microsoft.com/office/drawing/2014/main" id="{D561E60B-0AE3-4DF0-AC58-08ECE6B88B04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84" name="Imagem 9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33E6DC5B-0213-42D1-935C-FA54DEAE5E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85" name="CaixaDeTexto 84">
              <a:extLst>
                <a:ext uri="{FF2B5EF4-FFF2-40B4-BE49-F238E27FC236}">
                  <a16:creationId xmlns:a16="http://schemas.microsoft.com/office/drawing/2014/main" id="{B9483C08-6B73-4343-BEB9-85E0AF3666F7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86" name="Agrupar 85">
            <a:extLst>
              <a:ext uri="{FF2B5EF4-FFF2-40B4-BE49-F238E27FC236}">
                <a16:creationId xmlns:a16="http://schemas.microsoft.com/office/drawing/2014/main" id="{B1002987-3E6C-4D5F-B59E-A4CC79289F16}"/>
              </a:ext>
            </a:extLst>
          </xdr:cNvPr>
          <xdr:cNvGrpSpPr/>
        </xdr:nvGrpSpPr>
        <xdr:grpSpPr>
          <a:xfrm>
            <a:off x="5918746" y="0"/>
            <a:ext cx="1591474" cy="1162050"/>
            <a:chOff x="3131328" y="0"/>
            <a:chExt cx="1118289" cy="781538"/>
          </a:xfrm>
        </xdr:grpSpPr>
        <xdr:sp macro="" textlink="">
          <xdr:nvSpPr>
            <xdr:cNvPr id="87" name="Retângulo 86">
              <a:extLst>
                <a:ext uri="{FF2B5EF4-FFF2-40B4-BE49-F238E27FC236}">
                  <a16:creationId xmlns:a16="http://schemas.microsoft.com/office/drawing/2014/main" id="{90619BF4-3616-40F4-80EB-7CC2AC199477}"/>
                </a:ext>
              </a:extLst>
            </xdr:cNvPr>
            <xdr:cNvSpPr/>
          </xdr:nvSpPr>
          <xdr:spPr>
            <a:xfrm>
              <a:off x="3178174" y="0"/>
              <a:ext cx="1022595" cy="781538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8" name="CaixaDeTexto 87">
              <a:extLst>
                <a:ext uri="{FF2B5EF4-FFF2-40B4-BE49-F238E27FC236}">
                  <a16:creationId xmlns:a16="http://schemas.microsoft.com/office/drawing/2014/main" id="{4F3813B2-4073-4C9B-A291-27692851523B}"/>
                </a:ext>
              </a:extLst>
            </xdr:cNvPr>
            <xdr:cNvSpPr txBox="1"/>
          </xdr:nvSpPr>
          <xdr:spPr>
            <a:xfrm rot="10800000" flipH="1" flipV="1">
              <a:off x="3131328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89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D5980F89-0F4A-4661-A3FD-4F7F3E69B57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480365" y="84878"/>
              <a:ext cx="418213" cy="416396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90" name="Agrupar 89">
            <a:extLst>
              <a:ext uri="{FF2B5EF4-FFF2-40B4-BE49-F238E27FC236}">
                <a16:creationId xmlns:a16="http://schemas.microsoft.com/office/drawing/2014/main" id="{5A287940-66C6-4E30-880A-4457D2C94C27}"/>
              </a:ext>
            </a:extLst>
          </xdr:cNvPr>
          <xdr:cNvGrpSpPr/>
        </xdr:nvGrpSpPr>
        <xdr:grpSpPr>
          <a:xfrm>
            <a:off x="9549272" y="0"/>
            <a:ext cx="1598566" cy="1162050"/>
            <a:chOff x="4450172" y="0"/>
            <a:chExt cx="1118289" cy="781538"/>
          </a:xfrm>
        </xdr:grpSpPr>
        <xdr:sp macro="" textlink="">
          <xdr:nvSpPr>
            <xdr:cNvPr id="91" name="Retângulo 90">
              <a:extLst>
                <a:ext uri="{FF2B5EF4-FFF2-40B4-BE49-F238E27FC236}">
                  <a16:creationId xmlns:a16="http://schemas.microsoft.com/office/drawing/2014/main" id="{477C8117-517F-444F-923E-E1622CC1267A}"/>
                </a:ext>
              </a:extLst>
            </xdr:cNvPr>
            <xdr:cNvSpPr/>
          </xdr:nvSpPr>
          <xdr:spPr>
            <a:xfrm>
              <a:off x="4484806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2" name="CaixaDeTexto 91">
              <a:extLst>
                <a:ext uri="{FF2B5EF4-FFF2-40B4-BE49-F238E27FC236}">
                  <a16:creationId xmlns:a16="http://schemas.microsoft.com/office/drawing/2014/main" id="{1D04AB98-DFE2-4DFD-B98E-8E20BE2773E0}"/>
                </a:ext>
              </a:extLst>
            </xdr:cNvPr>
            <xdr:cNvSpPr txBox="1"/>
          </xdr:nvSpPr>
          <xdr:spPr>
            <a:xfrm rot="10800000" flipH="1" flipV="1">
              <a:off x="4450172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93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47C01576-EFB7-41CE-BCCF-86B84C82AC1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4786997" y="91651"/>
              <a:ext cx="418213" cy="402850"/>
            </a:xfrm>
            <a:prstGeom prst="rect">
              <a:avLst/>
            </a:prstGeom>
          </xdr:spPr>
        </xdr:pic>
      </xdr:grpSp>
      <xdr:grpSp>
        <xdr:nvGrpSpPr>
          <xdr:cNvPr id="94" name="Agrupar 93">
            <a:extLst>
              <a:ext uri="{FF2B5EF4-FFF2-40B4-BE49-F238E27FC236}">
                <a16:creationId xmlns:a16="http://schemas.microsoft.com/office/drawing/2014/main" id="{1717D999-06D0-43C0-9F5A-9586747A54DA}"/>
              </a:ext>
            </a:extLst>
          </xdr:cNvPr>
          <xdr:cNvGrpSpPr/>
        </xdr:nvGrpSpPr>
        <xdr:grpSpPr>
          <a:xfrm>
            <a:off x="13186890" y="0"/>
            <a:ext cx="1591491" cy="1162050"/>
            <a:chOff x="5781229" y="0"/>
            <a:chExt cx="1118289" cy="781538"/>
          </a:xfrm>
        </xdr:grpSpPr>
        <xdr:sp macro="" textlink="">
          <xdr:nvSpPr>
            <xdr:cNvPr id="95" name="Retângulo 94">
              <a:extLst>
                <a:ext uri="{FF2B5EF4-FFF2-40B4-BE49-F238E27FC236}">
                  <a16:creationId xmlns:a16="http://schemas.microsoft.com/office/drawing/2014/main" id="{6E40C190-452B-47D9-BD38-09E250DFC34A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6" name="CaixaDeTexto 95">
              <a:extLst>
                <a:ext uri="{FF2B5EF4-FFF2-40B4-BE49-F238E27FC236}">
                  <a16:creationId xmlns:a16="http://schemas.microsoft.com/office/drawing/2014/main" id="{910073FF-A866-4D21-8C25-FC7E981A84DE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97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57C84530-2434-4565-AB10-9FAD7F68E3B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98" name="Agrupar 97">
            <a:extLst>
              <a:ext uri="{FF2B5EF4-FFF2-40B4-BE49-F238E27FC236}">
                <a16:creationId xmlns:a16="http://schemas.microsoft.com/office/drawing/2014/main" id="{5DCB2429-04C7-4F24-A616-0A2CA27BAA75}"/>
              </a:ext>
            </a:extLst>
          </xdr:cNvPr>
          <xdr:cNvGrpSpPr/>
        </xdr:nvGrpSpPr>
        <xdr:grpSpPr>
          <a:xfrm>
            <a:off x="16817433" y="0"/>
            <a:ext cx="1612288" cy="1162050"/>
            <a:chOff x="7112293" y="0"/>
            <a:chExt cx="1118289" cy="781538"/>
          </a:xfrm>
        </xdr:grpSpPr>
        <xdr:sp macro="" textlink="">
          <xdr:nvSpPr>
            <xdr:cNvPr id="99" name="Retângulo 98">
              <a:extLst>
                <a:ext uri="{FF2B5EF4-FFF2-40B4-BE49-F238E27FC236}">
                  <a16:creationId xmlns:a16="http://schemas.microsoft.com/office/drawing/2014/main" id="{28E9A8F6-4979-49AB-90DE-8544C9300A44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0" name="CaixaDeTexto 99">
              <a:extLst>
                <a:ext uri="{FF2B5EF4-FFF2-40B4-BE49-F238E27FC236}">
                  <a16:creationId xmlns:a16="http://schemas.microsoft.com/office/drawing/2014/main" id="{CFFFC0FA-663B-4507-AA1B-35E8CE49FEFD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101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ED9EB963-EF7C-47A3-AE4F-64CE0AADE00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02" name="Agrupar 101">
            <a:extLst>
              <a:ext uri="{FF2B5EF4-FFF2-40B4-BE49-F238E27FC236}">
                <a16:creationId xmlns:a16="http://schemas.microsoft.com/office/drawing/2014/main" id="{CF6E804E-4AA5-4A41-B1DA-F5770B7EE137}"/>
              </a:ext>
            </a:extLst>
          </xdr:cNvPr>
          <xdr:cNvGrpSpPr/>
        </xdr:nvGrpSpPr>
        <xdr:grpSpPr>
          <a:xfrm>
            <a:off x="20468773" y="0"/>
            <a:ext cx="1592907" cy="1162050"/>
            <a:chOff x="8443355" y="0"/>
            <a:chExt cx="1118289" cy="781538"/>
          </a:xfrm>
        </xdr:grpSpPr>
        <xdr:sp macro="" textlink="">
          <xdr:nvSpPr>
            <xdr:cNvPr id="103" name="Retângulo 102">
              <a:extLst>
                <a:ext uri="{FF2B5EF4-FFF2-40B4-BE49-F238E27FC236}">
                  <a16:creationId xmlns:a16="http://schemas.microsoft.com/office/drawing/2014/main" id="{8BBB1D6A-C7DB-4C4C-A41F-3B1A0D279754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4" name="CaixaDeTexto 103">
              <a:extLst>
                <a:ext uri="{FF2B5EF4-FFF2-40B4-BE49-F238E27FC236}">
                  <a16:creationId xmlns:a16="http://schemas.microsoft.com/office/drawing/2014/main" id="{41275F4A-808D-4684-81A8-118E6B1D6573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105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7FA3DB30-2C9D-4CF1-A3B5-CCF1987DBD5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06" name="Agrupar 105">
            <a:extLst>
              <a:ext uri="{FF2B5EF4-FFF2-40B4-BE49-F238E27FC236}">
                <a16:creationId xmlns:a16="http://schemas.microsoft.com/office/drawing/2014/main" id="{2354A111-05F6-4A34-826B-4EBDCA249D8E}"/>
              </a:ext>
            </a:extLst>
          </xdr:cNvPr>
          <xdr:cNvGrpSpPr/>
        </xdr:nvGrpSpPr>
        <xdr:grpSpPr>
          <a:xfrm>
            <a:off x="24100732" y="0"/>
            <a:ext cx="1590058" cy="1162050"/>
            <a:chOff x="9774419" y="0"/>
            <a:chExt cx="1118289" cy="781538"/>
          </a:xfrm>
        </xdr:grpSpPr>
        <xdr:sp macro="" textlink="">
          <xdr:nvSpPr>
            <xdr:cNvPr id="107" name="Retângulo 106">
              <a:extLst>
                <a:ext uri="{FF2B5EF4-FFF2-40B4-BE49-F238E27FC236}">
                  <a16:creationId xmlns:a16="http://schemas.microsoft.com/office/drawing/2014/main" id="{D0B29A8F-C30E-4D44-8DE5-4DBF46D1964D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8" name="CaixaDeTexto 107">
              <a:extLst>
                <a:ext uri="{FF2B5EF4-FFF2-40B4-BE49-F238E27FC236}">
                  <a16:creationId xmlns:a16="http://schemas.microsoft.com/office/drawing/2014/main" id="{E1A9F1F9-62A9-4542-992F-FA5992FBA7AC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109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2D792FF3-9567-4CFD-A9D1-DCF64C2B712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110" name="Agrupar 109">
            <a:extLst>
              <a:ext uri="{FF2B5EF4-FFF2-40B4-BE49-F238E27FC236}">
                <a16:creationId xmlns:a16="http://schemas.microsoft.com/office/drawing/2014/main" id="{3DD06C74-ED99-41DB-876C-B0B0051B16F2}"/>
              </a:ext>
            </a:extLst>
          </xdr:cNvPr>
          <xdr:cNvGrpSpPr/>
        </xdr:nvGrpSpPr>
        <xdr:grpSpPr>
          <a:xfrm>
            <a:off x="27729842" y="0"/>
            <a:ext cx="1598568" cy="1162050"/>
            <a:chOff x="11105473" y="0"/>
            <a:chExt cx="1118289" cy="781538"/>
          </a:xfrm>
        </xdr:grpSpPr>
        <xdr:sp macro="" textlink="">
          <xdr:nvSpPr>
            <xdr:cNvPr id="111" name="Retângulo 110">
              <a:extLst>
                <a:ext uri="{FF2B5EF4-FFF2-40B4-BE49-F238E27FC236}">
                  <a16:creationId xmlns:a16="http://schemas.microsoft.com/office/drawing/2014/main" id="{22EDE107-0B14-4E02-83AF-E018D5B36EC6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2" name="CaixaDeTexto 111">
              <a:extLst>
                <a:ext uri="{FF2B5EF4-FFF2-40B4-BE49-F238E27FC236}">
                  <a16:creationId xmlns:a16="http://schemas.microsoft.com/office/drawing/2014/main" id="{3CDAF0F0-1914-4C3A-93D6-1BBA48CFB9C9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113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BE743116-B503-41BC-8D2D-FA2BCE40F81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114" name="Agrupar 113">
            <a:extLst>
              <a:ext uri="{FF2B5EF4-FFF2-40B4-BE49-F238E27FC236}">
                <a16:creationId xmlns:a16="http://schemas.microsoft.com/office/drawing/2014/main" id="{27A6B33B-FBCF-44A6-915C-CF8F7AD798F7}"/>
              </a:ext>
            </a:extLst>
          </xdr:cNvPr>
          <xdr:cNvGrpSpPr/>
        </xdr:nvGrpSpPr>
        <xdr:grpSpPr>
          <a:xfrm>
            <a:off x="31367460" y="0"/>
            <a:ext cx="1598568" cy="1162050"/>
            <a:chOff x="12260227" y="0"/>
            <a:chExt cx="1118316" cy="770164"/>
          </a:xfrm>
        </xdr:grpSpPr>
        <xdr:sp macro="" textlink="">
          <xdr:nvSpPr>
            <xdr:cNvPr id="115" name="Retângulo 114">
              <a:extLst>
                <a:ext uri="{FF2B5EF4-FFF2-40B4-BE49-F238E27FC236}">
                  <a16:creationId xmlns:a16="http://schemas.microsoft.com/office/drawing/2014/main" id="{BC884020-F4C9-4A36-8D69-15F1B5E49ACD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6" name="CaixaDeTexto 115">
              <a:extLst>
                <a:ext uri="{FF2B5EF4-FFF2-40B4-BE49-F238E27FC236}">
                  <a16:creationId xmlns:a16="http://schemas.microsoft.com/office/drawing/2014/main" id="{D82FA2FE-7866-46CC-A026-D80329A7B65A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117" name="Imagem 116" descr="Ícone do banco de dados (símbolo png) preto">
              <a:extLst>
                <a:ext uri="{FF2B5EF4-FFF2-40B4-BE49-F238E27FC236}">
                  <a16:creationId xmlns:a16="http://schemas.microsoft.com/office/drawing/2014/main" id="{398BF405-59FB-479E-A299-3EE8D145E01F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 editAs="absolute">
    <xdr:from>
      <xdr:col>10</xdr:col>
      <xdr:colOff>228600</xdr:colOff>
      <xdr:row>11</xdr:row>
      <xdr:rowOff>266700</xdr:rowOff>
    </xdr:from>
    <xdr:to>
      <xdr:col>11</xdr:col>
      <xdr:colOff>76200</xdr:colOff>
      <xdr:row>13</xdr:row>
      <xdr:rowOff>0</xdr:rowOff>
    </xdr:to>
    <xdr:sp macro="[0]!BotaoComLogin" textlink="">
      <xdr:nvSpPr>
        <xdr:cNvPr id="155" name="Círculo: Vazio 154">
          <a:extLst>
            <a:ext uri="{FF2B5EF4-FFF2-40B4-BE49-F238E27FC236}">
              <a16:creationId xmlns:a16="http://schemas.microsoft.com/office/drawing/2014/main" id="{04326554-713E-405A-8100-28B8158D2B40}"/>
            </a:ext>
          </a:extLst>
        </xdr:cNvPr>
        <xdr:cNvSpPr/>
      </xdr:nvSpPr>
      <xdr:spPr>
        <a:xfrm>
          <a:off x="8153400" y="4038600"/>
          <a:ext cx="457200" cy="4572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17</xdr:col>
      <xdr:colOff>2781300</xdr:colOff>
      <xdr:row>3</xdr:row>
      <xdr:rowOff>171450</xdr:rowOff>
    </xdr:from>
    <xdr:to>
      <xdr:col>22</xdr:col>
      <xdr:colOff>483750</xdr:colOff>
      <xdr:row>5</xdr:row>
      <xdr:rowOff>160800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13F0E146-F0FE-4F12-9F3D-F635CF3A63AE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5350" y="13335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1601931</xdr:colOff>
      <xdr:row>10</xdr:row>
      <xdr:rowOff>39831</xdr:rowOff>
    </xdr:from>
    <xdr:to>
      <xdr:col>18</xdr:col>
      <xdr:colOff>2059131</xdr:colOff>
      <xdr:row>11</xdr:row>
      <xdr:rowOff>135081</xdr:rowOff>
    </xdr:to>
    <xdr:sp macro="[0]!BotaoComLogin" textlink="">
      <xdr:nvSpPr>
        <xdr:cNvPr id="42" name="Círculo: Vazio 41">
          <a:extLst>
            <a:ext uri="{FF2B5EF4-FFF2-40B4-BE49-F238E27FC236}">
              <a16:creationId xmlns:a16="http://schemas.microsoft.com/office/drawing/2014/main" id="{4C408212-5FF6-4E4B-AA73-D17CA46703CB}"/>
            </a:ext>
          </a:extLst>
        </xdr:cNvPr>
        <xdr:cNvSpPr/>
      </xdr:nvSpPr>
      <xdr:spPr>
        <a:xfrm>
          <a:off x="15356031" y="3449781"/>
          <a:ext cx="457200" cy="4572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438150</xdr:colOff>
      <xdr:row>2</xdr:row>
      <xdr:rowOff>769747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98F6044-3435-4A9B-94D6-20C32595DB41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52" t="39637" r="14079" b="25703"/>
        <a:stretch/>
      </xdr:blipFill>
      <xdr:spPr>
        <a:xfrm>
          <a:off x="0" y="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40</xdr:col>
      <xdr:colOff>325758</xdr:colOff>
      <xdr:row>3</xdr:row>
      <xdr:rowOff>0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F1339A0B-5DB3-41E3-BBE0-E3F639E8901D}"/>
            </a:ext>
          </a:extLst>
        </xdr:cNvPr>
        <xdr:cNvGrpSpPr/>
      </xdr:nvGrpSpPr>
      <xdr:grpSpPr>
        <a:xfrm>
          <a:off x="2438400" y="0"/>
          <a:ext cx="30539058" cy="1162050"/>
          <a:chOff x="2419350" y="0"/>
          <a:chExt cx="30546678" cy="1162050"/>
        </a:xfrm>
      </xdr:grpSpPr>
      <xdr:grpSp>
        <xdr:nvGrpSpPr>
          <xdr:cNvPr id="45" name="Agrupar 44">
            <a:extLst>
              <a:ext uri="{FF2B5EF4-FFF2-40B4-BE49-F238E27FC236}">
                <a16:creationId xmlns:a16="http://schemas.microsoft.com/office/drawing/2014/main" id="{EA84ECBA-852C-4371-85E3-B393A6FD67ED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19350" y="0"/>
            <a:ext cx="1460344" cy="1162050"/>
            <a:chOff x="1993654" y="0"/>
            <a:chExt cx="1022595" cy="781538"/>
          </a:xfrm>
        </xdr:grpSpPr>
        <xdr:sp macro="" textlink="">
          <xdr:nvSpPr>
            <xdr:cNvPr id="78" name="Retângulo 77">
              <a:extLst>
                <a:ext uri="{FF2B5EF4-FFF2-40B4-BE49-F238E27FC236}">
                  <a16:creationId xmlns:a16="http://schemas.microsoft.com/office/drawing/2014/main" id="{97B5C298-5186-45F9-ACE4-6F589EA46488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79" name="Imagem 9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13C98B25-D54B-4D2C-A4A7-7CBE11F4384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80" name="CaixaDeTexto 79">
              <a:extLst>
                <a:ext uri="{FF2B5EF4-FFF2-40B4-BE49-F238E27FC236}">
                  <a16:creationId xmlns:a16="http://schemas.microsoft.com/office/drawing/2014/main" id="{13F43AEB-3135-4367-8C65-9E5830A2898B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46" name="Agrupar 45">
            <a:extLst>
              <a:ext uri="{FF2B5EF4-FFF2-40B4-BE49-F238E27FC236}">
                <a16:creationId xmlns:a16="http://schemas.microsoft.com/office/drawing/2014/main" id="{9B9FA6EF-0857-4BB7-82D8-DE8F5B4FD774}"/>
              </a:ext>
            </a:extLst>
          </xdr:cNvPr>
          <xdr:cNvGrpSpPr/>
        </xdr:nvGrpSpPr>
        <xdr:grpSpPr>
          <a:xfrm>
            <a:off x="5918746" y="0"/>
            <a:ext cx="1591474" cy="1162050"/>
            <a:chOff x="3131328" y="0"/>
            <a:chExt cx="1118289" cy="781538"/>
          </a:xfrm>
        </xdr:grpSpPr>
        <xdr:sp macro="" textlink="">
          <xdr:nvSpPr>
            <xdr:cNvPr id="75" name="Retângulo 74">
              <a:extLst>
                <a:ext uri="{FF2B5EF4-FFF2-40B4-BE49-F238E27FC236}">
                  <a16:creationId xmlns:a16="http://schemas.microsoft.com/office/drawing/2014/main" id="{C80BA942-1F5A-48F9-BD25-8AA0F756AD77}"/>
                </a:ext>
              </a:extLst>
            </xdr:cNvPr>
            <xdr:cNvSpPr/>
          </xdr:nvSpPr>
          <xdr:spPr>
            <a:xfrm>
              <a:off x="3178174" y="0"/>
              <a:ext cx="1022595" cy="781538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6" name="CaixaDeTexto 75">
              <a:extLst>
                <a:ext uri="{FF2B5EF4-FFF2-40B4-BE49-F238E27FC236}">
                  <a16:creationId xmlns:a16="http://schemas.microsoft.com/office/drawing/2014/main" id="{24F0708C-5F88-4E95-B1D4-28D81FA683B9}"/>
                </a:ext>
              </a:extLst>
            </xdr:cNvPr>
            <xdr:cNvSpPr txBox="1"/>
          </xdr:nvSpPr>
          <xdr:spPr>
            <a:xfrm rot="10800000" flipH="1" flipV="1">
              <a:off x="3131328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77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A44F4329-3612-4FFF-84E5-0F30FC13059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480365" y="84878"/>
              <a:ext cx="418213" cy="416396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47" name="Agrupar 46">
            <a:extLst>
              <a:ext uri="{FF2B5EF4-FFF2-40B4-BE49-F238E27FC236}">
                <a16:creationId xmlns:a16="http://schemas.microsoft.com/office/drawing/2014/main" id="{8154EC42-2C46-4267-ACCC-BC9E865C6C47}"/>
              </a:ext>
            </a:extLst>
          </xdr:cNvPr>
          <xdr:cNvGrpSpPr/>
        </xdr:nvGrpSpPr>
        <xdr:grpSpPr>
          <a:xfrm>
            <a:off x="9549272" y="0"/>
            <a:ext cx="1598566" cy="1162050"/>
            <a:chOff x="4450172" y="0"/>
            <a:chExt cx="1118289" cy="781538"/>
          </a:xfrm>
        </xdr:grpSpPr>
        <xdr:sp macro="" textlink="">
          <xdr:nvSpPr>
            <xdr:cNvPr id="72" name="Retângulo 71">
              <a:extLst>
                <a:ext uri="{FF2B5EF4-FFF2-40B4-BE49-F238E27FC236}">
                  <a16:creationId xmlns:a16="http://schemas.microsoft.com/office/drawing/2014/main" id="{D6869E5D-9A2E-4B0A-9888-5B3ED68AD70F}"/>
                </a:ext>
              </a:extLst>
            </xdr:cNvPr>
            <xdr:cNvSpPr/>
          </xdr:nvSpPr>
          <xdr:spPr>
            <a:xfrm>
              <a:off x="4484806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3" name="CaixaDeTexto 72">
              <a:extLst>
                <a:ext uri="{FF2B5EF4-FFF2-40B4-BE49-F238E27FC236}">
                  <a16:creationId xmlns:a16="http://schemas.microsoft.com/office/drawing/2014/main" id="{6C6BF8DA-D17B-4DD5-92D9-EE2A570787F3}"/>
                </a:ext>
              </a:extLst>
            </xdr:cNvPr>
            <xdr:cNvSpPr txBox="1"/>
          </xdr:nvSpPr>
          <xdr:spPr>
            <a:xfrm rot="10800000" flipH="1" flipV="1">
              <a:off x="4450172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74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19CA871-8EB2-4584-B12B-EBF54440230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4786997" y="91651"/>
              <a:ext cx="418213" cy="402850"/>
            </a:xfrm>
            <a:prstGeom prst="rect">
              <a:avLst/>
            </a:prstGeom>
          </xdr:spPr>
        </xdr:pic>
      </xdr:grpSp>
      <xdr:grpSp>
        <xdr:nvGrpSpPr>
          <xdr:cNvPr id="48" name="Agrupar 47">
            <a:extLst>
              <a:ext uri="{FF2B5EF4-FFF2-40B4-BE49-F238E27FC236}">
                <a16:creationId xmlns:a16="http://schemas.microsoft.com/office/drawing/2014/main" id="{57550321-A8E6-4279-BB4E-239A29FEF233}"/>
              </a:ext>
            </a:extLst>
          </xdr:cNvPr>
          <xdr:cNvGrpSpPr/>
        </xdr:nvGrpSpPr>
        <xdr:grpSpPr>
          <a:xfrm>
            <a:off x="13186890" y="0"/>
            <a:ext cx="1591491" cy="1162050"/>
            <a:chOff x="5781229" y="0"/>
            <a:chExt cx="1118289" cy="781538"/>
          </a:xfrm>
        </xdr:grpSpPr>
        <xdr:sp macro="" textlink="">
          <xdr:nvSpPr>
            <xdr:cNvPr id="69" name="Retângulo 68">
              <a:extLst>
                <a:ext uri="{FF2B5EF4-FFF2-40B4-BE49-F238E27FC236}">
                  <a16:creationId xmlns:a16="http://schemas.microsoft.com/office/drawing/2014/main" id="{3653972E-F014-4B36-AA65-70541A461D3E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0" name="CaixaDeTexto 69">
              <a:extLst>
                <a:ext uri="{FF2B5EF4-FFF2-40B4-BE49-F238E27FC236}">
                  <a16:creationId xmlns:a16="http://schemas.microsoft.com/office/drawing/2014/main" id="{53060750-9EB6-4011-9168-E1FBDAC49EA6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71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342FB37-CCAD-4CA5-9C10-E6C55086A94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49" name="Agrupar 48">
            <a:extLst>
              <a:ext uri="{FF2B5EF4-FFF2-40B4-BE49-F238E27FC236}">
                <a16:creationId xmlns:a16="http://schemas.microsoft.com/office/drawing/2014/main" id="{6EFEE672-8949-478D-8AC8-A907C0A6EBC8}"/>
              </a:ext>
            </a:extLst>
          </xdr:cNvPr>
          <xdr:cNvGrpSpPr/>
        </xdr:nvGrpSpPr>
        <xdr:grpSpPr>
          <a:xfrm>
            <a:off x="16817433" y="0"/>
            <a:ext cx="1612288" cy="1162050"/>
            <a:chOff x="7112293" y="0"/>
            <a:chExt cx="1118289" cy="781538"/>
          </a:xfrm>
        </xdr:grpSpPr>
        <xdr:sp macro="" textlink="">
          <xdr:nvSpPr>
            <xdr:cNvPr id="66" name="Retângulo 65">
              <a:extLst>
                <a:ext uri="{FF2B5EF4-FFF2-40B4-BE49-F238E27FC236}">
                  <a16:creationId xmlns:a16="http://schemas.microsoft.com/office/drawing/2014/main" id="{84474232-E6BB-4A99-A467-6AD9C49B41F9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7" name="CaixaDeTexto 66">
              <a:extLst>
                <a:ext uri="{FF2B5EF4-FFF2-40B4-BE49-F238E27FC236}">
                  <a16:creationId xmlns:a16="http://schemas.microsoft.com/office/drawing/2014/main" id="{72B7B358-80D9-4E9A-BB85-ECE5178EFFB0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68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98DEBA7F-C3D2-4FDE-8DA7-DCD1DB2187B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50" name="Agrupar 49">
            <a:extLst>
              <a:ext uri="{FF2B5EF4-FFF2-40B4-BE49-F238E27FC236}">
                <a16:creationId xmlns:a16="http://schemas.microsoft.com/office/drawing/2014/main" id="{927D7277-9A75-480B-BBFA-FA4CBD7C1776}"/>
              </a:ext>
            </a:extLst>
          </xdr:cNvPr>
          <xdr:cNvGrpSpPr/>
        </xdr:nvGrpSpPr>
        <xdr:grpSpPr>
          <a:xfrm>
            <a:off x="20468773" y="0"/>
            <a:ext cx="1592907" cy="1162050"/>
            <a:chOff x="8443355" y="0"/>
            <a:chExt cx="1118289" cy="781538"/>
          </a:xfrm>
        </xdr:grpSpPr>
        <xdr:sp macro="" textlink="">
          <xdr:nvSpPr>
            <xdr:cNvPr id="63" name="Retângulo 62">
              <a:extLst>
                <a:ext uri="{FF2B5EF4-FFF2-40B4-BE49-F238E27FC236}">
                  <a16:creationId xmlns:a16="http://schemas.microsoft.com/office/drawing/2014/main" id="{86FF84ED-7681-46B1-8D54-EB8235BB1066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4" name="CaixaDeTexto 63">
              <a:extLst>
                <a:ext uri="{FF2B5EF4-FFF2-40B4-BE49-F238E27FC236}">
                  <a16:creationId xmlns:a16="http://schemas.microsoft.com/office/drawing/2014/main" id="{4E129A8C-6006-42CF-A3AD-66FB78E41F41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65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DBA6CF66-B019-4092-BFB8-9F92B4E54C8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51" name="Agrupar 50">
            <a:extLst>
              <a:ext uri="{FF2B5EF4-FFF2-40B4-BE49-F238E27FC236}">
                <a16:creationId xmlns:a16="http://schemas.microsoft.com/office/drawing/2014/main" id="{A6B30270-44C9-43C9-A115-D7E66F508BF5}"/>
              </a:ext>
            </a:extLst>
          </xdr:cNvPr>
          <xdr:cNvGrpSpPr/>
        </xdr:nvGrpSpPr>
        <xdr:grpSpPr>
          <a:xfrm>
            <a:off x="24100732" y="0"/>
            <a:ext cx="1590058" cy="1162050"/>
            <a:chOff x="9774419" y="0"/>
            <a:chExt cx="1118289" cy="781538"/>
          </a:xfrm>
        </xdr:grpSpPr>
        <xdr:sp macro="" textlink="">
          <xdr:nvSpPr>
            <xdr:cNvPr id="60" name="Retângulo 59">
              <a:extLst>
                <a:ext uri="{FF2B5EF4-FFF2-40B4-BE49-F238E27FC236}">
                  <a16:creationId xmlns:a16="http://schemas.microsoft.com/office/drawing/2014/main" id="{36A14DD1-E547-4F7F-8A0B-BC3441B2E1F4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1" name="CaixaDeTexto 60">
              <a:extLst>
                <a:ext uri="{FF2B5EF4-FFF2-40B4-BE49-F238E27FC236}">
                  <a16:creationId xmlns:a16="http://schemas.microsoft.com/office/drawing/2014/main" id="{B6DDBD23-9A0E-4431-B7E8-66A194D3BF2E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62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DAF074B2-3913-4F3E-B6C9-F2A26D90373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52" name="Agrupar 51">
            <a:extLst>
              <a:ext uri="{FF2B5EF4-FFF2-40B4-BE49-F238E27FC236}">
                <a16:creationId xmlns:a16="http://schemas.microsoft.com/office/drawing/2014/main" id="{FD8EC3E9-2447-4C4E-9E31-735BB021337A}"/>
              </a:ext>
            </a:extLst>
          </xdr:cNvPr>
          <xdr:cNvGrpSpPr/>
        </xdr:nvGrpSpPr>
        <xdr:grpSpPr>
          <a:xfrm>
            <a:off x="27729842" y="0"/>
            <a:ext cx="1598568" cy="1162050"/>
            <a:chOff x="11105473" y="0"/>
            <a:chExt cx="1118289" cy="781538"/>
          </a:xfrm>
        </xdr:grpSpPr>
        <xdr:sp macro="" textlink="">
          <xdr:nvSpPr>
            <xdr:cNvPr id="57" name="Retângulo 56">
              <a:extLst>
                <a:ext uri="{FF2B5EF4-FFF2-40B4-BE49-F238E27FC236}">
                  <a16:creationId xmlns:a16="http://schemas.microsoft.com/office/drawing/2014/main" id="{46E21FDE-18B0-45EE-87B4-638ED06E102C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8" name="CaixaDeTexto 57">
              <a:extLst>
                <a:ext uri="{FF2B5EF4-FFF2-40B4-BE49-F238E27FC236}">
                  <a16:creationId xmlns:a16="http://schemas.microsoft.com/office/drawing/2014/main" id="{A4A45D96-43F8-483C-B31A-48F7A4F72B24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59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27CC0839-E4C0-4789-BDF6-1867D344B7F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53" name="Agrupar 52">
            <a:extLst>
              <a:ext uri="{FF2B5EF4-FFF2-40B4-BE49-F238E27FC236}">
                <a16:creationId xmlns:a16="http://schemas.microsoft.com/office/drawing/2014/main" id="{2B6EC1C1-CC3C-4C57-86FA-B388B12A0312}"/>
              </a:ext>
            </a:extLst>
          </xdr:cNvPr>
          <xdr:cNvGrpSpPr/>
        </xdr:nvGrpSpPr>
        <xdr:grpSpPr>
          <a:xfrm>
            <a:off x="31367460" y="0"/>
            <a:ext cx="1598568" cy="1162050"/>
            <a:chOff x="12260227" y="0"/>
            <a:chExt cx="1118316" cy="770164"/>
          </a:xfrm>
        </xdr:grpSpPr>
        <xdr:sp macro="" textlink="">
          <xdr:nvSpPr>
            <xdr:cNvPr id="54" name="Retângulo 53">
              <a:extLst>
                <a:ext uri="{FF2B5EF4-FFF2-40B4-BE49-F238E27FC236}">
                  <a16:creationId xmlns:a16="http://schemas.microsoft.com/office/drawing/2014/main" id="{394F6C32-7F16-42C2-849D-5544A663B698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5" name="CaixaDeTexto 54">
              <a:extLst>
                <a:ext uri="{FF2B5EF4-FFF2-40B4-BE49-F238E27FC236}">
                  <a16:creationId xmlns:a16="http://schemas.microsoft.com/office/drawing/2014/main" id="{C8B2D1DA-3908-4422-9015-842A5E972543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56" name="Imagem 55" descr="Ícone do banco de dados (símbolo png) preto">
              <a:extLst>
                <a:ext uri="{FF2B5EF4-FFF2-40B4-BE49-F238E27FC236}">
                  <a16:creationId xmlns:a16="http://schemas.microsoft.com/office/drawing/2014/main" id="{8EEC6813-92F0-4CCE-B0FA-DD2284EC1C93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 editAs="absolute">
    <xdr:from>
      <xdr:col>0</xdr:col>
      <xdr:colOff>285750</xdr:colOff>
      <xdr:row>3</xdr:row>
      <xdr:rowOff>182683</xdr:rowOff>
    </xdr:from>
    <xdr:to>
      <xdr:col>5</xdr:col>
      <xdr:colOff>635442</xdr:colOff>
      <xdr:row>5</xdr:row>
      <xdr:rowOff>171450</xdr:rowOff>
    </xdr:to>
    <xdr:sp macro="" textlink="">
      <xdr:nvSpPr>
        <xdr:cNvPr id="81" name="Retângulo 80">
          <a:extLst>
            <a:ext uri="{FF2B5EF4-FFF2-40B4-BE49-F238E27FC236}">
              <a16:creationId xmlns:a16="http://schemas.microsoft.com/office/drawing/2014/main" id="{01FCF6E8-6876-4350-BC64-77B42BD14375}"/>
            </a:ext>
          </a:extLst>
        </xdr:cNvPr>
        <xdr:cNvSpPr/>
      </xdr:nvSpPr>
      <xdr:spPr>
        <a:xfrm>
          <a:off x="285750" y="1344733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354450</xdr:colOff>
      <xdr:row>3</xdr:row>
      <xdr:rowOff>201151</xdr:rowOff>
    </xdr:from>
    <xdr:to>
      <xdr:col>18</xdr:col>
      <xdr:colOff>704850</xdr:colOff>
      <xdr:row>6</xdr:row>
      <xdr:rowOff>1</xdr:rowOff>
    </xdr:to>
    <xdr:sp macro="" textlink="">
      <xdr:nvSpPr>
        <xdr:cNvPr id="82" name="Retângulo 81">
          <a:extLst>
            <a:ext uri="{FF2B5EF4-FFF2-40B4-BE49-F238E27FC236}">
              <a16:creationId xmlns:a16="http://schemas.microsoft.com/office/drawing/2014/main" id="{0EB0024F-8E8A-418A-BE9D-A8C972EE363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63201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7</xdr:col>
      <xdr:colOff>571500</xdr:colOff>
      <xdr:row>3</xdr:row>
      <xdr:rowOff>201151</xdr:rowOff>
    </xdr:from>
    <xdr:to>
      <xdr:col>10</xdr:col>
      <xdr:colOff>369450</xdr:colOff>
      <xdr:row>6</xdr:row>
      <xdr:rowOff>1</xdr:rowOff>
    </xdr:to>
    <xdr:sp macro="" textlink="">
      <xdr:nvSpPr>
        <xdr:cNvPr id="83" name="Retângulo 82">
          <a:extLst>
            <a:ext uri="{FF2B5EF4-FFF2-40B4-BE49-F238E27FC236}">
              <a16:creationId xmlns:a16="http://schemas.microsoft.com/office/drawing/2014/main" id="{BC8D0F71-272B-4B75-BDD1-17351949F8B1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63201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18</xdr:col>
      <xdr:colOff>3143250</xdr:colOff>
      <xdr:row>23</xdr:row>
      <xdr:rowOff>57150</xdr:rowOff>
    </xdr:from>
    <xdr:to>
      <xdr:col>21</xdr:col>
      <xdr:colOff>457200</xdr:colOff>
      <xdr:row>26</xdr:row>
      <xdr:rowOff>125432</xdr:rowOff>
    </xdr:to>
    <xdr:sp macro="[1]!REQ_MP" textlink="">
      <xdr:nvSpPr>
        <xdr:cNvPr id="84" name="Retângulo: Cantos Arredondados 83">
          <a:extLst>
            <a:ext uri="{FF2B5EF4-FFF2-40B4-BE49-F238E27FC236}">
              <a16:creationId xmlns:a16="http://schemas.microsoft.com/office/drawing/2014/main" id="{1617A9C8-3F1D-43C2-9C94-CA9ABB1EAB0D}"/>
            </a:ext>
          </a:extLst>
        </xdr:cNvPr>
        <xdr:cNvSpPr/>
      </xdr:nvSpPr>
      <xdr:spPr>
        <a:xfrm>
          <a:off x="16897350" y="8172450"/>
          <a:ext cx="1981200" cy="11541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LANÇAR PRODUÇÃO</a:t>
          </a:r>
        </a:p>
      </xdr:txBody>
    </xdr:sp>
    <xdr:clientData/>
  </xdr:twoCellAnchor>
  <xdr:twoCellAnchor editAs="absolute">
    <xdr:from>
      <xdr:col>18</xdr:col>
      <xdr:colOff>2362200</xdr:colOff>
      <xdr:row>3</xdr:row>
      <xdr:rowOff>171450</xdr:rowOff>
    </xdr:from>
    <xdr:to>
      <xdr:col>22</xdr:col>
      <xdr:colOff>483750</xdr:colOff>
      <xdr:row>5</xdr:row>
      <xdr:rowOff>160800</xdr:rowOff>
    </xdr:to>
    <xdr:sp macro="" textlink="">
      <xdr:nvSpPr>
        <xdr:cNvPr id="85" name="Retângulo 84">
          <a:extLst>
            <a:ext uri="{FF2B5EF4-FFF2-40B4-BE49-F238E27FC236}">
              <a16:creationId xmlns:a16="http://schemas.microsoft.com/office/drawing/2014/main" id="{91AAD696-6C11-4688-BA7C-749C83AE8462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16300" y="13335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323850</xdr:colOff>
      <xdr:row>14</xdr:row>
      <xdr:rowOff>95250</xdr:rowOff>
    </xdr:from>
    <xdr:to>
      <xdr:col>16</xdr:col>
      <xdr:colOff>171450</xdr:colOff>
      <xdr:row>15</xdr:row>
      <xdr:rowOff>190500</xdr:rowOff>
    </xdr:to>
    <xdr:sp macro="[0]!BotaoComLogin" textlink="">
      <xdr:nvSpPr>
        <xdr:cNvPr id="41" name="Círculo: Vazio 40">
          <a:extLst>
            <a:ext uri="{FF2B5EF4-FFF2-40B4-BE49-F238E27FC236}">
              <a16:creationId xmlns:a16="http://schemas.microsoft.com/office/drawing/2014/main" id="{D14E04D5-E4E6-4221-9E22-0D887BD73EF1}"/>
            </a:ext>
          </a:extLst>
        </xdr:cNvPr>
        <xdr:cNvSpPr/>
      </xdr:nvSpPr>
      <xdr:spPr>
        <a:xfrm>
          <a:off x="12249150" y="4953000"/>
          <a:ext cx="457200" cy="4572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133350</xdr:colOff>
      <xdr:row>22</xdr:row>
      <xdr:rowOff>285750</xdr:rowOff>
    </xdr:from>
    <xdr:to>
      <xdr:col>24</xdr:col>
      <xdr:colOff>515199</xdr:colOff>
      <xdr:row>45</xdr:row>
      <xdr:rowOff>247650</xdr:rowOff>
    </xdr:to>
    <xdr:graphicFrame macro="">
      <xdr:nvGraphicFramePr>
        <xdr:cNvPr id="42" name="Gráfico 41">
          <a:extLst>
            <a:ext uri="{FF2B5EF4-FFF2-40B4-BE49-F238E27FC236}">
              <a16:creationId xmlns:a16="http://schemas.microsoft.com/office/drawing/2014/main" id="{A58E4694-49DB-457D-9505-DE808B2B1D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285750</xdr:colOff>
      <xdr:row>3</xdr:row>
      <xdr:rowOff>182683</xdr:rowOff>
    </xdr:from>
    <xdr:to>
      <xdr:col>5</xdr:col>
      <xdr:colOff>635442</xdr:colOff>
      <xdr:row>5</xdr:row>
      <xdr:rowOff>171450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A2EF78E8-1936-433D-84CA-B19738E669B5}"/>
            </a:ext>
          </a:extLst>
        </xdr:cNvPr>
        <xdr:cNvSpPr/>
      </xdr:nvSpPr>
      <xdr:spPr>
        <a:xfrm>
          <a:off x="285750" y="1344733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354450</xdr:colOff>
      <xdr:row>3</xdr:row>
      <xdr:rowOff>201151</xdr:rowOff>
    </xdr:from>
    <xdr:to>
      <xdr:col>19</xdr:col>
      <xdr:colOff>95250</xdr:colOff>
      <xdr:row>6</xdr:row>
      <xdr:rowOff>1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400EBBFF-35F4-4E32-9C51-DA483560A06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63201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7</xdr:col>
      <xdr:colOff>571500</xdr:colOff>
      <xdr:row>3</xdr:row>
      <xdr:rowOff>201151</xdr:rowOff>
    </xdr:from>
    <xdr:to>
      <xdr:col>10</xdr:col>
      <xdr:colOff>369450</xdr:colOff>
      <xdr:row>6</xdr:row>
      <xdr:rowOff>1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D2E29B54-56DE-4F60-8A80-287F197976A5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63201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4</xdr:col>
      <xdr:colOff>0</xdr:colOff>
      <xdr:row>0</xdr:row>
      <xdr:rowOff>0</xdr:rowOff>
    </xdr:from>
    <xdr:to>
      <xdr:col>40</xdr:col>
      <xdr:colOff>325758</xdr:colOff>
      <xdr:row>3</xdr:row>
      <xdr:rowOff>0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9DD942D4-A0DF-44DF-B452-A80B9E90C63B}"/>
            </a:ext>
          </a:extLst>
        </xdr:cNvPr>
        <xdr:cNvGrpSpPr/>
      </xdr:nvGrpSpPr>
      <xdr:grpSpPr>
        <a:xfrm>
          <a:off x="2438400" y="0"/>
          <a:ext cx="30539058" cy="1162050"/>
          <a:chOff x="2419350" y="0"/>
          <a:chExt cx="30546678" cy="1162050"/>
        </a:xfrm>
      </xdr:grpSpPr>
      <xdr:grpSp>
        <xdr:nvGrpSpPr>
          <xdr:cNvPr id="48" name="Agrupar 47">
            <a:extLst>
              <a:ext uri="{FF2B5EF4-FFF2-40B4-BE49-F238E27FC236}">
                <a16:creationId xmlns:a16="http://schemas.microsoft.com/office/drawing/2014/main" id="{6EA6089A-F1F9-4853-B6D8-3691AF020D7E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19350" y="0"/>
            <a:ext cx="1460344" cy="1162050"/>
            <a:chOff x="1993654" y="0"/>
            <a:chExt cx="1022595" cy="781538"/>
          </a:xfrm>
        </xdr:grpSpPr>
        <xdr:sp macro="" textlink="">
          <xdr:nvSpPr>
            <xdr:cNvPr id="81" name="Retângulo 80">
              <a:extLst>
                <a:ext uri="{FF2B5EF4-FFF2-40B4-BE49-F238E27FC236}">
                  <a16:creationId xmlns:a16="http://schemas.microsoft.com/office/drawing/2014/main" id="{CB30D25D-7CCE-4FA5-AC51-CB30B467841B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82" name="Imagem 9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9800F053-F9A9-4570-9854-7EE20CBDCA9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83" name="CaixaDeTexto 82">
              <a:extLst>
                <a:ext uri="{FF2B5EF4-FFF2-40B4-BE49-F238E27FC236}">
                  <a16:creationId xmlns:a16="http://schemas.microsoft.com/office/drawing/2014/main" id="{8D75AC37-7679-43C8-84CC-679EBDE196AC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49" name="Agrupar 48">
            <a:extLst>
              <a:ext uri="{FF2B5EF4-FFF2-40B4-BE49-F238E27FC236}">
                <a16:creationId xmlns:a16="http://schemas.microsoft.com/office/drawing/2014/main" id="{26D03E39-FF55-4941-A7A5-736199C22D5B}"/>
              </a:ext>
            </a:extLst>
          </xdr:cNvPr>
          <xdr:cNvGrpSpPr/>
        </xdr:nvGrpSpPr>
        <xdr:grpSpPr>
          <a:xfrm>
            <a:off x="5918746" y="0"/>
            <a:ext cx="1591474" cy="1162050"/>
            <a:chOff x="3131328" y="0"/>
            <a:chExt cx="1118289" cy="781538"/>
          </a:xfrm>
        </xdr:grpSpPr>
        <xdr:sp macro="" textlink="">
          <xdr:nvSpPr>
            <xdr:cNvPr id="78" name="Retângulo 77">
              <a:extLst>
                <a:ext uri="{FF2B5EF4-FFF2-40B4-BE49-F238E27FC236}">
                  <a16:creationId xmlns:a16="http://schemas.microsoft.com/office/drawing/2014/main" id="{CF439F70-A3DB-4723-AE38-3F965F8E2B7A}"/>
                </a:ext>
              </a:extLst>
            </xdr:cNvPr>
            <xdr:cNvSpPr/>
          </xdr:nvSpPr>
          <xdr:spPr>
            <a:xfrm>
              <a:off x="3178174" y="0"/>
              <a:ext cx="1022595" cy="781538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9" name="CaixaDeTexto 78">
              <a:extLst>
                <a:ext uri="{FF2B5EF4-FFF2-40B4-BE49-F238E27FC236}">
                  <a16:creationId xmlns:a16="http://schemas.microsoft.com/office/drawing/2014/main" id="{806456FC-733C-4CFF-B5FE-C79CD84A2704}"/>
                </a:ext>
              </a:extLst>
            </xdr:cNvPr>
            <xdr:cNvSpPr txBox="1"/>
          </xdr:nvSpPr>
          <xdr:spPr>
            <a:xfrm rot="10800000" flipH="1" flipV="1">
              <a:off x="3131328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80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838929F4-9FF3-4897-A41A-42389AB24EC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480365" y="84878"/>
              <a:ext cx="418213" cy="416396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50" name="Agrupar 49">
            <a:extLst>
              <a:ext uri="{FF2B5EF4-FFF2-40B4-BE49-F238E27FC236}">
                <a16:creationId xmlns:a16="http://schemas.microsoft.com/office/drawing/2014/main" id="{2E7615D5-9E64-4710-8717-890100F8CAB1}"/>
              </a:ext>
            </a:extLst>
          </xdr:cNvPr>
          <xdr:cNvGrpSpPr/>
        </xdr:nvGrpSpPr>
        <xdr:grpSpPr>
          <a:xfrm>
            <a:off x="9549272" y="0"/>
            <a:ext cx="1598566" cy="1162050"/>
            <a:chOff x="4450172" y="0"/>
            <a:chExt cx="1118289" cy="781538"/>
          </a:xfrm>
        </xdr:grpSpPr>
        <xdr:sp macro="" textlink="">
          <xdr:nvSpPr>
            <xdr:cNvPr id="75" name="Retângulo 74">
              <a:extLst>
                <a:ext uri="{FF2B5EF4-FFF2-40B4-BE49-F238E27FC236}">
                  <a16:creationId xmlns:a16="http://schemas.microsoft.com/office/drawing/2014/main" id="{1CFF52B5-AE6C-4F6C-A9D2-2C428556A11C}"/>
                </a:ext>
              </a:extLst>
            </xdr:cNvPr>
            <xdr:cNvSpPr/>
          </xdr:nvSpPr>
          <xdr:spPr>
            <a:xfrm>
              <a:off x="4484806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6" name="CaixaDeTexto 75">
              <a:extLst>
                <a:ext uri="{FF2B5EF4-FFF2-40B4-BE49-F238E27FC236}">
                  <a16:creationId xmlns:a16="http://schemas.microsoft.com/office/drawing/2014/main" id="{FE1C33C8-8CD2-4FE9-8BC3-92749EA7FC2F}"/>
                </a:ext>
              </a:extLst>
            </xdr:cNvPr>
            <xdr:cNvSpPr txBox="1"/>
          </xdr:nvSpPr>
          <xdr:spPr>
            <a:xfrm rot="10800000" flipH="1" flipV="1">
              <a:off x="4450172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77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5FE926F-585D-4EDD-9995-ED0B082A64D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4786997" y="91651"/>
              <a:ext cx="418213" cy="402850"/>
            </a:xfrm>
            <a:prstGeom prst="rect">
              <a:avLst/>
            </a:prstGeom>
          </xdr:spPr>
        </xdr:pic>
      </xdr:grpSp>
      <xdr:grpSp>
        <xdr:nvGrpSpPr>
          <xdr:cNvPr id="51" name="Agrupar 50">
            <a:extLst>
              <a:ext uri="{FF2B5EF4-FFF2-40B4-BE49-F238E27FC236}">
                <a16:creationId xmlns:a16="http://schemas.microsoft.com/office/drawing/2014/main" id="{2EF98064-FA72-423F-9F98-ADD0505109BB}"/>
              </a:ext>
            </a:extLst>
          </xdr:cNvPr>
          <xdr:cNvGrpSpPr/>
        </xdr:nvGrpSpPr>
        <xdr:grpSpPr>
          <a:xfrm>
            <a:off x="13186890" y="0"/>
            <a:ext cx="1591491" cy="1162050"/>
            <a:chOff x="5781229" y="0"/>
            <a:chExt cx="1118289" cy="781538"/>
          </a:xfrm>
        </xdr:grpSpPr>
        <xdr:sp macro="" textlink="">
          <xdr:nvSpPr>
            <xdr:cNvPr id="72" name="Retângulo 71">
              <a:extLst>
                <a:ext uri="{FF2B5EF4-FFF2-40B4-BE49-F238E27FC236}">
                  <a16:creationId xmlns:a16="http://schemas.microsoft.com/office/drawing/2014/main" id="{E61C47F2-7926-4CB3-99FD-56E50C660C9B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3" name="CaixaDeTexto 72">
              <a:extLst>
                <a:ext uri="{FF2B5EF4-FFF2-40B4-BE49-F238E27FC236}">
                  <a16:creationId xmlns:a16="http://schemas.microsoft.com/office/drawing/2014/main" id="{CC27FFB1-EDDB-4347-A02E-2274B915A9F9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74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C61E476E-270C-49CD-AE42-7AF6E3CB5EC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52" name="Agrupar 51">
            <a:extLst>
              <a:ext uri="{FF2B5EF4-FFF2-40B4-BE49-F238E27FC236}">
                <a16:creationId xmlns:a16="http://schemas.microsoft.com/office/drawing/2014/main" id="{A2D11322-21F3-4500-BB5A-C0CCD052DF34}"/>
              </a:ext>
            </a:extLst>
          </xdr:cNvPr>
          <xdr:cNvGrpSpPr/>
        </xdr:nvGrpSpPr>
        <xdr:grpSpPr>
          <a:xfrm>
            <a:off x="16817433" y="0"/>
            <a:ext cx="1612288" cy="1162050"/>
            <a:chOff x="7112293" y="0"/>
            <a:chExt cx="1118289" cy="781538"/>
          </a:xfrm>
        </xdr:grpSpPr>
        <xdr:sp macro="" textlink="">
          <xdr:nvSpPr>
            <xdr:cNvPr id="69" name="Retângulo 68">
              <a:extLst>
                <a:ext uri="{FF2B5EF4-FFF2-40B4-BE49-F238E27FC236}">
                  <a16:creationId xmlns:a16="http://schemas.microsoft.com/office/drawing/2014/main" id="{B202A55B-5D26-48A8-817D-06ADAEFF99E0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0" name="CaixaDeTexto 69">
              <a:extLst>
                <a:ext uri="{FF2B5EF4-FFF2-40B4-BE49-F238E27FC236}">
                  <a16:creationId xmlns:a16="http://schemas.microsoft.com/office/drawing/2014/main" id="{2C131DB3-64F6-47B3-BE4E-3D982123243B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71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C6A357B8-0416-4E1F-9BC6-8FB90AB28E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53" name="Agrupar 52">
            <a:extLst>
              <a:ext uri="{FF2B5EF4-FFF2-40B4-BE49-F238E27FC236}">
                <a16:creationId xmlns:a16="http://schemas.microsoft.com/office/drawing/2014/main" id="{0B50F937-C807-4750-8955-5278DD09BD1C}"/>
              </a:ext>
            </a:extLst>
          </xdr:cNvPr>
          <xdr:cNvGrpSpPr/>
        </xdr:nvGrpSpPr>
        <xdr:grpSpPr>
          <a:xfrm>
            <a:off x="20468773" y="0"/>
            <a:ext cx="1592907" cy="1162050"/>
            <a:chOff x="8443355" y="0"/>
            <a:chExt cx="1118289" cy="781538"/>
          </a:xfrm>
        </xdr:grpSpPr>
        <xdr:sp macro="" textlink="">
          <xdr:nvSpPr>
            <xdr:cNvPr id="66" name="Retângulo 65">
              <a:extLst>
                <a:ext uri="{FF2B5EF4-FFF2-40B4-BE49-F238E27FC236}">
                  <a16:creationId xmlns:a16="http://schemas.microsoft.com/office/drawing/2014/main" id="{DCD824C7-4F39-433F-82AF-64FFD8016AE8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7" name="CaixaDeTexto 66">
              <a:extLst>
                <a:ext uri="{FF2B5EF4-FFF2-40B4-BE49-F238E27FC236}">
                  <a16:creationId xmlns:a16="http://schemas.microsoft.com/office/drawing/2014/main" id="{7DE81D56-6DB0-4F06-8132-D77B2FB11DBA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68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D9A5B157-0809-4A9B-A203-5FCBF7694FA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54" name="Agrupar 53">
            <a:extLst>
              <a:ext uri="{FF2B5EF4-FFF2-40B4-BE49-F238E27FC236}">
                <a16:creationId xmlns:a16="http://schemas.microsoft.com/office/drawing/2014/main" id="{DC40C0BA-9C64-4278-911B-6F56DD9C5975}"/>
              </a:ext>
            </a:extLst>
          </xdr:cNvPr>
          <xdr:cNvGrpSpPr/>
        </xdr:nvGrpSpPr>
        <xdr:grpSpPr>
          <a:xfrm>
            <a:off x="24100732" y="0"/>
            <a:ext cx="1590058" cy="1162050"/>
            <a:chOff x="9774419" y="0"/>
            <a:chExt cx="1118289" cy="781538"/>
          </a:xfrm>
        </xdr:grpSpPr>
        <xdr:sp macro="" textlink="">
          <xdr:nvSpPr>
            <xdr:cNvPr id="63" name="Retângulo 62">
              <a:extLst>
                <a:ext uri="{FF2B5EF4-FFF2-40B4-BE49-F238E27FC236}">
                  <a16:creationId xmlns:a16="http://schemas.microsoft.com/office/drawing/2014/main" id="{344A1167-6E09-44B1-A32D-9F86783285EE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4" name="CaixaDeTexto 63">
              <a:extLst>
                <a:ext uri="{FF2B5EF4-FFF2-40B4-BE49-F238E27FC236}">
                  <a16:creationId xmlns:a16="http://schemas.microsoft.com/office/drawing/2014/main" id="{0E7F3FBE-DDF4-4407-9AB0-32853E8116D4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65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CCBEA583-8831-4E96-88FA-8A4CBCB046C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55" name="Agrupar 54">
            <a:extLst>
              <a:ext uri="{FF2B5EF4-FFF2-40B4-BE49-F238E27FC236}">
                <a16:creationId xmlns:a16="http://schemas.microsoft.com/office/drawing/2014/main" id="{53A7A20F-D388-4793-A7E1-BDCF210B3A99}"/>
              </a:ext>
            </a:extLst>
          </xdr:cNvPr>
          <xdr:cNvGrpSpPr/>
        </xdr:nvGrpSpPr>
        <xdr:grpSpPr>
          <a:xfrm>
            <a:off x="27729842" y="0"/>
            <a:ext cx="1598568" cy="1162050"/>
            <a:chOff x="11105473" y="0"/>
            <a:chExt cx="1118289" cy="781538"/>
          </a:xfrm>
        </xdr:grpSpPr>
        <xdr:sp macro="" textlink="">
          <xdr:nvSpPr>
            <xdr:cNvPr id="60" name="Retângulo 59">
              <a:extLst>
                <a:ext uri="{FF2B5EF4-FFF2-40B4-BE49-F238E27FC236}">
                  <a16:creationId xmlns:a16="http://schemas.microsoft.com/office/drawing/2014/main" id="{7A0C6223-7917-4436-9F13-877E05B8A7FC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1" name="CaixaDeTexto 60">
              <a:extLst>
                <a:ext uri="{FF2B5EF4-FFF2-40B4-BE49-F238E27FC236}">
                  <a16:creationId xmlns:a16="http://schemas.microsoft.com/office/drawing/2014/main" id="{40B84F6E-E2D0-42BF-8F44-08AE1400FBEB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62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D3D324D3-8D5B-4F3E-B0E9-5DF0120400C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56" name="Agrupar 55">
            <a:extLst>
              <a:ext uri="{FF2B5EF4-FFF2-40B4-BE49-F238E27FC236}">
                <a16:creationId xmlns:a16="http://schemas.microsoft.com/office/drawing/2014/main" id="{51BC4476-75F2-4E1A-8C63-A9F67D811DA5}"/>
              </a:ext>
            </a:extLst>
          </xdr:cNvPr>
          <xdr:cNvGrpSpPr/>
        </xdr:nvGrpSpPr>
        <xdr:grpSpPr>
          <a:xfrm>
            <a:off x="31367460" y="0"/>
            <a:ext cx="1598568" cy="1162050"/>
            <a:chOff x="12260227" y="0"/>
            <a:chExt cx="1118316" cy="770164"/>
          </a:xfrm>
        </xdr:grpSpPr>
        <xdr:sp macro="" textlink="">
          <xdr:nvSpPr>
            <xdr:cNvPr id="57" name="Retângulo 56">
              <a:extLst>
                <a:ext uri="{FF2B5EF4-FFF2-40B4-BE49-F238E27FC236}">
                  <a16:creationId xmlns:a16="http://schemas.microsoft.com/office/drawing/2014/main" id="{19D1D1C4-D618-4042-92DB-677368CA1897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8" name="CaixaDeTexto 57">
              <a:extLst>
                <a:ext uri="{FF2B5EF4-FFF2-40B4-BE49-F238E27FC236}">
                  <a16:creationId xmlns:a16="http://schemas.microsoft.com/office/drawing/2014/main" id="{5731EBED-3714-4FF8-A64D-4E41FD4D5B2D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59" name="Imagem 58" descr="Ícone do banco de dados (símbolo png) preto">
              <a:extLst>
                <a:ext uri="{FF2B5EF4-FFF2-40B4-BE49-F238E27FC236}">
                  <a16:creationId xmlns:a16="http://schemas.microsoft.com/office/drawing/2014/main" id="{A7F5EE73-D215-4EEB-AB8E-A24E25A4BE35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438150</xdr:colOff>
      <xdr:row>2</xdr:row>
      <xdr:rowOff>769747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690ED7EE-2CDB-4692-A564-2EF9ED92BAE6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2"/>
        <a:srcRect l="9252" t="39637" r="14079" b="25703"/>
        <a:stretch/>
      </xdr:blipFill>
      <xdr:spPr>
        <a:xfrm>
          <a:off x="0" y="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19</xdr:col>
      <xdr:colOff>1752600</xdr:colOff>
      <xdr:row>3</xdr:row>
      <xdr:rowOff>163050</xdr:rowOff>
    </xdr:from>
    <xdr:to>
      <xdr:col>22</xdr:col>
      <xdr:colOff>483750</xdr:colOff>
      <xdr:row>5</xdr:row>
      <xdr:rowOff>152400</xdr:rowOff>
    </xdr:to>
    <xdr:sp macro="" textlink="">
      <xdr:nvSpPr>
        <xdr:cNvPr id="85" name="Retângulo 84">
          <a:extLst>
            <a:ext uri="{FF2B5EF4-FFF2-40B4-BE49-F238E27FC236}">
              <a16:creationId xmlns:a16="http://schemas.microsoft.com/office/drawing/2014/main" id="{9854D1A0-20CD-4B5D-B30B-00FAC2E6D67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16300" y="132510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1615770</xdr:colOff>
      <xdr:row>2</xdr:row>
      <xdr:rowOff>133894</xdr:rowOff>
    </xdr:from>
    <xdr:to>
      <xdr:col>6</xdr:col>
      <xdr:colOff>674705</xdr:colOff>
      <xdr:row>2</xdr:row>
      <xdr:rowOff>388325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 txBox="1"/>
      </xdr:nvSpPr>
      <xdr:spPr>
        <a:xfrm rot="10800000" flipH="1" flipV="1">
          <a:off x="4450172" y="514894"/>
          <a:ext cx="1118289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5</xdr:col>
      <xdr:colOff>1952595</xdr:colOff>
      <xdr:row>0</xdr:row>
      <xdr:rowOff>91651</xdr:rowOff>
    </xdr:from>
    <xdr:to>
      <xdr:col>6</xdr:col>
      <xdr:colOff>312431</xdr:colOff>
      <xdr:row>2</xdr:row>
      <xdr:rowOff>113501</xdr:rowOff>
    </xdr:to>
    <xdr:pic>
      <xdr:nvPicPr>
        <xdr:cNvPr id="16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86997" y="91651"/>
          <a:ext cx="418213" cy="40285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845700</xdr:colOff>
      <xdr:row>5</xdr:row>
      <xdr:rowOff>179850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40AF9AC3-AE9B-4BF4-A4AD-F3E97E5BD7B5}"/>
            </a:ext>
          </a:extLst>
        </xdr:cNvPr>
        <xdr:cNvSpPr/>
      </xdr:nvSpPr>
      <xdr:spPr>
        <a:xfrm>
          <a:off x="266700" y="135255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952500</xdr:colOff>
      <xdr:row>3</xdr:row>
      <xdr:rowOff>190500</xdr:rowOff>
    </xdr:from>
    <xdr:to>
      <xdr:col>7</xdr:col>
      <xdr:colOff>921900</xdr:colOff>
      <xdr:row>5</xdr:row>
      <xdr:rowOff>179850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C848A7C6-D013-4CEC-BF4A-0C55D6414E9F}"/>
            </a:ext>
          </a:extLst>
        </xdr:cNvPr>
        <xdr:cNvSpPr/>
      </xdr:nvSpPr>
      <xdr:spPr>
        <a:xfrm>
          <a:off x="5829300" y="13525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8</xdr:col>
      <xdr:colOff>640200</xdr:colOff>
      <xdr:row>3</xdr:row>
      <xdr:rowOff>209552</xdr:rowOff>
    </xdr:from>
    <xdr:to>
      <xdr:col>10</xdr:col>
      <xdr:colOff>1200150</xdr:colOff>
      <xdr:row>6</xdr:row>
      <xdr:rowOff>8402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6614F270-C3E8-4DA4-B197-D0A65514F2CC}"/>
            </a:ext>
          </a:extLst>
        </xdr:cNvPr>
        <xdr:cNvSpPr/>
      </xdr:nvSpPr>
      <xdr:spPr>
        <a:xfrm>
          <a:off x="11041500" y="13716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10</xdr:col>
      <xdr:colOff>2857500</xdr:colOff>
      <xdr:row>3</xdr:row>
      <xdr:rowOff>171452</xdr:rowOff>
    </xdr:from>
    <xdr:to>
      <xdr:col>12</xdr:col>
      <xdr:colOff>731400</xdr:colOff>
      <xdr:row>5</xdr:row>
      <xdr:rowOff>160802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9FD508A8-0C9B-43AF-B0B7-5639D954104C}"/>
            </a:ext>
          </a:extLst>
        </xdr:cNvPr>
        <xdr:cNvSpPr/>
      </xdr:nvSpPr>
      <xdr:spPr>
        <a:xfrm>
          <a:off x="16097250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13</xdr:col>
      <xdr:colOff>640896</xdr:colOff>
      <xdr:row>3</xdr:row>
      <xdr:rowOff>171452</xdr:rowOff>
    </xdr:from>
    <xdr:to>
      <xdr:col>14</xdr:col>
      <xdr:colOff>534096</xdr:colOff>
      <xdr:row>5</xdr:row>
      <xdr:rowOff>160802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DC3EA4EA-D623-49F1-8D39-41821F3EF0FA}"/>
            </a:ext>
          </a:extLst>
        </xdr:cNvPr>
        <xdr:cNvSpPr/>
      </xdr:nvSpPr>
      <xdr:spPr>
        <a:xfrm>
          <a:off x="21119646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14</xdr:col>
      <xdr:colOff>2158093</xdr:colOff>
      <xdr:row>3</xdr:row>
      <xdr:rowOff>171452</xdr:rowOff>
    </xdr:from>
    <xdr:to>
      <xdr:col>15</xdr:col>
      <xdr:colOff>2698993</xdr:colOff>
      <xdr:row>5</xdr:row>
      <xdr:rowOff>160802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E4631C0A-D19F-4D54-BBD1-1CA97DB843D4}"/>
            </a:ext>
          </a:extLst>
        </xdr:cNvPr>
        <xdr:cNvSpPr/>
      </xdr:nvSpPr>
      <xdr:spPr>
        <a:xfrm>
          <a:off x="26142043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16</xdr:col>
      <xdr:colOff>571500</xdr:colOff>
      <xdr:row>3</xdr:row>
      <xdr:rowOff>342900</xdr:rowOff>
    </xdr:from>
    <xdr:to>
      <xdr:col>17</xdr:col>
      <xdr:colOff>419100</xdr:colOff>
      <xdr:row>5</xdr:row>
      <xdr:rowOff>29936</xdr:rowOff>
    </xdr:to>
    <xdr:sp macro="[0]!BotaoComLogin" textlink="">
      <xdr:nvSpPr>
        <xdr:cNvPr id="46" name="Círculo: Vazio 45">
          <a:extLst>
            <a:ext uri="{FF2B5EF4-FFF2-40B4-BE49-F238E27FC236}">
              <a16:creationId xmlns:a16="http://schemas.microsoft.com/office/drawing/2014/main" id="{51ED14EE-DF5E-4F05-B1D7-0071555AB6C6}"/>
            </a:ext>
          </a:extLst>
        </xdr:cNvPr>
        <xdr:cNvSpPr/>
      </xdr:nvSpPr>
      <xdr:spPr>
        <a:xfrm>
          <a:off x="30270450" y="1504950"/>
          <a:ext cx="457200" cy="46808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1AB7B0DD-FB06-421F-9690-CCA1966000A7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21</xdr:col>
      <xdr:colOff>230508</xdr:colOff>
      <xdr:row>3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659F94F6-A5B8-4FBB-B18B-D5CC30C0D270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29" name="Agrupar 28">
            <a:extLst>
              <a:ext uri="{FF2B5EF4-FFF2-40B4-BE49-F238E27FC236}">
                <a16:creationId xmlns:a16="http://schemas.microsoft.com/office/drawing/2014/main" id="{DBC0329D-72D4-45E8-84B5-79585B9A3B47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70" name="Retângulo 69">
              <a:extLst>
                <a:ext uri="{FF2B5EF4-FFF2-40B4-BE49-F238E27FC236}">
                  <a16:creationId xmlns:a16="http://schemas.microsoft.com/office/drawing/2014/main" id="{ACB56EBB-1BD1-4220-B001-1114A4DDDFED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71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455B680D-F024-4648-BB6B-EC125C17FA5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72" name="CaixaDeTexto 71">
              <a:extLst>
                <a:ext uri="{FF2B5EF4-FFF2-40B4-BE49-F238E27FC236}">
                  <a16:creationId xmlns:a16="http://schemas.microsoft.com/office/drawing/2014/main" id="{5070C323-4F6A-4317-A529-0A5CC2C8A0F9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67396995-20F5-4620-A4CC-95C165CAFD62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67" name="Retângulo 66">
              <a:extLst>
                <a:ext uri="{FF2B5EF4-FFF2-40B4-BE49-F238E27FC236}">
                  <a16:creationId xmlns:a16="http://schemas.microsoft.com/office/drawing/2014/main" id="{70812E4A-7B18-439E-844F-BD7ECA7E487A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8" name="CaixaDeTexto 67">
              <a:extLst>
                <a:ext uri="{FF2B5EF4-FFF2-40B4-BE49-F238E27FC236}">
                  <a16:creationId xmlns:a16="http://schemas.microsoft.com/office/drawing/2014/main" id="{C5DF049E-BB40-4160-8C38-1740045DA3B5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6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E2705AF3-C447-4AB7-BF33-5773A13F7E8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FAE089E5-C30A-4D06-919A-D1FDE4577291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64" name="Retângulo 63">
              <a:extLst>
                <a:ext uri="{FF2B5EF4-FFF2-40B4-BE49-F238E27FC236}">
                  <a16:creationId xmlns:a16="http://schemas.microsoft.com/office/drawing/2014/main" id="{61EB224C-595E-4E01-A559-8C2ADFFB05E5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5" name="CaixaDeTexto 64">
              <a:extLst>
                <a:ext uri="{FF2B5EF4-FFF2-40B4-BE49-F238E27FC236}">
                  <a16:creationId xmlns:a16="http://schemas.microsoft.com/office/drawing/2014/main" id="{E094E5E2-5E3F-452D-9A8D-6D44DF8814B9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6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516F19C-68B7-4E45-8819-639AB26C22D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32" name="Agrupar 31">
            <a:extLst>
              <a:ext uri="{FF2B5EF4-FFF2-40B4-BE49-F238E27FC236}">
                <a16:creationId xmlns:a16="http://schemas.microsoft.com/office/drawing/2014/main" id="{57986F1E-D922-45B9-8334-5912E9C52E96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61" name="Retângulo 60">
              <a:extLst>
                <a:ext uri="{FF2B5EF4-FFF2-40B4-BE49-F238E27FC236}">
                  <a16:creationId xmlns:a16="http://schemas.microsoft.com/office/drawing/2014/main" id="{23B508FC-DF41-4A1E-8BC0-37CC75F10928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2" name="CaixaDeTexto 61">
              <a:extLst>
                <a:ext uri="{FF2B5EF4-FFF2-40B4-BE49-F238E27FC236}">
                  <a16:creationId xmlns:a16="http://schemas.microsoft.com/office/drawing/2014/main" id="{E914EE36-78CB-48A9-98E0-7B30468C5902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6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82C2071-0B7D-4BAE-A826-446A71D44B1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33" name="Agrupar 32">
            <a:extLst>
              <a:ext uri="{FF2B5EF4-FFF2-40B4-BE49-F238E27FC236}">
                <a16:creationId xmlns:a16="http://schemas.microsoft.com/office/drawing/2014/main" id="{9B77ED5A-6449-43E2-B86F-3137AA4C49B9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58" name="Retângulo 57">
              <a:extLst>
                <a:ext uri="{FF2B5EF4-FFF2-40B4-BE49-F238E27FC236}">
                  <a16:creationId xmlns:a16="http://schemas.microsoft.com/office/drawing/2014/main" id="{D4243DB1-EB20-4F68-BCB4-66A3244822CC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9" name="CaixaDeTexto 58">
              <a:extLst>
                <a:ext uri="{FF2B5EF4-FFF2-40B4-BE49-F238E27FC236}">
                  <a16:creationId xmlns:a16="http://schemas.microsoft.com/office/drawing/2014/main" id="{11915277-CCE7-4BD7-BF82-137AC7508ED8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6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2AD9C40-5794-43CB-A4C7-4C0C3481746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34" name="Agrupar 33">
            <a:extLst>
              <a:ext uri="{FF2B5EF4-FFF2-40B4-BE49-F238E27FC236}">
                <a16:creationId xmlns:a16="http://schemas.microsoft.com/office/drawing/2014/main" id="{F5DC523D-1783-485F-84BA-2705E56DEC49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55" name="Retângulo 54">
              <a:extLst>
                <a:ext uri="{FF2B5EF4-FFF2-40B4-BE49-F238E27FC236}">
                  <a16:creationId xmlns:a16="http://schemas.microsoft.com/office/drawing/2014/main" id="{D26CFE17-C82B-4AD0-82DE-66D4CD86BDC9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6" name="CaixaDeTexto 55">
              <a:extLst>
                <a:ext uri="{FF2B5EF4-FFF2-40B4-BE49-F238E27FC236}">
                  <a16:creationId xmlns:a16="http://schemas.microsoft.com/office/drawing/2014/main" id="{748E2A1B-0DAB-40AC-92EC-2BAFB40230DC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5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4501E5E-214B-4231-8473-31C40F7158D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35" name="Agrupar 34">
            <a:extLst>
              <a:ext uri="{FF2B5EF4-FFF2-40B4-BE49-F238E27FC236}">
                <a16:creationId xmlns:a16="http://schemas.microsoft.com/office/drawing/2014/main" id="{30AED1C0-CA2B-4AE9-B134-4C66D0FED7DA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52" name="Retângulo 51">
              <a:extLst>
                <a:ext uri="{FF2B5EF4-FFF2-40B4-BE49-F238E27FC236}">
                  <a16:creationId xmlns:a16="http://schemas.microsoft.com/office/drawing/2014/main" id="{773058B3-297D-4558-8CBF-F80E6E4E7850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3" name="CaixaDeTexto 52">
              <a:extLst>
                <a:ext uri="{FF2B5EF4-FFF2-40B4-BE49-F238E27FC236}">
                  <a16:creationId xmlns:a16="http://schemas.microsoft.com/office/drawing/2014/main" id="{71A8CAE2-9559-40AA-974B-5541829C7828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54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876FD07-6135-4E32-8C93-63D5EBA49F3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36" name="Agrupar 35">
            <a:extLst>
              <a:ext uri="{FF2B5EF4-FFF2-40B4-BE49-F238E27FC236}">
                <a16:creationId xmlns:a16="http://schemas.microsoft.com/office/drawing/2014/main" id="{EE5C11E8-3833-4DA2-9027-602B4DA07BBF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49" name="Retângulo 48">
              <a:extLst>
                <a:ext uri="{FF2B5EF4-FFF2-40B4-BE49-F238E27FC236}">
                  <a16:creationId xmlns:a16="http://schemas.microsoft.com/office/drawing/2014/main" id="{08EEC6FF-141D-46C3-9328-414FAA61BA65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0" name="CaixaDeTexto 49">
              <a:extLst>
                <a:ext uri="{FF2B5EF4-FFF2-40B4-BE49-F238E27FC236}">
                  <a16:creationId xmlns:a16="http://schemas.microsoft.com/office/drawing/2014/main" id="{B930003C-D9AE-45AA-B72F-E43ACC4F7BD2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51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9678B13A-06EA-4913-B035-2AB2BE65F3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37" name="Agrupar 36">
            <a:extLst>
              <a:ext uri="{FF2B5EF4-FFF2-40B4-BE49-F238E27FC236}">
                <a16:creationId xmlns:a16="http://schemas.microsoft.com/office/drawing/2014/main" id="{341FE64D-0CB6-4846-92A1-5A2FD0386C4D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38" name="Retângulo 37">
              <a:extLst>
                <a:ext uri="{FF2B5EF4-FFF2-40B4-BE49-F238E27FC236}">
                  <a16:creationId xmlns:a16="http://schemas.microsoft.com/office/drawing/2014/main" id="{855D405E-E3EF-4AF7-AC0C-1B8ADFC7F52F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9" name="CaixaDeTexto 38">
              <a:extLst>
                <a:ext uri="{FF2B5EF4-FFF2-40B4-BE49-F238E27FC236}">
                  <a16:creationId xmlns:a16="http://schemas.microsoft.com/office/drawing/2014/main" id="{F04D02A3-0122-49B5-9F5D-E0602B7822FC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48" name="Imagem 47" descr="Ícone do banco de dados (símbolo png) preto">
              <a:extLst>
                <a:ext uri="{FF2B5EF4-FFF2-40B4-BE49-F238E27FC236}">
                  <a16:creationId xmlns:a16="http://schemas.microsoft.com/office/drawing/2014/main" id="{8295F4D8-926F-4E6E-ABEF-BB9214AC62CD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A5A9444-C0E9-4DB3-AC4A-AC68ECE80C30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99C9F69-91E8-42C7-B9BA-0E2CC9422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9FC3853B-6846-4D45-83DC-530F549A9E77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75A6E65E-C32F-4FE3-8FCE-971BC9202D44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1573650</xdr:colOff>
      <xdr:row>3</xdr:row>
      <xdr:rowOff>209552</xdr:rowOff>
    </xdr:from>
    <xdr:to>
      <xdr:col>13</xdr:col>
      <xdr:colOff>971550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DE3F393C-BD4C-4DE4-ABFC-A9BDC8B5BAE0}"/>
            </a:ext>
          </a:extLst>
        </xdr:cNvPr>
        <xdr:cNvSpPr/>
      </xdr:nvSpPr>
      <xdr:spPr>
        <a:xfrm>
          <a:off x="11022450" y="1352552"/>
          <a:ext cx="340221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13</xdr:col>
      <xdr:colOff>2628900</xdr:colOff>
      <xdr:row>3</xdr:row>
      <xdr:rowOff>171452</xdr:rowOff>
    </xdr:from>
    <xdr:to>
      <xdr:col>15</xdr:col>
      <xdr:colOff>998100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48F317D0-C8DC-4D17-896A-7C471EE42A1D}"/>
            </a:ext>
          </a:extLst>
        </xdr:cNvPr>
        <xdr:cNvSpPr/>
      </xdr:nvSpPr>
      <xdr:spPr>
        <a:xfrm>
          <a:off x="16082010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16</xdr:col>
      <xdr:colOff>374196</xdr:colOff>
      <xdr:row>3</xdr:row>
      <xdr:rowOff>171452</xdr:rowOff>
    </xdr:from>
    <xdr:to>
      <xdr:col>17</xdr:col>
      <xdr:colOff>1219896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D3F60EBA-3C70-43C0-9EA2-23CD807F8422}"/>
            </a:ext>
          </a:extLst>
        </xdr:cNvPr>
        <xdr:cNvSpPr/>
      </xdr:nvSpPr>
      <xdr:spPr>
        <a:xfrm>
          <a:off x="21104406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138793</xdr:colOff>
      <xdr:row>3</xdr:row>
      <xdr:rowOff>171452</xdr:rowOff>
    </xdr:from>
    <xdr:to>
      <xdr:col>24</xdr:col>
      <xdr:colOff>489193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C4F57878-C483-45A9-A400-589C8BB2ECD8}"/>
            </a:ext>
          </a:extLst>
        </xdr:cNvPr>
        <xdr:cNvSpPr/>
      </xdr:nvSpPr>
      <xdr:spPr>
        <a:xfrm>
          <a:off x="26126803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23</xdr:col>
      <xdr:colOff>304800</xdr:colOff>
      <xdr:row>11</xdr:row>
      <xdr:rowOff>19050</xdr:rowOff>
    </xdr:from>
    <xdr:to>
      <xdr:col>24</xdr:col>
      <xdr:colOff>152400</xdr:colOff>
      <xdr:row>12</xdr:row>
      <xdr:rowOff>125186</xdr:rowOff>
    </xdr:to>
    <xdr:sp macro="[0]!BotaoComLogin" textlink="">
      <xdr:nvSpPr>
        <xdr:cNvPr id="10" name="Círculo: Vazio 9">
          <a:extLst>
            <a:ext uri="{FF2B5EF4-FFF2-40B4-BE49-F238E27FC236}">
              <a16:creationId xmlns:a16="http://schemas.microsoft.com/office/drawing/2014/main" id="{52F9F7B1-4E38-4F63-8945-DB11E75453DB}"/>
            </a:ext>
          </a:extLst>
        </xdr:cNvPr>
        <xdr:cNvSpPr/>
      </xdr:nvSpPr>
      <xdr:spPr>
        <a:xfrm>
          <a:off x="28746450" y="3790950"/>
          <a:ext cx="457200" cy="46808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AD41383-AA64-401B-BB1B-06A400957886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30</xdr:col>
      <xdr:colOff>268608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FEAE5E1-3821-46BA-9F11-820456CC4E54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FA73073F-0647-46C6-8FB8-E5680BCBA716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1E1260FF-E42C-41BD-8DFF-4480D59F2B0B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4F452992-8991-4057-BE65-87584FA959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D6092158-A6D1-4C9C-942F-161562D094CD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BBEB7C33-E23C-48BC-BD82-B2C917CF263F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B151588F-177C-4379-9AA8-CF75D2BB5292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5C3EFB2C-E0AB-44A6-BB68-AE5D30A038B7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765042E-80D8-41F0-AF34-E9B431AF54D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E2787F60-C405-4012-BED6-46FB76C25A27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B054AC1A-61F6-4DA9-9713-30938F934250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E619B64C-E607-43DE-B62C-4710C203C6EE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99DC5510-9D9A-4F4F-81EC-23841DC3344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6DE37C33-4666-4D46-8CE2-F609A763DE92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20702453-EBCA-4BEE-BC48-25F8C1624D54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8E37FB79-2B5A-40FD-88E6-F3B3BCF283CF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FC236C86-7471-4C50-AD17-A1D10B6993E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BD17D19E-EB4C-42AC-85D1-B0A8CCCB4CFE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11EB871A-C252-436D-8689-0653D6CD78F6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01D3752D-2B81-4A6A-A78F-73D8CC1E96D6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CCCD1BF-71E9-463A-A2A2-799CEFC62F3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979622A7-7EBC-4922-A2E8-3EE85E94D094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0ADC81F0-B5E1-4BBF-A6C6-5FC9B524A21F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3DB8B14C-C312-4243-9B9C-6DA29A449009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988A24A4-4280-404F-92B2-D71E8FD5735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8198932C-FD80-41E5-9882-E3FF784DAF0C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D74AD763-A181-47CB-A617-30E99F59AF67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66FAA381-D526-4203-9DE3-AE6CD3A656A8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F7A24312-A00A-460F-B65C-50FEDC8E3B6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D2521B5E-BB4E-4165-9E01-A9AE4967DE15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911DC054-4D47-4357-8344-37FAC243F742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8A365D9D-5427-41A0-B637-5E87F9653C25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E044BBF3-EB65-43A1-A37F-6F11392A02B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97AC923D-EEC2-410A-98F3-493FD2B2CC08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33C20F95-C52D-42D1-B4B5-74E0A61B6DCF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C4683181-D8C4-436F-828F-38ED55A433BB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5ACF5A17-9FB0-44E0-8C97-C8B57C7DB421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332CBB9B-42E0-428F-B7D6-C19C3B2A4BDA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3D1184-65E3-4699-A509-D1FF62DF1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C7C9FB54-E97F-4E44-B4E4-564C321D1335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5FE90BFC-2831-481F-B0F0-6D81AA9627C7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1611750</xdr:colOff>
      <xdr:row>3</xdr:row>
      <xdr:rowOff>209552</xdr:rowOff>
    </xdr:from>
    <xdr:to>
      <xdr:col>13</xdr:col>
      <xdr:colOff>1428750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8169F5F8-FC79-4EC0-AEC9-CA241F02DDAF}"/>
            </a:ext>
          </a:extLst>
        </xdr:cNvPr>
        <xdr:cNvSpPr/>
      </xdr:nvSpPr>
      <xdr:spPr>
        <a:xfrm>
          <a:off x="11030070" y="1352552"/>
          <a:ext cx="3398400" cy="7513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1028700</xdr:colOff>
      <xdr:row>3</xdr:row>
      <xdr:rowOff>171452</xdr:rowOff>
    </xdr:from>
    <xdr:to>
      <xdr:col>15</xdr:col>
      <xdr:colOff>845700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5B53735D-7C10-4E06-B717-3F8F30B57BA5}"/>
            </a:ext>
          </a:extLst>
        </xdr:cNvPr>
        <xdr:cNvSpPr/>
      </xdr:nvSpPr>
      <xdr:spPr>
        <a:xfrm>
          <a:off x="16085820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16</xdr:col>
      <xdr:colOff>564696</xdr:colOff>
      <xdr:row>3</xdr:row>
      <xdr:rowOff>171452</xdr:rowOff>
    </xdr:from>
    <xdr:to>
      <xdr:col>18</xdr:col>
      <xdr:colOff>76896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B68D2A24-DEFC-4B80-87CE-507CB3AB6D1E}"/>
            </a:ext>
          </a:extLst>
        </xdr:cNvPr>
        <xdr:cNvSpPr/>
      </xdr:nvSpPr>
      <xdr:spPr>
        <a:xfrm>
          <a:off x="21085356" y="1314452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18</xdr:col>
      <xdr:colOff>1700893</xdr:colOff>
      <xdr:row>3</xdr:row>
      <xdr:rowOff>171452</xdr:rowOff>
    </xdr:from>
    <xdr:to>
      <xdr:col>23</xdr:col>
      <xdr:colOff>489193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F0ADDA53-DF65-47CA-8CE3-6232862F50D1}"/>
            </a:ext>
          </a:extLst>
        </xdr:cNvPr>
        <xdr:cNvSpPr/>
      </xdr:nvSpPr>
      <xdr:spPr>
        <a:xfrm>
          <a:off x="26107753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22</xdr:col>
      <xdr:colOff>304800</xdr:colOff>
      <xdr:row>11</xdr:row>
      <xdr:rowOff>19050</xdr:rowOff>
    </xdr:from>
    <xdr:to>
      <xdr:col>23</xdr:col>
      <xdr:colOff>152400</xdr:colOff>
      <xdr:row>12</xdr:row>
      <xdr:rowOff>125186</xdr:rowOff>
    </xdr:to>
    <xdr:sp macro="[0]!BotaoComLogin" textlink="">
      <xdr:nvSpPr>
        <xdr:cNvPr id="10" name="Círculo: Vazio 9">
          <a:extLst>
            <a:ext uri="{FF2B5EF4-FFF2-40B4-BE49-F238E27FC236}">
              <a16:creationId xmlns:a16="http://schemas.microsoft.com/office/drawing/2014/main" id="{612F9E51-33F1-4314-846A-F0972518AA87}"/>
            </a:ext>
          </a:extLst>
        </xdr:cNvPr>
        <xdr:cNvSpPr/>
      </xdr:nvSpPr>
      <xdr:spPr>
        <a:xfrm>
          <a:off x="28712160" y="3760470"/>
          <a:ext cx="457200" cy="47189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5DBA03EB-AE50-47AB-ACF6-26E3E4FD945D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29</xdr:col>
      <xdr:colOff>268608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F2759A86-849A-492E-BD16-5E8D3DE6A437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65FD128C-4E46-46E8-AAD4-98B01DD983EB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A24407F1-D12A-4726-8C55-85C0002B330B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9210C2AC-14BE-4A3B-8357-88E6C5AB365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44B43CA0-2B0E-4828-855F-6CC889231163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69C4C5CF-8097-4473-9873-A3BA088244BB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06A5E027-A7F7-4257-AF5D-85C59FAF72AC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CFA6C075-307C-4AE7-B9C1-C527F3308834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71BD1B3D-D471-4E4F-9D20-D2B4B30F8BD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B85847C9-7CE1-4B5F-8FEA-7901DE7C5724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514B9D7A-F973-4A13-BE3F-46C2786E9661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987C6092-480D-4D34-BEAA-82C72B19A1FF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309B487-5EA7-41B2-A058-B38EF259478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DB2EAB78-78FB-4003-8479-16617BE183DC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3AF6945F-618A-4995-8D67-EEB9ED48927B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51768FCE-5F04-4B9C-9C6B-E106C3A83B04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D15351F6-A177-4EA0-800D-68C9739FE6F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0225E516-02F8-4E4A-8EE6-8200E9545492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2FD67F15-836C-4457-9A8F-D61197892D19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9B9890AB-E06C-4D02-8E0C-F05C9038130C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A8751B4C-3BF4-476B-801C-F099100C96C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163293AE-43E4-4663-827C-162C34C24903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0BB5E6A3-1EC2-4178-825F-76918367A547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2CFF783D-E1F2-4298-AF0E-29CCE4C6BCDC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D7E565B-A81F-43E6-8465-672BB493F8E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32285D10-9049-47AC-851F-485C6AFB534D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D224B51F-DBCB-4D34-9EC1-162BBDE1080E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092A305D-309C-43D8-9623-E6EA214B5413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76100DF-5439-4446-812F-E85090364F7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2AD76C42-B054-4A8C-BF14-22307BE32457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DF7FCB38-859C-4017-9B17-DBFEB3A7DD95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5D9EA1AB-1FA8-4905-BC0D-D4163173056F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7EB2D1CC-202A-405F-AD5B-80C5B19BBF7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046482A3-7EBC-4800-8A3C-890B454749FC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B338D797-C7F9-44ED-A2A3-5008E06F5676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12E371FF-E8CE-4DB0-9736-C3AA198905A0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9EF4D79A-C84D-4BF4-B9A9-1E6E4E104D4C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46A6F86-34B5-42F4-B663-D69B6932371C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318984-2E8D-4A18-898D-92C3862AB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711A9F05-4893-4D6F-9097-CA931DEBB0E1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BA2992B7-443D-4C7A-B3FD-D3A129C9C52A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1573650</xdr:colOff>
      <xdr:row>3</xdr:row>
      <xdr:rowOff>209552</xdr:rowOff>
    </xdr:from>
    <xdr:to>
      <xdr:col>13</xdr:col>
      <xdr:colOff>1428750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9C01BDEF-1A1C-4A8F-A16D-52C098FB93C8}"/>
            </a:ext>
          </a:extLst>
        </xdr:cNvPr>
        <xdr:cNvSpPr/>
      </xdr:nvSpPr>
      <xdr:spPr>
        <a:xfrm>
          <a:off x="11030070" y="1352552"/>
          <a:ext cx="338316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1333500</xdr:colOff>
      <xdr:row>3</xdr:row>
      <xdr:rowOff>171452</xdr:rowOff>
    </xdr:from>
    <xdr:to>
      <xdr:col>15</xdr:col>
      <xdr:colOff>3055500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B001EB8-6CCC-494A-807C-6BF5B6A48BE2}"/>
            </a:ext>
          </a:extLst>
        </xdr:cNvPr>
        <xdr:cNvSpPr/>
      </xdr:nvSpPr>
      <xdr:spPr>
        <a:xfrm>
          <a:off x="16062960" y="1314452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145596</xdr:colOff>
      <xdr:row>3</xdr:row>
      <xdr:rowOff>171452</xdr:rowOff>
    </xdr:from>
    <xdr:to>
      <xdr:col>18</xdr:col>
      <xdr:colOff>1067496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EB04E908-61FC-49DB-A2B1-902DCCA786F4}"/>
            </a:ext>
          </a:extLst>
        </xdr:cNvPr>
        <xdr:cNvSpPr/>
      </xdr:nvSpPr>
      <xdr:spPr>
        <a:xfrm>
          <a:off x="21085356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519793</xdr:colOff>
      <xdr:row>3</xdr:row>
      <xdr:rowOff>171452</xdr:rowOff>
    </xdr:from>
    <xdr:to>
      <xdr:col>25</xdr:col>
      <xdr:colOff>260593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9A1249D-1A53-4087-A227-B89D8C92F1A2}"/>
            </a:ext>
          </a:extLst>
        </xdr:cNvPr>
        <xdr:cNvSpPr/>
      </xdr:nvSpPr>
      <xdr:spPr>
        <a:xfrm>
          <a:off x="26092513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24</xdr:col>
      <xdr:colOff>76200</xdr:colOff>
      <xdr:row>11</xdr:row>
      <xdr:rowOff>19050</xdr:rowOff>
    </xdr:from>
    <xdr:to>
      <xdr:col>24</xdr:col>
      <xdr:colOff>533400</xdr:colOff>
      <xdr:row>12</xdr:row>
      <xdr:rowOff>125186</xdr:rowOff>
    </xdr:to>
    <xdr:sp macro="[0]!BotaoComLogin" textlink="">
      <xdr:nvSpPr>
        <xdr:cNvPr id="10" name="Círculo: Vazio 9">
          <a:extLst>
            <a:ext uri="{FF2B5EF4-FFF2-40B4-BE49-F238E27FC236}">
              <a16:creationId xmlns:a16="http://schemas.microsoft.com/office/drawing/2014/main" id="{31688FC5-51E8-4955-A59E-84C23CB6FFDC}"/>
            </a:ext>
          </a:extLst>
        </xdr:cNvPr>
        <xdr:cNvSpPr/>
      </xdr:nvSpPr>
      <xdr:spPr>
        <a:xfrm>
          <a:off x="28689300" y="3760470"/>
          <a:ext cx="457200" cy="47189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5D04748B-E3EB-441F-A033-723B7AC00348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31</xdr:col>
      <xdr:colOff>40008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459B1FA3-27E3-4FA5-AA45-3E8143D02F4A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EC2640C8-7D25-4007-B084-723EE408EFD2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E09ADA43-9208-449E-B808-6D2662999B13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5C992622-753B-4FA2-8C56-9426BEA4AEA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7A8AC17D-D809-4D97-A67F-CBAA4B123ADE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A34AACEB-0594-4541-8395-1573741896FA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C989E42C-F4B5-46C1-832D-D5939F7B985A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B8A7CF15-7399-428B-B227-4B0A91C650F2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A550BFC7-9761-4771-9B3D-CF423BC66B5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6EE24B40-C6BC-425D-9870-1910EB6231C6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C7B09224-7D70-4F59-AEAF-F67903644083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FB4D30FC-583F-4F9D-AC4A-F2FAF53497CA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F5DD01E-5D67-4F37-A120-921ACDD91CD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E246E766-5C6D-41C3-9982-B6530CF26430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A780B809-B829-47E2-849E-336FF800D77E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F3327C02-B3C7-4DCB-9302-9C8FBB6558A4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2C874A6A-4A1E-46AE-9D92-87F0B3A5B56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BE76F083-55BC-46A7-97D1-A56CA863A37C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AD4B5A11-DC67-431A-947B-0FA7484FCBC5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564E9AB4-BC4F-4F5B-B6A6-6C3BEEFF6D5B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31EC43C8-CF12-41F6-B3D8-583CB1C7C7D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F3DAFB37-72BE-4F47-9F82-25B5A30C7E17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2A5C544A-85E1-4CD8-A4D0-910FBD0CF39D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50C55E61-D9B4-4F6D-8AE0-A8AD5D93CF8F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CA58D18-B3B9-4DF1-A312-1FFBEE16577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879D6E33-07E3-4212-BC90-3BB7AFC7B753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D667AB98-180C-4696-A61E-AC823B23B352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0A8B7955-72C0-4A0D-B4EE-412CBE10970F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C8BC7E4-0FEC-4C0B-8DD4-5FAAEBBE01B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47A048D1-16CA-4AEE-84E2-15DB076F899B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53106DBE-4F75-4B15-ACDF-8B3EA07C23B3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108C47E3-4BB9-412F-AB50-CCAE19B025CA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A2C7F2D-C0DD-4ED4-99A5-FD5F6D51192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F9A99077-C52E-4348-A1B6-E5C4997D23B1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DCA4E6FC-BBC7-4A03-ADF1-3F09163CA221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90A44F1E-CC38-4A0D-BA18-EBFB38223C49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E5D1A61D-0CB3-413D-A6DF-2D7E7CE58D04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55AA8987-FDBA-404F-8D86-36EC9525DD7D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2F67D8-BC17-4504-B88E-8B802E31C9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1420EDA2-305E-4732-B24A-3190717272A2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B418D5D2-6666-412F-B71D-0108D78A42D3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1611750</xdr:colOff>
      <xdr:row>3</xdr:row>
      <xdr:rowOff>209552</xdr:rowOff>
    </xdr:from>
    <xdr:to>
      <xdr:col>13</xdr:col>
      <xdr:colOff>1466850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53C67777-5BFB-478A-8FC3-987069DA1018}"/>
            </a:ext>
          </a:extLst>
        </xdr:cNvPr>
        <xdr:cNvSpPr/>
      </xdr:nvSpPr>
      <xdr:spPr>
        <a:xfrm>
          <a:off x="11014830" y="1352552"/>
          <a:ext cx="33984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1371600</xdr:colOff>
      <xdr:row>3</xdr:row>
      <xdr:rowOff>171452</xdr:rowOff>
    </xdr:from>
    <xdr:to>
      <xdr:col>15</xdr:col>
      <xdr:colOff>3093600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8630C606-2B63-495C-9CD4-C1EFEF40E653}"/>
            </a:ext>
          </a:extLst>
        </xdr:cNvPr>
        <xdr:cNvSpPr/>
      </xdr:nvSpPr>
      <xdr:spPr>
        <a:xfrm>
          <a:off x="16062960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183696</xdr:colOff>
      <xdr:row>3</xdr:row>
      <xdr:rowOff>171452</xdr:rowOff>
    </xdr:from>
    <xdr:to>
      <xdr:col>18</xdr:col>
      <xdr:colOff>1105596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E1908186-8712-4D37-B206-DB25B49387DF}"/>
            </a:ext>
          </a:extLst>
        </xdr:cNvPr>
        <xdr:cNvSpPr/>
      </xdr:nvSpPr>
      <xdr:spPr>
        <a:xfrm>
          <a:off x="21062496" y="1314452"/>
          <a:ext cx="339078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557893</xdr:colOff>
      <xdr:row>3</xdr:row>
      <xdr:rowOff>171452</xdr:rowOff>
    </xdr:from>
    <xdr:to>
      <xdr:col>25</xdr:col>
      <xdr:colOff>298693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400E6D7-4273-4CF8-BBE1-CF1BB7379D60}"/>
            </a:ext>
          </a:extLst>
        </xdr:cNvPr>
        <xdr:cNvSpPr/>
      </xdr:nvSpPr>
      <xdr:spPr>
        <a:xfrm>
          <a:off x="26069653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24</xdr:col>
      <xdr:colOff>114300</xdr:colOff>
      <xdr:row>11</xdr:row>
      <xdr:rowOff>19050</xdr:rowOff>
    </xdr:from>
    <xdr:to>
      <xdr:col>24</xdr:col>
      <xdr:colOff>571500</xdr:colOff>
      <xdr:row>12</xdr:row>
      <xdr:rowOff>125186</xdr:rowOff>
    </xdr:to>
    <xdr:sp macro="[0]!BotaoComLogin" textlink="">
      <xdr:nvSpPr>
        <xdr:cNvPr id="10" name="Círculo: Vazio 9">
          <a:extLst>
            <a:ext uri="{FF2B5EF4-FFF2-40B4-BE49-F238E27FC236}">
              <a16:creationId xmlns:a16="http://schemas.microsoft.com/office/drawing/2014/main" id="{39857E04-A25D-4762-8F4B-5B51308490CF}"/>
            </a:ext>
          </a:extLst>
        </xdr:cNvPr>
        <xdr:cNvSpPr/>
      </xdr:nvSpPr>
      <xdr:spPr>
        <a:xfrm>
          <a:off x="28674060" y="3760470"/>
          <a:ext cx="457200" cy="47189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E8917B22-0931-49D4-B3D7-6C8208BF96AC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31</xdr:col>
      <xdr:colOff>78108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1B333A1E-1BFC-4A0A-BE1B-00F62D3C1FDD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08456B89-A500-4F07-865D-47BBC305F32D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B1343E6E-CD5D-4D3E-AF74-08BDDFC6AA0E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B8D033C2-C903-45B9-86A0-A76AEFAD03B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165A0E30-7939-44C0-B27F-4AF1E2BA487A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98FC930B-23DF-4099-95AC-CEFB60D4F465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5BEBD185-D8B3-49BD-BD87-4474E5F840C4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CF7DC053-EBD0-40EE-B346-8B397E71244F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30B0B55C-7961-428D-945A-D1C13EEBF4F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C3F5BC23-43D8-4008-A6C1-E6B3ADB932CB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5DC61640-B6CD-4467-BFCC-1DE85F4F6785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416FFAFE-1183-4028-A027-CDA556B36904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ED7C664B-C0CB-4865-8EB7-FA1C5C149EF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1AA57F42-7C94-453B-AE5C-BEB45E465128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22C485FB-6D4F-4A0D-948B-092DC49C1694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307F4718-A8CD-49CD-9A01-A8C3BEE34905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7BFF4BA-C817-4C4E-B4C2-19945BABDBA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E3DCE428-70CC-4C0D-89CF-AAF6AB94CE33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C03CCDDA-B053-4F7F-9CEC-FEC37AA5ED69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5B96FD53-C337-41AF-B037-3D5B93EC5BFD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DDD127C-8BF9-4518-B437-B8BEE1972F1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A62AC6AF-2DB2-49FF-AC41-D669872D0506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AF199A47-F9B7-4271-BC5E-ABBBBD01CC0B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3C4030D2-C35D-48C7-A14B-B01E7F31993D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28C18D9-BC46-489D-8C80-B17F207B249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D41B5F03-DB21-4F59-B6AF-A8EB05AAD5F3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E353AC11-7938-4EE5-9600-89CD8F2A73C0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911FBD6C-038C-4546-BB2F-ED4534A1367C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8C0FCB7-1CDB-46C9-B0E5-C37D3C1D470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42192713-9455-494A-94C9-315565187E8E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46FAC898-1293-482C-8693-8F876F4CA166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0584CC8E-F997-46D2-AE5F-8AA88B9C6421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289F128F-734D-452A-9D3B-94625660531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B78BE553-FD5A-4D80-87DD-8B3EEB2B03C4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F0363263-FFF5-49BB-85FD-6B27A85BFAD2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E1C137B2-7C6A-45B5-AABD-B4368400F809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2EC31009-4A98-46D0-9116-C89A2AFBF08D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BC551E84-9571-4EB0-91A4-BE214B3CEFD9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3429287-11B8-4BFE-BA5D-B0B52B7DA9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69009CA1-0BC6-4935-B6A2-436D333002C8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A22CA828-ABB7-48CE-B437-DAAD82A71B01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1649850</xdr:colOff>
      <xdr:row>3</xdr:row>
      <xdr:rowOff>209552</xdr:rowOff>
    </xdr:from>
    <xdr:to>
      <xdr:col>13</xdr:col>
      <xdr:colOff>1504950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8AF467DC-C77D-4850-A0E8-B20248015E34}"/>
            </a:ext>
          </a:extLst>
        </xdr:cNvPr>
        <xdr:cNvSpPr/>
      </xdr:nvSpPr>
      <xdr:spPr>
        <a:xfrm>
          <a:off x="11030070" y="1352552"/>
          <a:ext cx="33984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1409700</xdr:colOff>
      <xdr:row>3</xdr:row>
      <xdr:rowOff>171452</xdr:rowOff>
    </xdr:from>
    <xdr:to>
      <xdr:col>16</xdr:col>
      <xdr:colOff>7500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7A5EDD9-A2DE-4143-8818-2956D4953F61}"/>
            </a:ext>
          </a:extLst>
        </xdr:cNvPr>
        <xdr:cNvSpPr/>
      </xdr:nvSpPr>
      <xdr:spPr>
        <a:xfrm>
          <a:off x="16078200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221796</xdr:colOff>
      <xdr:row>3</xdr:row>
      <xdr:rowOff>171452</xdr:rowOff>
    </xdr:from>
    <xdr:to>
      <xdr:col>18</xdr:col>
      <xdr:colOff>1143696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E1A16A1A-DD6F-40C1-82B2-82366FB17BB8}"/>
            </a:ext>
          </a:extLst>
        </xdr:cNvPr>
        <xdr:cNvSpPr/>
      </xdr:nvSpPr>
      <xdr:spPr>
        <a:xfrm>
          <a:off x="21077736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595993</xdr:colOff>
      <xdr:row>3</xdr:row>
      <xdr:rowOff>171452</xdr:rowOff>
    </xdr:from>
    <xdr:to>
      <xdr:col>25</xdr:col>
      <xdr:colOff>336793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20093AC2-4177-4E5C-A0F2-688F23F104F4}"/>
            </a:ext>
          </a:extLst>
        </xdr:cNvPr>
        <xdr:cNvSpPr/>
      </xdr:nvSpPr>
      <xdr:spPr>
        <a:xfrm>
          <a:off x="26084893" y="1314452"/>
          <a:ext cx="339840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24</xdr:col>
      <xdr:colOff>152400</xdr:colOff>
      <xdr:row>11</xdr:row>
      <xdr:rowOff>19050</xdr:rowOff>
    </xdr:from>
    <xdr:to>
      <xdr:col>25</xdr:col>
      <xdr:colOff>0</xdr:colOff>
      <xdr:row>12</xdr:row>
      <xdr:rowOff>125186</xdr:rowOff>
    </xdr:to>
    <xdr:sp macro="[0]!BotaoComLogin" textlink="">
      <xdr:nvSpPr>
        <xdr:cNvPr id="10" name="Círculo: Vazio 9">
          <a:extLst>
            <a:ext uri="{FF2B5EF4-FFF2-40B4-BE49-F238E27FC236}">
              <a16:creationId xmlns:a16="http://schemas.microsoft.com/office/drawing/2014/main" id="{A2C19ED0-2EBC-47BD-B467-F8FF0A8A7F2C}"/>
            </a:ext>
          </a:extLst>
        </xdr:cNvPr>
        <xdr:cNvSpPr/>
      </xdr:nvSpPr>
      <xdr:spPr>
        <a:xfrm>
          <a:off x="28689300" y="3760470"/>
          <a:ext cx="457200" cy="47189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BC161C9F-5DDC-4636-9D4C-4729F9340953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31</xdr:col>
      <xdr:colOff>116208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3B81898-56EF-4889-B28E-17BBECAA34AE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7EC7D8C2-40B7-4E94-B3BF-C57ADF7925DE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253FD071-8885-4BA9-8FEC-91A3B72452A0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7BCE85BC-9B04-4AF1-A2E4-771CAE9EF95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D828B53F-E317-40C4-BBC2-7F80843DCE7C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F283C2E6-C486-4523-AD11-680D66280F14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F4AF378B-A001-45DE-95D8-25DBD2E68E78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65066A35-C7A2-435B-B5AB-6BFF42AB0F07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470F5E3E-54B4-47AE-A991-DD2951EAB5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74290568-0DD0-40B3-82EB-1705AA164A45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18503683-0138-43CB-859E-912259B9EDB3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5DCB2C5F-804B-4D41-87E5-9D2F23F7C72D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7CDB9ABC-B2BF-48D8-A74D-2799F797065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C55E1544-0381-4930-9904-9E75BE462020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F11704D4-BCDF-4036-BBED-26A48C62DEA0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EA0BBCEE-8120-4BCB-BBD1-F9A3D81C9410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8FB7823-98BE-4E7F-8829-18B7DA13718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DA1EBE65-C002-4089-B2C9-96859600AB5C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1424B3AA-53BB-4D2A-804B-DCC0474D827D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B8C4BA74-4D17-4C2D-9CCC-A6AB8D9EA459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A3D87C9-6F7B-4B97-BEC3-29431FC50B5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C36B5C3A-44DF-4C24-944C-9BAC6B518188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6ED2D821-5FBF-4B81-9710-6AB9E6287477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B00F3546-518F-45AE-9629-8EA708B0BC89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0820728-83E5-4936-946B-DA4C0ED551A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0574098F-E6C1-4097-A2CF-1B5CADF8BD8E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9A980CD5-F099-470C-AB44-9FC5545D6F36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FBC0ED29-7D97-4957-BA99-7A19523361BF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B63E44A-6604-406D-A5E4-06F968EC091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C8636A65-F970-4592-BE6A-C0FCAF433B62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0D43FC29-E52B-4C2E-8CD4-BA6C7F4D8FB0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F5A75C69-BEFE-459C-A56E-D7D79D87AFBE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7E0FED8-D2DB-4D38-8C3B-2900B66549F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2B455EDC-92D8-44D3-9BE0-A260B302FB6F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2BA103F3-2673-4FA8-90DD-144171712266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85380322-2629-4B32-85E5-63337C9A45F5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7789E941-4949-4940-8A51-D8ACEAB6C6A2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2449F6D-E80F-42B5-B38C-292E8B37452A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EFFCA08-02F0-4D3A-8A56-9B80C6EDBC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3BD1B16F-AE8C-4093-AB25-2361D3EFEBAA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7DD567C5-6CD0-4B5E-B8F6-76076AAE3815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1649850</xdr:colOff>
      <xdr:row>3</xdr:row>
      <xdr:rowOff>209552</xdr:rowOff>
    </xdr:from>
    <xdr:to>
      <xdr:col>13</xdr:col>
      <xdr:colOff>1504950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2BBDC5B8-CCE1-4779-9851-18109DF105F7}"/>
            </a:ext>
          </a:extLst>
        </xdr:cNvPr>
        <xdr:cNvSpPr/>
      </xdr:nvSpPr>
      <xdr:spPr>
        <a:xfrm>
          <a:off x="11030070" y="1352552"/>
          <a:ext cx="33984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1409700</xdr:colOff>
      <xdr:row>3</xdr:row>
      <xdr:rowOff>171452</xdr:rowOff>
    </xdr:from>
    <xdr:to>
      <xdr:col>16</xdr:col>
      <xdr:colOff>7500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7654B64E-CD0D-408B-BC3B-A8B6B056A108}"/>
            </a:ext>
          </a:extLst>
        </xdr:cNvPr>
        <xdr:cNvSpPr/>
      </xdr:nvSpPr>
      <xdr:spPr>
        <a:xfrm>
          <a:off x="16078200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221796</xdr:colOff>
      <xdr:row>3</xdr:row>
      <xdr:rowOff>171452</xdr:rowOff>
    </xdr:from>
    <xdr:to>
      <xdr:col>18</xdr:col>
      <xdr:colOff>1143696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16B6588F-C783-42DE-B932-3BF07CE650CC}"/>
            </a:ext>
          </a:extLst>
        </xdr:cNvPr>
        <xdr:cNvSpPr/>
      </xdr:nvSpPr>
      <xdr:spPr>
        <a:xfrm>
          <a:off x="21077736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595993</xdr:colOff>
      <xdr:row>3</xdr:row>
      <xdr:rowOff>171452</xdr:rowOff>
    </xdr:from>
    <xdr:to>
      <xdr:col>25</xdr:col>
      <xdr:colOff>336793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522289DD-E397-4383-B71C-BD354DFCF4B8}"/>
            </a:ext>
          </a:extLst>
        </xdr:cNvPr>
        <xdr:cNvSpPr/>
      </xdr:nvSpPr>
      <xdr:spPr>
        <a:xfrm>
          <a:off x="26142043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24</xdr:col>
      <xdr:colOff>152400</xdr:colOff>
      <xdr:row>11</xdr:row>
      <xdr:rowOff>19050</xdr:rowOff>
    </xdr:from>
    <xdr:to>
      <xdr:col>25</xdr:col>
      <xdr:colOff>0</xdr:colOff>
      <xdr:row>12</xdr:row>
      <xdr:rowOff>125186</xdr:rowOff>
    </xdr:to>
    <xdr:sp macro="[0]!BotaoComLogin" textlink="">
      <xdr:nvSpPr>
        <xdr:cNvPr id="10" name="Círculo: Vazio 9">
          <a:extLst>
            <a:ext uri="{FF2B5EF4-FFF2-40B4-BE49-F238E27FC236}">
              <a16:creationId xmlns:a16="http://schemas.microsoft.com/office/drawing/2014/main" id="{EE73FE17-8B42-4C13-9807-D55142A0B12D}"/>
            </a:ext>
          </a:extLst>
        </xdr:cNvPr>
        <xdr:cNvSpPr/>
      </xdr:nvSpPr>
      <xdr:spPr>
        <a:xfrm>
          <a:off x="28689300" y="3760470"/>
          <a:ext cx="457200" cy="47189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FA5A6ABF-F122-4BF1-88DF-641AFC9A49B2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31</xdr:col>
      <xdr:colOff>116208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EA1FAA3E-C9E7-4B7B-A709-7830B084BAD1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1BE500F5-1A0D-4796-9C08-8E44D1E41E29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D0518CC4-0496-44F6-8D67-0D262158F6B0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3D5A19C7-1001-436A-BA8D-DE7C0A488CC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3E0D13BD-169F-4A33-9A11-C41271ABF9E4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CF633B45-696B-477C-87BB-6B5068106CAB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50CDF32F-A78D-4349-B5C7-9C4F3F30D7E3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87DFE145-8D40-41BF-AED1-EDD1BE128565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ED4966CE-6D04-428C-AB33-5794901DB9A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9305E3B6-E1C9-4F42-A98D-C5340039FC0F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4AAE57E6-8297-488D-ADBA-CA01AE27BBF0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45826F2C-AC0A-418C-A951-F21B3D83DE32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B676A07E-8328-4103-9627-5B75C2E3E66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4B25F83B-7BA5-40F9-9652-7C8D6C21AE8D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DC296931-7859-46C4-9A40-D228279D1F83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041C7928-DAEF-4414-B518-AF24D347EEE6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7113546B-28D2-4EDA-B99C-86807D692F3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240D81AF-0AEC-47AC-B9EF-883EEEBEB2C6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64BE674D-79B8-4EDF-A5BF-4C3D85E6E4EA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54DDC4A8-11A9-4AB5-B8FF-3FB9ACC17B6F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2BB8BF06-1CA3-4504-983C-027533E1DFF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69A7C7FE-1A37-4D43-B78A-99665B3283E9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41B11160-3E25-47F6-9251-DA6F7D1636C1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B07EE2FF-8228-4D00-B378-06383719BCBC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D2EC9289-A4EA-49A8-AFE3-EF33BCADF2B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6FBB366F-AC77-4F5C-A481-91FFFA103559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382B7D9B-E823-4339-A4CA-ABDAFEADD89E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C73EF69D-9FCE-4429-BB96-1C40B3D6C5DF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1BF4D750-7FDD-4B27-B23B-17493388E51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B19DEFE1-6B71-4737-A7D3-0C9C31B4A0D4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9DB3635A-5DF0-4541-A571-6106199E8087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41FCF268-BA30-45E8-938F-EE2D4C4DA77A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DAC5E608-C8E8-4E60-9DB3-EB61038259A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67707D75-8C7D-4133-B63C-ADF2AF5655FB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3BCC29E6-8D39-4045-8DF8-CDCC2A237CD2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64A2A74D-917B-4085-8E9E-8E9CA64A13FA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8F2B3C61-C79A-4E71-9274-CC5FDCCA79E2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 editAs="absolute">
    <xdr:from>
      <xdr:col>28</xdr:col>
      <xdr:colOff>24493</xdr:colOff>
      <xdr:row>3</xdr:row>
      <xdr:rowOff>171452</xdr:rowOff>
    </xdr:from>
    <xdr:to>
      <xdr:col>33</xdr:col>
      <xdr:colOff>374893</xdr:colOff>
      <xdr:row>5</xdr:row>
      <xdr:rowOff>160802</xdr:rowOff>
    </xdr:to>
    <xdr:sp macro="" textlink="">
      <xdr:nvSpPr>
        <xdr:cNvPr id="49" name="Retângulo 48">
          <a:extLst>
            <a:ext uri="{FF2B5EF4-FFF2-40B4-BE49-F238E27FC236}">
              <a16:creationId xmlns:a16="http://schemas.microsoft.com/office/drawing/2014/main" id="{E7620E1D-A7F6-4C7F-B5B3-CFDDF0E82C1B}"/>
            </a:ext>
          </a:extLst>
        </xdr:cNvPr>
        <xdr:cNvSpPr/>
      </xdr:nvSpPr>
      <xdr:spPr>
        <a:xfrm>
          <a:off x="31056943" y="1333502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VEÍCULOS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A9ABE85-321A-441B-B049-92CC556B7ECF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BF1B3C9-DCA9-49B9-990E-78D4642ADA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4296EE05-044D-4DEB-A260-EC5C4B2A6864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PEDIDO</a:t>
          </a:r>
          <a:r>
            <a:rPr lang="pt-BR" sz="2000" b="1" baseline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DE PRODUÇÃO</a:t>
          </a:r>
          <a:endParaRPr lang="pt-BR" sz="2000"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8B8900E5-24EC-4516-A6A1-9332D8E0CEEC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SAÍDA DE MATERIAIS</a:t>
          </a:r>
        </a:p>
      </xdr:txBody>
    </xdr:sp>
    <xdr:clientData/>
  </xdr:twoCellAnchor>
  <xdr:twoCellAnchor editAs="absolute">
    <xdr:from>
      <xdr:col>8</xdr:col>
      <xdr:colOff>647700</xdr:colOff>
      <xdr:row>8</xdr:row>
      <xdr:rowOff>38100</xdr:rowOff>
    </xdr:from>
    <xdr:to>
      <xdr:col>9</xdr:col>
      <xdr:colOff>266700</xdr:colOff>
      <xdr:row>9</xdr:row>
      <xdr:rowOff>144236</xdr:rowOff>
    </xdr:to>
    <xdr:sp macro="[0]!BotaoComLogin" textlink="">
      <xdr:nvSpPr>
        <xdr:cNvPr id="10" name="Círculo: Vazio 9">
          <a:extLst>
            <a:ext uri="{FF2B5EF4-FFF2-40B4-BE49-F238E27FC236}">
              <a16:creationId xmlns:a16="http://schemas.microsoft.com/office/drawing/2014/main" id="{B6CD4612-7F5B-4547-99F3-8533094CFAAF}"/>
            </a:ext>
          </a:extLst>
        </xdr:cNvPr>
        <xdr:cNvSpPr/>
      </xdr:nvSpPr>
      <xdr:spPr>
        <a:xfrm>
          <a:off x="8020050" y="2724150"/>
          <a:ext cx="457200" cy="46808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55702D68-D5C8-4CDF-BF80-7431A8BA482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E7C2BB46-B7A5-4596-90A4-DA16D21C1A4A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46" name="Retângulo 45">
            <a:extLst>
              <a:ext uri="{FF2B5EF4-FFF2-40B4-BE49-F238E27FC236}">
                <a16:creationId xmlns:a16="http://schemas.microsoft.com/office/drawing/2014/main" id="{A22738E4-2AC4-430F-AB17-4E653D355ED1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7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B1DC701C-6A69-4703-81D3-69760B276D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8" name="CaixaDeTexto 47">
            <a:extLst>
              <a:ext uri="{FF2B5EF4-FFF2-40B4-BE49-F238E27FC236}">
                <a16:creationId xmlns:a16="http://schemas.microsoft.com/office/drawing/2014/main" id="{496C9D55-40BF-4ACE-B513-CCD04E98196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1049E32E-938D-4F64-BEC1-D545D54104D8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E04E0035-8EA4-431E-BC75-DF89266DC6B1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F39D4734-6F89-4444-80B5-34FC06AEB9C8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45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2710989-5F8B-474A-825A-7038E25012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54C3F7EB-5705-4D3B-A507-BA29273851CC}"/>
            </a:ext>
          </a:extLst>
        </xdr:cNvPr>
        <xdr:cNvSpPr/>
      </xdr:nvSpPr>
      <xdr:spPr>
        <a:xfrm>
          <a:off x="9616039" y="0"/>
          <a:ext cx="1461409" cy="116205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185F11A0-8729-4BC4-BC4B-9E7FE5AF8CCF}"/>
            </a:ext>
          </a:extLst>
        </xdr:cNvPr>
        <xdr:cNvSpPr txBox="1"/>
      </xdr:nvSpPr>
      <xdr:spPr>
        <a:xfrm rot="10800000" flipH="1" flipV="1">
          <a:off x="9566543" y="765583"/>
          <a:ext cx="159816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4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4FFC2-62CE-4590-A1E6-2C098E21B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7906" y="136274"/>
          <a:ext cx="597676" cy="598988"/>
        </a:xfrm>
        <a:prstGeom prst="rect">
          <a:avLst/>
        </a:prstGeom>
      </xdr:spPr>
    </xdr:pic>
    <xdr:clientData/>
  </xdr:twoCellAnchor>
  <xdr:twoCellAnchor editAs="absolute">
    <xdr:from>
      <xdr:col>14</xdr:col>
      <xdr:colOff>77804</xdr:colOff>
      <xdr:row>0</xdr:row>
      <xdr:rowOff>0</xdr:rowOff>
    </xdr:from>
    <xdr:to>
      <xdr:col>14</xdr:col>
      <xdr:colOff>1668898</xdr:colOff>
      <xdr:row>3</xdr:row>
      <xdr:rowOff>0</xdr:rowOff>
    </xdr:to>
    <xdr:grpSp>
      <xdr:nvGrpSpPr>
        <xdr:cNvPr id="82" name="Agrupar 81">
          <a:extLst>
            <a:ext uri="{FF2B5EF4-FFF2-40B4-BE49-F238E27FC236}">
              <a16:creationId xmlns:a16="http://schemas.microsoft.com/office/drawing/2014/main" id="{5116B9A8-30A6-42FA-8BCA-C3A4230EC2C9}"/>
            </a:ext>
          </a:extLst>
        </xdr:cNvPr>
        <xdr:cNvGrpSpPr/>
      </xdr:nvGrpSpPr>
      <xdr:grpSpPr>
        <a:xfrm>
          <a:off x="13203254" y="0"/>
          <a:ext cx="1591094" cy="1162050"/>
          <a:chOff x="13203254" y="0"/>
          <a:chExt cx="1591094" cy="1162050"/>
        </a:xfrm>
      </xdr:grpSpPr>
      <xdr:sp macro="" textlink="">
        <xdr:nvSpPr>
          <xdr:cNvPr id="37" name="Retângulo 36">
            <a:extLst>
              <a:ext uri="{FF2B5EF4-FFF2-40B4-BE49-F238E27FC236}">
                <a16:creationId xmlns:a16="http://schemas.microsoft.com/office/drawing/2014/main" id="{2FFEF6F4-D132-42D0-87AC-BBF7F0AA73CB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" name="CaixaDeTexto 37">
            <a:extLst>
              <a:ext uri="{FF2B5EF4-FFF2-40B4-BE49-F238E27FC236}">
                <a16:creationId xmlns:a16="http://schemas.microsoft.com/office/drawing/2014/main" id="{B03FB71C-55FD-4542-A178-1B427043CB27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39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F3579AD-0FD5-463D-9B44-B0269C7A88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240341</xdr:colOff>
      <xdr:row>0</xdr:row>
      <xdr:rowOff>0</xdr:rowOff>
    </xdr:from>
    <xdr:to>
      <xdr:col>18</xdr:col>
      <xdr:colOff>252027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D478F035-99C1-489C-B559-573865D7BBA0}"/>
            </a:ext>
          </a:extLst>
        </xdr:cNvPr>
        <xdr:cNvGrpSpPr/>
      </xdr:nvGrpSpPr>
      <xdr:grpSpPr>
        <a:xfrm>
          <a:off x="16832891" y="0"/>
          <a:ext cx="1611886" cy="1162050"/>
          <a:chOff x="7112293" y="0"/>
          <a:chExt cx="1118289" cy="781538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C4680B87-840B-48BE-8BA4-36E092B4CBCA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2DDBB5DC-D6BF-41B8-95EF-78F3EF160CD6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3CC6B72-2AD2-43F7-90EC-2B5C1CD437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2290570</xdr:colOff>
      <xdr:row>0</xdr:row>
      <xdr:rowOff>0</xdr:rowOff>
    </xdr:from>
    <xdr:to>
      <xdr:col>20</xdr:col>
      <xdr:colOff>54030</xdr:colOff>
      <xdr:row>3</xdr:row>
      <xdr:rowOff>0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8C6B52A1-752E-400C-84E4-EB0E5EE70C25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7FB681ED-D697-43F5-9605-AA6FBCC53E3C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" name="CaixaDeTexto 31">
            <a:extLst>
              <a:ext uri="{FF2B5EF4-FFF2-40B4-BE49-F238E27FC236}">
                <a16:creationId xmlns:a16="http://schemas.microsoft.com/office/drawing/2014/main" id="{D448301C-5EE6-4F63-8218-19F5F037FFDE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C075601-11E7-4382-BBF2-97CE31E78B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263773</xdr:colOff>
      <xdr:row>0</xdr:row>
      <xdr:rowOff>0</xdr:rowOff>
    </xdr:from>
    <xdr:to>
      <xdr:col>25</xdr:col>
      <xdr:colOff>62734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59F4BEFE-D8D1-4B33-A392-4C5F7C3AB0B5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B0C4C089-699E-4F74-B166-AE18B530073D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1FD56F95-C0E0-4D22-AB84-32D06A6D6B4F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48B5C86-BD4C-4A13-8460-12EBF6F31B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25</xdr:col>
      <xdr:colOff>2101278</xdr:colOff>
      <xdr:row>0</xdr:row>
      <xdr:rowOff>0</xdr:rowOff>
    </xdr:from>
    <xdr:to>
      <xdr:col>26</xdr:col>
      <xdr:colOff>194247</xdr:colOff>
      <xdr:row>3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AD7031A8-DC00-4F59-AB81-0A7FEB4CD1D2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6FA19239-C9B1-464E-94CB-FF0D6D52909E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C9E9A452-3FD6-45B9-9600-41670194EC6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3CB77B8-F0B6-48F6-886F-C2DAAEB798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29</xdr:col>
      <xdr:colOff>403989</xdr:colOff>
      <xdr:row>0</xdr:row>
      <xdr:rowOff>0</xdr:rowOff>
    </xdr:from>
    <xdr:to>
      <xdr:col>32</xdr:col>
      <xdr:colOff>173358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6111BAAE-8FAF-42D4-B390-3B069A4514FC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63B829E0-9E92-432D-A901-E4D9F9A8052F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9DB1A713-22EF-4A0B-A24D-B8ECC7B26D3A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24" name="Imagem 23" descr="Ícone do banco de dados (símbolo png) preto">
            <a:extLst>
              <a:ext uri="{FF2B5EF4-FFF2-40B4-BE49-F238E27FC236}">
                <a16:creationId xmlns:a16="http://schemas.microsoft.com/office/drawing/2014/main" id="{DC7F1D98-9576-465E-96F5-EDD10D841ED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14</xdr:col>
      <xdr:colOff>3162300</xdr:colOff>
      <xdr:row>27</xdr:row>
      <xdr:rowOff>76200</xdr:rowOff>
    </xdr:from>
    <xdr:to>
      <xdr:col>18</xdr:col>
      <xdr:colOff>76200</xdr:colOff>
      <xdr:row>30</xdr:row>
      <xdr:rowOff>144482</xdr:rowOff>
    </xdr:to>
    <xdr:sp macro="[1]!REQ_MP" textlink="">
      <xdr:nvSpPr>
        <xdr:cNvPr id="83" name="Retângulo: Cantos Arredondados 82">
          <a:extLst>
            <a:ext uri="{FF2B5EF4-FFF2-40B4-BE49-F238E27FC236}">
              <a16:creationId xmlns:a16="http://schemas.microsoft.com/office/drawing/2014/main" id="{999DF641-8D97-4230-BC86-75E9C4708878}"/>
            </a:ext>
          </a:extLst>
        </xdr:cNvPr>
        <xdr:cNvSpPr/>
      </xdr:nvSpPr>
      <xdr:spPr>
        <a:xfrm>
          <a:off x="16287750" y="9639300"/>
          <a:ext cx="1981200" cy="11541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LANÇAR PRODUÇÃO</a:t>
          </a:r>
        </a:p>
      </xdr:txBody>
    </xdr:sp>
    <xdr:clientData/>
  </xdr:twoCellAnchor>
  <xdr:twoCellAnchor>
    <xdr:from>
      <xdr:col>25</xdr:col>
      <xdr:colOff>32384</xdr:colOff>
      <xdr:row>21</xdr:row>
      <xdr:rowOff>304799</xdr:rowOff>
    </xdr:from>
    <xdr:to>
      <xdr:col>25</xdr:col>
      <xdr:colOff>1943099</xdr:colOff>
      <xdr:row>25</xdr:row>
      <xdr:rowOff>40354</xdr:rowOff>
    </xdr:to>
    <xdr:sp macro="" textlink="">
      <xdr:nvSpPr>
        <xdr:cNvPr id="84" name="Retângulo Arredondado 11">
          <a:extLst>
            <a:ext uri="{FF2B5EF4-FFF2-40B4-BE49-F238E27FC236}">
              <a16:creationId xmlns:a16="http://schemas.microsoft.com/office/drawing/2014/main" id="{AAC97D67-9C0B-444B-8AC9-5ADC02F81388}"/>
            </a:ext>
            <a:ext uri="{147F2762-F138-4A5C-976F-8EAC2B608ADB}">
              <a16:predDERef xmlns:a16="http://schemas.microsoft.com/office/drawing/2014/main" pred="{FEE27294-4771-4BDE-8047-454433BFA703}"/>
            </a:ext>
          </a:extLst>
        </xdr:cNvPr>
        <xdr:cNvSpPr/>
      </xdr:nvSpPr>
      <xdr:spPr>
        <a:xfrm>
          <a:off x="25673684" y="7696199"/>
          <a:ext cx="1910715" cy="1183355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LANÇAR PRODUTOS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575A507C-717C-42D0-80D6-C79ADC9A0C92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D6FB489-444B-450B-8D91-8BD968073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7B868D2E-B3D2-4478-A67C-D7E1F069F569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PEDIDO</a:t>
          </a:r>
          <a:r>
            <a:rPr lang="pt-BR" sz="2000" b="1" baseline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DE PRODUÇÃO</a:t>
          </a:r>
          <a:endParaRPr lang="pt-BR" sz="2000"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9BC8EB2A-A8D9-408D-A5A5-5E9AD95F548A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SAÍDA DE MATERIAIS</a:t>
          </a:r>
        </a:p>
      </xdr:txBody>
    </xdr:sp>
    <xdr:clientData/>
  </xdr:twoCellAnchor>
  <xdr:twoCellAnchor editAs="absolute">
    <xdr:from>
      <xdr:col>8</xdr:col>
      <xdr:colOff>647700</xdr:colOff>
      <xdr:row>8</xdr:row>
      <xdr:rowOff>38100</xdr:rowOff>
    </xdr:from>
    <xdr:to>
      <xdr:col>9</xdr:col>
      <xdr:colOff>266700</xdr:colOff>
      <xdr:row>9</xdr:row>
      <xdr:rowOff>144236</xdr:rowOff>
    </xdr:to>
    <xdr:sp macro="[0]!BotaoComLogin" textlink="">
      <xdr:nvSpPr>
        <xdr:cNvPr id="6" name="Círculo: Vazio 5">
          <a:extLst>
            <a:ext uri="{FF2B5EF4-FFF2-40B4-BE49-F238E27FC236}">
              <a16:creationId xmlns:a16="http://schemas.microsoft.com/office/drawing/2014/main" id="{82008787-EB4E-4FAF-A4F9-83E87DB0D97D}"/>
            </a:ext>
          </a:extLst>
        </xdr:cNvPr>
        <xdr:cNvSpPr/>
      </xdr:nvSpPr>
      <xdr:spPr>
        <a:xfrm>
          <a:off x="8016240" y="2682240"/>
          <a:ext cx="449580" cy="47189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DED96927-86EB-45BF-9DBA-0313C3937FA0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41D5657A-233D-4DC6-8445-AD410B6AED4A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2441A687-3714-43BD-9190-9E0B4739501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D7E9FFC-1F0C-4AB1-A5CD-87F3FF7CD1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CE6D24B6-29E4-45BC-9D65-B4C18F1B4D63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63BBA8A0-F37F-4747-9F16-40DE3BEC4DCF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EC3FE47A-3830-400C-B30A-CEB81EDB4CF1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819294D5-C951-4FC0-9480-0AD490725892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5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52EEDA5-EC74-44DC-A189-7CD9952A1D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829B4851-4607-46A4-8817-B9426C43569A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BC9C9B06-7DE9-4A73-A605-18D96BE21C10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5972EA-86D1-4807-8162-3737E4EAE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77804</xdr:colOff>
      <xdr:row>0</xdr:row>
      <xdr:rowOff>0</xdr:rowOff>
    </xdr:from>
    <xdr:to>
      <xdr:col>14</xdr:col>
      <xdr:colOff>1668898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BADB8EFE-B12B-41F6-BEC7-E6FC797CB696}"/>
            </a:ext>
          </a:extLst>
        </xdr:cNvPr>
        <xdr:cNvGrpSpPr/>
      </xdr:nvGrpSpPr>
      <xdr:grpSpPr>
        <a:xfrm>
          <a:off x="13203254" y="0"/>
          <a:ext cx="1591094" cy="1162050"/>
          <a:chOff x="13203254" y="0"/>
          <a:chExt cx="1591094" cy="1162050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C78E47A3-2849-4735-ACD8-D07D15C5160D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3B7912BD-6027-4BFB-AF4E-72E72F6C5E4D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B03B573-6F78-40FD-BBCD-D16696303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240341</xdr:colOff>
      <xdr:row>0</xdr:row>
      <xdr:rowOff>0</xdr:rowOff>
    </xdr:from>
    <xdr:to>
      <xdr:col>18</xdr:col>
      <xdr:colOff>252027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DA71F4D7-BC66-464E-9708-67D4758ACD44}"/>
            </a:ext>
          </a:extLst>
        </xdr:cNvPr>
        <xdr:cNvGrpSpPr/>
      </xdr:nvGrpSpPr>
      <xdr:grpSpPr>
        <a:xfrm>
          <a:off x="16832891" y="0"/>
          <a:ext cx="1611886" cy="1162050"/>
          <a:chOff x="7112293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CFC3847C-F917-42FB-BA39-53DA1FE0F90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E8EC37A0-9F4A-402E-8FAA-D4438A94FD0D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E123441-8526-4927-AA32-6083964A71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19</xdr:col>
      <xdr:colOff>137920</xdr:colOff>
      <xdr:row>0</xdr:row>
      <xdr:rowOff>0</xdr:rowOff>
    </xdr:from>
    <xdr:to>
      <xdr:col>21</xdr:col>
      <xdr:colOff>511230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C980CEB3-DAFB-4EB3-A05A-860D81AD0029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14F40652-BF2E-4A67-BCE2-4ADEA2062231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7185D568-9BB8-4550-9951-7DEAFB1080D2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84E6EEB-8315-473D-BD9F-2AFB4FA00B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1330573</xdr:colOff>
      <xdr:row>0</xdr:row>
      <xdr:rowOff>0</xdr:rowOff>
    </xdr:from>
    <xdr:to>
      <xdr:col>25</xdr:col>
      <xdr:colOff>1129534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C048D900-ED2C-4405-A0E4-5DD68F871609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BC9CBEA-AD81-4C3C-B831-57EBD13AC4D3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B164FAFD-FF17-4AEB-A33B-49037B7E01EF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6DCD978-5747-4F93-BFD6-D112308823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25</xdr:col>
      <xdr:colOff>3168078</xdr:colOff>
      <xdr:row>0</xdr:row>
      <xdr:rowOff>0</xdr:rowOff>
    </xdr:from>
    <xdr:to>
      <xdr:col>28</xdr:col>
      <xdr:colOff>41847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021CF932-7849-48D2-8113-B34AB4E29CC7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D962D14B-1F81-4392-995C-1F40A4AB0284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A5608EFB-A92D-4BF8-BE68-53FB5FEBE0D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EF6CAA-032F-4E0D-9FDE-D88144DF94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31</xdr:col>
      <xdr:colOff>251589</xdr:colOff>
      <xdr:row>0</xdr:row>
      <xdr:rowOff>0</xdr:rowOff>
    </xdr:from>
    <xdr:to>
      <xdr:col>34</xdr:col>
      <xdr:colOff>20958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BD32D7F0-130A-4D6F-8E9B-BD65AAD462F7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E257A9CF-C685-4377-B001-9D5E86A9BD2B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B4CB55CB-EFCC-4071-B3E3-8EEFF76E68BB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id="{8B5EF7CE-D977-48BA-90DD-60D7BAC9B91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14</xdr:col>
      <xdr:colOff>3162300</xdr:colOff>
      <xdr:row>27</xdr:row>
      <xdr:rowOff>76200</xdr:rowOff>
    </xdr:from>
    <xdr:to>
      <xdr:col>18</xdr:col>
      <xdr:colOff>76200</xdr:colOff>
      <xdr:row>30</xdr:row>
      <xdr:rowOff>144482</xdr:rowOff>
    </xdr:to>
    <xdr:sp macro="[1]!REQ_MP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9E9508F3-1D81-4079-8085-DAAA7F103224}"/>
            </a:ext>
          </a:extLst>
        </xdr:cNvPr>
        <xdr:cNvSpPr/>
      </xdr:nvSpPr>
      <xdr:spPr>
        <a:xfrm>
          <a:off x="16268700" y="9669780"/>
          <a:ext cx="1950720" cy="116556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REQUISIÇÃO DE COMPRA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197FF08-7DBE-4CBB-99B2-ECC74FD42DF5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1CC87B-172D-40B9-A3CE-D2738B63DB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15</xdr:col>
      <xdr:colOff>381000</xdr:colOff>
      <xdr:row>3</xdr:row>
      <xdr:rowOff>266700</xdr:rowOff>
    </xdr:from>
    <xdr:to>
      <xdr:col>16</xdr:col>
      <xdr:colOff>76200</xdr:colOff>
      <xdr:row>4</xdr:row>
      <xdr:rowOff>144236</xdr:rowOff>
    </xdr:to>
    <xdr:sp macro="[0]!BotaoComLogin" textlink="">
      <xdr:nvSpPr>
        <xdr:cNvPr id="6" name="Círculo: Vazio 5">
          <a:extLst>
            <a:ext uri="{FF2B5EF4-FFF2-40B4-BE49-F238E27FC236}">
              <a16:creationId xmlns:a16="http://schemas.microsoft.com/office/drawing/2014/main" id="{F02BE0B2-D231-4147-98F5-64B5A1EE59AA}"/>
            </a:ext>
          </a:extLst>
        </xdr:cNvPr>
        <xdr:cNvSpPr/>
      </xdr:nvSpPr>
      <xdr:spPr>
        <a:xfrm>
          <a:off x="20326350" y="1428750"/>
          <a:ext cx="457200" cy="46808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D4E85BB-203F-4337-82B1-4BD693F48E3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5757FF52-3B75-4219-98FF-294F5476A70A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2AA4DA3D-3502-4480-8C4B-E05492D1B034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FB54DBA-D29D-41AE-A54B-F9AD202668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7993E2F0-C277-44A9-979C-C3D6E45465AF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5861FDE9-1928-4C2D-A02B-E531484DE39C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B0FBCDA7-5A87-4E44-A248-71EAE6B19846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B790ABBF-6D63-4A90-A509-DCF54495A25D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5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82FC7E-111C-448F-B88E-125B7B0788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DD25B308-83DE-4CFF-881C-46C473EC4583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E91E3519-00DB-4F92-903A-12233154B6F5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251995D-8CE5-4E29-8E41-F934B9B26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127081</xdr:colOff>
      <xdr:row>0</xdr:row>
      <xdr:rowOff>0</xdr:rowOff>
    </xdr:from>
    <xdr:to>
      <xdr:col>14</xdr:col>
      <xdr:colOff>1582022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608747A-43AA-4379-9776-3AE352E4B549}"/>
            </a:ext>
          </a:extLst>
        </xdr:cNvPr>
        <xdr:cNvSpPr/>
      </xdr:nvSpPr>
      <xdr:spPr>
        <a:xfrm>
          <a:off x="13252531" y="0"/>
          <a:ext cx="1454941" cy="116205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77804</xdr:colOff>
      <xdr:row>2</xdr:row>
      <xdr:rowOff>384583</xdr:rowOff>
    </xdr:from>
    <xdr:to>
      <xdr:col>14</xdr:col>
      <xdr:colOff>1668898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8590B1BE-8666-4CC2-8ED3-A6539C467B42}"/>
            </a:ext>
          </a:extLst>
        </xdr:cNvPr>
        <xdr:cNvSpPr txBox="1"/>
      </xdr:nvSpPr>
      <xdr:spPr>
        <a:xfrm rot="10800000" flipH="1" flipV="1">
          <a:off x="13203254" y="765583"/>
          <a:ext cx="159109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14</xdr:col>
      <xdr:colOff>559501</xdr:colOff>
      <xdr:row>0</xdr:row>
      <xdr:rowOff>136274</xdr:rowOff>
    </xdr:from>
    <xdr:to>
      <xdr:col>14</xdr:col>
      <xdr:colOff>1149602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60848CE-4085-4712-AC9C-8418C0C01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84951" y="136274"/>
          <a:ext cx="590101" cy="598988"/>
        </a:xfrm>
        <a:prstGeom prst="rect">
          <a:avLst/>
        </a:prstGeom>
      </xdr:spPr>
    </xdr:pic>
    <xdr:clientData/>
  </xdr:twoCellAnchor>
  <xdr:twoCellAnchor editAs="absolute">
    <xdr:from>
      <xdr:col>14</xdr:col>
      <xdr:colOff>3757362</xdr:colOff>
      <xdr:row>0</xdr:row>
      <xdr:rowOff>0</xdr:rowOff>
    </xdr:from>
    <xdr:to>
      <xdr:col>14</xdr:col>
      <xdr:colOff>5231316</xdr:colOff>
      <xdr:row>3</xdr:row>
      <xdr:rowOff>0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C07F0C5D-690E-4F11-B3D3-B66F0D5336F9}"/>
            </a:ext>
          </a:extLst>
        </xdr:cNvPr>
        <xdr:cNvSpPr/>
      </xdr:nvSpPr>
      <xdr:spPr>
        <a:xfrm>
          <a:off x="16882812" y="0"/>
          <a:ext cx="1473954" cy="1162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3707441</xdr:colOff>
      <xdr:row>2</xdr:row>
      <xdr:rowOff>384583</xdr:rowOff>
    </xdr:from>
    <xdr:to>
      <xdr:col>14</xdr:col>
      <xdr:colOff>5319327</xdr:colOff>
      <xdr:row>2</xdr:row>
      <xdr:rowOff>762890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DA3B39FC-964E-4195-BF1B-BEDD4B0B9673}"/>
            </a:ext>
          </a:extLst>
        </xdr:cNvPr>
        <xdr:cNvSpPr txBox="1"/>
      </xdr:nvSpPr>
      <xdr:spPr>
        <a:xfrm rot="10800000" flipH="1" flipV="1">
          <a:off x="16832891" y="76558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14</xdr:col>
      <xdr:colOff>4196626</xdr:colOff>
      <xdr:row>0</xdr:row>
      <xdr:rowOff>136274</xdr:rowOff>
    </xdr:from>
    <xdr:to>
      <xdr:col>14</xdr:col>
      <xdr:colOff>4792050</xdr:colOff>
      <xdr:row>2</xdr:row>
      <xdr:rowOff>354262</xdr:rowOff>
    </xdr:to>
    <xdr:pic>
      <xdr:nvPicPr>
        <xdr:cNvPr id="26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4D4CED-EE87-41C5-8D68-189BE673F8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22076" y="136274"/>
          <a:ext cx="595424" cy="59898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537970</xdr:colOff>
      <xdr:row>0</xdr:row>
      <xdr:rowOff>0</xdr:rowOff>
    </xdr:from>
    <xdr:to>
      <xdr:col>16</xdr:col>
      <xdr:colOff>1368480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BDC9312A-A584-4995-B0D2-162B9163CF4F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B499945A-2380-466E-8334-A47464A5ECB5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DD6D6201-7664-4722-8BCA-6D4CDA84FA7F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125AB89-FDCC-4737-939F-96798ED279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3407023</xdr:colOff>
      <xdr:row>0</xdr:row>
      <xdr:rowOff>0</xdr:rowOff>
    </xdr:from>
    <xdr:to>
      <xdr:col>18</xdr:col>
      <xdr:colOff>538984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07850A42-372B-4048-AB6E-E630F3A11BAE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21CA50E8-FC54-47FC-A8F7-C002ACB84915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DF9894F9-8685-4961-9B8F-1EAEE5A8F921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702C2B5-2799-403C-84CB-A739C8D9C0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748728</xdr:colOff>
      <xdr:row>0</xdr:row>
      <xdr:rowOff>0</xdr:rowOff>
    </xdr:from>
    <xdr:to>
      <xdr:col>23</xdr:col>
      <xdr:colOff>556197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D3EB33B1-6D51-44FF-80A0-5724EE6CF573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76D16455-DB83-48EE-96A0-D9158C5D5A3B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87DDF663-9193-48BC-B289-28D0C4ECD152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3A90D1-FA59-4530-8CB7-2DEFB9AE0D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2594739</xdr:colOff>
      <xdr:row>0</xdr:row>
      <xdr:rowOff>0</xdr:rowOff>
    </xdr:from>
    <xdr:to>
      <xdr:col>25</xdr:col>
      <xdr:colOff>78108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E27AD3C6-1B40-4741-BA9F-A51A263294EA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B728BFFD-D4DD-4826-A341-B57F94DDED80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50A3F587-30A6-462F-90CD-41B118AC8DE2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id="{9847A16C-B673-4B97-9C39-24B5DEF350C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14</xdr:col>
      <xdr:colOff>5105400</xdr:colOff>
      <xdr:row>21</xdr:row>
      <xdr:rowOff>323850</xdr:rowOff>
    </xdr:from>
    <xdr:to>
      <xdr:col>15</xdr:col>
      <xdr:colOff>266700</xdr:colOff>
      <xdr:row>25</xdr:row>
      <xdr:rowOff>30182</xdr:rowOff>
    </xdr:to>
    <xdr:sp macro="[1]!REQ_MP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5FFA322F-3D67-4C27-8CDB-C5F0F2263CA7}"/>
            </a:ext>
          </a:extLst>
        </xdr:cNvPr>
        <xdr:cNvSpPr/>
      </xdr:nvSpPr>
      <xdr:spPr>
        <a:xfrm>
          <a:off x="18230850" y="7715250"/>
          <a:ext cx="1981200" cy="11541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</a:p>
      </xdr:txBody>
    </xdr:sp>
    <xdr:clientData/>
  </xdr:twoCellAnchor>
  <xdr:twoCellAnchor editAs="absolute">
    <xdr:from>
      <xdr:col>0</xdr:col>
      <xdr:colOff>266700</xdr:colOff>
      <xdr:row>3</xdr:row>
      <xdr:rowOff>163632</xdr:rowOff>
    </xdr:from>
    <xdr:to>
      <xdr:col>5</xdr:col>
      <xdr:colOff>921192</xdr:colOff>
      <xdr:row>5</xdr:row>
      <xdr:rowOff>152399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8B074F1A-66A7-4F1C-8C49-CA74BA53AA09}"/>
            </a:ext>
          </a:extLst>
        </xdr:cNvPr>
        <xdr:cNvSpPr/>
      </xdr:nvSpPr>
      <xdr:spPr>
        <a:xfrm>
          <a:off x="266700" y="1325682"/>
          <a:ext cx="3397692" cy="76981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1649850</xdr:colOff>
      <xdr:row>3</xdr:row>
      <xdr:rowOff>182100</xdr:rowOff>
    </xdr:from>
    <xdr:to>
      <xdr:col>14</xdr:col>
      <xdr:colOff>1314450</xdr:colOff>
      <xdr:row>5</xdr:row>
      <xdr:rowOff>171450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11EB1B90-80FA-4E2D-82A5-5D0BFBA8C6A9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441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182100</xdr:rowOff>
    </xdr:from>
    <xdr:to>
      <xdr:col>10</xdr:col>
      <xdr:colOff>140850</xdr:colOff>
      <xdr:row>5</xdr:row>
      <xdr:rowOff>171450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127DC4B7-C85B-427B-A26E-75E11C8BAF48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441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14</xdr:col>
      <xdr:colOff>2990850</xdr:colOff>
      <xdr:row>3</xdr:row>
      <xdr:rowOff>152400</xdr:rowOff>
    </xdr:from>
    <xdr:to>
      <xdr:col>14</xdr:col>
      <xdr:colOff>6389250</xdr:colOff>
      <xdr:row>5</xdr:row>
      <xdr:rowOff>141750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C3F39354-B16B-4C45-84F7-746106A3C8E5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16300" y="13144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5C8541E-6C05-4516-8368-A6E21475751C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EBABE5-3FAB-405B-BC0D-575DAA695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15</xdr:col>
      <xdr:colOff>4457700</xdr:colOff>
      <xdr:row>3</xdr:row>
      <xdr:rowOff>266700</xdr:rowOff>
    </xdr:from>
    <xdr:to>
      <xdr:col>15</xdr:col>
      <xdr:colOff>4914900</xdr:colOff>
      <xdr:row>4</xdr:row>
      <xdr:rowOff>144236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B56C4BFF-1A12-45F2-B004-D5A89FB90B11}"/>
            </a:ext>
          </a:extLst>
        </xdr:cNvPr>
        <xdr:cNvSpPr/>
      </xdr:nvSpPr>
      <xdr:spPr>
        <a:xfrm>
          <a:off x="20299680" y="1409700"/>
          <a:ext cx="46482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7782554-39C6-4106-A724-E608CCAC513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35CF85BF-C7EB-4DE5-8FE5-87898D0975E8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5824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B810FAA7-A784-4E8D-9C4D-D4E3E358CE76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B892709-3557-4A7B-96BD-89BB600510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E24FBE7D-EB33-47F9-A6E5-38871493891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F5ADD9BD-6FF1-436C-9B9D-A0F2A213E41F}"/>
            </a:ext>
          </a:extLst>
        </xdr:cNvPr>
        <xdr:cNvGrpSpPr/>
      </xdr:nvGrpSpPr>
      <xdr:grpSpPr>
        <a:xfrm>
          <a:off x="5925493" y="0"/>
          <a:ext cx="1606317" cy="115824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2A93A61E-F554-4236-9ECF-FB14FCA4D142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A2CD40CF-3AFA-4617-A320-A46F8AAED838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D066335-419B-45E4-8FEF-76C28053B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5A436CE2-8405-4EA3-B0FE-ACEA736CA072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B7E166D7-5F91-4D89-98F3-A4C27B232BAC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F0A7EB1-C198-49AC-9C48-9F7611872F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13</xdr:col>
      <xdr:colOff>1498681</xdr:colOff>
      <xdr:row>0</xdr:row>
      <xdr:rowOff>0</xdr:rowOff>
    </xdr:from>
    <xdr:to>
      <xdr:col>14</xdr:col>
      <xdr:colOff>858122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A9A283D-DC4F-4801-9FD5-184429695C34}"/>
            </a:ext>
          </a:extLst>
        </xdr:cNvPr>
        <xdr:cNvSpPr/>
      </xdr:nvSpPr>
      <xdr:spPr>
        <a:xfrm>
          <a:off x="13233481" y="0"/>
          <a:ext cx="145494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1449404</xdr:colOff>
      <xdr:row>2</xdr:row>
      <xdr:rowOff>384583</xdr:rowOff>
    </xdr:from>
    <xdr:to>
      <xdr:col>14</xdr:col>
      <xdr:colOff>944998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916A70B6-81FD-4D55-B831-26A9772E5D2F}"/>
            </a:ext>
          </a:extLst>
        </xdr:cNvPr>
        <xdr:cNvSpPr txBox="1"/>
      </xdr:nvSpPr>
      <xdr:spPr>
        <a:xfrm rot="10800000" flipH="1" flipV="1">
          <a:off x="13184204" y="750343"/>
          <a:ext cx="159109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13</xdr:col>
      <xdr:colOff>1931101</xdr:colOff>
      <xdr:row>0</xdr:row>
      <xdr:rowOff>136274</xdr:rowOff>
    </xdr:from>
    <xdr:to>
      <xdr:col>14</xdr:col>
      <xdr:colOff>425702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B6AD15-03F6-49BD-9D7E-4D2E0BF0E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65901" y="136274"/>
          <a:ext cx="590101" cy="583748"/>
        </a:xfrm>
        <a:prstGeom prst="rect">
          <a:avLst/>
        </a:prstGeom>
      </xdr:spPr>
    </xdr:pic>
    <xdr:clientData/>
  </xdr:twoCellAnchor>
  <xdr:twoCellAnchor editAs="absolute">
    <xdr:from>
      <xdr:col>15</xdr:col>
      <xdr:colOff>1014162</xdr:colOff>
      <xdr:row>0</xdr:row>
      <xdr:rowOff>0</xdr:rowOff>
    </xdr:from>
    <xdr:to>
      <xdr:col>15</xdr:col>
      <xdr:colOff>2488116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C9708D59-C75C-4085-AD14-585D8BA4E575}"/>
            </a:ext>
          </a:extLst>
        </xdr:cNvPr>
        <xdr:cNvSpPr/>
      </xdr:nvSpPr>
      <xdr:spPr>
        <a:xfrm>
          <a:off x="16863762" y="0"/>
          <a:ext cx="1473954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964241</xdr:colOff>
      <xdr:row>2</xdr:row>
      <xdr:rowOff>384583</xdr:rowOff>
    </xdr:from>
    <xdr:to>
      <xdr:col>15</xdr:col>
      <xdr:colOff>2576127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D314684A-B931-4DBD-ACA8-EBB2FCE174B5}"/>
            </a:ext>
          </a:extLst>
        </xdr:cNvPr>
        <xdr:cNvSpPr txBox="1"/>
      </xdr:nvSpPr>
      <xdr:spPr>
        <a:xfrm rot="10800000" flipH="1" flipV="1">
          <a:off x="1681384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15</xdr:col>
      <xdr:colOff>1453426</xdr:colOff>
      <xdr:row>0</xdr:row>
      <xdr:rowOff>136274</xdr:rowOff>
    </xdr:from>
    <xdr:to>
      <xdr:col>15</xdr:col>
      <xdr:colOff>2048850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6F057C-B2C5-4B11-B1A8-049817D7D4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03026" y="136274"/>
          <a:ext cx="595424" cy="58374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4614670</xdr:colOff>
      <xdr:row>0</xdr:row>
      <xdr:rowOff>0</xdr:rowOff>
    </xdr:from>
    <xdr:to>
      <xdr:col>17</xdr:col>
      <xdr:colOff>111180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92B4A6E6-BFED-45F6-A39A-7687BAA780D6}"/>
            </a:ext>
          </a:extLst>
        </xdr:cNvPr>
        <xdr:cNvGrpSpPr/>
      </xdr:nvGrpSpPr>
      <xdr:grpSpPr>
        <a:xfrm>
          <a:off x="20464270" y="0"/>
          <a:ext cx="1592510" cy="115824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DDA0DFA9-1D4A-4738-8C85-7488E3659137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7F86B9B5-9ECD-4EA9-9215-4862AD1819CE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14BF5F0-91FC-4439-A574-EE711676B9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20</xdr:col>
      <xdr:colOff>320923</xdr:colOff>
      <xdr:row>0</xdr:row>
      <xdr:rowOff>0</xdr:rowOff>
    </xdr:from>
    <xdr:to>
      <xdr:col>21</xdr:col>
      <xdr:colOff>1300984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C9428A26-59BF-4ABD-BD8D-D6F7F7887A9F}"/>
            </a:ext>
          </a:extLst>
        </xdr:cNvPr>
        <xdr:cNvGrpSpPr/>
      </xdr:nvGrpSpPr>
      <xdr:grpSpPr>
        <a:xfrm>
          <a:off x="24095323" y="0"/>
          <a:ext cx="1589661" cy="115824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7CB77C83-05AB-4F38-BE04-55731EEC623C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FF2F9074-71F7-4056-9D02-263C41C0530A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91B3270-C91F-4DBF-B3C0-D54C7578B1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1548828</xdr:colOff>
      <xdr:row>0</xdr:row>
      <xdr:rowOff>0</xdr:rowOff>
    </xdr:from>
    <xdr:to>
      <xdr:col>23</xdr:col>
      <xdr:colOff>3146997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E5160F03-ED0C-46D3-927D-C273CCB8A585}"/>
            </a:ext>
          </a:extLst>
        </xdr:cNvPr>
        <xdr:cNvGrpSpPr/>
      </xdr:nvGrpSpPr>
      <xdr:grpSpPr>
        <a:xfrm>
          <a:off x="27731148" y="0"/>
          <a:ext cx="1598169" cy="1158240"/>
          <a:chOff x="11105473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A3762977-B10C-4BF2-8E4B-569643DFC146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265A7E54-CDA8-4BA7-9398-A9C954D401AD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EAE943-3B03-45E5-AD67-F62AB83250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26</xdr:col>
      <xdr:colOff>461139</xdr:colOff>
      <xdr:row>0</xdr:row>
      <xdr:rowOff>0</xdr:rowOff>
    </xdr:from>
    <xdr:to>
      <xdr:col>29</xdr:col>
      <xdr:colOff>230508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6DC8FFC0-99F5-4CD7-BCD2-E526F582629F}"/>
            </a:ext>
          </a:extLst>
        </xdr:cNvPr>
        <xdr:cNvGrpSpPr/>
      </xdr:nvGrpSpPr>
      <xdr:grpSpPr>
        <a:xfrm>
          <a:off x="31367859" y="0"/>
          <a:ext cx="1598169" cy="1158240"/>
          <a:chOff x="12260227" y="0"/>
          <a:chExt cx="1118316" cy="770164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910A98FB-642A-4854-9AF5-15806E5D6F45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6F9EF9A9-A730-4D00-8F8B-8C43D53605A5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8" name="Imagem 37" descr="Ícone do banco de dados (símbolo png) preto">
            <a:extLst>
              <a:ext uri="{FF2B5EF4-FFF2-40B4-BE49-F238E27FC236}">
                <a16:creationId xmlns:a16="http://schemas.microsoft.com/office/drawing/2014/main" id="{9D13A87E-CC0A-41C1-BB63-00FF672E1A0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5</xdr:col>
      <xdr:colOff>921192</xdr:colOff>
      <xdr:row>5</xdr:row>
      <xdr:rowOff>152399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3A14BEF6-FB07-4238-83D1-4985C31099B6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1649850</xdr:colOff>
      <xdr:row>3</xdr:row>
      <xdr:rowOff>182100</xdr:rowOff>
    </xdr:from>
    <xdr:to>
      <xdr:col>14</xdr:col>
      <xdr:colOff>590550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8197470C-1DEF-4A68-88EF-EC336AB8FA54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0070" y="1325100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182100</xdr:rowOff>
    </xdr:from>
    <xdr:to>
      <xdr:col>10</xdr:col>
      <xdr:colOff>140850</xdr:colOff>
      <xdr:row>5</xdr:row>
      <xdr:rowOff>171450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5DEFB26F-FFA9-4ADE-86AF-34CF63E3620B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33110" y="1325100"/>
          <a:ext cx="33755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15</xdr:col>
      <xdr:colOff>247650</xdr:colOff>
      <xdr:row>3</xdr:row>
      <xdr:rowOff>152400</xdr:rowOff>
    </xdr:from>
    <xdr:to>
      <xdr:col>15</xdr:col>
      <xdr:colOff>3646050</xdr:colOff>
      <xdr:row>5</xdr:row>
      <xdr:rowOff>141750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7C75B8A1-3107-4434-8A6F-0AA8D2B4AF4A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09725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14</xdr:col>
      <xdr:colOff>1265464</xdr:colOff>
      <xdr:row>41</xdr:row>
      <xdr:rowOff>89808</xdr:rowOff>
    </xdr:from>
    <xdr:to>
      <xdr:col>15</xdr:col>
      <xdr:colOff>2326820</xdr:colOff>
      <xdr:row>45</xdr:row>
      <xdr:rowOff>58987</xdr:rowOff>
    </xdr:to>
    <xdr:sp macro="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E9D0DFA0-A85E-4E3A-B462-C34BD01B0BA0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5114814" y="14720208"/>
          <a:ext cx="3080656" cy="141697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93ED85F0-BD04-45BE-A589-04A4AC4EFCF5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7722B8-CB29-4AA2-8640-8B5E9BE79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11</xdr:col>
      <xdr:colOff>704850</xdr:colOff>
      <xdr:row>3</xdr:row>
      <xdr:rowOff>266700</xdr:rowOff>
    </xdr:from>
    <xdr:to>
      <xdr:col>11</xdr:col>
      <xdr:colOff>1162050</xdr:colOff>
      <xdr:row>4</xdr:row>
      <xdr:rowOff>144236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3EF6E76E-2E94-4282-85EB-C58D0B50025F}"/>
            </a:ext>
          </a:extLst>
        </xdr:cNvPr>
        <xdr:cNvSpPr/>
      </xdr:nvSpPr>
      <xdr:spPr>
        <a:xfrm>
          <a:off x="20314920" y="1409700"/>
          <a:ext cx="45720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A0B4ABE6-E4BA-48CF-AB55-103DF3B1441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D14B7D30-9DED-4A0B-8B0A-5444D0197337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6350B1F5-8D0F-43BE-A770-07938817B73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05FF1BC-66E1-4F83-810E-A9E3BCF9AD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0670B415-D971-4F0A-B946-DFB0330C2EA2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9FCDAE7E-49EF-48D0-9C10-F9201F899824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3D6A82C0-C694-402C-8A98-E5347732AC57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808A6118-C8E4-4053-AA9F-E692482AD7BE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1BF0C4E-13E1-456D-A47C-4483732505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1462639</xdr:colOff>
      <xdr:row>0</xdr:row>
      <xdr:rowOff>0</xdr:rowOff>
    </xdr:from>
    <xdr:to>
      <xdr:col>7</xdr:col>
      <xdr:colOff>1133348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D70F3724-498A-41E2-9CC2-BED2633C2F5A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1413143</xdr:colOff>
      <xdr:row>2</xdr:row>
      <xdr:rowOff>384583</xdr:rowOff>
    </xdr:from>
    <xdr:to>
      <xdr:col>7</xdr:col>
      <xdr:colOff>1220610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F9113E8F-D46C-452B-9369-0139FF57C5BA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7</xdr:col>
      <xdr:colOff>103806</xdr:colOff>
      <xdr:row>0</xdr:row>
      <xdr:rowOff>136274</xdr:rowOff>
    </xdr:from>
    <xdr:to>
      <xdr:col>7</xdr:col>
      <xdr:colOff>701482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C21EA39-302E-4293-AF22-073C1435C6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1974931</xdr:colOff>
      <xdr:row>0</xdr:row>
      <xdr:rowOff>0</xdr:rowOff>
    </xdr:from>
    <xdr:to>
      <xdr:col>8</xdr:col>
      <xdr:colOff>3429872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F0A9CC48-0A00-4A17-9C73-C71AF77BD9EE}"/>
            </a:ext>
          </a:extLst>
        </xdr:cNvPr>
        <xdr:cNvSpPr/>
      </xdr:nvSpPr>
      <xdr:spPr>
        <a:xfrm>
          <a:off x="1324110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1925654</xdr:colOff>
      <xdr:row>2</xdr:row>
      <xdr:rowOff>384583</xdr:rowOff>
    </xdr:from>
    <xdr:to>
      <xdr:col>8</xdr:col>
      <xdr:colOff>3516748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EF3EF580-ACAC-4552-A01C-5867AF3643B9}"/>
            </a:ext>
          </a:extLst>
        </xdr:cNvPr>
        <xdr:cNvSpPr txBox="1"/>
      </xdr:nvSpPr>
      <xdr:spPr>
        <a:xfrm rot="10800000" flipH="1" flipV="1">
          <a:off x="1319182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2407351</xdr:colOff>
      <xdr:row>0</xdr:row>
      <xdr:rowOff>136274</xdr:rowOff>
    </xdr:from>
    <xdr:to>
      <xdr:col>8</xdr:col>
      <xdr:colOff>2997452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E9FD2D-3BA8-4514-8D18-721A5295A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7352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5605212</xdr:colOff>
      <xdr:row>0</xdr:row>
      <xdr:rowOff>0</xdr:rowOff>
    </xdr:from>
    <xdr:to>
      <xdr:col>8</xdr:col>
      <xdr:colOff>7079166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EEA4A38C-6B4D-468A-8C2A-E542DFA0F9BF}"/>
            </a:ext>
          </a:extLst>
        </xdr:cNvPr>
        <xdr:cNvSpPr/>
      </xdr:nvSpPr>
      <xdr:spPr>
        <a:xfrm>
          <a:off x="16871382" y="0"/>
          <a:ext cx="1473954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5555291</xdr:colOff>
      <xdr:row>2</xdr:row>
      <xdr:rowOff>384583</xdr:rowOff>
    </xdr:from>
    <xdr:to>
      <xdr:col>9</xdr:col>
      <xdr:colOff>4377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2753D608-FE3F-46D4-A086-D62DE3193288}"/>
            </a:ext>
          </a:extLst>
        </xdr:cNvPr>
        <xdr:cNvSpPr txBox="1"/>
      </xdr:nvSpPr>
      <xdr:spPr>
        <a:xfrm rot="10800000" flipH="1" flipV="1">
          <a:off x="1682146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8</xdr:col>
      <xdr:colOff>6044476</xdr:colOff>
      <xdr:row>0</xdr:row>
      <xdr:rowOff>136274</xdr:rowOff>
    </xdr:from>
    <xdr:to>
      <xdr:col>8</xdr:col>
      <xdr:colOff>6639900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46C5496-1341-430B-9A6A-86CFA7E907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10646" y="136274"/>
          <a:ext cx="595424" cy="58374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11</xdr:col>
      <xdr:colOff>861820</xdr:colOff>
      <xdr:row>0</xdr:row>
      <xdr:rowOff>0</xdr:rowOff>
    </xdr:from>
    <xdr:to>
      <xdr:col>12</xdr:col>
      <xdr:colOff>701730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44090020-FF03-4E40-AFC2-EC0F5E4D7D4E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9AD5B5F0-753F-4094-AAF7-A4EC5476B6B9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044FBAB5-202C-43ED-86DB-4893CAA5B81B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CD7EE1A-83E1-4A1C-84FA-FE698775B8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759073</xdr:colOff>
      <xdr:row>0</xdr:row>
      <xdr:rowOff>0</xdr:rowOff>
    </xdr:from>
    <xdr:to>
      <xdr:col>13</xdr:col>
      <xdr:colOff>2348734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45755DF7-EEA5-4D41-B887-33E58CC010DC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23AA3D20-5CC5-42E1-B852-F5A21B41E56F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1B4AAC7E-4D0F-4BCD-8BFC-A708E0A1590E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35AAA52-AF81-483A-A8DA-069C5A560E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1110678</xdr:colOff>
      <xdr:row>0</xdr:row>
      <xdr:rowOff>0</xdr:rowOff>
    </xdr:from>
    <xdr:to>
      <xdr:col>15</xdr:col>
      <xdr:colOff>689547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DA012808-C9D7-440A-B8CE-0269F10B5DB0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8436F0D3-217B-446D-A7C9-0D9BC5BA299D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AF48C6EC-2FA0-4DA9-90EC-A8256566D459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F8EE4F4-ABE8-427F-8701-9F8AAC3952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2728089</xdr:colOff>
      <xdr:row>0</xdr:row>
      <xdr:rowOff>0</xdr:rowOff>
    </xdr:from>
    <xdr:to>
      <xdr:col>15</xdr:col>
      <xdr:colOff>4326258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1A301D0D-CA68-42B5-9B81-1B1BE87EF755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9C836EF7-1716-4807-A70E-C9A4754062E4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54517361-3E32-4434-8145-C63E7DEFCDAE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8" name="Imagem 37" descr="Ícone do banco de dados (símbolo png) preto">
            <a:extLst>
              <a:ext uri="{FF2B5EF4-FFF2-40B4-BE49-F238E27FC236}">
                <a16:creationId xmlns:a16="http://schemas.microsoft.com/office/drawing/2014/main" id="{588CA214-0C55-4B7A-84F9-B1D9B375461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ED85A38F-97B2-41CA-A53E-0A28E4363366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1097400</xdr:colOff>
      <xdr:row>3</xdr:row>
      <xdr:rowOff>182100</xdr:rowOff>
    </xdr:from>
    <xdr:to>
      <xdr:col>8</xdr:col>
      <xdr:colOff>3162300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E722DB31-F0B4-4DA8-81FB-49618AF9368E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0070" y="13251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1074300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A24B4A65-1D03-4E85-8D27-9C7BF74D9F93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33110" y="13251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8</xdr:col>
      <xdr:colOff>4838700</xdr:colOff>
      <xdr:row>3</xdr:row>
      <xdr:rowOff>152400</xdr:rowOff>
    </xdr:from>
    <xdr:to>
      <xdr:col>10</xdr:col>
      <xdr:colOff>198000</xdr:colOff>
      <xdr:row>5</xdr:row>
      <xdr:rowOff>141750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6AD459D3-BF8E-4252-90EB-316577D58509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0487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4</xdr:col>
      <xdr:colOff>1861458</xdr:colOff>
      <xdr:row>29</xdr:row>
      <xdr:rowOff>43543</xdr:rowOff>
    </xdr:from>
    <xdr:to>
      <xdr:col>4</xdr:col>
      <xdr:colOff>3537857</xdr:colOff>
      <xdr:row>33</xdr:row>
      <xdr:rowOff>23609</xdr:rowOff>
    </xdr:to>
    <xdr:sp macro="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8D49897E-7824-4634-A7A6-8F6B64A4C109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909458" y="6139543"/>
          <a:ext cx="1676399" cy="742066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7CB1DA02-672E-49CE-AAE2-D12C8E0383EB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D6C545-B0C6-45C4-A3D7-F7B589F4C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12</xdr:col>
      <xdr:colOff>57150</xdr:colOff>
      <xdr:row>3</xdr:row>
      <xdr:rowOff>266700</xdr:rowOff>
    </xdr:from>
    <xdr:to>
      <xdr:col>12</xdr:col>
      <xdr:colOff>514350</xdr:colOff>
      <xdr:row>4</xdr:row>
      <xdr:rowOff>144236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184B24F9-C087-4657-B2FB-CB64374465E8}"/>
            </a:ext>
          </a:extLst>
        </xdr:cNvPr>
        <xdr:cNvSpPr/>
      </xdr:nvSpPr>
      <xdr:spPr>
        <a:xfrm>
          <a:off x="20326350" y="1409700"/>
          <a:ext cx="45720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99386C1-1B58-4444-9F5A-62B8139CA9AF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378CF45A-CED6-4FEF-B9C7-B5884D300F01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6444CBA6-7E2F-49C4-A6A0-B35E2A1AC678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1B69011-5857-4831-9CC3-C7376AAE44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A04EFCC8-CA5F-4638-B4DA-EDC4ED9EC12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C53CE4BE-6C1B-4516-A7FE-A8D4526D126A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6EE61985-465C-4439-AD6F-BFC327CDCF08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E1FC145A-5C09-4194-B302-EE7AED3D28F0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8AA5AB3-1C39-4695-B6E0-58092BB071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6E822BBE-92C7-4BEA-86FC-13A8926EAA97}"/>
            </a:ext>
          </a:extLst>
        </xdr:cNvPr>
        <xdr:cNvSpPr/>
      </xdr:nvSpPr>
      <xdr:spPr>
        <a:xfrm>
          <a:off x="963127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F0A93E42-467A-4ADC-91E8-EB48B9B887EF}"/>
            </a:ext>
          </a:extLst>
        </xdr:cNvPr>
        <xdr:cNvSpPr txBox="1"/>
      </xdr:nvSpPr>
      <xdr:spPr>
        <a:xfrm rot="10800000" flipH="1" flipV="1">
          <a:off x="958178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1E711D-CBC0-44B5-8D3E-5A937D7AD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5552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5860986A-C6E8-475F-97E4-2F3F2C136A5E}"/>
            </a:ext>
          </a:extLst>
        </xdr:cNvPr>
        <xdr:cNvSpPr/>
      </xdr:nvSpPr>
      <xdr:spPr>
        <a:xfrm>
          <a:off x="13260151" y="0"/>
          <a:ext cx="145494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B7181FA4-9364-43E8-84FB-4931D409FE32}"/>
            </a:ext>
          </a:extLst>
        </xdr:cNvPr>
        <xdr:cNvSpPr txBox="1"/>
      </xdr:nvSpPr>
      <xdr:spPr>
        <a:xfrm rot="10800000" flipH="1" flipV="1">
          <a:off x="13210874" y="750343"/>
          <a:ext cx="159109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6BC947-10E7-4C33-90BF-0781E84CF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92571" y="136274"/>
          <a:ext cx="59010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C609E389-6431-4BB1-9AAA-8D9F932F8BA0}"/>
            </a:ext>
          </a:extLst>
        </xdr:cNvPr>
        <xdr:cNvSpPr/>
      </xdr:nvSpPr>
      <xdr:spPr>
        <a:xfrm>
          <a:off x="16890432" y="0"/>
          <a:ext cx="1473954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DAF3FCA3-10F1-47E5-825D-CC508BBB3E98}"/>
            </a:ext>
          </a:extLst>
        </xdr:cNvPr>
        <xdr:cNvSpPr txBox="1"/>
      </xdr:nvSpPr>
      <xdr:spPr>
        <a:xfrm rot="10800000" flipH="1" flipV="1">
          <a:off x="16840511" y="750343"/>
          <a:ext cx="160426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F678D3-A941-467F-8D1B-6DAB2FB1B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29696" y="136274"/>
          <a:ext cx="595424" cy="58374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0DD6EF55-777B-4EE1-B873-4A8BA8386555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27F37CFF-3243-4D6F-8A1E-4663D1294C8B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BAF1D273-6BE9-41F4-8B74-C7D01458B074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03A94A-D1F1-49F5-B466-9539A37F0A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20C324A-DD0A-4650-9171-EC72B10BAFB7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72E871C4-2754-40F9-9950-D66721129EFD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3B280B72-084D-4250-8314-68AF4B689BA0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472B317-3106-45AA-95EA-FBD9FDA301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196278</xdr:colOff>
      <xdr:row>0</xdr:row>
      <xdr:rowOff>0</xdr:rowOff>
    </xdr:from>
    <xdr:to>
      <xdr:col>15</xdr:col>
      <xdr:colOff>1794447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16AF4077-8FB5-40AF-AD4F-BE2CC5618E49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73BC4571-A299-4C32-9B21-33153CED9B4A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465C5C58-B922-4713-94C7-CD918550766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6FA71C7-2B13-4EAB-B4B5-5882888679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BF28844F-14CF-42A2-B6D7-279E620C8F3A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3C19F0CB-816C-4528-A7EB-B76A6339195B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74F14F2F-768C-4DC4-9838-AD93D1B52795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8" name="Imagem 37" descr="Ícone do banco de dados (símbolo png) preto">
            <a:extLst>
              <a:ext uri="{FF2B5EF4-FFF2-40B4-BE49-F238E27FC236}">
                <a16:creationId xmlns:a16="http://schemas.microsoft.com/office/drawing/2014/main" id="{02612C3C-E952-4CBF-9F56-DBCE6E97F35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035B830B-978F-4814-B1F3-6833895FE037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20D734E-8061-4266-9313-DC9F2388A632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912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156369B9-A214-4793-8688-DC6F56F3B8F8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5B40B346-2CBB-4F16-A347-297DE7DB9811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23920" y="1295400"/>
          <a:ext cx="338316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F70DCB7-0164-4460-A80D-4430C26BBCBC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63EFC35-133C-40CB-B266-1269CEF416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13</xdr:col>
      <xdr:colOff>2952750</xdr:colOff>
      <xdr:row>3</xdr:row>
      <xdr:rowOff>247650</xdr:rowOff>
    </xdr:from>
    <xdr:to>
      <xdr:col>14</xdr:col>
      <xdr:colOff>133350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F69802CF-D570-4D93-86F3-07E17A7552ED}"/>
            </a:ext>
          </a:extLst>
        </xdr:cNvPr>
        <xdr:cNvSpPr/>
      </xdr:nvSpPr>
      <xdr:spPr>
        <a:xfrm>
          <a:off x="25203150" y="1409700"/>
          <a:ext cx="457200" cy="46808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A27B7593-91A5-4067-973D-BD9BB1E4FDB1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FB818A7-394D-4B29-ABCC-6F6EB9B22543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5A0A260E-9325-4A2E-A98A-B76719C8F25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E104897-45C2-4B8B-9124-ED76C2E632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78DE30A5-44BD-4919-87F7-979799074B3B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3057F514-4B36-40AE-ABB4-B732655500AA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C791C49A-FCB4-4D81-B99F-107FF136E32D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1C290481-7D3F-4598-AB96-2B3E109A4F8C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70E502B-474A-4589-B0B9-5723FF4CBF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D9E72012-AD37-42BD-B509-37F4B0A06F3F}"/>
            </a:ext>
          </a:extLst>
        </xdr:cNvPr>
        <xdr:cNvSpPr/>
      </xdr:nvSpPr>
      <xdr:spPr>
        <a:xfrm>
          <a:off x="961603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5C2F23ED-2792-4156-808E-D7C524AEC89C}"/>
            </a:ext>
          </a:extLst>
        </xdr:cNvPr>
        <xdr:cNvSpPr txBox="1"/>
      </xdr:nvSpPr>
      <xdr:spPr>
        <a:xfrm rot="10800000" flipH="1" flipV="1">
          <a:off x="956654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3BD365A-BA0A-4597-91AA-E44172302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790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13D8B86-CE8A-415D-8AEB-8BED29BA45B8}"/>
            </a:ext>
          </a:extLst>
        </xdr:cNvPr>
        <xdr:cNvSpPr/>
      </xdr:nvSpPr>
      <xdr:spPr>
        <a:xfrm>
          <a:off x="1325253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CDC212D2-C371-48AF-B48B-E8CA19F84F40}"/>
            </a:ext>
          </a:extLst>
        </xdr:cNvPr>
        <xdr:cNvSpPr txBox="1"/>
      </xdr:nvSpPr>
      <xdr:spPr>
        <a:xfrm rot="10800000" flipH="1" flipV="1">
          <a:off x="1320325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319C3FA-300B-4DDD-B964-3A47200BD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8495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9296941F-046D-4723-9142-8298EE877259}"/>
            </a:ext>
          </a:extLst>
        </xdr:cNvPr>
        <xdr:cNvSpPr/>
      </xdr:nvSpPr>
      <xdr:spPr>
        <a:xfrm>
          <a:off x="1689805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E6A96873-541B-4DF4-9843-83A27F2ECACA}"/>
            </a:ext>
          </a:extLst>
        </xdr:cNvPr>
        <xdr:cNvSpPr txBox="1"/>
      </xdr:nvSpPr>
      <xdr:spPr>
        <a:xfrm rot="10800000" flipH="1" flipV="1">
          <a:off x="1684813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97D55B3-953E-4FEF-AB84-4A8A75771D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3731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794EA2BB-F51C-48A8-817A-AD39FF593319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1ABA6884-32FD-4286-8781-61272EA24FA5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DA027D37-A64E-4F6E-808D-751E805AE1FF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76A6C73-B9D6-48E1-A8F3-7687EF7F0D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F5FA165C-1AE7-4943-9196-38E96BAE15E9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2BA7593F-9DAC-49BC-B750-D00F6C257D41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8F738A34-CA06-41BE-AE7D-EE5253766303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3717E1F-6C10-422A-97F2-64C6B0B573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245774</xdr:colOff>
      <xdr:row>0</xdr:row>
      <xdr:rowOff>0</xdr:rowOff>
    </xdr:from>
    <xdr:to>
      <xdr:col>15</xdr:col>
      <xdr:colOff>1707185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3A0401DA-6E24-4818-B030-F9DEF92E2CA5}"/>
            </a:ext>
          </a:extLst>
        </xdr:cNvPr>
        <xdr:cNvSpPr/>
      </xdr:nvSpPr>
      <xdr:spPr>
        <a:xfrm>
          <a:off x="27792074" y="0"/>
          <a:ext cx="1461411" cy="1162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196278</xdr:colOff>
      <xdr:row>2</xdr:row>
      <xdr:rowOff>384583</xdr:rowOff>
    </xdr:from>
    <xdr:to>
      <xdr:col>15</xdr:col>
      <xdr:colOff>1794447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44720A25-5AEE-4BD3-8FD4-64E057EBC708}"/>
            </a:ext>
          </a:extLst>
        </xdr:cNvPr>
        <xdr:cNvSpPr txBox="1"/>
      </xdr:nvSpPr>
      <xdr:spPr>
        <a:xfrm rot="10800000" flipH="1" flipV="1">
          <a:off x="27742578" y="765583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15</xdr:col>
      <xdr:colOff>688618</xdr:colOff>
      <xdr:row>0</xdr:row>
      <xdr:rowOff>136274</xdr:rowOff>
    </xdr:from>
    <xdr:to>
      <xdr:col>15</xdr:col>
      <xdr:colOff>1264337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3DC78B4-188B-47F3-A52A-80B47F3AC6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34918" y="136274"/>
          <a:ext cx="575719" cy="59898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CCE9CC11-F371-4214-A54E-5E5EF10705AC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4DFD0DDC-9F82-44E1-A05A-59FBB825DF1A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947699F7-CECD-46A7-B4DB-144490F3C596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8" name="Imagem 37" descr="Ícone do banco de dados (símbolo png) preto">
            <a:extLst>
              <a:ext uri="{FF2B5EF4-FFF2-40B4-BE49-F238E27FC236}">
                <a16:creationId xmlns:a16="http://schemas.microsoft.com/office/drawing/2014/main" id="{535787F8-A08D-494F-963D-DD62F99D9F9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A1DEA15F-405C-4A2F-8621-6925D1D27A22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827F62E6-7E3F-492A-B702-127209BF7C45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9399AF5B-7278-4C54-99D3-A6064B371874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B1875DB0-E6C4-4785-8CCC-CE532FAEC24A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16300" y="13144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674712</xdr:colOff>
      <xdr:row>3</xdr:row>
      <xdr:rowOff>133350</xdr:rowOff>
    </xdr:from>
    <xdr:to>
      <xdr:col>13</xdr:col>
      <xdr:colOff>2091912</xdr:colOff>
      <xdr:row>5</xdr:row>
      <xdr:rowOff>164263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C5864EAE-F899-4D36-AF94-9C8E7E231575}"/>
            </a:ext>
          </a:extLst>
        </xdr:cNvPr>
        <xdr:cNvSpPr/>
      </xdr:nvSpPr>
      <xdr:spPr>
        <a:xfrm>
          <a:off x="20943912" y="1295400"/>
          <a:ext cx="3398400" cy="81196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49" name="Retângulo Arredondado 11">
          <a:extLst>
            <a:ext uri="{FF2B5EF4-FFF2-40B4-BE49-F238E27FC236}">
              <a16:creationId xmlns:a16="http://schemas.microsoft.com/office/drawing/2014/main" id="{1D5B652F-FAFE-4AD6-AFDB-C03FD45D41E4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706983" y="5269775"/>
          <a:ext cx="1452153" cy="56136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8</xdr:col>
      <xdr:colOff>1543050</xdr:colOff>
      <xdr:row>29</xdr:row>
      <xdr:rowOff>57150</xdr:rowOff>
    </xdr:from>
    <xdr:to>
      <xdr:col>10</xdr:col>
      <xdr:colOff>1148986</xdr:colOff>
      <xdr:row>33</xdr:row>
      <xdr:rowOff>41569</xdr:rowOff>
    </xdr:to>
    <xdr:sp macro="" textlink="">
      <xdr:nvSpPr>
        <xdr:cNvPr id="50" name="Retângulo Arredondado 11">
          <a:extLst>
            <a:ext uri="{FF2B5EF4-FFF2-40B4-BE49-F238E27FC236}">
              <a16:creationId xmlns:a16="http://schemas.microsoft.com/office/drawing/2014/main" id="{91CD3AD3-B1F8-4FCD-AC78-9EFF6801FE31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077950" y="10344150"/>
          <a:ext cx="3073036" cy="143221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F1BC3912-F65D-4384-9090-48AC9FE48F71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7B5195-A0BB-4E9C-B03A-5DEB6E37F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13</xdr:col>
      <xdr:colOff>2952750</xdr:colOff>
      <xdr:row>3</xdr:row>
      <xdr:rowOff>247650</xdr:rowOff>
    </xdr:from>
    <xdr:to>
      <xdr:col>14</xdr:col>
      <xdr:colOff>133350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EC034556-3995-4675-9A7F-4F9E51F789AC}"/>
            </a:ext>
          </a:extLst>
        </xdr:cNvPr>
        <xdr:cNvSpPr/>
      </xdr:nvSpPr>
      <xdr:spPr>
        <a:xfrm>
          <a:off x="25226010" y="1390650"/>
          <a:ext cx="46482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C3E383EF-43B0-4151-B1E5-B5DABF9CB0E5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8B93F9B2-613E-4979-B664-A66E15448D10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AE0C65FD-70D2-472A-85BF-EA2EFAEDED9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1DF8404-6287-42EE-8D0C-FBAA36C993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77066DCA-3817-4EC0-B58A-2B1904ECCAA7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CB7A36F-4BED-4A41-81DA-D048A5B30202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A746ADC6-4136-4A43-9AC9-BD0591333E1A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9450ABEF-B03B-469D-94DC-28B0971275E8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FD0EC9F-12A2-4B36-9354-D0B6C8B3D3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A115E1E0-CC9E-4812-94E6-573D682A2E7A}"/>
            </a:ext>
          </a:extLst>
        </xdr:cNvPr>
        <xdr:cNvSpPr/>
      </xdr:nvSpPr>
      <xdr:spPr>
        <a:xfrm>
          <a:off x="961603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E7236CF4-DB6F-4D20-B842-CB29C4C5250D}"/>
            </a:ext>
          </a:extLst>
        </xdr:cNvPr>
        <xdr:cNvSpPr txBox="1"/>
      </xdr:nvSpPr>
      <xdr:spPr>
        <a:xfrm rot="10800000" flipH="1" flipV="1">
          <a:off x="956654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AC33ADC-7D39-492D-B191-3D043D49F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790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E01365F9-AA7A-4385-8418-6220AB9779A5}"/>
            </a:ext>
          </a:extLst>
        </xdr:cNvPr>
        <xdr:cNvSpPr/>
      </xdr:nvSpPr>
      <xdr:spPr>
        <a:xfrm>
          <a:off x="1325253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B115E2B8-8238-45D6-A7EE-20C5D532EDBA}"/>
            </a:ext>
          </a:extLst>
        </xdr:cNvPr>
        <xdr:cNvSpPr txBox="1"/>
      </xdr:nvSpPr>
      <xdr:spPr>
        <a:xfrm rot="10800000" flipH="1" flipV="1">
          <a:off x="1320325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273698-77FD-4860-B083-B5A39A852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8495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DF91854-3F74-45C8-BBCA-D574B8646C5A}"/>
            </a:ext>
          </a:extLst>
        </xdr:cNvPr>
        <xdr:cNvSpPr/>
      </xdr:nvSpPr>
      <xdr:spPr>
        <a:xfrm>
          <a:off x="1689805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0F8F293E-17EC-4FF2-90D9-EDC65B893539}"/>
            </a:ext>
          </a:extLst>
        </xdr:cNvPr>
        <xdr:cNvSpPr txBox="1"/>
      </xdr:nvSpPr>
      <xdr:spPr>
        <a:xfrm rot="10800000" flipH="1" flipV="1">
          <a:off x="1684813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E60FC26-1B73-4FC9-A152-A217B1384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3731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BCA79830-6ECC-4943-8822-926033A582C9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DEB73A05-D220-4CC0-837D-D36D1150EFF1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F789E8DE-31D2-4AD9-9CE7-684825796B34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7F6360F-B236-41FB-AFA7-B95AB16426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8DA00BF5-EB96-4059-A3B6-A9A5971B2DB2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52323973-777C-480C-B833-7E21062A0096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163AF80E-3D58-4CF1-B611-4D49849F2260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3704DD5-F097-414C-8464-E145B1ABA0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245774</xdr:colOff>
      <xdr:row>0</xdr:row>
      <xdr:rowOff>0</xdr:rowOff>
    </xdr:from>
    <xdr:to>
      <xdr:col>15</xdr:col>
      <xdr:colOff>1707185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270EEB1D-2589-4A5D-B216-1A193083193A}"/>
            </a:ext>
          </a:extLst>
        </xdr:cNvPr>
        <xdr:cNvSpPr/>
      </xdr:nvSpPr>
      <xdr:spPr>
        <a:xfrm>
          <a:off x="2781493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196278</xdr:colOff>
      <xdr:row>2</xdr:row>
      <xdr:rowOff>384583</xdr:rowOff>
    </xdr:from>
    <xdr:to>
      <xdr:col>15</xdr:col>
      <xdr:colOff>1794447</xdr:colOff>
      <xdr:row>2</xdr:row>
      <xdr:rowOff>762890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C4C810C3-5604-472B-B49F-8C259B932840}"/>
            </a:ext>
          </a:extLst>
        </xdr:cNvPr>
        <xdr:cNvSpPr txBox="1"/>
      </xdr:nvSpPr>
      <xdr:spPr>
        <a:xfrm rot="10800000" flipH="1" flipV="1">
          <a:off x="27765438" y="750343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15</xdr:col>
      <xdr:colOff>688618</xdr:colOff>
      <xdr:row>0</xdr:row>
      <xdr:rowOff>136274</xdr:rowOff>
    </xdr:from>
    <xdr:to>
      <xdr:col>15</xdr:col>
      <xdr:colOff>1264337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A8569A8-4B5C-4B5E-B31C-4C663933A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57778" y="136274"/>
          <a:ext cx="575719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D58AA317-260D-44FF-AE05-DC7957926C75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C24285C2-91CB-4BB5-B913-C7A05F9BB024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06626A27-83D8-491B-80AD-5C630ABBCD23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id="{DB3673C8-2175-49CF-B8A7-3E75EFE0F43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6DC130A7-D36F-45F5-9A13-8B15F898E435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65CD9C35-114C-4433-8745-CE915B522801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4BA28A6E-5B55-48E1-9103-65353E3324BD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C351412F-58BE-4453-B3B3-DBE50191C8B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154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674712</xdr:colOff>
      <xdr:row>3</xdr:row>
      <xdr:rowOff>133350</xdr:rowOff>
    </xdr:from>
    <xdr:to>
      <xdr:col>13</xdr:col>
      <xdr:colOff>2091912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6CB3CC48-C85A-48C3-B454-4D5C45768493}"/>
            </a:ext>
          </a:extLst>
        </xdr:cNvPr>
        <xdr:cNvSpPr/>
      </xdr:nvSpPr>
      <xdr:spPr>
        <a:xfrm>
          <a:off x="2095915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7403E624-4072-4F49-82A3-F460263B4FA5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22732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8</xdr:col>
      <xdr:colOff>1428750</xdr:colOff>
      <xdr:row>33</xdr:row>
      <xdr:rowOff>57150</xdr:rowOff>
    </xdr:from>
    <xdr:to>
      <xdr:col>10</xdr:col>
      <xdr:colOff>1034686</xdr:colOff>
      <xdr:row>37</xdr:row>
      <xdr:rowOff>41569</xdr:rowOff>
    </xdr:to>
    <xdr:sp macro="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ACC235BB-1958-44AB-ABFB-1BEDCD616C28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3963650" y="11791950"/>
          <a:ext cx="3073036" cy="143221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DDFACFC2-9831-47FD-8968-80C00FF4B3CC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BC007C-810D-44B0-A1F2-99E499E0CE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13</xdr:col>
      <xdr:colOff>2952750</xdr:colOff>
      <xdr:row>3</xdr:row>
      <xdr:rowOff>247650</xdr:rowOff>
    </xdr:from>
    <xdr:to>
      <xdr:col>14</xdr:col>
      <xdr:colOff>133350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AF066C66-B58E-45DA-B54C-0EE2B4731327}"/>
            </a:ext>
          </a:extLst>
        </xdr:cNvPr>
        <xdr:cNvSpPr/>
      </xdr:nvSpPr>
      <xdr:spPr>
        <a:xfrm>
          <a:off x="25226010" y="1390650"/>
          <a:ext cx="46482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FE5FF1AF-2953-4B1B-86D2-322D27100849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3019F2CF-7866-47F8-8DF3-0ABE2B84136E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14037C0A-C5C0-4153-A1AC-CCDEC5473932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4747959-ACE5-4091-A0EE-74F181EFD7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91B2B600-4913-4C16-9FE9-38820185CB9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5651545D-1264-4A9B-BCFF-46073DE14BAE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87A7A93F-E8A6-4AAC-83F0-A7E525E87991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7C0E52A6-6CDA-4FE9-B9BC-10660846EBBF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50234C5-468D-4BBA-A5FD-EFEFAB0BC1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1263B8A5-70E3-4B0A-A584-0A5F353109B7}"/>
            </a:ext>
          </a:extLst>
        </xdr:cNvPr>
        <xdr:cNvSpPr/>
      </xdr:nvSpPr>
      <xdr:spPr>
        <a:xfrm>
          <a:off x="961603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162293E-5A73-4BA6-B870-D4299435AC08}"/>
            </a:ext>
          </a:extLst>
        </xdr:cNvPr>
        <xdr:cNvSpPr txBox="1"/>
      </xdr:nvSpPr>
      <xdr:spPr>
        <a:xfrm rot="10800000" flipH="1" flipV="1">
          <a:off x="956654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39D631-50B2-4A9D-A707-0CCC87246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790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3E13D135-322D-4023-A95D-17ADEB34BDC3}"/>
            </a:ext>
          </a:extLst>
        </xdr:cNvPr>
        <xdr:cNvSpPr/>
      </xdr:nvSpPr>
      <xdr:spPr>
        <a:xfrm>
          <a:off x="1325253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E8461B4F-8A6C-49B5-9DFD-4CF1E1653FC3}"/>
            </a:ext>
          </a:extLst>
        </xdr:cNvPr>
        <xdr:cNvSpPr txBox="1"/>
      </xdr:nvSpPr>
      <xdr:spPr>
        <a:xfrm rot="10800000" flipH="1" flipV="1">
          <a:off x="1320325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B8E115-045D-4039-8EA1-0DF863BF8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8495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AA0ED215-A32C-4E02-9D93-453E815E42F7}"/>
            </a:ext>
          </a:extLst>
        </xdr:cNvPr>
        <xdr:cNvSpPr/>
      </xdr:nvSpPr>
      <xdr:spPr>
        <a:xfrm>
          <a:off x="1689805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63CF618D-67D8-49F6-A180-4BFE6C734766}"/>
            </a:ext>
          </a:extLst>
        </xdr:cNvPr>
        <xdr:cNvSpPr txBox="1"/>
      </xdr:nvSpPr>
      <xdr:spPr>
        <a:xfrm rot="10800000" flipH="1" flipV="1">
          <a:off x="1684813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CA026D8-3CDA-44D8-9352-ADBF3A4667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3731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99EDF868-6E0E-4DB0-8768-D95808FC27BB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D0191617-A0EB-4A79-8F62-7E2152CAD8E6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5DC321FF-0380-4396-9DEB-3E500CD826CF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E7A96C8-897B-42A6-9BC6-46B3C78DE4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84FF8D43-9CB7-4CB0-9DFE-08C90B7DA324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69FAF08E-3274-4C71-AE04-FC5E1D630D90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BF231A2C-0E2C-43A5-8AA5-6423320E2648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88307B0-8677-4FA4-AB0F-893D359D99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245774</xdr:colOff>
      <xdr:row>0</xdr:row>
      <xdr:rowOff>0</xdr:rowOff>
    </xdr:from>
    <xdr:to>
      <xdr:col>15</xdr:col>
      <xdr:colOff>1707185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425C3C3B-95FD-414D-B3EA-0D9E36C74B74}"/>
            </a:ext>
          </a:extLst>
        </xdr:cNvPr>
        <xdr:cNvSpPr/>
      </xdr:nvSpPr>
      <xdr:spPr>
        <a:xfrm>
          <a:off x="2781493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196278</xdr:colOff>
      <xdr:row>2</xdr:row>
      <xdr:rowOff>384583</xdr:rowOff>
    </xdr:from>
    <xdr:to>
      <xdr:col>15</xdr:col>
      <xdr:colOff>1794447</xdr:colOff>
      <xdr:row>2</xdr:row>
      <xdr:rowOff>762890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CE6F0368-1779-4BBD-A2E2-75B1BCB9A9B4}"/>
            </a:ext>
          </a:extLst>
        </xdr:cNvPr>
        <xdr:cNvSpPr txBox="1"/>
      </xdr:nvSpPr>
      <xdr:spPr>
        <a:xfrm rot="10800000" flipH="1" flipV="1">
          <a:off x="27765438" y="750343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15</xdr:col>
      <xdr:colOff>688618</xdr:colOff>
      <xdr:row>0</xdr:row>
      <xdr:rowOff>136274</xdr:rowOff>
    </xdr:from>
    <xdr:to>
      <xdr:col>15</xdr:col>
      <xdr:colOff>1264337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0702381-9E3B-40ED-B415-4DE4E497EF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57778" y="136274"/>
          <a:ext cx="575719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E914A014-70EA-4C7D-BBB4-2A91B0E89497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C64A925F-BA41-4B97-8465-2B979C10CF63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E436ADAB-95C6-4E88-95F7-56D3652607D1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id="{C2030D42-196E-4714-98F4-5B29F480256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DDE0A04-B36E-415A-95BC-8503D258C8B6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3CD54AAE-9E42-4CC8-98FC-348940506E2A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36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B3F07989-1805-4F70-B7B9-82AC9D4D66F0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7D5BA933-E109-4805-BDA2-8C700330B912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154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674712</xdr:colOff>
      <xdr:row>3</xdr:row>
      <xdr:rowOff>133350</xdr:rowOff>
    </xdr:from>
    <xdr:to>
      <xdr:col>13</xdr:col>
      <xdr:colOff>2091912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26572A1A-A4F4-4B1B-B80B-DA17740ECCEA}"/>
            </a:ext>
          </a:extLst>
        </xdr:cNvPr>
        <xdr:cNvSpPr/>
      </xdr:nvSpPr>
      <xdr:spPr>
        <a:xfrm>
          <a:off x="2095915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BE0F5A65-D7AC-4622-896A-B330E8CCCE16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22732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8</xdr:col>
      <xdr:colOff>1543050</xdr:colOff>
      <xdr:row>22</xdr:row>
      <xdr:rowOff>95250</xdr:rowOff>
    </xdr:from>
    <xdr:to>
      <xdr:col>10</xdr:col>
      <xdr:colOff>1148986</xdr:colOff>
      <xdr:row>26</xdr:row>
      <xdr:rowOff>79669</xdr:rowOff>
    </xdr:to>
    <xdr:sp macro="" textlink="">
      <xdr:nvSpPr>
        <xdr:cNvPr id="45" name="Retângulo Arredondado 11">
          <a:extLst>
            <a:ext uri="{FF2B5EF4-FFF2-40B4-BE49-F238E27FC236}">
              <a16:creationId xmlns:a16="http://schemas.microsoft.com/office/drawing/2014/main" id="{28138847-677E-4CF9-99C8-0840A0CB4719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077950" y="7848600"/>
          <a:ext cx="3073036" cy="143221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2D35D9C-A72A-492A-9775-C710F270BE9B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6996FA-18CA-4D74-A930-8D70B2E5A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13</xdr:col>
      <xdr:colOff>2952750</xdr:colOff>
      <xdr:row>3</xdr:row>
      <xdr:rowOff>247650</xdr:rowOff>
    </xdr:from>
    <xdr:to>
      <xdr:col>14</xdr:col>
      <xdr:colOff>133350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C7D34660-8190-4FA3-B52A-E8F022F51B71}"/>
            </a:ext>
          </a:extLst>
        </xdr:cNvPr>
        <xdr:cNvSpPr/>
      </xdr:nvSpPr>
      <xdr:spPr>
        <a:xfrm>
          <a:off x="25226010" y="1390650"/>
          <a:ext cx="46482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424830E-C3EB-4952-BF0C-ABE2C0D47AD8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2B5C5B7F-E245-4AC3-A6B9-D0C1201AA33A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6A690E8B-022E-439F-AD21-3E0B255A727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9924F49-95F3-4E08-AB3F-26303BECD8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AABFE2E8-7A34-4253-A8EA-533FA051997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3606C0A9-C4C5-4BB9-82F7-BDBCA470E30A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43AFA651-8CC0-4F72-9D35-CEE2165E22B7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342AEB43-44B2-4EB2-B6C6-B2950897A9CC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E0006A-B28F-452B-8959-989B08D02B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DE6257CE-6214-4BE3-B45C-890328FB251F}"/>
            </a:ext>
          </a:extLst>
        </xdr:cNvPr>
        <xdr:cNvSpPr/>
      </xdr:nvSpPr>
      <xdr:spPr>
        <a:xfrm>
          <a:off x="961603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4374FB05-2FAE-41C5-8706-2E99304FDB15}"/>
            </a:ext>
          </a:extLst>
        </xdr:cNvPr>
        <xdr:cNvSpPr txBox="1"/>
      </xdr:nvSpPr>
      <xdr:spPr>
        <a:xfrm rot="10800000" flipH="1" flipV="1">
          <a:off x="956654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ABF4B33-51FE-485C-AB17-8EAAC8958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790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357555A4-2FB3-4B46-939F-95F5BE7A5884}"/>
            </a:ext>
          </a:extLst>
        </xdr:cNvPr>
        <xdr:cNvSpPr/>
      </xdr:nvSpPr>
      <xdr:spPr>
        <a:xfrm>
          <a:off x="1325253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3FD0D207-3428-41DC-8119-97E6EB93581E}"/>
            </a:ext>
          </a:extLst>
        </xdr:cNvPr>
        <xdr:cNvSpPr txBox="1"/>
      </xdr:nvSpPr>
      <xdr:spPr>
        <a:xfrm rot="10800000" flipH="1" flipV="1">
          <a:off x="1320325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709EF35-EEEF-46FD-9668-86B88DFDAD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8495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8E06D166-1471-4B1E-A55F-439FB8111D0C}"/>
            </a:ext>
          </a:extLst>
        </xdr:cNvPr>
        <xdr:cNvSpPr/>
      </xdr:nvSpPr>
      <xdr:spPr>
        <a:xfrm>
          <a:off x="1689805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D5724CC6-7242-49A0-85C9-7E49282685EC}"/>
            </a:ext>
          </a:extLst>
        </xdr:cNvPr>
        <xdr:cNvSpPr txBox="1"/>
      </xdr:nvSpPr>
      <xdr:spPr>
        <a:xfrm rot="10800000" flipH="1" flipV="1">
          <a:off x="1684813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861A45-0D10-4BF3-90E8-FCF9BA7E2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3731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30C7B253-1D9A-4249-BED8-0CC5FF7C4DF4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8916D578-259C-4241-9C4A-B0885B4B20E1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42491708-010A-4D83-9412-A4FC6A31481B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117DA20-D114-40C6-830A-8BA0E13570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BF8E1943-BE81-48AF-93F3-B090952F6626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3AB47941-7795-4428-9393-A074FDCEC09D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28960F0F-F4FC-48F0-A787-F14F457FCC59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491DCBA-0E8E-421A-9A30-DD9D03CDFF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245774</xdr:colOff>
      <xdr:row>0</xdr:row>
      <xdr:rowOff>0</xdr:rowOff>
    </xdr:from>
    <xdr:to>
      <xdr:col>15</xdr:col>
      <xdr:colOff>1707185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C7E6D566-2997-41E5-AEB0-B95B0E1657B2}"/>
            </a:ext>
          </a:extLst>
        </xdr:cNvPr>
        <xdr:cNvSpPr/>
      </xdr:nvSpPr>
      <xdr:spPr>
        <a:xfrm>
          <a:off x="2781493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196278</xdr:colOff>
      <xdr:row>2</xdr:row>
      <xdr:rowOff>384583</xdr:rowOff>
    </xdr:from>
    <xdr:to>
      <xdr:col>15</xdr:col>
      <xdr:colOff>1794447</xdr:colOff>
      <xdr:row>2</xdr:row>
      <xdr:rowOff>762890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E7033FF8-785C-4C5A-B87B-C9689A01AE79}"/>
            </a:ext>
          </a:extLst>
        </xdr:cNvPr>
        <xdr:cNvSpPr txBox="1"/>
      </xdr:nvSpPr>
      <xdr:spPr>
        <a:xfrm rot="10800000" flipH="1" flipV="1">
          <a:off x="27765438" y="750343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15</xdr:col>
      <xdr:colOff>688618</xdr:colOff>
      <xdr:row>0</xdr:row>
      <xdr:rowOff>136274</xdr:rowOff>
    </xdr:from>
    <xdr:to>
      <xdr:col>15</xdr:col>
      <xdr:colOff>1264337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12A151D-CD3F-41E4-9878-A09E0F25D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57778" y="136274"/>
          <a:ext cx="575719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0BDE650B-3333-46B2-BAE0-96049919B412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617CB094-3093-4C4D-ACE4-FA53362769A0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BDF2E14E-B3F8-4E55-A8D1-32DC2A6B0C6C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id="{7FC7E9A4-3598-4FED-BCAD-8CF729EFB8D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32F0EAAA-1C37-4839-BEB6-35137823ED02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E49D1FDF-DAEB-4C96-AE78-E3517F326D9B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AB9B5F0F-4993-487D-ABB1-7363667F22C6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DEA42F58-97CF-4983-879B-32A208955394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1540" y="12954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674712</xdr:colOff>
      <xdr:row>3</xdr:row>
      <xdr:rowOff>133350</xdr:rowOff>
    </xdr:from>
    <xdr:to>
      <xdr:col>13</xdr:col>
      <xdr:colOff>2091912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3460650D-B88A-4D1C-AFFC-657CAF609458}"/>
            </a:ext>
          </a:extLst>
        </xdr:cNvPr>
        <xdr:cNvSpPr/>
      </xdr:nvSpPr>
      <xdr:spPr>
        <a:xfrm>
          <a:off x="2095915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8D66A803-0D95-4F7D-8738-06D475D8942E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22732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8F576AD4-1C54-46B2-8A69-30D8FB03BB79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940983-00A1-4FC1-B7CB-5531B7E67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13</xdr:col>
      <xdr:colOff>2952750</xdr:colOff>
      <xdr:row>3</xdr:row>
      <xdr:rowOff>247650</xdr:rowOff>
    </xdr:from>
    <xdr:to>
      <xdr:col>14</xdr:col>
      <xdr:colOff>133350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2026EE70-CEC1-46D5-AA0D-1E41F51613DF}"/>
            </a:ext>
          </a:extLst>
        </xdr:cNvPr>
        <xdr:cNvSpPr/>
      </xdr:nvSpPr>
      <xdr:spPr>
        <a:xfrm>
          <a:off x="25226010" y="1390650"/>
          <a:ext cx="46482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267F3B17-A181-4FAA-9F80-3293A71B33A5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4AF9929C-FF49-47DF-A134-7B392071ECEB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27161733-A7B2-4745-BEA7-9CE31BD31D50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BA00A088-6B6F-4F84-A06E-8641FED280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2A2E4560-EE13-4CB2-A61C-6FCB700B41B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70EDABDD-4F06-4EA2-B0DE-CDB3A3DB1B00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1DE8F09C-922D-4487-8288-54019CF5E492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C1D29699-7061-4627-A2A9-BD424A7F9A0A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4F14BD8-BA85-4DCA-8363-4F10796D28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22E3BC41-784D-4E71-B159-3A8B1FEAB5BC}"/>
            </a:ext>
          </a:extLst>
        </xdr:cNvPr>
        <xdr:cNvSpPr/>
      </xdr:nvSpPr>
      <xdr:spPr>
        <a:xfrm>
          <a:off x="961603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A382226B-243A-4887-8040-6A06014150DB}"/>
            </a:ext>
          </a:extLst>
        </xdr:cNvPr>
        <xdr:cNvSpPr txBox="1"/>
      </xdr:nvSpPr>
      <xdr:spPr>
        <a:xfrm rot="10800000" flipH="1" flipV="1">
          <a:off x="956654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C72575-30A9-4E31-B7AA-032EE23849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790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4CBFC3CD-889A-4838-AE50-7FF4AEE485C3}"/>
            </a:ext>
          </a:extLst>
        </xdr:cNvPr>
        <xdr:cNvSpPr/>
      </xdr:nvSpPr>
      <xdr:spPr>
        <a:xfrm>
          <a:off x="1325253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B5406BBA-9865-40C6-8B98-F72ADBE812D2}"/>
            </a:ext>
          </a:extLst>
        </xdr:cNvPr>
        <xdr:cNvSpPr txBox="1"/>
      </xdr:nvSpPr>
      <xdr:spPr>
        <a:xfrm rot="10800000" flipH="1" flipV="1">
          <a:off x="1320325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40AB4D-EF26-4B75-AAA4-B25BFE0ED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8495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F9FFF05F-9E72-4205-970C-0E517DDAB87D}"/>
            </a:ext>
          </a:extLst>
        </xdr:cNvPr>
        <xdr:cNvSpPr/>
      </xdr:nvSpPr>
      <xdr:spPr>
        <a:xfrm>
          <a:off x="1689805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FB89511C-C7A4-4BEB-979E-C4606851F617}"/>
            </a:ext>
          </a:extLst>
        </xdr:cNvPr>
        <xdr:cNvSpPr txBox="1"/>
      </xdr:nvSpPr>
      <xdr:spPr>
        <a:xfrm rot="10800000" flipH="1" flipV="1">
          <a:off x="1684813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95ABBC8-F1CE-479F-BDF5-7F8B49755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3731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CF0B5132-86CE-4153-B4AF-2711DE539249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5A52B53B-9CFF-48AC-9CB0-4B4AB19897DF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AAB8D531-A41E-4821-92CF-B93071BB6C1C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7769FBE-BF3C-4DC3-B1F1-734891706C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BEA6DDE9-B50B-44DB-A744-4890E67900A4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7017C11D-0D49-4B6F-BC1A-8D4B2302CFB6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8AB4584E-AA91-47AD-A7F5-A5DED05357AE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4ED208D-1C5B-4B8F-AB72-552F32231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245774</xdr:colOff>
      <xdr:row>0</xdr:row>
      <xdr:rowOff>0</xdr:rowOff>
    </xdr:from>
    <xdr:to>
      <xdr:col>15</xdr:col>
      <xdr:colOff>1707185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C9ADE8F0-4C34-46E9-9740-E527ED65FFF9}"/>
            </a:ext>
          </a:extLst>
        </xdr:cNvPr>
        <xdr:cNvSpPr/>
      </xdr:nvSpPr>
      <xdr:spPr>
        <a:xfrm>
          <a:off x="2781493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196278</xdr:colOff>
      <xdr:row>2</xdr:row>
      <xdr:rowOff>384583</xdr:rowOff>
    </xdr:from>
    <xdr:to>
      <xdr:col>15</xdr:col>
      <xdr:colOff>1794447</xdr:colOff>
      <xdr:row>2</xdr:row>
      <xdr:rowOff>762890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A826B72F-49FB-4448-954B-008A193B6F43}"/>
            </a:ext>
          </a:extLst>
        </xdr:cNvPr>
        <xdr:cNvSpPr txBox="1"/>
      </xdr:nvSpPr>
      <xdr:spPr>
        <a:xfrm rot="10800000" flipH="1" flipV="1">
          <a:off x="27765438" y="750343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15</xdr:col>
      <xdr:colOff>688618</xdr:colOff>
      <xdr:row>0</xdr:row>
      <xdr:rowOff>136274</xdr:rowOff>
    </xdr:from>
    <xdr:to>
      <xdr:col>15</xdr:col>
      <xdr:colOff>1264337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8473045-5F69-42A2-B42A-6E63621FE6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57778" y="136274"/>
          <a:ext cx="575719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52EEDA1D-C9C7-4E75-B13E-AA396B81F608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E332AA6-FB88-44ED-A512-8CF3F1A51374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BF69FBD0-3C94-4C4F-BC06-59B3B9F75CFD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id="{BCF1F156-42AB-42BD-A519-58E4176A8D1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913E58DE-1CC2-452C-89DD-57616D3528A9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13F5B259-E4C2-4CE8-80FB-42D01D2575A5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24475A7A-C32E-4034-A23F-C666544B4126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EFD0FA18-D22E-487B-A259-CF11A4D16F05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154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674712</xdr:colOff>
      <xdr:row>3</xdr:row>
      <xdr:rowOff>133350</xdr:rowOff>
    </xdr:from>
    <xdr:to>
      <xdr:col>13</xdr:col>
      <xdr:colOff>2091912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4CE4EFA9-2796-4BCD-AFFE-F2683A41E742}"/>
            </a:ext>
          </a:extLst>
        </xdr:cNvPr>
        <xdr:cNvSpPr/>
      </xdr:nvSpPr>
      <xdr:spPr>
        <a:xfrm>
          <a:off x="20959152" y="1276350"/>
          <a:ext cx="3406020" cy="800533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4D8AE4E8-BAF7-4C5D-9DD0-B749F7D799D0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22732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8</xdr:col>
      <xdr:colOff>1543050</xdr:colOff>
      <xdr:row>22</xdr:row>
      <xdr:rowOff>95250</xdr:rowOff>
    </xdr:from>
    <xdr:to>
      <xdr:col>10</xdr:col>
      <xdr:colOff>1148986</xdr:colOff>
      <xdr:row>26</xdr:row>
      <xdr:rowOff>79669</xdr:rowOff>
    </xdr:to>
    <xdr:sp macro="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BC3B2769-1B4C-4D36-ABD7-DD7F587183EB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077950" y="7860030"/>
          <a:ext cx="3088276" cy="144745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31B58CD7-25B9-4E96-B5C4-3586D4D0E7B3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4388833-DF22-4066-96BD-26159EB38924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5EBB02CD-F04C-4263-ADCC-024710CEE3D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AE950EE4-BBE9-4338-9533-1C8EE5A75E29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B1EF9506-72C3-4999-95B3-E2D217BEABF1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EF2B6A1-8558-48AF-B419-E947ACCB52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83D361B7-2AA5-4FE6-BDF2-5E84305725F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1387518</xdr:colOff>
      <xdr:row>0</xdr:row>
      <xdr:rowOff>0</xdr:rowOff>
    </xdr:from>
    <xdr:to>
      <xdr:col>6</xdr:col>
      <xdr:colOff>180731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505B76A-8B19-4E18-B766-83D49C353E2D}"/>
            </a:ext>
          </a:extLst>
        </xdr:cNvPr>
        <xdr:cNvGrpSpPr/>
      </xdr:nvGrpSpPr>
      <xdr:grpSpPr>
        <a:xfrm>
          <a:off x="4435518" y="0"/>
          <a:ext cx="1111870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1CE88040-87E8-4DAF-90A0-1DF546A5CDE2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2EC502B7-BB7C-489F-9600-43E462EC40B7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4C032B3-1A13-490B-A1FC-44590E0A83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427830</xdr:colOff>
      <xdr:row>0</xdr:row>
      <xdr:rowOff>0</xdr:rowOff>
    </xdr:from>
    <xdr:to>
      <xdr:col>8</xdr:col>
      <xdr:colOff>230106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E077138C-8F22-4A2B-B9FB-D3FD6E729A69}"/>
            </a:ext>
          </a:extLst>
        </xdr:cNvPr>
        <xdr:cNvSpPr/>
      </xdr:nvSpPr>
      <xdr:spPr>
        <a:xfrm>
          <a:off x="5806768" y="0"/>
          <a:ext cx="1021477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393499</xdr:colOff>
      <xdr:row>0</xdr:row>
      <xdr:rowOff>514894</xdr:rowOff>
    </xdr:from>
    <xdr:to>
      <xdr:col>8</xdr:col>
      <xdr:colOff>290633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3B98E175-6F43-41F2-BC71-5FECC7CE01A8}"/>
            </a:ext>
          </a:extLst>
        </xdr:cNvPr>
        <xdr:cNvSpPr txBox="1"/>
      </xdr:nvSpPr>
      <xdr:spPr>
        <a:xfrm rot="10800000" flipH="1" flipV="1">
          <a:off x="5772437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7</xdr:col>
      <xdr:colOff>123405</xdr:colOff>
      <xdr:row>0</xdr:row>
      <xdr:rowOff>91651</xdr:rowOff>
    </xdr:from>
    <xdr:to>
      <xdr:col>7</xdr:col>
      <xdr:colOff>534530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B0632FE-88F5-44A9-82DB-DE87E481B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1944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8</xdr:col>
      <xdr:colOff>503408</xdr:colOff>
      <xdr:row>0</xdr:row>
      <xdr:rowOff>0</xdr:rowOff>
    </xdr:from>
    <xdr:to>
      <xdr:col>8</xdr:col>
      <xdr:colOff>1611928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C5BE56DF-7483-40F7-987C-81E7C1EA5837}"/>
            </a:ext>
          </a:extLst>
        </xdr:cNvPr>
        <xdr:cNvGrpSpPr/>
      </xdr:nvGrpSpPr>
      <xdr:grpSpPr>
        <a:xfrm>
          <a:off x="7089265" y="0"/>
          <a:ext cx="1108520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279268-CAA1-46FF-8F21-60BDD09DA713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ABAAF908-749C-45DD-B974-E611C09B10C5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86B8279-1398-4FC0-B75E-BC0ACB2A12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1824701</xdr:colOff>
      <xdr:row>0</xdr:row>
      <xdr:rowOff>0</xdr:rowOff>
    </xdr:from>
    <xdr:to>
      <xdr:col>9</xdr:col>
      <xdr:colOff>109913</xdr:colOff>
      <xdr:row>1</xdr:row>
      <xdr:rowOff>0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5600A15D-01DD-4E40-A20D-D63FA63B2FA4}"/>
            </a:ext>
          </a:extLst>
        </xdr:cNvPr>
        <xdr:cNvGrpSpPr/>
      </xdr:nvGrpSpPr>
      <xdr:grpSpPr>
        <a:xfrm>
          <a:off x="8410558" y="0"/>
          <a:ext cx="1104612" cy="772886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A63CEAE1-C831-409F-AEE9-72727A655D67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545D8B18-B83F-4E3F-B859-6BB27E778374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933C26C-9539-4BBA-A39D-DC3436EFFB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317803</xdr:colOff>
      <xdr:row>0</xdr:row>
      <xdr:rowOff>0</xdr:rowOff>
    </xdr:from>
    <xdr:to>
      <xdr:col>11</xdr:col>
      <xdr:colOff>219823</xdr:colOff>
      <xdr:row>1</xdr:row>
      <xdr:rowOff>0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AF90E033-79B5-401F-AE09-B65085F00906}"/>
            </a:ext>
          </a:extLst>
        </xdr:cNvPr>
        <xdr:cNvGrpSpPr/>
      </xdr:nvGrpSpPr>
      <xdr:grpSpPr>
        <a:xfrm>
          <a:off x="9723060" y="0"/>
          <a:ext cx="1121220" cy="772886"/>
          <a:chOff x="9696265" y="0"/>
          <a:chExt cx="1113404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177B353D-A55D-4AB9-B520-12255F61CEC5}"/>
              </a:ext>
            </a:extLst>
          </xdr:cNvPr>
          <xdr:cNvSpPr/>
        </xdr:nvSpPr>
        <xdr:spPr>
          <a:xfrm>
            <a:off x="9730748" y="0"/>
            <a:ext cx="1018128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9B67C2E2-0D53-4B37-8C8F-D783EC626DAD}"/>
              </a:ext>
            </a:extLst>
          </xdr:cNvPr>
          <xdr:cNvSpPr txBox="1"/>
        </xdr:nvSpPr>
        <xdr:spPr>
          <a:xfrm rot="10800000" flipH="1" flipV="1">
            <a:off x="9696265" y="514894"/>
            <a:ext cx="1113404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DB13319-B0F1-47C1-941E-91EB8AABCB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37567" y="91651"/>
            <a:ext cx="404488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427704</xdr:colOff>
      <xdr:row>0</xdr:row>
      <xdr:rowOff>0</xdr:rowOff>
    </xdr:from>
    <xdr:to>
      <xdr:col>13</xdr:col>
      <xdr:colOff>324839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4A28C241-7359-4FEF-B209-B65C70DC161E}"/>
            </a:ext>
          </a:extLst>
        </xdr:cNvPr>
        <xdr:cNvGrpSpPr/>
      </xdr:nvGrpSpPr>
      <xdr:grpSpPr>
        <a:xfrm>
          <a:off x="11052161" y="0"/>
          <a:ext cx="1116335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1D9839BE-3330-40E4-B487-09D49C203EAE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C1B9643A-E1F6-4424-9C43-EF3A4E480126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3C5D7F6-44DD-4137-8CBF-E01D49864D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1191847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E31EC7D4-0907-4A01-8798-58D7A7D179EF}"/>
            </a:ext>
          </a:extLst>
        </xdr:cNvPr>
        <xdr:cNvGrpSpPr/>
      </xdr:nvGrpSpPr>
      <xdr:grpSpPr>
        <a:xfrm>
          <a:off x="3126443" y="0"/>
          <a:ext cx="1113404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AA7F2729-937E-43D1-B6C6-D4CA017A9F65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BD4FEA53-ED83-468E-8751-D73B22A179CB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A517FAD-DE62-4BD7-B0EC-8455F1E9CC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C67888B7-12B5-41AD-8589-F5062E67E00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605691</xdr:colOff>
      <xdr:row>1</xdr:row>
      <xdr:rowOff>68383</xdr:rowOff>
    </xdr:from>
    <xdr:to>
      <xdr:col>4</xdr:col>
      <xdr:colOff>90922</xdr:colOff>
      <xdr:row>1</xdr:row>
      <xdr:rowOff>496783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180C80C4-26FB-4111-805B-79C38B534E41}"/>
            </a:ext>
          </a:extLst>
        </xdr:cNvPr>
        <xdr:cNvSpPr/>
      </xdr:nvSpPr>
      <xdr:spPr>
        <a:xfrm>
          <a:off x="605691" y="841269"/>
          <a:ext cx="1923631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4</xdr:col>
      <xdr:colOff>606529</xdr:colOff>
      <xdr:row>1</xdr:row>
      <xdr:rowOff>68383</xdr:rowOff>
    </xdr:from>
    <xdr:to>
      <xdr:col>5</xdr:col>
      <xdr:colOff>1908836</xdr:colOff>
      <xdr:row>1</xdr:row>
      <xdr:rowOff>496783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C928AEE1-EF7C-4D2E-8C81-ACBC7C358506}"/>
            </a:ext>
          </a:extLst>
        </xdr:cNvPr>
        <xdr:cNvSpPr/>
      </xdr:nvSpPr>
      <xdr:spPr>
        <a:xfrm>
          <a:off x="3044929" y="841269"/>
          <a:ext cx="1911907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8</xdr:col>
      <xdr:colOff>1306285</xdr:colOff>
      <xdr:row>1</xdr:row>
      <xdr:rowOff>68383</xdr:rowOff>
    </xdr:from>
    <xdr:to>
      <xdr:col>9</xdr:col>
      <xdr:colOff>402700</xdr:colOff>
      <xdr:row>1</xdr:row>
      <xdr:rowOff>496783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BF0B4974-1AFF-4F35-A945-212EFBF8E5F6}"/>
            </a:ext>
          </a:extLst>
        </xdr:cNvPr>
        <xdr:cNvSpPr/>
      </xdr:nvSpPr>
      <xdr:spPr>
        <a:xfrm>
          <a:off x="7892142" y="841269"/>
          <a:ext cx="1915815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COMPRA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10</xdr:col>
      <xdr:colOff>308705</xdr:colOff>
      <xdr:row>1</xdr:row>
      <xdr:rowOff>68383</xdr:rowOff>
    </xdr:from>
    <xdr:to>
      <xdr:col>13</xdr:col>
      <xdr:colOff>399628</xdr:colOff>
      <xdr:row>1</xdr:row>
      <xdr:rowOff>496783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DF9552A9-D006-4B9B-9319-EB49D04D788B}"/>
            </a:ext>
          </a:extLst>
        </xdr:cNvPr>
        <xdr:cNvSpPr/>
      </xdr:nvSpPr>
      <xdr:spPr>
        <a:xfrm>
          <a:off x="10323562" y="841269"/>
          <a:ext cx="1919723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REALIZAR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PEDIDO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2198076</xdr:colOff>
      <xdr:row>27</xdr:row>
      <xdr:rowOff>9769</xdr:rowOff>
    </xdr:from>
    <xdr:to>
      <xdr:col>8</xdr:col>
      <xdr:colOff>119181</xdr:colOff>
      <xdr:row>30</xdr:row>
      <xdr:rowOff>20817</xdr:rowOff>
    </xdr:to>
    <xdr:sp macro="" textlink="">
      <xdr:nvSpPr>
        <xdr:cNvPr id="45" name="Retângulo Arredondado 11">
          <a:extLst>
            <a:ext uri="{FF2B5EF4-FFF2-40B4-BE49-F238E27FC236}">
              <a16:creationId xmlns:a16="http://schemas.microsoft.com/office/drawing/2014/main" id="{A74F841E-459B-430F-8DC7-89566DEDBC15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5226538" y="6017846"/>
          <a:ext cx="1447797" cy="567894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6</xdr:col>
      <xdr:colOff>105786</xdr:colOff>
      <xdr:row>1</xdr:row>
      <xdr:rowOff>68383</xdr:rowOff>
    </xdr:from>
    <xdr:to>
      <xdr:col>8</xdr:col>
      <xdr:colOff>790678</xdr:colOff>
      <xdr:row>1</xdr:row>
      <xdr:rowOff>496783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FBD81A27-1E42-469E-8E36-7209ACE62B8E}"/>
            </a:ext>
          </a:extLst>
        </xdr:cNvPr>
        <xdr:cNvSpPr/>
      </xdr:nvSpPr>
      <xdr:spPr>
        <a:xfrm>
          <a:off x="5472443" y="841269"/>
          <a:ext cx="1904092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MATÉRIA-PRIMA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8BBF7D61-1ACA-4E10-81BF-77324BB80435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2D580BE3-FEB5-4C26-A54C-415E6DC2842B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5D3A623A-E2F6-4BCD-B455-49A030A79179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CC1D24D9-7537-4B51-8582-B30DAF5998B9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A45362C8-CDAA-435D-A51E-85499FA21C15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D9F31DF-E7CA-4431-A103-7CC3F973CA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4C38C42D-6EF5-4D8A-884B-31FF93D0DE5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1387518</xdr:colOff>
      <xdr:row>0</xdr:row>
      <xdr:rowOff>0</xdr:rowOff>
    </xdr:from>
    <xdr:to>
      <xdr:col>6</xdr:col>
      <xdr:colOff>180731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9A651857-F82F-4D5C-8181-1CFF77AA1D49}"/>
            </a:ext>
          </a:extLst>
        </xdr:cNvPr>
        <xdr:cNvGrpSpPr/>
      </xdr:nvGrpSpPr>
      <xdr:grpSpPr>
        <a:xfrm>
          <a:off x="4435518" y="0"/>
          <a:ext cx="1111870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7B475002-0FD5-4B93-A5A5-31F3E09E4428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E80BB4B5-FD53-4A27-9771-95FD37F88B5A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C861F7A-D265-4261-B05D-E1B7B0E7C8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427830</xdr:colOff>
      <xdr:row>0</xdr:row>
      <xdr:rowOff>0</xdr:rowOff>
    </xdr:from>
    <xdr:to>
      <xdr:col>8</xdr:col>
      <xdr:colOff>230106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86919F40-B5F0-4DFA-9DB0-D2AA2619BF6D}"/>
            </a:ext>
          </a:extLst>
        </xdr:cNvPr>
        <xdr:cNvSpPr/>
      </xdr:nvSpPr>
      <xdr:spPr>
        <a:xfrm>
          <a:off x="5792310" y="0"/>
          <a:ext cx="1021476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393499</xdr:colOff>
      <xdr:row>0</xdr:row>
      <xdr:rowOff>514894</xdr:rowOff>
    </xdr:from>
    <xdr:to>
      <xdr:col>8</xdr:col>
      <xdr:colOff>290633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18087CCE-63B9-46F4-AF9D-7F43CA164925}"/>
            </a:ext>
          </a:extLst>
        </xdr:cNvPr>
        <xdr:cNvSpPr txBox="1"/>
      </xdr:nvSpPr>
      <xdr:spPr>
        <a:xfrm rot="10800000" flipH="1" flipV="1">
          <a:off x="5757979" y="514894"/>
          <a:ext cx="1116334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7</xdr:col>
      <xdr:colOff>123405</xdr:colOff>
      <xdr:row>0</xdr:row>
      <xdr:rowOff>91651</xdr:rowOff>
    </xdr:from>
    <xdr:to>
      <xdr:col>7</xdr:col>
      <xdr:colOff>534530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35F0C17-FD84-4129-9AD8-3E685853EE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97485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8</xdr:col>
      <xdr:colOff>503408</xdr:colOff>
      <xdr:row>0</xdr:row>
      <xdr:rowOff>0</xdr:rowOff>
    </xdr:from>
    <xdr:to>
      <xdr:col>8</xdr:col>
      <xdr:colOff>1611928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FF4B78C9-54DB-4DE1-ABDE-8ABA00F15776}"/>
            </a:ext>
          </a:extLst>
        </xdr:cNvPr>
        <xdr:cNvGrpSpPr/>
      </xdr:nvGrpSpPr>
      <xdr:grpSpPr>
        <a:xfrm>
          <a:off x="7089265" y="0"/>
          <a:ext cx="1108520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1179FF9F-0704-4C37-856C-05AF12AFCCE5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1F0C1551-23B4-4FDB-90DA-E5C1BDEDDA25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AED0C54-B666-4CC0-867C-571C3E1BB7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1824701</xdr:colOff>
      <xdr:row>0</xdr:row>
      <xdr:rowOff>0</xdr:rowOff>
    </xdr:from>
    <xdr:to>
      <xdr:col>9</xdr:col>
      <xdr:colOff>109913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4B4F205C-91FA-46CF-96F1-A3B607286424}"/>
            </a:ext>
          </a:extLst>
        </xdr:cNvPr>
        <xdr:cNvGrpSpPr/>
      </xdr:nvGrpSpPr>
      <xdr:grpSpPr>
        <a:xfrm>
          <a:off x="8410558" y="0"/>
          <a:ext cx="1104612" cy="772886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F372C4B3-28D3-480E-84AC-7C9E9ED84695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E61AE0B7-08D2-4F9A-AC1B-DE2345C373C6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CCD9A21-4AB1-47E8-A5F2-5F18334FA8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317803</xdr:colOff>
      <xdr:row>0</xdr:row>
      <xdr:rowOff>0</xdr:rowOff>
    </xdr:from>
    <xdr:to>
      <xdr:col>11</xdr:col>
      <xdr:colOff>219823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FC9C5CF4-EC73-4315-AF14-F8A8DA5364F4}"/>
            </a:ext>
          </a:extLst>
        </xdr:cNvPr>
        <xdr:cNvGrpSpPr/>
      </xdr:nvGrpSpPr>
      <xdr:grpSpPr>
        <a:xfrm>
          <a:off x="9723060" y="0"/>
          <a:ext cx="1121220" cy="772886"/>
          <a:chOff x="9696265" y="0"/>
          <a:chExt cx="1113404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73006D2A-6276-46F2-B776-8478F8A23B3E}"/>
              </a:ext>
            </a:extLst>
          </xdr:cNvPr>
          <xdr:cNvSpPr/>
        </xdr:nvSpPr>
        <xdr:spPr>
          <a:xfrm>
            <a:off x="9730748" y="0"/>
            <a:ext cx="1018128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3ABD5BB3-58D6-42A3-9224-E284EFE76F20}"/>
              </a:ext>
            </a:extLst>
          </xdr:cNvPr>
          <xdr:cNvSpPr txBox="1"/>
        </xdr:nvSpPr>
        <xdr:spPr>
          <a:xfrm rot="10800000" flipH="1" flipV="1">
            <a:off x="9696265" y="514894"/>
            <a:ext cx="1113404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8712C7A-1F7B-41E5-898B-12B41F46E3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37567" y="91651"/>
            <a:ext cx="404488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427704</xdr:colOff>
      <xdr:row>0</xdr:row>
      <xdr:rowOff>0</xdr:rowOff>
    </xdr:from>
    <xdr:to>
      <xdr:col>13</xdr:col>
      <xdr:colOff>324839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55189BF8-FD2C-4952-B835-B19CCBC58122}"/>
            </a:ext>
          </a:extLst>
        </xdr:cNvPr>
        <xdr:cNvGrpSpPr/>
      </xdr:nvGrpSpPr>
      <xdr:grpSpPr>
        <a:xfrm>
          <a:off x="11052161" y="0"/>
          <a:ext cx="1116335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DD993417-6FCA-450E-9220-578C6A42F6CF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A9CCC979-A988-44E0-A955-3B5276E00762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5A95CED-CAF7-445C-8F30-B226E9D7C7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1191847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EC0B0DA0-1D74-4AE7-966A-DC19AEEC6554}"/>
            </a:ext>
          </a:extLst>
        </xdr:cNvPr>
        <xdr:cNvGrpSpPr/>
      </xdr:nvGrpSpPr>
      <xdr:grpSpPr>
        <a:xfrm>
          <a:off x="3126443" y="0"/>
          <a:ext cx="1113404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6C152EBC-513E-4469-8384-E58047CAC855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CF5F175C-C67B-48D5-AE3B-2267AE967232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FE413FD-B884-47B5-8A55-31480EF84B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B1E04473-B643-4CD5-89E7-2E080CCF6A2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605691</xdr:colOff>
      <xdr:row>1</xdr:row>
      <xdr:rowOff>68383</xdr:rowOff>
    </xdr:from>
    <xdr:to>
      <xdr:col>4</xdr:col>
      <xdr:colOff>90922</xdr:colOff>
      <xdr:row>1</xdr:row>
      <xdr:rowOff>496783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B263F1F9-91FA-4F64-88E4-5176BB09EBDA}"/>
            </a:ext>
          </a:extLst>
        </xdr:cNvPr>
        <xdr:cNvSpPr/>
      </xdr:nvSpPr>
      <xdr:spPr>
        <a:xfrm>
          <a:off x="605691" y="841269"/>
          <a:ext cx="1923631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4</xdr:col>
      <xdr:colOff>606529</xdr:colOff>
      <xdr:row>1</xdr:row>
      <xdr:rowOff>68383</xdr:rowOff>
    </xdr:from>
    <xdr:to>
      <xdr:col>5</xdr:col>
      <xdr:colOff>1908836</xdr:colOff>
      <xdr:row>1</xdr:row>
      <xdr:rowOff>496783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80104C76-428B-4214-A632-C7551A6D66B1}"/>
            </a:ext>
          </a:extLst>
        </xdr:cNvPr>
        <xdr:cNvSpPr/>
      </xdr:nvSpPr>
      <xdr:spPr>
        <a:xfrm>
          <a:off x="3044929" y="841269"/>
          <a:ext cx="1911907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6</xdr:col>
      <xdr:colOff>105785</xdr:colOff>
      <xdr:row>1</xdr:row>
      <xdr:rowOff>68383</xdr:rowOff>
    </xdr:from>
    <xdr:to>
      <xdr:col>8</xdr:col>
      <xdr:colOff>790677</xdr:colOff>
      <xdr:row>1</xdr:row>
      <xdr:rowOff>496783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6B79C07B-F6FD-4223-8BAA-88C0F1C51780}"/>
            </a:ext>
          </a:extLst>
        </xdr:cNvPr>
        <xdr:cNvSpPr/>
      </xdr:nvSpPr>
      <xdr:spPr>
        <a:xfrm>
          <a:off x="5472442" y="841269"/>
          <a:ext cx="1904092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MATÉRIA-PRIMA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8</xdr:col>
      <xdr:colOff>1306283</xdr:colOff>
      <xdr:row>1</xdr:row>
      <xdr:rowOff>68383</xdr:rowOff>
    </xdr:from>
    <xdr:to>
      <xdr:col>9</xdr:col>
      <xdr:colOff>402698</xdr:colOff>
      <xdr:row>1</xdr:row>
      <xdr:rowOff>496783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AD13F507-1166-4925-B6BA-D565A2AB58E7}"/>
            </a:ext>
          </a:extLst>
        </xdr:cNvPr>
        <xdr:cNvSpPr/>
      </xdr:nvSpPr>
      <xdr:spPr>
        <a:xfrm>
          <a:off x="7892140" y="841269"/>
          <a:ext cx="1915815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COMPRA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10</xdr:col>
      <xdr:colOff>308705</xdr:colOff>
      <xdr:row>1</xdr:row>
      <xdr:rowOff>68383</xdr:rowOff>
    </xdr:from>
    <xdr:to>
      <xdr:col>13</xdr:col>
      <xdr:colOff>399628</xdr:colOff>
      <xdr:row>1</xdr:row>
      <xdr:rowOff>496783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7454F4CB-96E1-49BB-AA08-C72168E1D60A}"/>
            </a:ext>
          </a:extLst>
        </xdr:cNvPr>
        <xdr:cNvSpPr/>
      </xdr:nvSpPr>
      <xdr:spPr>
        <a:xfrm>
          <a:off x="10323562" y="841269"/>
          <a:ext cx="1919723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REALIZAR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PEDIDO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DB41B17C-CF4E-4E46-83D9-1A8D86C63578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4610D335-F039-43AA-BD74-489E82DE21FC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F554A3D-E5E6-4E04-B44E-010A39A0335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3688D141-932A-4061-98BF-8249A4F62EBE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DF7D4E51-7332-4574-9EAD-057A54DC5748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9A2A387-9BBC-4EC0-84C9-0C8F247339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1516C1FE-5FC9-4FD5-8C50-4B41A256568C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1387518</xdr:colOff>
      <xdr:row>0</xdr:row>
      <xdr:rowOff>0</xdr:rowOff>
    </xdr:from>
    <xdr:to>
      <xdr:col>6</xdr:col>
      <xdr:colOff>180731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CB561700-B70D-48DD-8FBF-7B42C3140D1A}"/>
            </a:ext>
          </a:extLst>
        </xdr:cNvPr>
        <xdr:cNvGrpSpPr/>
      </xdr:nvGrpSpPr>
      <xdr:grpSpPr>
        <a:xfrm>
          <a:off x="4435518" y="0"/>
          <a:ext cx="1111870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18D22CA-B52E-4D1D-8330-10B314B7508E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5F95F96B-6009-4F4D-9A80-42B68EEEF0FF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6626B98-D9DD-4A2B-945A-8708D28734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427830</xdr:colOff>
      <xdr:row>0</xdr:row>
      <xdr:rowOff>0</xdr:rowOff>
    </xdr:from>
    <xdr:to>
      <xdr:col>7</xdr:col>
      <xdr:colOff>839706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7CABAD3A-011C-44B6-9CF1-663C3D4BABC2}"/>
            </a:ext>
          </a:extLst>
        </xdr:cNvPr>
        <xdr:cNvSpPr/>
      </xdr:nvSpPr>
      <xdr:spPr>
        <a:xfrm>
          <a:off x="5792310" y="0"/>
          <a:ext cx="1021476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393499</xdr:colOff>
      <xdr:row>0</xdr:row>
      <xdr:rowOff>514894</xdr:rowOff>
    </xdr:from>
    <xdr:to>
      <xdr:col>7</xdr:col>
      <xdr:colOff>900233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8F734EEB-13D3-4C0A-82EC-8F9DA29D2A18}"/>
            </a:ext>
          </a:extLst>
        </xdr:cNvPr>
        <xdr:cNvSpPr txBox="1"/>
      </xdr:nvSpPr>
      <xdr:spPr>
        <a:xfrm rot="10800000" flipH="1" flipV="1">
          <a:off x="5757979" y="514894"/>
          <a:ext cx="1116334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7</xdr:col>
      <xdr:colOff>123405</xdr:colOff>
      <xdr:row>0</xdr:row>
      <xdr:rowOff>91651</xdr:rowOff>
    </xdr:from>
    <xdr:to>
      <xdr:col>7</xdr:col>
      <xdr:colOff>534530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5C3124A-2E7D-4A6D-AAF7-96885459B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97485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7</xdr:col>
      <xdr:colOff>1113008</xdr:colOff>
      <xdr:row>0</xdr:row>
      <xdr:rowOff>0</xdr:rowOff>
    </xdr:from>
    <xdr:to>
      <xdr:col>8</xdr:col>
      <xdr:colOff>22614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1C48775D-88F8-4125-8C7D-CD83E3F06514}"/>
            </a:ext>
          </a:extLst>
        </xdr:cNvPr>
        <xdr:cNvGrpSpPr/>
      </xdr:nvGrpSpPr>
      <xdr:grpSpPr>
        <a:xfrm>
          <a:off x="7089265" y="0"/>
          <a:ext cx="1108520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DDF2A68C-E3D5-43D1-9831-A7E99F80A8B5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E18C6C35-3FD7-49C1-94A6-537BEEE81CA9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D8A26A7-7213-4329-B399-55321529E3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235387</xdr:colOff>
      <xdr:row>0</xdr:row>
      <xdr:rowOff>0</xdr:rowOff>
    </xdr:from>
    <xdr:to>
      <xdr:col>10</xdr:col>
      <xdr:colOff>120799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C616DBE3-46A2-47CE-A050-9CCF44DE7C12}"/>
            </a:ext>
          </a:extLst>
        </xdr:cNvPr>
        <xdr:cNvGrpSpPr/>
      </xdr:nvGrpSpPr>
      <xdr:grpSpPr>
        <a:xfrm>
          <a:off x="8410558" y="0"/>
          <a:ext cx="1104612" cy="772886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FA97BDF6-776F-4BDE-95C8-AEDCBBB08CCB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F7DBB171-5D70-4A56-A5D1-843C23FAE44A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7D255A8-11CC-4A83-8E0A-ECE57FB899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328689</xdr:colOff>
      <xdr:row>0</xdr:row>
      <xdr:rowOff>0</xdr:rowOff>
    </xdr:from>
    <xdr:to>
      <xdr:col>12</xdr:col>
      <xdr:colOff>230709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C532E00E-A3BD-4F75-86F7-28652565CD31}"/>
            </a:ext>
          </a:extLst>
        </xdr:cNvPr>
        <xdr:cNvGrpSpPr/>
      </xdr:nvGrpSpPr>
      <xdr:grpSpPr>
        <a:xfrm>
          <a:off x="9723060" y="0"/>
          <a:ext cx="1121220" cy="772886"/>
          <a:chOff x="9696265" y="0"/>
          <a:chExt cx="1113404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03DF950B-7A7D-485A-8D06-492FAE944428}"/>
              </a:ext>
            </a:extLst>
          </xdr:cNvPr>
          <xdr:cNvSpPr/>
        </xdr:nvSpPr>
        <xdr:spPr>
          <a:xfrm>
            <a:off x="9730748" y="0"/>
            <a:ext cx="1018128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B7CEF2FA-15AD-4778-A4B7-04B32D5D37DE}"/>
              </a:ext>
            </a:extLst>
          </xdr:cNvPr>
          <xdr:cNvSpPr txBox="1"/>
        </xdr:nvSpPr>
        <xdr:spPr>
          <a:xfrm rot="10800000" flipH="1" flipV="1">
            <a:off x="9696265" y="514894"/>
            <a:ext cx="1113404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959824C-C2C1-48BC-9160-E05E44692D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37567" y="91651"/>
            <a:ext cx="404488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438590</xdr:colOff>
      <xdr:row>0</xdr:row>
      <xdr:rowOff>0</xdr:rowOff>
    </xdr:from>
    <xdr:to>
      <xdr:col>14</xdr:col>
      <xdr:colOff>335725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E379192D-D60A-4801-8AE8-0BF3F68252E3}"/>
            </a:ext>
          </a:extLst>
        </xdr:cNvPr>
        <xdr:cNvGrpSpPr/>
      </xdr:nvGrpSpPr>
      <xdr:grpSpPr>
        <a:xfrm>
          <a:off x="11052161" y="0"/>
          <a:ext cx="1116335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4ED7E6AF-C7E5-49A7-9432-BC050D811889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65B2CF8D-E62F-4067-A8DB-FDD45614124B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7538B0F-03B6-484F-BAE9-0BB082BC50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1191847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111B1520-3D0D-455A-9178-87600DE96E9F}"/>
            </a:ext>
          </a:extLst>
        </xdr:cNvPr>
        <xdr:cNvGrpSpPr/>
      </xdr:nvGrpSpPr>
      <xdr:grpSpPr>
        <a:xfrm>
          <a:off x="3126443" y="0"/>
          <a:ext cx="1113404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FE3273E5-CA79-4428-8386-0EB63D0B130E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6DD9DE27-A284-4718-9696-D1F8BAA8DC67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7F7F937-2BED-4527-8222-65F9D0D961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E34194C1-CF0B-4B96-B76C-E87D128DA98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605691</xdr:colOff>
      <xdr:row>1</xdr:row>
      <xdr:rowOff>68383</xdr:rowOff>
    </xdr:from>
    <xdr:to>
      <xdr:col>4</xdr:col>
      <xdr:colOff>90922</xdr:colOff>
      <xdr:row>1</xdr:row>
      <xdr:rowOff>496783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7FB893B9-2E61-4BDE-B63B-3B564A2619CE}"/>
            </a:ext>
          </a:extLst>
        </xdr:cNvPr>
        <xdr:cNvSpPr/>
      </xdr:nvSpPr>
      <xdr:spPr>
        <a:xfrm>
          <a:off x="605691" y="841269"/>
          <a:ext cx="1923631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4</xdr:col>
      <xdr:colOff>606529</xdr:colOff>
      <xdr:row>1</xdr:row>
      <xdr:rowOff>68383</xdr:rowOff>
    </xdr:from>
    <xdr:to>
      <xdr:col>5</xdr:col>
      <xdr:colOff>1908836</xdr:colOff>
      <xdr:row>1</xdr:row>
      <xdr:rowOff>496783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94EC2CF2-255E-42EC-8EE6-666FDE7772B7}"/>
            </a:ext>
          </a:extLst>
        </xdr:cNvPr>
        <xdr:cNvSpPr/>
      </xdr:nvSpPr>
      <xdr:spPr>
        <a:xfrm>
          <a:off x="3044929" y="841269"/>
          <a:ext cx="1911907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6</xdr:col>
      <xdr:colOff>105785</xdr:colOff>
      <xdr:row>1</xdr:row>
      <xdr:rowOff>68383</xdr:rowOff>
    </xdr:from>
    <xdr:to>
      <xdr:col>7</xdr:col>
      <xdr:colOff>1400277</xdr:colOff>
      <xdr:row>1</xdr:row>
      <xdr:rowOff>496783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EFAA3AEE-FF7B-4204-9861-4C51845D47CC}"/>
            </a:ext>
          </a:extLst>
        </xdr:cNvPr>
        <xdr:cNvSpPr/>
      </xdr:nvSpPr>
      <xdr:spPr>
        <a:xfrm>
          <a:off x="5472442" y="841269"/>
          <a:ext cx="1904092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MATÉRIA-PRIMA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1915883</xdr:colOff>
      <xdr:row>1</xdr:row>
      <xdr:rowOff>68383</xdr:rowOff>
    </xdr:from>
    <xdr:to>
      <xdr:col>10</xdr:col>
      <xdr:colOff>413584</xdr:colOff>
      <xdr:row>1</xdr:row>
      <xdr:rowOff>496783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9EA7E8E1-7F2B-4672-83AB-7F7B2AEEBB15}"/>
            </a:ext>
          </a:extLst>
        </xdr:cNvPr>
        <xdr:cNvSpPr/>
      </xdr:nvSpPr>
      <xdr:spPr>
        <a:xfrm>
          <a:off x="7892140" y="841269"/>
          <a:ext cx="1915815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COMPRA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319591</xdr:colOff>
      <xdr:row>1</xdr:row>
      <xdr:rowOff>68383</xdr:rowOff>
    </xdr:from>
    <xdr:to>
      <xdr:col>14</xdr:col>
      <xdr:colOff>410514</xdr:colOff>
      <xdr:row>1</xdr:row>
      <xdr:rowOff>496783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C2685B7-C303-46E1-A802-9F3A88AEA270}"/>
            </a:ext>
          </a:extLst>
        </xdr:cNvPr>
        <xdr:cNvSpPr/>
      </xdr:nvSpPr>
      <xdr:spPr>
        <a:xfrm>
          <a:off x="10323562" y="841269"/>
          <a:ext cx="1919723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REALIZAR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PEDIDO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1763485</xdr:colOff>
      <xdr:row>19</xdr:row>
      <xdr:rowOff>54429</xdr:rowOff>
    </xdr:from>
    <xdr:to>
      <xdr:col>7</xdr:col>
      <xdr:colOff>294190</xdr:colOff>
      <xdr:row>22</xdr:row>
      <xdr:rowOff>65477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728A335A-1495-4D0F-8124-A947A4662B9D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811485" y="4561115"/>
          <a:ext cx="1458962" cy="56621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C0AD2A1E-6437-4060-926F-B04123BF7F4A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9A9A1703-F4D5-4FD0-8561-B23FF84C7A28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42D1CC18-1DE8-4D6B-AAB1-9CB427642C3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20FD0B0C-3137-493E-95F0-B1E6722B5520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F1E013DA-21D1-4154-8EBD-6D2ADF448DF7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AE8887C-2AA2-4C5A-AF15-DB15F68AEF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72830BC8-1E2C-440A-B434-8EFAA34CA773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1387518</xdr:colOff>
      <xdr:row>0</xdr:row>
      <xdr:rowOff>0</xdr:rowOff>
    </xdr:from>
    <xdr:to>
      <xdr:col>6</xdr:col>
      <xdr:colOff>180731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2013303D-B456-43DF-AFE5-AE7704043039}"/>
            </a:ext>
          </a:extLst>
        </xdr:cNvPr>
        <xdr:cNvGrpSpPr/>
      </xdr:nvGrpSpPr>
      <xdr:grpSpPr>
        <a:xfrm>
          <a:off x="4435518" y="0"/>
          <a:ext cx="1111870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9CF22827-770E-4981-8A78-D754CF377DEE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14B055B-DD26-4DEF-8BC8-08720A2BA1BE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BF9D1FE-7926-444E-B649-5A7963BB06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427830</xdr:colOff>
      <xdr:row>0</xdr:row>
      <xdr:rowOff>0</xdr:rowOff>
    </xdr:from>
    <xdr:to>
      <xdr:col>6</xdr:col>
      <xdr:colOff>1449306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8DFFF9B0-0846-455C-A41E-9EAA32453531}"/>
            </a:ext>
          </a:extLst>
        </xdr:cNvPr>
        <xdr:cNvSpPr/>
      </xdr:nvSpPr>
      <xdr:spPr>
        <a:xfrm>
          <a:off x="5792310" y="0"/>
          <a:ext cx="1021476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393499</xdr:colOff>
      <xdr:row>0</xdr:row>
      <xdr:rowOff>514894</xdr:rowOff>
    </xdr:from>
    <xdr:to>
      <xdr:col>6</xdr:col>
      <xdr:colOff>1509833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2CE296C-B2F1-49BB-B5E6-8E334ECF4B46}"/>
            </a:ext>
          </a:extLst>
        </xdr:cNvPr>
        <xdr:cNvSpPr txBox="1"/>
      </xdr:nvSpPr>
      <xdr:spPr>
        <a:xfrm rot="10800000" flipH="1" flipV="1">
          <a:off x="5757979" y="514894"/>
          <a:ext cx="1116334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6</xdr:col>
      <xdr:colOff>733005</xdr:colOff>
      <xdr:row>0</xdr:row>
      <xdr:rowOff>91651</xdr:rowOff>
    </xdr:from>
    <xdr:to>
      <xdr:col>6</xdr:col>
      <xdr:colOff>1144130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9A61368-A557-43C3-BA80-3FA45A2D1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97485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6</xdr:col>
      <xdr:colOff>1722608</xdr:colOff>
      <xdr:row>0</xdr:row>
      <xdr:rowOff>0</xdr:rowOff>
    </xdr:from>
    <xdr:to>
      <xdr:col>8</xdr:col>
      <xdr:colOff>490699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27250137-00A6-470B-AFD7-E26C819309D1}"/>
            </a:ext>
          </a:extLst>
        </xdr:cNvPr>
        <xdr:cNvGrpSpPr/>
      </xdr:nvGrpSpPr>
      <xdr:grpSpPr>
        <a:xfrm>
          <a:off x="7089265" y="0"/>
          <a:ext cx="1108520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36758487-C639-4529-A347-1B38E6E510A9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E9544566-33B0-4CCA-BB4C-1FB57DBC27CB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60035DC-A4FD-48A0-8A8B-4104D0AD14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703472</xdr:colOff>
      <xdr:row>0</xdr:row>
      <xdr:rowOff>0</xdr:rowOff>
    </xdr:from>
    <xdr:to>
      <xdr:col>8</xdr:col>
      <xdr:colOff>1808084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85D11A53-B515-4067-BCAD-8761167C5A4E}"/>
            </a:ext>
          </a:extLst>
        </xdr:cNvPr>
        <xdr:cNvGrpSpPr/>
      </xdr:nvGrpSpPr>
      <xdr:grpSpPr>
        <a:xfrm>
          <a:off x="8410558" y="0"/>
          <a:ext cx="1104612" cy="772886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1868EC99-CCDA-4851-930D-0F22F44063FE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21193230-B91F-4414-90D3-9E0298EB19D0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C256634-3020-4C36-B0F2-75F191A031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2015974</xdr:colOff>
      <xdr:row>0</xdr:row>
      <xdr:rowOff>0</xdr:rowOff>
    </xdr:from>
    <xdr:to>
      <xdr:col>9</xdr:col>
      <xdr:colOff>317794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72E34EBF-8EE5-4158-AA51-60C89B926ED8}"/>
            </a:ext>
          </a:extLst>
        </xdr:cNvPr>
        <xdr:cNvGrpSpPr/>
      </xdr:nvGrpSpPr>
      <xdr:grpSpPr>
        <a:xfrm>
          <a:off x="9723060" y="0"/>
          <a:ext cx="1121220" cy="772886"/>
          <a:chOff x="9696265" y="0"/>
          <a:chExt cx="1113404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B47ED3E6-F850-4986-B34F-B3CC903FEEFB}"/>
              </a:ext>
            </a:extLst>
          </xdr:cNvPr>
          <xdr:cNvSpPr/>
        </xdr:nvSpPr>
        <xdr:spPr>
          <a:xfrm>
            <a:off x="9730748" y="0"/>
            <a:ext cx="1018128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71D872AE-9AD7-4071-BFEE-FA9B5830537A}"/>
              </a:ext>
            </a:extLst>
          </xdr:cNvPr>
          <xdr:cNvSpPr txBox="1"/>
        </xdr:nvSpPr>
        <xdr:spPr>
          <a:xfrm rot="10800000" flipH="1" flipV="1">
            <a:off x="9696265" y="514894"/>
            <a:ext cx="1113404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485FF8D-CF1F-41D2-B88C-8774AF00C9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37567" y="91651"/>
            <a:ext cx="404488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525675</xdr:colOff>
      <xdr:row>0</xdr:row>
      <xdr:rowOff>0</xdr:rowOff>
    </xdr:from>
    <xdr:to>
      <xdr:col>11</xdr:col>
      <xdr:colOff>422810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6D9E6924-F538-49EB-97AA-1C17EE8F5A0C}"/>
            </a:ext>
          </a:extLst>
        </xdr:cNvPr>
        <xdr:cNvGrpSpPr/>
      </xdr:nvGrpSpPr>
      <xdr:grpSpPr>
        <a:xfrm>
          <a:off x="11052161" y="0"/>
          <a:ext cx="1116335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D6021374-D775-4C1B-9BB7-86B7C071C4B4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74F19C67-C34D-42F7-A3C4-8E54AFB6081F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F29CD92-7A07-42E9-AF09-B5EF6DD937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1191847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87F7102C-84EB-4F4E-BB22-72476B8E30DF}"/>
            </a:ext>
          </a:extLst>
        </xdr:cNvPr>
        <xdr:cNvGrpSpPr/>
      </xdr:nvGrpSpPr>
      <xdr:grpSpPr>
        <a:xfrm>
          <a:off x="3126443" y="0"/>
          <a:ext cx="1113404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842313F9-1937-41D8-91AB-D9843937DBD3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A7157322-635E-4232-B419-7ADCAB0AF34D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2E3B4B9-AA30-49D8-A5FE-5B3118D97B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9DB13918-6C1C-411C-ACA4-641EEA39DEB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605691</xdr:colOff>
      <xdr:row>1</xdr:row>
      <xdr:rowOff>68383</xdr:rowOff>
    </xdr:from>
    <xdr:to>
      <xdr:col>4</xdr:col>
      <xdr:colOff>90922</xdr:colOff>
      <xdr:row>1</xdr:row>
      <xdr:rowOff>496783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15A7B69A-857E-45E2-A344-AE8F4663D484}"/>
            </a:ext>
          </a:extLst>
        </xdr:cNvPr>
        <xdr:cNvSpPr/>
      </xdr:nvSpPr>
      <xdr:spPr>
        <a:xfrm>
          <a:off x="605691" y="841269"/>
          <a:ext cx="1923631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4</xdr:col>
      <xdr:colOff>606529</xdr:colOff>
      <xdr:row>1</xdr:row>
      <xdr:rowOff>68383</xdr:rowOff>
    </xdr:from>
    <xdr:to>
      <xdr:col>5</xdr:col>
      <xdr:colOff>1908836</xdr:colOff>
      <xdr:row>1</xdr:row>
      <xdr:rowOff>496783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F6D126CC-A07C-49B1-96FB-F4F26706D599}"/>
            </a:ext>
          </a:extLst>
        </xdr:cNvPr>
        <xdr:cNvSpPr/>
      </xdr:nvSpPr>
      <xdr:spPr>
        <a:xfrm>
          <a:off x="3044929" y="841269"/>
          <a:ext cx="1911907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6</xdr:col>
      <xdr:colOff>105785</xdr:colOff>
      <xdr:row>1</xdr:row>
      <xdr:rowOff>68383</xdr:rowOff>
    </xdr:from>
    <xdr:to>
      <xdr:col>7</xdr:col>
      <xdr:colOff>279048</xdr:colOff>
      <xdr:row>1</xdr:row>
      <xdr:rowOff>496783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9ECE1990-2D10-4837-9984-49FD33C06371}"/>
            </a:ext>
          </a:extLst>
        </xdr:cNvPr>
        <xdr:cNvSpPr/>
      </xdr:nvSpPr>
      <xdr:spPr>
        <a:xfrm>
          <a:off x="5472442" y="841269"/>
          <a:ext cx="1904092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MATÉRIA-PRIMA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8</xdr:col>
      <xdr:colOff>185055</xdr:colOff>
      <xdr:row>1</xdr:row>
      <xdr:rowOff>68383</xdr:rowOff>
    </xdr:from>
    <xdr:to>
      <xdr:col>8</xdr:col>
      <xdr:colOff>2100870</xdr:colOff>
      <xdr:row>1</xdr:row>
      <xdr:rowOff>496783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BE2B44F7-0EBB-42C4-AA89-D3ADE8C68200}"/>
            </a:ext>
          </a:extLst>
        </xdr:cNvPr>
        <xdr:cNvSpPr/>
      </xdr:nvSpPr>
      <xdr:spPr>
        <a:xfrm>
          <a:off x="7892141" y="841269"/>
          <a:ext cx="1915815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COMPRA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8</xdr:col>
      <xdr:colOff>2616476</xdr:colOff>
      <xdr:row>1</xdr:row>
      <xdr:rowOff>68383</xdr:rowOff>
    </xdr:from>
    <xdr:to>
      <xdr:col>11</xdr:col>
      <xdr:colOff>497599</xdr:colOff>
      <xdr:row>1</xdr:row>
      <xdr:rowOff>496783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731ECF3F-364A-4C06-B131-BC34971C6299}"/>
            </a:ext>
          </a:extLst>
        </xdr:cNvPr>
        <xdr:cNvSpPr/>
      </xdr:nvSpPr>
      <xdr:spPr>
        <a:xfrm>
          <a:off x="10323562" y="841269"/>
          <a:ext cx="1919723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REALIZAR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PEDIDO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1240972</xdr:colOff>
      <xdr:row>18</xdr:row>
      <xdr:rowOff>32656</xdr:rowOff>
    </xdr:from>
    <xdr:to>
      <xdr:col>6</xdr:col>
      <xdr:colOff>381277</xdr:colOff>
      <xdr:row>21</xdr:row>
      <xdr:rowOff>43704</xdr:rowOff>
    </xdr:to>
    <xdr:sp macro="" textlink="">
      <xdr:nvSpPr>
        <xdr:cNvPr id="42" name="Retângulo Arredondado 11">
          <a:extLst>
            <a:ext uri="{FF2B5EF4-FFF2-40B4-BE49-F238E27FC236}">
              <a16:creationId xmlns:a16="http://schemas.microsoft.com/office/drawing/2014/main" id="{35FE4108-FD6A-43E7-B111-D704E31E0694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288972" y="4354285"/>
          <a:ext cx="1458962" cy="56621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ED28702-DE07-44F7-B2C5-CFAD73562A67}"/>
            </a:ext>
          </a:extLst>
        </xdr:cNvPr>
        <xdr:cNvGrpSpPr/>
      </xdr:nvGrpSpPr>
      <xdr:grpSpPr>
        <a:xfrm>
          <a:off x="0" y="1"/>
          <a:ext cx="1840006" cy="776175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E594F69-784E-4183-93DD-25CC108E7991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963658ED-7F82-4951-89DF-F12D3F628A3B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FCC79808-0D55-418C-8F54-4C9977DAD2CF}"/>
            </a:ext>
          </a:extLst>
        </xdr:cNvPr>
        <xdr:cNvGrpSpPr/>
      </xdr:nvGrpSpPr>
      <xdr:grpSpPr>
        <a:xfrm>
          <a:off x="1990723" y="0"/>
          <a:ext cx="1021618" cy="775855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319491A4-06CD-44E3-B849-D82148B97C65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B827EDF-CD96-43EB-AFD2-34F9C55556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84E6F984-21EE-4EA2-BB47-D5BF8E62A6F9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1387518</xdr:colOff>
      <xdr:row>0</xdr:row>
      <xdr:rowOff>0</xdr:rowOff>
    </xdr:from>
    <xdr:to>
      <xdr:col>6</xdr:col>
      <xdr:colOff>180731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146857ED-AB25-4561-BB47-BA5EC7E13660}"/>
            </a:ext>
          </a:extLst>
        </xdr:cNvPr>
        <xdr:cNvGrpSpPr/>
      </xdr:nvGrpSpPr>
      <xdr:grpSpPr>
        <a:xfrm>
          <a:off x="4435518" y="0"/>
          <a:ext cx="1106922" cy="775855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5B0738F8-7DA6-4AB5-854E-7A837A822842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9C062126-9C7F-4503-9614-AF56403E0969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4176B09-A6C9-4B5C-813D-5A3BDE5D6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427830</xdr:colOff>
      <xdr:row>0</xdr:row>
      <xdr:rowOff>0</xdr:rowOff>
    </xdr:from>
    <xdr:to>
      <xdr:col>6</xdr:col>
      <xdr:colOff>1449306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532C206F-057F-4721-8EB7-905C7673EAF2}"/>
            </a:ext>
          </a:extLst>
        </xdr:cNvPr>
        <xdr:cNvSpPr/>
      </xdr:nvSpPr>
      <xdr:spPr>
        <a:xfrm>
          <a:off x="5792310" y="0"/>
          <a:ext cx="1021476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393499</xdr:colOff>
      <xdr:row>0</xdr:row>
      <xdr:rowOff>514894</xdr:rowOff>
    </xdr:from>
    <xdr:to>
      <xdr:col>6</xdr:col>
      <xdr:colOff>1509833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F838EE59-1563-4633-8092-B2456906C630}"/>
            </a:ext>
          </a:extLst>
        </xdr:cNvPr>
        <xdr:cNvSpPr txBox="1"/>
      </xdr:nvSpPr>
      <xdr:spPr>
        <a:xfrm rot="10800000" flipH="1" flipV="1">
          <a:off x="5757979" y="514894"/>
          <a:ext cx="1116334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6</xdr:col>
      <xdr:colOff>733005</xdr:colOff>
      <xdr:row>0</xdr:row>
      <xdr:rowOff>91651</xdr:rowOff>
    </xdr:from>
    <xdr:to>
      <xdr:col>6</xdr:col>
      <xdr:colOff>1144130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7631B73-AF7E-4B6A-A2C7-6EB0C8A32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97485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7</xdr:col>
      <xdr:colOff>155065</xdr:colOff>
      <xdr:row>0</xdr:row>
      <xdr:rowOff>0</xdr:rowOff>
    </xdr:from>
    <xdr:to>
      <xdr:col>9</xdr:col>
      <xdr:colOff>55271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1B394168-C13F-4D41-9B3D-658E257943E9}"/>
            </a:ext>
          </a:extLst>
        </xdr:cNvPr>
        <xdr:cNvGrpSpPr/>
      </xdr:nvGrpSpPr>
      <xdr:grpSpPr>
        <a:xfrm>
          <a:off x="7082338" y="0"/>
          <a:ext cx="1105551" cy="775855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42485F59-A5B6-4ABB-A224-6AAAB6E46B5B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6AEB6545-8D09-48E9-8006-AEB796CCCFA9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6C16CC0-7B7F-41DF-A086-63C1A885B4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268044</xdr:colOff>
      <xdr:row>0</xdr:row>
      <xdr:rowOff>0</xdr:rowOff>
    </xdr:from>
    <xdr:to>
      <xdr:col>11</xdr:col>
      <xdr:colOff>153456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B8C0961C-BD92-4C52-9F28-9F564E193EED}"/>
            </a:ext>
          </a:extLst>
        </xdr:cNvPr>
        <xdr:cNvGrpSpPr/>
      </xdr:nvGrpSpPr>
      <xdr:grpSpPr>
        <a:xfrm>
          <a:off x="8400662" y="0"/>
          <a:ext cx="1104612" cy="775855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16B7C1BD-2CE2-4100-BFFF-C3AEF2920323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3F5B2727-4A23-4F97-94E5-8CA1ADAC775D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9970DD2-F210-4AF3-9979-8DD5C98EB1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361346</xdr:colOff>
      <xdr:row>0</xdr:row>
      <xdr:rowOff>0</xdr:rowOff>
    </xdr:from>
    <xdr:to>
      <xdr:col>13</xdr:col>
      <xdr:colOff>263366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A9162A22-88EA-40D5-8AD4-6BCDF2936E97}"/>
            </a:ext>
          </a:extLst>
        </xdr:cNvPr>
        <xdr:cNvGrpSpPr/>
      </xdr:nvGrpSpPr>
      <xdr:grpSpPr>
        <a:xfrm>
          <a:off x="9713164" y="0"/>
          <a:ext cx="1121220" cy="775855"/>
          <a:chOff x="9696265" y="0"/>
          <a:chExt cx="1113404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D1635918-E23B-447C-A324-DBDFAB6880BD}"/>
              </a:ext>
            </a:extLst>
          </xdr:cNvPr>
          <xdr:cNvSpPr/>
        </xdr:nvSpPr>
        <xdr:spPr>
          <a:xfrm>
            <a:off x="9730748" y="0"/>
            <a:ext cx="1018128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7B2A39BE-1EB4-4DBE-9E48-64962A013832}"/>
              </a:ext>
            </a:extLst>
          </xdr:cNvPr>
          <xdr:cNvSpPr txBox="1"/>
        </xdr:nvSpPr>
        <xdr:spPr>
          <a:xfrm rot="10800000" flipH="1" flipV="1">
            <a:off x="9696265" y="514894"/>
            <a:ext cx="1113404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78D0106-4D06-4906-BBED-55E381C8B3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37567" y="91651"/>
            <a:ext cx="404488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471247</xdr:colOff>
      <xdr:row>0</xdr:row>
      <xdr:rowOff>0</xdr:rowOff>
    </xdr:from>
    <xdr:to>
      <xdr:col>15</xdr:col>
      <xdr:colOff>368382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5F51CCD5-FA4B-41A9-9121-9C31E3C1745B}"/>
            </a:ext>
          </a:extLst>
        </xdr:cNvPr>
        <xdr:cNvGrpSpPr/>
      </xdr:nvGrpSpPr>
      <xdr:grpSpPr>
        <a:xfrm>
          <a:off x="11042265" y="0"/>
          <a:ext cx="1116335" cy="775855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35794250-DE85-4B35-B9F9-DBE4378D5FE1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17BC8191-9E11-4987-AC7F-F686BDB9FAB5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8BA66B2-E840-414A-B648-E929C5A284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1191847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0C6A5A15-2FD5-4163-B69D-1C419F41A213}"/>
            </a:ext>
          </a:extLst>
        </xdr:cNvPr>
        <xdr:cNvGrpSpPr/>
      </xdr:nvGrpSpPr>
      <xdr:grpSpPr>
        <a:xfrm>
          <a:off x="3126443" y="0"/>
          <a:ext cx="1113404" cy="775855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80716404-1D5D-448E-9847-31CDB19DAC72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FBEA216D-133B-4829-B6AC-DA5D6226F655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72CFB18-99E3-4041-B7A0-16D006B476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2C0D5A30-E14A-4E85-A175-CB765B466D16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605691</xdr:colOff>
      <xdr:row>1</xdr:row>
      <xdr:rowOff>68383</xdr:rowOff>
    </xdr:from>
    <xdr:to>
      <xdr:col>4</xdr:col>
      <xdr:colOff>90922</xdr:colOff>
      <xdr:row>1</xdr:row>
      <xdr:rowOff>496783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6CB5F885-C519-4157-9A5C-72027F72B1B4}"/>
            </a:ext>
          </a:extLst>
        </xdr:cNvPr>
        <xdr:cNvSpPr/>
      </xdr:nvSpPr>
      <xdr:spPr>
        <a:xfrm>
          <a:off x="605691" y="845623"/>
          <a:ext cx="1923631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4</xdr:col>
      <xdr:colOff>606529</xdr:colOff>
      <xdr:row>1</xdr:row>
      <xdr:rowOff>68383</xdr:rowOff>
    </xdr:from>
    <xdr:to>
      <xdr:col>5</xdr:col>
      <xdr:colOff>1908836</xdr:colOff>
      <xdr:row>1</xdr:row>
      <xdr:rowOff>496783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B6870B09-1977-40E3-AF53-4A0AE4A6CC47}"/>
            </a:ext>
          </a:extLst>
        </xdr:cNvPr>
        <xdr:cNvSpPr/>
      </xdr:nvSpPr>
      <xdr:spPr>
        <a:xfrm>
          <a:off x="3044929" y="845623"/>
          <a:ext cx="1911907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6</xdr:col>
      <xdr:colOff>105785</xdr:colOff>
      <xdr:row>1</xdr:row>
      <xdr:rowOff>68383</xdr:rowOff>
    </xdr:from>
    <xdr:to>
      <xdr:col>7</xdr:col>
      <xdr:colOff>442334</xdr:colOff>
      <xdr:row>1</xdr:row>
      <xdr:rowOff>496783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854EFA34-90A3-41F4-B4EB-64F6907867D6}"/>
            </a:ext>
          </a:extLst>
        </xdr:cNvPr>
        <xdr:cNvSpPr/>
      </xdr:nvSpPr>
      <xdr:spPr>
        <a:xfrm>
          <a:off x="5470265" y="845623"/>
          <a:ext cx="1903003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MATÉRIA-PRIMA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8</xdr:col>
      <xdr:colOff>348341</xdr:colOff>
      <xdr:row>1</xdr:row>
      <xdr:rowOff>68383</xdr:rowOff>
    </xdr:from>
    <xdr:to>
      <xdr:col>11</xdr:col>
      <xdr:colOff>446242</xdr:colOff>
      <xdr:row>1</xdr:row>
      <xdr:rowOff>496783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B3856600-7B2A-497C-8D7E-CD180670D931}"/>
            </a:ext>
          </a:extLst>
        </xdr:cNvPr>
        <xdr:cNvSpPr/>
      </xdr:nvSpPr>
      <xdr:spPr>
        <a:xfrm>
          <a:off x="7888875" y="845623"/>
          <a:ext cx="1915815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COMPRA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12</xdr:col>
      <xdr:colOff>352248</xdr:colOff>
      <xdr:row>1</xdr:row>
      <xdr:rowOff>68383</xdr:rowOff>
    </xdr:from>
    <xdr:to>
      <xdr:col>15</xdr:col>
      <xdr:colOff>443171</xdr:colOff>
      <xdr:row>1</xdr:row>
      <xdr:rowOff>496783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B480F0A9-1C1D-4990-B057-C847D86F5418}"/>
            </a:ext>
          </a:extLst>
        </xdr:cNvPr>
        <xdr:cNvSpPr/>
      </xdr:nvSpPr>
      <xdr:spPr>
        <a:xfrm>
          <a:off x="10320296" y="845623"/>
          <a:ext cx="1919723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REALIZAR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PEDIDO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1295398</xdr:colOff>
      <xdr:row>27</xdr:row>
      <xdr:rowOff>0</xdr:rowOff>
    </xdr:from>
    <xdr:to>
      <xdr:col>6</xdr:col>
      <xdr:colOff>435703</xdr:colOff>
      <xdr:row>30</xdr:row>
      <xdr:rowOff>11048</xdr:rowOff>
    </xdr:to>
    <xdr:sp macro="" textlink="">
      <xdr:nvSpPr>
        <xdr:cNvPr id="42" name="Retângulo Arredondado 11">
          <a:extLst>
            <a:ext uri="{FF2B5EF4-FFF2-40B4-BE49-F238E27FC236}">
              <a16:creationId xmlns:a16="http://schemas.microsoft.com/office/drawing/2014/main" id="{9B9F491A-16FB-4287-9511-47DFC5827406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343398" y="5987143"/>
          <a:ext cx="1458962" cy="56621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0</xdr:row>
      <xdr:rowOff>773207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BD91793E-62A5-43F3-A046-844983351636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FB3E0967-FE6C-482A-8543-D111EFCD9BC9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FA9E3BD1-48B0-48D2-98C6-70E2F8127D2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2E3E7D9F-3BC7-4AFC-8A0D-84DEE51BCE2E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EA960233-22DB-4FA5-9C7C-877D2EE89BA8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794C0AE5-453A-4C39-992A-B8AF2D161B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32E6E0FE-384B-48FB-9F46-465C58C3E6FC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7</xdr:col>
      <xdr:colOff>176134</xdr:colOff>
      <xdr:row>0</xdr:row>
      <xdr:rowOff>0</xdr:rowOff>
    </xdr:from>
    <xdr:to>
      <xdr:col>9</xdr:col>
      <xdr:colOff>73269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7CC208FC-519D-4C53-8535-306FF2202FB7}"/>
            </a:ext>
          </a:extLst>
        </xdr:cNvPr>
        <xdr:cNvGrpSpPr/>
      </xdr:nvGrpSpPr>
      <xdr:grpSpPr>
        <a:xfrm>
          <a:off x="4443334" y="0"/>
          <a:ext cx="1116335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9B628BFB-B02C-4C82-8F0A-123AC00E342B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8281FFB-ECB7-4094-8C38-3B66EB93D13A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0A3618E-7651-46A6-90F6-14B65B60C3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320368</xdr:colOff>
      <xdr:row>0</xdr:row>
      <xdr:rowOff>0</xdr:rowOff>
    </xdr:from>
    <xdr:to>
      <xdr:col>11</xdr:col>
      <xdr:colOff>122645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D04A12F2-9AC6-4BE3-997D-BCA30152F7D0}"/>
            </a:ext>
          </a:extLst>
        </xdr:cNvPr>
        <xdr:cNvSpPr/>
      </xdr:nvSpPr>
      <xdr:spPr>
        <a:xfrm>
          <a:off x="5806768" y="0"/>
          <a:ext cx="1021477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</xdr:col>
      <xdr:colOff>286037</xdr:colOff>
      <xdr:row>0</xdr:row>
      <xdr:rowOff>514894</xdr:rowOff>
    </xdr:from>
    <xdr:to>
      <xdr:col>11</xdr:col>
      <xdr:colOff>183172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6B8F56E5-6576-4A05-BA12-003512D438A3}"/>
            </a:ext>
          </a:extLst>
        </xdr:cNvPr>
        <xdr:cNvSpPr txBox="1"/>
      </xdr:nvSpPr>
      <xdr:spPr>
        <a:xfrm rot="10800000" flipH="1" flipV="1">
          <a:off x="5772437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10</xdr:col>
      <xdr:colOff>15944</xdr:colOff>
      <xdr:row>0</xdr:row>
      <xdr:rowOff>91651</xdr:rowOff>
    </xdr:from>
    <xdr:to>
      <xdr:col>10</xdr:col>
      <xdr:colOff>427069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ACD7B26-1EDB-4A11-84A1-4D17FB9EFC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1944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11</xdr:col>
      <xdr:colOff>395947</xdr:colOff>
      <xdr:row>0</xdr:row>
      <xdr:rowOff>0</xdr:rowOff>
    </xdr:from>
    <xdr:to>
      <xdr:col>13</xdr:col>
      <xdr:colOff>293082</xdr:colOff>
      <xdr:row>1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87F0397A-8E20-4856-AAF2-DB72DA5A381A}"/>
            </a:ext>
          </a:extLst>
        </xdr:cNvPr>
        <xdr:cNvGrpSpPr/>
      </xdr:nvGrpSpPr>
      <xdr:grpSpPr>
        <a:xfrm>
          <a:off x="7101547" y="0"/>
          <a:ext cx="1116335" cy="772886"/>
          <a:chOff x="7058562" y="0"/>
          <a:chExt cx="1108520" cy="781538"/>
        </a:xfrm>
      </xdr:grpSpPr>
      <xdr:sp macro="" textlink="">
        <xdr:nvSpPr>
          <xdr:cNvPr id="16" name="Retângulo 15">
            <a:extLst>
              <a:ext uri="{FF2B5EF4-FFF2-40B4-BE49-F238E27FC236}">
                <a16:creationId xmlns:a16="http://schemas.microsoft.com/office/drawing/2014/main" id="{CD5CB528-BB85-4D1B-8492-C7C349DD7A32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14474F84-BECD-4BBD-A121-59F4747AF792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8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CFB4B98-CBD2-44FF-A491-CE6000028C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505855</xdr:colOff>
      <xdr:row>0</xdr:row>
      <xdr:rowOff>0</xdr:rowOff>
    </xdr:from>
    <xdr:to>
      <xdr:col>15</xdr:col>
      <xdr:colOff>402990</xdr:colOff>
      <xdr:row>1</xdr:row>
      <xdr:rowOff>0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A98C264C-B889-469C-BE8D-74018E528071}"/>
            </a:ext>
          </a:extLst>
        </xdr:cNvPr>
        <xdr:cNvGrpSpPr/>
      </xdr:nvGrpSpPr>
      <xdr:grpSpPr>
        <a:xfrm>
          <a:off x="8430655" y="0"/>
          <a:ext cx="1116335" cy="772886"/>
          <a:chOff x="8379855" y="0"/>
          <a:chExt cx="1108520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6961CE4A-4268-4287-9671-0229F30536B1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413941B0-F63C-492A-936C-A1CB392FBD32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8DF9628-A82C-473E-8612-83D5046D06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5188</xdr:colOff>
      <xdr:row>0</xdr:row>
      <xdr:rowOff>0</xdr:rowOff>
    </xdr:from>
    <xdr:to>
      <xdr:col>17</xdr:col>
      <xdr:colOff>512900</xdr:colOff>
      <xdr:row>1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2EC3D2C3-70B8-42AC-A83F-7AF117E8DDDF}"/>
            </a:ext>
          </a:extLst>
        </xdr:cNvPr>
        <xdr:cNvGrpSpPr/>
      </xdr:nvGrpSpPr>
      <xdr:grpSpPr>
        <a:xfrm>
          <a:off x="9758788" y="0"/>
          <a:ext cx="1117312" cy="772886"/>
          <a:chOff x="977441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4F7D23A8-5DC1-4806-9AAC-A3C147E0252C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92BC0B71-FEF5-48DF-9021-1ADEC7AADEF3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0FF59C5-D460-4F2B-A91B-5F0ECB3F49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115088</xdr:colOff>
      <xdr:row>0</xdr:row>
      <xdr:rowOff>0</xdr:rowOff>
    </xdr:from>
    <xdr:to>
      <xdr:col>20</xdr:col>
      <xdr:colOff>12224</xdr:colOff>
      <xdr:row>1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F395F58E-C359-46A5-9572-3926E5D88BF7}"/>
            </a:ext>
          </a:extLst>
        </xdr:cNvPr>
        <xdr:cNvGrpSpPr/>
      </xdr:nvGrpSpPr>
      <xdr:grpSpPr>
        <a:xfrm>
          <a:off x="11087888" y="0"/>
          <a:ext cx="1116336" cy="772886"/>
          <a:chOff x="1110547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8CB57639-21CF-4BD2-8660-BC2AB7E80521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52D935C5-C24F-4662-95CE-276F4C165A5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CA7ECFE-82D8-4556-B1E8-8F7B3F6046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6</xdr:col>
      <xdr:colOff>586155</xdr:colOff>
      <xdr:row>1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D114BEF1-CB3A-4F38-BB6F-0F7EB35F4ADA}"/>
            </a:ext>
          </a:extLst>
        </xdr:cNvPr>
        <xdr:cNvGrpSpPr/>
      </xdr:nvGrpSpPr>
      <xdr:grpSpPr>
        <a:xfrm>
          <a:off x="3126443" y="0"/>
          <a:ext cx="1117312" cy="772886"/>
          <a:chOff x="3131328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63723013-4C73-4BF3-B42A-3E512D77A7C5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12AF0452-2CC9-430A-9B48-CAD0725884E8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3EE900F-BFCE-4D5C-AC1A-576020110F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C798FD9F-07CF-448B-815C-615C32C09651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93A34464-3690-4193-83C4-33239E6AF05B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B0CB22EC-C48B-4929-BC42-55A08474E22A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7E95C4BB-EF43-4479-9751-45C45905EC94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DC34B4C6-4452-4F21-B7C5-B847FE7447EE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409FB52A-CA09-422B-80FC-DB946F39413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7FA8934A-5739-4012-B8AD-CFDEBAC6C2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980F1998-BCC6-4EE2-ABFC-C4089AA7F5F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7</xdr:col>
      <xdr:colOff>176134</xdr:colOff>
      <xdr:row>0</xdr:row>
      <xdr:rowOff>0</xdr:rowOff>
    </xdr:from>
    <xdr:to>
      <xdr:col>9</xdr:col>
      <xdr:colOff>73269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C47D63D0-9BD6-4110-8836-9E1CF8AF688E}"/>
            </a:ext>
          </a:extLst>
        </xdr:cNvPr>
        <xdr:cNvGrpSpPr/>
      </xdr:nvGrpSpPr>
      <xdr:grpSpPr>
        <a:xfrm>
          <a:off x="4443334" y="0"/>
          <a:ext cx="1116335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676CDAB2-B097-47F5-A196-7FC2F8028B62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A1A66EC3-3BD0-4280-AC01-90092F16B80F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BFD277-5DE1-433F-BEFF-895E7D7DFB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320368</xdr:colOff>
      <xdr:row>0</xdr:row>
      <xdr:rowOff>0</xdr:rowOff>
    </xdr:from>
    <xdr:to>
      <xdr:col>11</xdr:col>
      <xdr:colOff>122645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DDA12DE6-FF64-42A3-A248-E90866D4D106}"/>
            </a:ext>
          </a:extLst>
        </xdr:cNvPr>
        <xdr:cNvSpPr/>
      </xdr:nvSpPr>
      <xdr:spPr>
        <a:xfrm>
          <a:off x="5806768" y="0"/>
          <a:ext cx="1021477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</xdr:col>
      <xdr:colOff>286037</xdr:colOff>
      <xdr:row>0</xdr:row>
      <xdr:rowOff>514894</xdr:rowOff>
    </xdr:from>
    <xdr:to>
      <xdr:col>11</xdr:col>
      <xdr:colOff>183172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A6670679-604A-4F0E-9582-2299D4BBC5D7}"/>
            </a:ext>
          </a:extLst>
        </xdr:cNvPr>
        <xdr:cNvSpPr txBox="1"/>
      </xdr:nvSpPr>
      <xdr:spPr>
        <a:xfrm rot="10800000" flipH="1" flipV="1">
          <a:off x="5772437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10</xdr:col>
      <xdr:colOff>15944</xdr:colOff>
      <xdr:row>0</xdr:row>
      <xdr:rowOff>91651</xdr:rowOff>
    </xdr:from>
    <xdr:to>
      <xdr:col>10</xdr:col>
      <xdr:colOff>427069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4ADBBFF-160E-4E36-A38A-54F9024AB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1944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11</xdr:col>
      <xdr:colOff>395947</xdr:colOff>
      <xdr:row>0</xdr:row>
      <xdr:rowOff>0</xdr:rowOff>
    </xdr:from>
    <xdr:to>
      <xdr:col>13</xdr:col>
      <xdr:colOff>293082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820E110A-3922-4690-BA51-11FAE09717E7}"/>
            </a:ext>
          </a:extLst>
        </xdr:cNvPr>
        <xdr:cNvGrpSpPr/>
      </xdr:nvGrpSpPr>
      <xdr:grpSpPr>
        <a:xfrm>
          <a:off x="7101547" y="0"/>
          <a:ext cx="1116335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EE75A4E6-C171-4E87-886B-1D2126BBAA17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5C8C9552-AEA6-495C-981C-78AA836C0D9A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4FB3FF7-81F4-4807-B7A8-12761F471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540428</xdr:colOff>
      <xdr:row>0</xdr:row>
      <xdr:rowOff>0</xdr:rowOff>
    </xdr:from>
    <xdr:to>
      <xdr:col>15</xdr:col>
      <xdr:colOff>342036</xdr:colOff>
      <xdr:row>1</xdr:row>
      <xdr:rowOff>0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D4A880A2-1A1F-4225-A283-A7A2773707AB}"/>
            </a:ext>
          </a:extLst>
        </xdr:cNvPr>
        <xdr:cNvSpPr/>
      </xdr:nvSpPr>
      <xdr:spPr>
        <a:xfrm>
          <a:off x="8465228" y="0"/>
          <a:ext cx="1020808" cy="772886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505855</xdr:colOff>
      <xdr:row>0</xdr:row>
      <xdr:rowOff>509194</xdr:rowOff>
    </xdr:from>
    <xdr:to>
      <xdr:col>15</xdr:col>
      <xdr:colOff>402990</xdr:colOff>
      <xdr:row>0</xdr:row>
      <xdr:rowOff>760808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C60B2974-3330-4183-B321-5DC11BD3C8A5}"/>
            </a:ext>
          </a:extLst>
        </xdr:cNvPr>
        <xdr:cNvSpPr txBox="1"/>
      </xdr:nvSpPr>
      <xdr:spPr>
        <a:xfrm rot="10800000" flipH="1" flipV="1">
          <a:off x="8430655" y="509194"/>
          <a:ext cx="1116335" cy="2516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14</xdr:col>
      <xdr:colOff>238455</xdr:colOff>
      <xdr:row>0</xdr:row>
      <xdr:rowOff>90636</xdr:rowOff>
    </xdr:from>
    <xdr:to>
      <xdr:col>15</xdr:col>
      <xdr:colOff>34408</xdr:colOff>
      <xdr:row>0</xdr:row>
      <xdr:rowOff>489026</xdr:rowOff>
    </xdr:to>
    <xdr:pic>
      <xdr:nvPicPr>
        <xdr:cNvPr id="23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58B32CC-4B19-4DF8-BCF0-3A17EBB5FA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772855" y="90636"/>
          <a:ext cx="405553" cy="398390"/>
        </a:xfrm>
        <a:prstGeom prst="rect">
          <a:avLst/>
        </a:prstGeom>
      </xdr:spPr>
    </xdr:pic>
    <xdr:clientData/>
  </xdr:twoCellAnchor>
  <xdr:twoCellAnchor editAs="absolute">
    <xdr:from>
      <xdr:col>16</xdr:col>
      <xdr:colOff>5188</xdr:colOff>
      <xdr:row>0</xdr:row>
      <xdr:rowOff>0</xdr:rowOff>
    </xdr:from>
    <xdr:to>
      <xdr:col>17</xdr:col>
      <xdr:colOff>512900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A13388C5-3548-4766-9E35-33EC186D7E16}"/>
            </a:ext>
          </a:extLst>
        </xdr:cNvPr>
        <xdr:cNvGrpSpPr/>
      </xdr:nvGrpSpPr>
      <xdr:grpSpPr>
        <a:xfrm>
          <a:off x="9758788" y="0"/>
          <a:ext cx="1117312" cy="772886"/>
          <a:chOff x="9774419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006363E7-B4D0-4B95-8CB0-59B555D30B3A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4258382D-1E73-44E9-9C15-D9E480D1F05D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BD0CCE9-D882-4FC5-A406-27D9EEDC18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115088</xdr:colOff>
      <xdr:row>0</xdr:row>
      <xdr:rowOff>0</xdr:rowOff>
    </xdr:from>
    <xdr:to>
      <xdr:col>20</xdr:col>
      <xdr:colOff>12224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BBC806EF-E6C4-47A4-9A7F-1965986B1C8F}"/>
            </a:ext>
          </a:extLst>
        </xdr:cNvPr>
        <xdr:cNvGrpSpPr/>
      </xdr:nvGrpSpPr>
      <xdr:grpSpPr>
        <a:xfrm>
          <a:off x="11087888" y="0"/>
          <a:ext cx="1116336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FB26D0AE-7361-4003-AAFD-831B3FBD61AB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8E071703-BE60-495F-A689-AF1EC8E795F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6852645-0578-407E-9140-A311268B05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6</xdr:col>
      <xdr:colOff>586155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A9E1EB65-CCA9-4660-BB8B-09278929D018}"/>
            </a:ext>
          </a:extLst>
        </xdr:cNvPr>
        <xdr:cNvGrpSpPr/>
      </xdr:nvGrpSpPr>
      <xdr:grpSpPr>
        <a:xfrm>
          <a:off x="3126443" y="0"/>
          <a:ext cx="1117312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70F35A71-37B0-4475-838E-63958EB63018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34E76145-F0B9-4A16-BDBB-274969770386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D9404C7-2AD1-48A2-8601-2F31DE85FD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6A3537E8-F3A2-4D6F-AA68-06A58F749D29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20</xdr:col>
      <xdr:colOff>119742</xdr:colOff>
      <xdr:row>0</xdr:row>
      <xdr:rowOff>10885</xdr:rowOff>
    </xdr:from>
    <xdr:to>
      <xdr:col>22</xdr:col>
      <xdr:colOff>18858</xdr:colOff>
      <xdr:row>1</xdr:row>
      <xdr:rowOff>10885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BF6B4867-4CE5-4F80-9A92-B2666A9E1CD2}"/>
            </a:ext>
          </a:extLst>
        </xdr:cNvPr>
        <xdr:cNvGrpSpPr/>
      </xdr:nvGrpSpPr>
      <xdr:grpSpPr>
        <a:xfrm>
          <a:off x="12311742" y="10885"/>
          <a:ext cx="1118316" cy="772886"/>
          <a:chOff x="11105473" y="0"/>
          <a:chExt cx="1118289" cy="781538"/>
        </a:xfrm>
      </xdr:grpSpPr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DE830602-D687-4132-AFC2-698E46A0EF22}"/>
              </a:ext>
            </a:extLst>
          </xdr:cNvPr>
          <xdr:cNvSpPr/>
        </xdr:nvSpPr>
        <xdr:spPr>
          <a:xfrm>
            <a:off x="11140106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9" name="CaixaDeTexto 38">
            <a:extLst>
              <a:ext uri="{FF2B5EF4-FFF2-40B4-BE49-F238E27FC236}">
                <a16:creationId xmlns:a16="http://schemas.microsoft.com/office/drawing/2014/main" id="{107DBDAC-3C76-4097-8E0C-CA705FD5E7E3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</xdr:grpSp>
    <xdr:clientData/>
  </xdr:twoCellAnchor>
  <xdr:twoCellAnchor editAs="oneCell">
    <xdr:from>
      <xdr:col>20</xdr:col>
      <xdr:colOff>457200</xdr:colOff>
      <xdr:row>0</xdr:row>
      <xdr:rowOff>54429</xdr:rowOff>
    </xdr:from>
    <xdr:to>
      <xdr:col>21</xdr:col>
      <xdr:colOff>282314</xdr:colOff>
      <xdr:row>0</xdr:row>
      <xdr:rowOff>486364</xdr:rowOff>
    </xdr:to>
    <xdr:pic>
      <xdr:nvPicPr>
        <xdr:cNvPr id="40" name="Imagem 39" descr="Ícone do banco de dados (símbolo png) preto">
          <a:extLst>
            <a:ext uri="{FF2B5EF4-FFF2-40B4-BE49-F238E27FC236}">
              <a16:creationId xmlns:a16="http://schemas.microsoft.com/office/drawing/2014/main" id="{6F641C1A-7DDA-4D78-8BDC-BD8D1471C4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0" y="54429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2</xdr:col>
      <xdr:colOff>620806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CE1510D1-C515-4297-B687-B8CF32CF30BD}"/>
            </a:ext>
          </a:extLst>
        </xdr:cNvPr>
        <xdr:cNvGrpSpPr/>
      </xdr:nvGrpSpPr>
      <xdr:grpSpPr>
        <a:xfrm>
          <a:off x="0" y="1"/>
          <a:ext cx="1840006" cy="776175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8BE1DAA7-E1D5-432D-AA19-CBE7433C97C7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8C01CF50-7B1F-4427-A4B9-F934B27BF3D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2</xdr:col>
      <xdr:colOff>771523</xdr:colOff>
      <xdr:row>0</xdr:row>
      <xdr:rowOff>0</xdr:rowOff>
    </xdr:from>
    <xdr:to>
      <xdr:col>2</xdr:col>
      <xdr:colOff>1793141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E336F7-73E3-4A2C-A2D7-F5CC1C41F703}"/>
            </a:ext>
          </a:extLst>
        </xdr:cNvPr>
        <xdr:cNvGrpSpPr/>
      </xdr:nvGrpSpPr>
      <xdr:grpSpPr>
        <a:xfrm>
          <a:off x="1990723" y="0"/>
          <a:ext cx="1021618" cy="775855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E7FDF32A-3365-4F31-BA33-6AF95C46C1D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8152B44-53EF-4760-9883-9B46B158B3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D45DCF85-3116-48F5-A5C7-F8C8BFB4B328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1123191</xdr:colOff>
      <xdr:row>0</xdr:row>
      <xdr:rowOff>0</xdr:rowOff>
    </xdr:from>
    <xdr:to>
      <xdr:col>4</xdr:col>
      <xdr:colOff>775892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8B51B617-E485-4EAF-9016-B84CA4E8F42F}"/>
            </a:ext>
          </a:extLst>
        </xdr:cNvPr>
        <xdr:cNvGrpSpPr/>
      </xdr:nvGrpSpPr>
      <xdr:grpSpPr>
        <a:xfrm>
          <a:off x="4434427" y="0"/>
          <a:ext cx="1107429" cy="775855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C04119F0-A131-4648-82F5-AD0F87539F18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DFA3A6BD-2165-4661-991A-FA807E623CA3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1E88E0F-BF62-4F9D-96A4-1814542C52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1017350</xdr:colOff>
      <xdr:row>0</xdr:row>
      <xdr:rowOff>0</xdr:rowOff>
    </xdr:from>
    <xdr:to>
      <xdr:col>5</xdr:col>
      <xdr:colOff>813393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DB5CC63F-E91D-43E6-98F4-1C66C9BCBB66}"/>
            </a:ext>
          </a:extLst>
        </xdr:cNvPr>
        <xdr:cNvSpPr/>
      </xdr:nvSpPr>
      <xdr:spPr>
        <a:xfrm>
          <a:off x="5779850" y="0"/>
          <a:ext cx="1022863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990639</xdr:colOff>
      <xdr:row>0</xdr:row>
      <xdr:rowOff>514894</xdr:rowOff>
    </xdr:from>
    <xdr:to>
      <xdr:col>5</xdr:col>
      <xdr:colOff>873920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B34865D2-43CE-4305-8CDF-0FFACDE5CE2B}"/>
            </a:ext>
          </a:extLst>
        </xdr:cNvPr>
        <xdr:cNvSpPr txBox="1"/>
      </xdr:nvSpPr>
      <xdr:spPr>
        <a:xfrm rot="10800000" flipH="1" flipV="1">
          <a:off x="5753139" y="514894"/>
          <a:ext cx="1110101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5</xdr:col>
      <xdr:colOff>97092</xdr:colOff>
      <xdr:row>0</xdr:row>
      <xdr:rowOff>91651</xdr:rowOff>
    </xdr:from>
    <xdr:to>
      <xdr:col>5</xdr:col>
      <xdr:colOff>508217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684AF4E-EA15-4B18-BEAA-C7A1FFD119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86412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5</xdr:col>
      <xdr:colOff>1086695</xdr:colOff>
      <xdr:row>0</xdr:row>
      <xdr:rowOff>0</xdr:rowOff>
    </xdr:from>
    <xdr:to>
      <xdr:col>6</xdr:col>
      <xdr:colOff>23907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A4DCDDF5-FB45-4813-9300-AACAB8C7720E}"/>
            </a:ext>
          </a:extLst>
        </xdr:cNvPr>
        <xdr:cNvGrpSpPr/>
      </xdr:nvGrpSpPr>
      <xdr:grpSpPr>
        <a:xfrm>
          <a:off x="7085713" y="0"/>
          <a:ext cx="1112376" cy="775855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5E9CE89-7068-4D7A-8D9A-F76D4B84ABA6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BC8E124F-65A5-41A9-A199-1E0DC8F554BC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6A29550-45D0-46CC-B660-D82D432CAF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271253</xdr:colOff>
      <xdr:row>0</xdr:row>
      <xdr:rowOff>0</xdr:rowOff>
    </xdr:from>
    <xdr:to>
      <xdr:col>7</xdr:col>
      <xdr:colOff>183698</xdr:colOff>
      <xdr:row>1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C8EF58C0-96F2-4D6C-AB31-46C4BD6AECCE}"/>
            </a:ext>
          </a:extLst>
        </xdr:cNvPr>
        <xdr:cNvSpPr/>
      </xdr:nvSpPr>
      <xdr:spPr>
        <a:xfrm>
          <a:off x="8439893" y="0"/>
          <a:ext cx="1017345" cy="77724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236680</xdr:colOff>
      <xdr:row>0</xdr:row>
      <xdr:rowOff>509194</xdr:rowOff>
    </xdr:from>
    <xdr:to>
      <xdr:col>7</xdr:col>
      <xdr:colOff>244652</xdr:colOff>
      <xdr:row>0</xdr:row>
      <xdr:rowOff>760808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5E98C42A-DA94-4F22-B442-8D437EC2C206}"/>
            </a:ext>
          </a:extLst>
        </xdr:cNvPr>
        <xdr:cNvSpPr txBox="1"/>
      </xdr:nvSpPr>
      <xdr:spPr>
        <a:xfrm rot="10800000" flipH="1" flipV="1">
          <a:off x="8405320" y="509194"/>
          <a:ext cx="1112872" cy="2516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6</xdr:col>
      <xdr:colOff>578880</xdr:colOff>
      <xdr:row>0</xdr:row>
      <xdr:rowOff>90636</xdr:rowOff>
    </xdr:from>
    <xdr:to>
      <xdr:col>6</xdr:col>
      <xdr:colOff>984433</xdr:colOff>
      <xdr:row>0</xdr:row>
      <xdr:rowOff>489026</xdr:rowOff>
    </xdr:to>
    <xdr:pic>
      <xdr:nvPicPr>
        <xdr:cNvPr id="22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E29BFF6-340B-452D-B98A-DE323338F4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747520" y="90636"/>
          <a:ext cx="405553" cy="398390"/>
        </a:xfrm>
        <a:prstGeom prst="rect">
          <a:avLst/>
        </a:prstGeom>
      </xdr:spPr>
    </xdr:pic>
    <xdr:clientData/>
  </xdr:twoCellAnchor>
  <xdr:twoCellAnchor editAs="absolute">
    <xdr:from>
      <xdr:col>7</xdr:col>
      <xdr:colOff>456450</xdr:colOff>
      <xdr:row>0</xdr:row>
      <xdr:rowOff>0</xdr:rowOff>
    </xdr:from>
    <xdr:to>
      <xdr:col>8</xdr:col>
      <xdr:colOff>659362</xdr:colOff>
      <xdr:row>1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DBD07D09-FB0B-466A-90AC-FB548E432EFE}"/>
            </a:ext>
          </a:extLst>
        </xdr:cNvPr>
        <xdr:cNvGrpSpPr/>
      </xdr:nvGrpSpPr>
      <xdr:grpSpPr>
        <a:xfrm>
          <a:off x="9738995" y="0"/>
          <a:ext cx="1117312" cy="775855"/>
          <a:chOff x="977441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DC241A6B-B149-4846-9058-93F40627A468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D2225A0C-F528-41A6-94D0-22C03A630AF4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B8BB300-80AB-492F-9882-3B125CDC24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871150</xdr:colOff>
      <xdr:row>0</xdr:row>
      <xdr:rowOff>0</xdr:rowOff>
    </xdr:from>
    <xdr:to>
      <xdr:col>8</xdr:col>
      <xdr:colOff>1987486</xdr:colOff>
      <xdr:row>1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519DFBB9-8C3F-48FF-A011-9FF1FE905DC9}"/>
            </a:ext>
          </a:extLst>
        </xdr:cNvPr>
        <xdr:cNvGrpSpPr/>
      </xdr:nvGrpSpPr>
      <xdr:grpSpPr>
        <a:xfrm>
          <a:off x="11068095" y="0"/>
          <a:ext cx="1116336" cy="775855"/>
          <a:chOff x="1110547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75FBEB64-E448-46EB-AE93-8DA323C3CA8C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9097BFFB-D66B-4E10-A80C-A156CA38E2F9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6AEE5BC-58E6-49CE-8BD0-4FB32AA409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1907243</xdr:colOff>
      <xdr:row>0</xdr:row>
      <xdr:rowOff>0</xdr:rowOff>
    </xdr:from>
    <xdr:to>
      <xdr:col>3</xdr:col>
      <xdr:colOff>923612</xdr:colOff>
      <xdr:row>1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067B2CEC-5436-40CF-AAA4-F92983AF52B1}"/>
            </a:ext>
          </a:extLst>
        </xdr:cNvPr>
        <xdr:cNvGrpSpPr/>
      </xdr:nvGrpSpPr>
      <xdr:grpSpPr>
        <a:xfrm>
          <a:off x="3126443" y="0"/>
          <a:ext cx="1108405" cy="775855"/>
          <a:chOff x="3131328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80CD6873-770C-47FB-A03B-5C0B68013EAB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CC56E101-BAD8-49A6-83D8-5D4E2C053103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E9481D9-7F28-408B-9D7A-99DF6768AB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2</xdr:col>
      <xdr:colOff>621323</xdr:colOff>
      <xdr:row>0</xdr:row>
      <xdr:rowOff>762000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B4BB7BCC-5A96-4203-93FD-06EB3AB917F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8</xdr:col>
      <xdr:colOff>2095004</xdr:colOff>
      <xdr:row>0</xdr:row>
      <xdr:rowOff>10885</xdr:rowOff>
    </xdr:from>
    <xdr:to>
      <xdr:col>9</xdr:col>
      <xdr:colOff>999562</xdr:colOff>
      <xdr:row>1</xdr:row>
      <xdr:rowOff>10885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2895CD58-7FF8-4A35-8137-9C2BEDF13052}"/>
            </a:ext>
          </a:extLst>
        </xdr:cNvPr>
        <xdr:cNvGrpSpPr/>
      </xdr:nvGrpSpPr>
      <xdr:grpSpPr>
        <a:xfrm>
          <a:off x="12291949" y="10885"/>
          <a:ext cx="1121286" cy="775855"/>
          <a:chOff x="11105473" y="0"/>
          <a:chExt cx="1118289" cy="781538"/>
        </a:xfrm>
      </xdr:grpSpPr>
      <xdr:sp macro="" textlink="">
        <xdr:nvSpPr>
          <xdr:cNvPr id="37" name="Retângulo 36">
            <a:extLst>
              <a:ext uri="{FF2B5EF4-FFF2-40B4-BE49-F238E27FC236}">
                <a16:creationId xmlns:a16="http://schemas.microsoft.com/office/drawing/2014/main" id="{EB0312F4-A1F4-452D-A35C-FD308EF9685C}"/>
              </a:ext>
            </a:extLst>
          </xdr:cNvPr>
          <xdr:cNvSpPr/>
        </xdr:nvSpPr>
        <xdr:spPr>
          <a:xfrm>
            <a:off x="11140106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" name="CaixaDeTexto 37">
            <a:extLst>
              <a:ext uri="{FF2B5EF4-FFF2-40B4-BE49-F238E27FC236}">
                <a16:creationId xmlns:a16="http://schemas.microsoft.com/office/drawing/2014/main" id="{5F9E08AB-1CD4-4191-AB5C-2D67F648952F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</xdr:grpSp>
    <xdr:clientData/>
  </xdr:twoCellAnchor>
  <xdr:twoCellAnchor editAs="absolute">
    <xdr:from>
      <xdr:col>20</xdr:col>
      <xdr:colOff>457200</xdr:colOff>
      <xdr:row>0</xdr:row>
      <xdr:rowOff>54429</xdr:rowOff>
    </xdr:from>
    <xdr:to>
      <xdr:col>21</xdr:col>
      <xdr:colOff>282314</xdr:colOff>
      <xdr:row>0</xdr:row>
      <xdr:rowOff>486364</xdr:rowOff>
    </xdr:to>
    <xdr:pic>
      <xdr:nvPicPr>
        <xdr:cNvPr id="39" name="Imagem 38" descr="Ícone do banco de dados (símbolo png) preto">
          <a:extLst>
            <a:ext uri="{FF2B5EF4-FFF2-40B4-BE49-F238E27FC236}">
              <a16:creationId xmlns:a16="http://schemas.microsoft.com/office/drawing/2014/main" id="{4560FE13-C8C6-41EA-861E-494E0201FA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74600" y="54429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76202</xdr:rowOff>
    </xdr:from>
    <xdr:to>
      <xdr:col>2</xdr:col>
      <xdr:colOff>1314031</xdr:colOff>
      <xdr:row>1</xdr:row>
      <xdr:rowOff>504602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99B5529F-DF6C-4165-9C79-4E5F42C8CA36}"/>
            </a:ext>
          </a:extLst>
        </xdr:cNvPr>
        <xdr:cNvSpPr/>
      </xdr:nvSpPr>
      <xdr:spPr>
        <a:xfrm>
          <a:off x="609600" y="853442"/>
          <a:ext cx="1923631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2</xdr:col>
      <xdr:colOff>1829638</xdr:colOff>
      <xdr:row>1</xdr:row>
      <xdr:rowOff>76202</xdr:rowOff>
    </xdr:from>
    <xdr:to>
      <xdr:col>4</xdr:col>
      <xdr:colOff>176968</xdr:colOff>
      <xdr:row>1</xdr:row>
      <xdr:rowOff>504602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A217028C-45B4-42B7-89E2-B01ED3F30C52}"/>
            </a:ext>
          </a:extLst>
        </xdr:cNvPr>
        <xdr:cNvSpPr/>
      </xdr:nvSpPr>
      <xdr:spPr>
        <a:xfrm>
          <a:off x="3048838" y="853442"/>
          <a:ext cx="1890630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CADASTROS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16</xdr:col>
      <xdr:colOff>141515</xdr:colOff>
      <xdr:row>0</xdr:row>
      <xdr:rowOff>87086</xdr:rowOff>
    </xdr:from>
    <xdr:to>
      <xdr:col>16</xdr:col>
      <xdr:colOff>576229</xdr:colOff>
      <xdr:row>0</xdr:row>
      <xdr:rowOff>519021</xdr:rowOff>
    </xdr:to>
    <xdr:pic>
      <xdr:nvPicPr>
        <xdr:cNvPr id="42" name="Imagem 41" descr="Ícone do banco de dados (símbolo png) preto">
          <a:extLst>
            <a:ext uri="{FF2B5EF4-FFF2-40B4-BE49-F238E27FC236}">
              <a16:creationId xmlns:a16="http://schemas.microsoft.com/office/drawing/2014/main" id="{8BB8C4B7-1601-4E05-AA8F-D145AA5CC5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620515" y="87086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734288</xdr:colOff>
      <xdr:row>1</xdr:row>
      <xdr:rowOff>69275</xdr:rowOff>
    </xdr:from>
    <xdr:to>
      <xdr:col>5</xdr:col>
      <xdr:colOff>1395328</xdr:colOff>
      <xdr:row>1</xdr:row>
      <xdr:rowOff>497675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19EAA2F4-5728-4058-A186-ED7764D4FECB}"/>
            </a:ext>
          </a:extLst>
        </xdr:cNvPr>
        <xdr:cNvSpPr/>
      </xdr:nvSpPr>
      <xdr:spPr>
        <a:xfrm>
          <a:off x="5496788" y="846515"/>
          <a:ext cx="1887860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CADASTROS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9</xdr:col>
      <xdr:colOff>221673</xdr:colOff>
      <xdr:row>0</xdr:row>
      <xdr:rowOff>83125</xdr:rowOff>
    </xdr:from>
    <xdr:to>
      <xdr:col>9</xdr:col>
      <xdr:colOff>656387</xdr:colOff>
      <xdr:row>0</xdr:row>
      <xdr:rowOff>515060</xdr:rowOff>
    </xdr:to>
    <xdr:pic>
      <xdr:nvPicPr>
        <xdr:cNvPr id="44" name="Imagem 43" descr="Ícone do banco de dados (símbolo png) preto">
          <a:extLst>
            <a:ext uri="{FF2B5EF4-FFF2-40B4-BE49-F238E27FC236}">
              <a16:creationId xmlns:a16="http://schemas.microsoft.com/office/drawing/2014/main" id="{4A7283AC-8639-4A9B-994E-CBD641123B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19413" y="83125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2</xdr:col>
      <xdr:colOff>620806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7456558F-FC13-4D13-9EFC-541488B4C420}"/>
            </a:ext>
          </a:extLst>
        </xdr:cNvPr>
        <xdr:cNvGrpSpPr/>
      </xdr:nvGrpSpPr>
      <xdr:grpSpPr>
        <a:xfrm>
          <a:off x="0" y="1"/>
          <a:ext cx="1840006" cy="776175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CFFE75C7-FB6B-4FC4-8E3B-9AAEF7A53938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40248076-0E84-4314-B12B-05143A8DF3C9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2</xdr:col>
      <xdr:colOff>771523</xdr:colOff>
      <xdr:row>0</xdr:row>
      <xdr:rowOff>0</xdr:rowOff>
    </xdr:from>
    <xdr:to>
      <xdr:col>3</xdr:col>
      <xdr:colOff>366123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A38EC471-FE5D-4722-A2AD-811864D2C5CF}"/>
            </a:ext>
          </a:extLst>
        </xdr:cNvPr>
        <xdr:cNvGrpSpPr/>
      </xdr:nvGrpSpPr>
      <xdr:grpSpPr>
        <a:xfrm>
          <a:off x="1990723" y="0"/>
          <a:ext cx="1021618" cy="775855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E4C90DAB-9A93-441B-85BD-37B01FD93FF6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CE738E1-EECB-4F76-AC13-7E33897867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54CB65FC-B90C-4DF1-BC39-9B0969EA166B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1788209</xdr:colOff>
      <xdr:row>0</xdr:row>
      <xdr:rowOff>0</xdr:rowOff>
    </xdr:from>
    <xdr:to>
      <xdr:col>4</xdr:col>
      <xdr:colOff>969856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2A3E60AB-1EEE-4C80-8834-2E3678E513EE}"/>
            </a:ext>
          </a:extLst>
        </xdr:cNvPr>
        <xdr:cNvGrpSpPr/>
      </xdr:nvGrpSpPr>
      <xdr:grpSpPr>
        <a:xfrm>
          <a:off x="4434427" y="0"/>
          <a:ext cx="1107429" cy="775855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10FAAC88-7926-47AF-89DB-994ADD9D2F65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FE107038-55AC-4BED-B007-3BD07F9FBFB9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8541983-FB1F-45B4-A2BB-28B3DAB58E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1211314</xdr:colOff>
      <xdr:row>0</xdr:row>
      <xdr:rowOff>0</xdr:rowOff>
    </xdr:from>
    <xdr:to>
      <xdr:col>5</xdr:col>
      <xdr:colOff>771829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7AEFD873-964C-47D2-A133-A2BCF35F1890}"/>
            </a:ext>
          </a:extLst>
        </xdr:cNvPr>
        <xdr:cNvSpPr/>
      </xdr:nvSpPr>
      <xdr:spPr>
        <a:xfrm>
          <a:off x="5783314" y="0"/>
          <a:ext cx="1023555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1184603</xdr:colOff>
      <xdr:row>0</xdr:row>
      <xdr:rowOff>514894</xdr:rowOff>
    </xdr:from>
    <xdr:to>
      <xdr:col>5</xdr:col>
      <xdr:colOff>832356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101945E0-53CB-4A5A-97FF-F28249A51FA0}"/>
            </a:ext>
          </a:extLst>
        </xdr:cNvPr>
        <xdr:cNvSpPr txBox="1"/>
      </xdr:nvSpPr>
      <xdr:spPr>
        <a:xfrm rot="10800000" flipH="1" flipV="1">
          <a:off x="5756603" y="514894"/>
          <a:ext cx="1110793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5</xdr:col>
      <xdr:colOff>55528</xdr:colOff>
      <xdr:row>0</xdr:row>
      <xdr:rowOff>91651</xdr:rowOff>
    </xdr:from>
    <xdr:to>
      <xdr:col>5</xdr:col>
      <xdr:colOff>466653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99B481A-4EFE-4F09-AE7B-B1C73430B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90568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5</xdr:col>
      <xdr:colOff>1045131</xdr:colOff>
      <xdr:row>0</xdr:row>
      <xdr:rowOff>0</xdr:rowOff>
    </xdr:from>
    <xdr:to>
      <xdr:col>6</xdr:col>
      <xdr:colOff>37762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BF48A10A-AB9F-415C-BAD0-D6C29D4D0862}"/>
            </a:ext>
          </a:extLst>
        </xdr:cNvPr>
        <xdr:cNvGrpSpPr/>
      </xdr:nvGrpSpPr>
      <xdr:grpSpPr>
        <a:xfrm>
          <a:off x="7085713" y="0"/>
          <a:ext cx="1112376" cy="775855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4803E59B-DF3F-49E4-95F3-C6E4A4BCFAD7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8CF038F0-9E87-4A19-A7F2-1820C8A4E8A9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91C6514-D332-404F-9720-FED0E9D534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285108</xdr:colOff>
      <xdr:row>0</xdr:row>
      <xdr:rowOff>0</xdr:rowOff>
    </xdr:from>
    <xdr:to>
      <xdr:col>6</xdr:col>
      <xdr:colOff>1305916</xdr:colOff>
      <xdr:row>1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88EDC41D-E704-4D8E-859A-37BB5BA8726B}"/>
            </a:ext>
          </a:extLst>
        </xdr:cNvPr>
        <xdr:cNvSpPr/>
      </xdr:nvSpPr>
      <xdr:spPr>
        <a:xfrm>
          <a:off x="8446128" y="0"/>
          <a:ext cx="1020808" cy="77724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250535</xdr:colOff>
      <xdr:row>0</xdr:row>
      <xdr:rowOff>509194</xdr:rowOff>
    </xdr:from>
    <xdr:to>
      <xdr:col>6</xdr:col>
      <xdr:colOff>1366870</xdr:colOff>
      <xdr:row>0</xdr:row>
      <xdr:rowOff>760808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C4D0D4AB-2679-4BCA-9F1D-7E0E06EA6028}"/>
            </a:ext>
          </a:extLst>
        </xdr:cNvPr>
        <xdr:cNvSpPr txBox="1"/>
      </xdr:nvSpPr>
      <xdr:spPr>
        <a:xfrm rot="10800000" flipH="1" flipV="1">
          <a:off x="8411555" y="509194"/>
          <a:ext cx="1116335" cy="2516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6</xdr:col>
      <xdr:colOff>592735</xdr:colOff>
      <xdr:row>0</xdr:row>
      <xdr:rowOff>90636</xdr:rowOff>
    </xdr:from>
    <xdr:to>
      <xdr:col>6</xdr:col>
      <xdr:colOff>998288</xdr:colOff>
      <xdr:row>0</xdr:row>
      <xdr:rowOff>489026</xdr:rowOff>
    </xdr:to>
    <xdr:pic>
      <xdr:nvPicPr>
        <xdr:cNvPr id="22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AAC41CB-E572-483D-8E2E-E46B89F4C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753755" y="90636"/>
          <a:ext cx="405553" cy="398390"/>
        </a:xfrm>
        <a:prstGeom prst="rect">
          <a:avLst/>
        </a:prstGeom>
      </xdr:spPr>
    </xdr:pic>
    <xdr:clientData/>
  </xdr:twoCellAnchor>
  <xdr:twoCellAnchor editAs="absolute">
    <xdr:from>
      <xdr:col>6</xdr:col>
      <xdr:colOff>1578668</xdr:colOff>
      <xdr:row>0</xdr:row>
      <xdr:rowOff>0</xdr:rowOff>
    </xdr:from>
    <xdr:to>
      <xdr:col>7</xdr:col>
      <xdr:colOff>451543</xdr:colOff>
      <xdr:row>1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156B1873-D9DF-49A3-9B2E-FE29F269954C}"/>
            </a:ext>
          </a:extLst>
        </xdr:cNvPr>
        <xdr:cNvGrpSpPr/>
      </xdr:nvGrpSpPr>
      <xdr:grpSpPr>
        <a:xfrm>
          <a:off x="9738995" y="0"/>
          <a:ext cx="1117312" cy="775855"/>
          <a:chOff x="977441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A7721EF8-3CAF-4453-A01C-1BC229882E50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EE1D520D-036F-44A7-A12E-0D66D47F98F5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7AFCF5F-7CDB-4D74-BD61-CA818AAACA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663331</xdr:colOff>
      <xdr:row>0</xdr:row>
      <xdr:rowOff>0</xdr:rowOff>
    </xdr:from>
    <xdr:to>
      <xdr:col>8</xdr:col>
      <xdr:colOff>130976</xdr:colOff>
      <xdr:row>1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FF24CE22-321B-42BE-8EFA-F0B9267B8D6C}"/>
            </a:ext>
          </a:extLst>
        </xdr:cNvPr>
        <xdr:cNvGrpSpPr/>
      </xdr:nvGrpSpPr>
      <xdr:grpSpPr>
        <a:xfrm>
          <a:off x="11068095" y="0"/>
          <a:ext cx="1116336" cy="775855"/>
          <a:chOff x="1110547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62412243-A2CE-48C1-97EA-C003BB7A6A71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8AEFC8E7-03D7-4B78-BF25-2AF17F09888B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64654FD3-F447-4FF6-877F-D413D8EE75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480225</xdr:colOff>
      <xdr:row>0</xdr:row>
      <xdr:rowOff>0</xdr:rowOff>
    </xdr:from>
    <xdr:to>
      <xdr:col>3</xdr:col>
      <xdr:colOff>1588630</xdr:colOff>
      <xdr:row>1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1368A891-E816-4FF2-BA22-70E7F55A8AC1}"/>
            </a:ext>
          </a:extLst>
        </xdr:cNvPr>
        <xdr:cNvGrpSpPr/>
      </xdr:nvGrpSpPr>
      <xdr:grpSpPr>
        <a:xfrm>
          <a:off x="3126443" y="0"/>
          <a:ext cx="1108405" cy="775855"/>
          <a:chOff x="3131328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D4F774BF-B59E-4AD3-8B96-3C21275DE1FC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F1EAD7DB-49DD-40FF-9247-792656087A04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66ED808-8E7C-43BB-B082-46A39232BB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2</xdr:col>
      <xdr:colOff>621323</xdr:colOff>
      <xdr:row>0</xdr:row>
      <xdr:rowOff>762000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3815E429-FE20-4F00-B145-E08B3E4CB171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8</xdr:col>
      <xdr:colOff>238494</xdr:colOff>
      <xdr:row>0</xdr:row>
      <xdr:rowOff>10885</xdr:rowOff>
    </xdr:from>
    <xdr:to>
      <xdr:col>8</xdr:col>
      <xdr:colOff>1359780</xdr:colOff>
      <xdr:row>1</xdr:row>
      <xdr:rowOff>10885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6FF2387F-CA9C-415A-88B4-12D15590215B}"/>
            </a:ext>
          </a:extLst>
        </xdr:cNvPr>
        <xdr:cNvGrpSpPr/>
      </xdr:nvGrpSpPr>
      <xdr:grpSpPr>
        <a:xfrm>
          <a:off x="12291949" y="10885"/>
          <a:ext cx="1121286" cy="775855"/>
          <a:chOff x="11105473" y="0"/>
          <a:chExt cx="1118289" cy="781538"/>
        </a:xfrm>
      </xdr:grpSpPr>
      <xdr:sp macro="" textlink="">
        <xdr:nvSpPr>
          <xdr:cNvPr id="37" name="Retângulo 36">
            <a:extLst>
              <a:ext uri="{FF2B5EF4-FFF2-40B4-BE49-F238E27FC236}">
                <a16:creationId xmlns:a16="http://schemas.microsoft.com/office/drawing/2014/main" id="{4D221F81-FED6-47E7-B80C-2D50CAEEFB7E}"/>
              </a:ext>
            </a:extLst>
          </xdr:cNvPr>
          <xdr:cNvSpPr/>
        </xdr:nvSpPr>
        <xdr:spPr>
          <a:xfrm>
            <a:off x="11140106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" name="CaixaDeTexto 37">
            <a:extLst>
              <a:ext uri="{FF2B5EF4-FFF2-40B4-BE49-F238E27FC236}">
                <a16:creationId xmlns:a16="http://schemas.microsoft.com/office/drawing/2014/main" id="{8C815A83-B377-499C-9EC1-FE1F9BB77EE9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</xdr:grpSp>
    <xdr:clientData/>
  </xdr:twoCellAnchor>
  <xdr:twoCellAnchor editAs="absolute">
    <xdr:from>
      <xdr:col>20</xdr:col>
      <xdr:colOff>457200</xdr:colOff>
      <xdr:row>0</xdr:row>
      <xdr:rowOff>54429</xdr:rowOff>
    </xdr:from>
    <xdr:to>
      <xdr:col>21</xdr:col>
      <xdr:colOff>282314</xdr:colOff>
      <xdr:row>0</xdr:row>
      <xdr:rowOff>486364</xdr:rowOff>
    </xdr:to>
    <xdr:pic>
      <xdr:nvPicPr>
        <xdr:cNvPr id="39" name="Imagem 38" descr="Ícone do banco de dados (símbolo png) preto">
          <a:extLst>
            <a:ext uri="{FF2B5EF4-FFF2-40B4-BE49-F238E27FC236}">
              <a16:creationId xmlns:a16="http://schemas.microsoft.com/office/drawing/2014/main" id="{849C5619-F4B2-4675-9D81-D17070BA11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266140" y="54429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76202</xdr:rowOff>
    </xdr:from>
    <xdr:to>
      <xdr:col>2</xdr:col>
      <xdr:colOff>1314031</xdr:colOff>
      <xdr:row>1</xdr:row>
      <xdr:rowOff>504602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7964A4F8-D30E-4692-9776-57F6CCE79F28}"/>
            </a:ext>
          </a:extLst>
        </xdr:cNvPr>
        <xdr:cNvSpPr/>
      </xdr:nvSpPr>
      <xdr:spPr>
        <a:xfrm>
          <a:off x="609600" y="853442"/>
          <a:ext cx="1923631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3</xdr:col>
      <xdr:colOff>403112</xdr:colOff>
      <xdr:row>1</xdr:row>
      <xdr:rowOff>76202</xdr:rowOff>
    </xdr:from>
    <xdr:to>
      <xdr:col>4</xdr:col>
      <xdr:colOff>371424</xdr:colOff>
      <xdr:row>1</xdr:row>
      <xdr:rowOff>504602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A0A0BE1D-ACE7-4E70-92A5-6D89EBBD764B}"/>
            </a:ext>
          </a:extLst>
        </xdr:cNvPr>
        <xdr:cNvSpPr/>
      </xdr:nvSpPr>
      <xdr:spPr>
        <a:xfrm>
          <a:off x="3054872" y="853442"/>
          <a:ext cx="1888552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CADASTROS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16</xdr:col>
      <xdr:colOff>141515</xdr:colOff>
      <xdr:row>0</xdr:row>
      <xdr:rowOff>87086</xdr:rowOff>
    </xdr:from>
    <xdr:to>
      <xdr:col>16</xdr:col>
      <xdr:colOff>576229</xdr:colOff>
      <xdr:row>0</xdr:row>
      <xdr:rowOff>519021</xdr:rowOff>
    </xdr:to>
    <xdr:pic>
      <xdr:nvPicPr>
        <xdr:cNvPr id="42" name="Imagem 41" descr="Ícone do banco de dados (símbolo png) preto">
          <a:extLst>
            <a:ext uri="{FF2B5EF4-FFF2-40B4-BE49-F238E27FC236}">
              <a16:creationId xmlns:a16="http://schemas.microsoft.com/office/drawing/2014/main" id="{C4B25696-E396-429C-B3A8-349F04B366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12055" y="87086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929087</xdr:colOff>
      <xdr:row>1</xdr:row>
      <xdr:rowOff>76202</xdr:rowOff>
    </xdr:from>
    <xdr:to>
      <xdr:col>5</xdr:col>
      <xdr:colOff>1354599</xdr:colOff>
      <xdr:row>1</xdr:row>
      <xdr:rowOff>504602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A8538D96-A7A8-4C6A-BCD1-BEAA8DFF8F9C}"/>
            </a:ext>
          </a:extLst>
        </xdr:cNvPr>
        <xdr:cNvSpPr/>
      </xdr:nvSpPr>
      <xdr:spPr>
        <a:xfrm>
          <a:off x="5501087" y="853442"/>
          <a:ext cx="1888552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MONETÁRIO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8</xdr:col>
      <xdr:colOff>581891</xdr:colOff>
      <xdr:row>0</xdr:row>
      <xdr:rowOff>83129</xdr:rowOff>
    </xdr:from>
    <xdr:to>
      <xdr:col>8</xdr:col>
      <xdr:colOff>1016605</xdr:colOff>
      <xdr:row>0</xdr:row>
      <xdr:rowOff>515064</xdr:rowOff>
    </xdr:to>
    <xdr:pic>
      <xdr:nvPicPr>
        <xdr:cNvPr id="44" name="Imagem 43" descr="Ícone do banco de dados (símbolo png) preto">
          <a:extLst>
            <a:ext uri="{FF2B5EF4-FFF2-40B4-BE49-F238E27FC236}">
              <a16:creationId xmlns:a16="http://schemas.microsoft.com/office/drawing/2014/main" id="{394BD90E-DB27-4CDF-BA4C-0FC385AFCA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29111" y="83129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OVO_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RP_13_11%20(BD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Setor_Modelo"/>
      <sheetName val="Produção"/>
      <sheetName val="NOVO"/>
      <sheetName val="N_PROD"/>
      <sheetName val="N_LOGISTICA"/>
      <sheetName val="Produção_Requisições"/>
      <sheetName val="Produção_Equipes"/>
      <sheetName val="Prod_Lanç"/>
      <sheetName val="Produção_BD"/>
      <sheetName val="Estoque"/>
      <sheetName val="Estoque_Prod"/>
      <sheetName val="Estoque_Pedidos"/>
      <sheetName val="Lógistica"/>
      <sheetName val="Lógistica_Cadastro_Clientes"/>
      <sheetName val="Lógistica_Cadastro_Tabela"/>
      <sheetName val="Lógistica_Veiculos_Parceiros"/>
      <sheetName val="Lógistica_Cronograma_Entregas"/>
      <sheetName val="Lógistica_Frete_Custos"/>
      <sheetName val="Lógistica_Relatorio_Entregas"/>
      <sheetName val="Lógistica_Estoque_Transporte"/>
      <sheetName val="Recursos Humanos"/>
      <sheetName val="Finanças"/>
      <sheetName val="Finanças_Custos"/>
      <sheetName val="Venda"/>
      <sheetName val="Compra"/>
      <sheetName val="Compra_CadFor"/>
      <sheetName val="Compra_Solict"/>
      <sheetName val="Compra_ControleProd"/>
      <sheetName val="Vendas_Cadastro_Clientes1"/>
      <sheetName val="Vendas_Cadastro_Clientes2"/>
      <sheetName val="Vendas_Controle_Vendas1"/>
      <sheetName val="Vendas_Controle_Vendas2"/>
      <sheetName val="Vendas_MetasVendas1"/>
      <sheetName val="Vendas_MetasVendas2"/>
      <sheetName val="NOVO_2"/>
    </sheetNames>
    <definedNames>
      <definedName name="REQ_MP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O"/>
      <sheetName val="N_PRODHOME"/>
      <sheetName val="N_PRODREQ"/>
      <sheetName val="N_ EQUIPES"/>
      <sheetName val="N_PRODLANC"/>
      <sheetName val="N_PRODGRAF "/>
      <sheetName val="BANCO DE DADOS"/>
      <sheetName val="N_LOGCLIENTES"/>
      <sheetName val="N_LOGVEIC"/>
      <sheetName val="N_LOGCRON"/>
      <sheetName val="N_LOGFRETE"/>
      <sheetName val="N_LOGRELAT"/>
      <sheetName val="N_LOGRASTR"/>
      <sheetName val="N_ESTQSAÍDAS"/>
      <sheetName val="N_ESTQENTRAD"/>
      <sheetName val="N_RHCONTRATAÇÃO"/>
      <sheetName val="N_CADASTRAR"/>
      <sheetName val="N_RHFOLHA"/>
      <sheetName val="N_RHREF "/>
      <sheetName val="N_VCLIENTES"/>
      <sheetName val="N_VCONTROLE"/>
      <sheetName val="N_VMETAS"/>
      <sheetName val="V_REL_VEN"/>
      <sheetName val="V_REL_MET"/>
      <sheetName val="N_CCADASTROF"/>
      <sheetName val="N_PROCFOR"/>
      <sheetName val="N_CMP"/>
      <sheetName val="N_CSOLICITAR"/>
      <sheetName val="N_CREALIZARP"/>
      <sheetName val="N_CUSTOFIXOEVARIAVEL"/>
      <sheetName val="N_DRE"/>
      <sheetName val="N_VALORESPRODUTOS"/>
      <sheetName val="BD_CADAS"/>
      <sheetName val="BD_CADAS (2)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C7" t="str">
            <v>QUEIJO MEIA CURA</v>
          </cell>
          <cell r="D7">
            <v>100</v>
          </cell>
        </row>
        <row r="8">
          <cell r="C8" t="str">
            <v>QUEIJO MINAS</v>
          </cell>
          <cell r="D8">
            <v>200</v>
          </cell>
        </row>
        <row r="9">
          <cell r="C9" t="str">
            <v>QUEIJO COALHO</v>
          </cell>
          <cell r="D9">
            <v>300</v>
          </cell>
        </row>
        <row r="10">
          <cell r="C10" t="str">
            <v>QUEIJO MUSSARELA</v>
          </cell>
          <cell r="D10">
            <v>400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a:spPr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hyperlink" Target="mailto:beatriz@email.com" TargetMode="External"/><Relationship Id="rId3" Type="http://schemas.openxmlformats.org/officeDocument/2006/relationships/hyperlink" Target="mailto:andr&#233;a.melo29@email.com" TargetMode="External"/><Relationship Id="rId7" Type="http://schemas.openxmlformats.org/officeDocument/2006/relationships/hyperlink" Target="mailto:carlos@email.com" TargetMode="External"/><Relationship Id="rId2" Type="http://schemas.openxmlformats.org/officeDocument/2006/relationships/hyperlink" Target="mailto:julia.martins56@email.com" TargetMode="External"/><Relationship Id="rId1" Type="http://schemas.openxmlformats.org/officeDocument/2006/relationships/hyperlink" Target="mailto:andr&#233;a.melo29@email.com" TargetMode="External"/><Relationship Id="rId6" Type="http://schemas.openxmlformats.org/officeDocument/2006/relationships/hyperlink" Target="mailto:ana@email.com" TargetMode="External"/><Relationship Id="rId5" Type="http://schemas.openxmlformats.org/officeDocument/2006/relationships/hyperlink" Target="mailto:jaoa@email.com" TargetMode="External"/><Relationship Id="rId10" Type="http://schemas.openxmlformats.org/officeDocument/2006/relationships/drawing" Target="../drawings/drawing32.xml"/><Relationship Id="rId4" Type="http://schemas.openxmlformats.org/officeDocument/2006/relationships/hyperlink" Target="mailto:claudia.rodrigues67@email.com" TargetMode="External"/><Relationship Id="rId9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0311B-1A00-407A-B3C8-C8A1D0AB8E96}">
  <sheetPr codeName="Planilha1">
    <tabColor rgb="FFFF0000"/>
  </sheetPr>
  <dimension ref="A1:AW77"/>
  <sheetViews>
    <sheetView zoomScale="40" zoomScaleNormal="40" workbookViewId="0">
      <selection activeCell="AW53" sqref="AW53"/>
    </sheetView>
  </sheetViews>
  <sheetFormatPr defaultColWidth="8.88671875" defaultRowHeight="14.4" zeroHeight="1" x14ac:dyDescent="0.3"/>
  <cols>
    <col min="1" max="25" width="8.88671875" customWidth="1"/>
    <col min="26" max="43" width="8.88671875" style="178" customWidth="1"/>
    <col min="44" max="48" width="8.88671875" customWidth="1"/>
    <col min="49" max="49" width="105.77734375" customWidth="1"/>
    <col min="50" max="16383" width="0" hidden="1" customWidth="1"/>
    <col min="16384" max="16384" width="84.77734375" customWidth="1"/>
  </cols>
  <sheetData>
    <row r="1" spans="1:49" ht="61.5" customHeight="1" x14ac:dyDescent="0.3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</row>
    <row r="2" spans="1:49" ht="46.2" customHeight="1" x14ac:dyDescent="0.5">
      <c r="A2" s="365" t="s">
        <v>0</v>
      </c>
      <c r="B2" s="365"/>
      <c r="C2" s="365"/>
      <c r="D2" s="365"/>
      <c r="E2" s="365"/>
      <c r="F2" s="365"/>
      <c r="G2" s="365"/>
      <c r="H2" s="365"/>
      <c r="I2" s="365"/>
      <c r="J2" s="365"/>
      <c r="K2" s="365"/>
      <c r="L2" s="365"/>
      <c r="M2" s="365"/>
      <c r="N2" s="365"/>
      <c r="O2" s="365"/>
      <c r="P2" s="365"/>
      <c r="Q2" s="365"/>
      <c r="R2" s="365"/>
      <c r="S2" s="365"/>
      <c r="T2" s="365"/>
      <c r="U2" s="365"/>
      <c r="V2" s="365"/>
      <c r="W2" s="365"/>
      <c r="X2" s="365"/>
      <c r="Y2" s="365"/>
      <c r="Z2" s="365"/>
      <c r="AA2" s="365"/>
      <c r="AB2" s="365"/>
      <c r="AC2" s="365"/>
      <c r="AD2" s="365"/>
      <c r="AE2" s="365"/>
      <c r="AF2" s="365"/>
      <c r="AG2" s="365"/>
      <c r="AH2" s="365"/>
      <c r="AI2" s="365"/>
      <c r="AJ2" s="365"/>
      <c r="AK2" s="365"/>
      <c r="AL2" s="365"/>
      <c r="AM2" s="365"/>
      <c r="AN2" s="365"/>
      <c r="AO2" s="365"/>
      <c r="AP2" s="365"/>
      <c r="AQ2" s="365"/>
      <c r="AR2" s="365"/>
      <c r="AS2" s="365"/>
      <c r="AT2" s="365"/>
      <c r="AU2" s="365"/>
      <c r="AV2" s="365"/>
      <c r="AW2" s="365"/>
    </row>
    <row r="3" spans="1:49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</row>
    <row r="4" spans="1:49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</row>
    <row r="5" spans="1:49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</row>
    <row r="6" spans="1:49" x14ac:dyDescent="0.3">
      <c r="A6" s="23"/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</row>
    <row r="7" spans="1:49" x14ac:dyDescent="0.3">
      <c r="A7" s="23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</row>
    <row r="8" spans="1:49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</row>
    <row r="9" spans="1:49" x14ac:dyDescent="0.3">
      <c r="A9" s="23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</row>
    <row r="10" spans="1:49" x14ac:dyDescent="0.3">
      <c r="A10" s="23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</row>
    <row r="11" spans="1:49" x14ac:dyDescent="0.3">
      <c r="A11" s="2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</row>
    <row r="12" spans="1:49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</row>
    <row r="13" spans="1:49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</row>
    <row r="14" spans="1:49" x14ac:dyDescent="0.3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</row>
    <row r="15" spans="1:49" x14ac:dyDescent="0.3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</row>
    <row r="16" spans="1:49" x14ac:dyDescent="0.3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</row>
    <row r="17" spans="1:49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</row>
    <row r="18" spans="1:49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</row>
    <row r="19" spans="1:49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</row>
    <row r="20" spans="1:49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</row>
    <row r="21" spans="1:49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</row>
    <row r="22" spans="1:49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</row>
    <row r="23" spans="1:49" x14ac:dyDescent="0.3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</row>
    <row r="24" spans="1:49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</row>
    <row r="25" spans="1:49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</row>
    <row r="26" spans="1:49" x14ac:dyDescent="0.3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</row>
    <row r="27" spans="1:49" x14ac:dyDescent="0.3">
      <c r="A27" s="23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</row>
    <row r="28" spans="1:49" x14ac:dyDescent="0.3">
      <c r="A28" s="23"/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</row>
    <row r="29" spans="1:49" x14ac:dyDescent="0.3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</row>
    <row r="30" spans="1:49" x14ac:dyDescent="0.3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</row>
    <row r="31" spans="1:49" x14ac:dyDescent="0.3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</row>
    <row r="32" spans="1:49" x14ac:dyDescent="0.3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</row>
    <row r="33" spans="1:49" x14ac:dyDescent="0.3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</row>
    <row r="34" spans="1:49" x14ac:dyDescent="0.3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</row>
    <row r="35" spans="1:49" x14ac:dyDescent="0.3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</row>
    <row r="36" spans="1:49" x14ac:dyDescent="0.3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</row>
    <row r="37" spans="1:49" x14ac:dyDescent="0.3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</row>
    <row r="38" spans="1:49" x14ac:dyDescent="0.3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</row>
    <row r="39" spans="1:49" x14ac:dyDescent="0.3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</row>
    <row r="40" spans="1:49" x14ac:dyDescent="0.3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</row>
    <row r="41" spans="1:49" x14ac:dyDescent="0.3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</row>
    <row r="42" spans="1:49" x14ac:dyDescent="0.3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</row>
    <row r="43" spans="1:49" x14ac:dyDescent="0.3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</row>
    <row r="44" spans="1:49" x14ac:dyDescent="0.3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</row>
    <row r="45" spans="1:49" x14ac:dyDescent="0.3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</row>
    <row r="46" spans="1:49" x14ac:dyDescent="0.3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</row>
    <row r="47" spans="1:49" x14ac:dyDescent="0.3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</row>
    <row r="48" spans="1:49" x14ac:dyDescent="0.3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</row>
    <row r="49" spans="1:49" x14ac:dyDescent="0.3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</row>
    <row r="50" spans="1:49" s="178" customFormat="1" x14ac:dyDescent="0.3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</row>
    <row r="51" spans="1:49" s="178" customFormat="1" x14ac:dyDescent="0.3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</row>
    <row r="52" spans="1:49" s="178" customFormat="1" x14ac:dyDescent="0.3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</row>
    <row r="53" spans="1:49" s="178" customFormat="1" x14ac:dyDescent="0.3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</row>
    <row r="54" spans="1:49" s="178" customFormat="1" x14ac:dyDescent="0.3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</row>
    <row r="55" spans="1:49" s="178" customFormat="1" x14ac:dyDescent="0.3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</row>
    <row r="56" spans="1:49" s="178" customFormat="1" x14ac:dyDescent="0.3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</row>
    <row r="57" spans="1:49" s="178" customFormat="1" x14ac:dyDescent="0.3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</row>
    <row r="58" spans="1:49" s="178" customFormat="1" x14ac:dyDescent="0.3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</row>
    <row r="59" spans="1:49" s="178" customFormat="1" x14ac:dyDescent="0.3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</row>
    <row r="60" spans="1:49" s="178" customFormat="1" x14ac:dyDescent="0.3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</row>
    <row r="61" spans="1:49" s="178" customFormat="1" x14ac:dyDescent="0.3">
      <c r="A61" s="23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</row>
    <row r="62" spans="1:49" s="178" customFormat="1" x14ac:dyDescent="0.3">
      <c r="A62" s="23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</row>
    <row r="63" spans="1:49" s="178" customFormat="1" x14ac:dyDescent="0.3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</row>
    <row r="64" spans="1:49" s="178" customFormat="1" x14ac:dyDescent="0.3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</row>
    <row r="65" spans="1:49" s="178" customFormat="1" x14ac:dyDescent="0.3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3"/>
      <c r="AW65" s="23"/>
    </row>
    <row r="66" spans="1:49" s="178" customFormat="1" x14ac:dyDescent="0.3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3"/>
      <c r="AW66" s="23"/>
    </row>
    <row r="67" spans="1:49" s="178" customFormat="1" x14ac:dyDescent="0.3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3"/>
      <c r="AW67" s="23"/>
    </row>
    <row r="68" spans="1:49" s="178" customFormat="1" x14ac:dyDescent="0.3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3"/>
      <c r="AW68" s="23"/>
    </row>
    <row r="69" spans="1:49" s="178" customFormat="1" x14ac:dyDescent="0.3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23"/>
      <c r="AW69" s="23"/>
    </row>
    <row r="70" spans="1:49" s="178" customFormat="1" x14ac:dyDescent="0.3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3"/>
      <c r="AW70" s="23"/>
    </row>
    <row r="71" spans="1:49" s="178" customFormat="1" x14ac:dyDescent="0.3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3"/>
      <c r="AW71" s="23"/>
    </row>
    <row r="72" spans="1:49" s="178" customFormat="1" x14ac:dyDescent="0.3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3"/>
      <c r="AW72" s="23"/>
    </row>
    <row r="73" spans="1:49" s="178" customFormat="1" x14ac:dyDescent="0.3">
      <c r="A73" s="23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3"/>
      <c r="AW73" s="23"/>
    </row>
    <row r="74" spans="1:49" s="178" customFormat="1" x14ac:dyDescent="0.3">
      <c r="A74" s="23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3"/>
      <c r="AW74" s="23"/>
    </row>
    <row r="75" spans="1:49" x14ac:dyDescent="0.3">
      <c r="A75" s="23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3"/>
      <c r="AW75" s="23"/>
    </row>
    <row r="76" spans="1:49" x14ac:dyDescent="0.3">
      <c r="A76" s="2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  <c r="AU76" s="23"/>
      <c r="AV76" s="23"/>
      <c r="AW76" s="23"/>
    </row>
    <row r="77" spans="1:49" ht="270" customHeight="1" x14ac:dyDescent="0.3">
      <c r="A77" s="2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  <c r="AU77" s="23"/>
      <c r="AV77" s="23"/>
      <c r="AW77" s="23"/>
    </row>
  </sheetData>
  <mergeCells count="1">
    <mergeCell ref="A2:AW2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76B67-0173-4515-8DFA-8AC20FEA1596}">
  <sheetPr codeName="Planilha2">
    <tabColor rgb="FFFF0000"/>
  </sheetPr>
  <dimension ref="A1:AE52"/>
  <sheetViews>
    <sheetView showGridLines="0" zoomScale="40" zoomScaleNormal="40" workbookViewId="0">
      <selection activeCell="H48" sqref="H48"/>
    </sheetView>
  </sheetViews>
  <sheetFormatPr defaultRowHeight="14.4" x14ac:dyDescent="0.3"/>
  <cols>
    <col min="3" max="3" width="8.88671875" customWidth="1"/>
    <col min="5" max="5" width="28.88671875" customWidth="1"/>
    <col min="6" max="6" width="12.33203125" customWidth="1"/>
    <col min="7" max="7" width="15.6640625" bestFit="1" customWidth="1"/>
    <col min="8" max="8" width="16.6640625" bestFit="1" customWidth="1"/>
    <col min="9" max="9" width="10.33203125" customWidth="1"/>
    <col min="10" max="10" width="19.5546875" bestFit="1" customWidth="1"/>
    <col min="11" max="11" width="13.44140625" bestFit="1" customWidth="1"/>
    <col min="12" max="12" width="12.33203125" bestFit="1" customWidth="1"/>
    <col min="13" max="13" width="9.5546875" bestFit="1" customWidth="1"/>
    <col min="14" max="14" width="16.66406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366"/>
      <c r="B2" s="366"/>
      <c r="C2" s="366"/>
      <c r="D2" s="366"/>
      <c r="E2" s="366"/>
      <c r="F2" s="366"/>
      <c r="G2" s="366"/>
      <c r="H2" s="366"/>
      <c r="I2" s="366"/>
      <c r="J2" s="366"/>
      <c r="K2" s="366"/>
      <c r="L2" s="366"/>
      <c r="M2" s="366"/>
      <c r="N2" s="366"/>
      <c r="O2" s="366"/>
      <c r="P2" s="366"/>
      <c r="Q2" s="366"/>
      <c r="R2" s="366"/>
      <c r="S2" s="366"/>
      <c r="T2" s="366"/>
      <c r="U2" s="366"/>
      <c r="V2" s="366"/>
      <c r="W2" s="366"/>
      <c r="X2" s="366"/>
      <c r="Y2" s="366"/>
      <c r="Z2" s="366"/>
      <c r="AA2" s="366"/>
      <c r="AB2" s="366"/>
      <c r="AC2" s="366"/>
      <c r="AD2" s="366"/>
      <c r="AE2" s="366"/>
    </row>
    <row r="3" spans="1:3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</row>
    <row r="4" spans="1:3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</row>
    <row r="5" spans="1:3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</row>
    <row r="6" spans="1:31" x14ac:dyDescent="0.3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</row>
    <row r="7" spans="1:31" ht="14.4" customHeight="1" x14ac:dyDescent="0.3">
      <c r="A7" s="25"/>
      <c r="B7" s="25"/>
      <c r="C7" s="25"/>
      <c r="D7" s="25"/>
      <c r="E7" s="367"/>
      <c r="F7" s="367"/>
      <c r="G7" s="367"/>
      <c r="H7" s="367"/>
      <c r="I7" s="367"/>
      <c r="J7" s="367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</row>
    <row r="8" spans="1:31" ht="14.4" customHeight="1" x14ac:dyDescent="0.3">
      <c r="A8" s="25"/>
      <c r="B8" s="25"/>
      <c r="C8" s="25"/>
      <c r="D8" s="25"/>
      <c r="E8" s="367"/>
      <c r="F8" s="367"/>
      <c r="G8" s="367"/>
      <c r="H8" s="367"/>
      <c r="I8" s="367"/>
      <c r="J8" s="367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</row>
    <row r="9" spans="1:31" ht="25.2" customHeight="1" x14ac:dyDescent="0.3">
      <c r="A9" s="25"/>
      <c r="B9" s="25"/>
      <c r="C9" s="25"/>
      <c r="D9" s="25"/>
      <c r="E9" s="26"/>
      <c r="F9" s="26"/>
      <c r="G9" s="26"/>
      <c r="H9" s="26"/>
      <c r="I9" s="26"/>
      <c r="J9" s="26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</row>
    <row r="10" spans="1:31" ht="25.2" customHeight="1" x14ac:dyDescent="0.3">
      <c r="A10" s="25"/>
      <c r="B10" s="25"/>
      <c r="C10" s="25"/>
      <c r="D10" s="25"/>
      <c r="E10" s="26"/>
      <c r="F10" s="27"/>
      <c r="G10" s="27"/>
      <c r="H10" s="27"/>
      <c r="I10" s="27"/>
      <c r="J10" s="27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</row>
    <row r="11" spans="1:31" ht="25.2" customHeight="1" x14ac:dyDescent="0.3">
      <c r="A11" s="25"/>
      <c r="B11" s="25"/>
      <c r="C11" s="25"/>
      <c r="D11" s="25"/>
      <c r="E11" s="26"/>
      <c r="F11" s="27"/>
      <c r="G11" s="27"/>
      <c r="H11" s="27"/>
      <c r="I11" s="27"/>
      <c r="J11" s="27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</row>
    <row r="12" spans="1:31" ht="25.2" customHeight="1" x14ac:dyDescent="0.3">
      <c r="A12" s="25"/>
      <c r="B12" s="25"/>
      <c r="C12" s="25"/>
      <c r="D12" s="25"/>
      <c r="E12" s="26"/>
      <c r="F12" s="27"/>
      <c r="G12" s="27"/>
      <c r="H12" s="27"/>
      <c r="I12" s="27"/>
      <c r="J12" s="27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</row>
    <row r="13" spans="1:31" ht="25.2" customHeight="1" x14ac:dyDescent="0.3">
      <c r="A13" s="25"/>
      <c r="B13" s="25"/>
      <c r="C13" s="25"/>
      <c r="D13" s="25"/>
      <c r="E13" s="26"/>
      <c r="F13" s="27"/>
      <c r="G13" s="27"/>
      <c r="H13" s="27"/>
      <c r="I13" s="27"/>
      <c r="J13" s="27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</row>
    <row r="14" spans="1:31" x14ac:dyDescent="0.3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</row>
    <row r="15" spans="1:31" x14ac:dyDescent="0.3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</row>
    <row r="16" spans="1:31" x14ac:dyDescent="0.3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</row>
    <row r="17" spans="1:3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</row>
    <row r="18" spans="1:31" ht="14.4" customHeight="1" x14ac:dyDescent="0.3">
      <c r="A18" s="25"/>
      <c r="B18" s="25"/>
      <c r="C18" s="25"/>
      <c r="D18" s="25"/>
      <c r="E18" s="25"/>
      <c r="F18" s="368"/>
      <c r="G18" s="368"/>
      <c r="H18" s="368"/>
      <c r="I18" s="368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</row>
    <row r="19" spans="1:31" ht="14.4" customHeight="1" x14ac:dyDescent="0.3">
      <c r="A19" s="25"/>
      <c r="B19" s="25"/>
      <c r="C19" s="25"/>
      <c r="D19" s="25"/>
      <c r="E19" s="25"/>
      <c r="F19" s="368"/>
      <c r="G19" s="368"/>
      <c r="H19" s="368"/>
      <c r="I19" s="368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</row>
    <row r="20" spans="1:31" ht="14.4" customHeight="1" x14ac:dyDescent="0.3">
      <c r="A20" s="25"/>
      <c r="B20" s="25"/>
      <c r="C20" s="25"/>
      <c r="D20" s="25"/>
      <c r="E20" s="25"/>
      <c r="F20" s="369"/>
      <c r="G20" s="369"/>
      <c r="H20" s="370"/>
      <c r="I20" s="371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</row>
    <row r="21" spans="1:31" ht="14.4" customHeight="1" x14ac:dyDescent="0.3">
      <c r="A21" s="25"/>
      <c r="B21" s="25"/>
      <c r="C21" s="25"/>
      <c r="D21" s="25"/>
      <c r="E21" s="25"/>
      <c r="F21" s="369"/>
      <c r="G21" s="369"/>
      <c r="H21" s="370"/>
      <c r="I21" s="371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</row>
    <row r="22" spans="1:31" ht="17.399999999999999" customHeight="1" x14ac:dyDescent="0.3">
      <c r="A22" s="25"/>
      <c r="B22" s="25"/>
      <c r="C22" s="25"/>
      <c r="D22" s="25"/>
      <c r="E22" s="25"/>
      <c r="F22" s="28"/>
      <c r="G22" s="28"/>
      <c r="H22" s="29"/>
      <c r="I22" s="29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</row>
    <row r="23" spans="1:31" ht="17.399999999999999" x14ac:dyDescent="0.3">
      <c r="A23" s="25"/>
      <c r="B23" s="25"/>
      <c r="C23" s="25"/>
      <c r="D23" s="25"/>
      <c r="E23" s="25"/>
      <c r="F23" s="372"/>
      <c r="G23" s="372"/>
      <c r="H23" s="30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</row>
    <row r="24" spans="1:31" ht="28.8" x14ac:dyDescent="0.3">
      <c r="A24" s="25"/>
      <c r="B24" s="25"/>
      <c r="C24" s="25"/>
      <c r="D24" s="25"/>
      <c r="E24" s="25"/>
      <c r="F24" s="31"/>
      <c r="G24" s="32"/>
      <c r="H24" s="29"/>
      <c r="I24" s="29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</row>
    <row r="25" spans="1:31" ht="17.399999999999999" x14ac:dyDescent="0.3">
      <c r="A25" s="25"/>
      <c r="B25" s="25"/>
      <c r="C25" s="25"/>
      <c r="D25" s="25"/>
      <c r="E25" s="25"/>
      <c r="F25" s="372"/>
      <c r="G25" s="372"/>
      <c r="H25" s="30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</row>
    <row r="26" spans="1:31" ht="28.8" x14ac:dyDescent="0.3">
      <c r="A26" s="25"/>
      <c r="B26" s="25"/>
      <c r="C26" s="25"/>
      <c r="D26" s="25"/>
      <c r="E26" s="25"/>
      <c r="F26" s="33"/>
      <c r="G26" s="32"/>
      <c r="H26" s="29"/>
      <c r="I26" s="29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</row>
    <row r="27" spans="1:31" ht="17.399999999999999" x14ac:dyDescent="0.3">
      <c r="A27" s="25"/>
      <c r="B27" s="25"/>
      <c r="C27" s="25"/>
      <c r="D27" s="25"/>
      <c r="E27" s="25"/>
      <c r="F27" s="372"/>
      <c r="G27" s="372"/>
      <c r="H27" s="30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</row>
    <row r="28" spans="1:31" ht="28.8" x14ac:dyDescent="0.3">
      <c r="A28" s="25"/>
      <c r="B28" s="25"/>
      <c r="C28" s="25"/>
      <c r="D28" s="25"/>
      <c r="E28" s="25"/>
      <c r="F28" s="31"/>
      <c r="G28" s="32"/>
      <c r="H28" s="29"/>
      <c r="I28" s="29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</row>
    <row r="29" spans="1:31" ht="17.399999999999999" x14ac:dyDescent="0.3">
      <c r="A29" s="25"/>
      <c r="B29" s="25"/>
      <c r="C29" s="25"/>
      <c r="D29" s="25"/>
      <c r="E29" s="25"/>
      <c r="F29" s="372"/>
      <c r="G29" s="372"/>
      <c r="H29" s="30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</row>
    <row r="30" spans="1:31" ht="28.8" x14ac:dyDescent="0.3">
      <c r="A30" s="25"/>
      <c r="B30" s="25"/>
      <c r="C30" s="25"/>
      <c r="D30" s="25"/>
      <c r="E30" s="25"/>
      <c r="F30" s="33"/>
      <c r="G30" s="34"/>
      <c r="H30" s="35"/>
      <c r="I30" s="29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</row>
    <row r="31" spans="1:31" ht="17.399999999999999" x14ac:dyDescent="0.3">
      <c r="A31" s="25"/>
      <c r="B31" s="25"/>
      <c r="C31" s="25"/>
      <c r="D31" s="25"/>
      <c r="E31" s="25"/>
      <c r="F31" s="372"/>
      <c r="G31" s="372"/>
      <c r="H31" s="30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</row>
    <row r="32" spans="1:31" ht="28.8" x14ac:dyDescent="0.3">
      <c r="A32" s="25"/>
      <c r="B32" s="25"/>
      <c r="C32" s="25"/>
      <c r="D32" s="25"/>
      <c r="E32" s="25"/>
      <c r="F32" s="28"/>
      <c r="G32" s="36"/>
      <c r="H32" s="35"/>
      <c r="I32" s="37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</row>
    <row r="33" spans="1:31" ht="28.8" x14ac:dyDescent="0.3">
      <c r="A33" s="25"/>
      <c r="B33" s="25"/>
      <c r="C33" s="25"/>
      <c r="D33" s="25"/>
      <c r="E33" s="25"/>
      <c r="F33" s="28"/>
      <c r="G33" s="36"/>
      <c r="H33" s="35"/>
      <c r="I33" s="37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</row>
    <row r="34" spans="1:31" ht="28.8" x14ac:dyDescent="0.55000000000000004">
      <c r="A34" s="25"/>
      <c r="B34" s="25"/>
      <c r="C34" s="25"/>
      <c r="D34" s="25"/>
      <c r="E34" s="25"/>
      <c r="F34" s="28"/>
      <c r="G34" s="38"/>
      <c r="H34" s="38"/>
      <c r="I34" s="38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</row>
    <row r="35" spans="1:31" ht="28.8" x14ac:dyDescent="0.55000000000000004">
      <c r="A35" s="25"/>
      <c r="B35" s="25"/>
      <c r="C35" s="25"/>
      <c r="D35" s="25"/>
      <c r="E35" s="25"/>
      <c r="F35" s="28"/>
      <c r="G35" s="38"/>
      <c r="H35" s="38"/>
      <c r="I35" s="38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</row>
    <row r="36" spans="1:31" x14ac:dyDescent="0.3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</row>
    <row r="37" spans="1:31" x14ac:dyDescent="0.3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</row>
    <row r="38" spans="1:31" x14ac:dyDescent="0.3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</row>
    <row r="39" spans="1:31" x14ac:dyDescent="0.3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</row>
    <row r="40" spans="1:31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</row>
    <row r="41" spans="1:31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</row>
    <row r="42" spans="1:31" x14ac:dyDescent="0.3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</row>
    <row r="43" spans="1:31" x14ac:dyDescent="0.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</row>
    <row r="44" spans="1:31" x14ac:dyDescent="0.3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</row>
    <row r="45" spans="1:31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</row>
    <row r="46" spans="1:31" x14ac:dyDescent="0.3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</row>
    <row r="47" spans="1:31" x14ac:dyDescent="0.3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</row>
    <row r="48" spans="1:31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</row>
    <row r="49" spans="1:31" x14ac:dyDescent="0.3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</row>
    <row r="50" spans="1:31" x14ac:dyDescent="0.3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</row>
    <row r="51" spans="1:31" x14ac:dyDescent="0.3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</row>
    <row r="52" spans="1:31" x14ac:dyDescent="0.3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</row>
  </sheetData>
  <mergeCells count="11">
    <mergeCell ref="F23:G23"/>
    <mergeCell ref="F25:G25"/>
    <mergeCell ref="F27:G27"/>
    <mergeCell ref="F29:G29"/>
    <mergeCell ref="F31:G31"/>
    <mergeCell ref="A2:AE2"/>
    <mergeCell ref="E7:J8"/>
    <mergeCell ref="F18:I19"/>
    <mergeCell ref="F20:G21"/>
    <mergeCell ref="H20:H21"/>
    <mergeCell ref="I20:I21"/>
  </mergeCells>
  <dataValidations count="2">
    <dataValidation type="list" allowBlank="1" showInputMessage="1" showErrorMessage="1" sqref="F18" xr:uid="{2ADC0AF5-6479-4187-A93D-BEEA1B174786}">
      <formula1>$L$14:$L$17</formula1>
    </dataValidation>
    <dataValidation allowBlank="1" showInputMessage="1" showErrorMessage="1" sqref="E9" xr:uid="{01141500-46C1-41B9-8960-103829730A06}"/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F07E-15E2-4B10-A913-CE6AC747DCFB}">
  <sheetPr codeName="Planilha3">
    <tabColor rgb="FFFF0000"/>
  </sheetPr>
  <dimension ref="A1:BJ40"/>
  <sheetViews>
    <sheetView topLeftCell="A7" zoomScale="40" zoomScaleNormal="40" workbookViewId="0">
      <selection activeCell="I27" sqref="I27"/>
    </sheetView>
  </sheetViews>
  <sheetFormatPr defaultRowHeight="14.4" x14ac:dyDescent="0.3"/>
  <cols>
    <col min="3" max="3" width="8.88671875" customWidth="1"/>
    <col min="5" max="5" width="28.88671875" customWidth="1"/>
    <col min="6" max="6" width="12.33203125" customWidth="1"/>
    <col min="7" max="7" width="15.6640625" bestFit="1" customWidth="1"/>
    <col min="8" max="8" width="16.6640625" bestFit="1" customWidth="1"/>
    <col min="9" max="9" width="10.33203125" customWidth="1"/>
    <col min="10" max="10" width="19.5546875" bestFit="1" customWidth="1"/>
    <col min="11" max="11" width="13.44140625" bestFit="1" customWidth="1"/>
    <col min="12" max="12" width="12.33203125" bestFit="1" customWidth="1"/>
    <col min="13" max="13" width="9.5546875" bestFit="1" customWidth="1"/>
    <col min="14" max="14" width="16.6640625" bestFit="1" customWidth="1"/>
    <col min="17" max="17" width="34" customWidth="1"/>
    <col min="18" max="18" width="15.6640625" customWidth="1"/>
    <col min="19" max="19" width="21.21875" customWidth="1"/>
    <col min="20" max="20" width="19.33203125" bestFit="1" customWidth="1"/>
    <col min="21" max="21" width="14.5546875" bestFit="1" customWidth="1"/>
    <col min="22" max="22" width="26.77734375" bestFit="1" customWidth="1"/>
    <col min="52" max="53" width="8.88671875" style="178"/>
  </cols>
  <sheetData>
    <row r="1" spans="1:62" s="182" customFormat="1" x14ac:dyDescent="0.3"/>
    <row r="2" spans="1:62" s="182" customFormat="1" x14ac:dyDescent="0.3"/>
    <row r="3" spans="1:62" ht="61.5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</row>
    <row r="4" spans="1:62" ht="46.2" customHeight="1" x14ac:dyDescent="0.3">
      <c r="A4" s="366"/>
      <c r="B4" s="366"/>
      <c r="C4" s="366"/>
      <c r="D4" s="366"/>
      <c r="E4" s="366"/>
      <c r="F4" s="366"/>
      <c r="G4" s="366"/>
      <c r="H4" s="366"/>
      <c r="I4" s="366"/>
      <c r="J4" s="366"/>
      <c r="K4" s="366"/>
      <c r="L4" s="366"/>
      <c r="M4" s="366"/>
      <c r="N4" s="366"/>
      <c r="O4" s="366"/>
      <c r="P4" s="366"/>
      <c r="Q4" s="366"/>
      <c r="R4" s="366"/>
      <c r="S4" s="366"/>
      <c r="T4" s="366"/>
      <c r="U4" s="366"/>
      <c r="V4" s="366"/>
      <c r="W4" s="366"/>
      <c r="X4" s="366"/>
      <c r="Y4" s="366"/>
      <c r="Z4" s="366"/>
      <c r="AA4" s="366"/>
      <c r="AB4" s="366"/>
      <c r="AC4" s="366"/>
      <c r="AD4" s="366"/>
      <c r="AE4" s="366"/>
      <c r="AF4" s="366"/>
      <c r="AG4" s="366"/>
      <c r="AH4" s="366"/>
      <c r="AI4" s="366"/>
      <c r="AJ4" s="366"/>
      <c r="AK4" s="366"/>
      <c r="AL4" s="366"/>
      <c r="AM4" s="366"/>
      <c r="AN4" s="366"/>
      <c r="AO4" s="366"/>
      <c r="AP4" s="366"/>
      <c r="AQ4" s="366"/>
      <c r="AR4" s="366"/>
      <c r="AS4" s="366"/>
      <c r="AT4" s="366"/>
      <c r="AU4" s="366"/>
      <c r="AV4" s="366"/>
      <c r="AW4" s="366"/>
      <c r="AX4" s="366"/>
      <c r="AY4" s="366"/>
      <c r="AZ4" s="366"/>
      <c r="BA4" s="366"/>
      <c r="BB4" s="366"/>
      <c r="BC4" s="366"/>
      <c r="BD4" s="366"/>
      <c r="BE4" s="366"/>
      <c r="BF4" s="366"/>
      <c r="BG4" s="366"/>
      <c r="BH4" s="366"/>
      <c r="BI4" s="366"/>
      <c r="BJ4" s="366"/>
    </row>
    <row r="5" spans="1:62" x14ac:dyDescent="0.3">
      <c r="A5" s="366"/>
      <c r="B5" s="366"/>
      <c r="C5" s="366"/>
      <c r="D5" s="366"/>
      <c r="E5" s="366"/>
      <c r="F5" s="366"/>
      <c r="G5" s="366"/>
      <c r="H5" s="366"/>
      <c r="I5" s="366"/>
      <c r="J5" s="366"/>
      <c r="K5" s="366"/>
      <c r="L5" s="366"/>
      <c r="M5" s="366"/>
      <c r="N5" s="366"/>
      <c r="O5" s="366"/>
      <c r="P5" s="366"/>
      <c r="Q5" s="366"/>
      <c r="R5" s="366"/>
      <c r="S5" s="366"/>
      <c r="T5" s="366"/>
      <c r="U5" s="366"/>
      <c r="V5" s="366"/>
      <c r="W5" s="366"/>
      <c r="X5" s="366"/>
      <c r="Y5" s="366"/>
      <c r="Z5" s="366"/>
      <c r="AA5" s="366"/>
      <c r="AB5" s="366"/>
      <c r="AC5" s="366"/>
      <c r="AD5" s="366"/>
      <c r="AE5" s="366"/>
      <c r="AF5" s="366"/>
      <c r="AG5" s="366"/>
      <c r="AH5" s="366"/>
      <c r="AI5" s="366"/>
      <c r="AJ5" s="366"/>
      <c r="AK5" s="366"/>
      <c r="AL5" s="366"/>
      <c r="AM5" s="366"/>
      <c r="AN5" s="366"/>
      <c r="AO5" s="366"/>
      <c r="AP5" s="366"/>
      <c r="AQ5" s="366"/>
      <c r="AR5" s="366"/>
      <c r="AS5" s="366"/>
      <c r="AT5" s="366"/>
      <c r="AU5" s="366"/>
      <c r="AV5" s="366"/>
      <c r="AW5" s="366"/>
      <c r="AX5" s="366"/>
      <c r="AY5" s="366"/>
      <c r="AZ5" s="366"/>
      <c r="BA5" s="366"/>
      <c r="BB5" s="366"/>
      <c r="BC5" s="366"/>
      <c r="BD5" s="366"/>
      <c r="BE5" s="366"/>
      <c r="BF5" s="366"/>
      <c r="BG5" s="366"/>
      <c r="BH5" s="366"/>
      <c r="BI5" s="366"/>
      <c r="BJ5" s="366"/>
    </row>
    <row r="6" spans="1:62" x14ac:dyDescent="0.3">
      <c r="A6" s="366"/>
      <c r="B6" s="366"/>
      <c r="C6" s="366"/>
      <c r="D6" s="366"/>
      <c r="E6" s="366"/>
      <c r="F6" s="366"/>
      <c r="G6" s="366"/>
      <c r="H6" s="366"/>
      <c r="I6" s="366"/>
      <c r="J6" s="366"/>
      <c r="K6" s="366"/>
      <c r="L6" s="366"/>
      <c r="M6" s="366"/>
      <c r="N6" s="366"/>
      <c r="O6" s="366"/>
      <c r="P6" s="366"/>
      <c r="Q6" s="366"/>
      <c r="R6" s="366"/>
      <c r="S6" s="366"/>
      <c r="T6" s="366"/>
      <c r="U6" s="366"/>
      <c r="V6" s="366"/>
      <c r="W6" s="366"/>
      <c r="X6" s="366"/>
      <c r="Y6" s="366"/>
      <c r="Z6" s="366"/>
      <c r="AA6" s="366"/>
      <c r="AB6" s="366"/>
      <c r="AC6" s="366"/>
      <c r="AD6" s="366"/>
      <c r="AE6" s="366"/>
      <c r="AF6" s="366"/>
      <c r="AG6" s="366"/>
      <c r="AH6" s="366"/>
      <c r="AI6" s="366"/>
      <c r="AJ6" s="366"/>
      <c r="AK6" s="366"/>
      <c r="AL6" s="366"/>
      <c r="AM6" s="366"/>
      <c r="AN6" s="366"/>
      <c r="AO6" s="366"/>
      <c r="AP6" s="366"/>
      <c r="AQ6" s="366"/>
      <c r="AR6" s="366"/>
      <c r="AS6" s="366"/>
      <c r="AT6" s="366"/>
      <c r="AU6" s="366"/>
      <c r="AV6" s="366"/>
      <c r="AW6" s="366"/>
      <c r="AX6" s="366"/>
      <c r="AY6" s="366"/>
      <c r="AZ6" s="366"/>
      <c r="BA6" s="366"/>
      <c r="BB6" s="366"/>
      <c r="BC6" s="366"/>
      <c r="BD6" s="366"/>
      <c r="BE6" s="366"/>
      <c r="BF6" s="366"/>
      <c r="BG6" s="366"/>
      <c r="BH6" s="366"/>
      <c r="BI6" s="366"/>
      <c r="BJ6" s="366"/>
    </row>
    <row r="7" spans="1:62" x14ac:dyDescent="0.3">
      <c r="A7" s="366"/>
      <c r="B7" s="366"/>
      <c r="C7" s="366"/>
      <c r="D7" s="366"/>
      <c r="E7" s="366"/>
      <c r="F7" s="366"/>
      <c r="G7" s="366"/>
      <c r="H7" s="366"/>
      <c r="I7" s="366"/>
      <c r="J7" s="366"/>
      <c r="K7" s="366"/>
      <c r="L7" s="366"/>
      <c r="M7" s="366"/>
      <c r="N7" s="366"/>
      <c r="O7" s="366"/>
      <c r="P7" s="366"/>
      <c r="Q7" s="366"/>
      <c r="R7" s="366"/>
      <c r="S7" s="366"/>
      <c r="T7" s="366"/>
      <c r="U7" s="366"/>
      <c r="V7" s="366"/>
      <c r="W7" s="366"/>
      <c r="X7" s="366"/>
      <c r="Y7" s="366"/>
      <c r="Z7" s="366"/>
      <c r="AA7" s="366"/>
      <c r="AB7" s="366"/>
      <c r="AC7" s="366"/>
      <c r="AD7" s="366"/>
      <c r="AE7" s="366"/>
      <c r="AF7" s="366"/>
      <c r="AG7" s="366"/>
      <c r="AH7" s="366"/>
      <c r="AI7" s="366"/>
      <c r="AJ7" s="366"/>
      <c r="AK7" s="366"/>
      <c r="AL7" s="366"/>
      <c r="AM7" s="366"/>
      <c r="AN7" s="366"/>
      <c r="AO7" s="366"/>
      <c r="AP7" s="366"/>
      <c r="AQ7" s="366"/>
      <c r="AR7" s="366"/>
      <c r="AS7" s="366"/>
      <c r="AT7" s="366"/>
      <c r="AU7" s="366"/>
      <c r="AV7" s="366"/>
      <c r="AW7" s="366"/>
      <c r="AX7" s="366"/>
      <c r="AY7" s="366"/>
      <c r="AZ7" s="366"/>
      <c r="BA7" s="366"/>
      <c r="BB7" s="366"/>
      <c r="BC7" s="366"/>
      <c r="BD7" s="366"/>
      <c r="BE7" s="366"/>
      <c r="BF7" s="366"/>
      <c r="BG7" s="366"/>
      <c r="BH7" s="366"/>
      <c r="BI7" s="366"/>
      <c r="BJ7" s="366"/>
    </row>
    <row r="9" spans="1:62" ht="14.4" customHeight="1" x14ac:dyDescent="0.3"/>
    <row r="10" spans="1:62" ht="14.4" customHeight="1" thickBot="1" x14ac:dyDescent="0.35"/>
    <row r="11" spans="1:62" ht="25.2" customHeight="1" x14ac:dyDescent="0.3">
      <c r="Q11" s="383" t="s">
        <v>1</v>
      </c>
      <c r="R11" s="384"/>
      <c r="S11" s="384"/>
      <c r="T11" s="384"/>
      <c r="U11" s="384"/>
      <c r="V11" s="385"/>
    </row>
    <row r="12" spans="1:62" ht="25.2" customHeight="1" x14ac:dyDescent="0.3">
      <c r="Q12" s="386"/>
      <c r="R12" s="387"/>
      <c r="S12" s="387"/>
      <c r="T12" s="387"/>
      <c r="U12" s="387"/>
      <c r="V12" s="388"/>
    </row>
    <row r="13" spans="1:62" ht="75" customHeight="1" x14ac:dyDescent="0.3">
      <c r="Q13" s="220" t="s">
        <v>2</v>
      </c>
      <c r="R13" s="221" t="s">
        <v>3</v>
      </c>
      <c r="S13" s="221" t="s">
        <v>4</v>
      </c>
      <c r="T13" s="221" t="s">
        <v>5</v>
      </c>
      <c r="U13" s="222" t="s">
        <v>6</v>
      </c>
      <c r="V13" s="223" t="s">
        <v>7</v>
      </c>
    </row>
    <row r="14" spans="1:62" ht="60" customHeight="1" x14ac:dyDescent="0.3">
      <c r="Q14" s="233" t="s">
        <v>8</v>
      </c>
      <c r="R14" s="224">
        <v>2</v>
      </c>
      <c r="S14" s="225">
        <v>1</v>
      </c>
      <c r="T14" s="225">
        <v>0</v>
      </c>
      <c r="U14" s="225">
        <v>1</v>
      </c>
      <c r="V14" s="226">
        <v>2</v>
      </c>
    </row>
    <row r="15" spans="1:62" ht="60" customHeight="1" x14ac:dyDescent="0.3">
      <c r="Q15" s="233" t="s">
        <v>9</v>
      </c>
      <c r="R15" s="227">
        <v>2</v>
      </c>
      <c r="S15" s="228">
        <v>1</v>
      </c>
      <c r="T15" s="228">
        <v>0</v>
      </c>
      <c r="U15" s="228">
        <v>2</v>
      </c>
      <c r="V15" s="229">
        <v>1</v>
      </c>
    </row>
    <row r="16" spans="1:62" ht="60" customHeight="1" x14ac:dyDescent="0.3">
      <c r="Q16" s="233" t="s">
        <v>10</v>
      </c>
      <c r="R16" s="227">
        <v>1</v>
      </c>
      <c r="S16" s="228">
        <v>1</v>
      </c>
      <c r="T16" s="228">
        <v>5</v>
      </c>
      <c r="U16" s="228">
        <v>3</v>
      </c>
      <c r="V16" s="229">
        <v>2</v>
      </c>
    </row>
    <row r="17" spans="17:22" ht="60" customHeight="1" thickBot="1" x14ac:dyDescent="0.35">
      <c r="Q17" s="234" t="s">
        <v>11</v>
      </c>
      <c r="R17" s="230">
        <v>4</v>
      </c>
      <c r="S17" s="231">
        <v>1</v>
      </c>
      <c r="T17" s="231">
        <v>0</v>
      </c>
      <c r="U17" s="231">
        <v>4</v>
      </c>
      <c r="V17" s="232">
        <v>1</v>
      </c>
    </row>
    <row r="18" spans="17:22" x14ac:dyDescent="0.3">
      <c r="Q18" s="178"/>
      <c r="R18" s="178"/>
      <c r="S18" s="178"/>
      <c r="T18" s="178"/>
      <c r="U18" s="178"/>
      <c r="V18" s="178"/>
    </row>
    <row r="19" spans="17:22" x14ac:dyDescent="0.3">
      <c r="Q19" s="178"/>
      <c r="R19" s="178"/>
      <c r="S19" s="178"/>
      <c r="T19" s="178"/>
      <c r="U19" s="178"/>
      <c r="V19" s="178"/>
    </row>
    <row r="20" spans="17:22" ht="14.4" customHeight="1" x14ac:dyDescent="0.3">
      <c r="Q20" s="178"/>
      <c r="R20" s="178"/>
      <c r="S20" s="178"/>
      <c r="T20" s="178"/>
      <c r="U20" s="178"/>
      <c r="V20" s="178"/>
    </row>
    <row r="21" spans="17:22" ht="14.4" customHeight="1" thickBot="1" x14ac:dyDescent="0.35">
      <c r="Q21" s="178"/>
      <c r="R21" s="178"/>
      <c r="S21" s="178"/>
      <c r="T21" s="178"/>
      <c r="U21" s="178"/>
      <c r="V21" s="178"/>
    </row>
    <row r="22" spans="17:22" ht="25.5" customHeight="1" x14ac:dyDescent="0.3">
      <c r="Q22" s="178"/>
      <c r="R22" s="389"/>
      <c r="S22" s="390"/>
      <c r="T22" s="390"/>
      <c r="U22" s="391"/>
      <c r="V22" s="178"/>
    </row>
    <row r="23" spans="17:22" ht="25.5" customHeight="1" x14ac:dyDescent="0.3">
      <c r="Q23" s="178"/>
      <c r="R23" s="392"/>
      <c r="S23" s="393"/>
      <c r="T23" s="393"/>
      <c r="U23" s="394"/>
      <c r="V23" s="178"/>
    </row>
    <row r="24" spans="17:22" ht="37.5" customHeight="1" x14ac:dyDescent="0.3">
      <c r="Q24" s="178"/>
      <c r="R24" s="375" t="s">
        <v>12</v>
      </c>
      <c r="S24" s="376"/>
      <c r="T24" s="379">
        <v>1</v>
      </c>
      <c r="U24" s="381"/>
      <c r="V24" s="178"/>
    </row>
    <row r="25" spans="17:22" ht="37.5" customHeight="1" x14ac:dyDescent="0.3">
      <c r="Q25" s="178"/>
      <c r="R25" s="377"/>
      <c r="S25" s="378"/>
      <c r="T25" s="380"/>
      <c r="U25" s="382"/>
      <c r="V25" s="178"/>
    </row>
    <row r="26" spans="17:22" ht="15" customHeight="1" x14ac:dyDescent="0.3">
      <c r="Q26" s="178"/>
      <c r="R26" s="3"/>
      <c r="S26" s="4"/>
      <c r="T26" s="5" t="s">
        <v>13</v>
      </c>
      <c r="U26" s="6" t="s">
        <v>13</v>
      </c>
      <c r="V26" s="178"/>
    </row>
    <row r="27" spans="17:22" ht="22.8" x14ac:dyDescent="0.3">
      <c r="Q27" s="178"/>
      <c r="R27" s="373" t="s">
        <v>3</v>
      </c>
      <c r="S27" s="374"/>
      <c r="T27" s="235" t="e">
        <f>VLOOKUP(R22,Q14:V17,2,FALSE)*T24</f>
        <v>#N/A</v>
      </c>
      <c r="U27" s="7"/>
      <c r="V27" s="178"/>
    </row>
    <row r="28" spans="17:22" ht="28.8" x14ac:dyDescent="0.4">
      <c r="Q28" s="178"/>
      <c r="R28" s="236"/>
      <c r="S28" s="237" t="s">
        <v>13</v>
      </c>
      <c r="T28" s="10" t="s">
        <v>13</v>
      </c>
      <c r="U28" s="6" t="s">
        <v>13</v>
      </c>
      <c r="V28" s="178"/>
    </row>
    <row r="29" spans="17:22" ht="22.8" x14ac:dyDescent="0.3">
      <c r="Q29" s="178"/>
      <c r="R29" s="373" t="s">
        <v>4</v>
      </c>
      <c r="S29" s="374"/>
      <c r="T29" s="235" t="e">
        <f>VLOOKUP(R22,Q14:V17,3,FALSE)*T24</f>
        <v>#N/A</v>
      </c>
      <c r="U29" s="7"/>
      <c r="V29" s="178"/>
    </row>
    <row r="30" spans="17:22" ht="28.8" x14ac:dyDescent="0.3">
      <c r="Q30" s="178"/>
      <c r="R30" s="238"/>
      <c r="S30" s="237" t="s">
        <v>13</v>
      </c>
      <c r="T30" s="10" t="s">
        <v>13</v>
      </c>
      <c r="U30" s="6" t="s">
        <v>13</v>
      </c>
      <c r="V30" s="178"/>
    </row>
    <row r="31" spans="17:22" ht="22.8" x14ac:dyDescent="0.3">
      <c r="Q31" s="178"/>
      <c r="R31" s="373" t="s">
        <v>5</v>
      </c>
      <c r="S31" s="374"/>
      <c r="T31" s="235" t="e">
        <f>VLOOKUP(R22,Q14:V17,4,FALSE)*T24</f>
        <v>#N/A</v>
      </c>
      <c r="U31" s="7"/>
      <c r="V31" s="178"/>
    </row>
    <row r="32" spans="17:22" ht="28.8" x14ac:dyDescent="0.4">
      <c r="Q32" s="178"/>
      <c r="R32" s="236"/>
      <c r="S32" s="237" t="s">
        <v>13</v>
      </c>
      <c r="T32" s="10" t="s">
        <v>13</v>
      </c>
      <c r="U32" s="6" t="s">
        <v>13</v>
      </c>
      <c r="V32" s="178"/>
    </row>
    <row r="33" spans="17:22" ht="22.8" x14ac:dyDescent="0.3">
      <c r="Q33" s="178"/>
      <c r="R33" s="373" t="s">
        <v>6</v>
      </c>
      <c r="S33" s="374"/>
      <c r="T33" s="235" t="e">
        <f>VLOOKUP(R22,Q14:V17,5,FALSE)*T24</f>
        <v>#N/A</v>
      </c>
      <c r="U33" s="7"/>
      <c r="V33" s="178"/>
    </row>
    <row r="34" spans="17:22" ht="28.8" x14ac:dyDescent="0.3">
      <c r="Q34" s="178"/>
      <c r="R34" s="238"/>
      <c r="S34" s="237"/>
      <c r="T34" s="239"/>
      <c r="U34" s="6"/>
      <c r="V34" s="178"/>
    </row>
    <row r="35" spans="17:22" ht="22.8" x14ac:dyDescent="0.3">
      <c r="Q35" s="178"/>
      <c r="R35" s="373" t="s">
        <v>7</v>
      </c>
      <c r="S35" s="374"/>
      <c r="T35" s="235" t="e">
        <f>VLOOKUP(R22,Q14:V17,6,FALSE)*T24</f>
        <v>#N/A</v>
      </c>
      <c r="U35" s="7"/>
      <c r="V35" s="178"/>
    </row>
    <row r="36" spans="17:22" ht="28.8" x14ac:dyDescent="0.3">
      <c r="Q36" s="178"/>
      <c r="R36" s="3"/>
      <c r="S36" s="10"/>
      <c r="T36" s="9"/>
      <c r="U36" s="11"/>
      <c r="V36" s="178"/>
    </row>
    <row r="37" spans="17:22" ht="28.8" x14ac:dyDescent="0.3">
      <c r="Q37" s="178"/>
      <c r="R37" s="3"/>
      <c r="S37" s="10"/>
      <c r="T37" s="9"/>
      <c r="U37" s="11"/>
      <c r="V37" s="178"/>
    </row>
    <row r="38" spans="17:22" ht="28.8" x14ac:dyDescent="0.55000000000000004">
      <c r="Q38" s="178"/>
      <c r="R38" s="3"/>
      <c r="S38" s="12"/>
      <c r="T38" s="12"/>
      <c r="U38" s="13"/>
      <c r="V38" s="178"/>
    </row>
    <row r="39" spans="17:22" ht="29.4" thickBot="1" x14ac:dyDescent="0.6">
      <c r="Q39" s="178"/>
      <c r="R39" s="14"/>
      <c r="S39" s="15"/>
      <c r="T39" s="15"/>
      <c r="U39" s="16"/>
      <c r="V39" s="178"/>
    </row>
    <row r="40" spans="17:22" x14ac:dyDescent="0.3">
      <c r="Q40" s="178"/>
      <c r="R40" s="178"/>
      <c r="S40" s="178"/>
      <c r="T40" s="178"/>
      <c r="U40" s="178"/>
      <c r="V40" s="178"/>
    </row>
  </sheetData>
  <mergeCells count="18">
    <mergeCell ref="AF4:BJ4"/>
    <mergeCell ref="A5:AE5"/>
    <mergeCell ref="A6:AE6"/>
    <mergeCell ref="A7:AE7"/>
    <mergeCell ref="AF5:BJ5"/>
    <mergeCell ref="AF6:BJ6"/>
    <mergeCell ref="AF7:BJ7"/>
    <mergeCell ref="A4:AE4"/>
    <mergeCell ref="U24:U25"/>
    <mergeCell ref="R27:S27"/>
    <mergeCell ref="R29:S29"/>
    <mergeCell ref="Q11:V12"/>
    <mergeCell ref="R22:U23"/>
    <mergeCell ref="R31:S31"/>
    <mergeCell ref="R33:S33"/>
    <mergeCell ref="R35:S35"/>
    <mergeCell ref="R24:S25"/>
    <mergeCell ref="T24:T25"/>
  </mergeCells>
  <dataValidations count="2">
    <dataValidation allowBlank="1" showInputMessage="1" showErrorMessage="1" sqref="Q13" xr:uid="{2ED808E8-CF0C-4865-A80A-C3738C960E89}"/>
    <dataValidation type="list" allowBlank="1" showInputMessage="1" showErrorMessage="1" sqref="R22" xr:uid="{4D907D60-AC14-400B-B799-719DE7BCD636}">
      <formula1>$L$16:$L$19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E1624-831E-48A8-A18E-234FDC7330F7}">
  <sheetPr codeName="Planilha4">
    <tabColor rgb="FFFF0000"/>
  </sheetPr>
  <dimension ref="A1:BA63"/>
  <sheetViews>
    <sheetView topLeftCell="C7" zoomScale="40" zoomScaleNormal="40" workbookViewId="0">
      <selection activeCell="U35" sqref="U35"/>
    </sheetView>
  </sheetViews>
  <sheetFormatPr defaultRowHeight="14.4" x14ac:dyDescent="0.3"/>
  <cols>
    <col min="8" max="8" width="8.88671875" customWidth="1"/>
    <col min="10" max="10" width="35.6640625" customWidth="1"/>
    <col min="14" max="14" width="23.44140625" bestFit="1" customWidth="1"/>
    <col min="16" max="16" width="11.44140625" customWidth="1"/>
    <col min="18" max="18" width="47.44140625" customWidth="1"/>
    <col min="23" max="23" width="17.33203125" customWidth="1"/>
    <col min="24" max="24" width="6.21875" customWidth="1"/>
    <col min="25" max="25" width="28.21875" customWidth="1"/>
    <col min="27" max="27" width="6.33203125" customWidth="1"/>
    <col min="28" max="28" width="10.5546875" customWidth="1"/>
    <col min="29" max="29" width="39.44140625" customWidth="1"/>
    <col min="30" max="30" width="8.88671875" customWidth="1"/>
    <col min="31" max="31" width="39.44140625" customWidth="1"/>
    <col min="32" max="32" width="8.88671875" customWidth="1"/>
    <col min="33" max="33" width="35.6640625" customWidth="1"/>
  </cols>
  <sheetData>
    <row r="1" spans="1:53" s="178" customFormat="1" x14ac:dyDescent="0.3">
      <c r="A1" s="182"/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  <c r="AX1" s="182"/>
      <c r="AY1" s="182"/>
      <c r="AZ1" s="182"/>
      <c r="BA1" s="182"/>
    </row>
    <row r="2" spans="1:53" s="178" customFormat="1" x14ac:dyDescent="0.3">
      <c r="A2" s="182"/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</row>
    <row r="3" spans="1:53" ht="61.5" customHeight="1" x14ac:dyDescent="0.3">
      <c r="A3" s="182"/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</row>
    <row r="4" spans="1:53" ht="46.2" customHeight="1" x14ac:dyDescent="0.3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</row>
    <row r="5" spans="1:53" x14ac:dyDescent="0.3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</row>
    <row r="6" spans="1:53" s="178" customFormat="1" x14ac:dyDescent="0.3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</row>
    <row r="7" spans="1:53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</row>
    <row r="8" spans="1:53" ht="28.8" customHeigh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53" ht="28.8" customHeigh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53" ht="28.8" customHeight="1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53" ht="28.8" customHeight="1" thickBot="1" x14ac:dyDescent="0.3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90"/>
      <c r="P11" s="90"/>
      <c r="Q11" s="90"/>
      <c r="R11" s="90"/>
      <c r="S11" s="253"/>
      <c r="T11" s="257"/>
      <c r="U11" s="257"/>
      <c r="V11" s="257"/>
      <c r="W11" s="257"/>
      <c r="X11" s="257"/>
      <c r="Y11" s="257"/>
      <c r="Z11" s="257"/>
      <c r="AA11" s="257"/>
      <c r="AB11" s="90"/>
      <c r="AC11" s="90"/>
      <c r="AD11" s="90"/>
      <c r="AE11" s="90"/>
      <c r="AF11" s="90"/>
    </row>
    <row r="12" spans="1:53" ht="28.8" customHeight="1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241"/>
      <c r="R12" s="404" t="s">
        <v>14</v>
      </c>
      <c r="S12" s="405"/>
      <c r="T12" s="405"/>
      <c r="U12" s="405"/>
      <c r="V12" s="405"/>
      <c r="W12" s="405"/>
      <c r="X12" s="405"/>
      <c r="Y12" s="405"/>
      <c r="Z12" s="405"/>
      <c r="AA12" s="406"/>
      <c r="AB12" s="1"/>
      <c r="AC12" s="1"/>
      <c r="AD12" s="1"/>
      <c r="AE12" s="90"/>
      <c r="AF12" s="90"/>
    </row>
    <row r="13" spans="1:53" ht="28.8" customHeight="1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78"/>
      <c r="N13" s="178"/>
      <c r="O13" s="1"/>
      <c r="P13" s="1"/>
      <c r="Q13" s="241"/>
      <c r="R13" s="407"/>
      <c r="S13" s="408"/>
      <c r="T13" s="408"/>
      <c r="U13" s="408"/>
      <c r="V13" s="408"/>
      <c r="W13" s="408"/>
      <c r="X13" s="408"/>
      <c r="Y13" s="408"/>
      <c r="Z13" s="408"/>
      <c r="AA13" s="409"/>
      <c r="AB13" s="178"/>
      <c r="AC13" s="1"/>
      <c r="AD13" s="178"/>
      <c r="AE13" s="90"/>
      <c r="AF13" s="90"/>
    </row>
    <row r="14" spans="1:53" ht="28.8" customHeight="1" x14ac:dyDescent="0.3">
      <c r="A14" s="1"/>
      <c r="B14" s="1"/>
      <c r="C14" s="1"/>
      <c r="D14" s="1"/>
      <c r="M14" s="178"/>
      <c r="N14" s="178"/>
      <c r="O14" s="242"/>
      <c r="P14" s="242"/>
      <c r="Q14" s="241"/>
      <c r="R14" s="410" t="s">
        <v>15</v>
      </c>
      <c r="S14" s="411"/>
      <c r="T14" s="411"/>
      <c r="U14" s="411"/>
      <c r="V14" s="411"/>
      <c r="W14" s="411"/>
      <c r="X14" s="411"/>
      <c r="Y14" s="411"/>
      <c r="Z14" s="411"/>
      <c r="AA14" s="412"/>
      <c r="AB14" s="178"/>
      <c r="AC14" s="1"/>
      <c r="AD14" s="178"/>
      <c r="AE14" s="90"/>
      <c r="AF14" s="90"/>
    </row>
    <row r="15" spans="1:53" ht="28.8" customHeight="1" thickBot="1" x14ac:dyDescent="0.35">
      <c r="A15" s="1"/>
      <c r="B15" s="1"/>
      <c r="C15" s="1"/>
      <c r="D15" s="1"/>
      <c r="M15" s="178"/>
      <c r="N15" s="178"/>
      <c r="O15" s="242"/>
      <c r="P15" s="242"/>
      <c r="Q15" s="241"/>
      <c r="R15" s="413"/>
      <c r="S15" s="414"/>
      <c r="T15" s="414"/>
      <c r="U15" s="414"/>
      <c r="V15" s="414"/>
      <c r="W15" s="414"/>
      <c r="X15" s="414"/>
      <c r="Y15" s="414"/>
      <c r="Z15" s="414"/>
      <c r="AA15" s="415"/>
      <c r="AB15" s="178"/>
      <c r="AC15" s="1"/>
      <c r="AD15" s="178"/>
      <c r="AE15" s="90"/>
      <c r="AF15" s="90"/>
    </row>
    <row r="16" spans="1:53" ht="28.8" customHeight="1" x14ac:dyDescent="0.3">
      <c r="A16" s="1"/>
      <c r="B16" s="1"/>
      <c r="C16" s="1"/>
      <c r="D16" s="1"/>
      <c r="M16" s="178"/>
      <c r="N16" s="178"/>
      <c r="O16" s="242"/>
      <c r="P16" s="242"/>
      <c r="Q16" s="242"/>
      <c r="R16" s="242"/>
      <c r="S16" s="242"/>
      <c r="T16" s="242"/>
      <c r="U16" s="242"/>
      <c r="V16" s="242"/>
      <c r="W16" s="242"/>
      <c r="X16" s="1"/>
      <c r="Y16" s="1"/>
      <c r="Z16" s="1"/>
      <c r="AA16" s="1"/>
      <c r="AB16" s="1"/>
      <c r="AC16" s="1"/>
      <c r="AD16" s="178"/>
      <c r="AE16" s="90"/>
      <c r="AF16" s="90"/>
    </row>
    <row r="17" spans="1:32" ht="28.8" customHeight="1" thickBot="1" x14ac:dyDescent="0.35">
      <c r="A17" s="1"/>
      <c r="B17" s="1"/>
      <c r="C17" s="1"/>
      <c r="D17" s="1"/>
      <c r="M17" s="178"/>
      <c r="N17" s="178"/>
      <c r="O17" s="241"/>
      <c r="P17" s="241"/>
      <c r="Q17" s="241"/>
      <c r="R17" s="241"/>
      <c r="S17" s="241"/>
      <c r="T17" s="241"/>
      <c r="U17" s="242"/>
      <c r="V17" s="242"/>
      <c r="W17" s="242"/>
      <c r="X17" s="242"/>
      <c r="Y17" s="242"/>
      <c r="Z17" s="242"/>
      <c r="AA17" s="242"/>
      <c r="AB17" s="1"/>
      <c r="AC17" s="1"/>
      <c r="AD17" s="178"/>
      <c r="AE17" s="258"/>
      <c r="AF17" s="258"/>
    </row>
    <row r="18" spans="1:32" ht="28.8" customHeight="1" x14ac:dyDescent="0.3">
      <c r="A18" s="1"/>
      <c r="B18" s="1"/>
      <c r="C18" s="1"/>
      <c r="D18" s="1"/>
      <c r="M18" s="395" t="s">
        <v>16</v>
      </c>
      <c r="N18" s="396"/>
      <c r="O18" s="396"/>
      <c r="P18" s="396"/>
      <c r="Q18" s="396"/>
      <c r="R18" s="396"/>
      <c r="S18" s="397"/>
      <c r="T18" s="241"/>
      <c r="U18" s="241"/>
      <c r="V18" s="242"/>
      <c r="W18" s="241"/>
      <c r="X18" s="395" t="s">
        <v>16</v>
      </c>
      <c r="Y18" s="396"/>
      <c r="Z18" s="396"/>
      <c r="AA18" s="396"/>
      <c r="AB18" s="396"/>
      <c r="AC18" s="396"/>
      <c r="AD18" s="397"/>
      <c r="AE18" s="258"/>
      <c r="AF18" s="258"/>
    </row>
    <row r="19" spans="1:32" ht="28.8" customHeight="1" x14ac:dyDescent="0.3">
      <c r="A19" s="1"/>
      <c r="B19" s="1"/>
      <c r="C19" s="1"/>
      <c r="D19" s="1"/>
      <c r="M19" s="398"/>
      <c r="N19" s="399"/>
      <c r="O19" s="399"/>
      <c r="P19" s="399"/>
      <c r="Q19" s="399"/>
      <c r="R19" s="399"/>
      <c r="S19" s="400"/>
      <c r="T19" s="241"/>
      <c r="U19" s="241"/>
      <c r="V19" s="242"/>
      <c r="W19" s="241"/>
      <c r="X19" s="398"/>
      <c r="Y19" s="399"/>
      <c r="Z19" s="399"/>
      <c r="AA19" s="399"/>
      <c r="AB19" s="399"/>
      <c r="AC19" s="399"/>
      <c r="AD19" s="400"/>
      <c r="AE19" s="258"/>
      <c r="AF19" s="258"/>
    </row>
    <row r="20" spans="1:32" ht="28.8" customHeight="1" thickBot="1" x14ac:dyDescent="0.6">
      <c r="A20" s="1"/>
      <c r="B20" s="1"/>
      <c r="C20" s="1"/>
      <c r="D20" s="1"/>
      <c r="M20" s="401"/>
      <c r="N20" s="402"/>
      <c r="O20" s="402"/>
      <c r="P20" s="402"/>
      <c r="Q20" s="402"/>
      <c r="R20" s="402"/>
      <c r="S20" s="403"/>
      <c r="T20" s="241"/>
      <c r="U20" s="241"/>
      <c r="V20" s="242"/>
      <c r="W20" s="241"/>
      <c r="X20" s="401"/>
      <c r="Y20" s="402"/>
      <c r="Z20" s="402"/>
      <c r="AA20" s="402"/>
      <c r="AB20" s="402"/>
      <c r="AC20" s="402"/>
      <c r="AD20" s="403"/>
      <c r="AE20" s="55"/>
      <c r="AF20" s="55"/>
    </row>
    <row r="21" spans="1:32" ht="28.8" customHeight="1" x14ac:dyDescent="0.55000000000000004">
      <c r="A21" s="1"/>
      <c r="B21" s="1"/>
      <c r="C21" s="1"/>
      <c r="D21" s="1"/>
      <c r="M21" s="17" t="s">
        <v>13</v>
      </c>
      <c r="N21" s="19" t="s">
        <v>13</v>
      </c>
      <c r="O21" s="19" t="s">
        <v>13</v>
      </c>
      <c r="P21" s="19" t="s">
        <v>13</v>
      </c>
      <c r="Q21" s="19" t="s">
        <v>13</v>
      </c>
      <c r="R21" s="12" t="s">
        <v>13</v>
      </c>
      <c r="S21" s="245" t="s">
        <v>13</v>
      </c>
      <c r="T21" s="241"/>
      <c r="U21" s="241"/>
      <c r="V21" s="242"/>
      <c r="W21" s="241"/>
      <c r="X21" s="53" t="s">
        <v>13</v>
      </c>
      <c r="Y21" s="244" t="s">
        <v>13</v>
      </c>
      <c r="Z21" s="244" t="s">
        <v>13</v>
      </c>
      <c r="AA21" s="244" t="s">
        <v>13</v>
      </c>
      <c r="AB21" s="244" t="s">
        <v>13</v>
      </c>
      <c r="AC21" s="12" t="s">
        <v>13</v>
      </c>
      <c r="AD21" s="13" t="s">
        <v>13</v>
      </c>
      <c r="AE21" s="91"/>
      <c r="AF21" s="55"/>
    </row>
    <row r="22" spans="1:32" ht="28.8" customHeight="1" x14ac:dyDescent="0.55000000000000004">
      <c r="A22" s="1"/>
      <c r="B22" s="1"/>
      <c r="C22" s="1"/>
      <c r="D22" s="1"/>
      <c r="M22" s="17" t="s">
        <v>13</v>
      </c>
      <c r="N22" s="243" t="s">
        <v>17</v>
      </c>
      <c r="O22" s="18"/>
      <c r="P22" s="19" t="s">
        <v>13</v>
      </c>
      <c r="Q22" s="19" t="s">
        <v>13</v>
      </c>
      <c r="R22" s="240" t="s">
        <v>18</v>
      </c>
      <c r="S22" s="245" t="s">
        <v>13</v>
      </c>
      <c r="T22" s="241"/>
      <c r="U22" s="241"/>
      <c r="V22" s="242"/>
      <c r="W22" s="241"/>
      <c r="X22" s="53" t="s">
        <v>13</v>
      </c>
      <c r="Y22" s="246" t="s">
        <v>17</v>
      </c>
      <c r="Z22" s="247"/>
      <c r="AA22" s="244" t="s">
        <v>13</v>
      </c>
      <c r="AB22" s="244" t="s">
        <v>13</v>
      </c>
      <c r="AC22" s="240" t="s">
        <v>19</v>
      </c>
      <c r="AD22" s="13" t="s">
        <v>13</v>
      </c>
      <c r="AE22" s="55"/>
      <c r="AF22" s="55"/>
    </row>
    <row r="23" spans="1:32" ht="28.8" customHeight="1" x14ac:dyDescent="0.55000000000000004">
      <c r="A23" s="1"/>
      <c r="B23" s="1"/>
      <c r="C23" s="1"/>
      <c r="D23" s="1"/>
      <c r="M23" s="17" t="s">
        <v>13</v>
      </c>
      <c r="N23" s="19" t="s">
        <v>13</v>
      </c>
      <c r="O23" s="19" t="s">
        <v>13</v>
      </c>
      <c r="P23" s="19" t="s">
        <v>13</v>
      </c>
      <c r="Q23" s="19" t="s">
        <v>13</v>
      </c>
      <c r="R23" s="12" t="s">
        <v>13</v>
      </c>
      <c r="S23" s="13" t="s">
        <v>13</v>
      </c>
      <c r="T23" s="178"/>
      <c r="U23" s="178"/>
      <c r="V23" s="1"/>
      <c r="W23" s="178"/>
      <c r="X23" s="17" t="s">
        <v>13</v>
      </c>
      <c r="Y23" s="19" t="s">
        <v>13</v>
      </c>
      <c r="Z23" s="19" t="s">
        <v>13</v>
      </c>
      <c r="AA23" s="19" t="s">
        <v>13</v>
      </c>
      <c r="AB23" s="19" t="s">
        <v>13</v>
      </c>
      <c r="AC23" s="12" t="s">
        <v>13</v>
      </c>
      <c r="AD23" s="13" t="s">
        <v>13</v>
      </c>
      <c r="AE23" s="91"/>
      <c r="AF23" s="55"/>
    </row>
    <row r="24" spans="1:32" ht="28.8" customHeight="1" x14ac:dyDescent="0.55000000000000004">
      <c r="A24" s="1"/>
      <c r="B24" s="1"/>
      <c r="C24" s="1"/>
      <c r="D24" s="1"/>
      <c r="M24" s="17" t="s">
        <v>13</v>
      </c>
      <c r="N24" s="243" t="s">
        <v>20</v>
      </c>
      <c r="O24" s="18"/>
      <c r="P24" s="19" t="s">
        <v>13</v>
      </c>
      <c r="Q24" s="19" t="s">
        <v>13</v>
      </c>
      <c r="R24" s="240" t="s">
        <v>21</v>
      </c>
      <c r="S24" s="245" t="s">
        <v>13</v>
      </c>
      <c r="T24" s="241"/>
      <c r="U24" s="241"/>
      <c r="V24" s="242"/>
      <c r="W24" s="241"/>
      <c r="X24" s="53" t="s">
        <v>13</v>
      </c>
      <c r="Y24" s="246" t="s">
        <v>20</v>
      </c>
      <c r="Z24" s="18"/>
      <c r="AA24" s="19" t="s">
        <v>13</v>
      </c>
      <c r="AB24" s="19" t="s">
        <v>13</v>
      </c>
      <c r="AC24" s="240" t="s">
        <v>22</v>
      </c>
      <c r="AD24" s="13" t="s">
        <v>13</v>
      </c>
      <c r="AE24" s="55"/>
      <c r="AF24" s="55"/>
    </row>
    <row r="25" spans="1:32" ht="28.8" customHeight="1" x14ac:dyDescent="0.55000000000000004">
      <c r="A25" s="1"/>
      <c r="B25" s="1"/>
      <c r="C25" s="1"/>
      <c r="D25" s="1"/>
      <c r="M25" s="17" t="s">
        <v>13</v>
      </c>
      <c r="N25" s="19" t="s">
        <v>13</v>
      </c>
      <c r="O25" s="19" t="s">
        <v>13</v>
      </c>
      <c r="P25" s="19" t="s">
        <v>13</v>
      </c>
      <c r="Q25" s="19" t="s">
        <v>13</v>
      </c>
      <c r="R25" s="248" t="s">
        <v>13</v>
      </c>
      <c r="S25" s="245" t="s">
        <v>13</v>
      </c>
      <c r="T25" s="241"/>
      <c r="U25" s="241"/>
      <c r="V25" s="242"/>
      <c r="W25" s="241"/>
      <c r="X25" s="53" t="s">
        <v>13</v>
      </c>
      <c r="Y25" s="244" t="s">
        <v>13</v>
      </c>
      <c r="Z25" s="19" t="s">
        <v>13</v>
      </c>
      <c r="AA25" s="19" t="s">
        <v>13</v>
      </c>
      <c r="AB25" s="19" t="s">
        <v>13</v>
      </c>
      <c r="AC25" s="12" t="s">
        <v>13</v>
      </c>
      <c r="AD25" s="13" t="s">
        <v>13</v>
      </c>
      <c r="AE25" s="55"/>
      <c r="AF25" s="55"/>
    </row>
    <row r="26" spans="1:32" ht="28.8" customHeight="1" thickBot="1" x14ac:dyDescent="0.6">
      <c r="A26" s="1"/>
      <c r="B26" s="1"/>
      <c r="C26" s="1"/>
      <c r="D26" s="1"/>
      <c r="M26" s="20" t="s">
        <v>13</v>
      </c>
      <c r="N26" s="21" t="s">
        <v>13</v>
      </c>
      <c r="O26" s="21" t="s">
        <v>13</v>
      </c>
      <c r="P26" s="21" t="s">
        <v>13</v>
      </c>
      <c r="Q26" s="21" t="s">
        <v>13</v>
      </c>
      <c r="R26" s="249" t="s">
        <v>13</v>
      </c>
      <c r="S26" s="250" t="s">
        <v>13</v>
      </c>
      <c r="T26" s="241"/>
      <c r="U26" s="241"/>
      <c r="V26" s="242"/>
      <c r="W26" s="241"/>
      <c r="X26" s="251" t="s">
        <v>13</v>
      </c>
      <c r="Y26" s="252" t="s">
        <v>13</v>
      </c>
      <c r="Z26" s="21" t="s">
        <v>13</v>
      </c>
      <c r="AA26" s="21" t="s">
        <v>13</v>
      </c>
      <c r="AB26" s="21" t="s">
        <v>13</v>
      </c>
      <c r="AC26" s="15" t="s">
        <v>13</v>
      </c>
      <c r="AD26" s="16" t="s">
        <v>13</v>
      </c>
      <c r="AE26" s="90"/>
      <c r="AF26" s="90"/>
    </row>
    <row r="27" spans="1:32" ht="28.8" customHeight="1" x14ac:dyDescent="0.3">
      <c r="A27" s="1"/>
      <c r="B27" s="1"/>
      <c r="C27" s="1"/>
      <c r="D27" s="1"/>
      <c r="M27" s="178"/>
      <c r="N27" s="178"/>
      <c r="O27" s="178"/>
      <c r="P27" s="178"/>
      <c r="Q27" s="178"/>
      <c r="R27" s="241"/>
      <c r="S27" s="241"/>
      <c r="T27" s="241"/>
      <c r="U27" s="242"/>
      <c r="V27" s="242"/>
      <c r="W27" s="242"/>
      <c r="X27" s="242"/>
      <c r="Y27" s="242"/>
      <c r="Z27" s="1"/>
      <c r="AA27" s="1"/>
      <c r="AB27" s="1"/>
      <c r="AC27" s="1"/>
      <c r="AD27" s="178"/>
      <c r="AE27" s="90"/>
      <c r="AF27" s="90"/>
    </row>
    <row r="28" spans="1:32" ht="28.8" customHeight="1" thickBot="1" x14ac:dyDescent="0.35">
      <c r="A28" s="1"/>
      <c r="B28" s="1"/>
      <c r="C28" s="1"/>
      <c r="D28" s="1"/>
      <c r="M28" s="178"/>
      <c r="N28" s="178"/>
      <c r="O28" s="1"/>
      <c r="P28" s="1"/>
      <c r="Q28" s="1"/>
      <c r="R28" s="1"/>
      <c r="S28" s="1"/>
      <c r="T28" s="1"/>
      <c r="U28" s="242"/>
      <c r="V28" s="242"/>
      <c r="W28" s="242"/>
      <c r="X28" s="242"/>
      <c r="Y28" s="242"/>
      <c r="Z28" s="242"/>
      <c r="AA28" s="242"/>
      <c r="AB28" s="1"/>
      <c r="AC28" s="1"/>
      <c r="AD28" s="178"/>
      <c r="AE28" s="258"/>
      <c r="AF28" s="258"/>
    </row>
    <row r="29" spans="1:32" ht="28.8" customHeight="1" x14ac:dyDescent="0.3">
      <c r="A29" s="1"/>
      <c r="B29" s="1"/>
      <c r="C29" s="1"/>
      <c r="D29" s="1"/>
      <c r="M29" s="395" t="s">
        <v>16</v>
      </c>
      <c r="N29" s="396"/>
      <c r="O29" s="396"/>
      <c r="P29" s="396"/>
      <c r="Q29" s="396"/>
      <c r="R29" s="396"/>
      <c r="S29" s="397"/>
      <c r="T29" s="178"/>
      <c r="U29" s="241"/>
      <c r="V29" s="242"/>
      <c r="W29" s="241"/>
      <c r="X29" s="395" t="s">
        <v>16</v>
      </c>
      <c r="Y29" s="396"/>
      <c r="Z29" s="396"/>
      <c r="AA29" s="396"/>
      <c r="AB29" s="396"/>
      <c r="AC29" s="396"/>
      <c r="AD29" s="397"/>
      <c r="AE29" s="258"/>
      <c r="AF29" s="258"/>
    </row>
    <row r="30" spans="1:32" ht="28.8" customHeight="1" x14ac:dyDescent="0.3">
      <c r="A30" s="1"/>
      <c r="B30" s="1"/>
      <c r="C30" s="1"/>
      <c r="D30" s="1"/>
      <c r="M30" s="398"/>
      <c r="N30" s="399"/>
      <c r="O30" s="399"/>
      <c r="P30" s="399"/>
      <c r="Q30" s="399"/>
      <c r="R30" s="399"/>
      <c r="S30" s="400"/>
      <c r="T30" s="241"/>
      <c r="U30" s="241"/>
      <c r="V30" s="242"/>
      <c r="W30" s="241"/>
      <c r="X30" s="398"/>
      <c r="Y30" s="399"/>
      <c r="Z30" s="399"/>
      <c r="AA30" s="399"/>
      <c r="AB30" s="399"/>
      <c r="AC30" s="399"/>
      <c r="AD30" s="400"/>
      <c r="AE30" s="258"/>
      <c r="AF30" s="258"/>
    </row>
    <row r="31" spans="1:32" ht="28.8" customHeight="1" thickBot="1" x14ac:dyDescent="0.6">
      <c r="A31" s="1"/>
      <c r="B31" s="1"/>
      <c r="C31" s="1"/>
      <c r="D31" s="1"/>
      <c r="M31" s="401"/>
      <c r="N31" s="402"/>
      <c r="O31" s="402"/>
      <c r="P31" s="402"/>
      <c r="Q31" s="402"/>
      <c r="R31" s="402"/>
      <c r="S31" s="403"/>
      <c r="T31" s="241"/>
      <c r="U31" s="241"/>
      <c r="V31" s="242"/>
      <c r="W31" s="241"/>
      <c r="X31" s="401"/>
      <c r="Y31" s="402"/>
      <c r="Z31" s="402"/>
      <c r="AA31" s="402"/>
      <c r="AB31" s="402"/>
      <c r="AC31" s="402"/>
      <c r="AD31" s="403"/>
      <c r="AE31" s="55"/>
      <c r="AF31" s="55"/>
    </row>
    <row r="32" spans="1:32" ht="28.8" customHeight="1" x14ac:dyDescent="0.55000000000000004">
      <c r="A32" s="1"/>
      <c r="B32" s="1"/>
      <c r="C32" s="1"/>
      <c r="D32" s="1"/>
      <c r="M32" s="17" t="s">
        <v>13</v>
      </c>
      <c r="N32" s="56" t="s">
        <v>13</v>
      </c>
      <c r="O32" s="56" t="s">
        <v>13</v>
      </c>
      <c r="P32" s="56" t="s">
        <v>13</v>
      </c>
      <c r="Q32" s="56" t="s">
        <v>13</v>
      </c>
      <c r="R32" s="58" t="s">
        <v>13</v>
      </c>
      <c r="S32" s="245" t="s">
        <v>13</v>
      </c>
      <c r="T32" s="241"/>
      <c r="U32" s="241"/>
      <c r="V32" s="242"/>
      <c r="W32" s="241"/>
      <c r="X32" s="53" t="s">
        <v>13</v>
      </c>
      <c r="Y32" s="52" t="s">
        <v>13</v>
      </c>
      <c r="Z32" s="52" t="s">
        <v>13</v>
      </c>
      <c r="AA32" s="52" t="s">
        <v>13</v>
      </c>
      <c r="AB32" s="52" t="s">
        <v>13</v>
      </c>
      <c r="AC32" s="58" t="s">
        <v>13</v>
      </c>
      <c r="AD32" s="13" t="s">
        <v>13</v>
      </c>
      <c r="AE32" s="91"/>
      <c r="AF32" s="55"/>
    </row>
    <row r="33" spans="1:32" ht="28.8" customHeight="1" x14ac:dyDescent="0.55000000000000004">
      <c r="A33" s="1"/>
      <c r="B33" s="1"/>
      <c r="C33" s="1"/>
      <c r="D33" s="1"/>
      <c r="M33" s="17" t="s">
        <v>13</v>
      </c>
      <c r="N33" s="255" t="s">
        <v>17</v>
      </c>
      <c r="O33" s="57"/>
      <c r="P33" s="56" t="s">
        <v>13</v>
      </c>
      <c r="Q33" s="56" t="s">
        <v>13</v>
      </c>
      <c r="R33" s="240" t="s">
        <v>23</v>
      </c>
      <c r="S33" s="245" t="s">
        <v>13</v>
      </c>
      <c r="T33" s="241"/>
      <c r="U33" s="241"/>
      <c r="V33" s="242"/>
      <c r="W33" s="241"/>
      <c r="X33" s="53" t="s">
        <v>13</v>
      </c>
      <c r="Y33" s="256" t="s">
        <v>17</v>
      </c>
      <c r="Z33" s="92"/>
      <c r="AA33" s="52" t="s">
        <v>13</v>
      </c>
      <c r="AB33" s="52" t="s">
        <v>13</v>
      </c>
      <c r="AC33" s="240" t="s">
        <v>24</v>
      </c>
      <c r="AD33" s="13" t="s">
        <v>13</v>
      </c>
      <c r="AE33" s="55"/>
      <c r="AF33" s="55"/>
    </row>
    <row r="34" spans="1:32" ht="28.8" customHeight="1" x14ac:dyDescent="0.55000000000000004">
      <c r="A34" s="1"/>
      <c r="B34" s="1"/>
      <c r="C34" s="1"/>
      <c r="D34" s="1"/>
      <c r="M34" s="17" t="s">
        <v>13</v>
      </c>
      <c r="N34" s="56" t="s">
        <v>13</v>
      </c>
      <c r="O34" s="56" t="s">
        <v>13</v>
      </c>
      <c r="P34" s="56" t="s">
        <v>13</v>
      </c>
      <c r="Q34" s="56" t="s">
        <v>13</v>
      </c>
      <c r="R34" s="58" t="s">
        <v>13</v>
      </c>
      <c r="S34" s="13" t="s">
        <v>13</v>
      </c>
      <c r="T34" s="178"/>
      <c r="U34" s="178"/>
      <c r="V34" s="1"/>
      <c r="W34" s="178"/>
      <c r="X34" s="17" t="s">
        <v>13</v>
      </c>
      <c r="Y34" s="56" t="s">
        <v>13</v>
      </c>
      <c r="Z34" s="56" t="s">
        <v>13</v>
      </c>
      <c r="AA34" s="56" t="s">
        <v>13</v>
      </c>
      <c r="AB34" s="56" t="s">
        <v>13</v>
      </c>
      <c r="AC34" s="58" t="s">
        <v>13</v>
      </c>
      <c r="AD34" s="13" t="s">
        <v>13</v>
      </c>
      <c r="AE34" s="91"/>
      <c r="AF34" s="55"/>
    </row>
    <row r="35" spans="1:32" ht="28.8" customHeight="1" x14ac:dyDescent="0.55000000000000004">
      <c r="A35" s="1"/>
      <c r="B35" s="1"/>
      <c r="C35" s="1"/>
      <c r="D35" s="1"/>
      <c r="M35" s="17" t="s">
        <v>13</v>
      </c>
      <c r="N35" s="255" t="s">
        <v>20</v>
      </c>
      <c r="O35" s="57"/>
      <c r="P35" s="56" t="s">
        <v>13</v>
      </c>
      <c r="Q35" s="56" t="s">
        <v>13</v>
      </c>
      <c r="R35" s="240" t="s">
        <v>25</v>
      </c>
      <c r="S35" s="13" t="s">
        <v>13</v>
      </c>
      <c r="T35" s="178"/>
      <c r="U35" s="178"/>
      <c r="V35" s="1"/>
      <c r="W35" s="178"/>
      <c r="X35" s="17" t="s">
        <v>13</v>
      </c>
      <c r="Y35" s="255" t="s">
        <v>20</v>
      </c>
      <c r="Z35" s="57"/>
      <c r="AA35" s="56" t="s">
        <v>13</v>
      </c>
      <c r="AB35" s="56" t="s">
        <v>13</v>
      </c>
      <c r="AC35" s="240" t="s">
        <v>26</v>
      </c>
      <c r="AD35" s="13" t="s">
        <v>13</v>
      </c>
      <c r="AE35" s="55"/>
      <c r="AF35" s="55"/>
    </row>
    <row r="36" spans="1:32" ht="28.8" customHeight="1" x14ac:dyDescent="0.55000000000000004">
      <c r="A36" s="1"/>
      <c r="B36" s="1"/>
      <c r="C36" s="1"/>
      <c r="D36" s="1"/>
      <c r="M36" s="17" t="s">
        <v>13</v>
      </c>
      <c r="N36" s="56" t="s">
        <v>13</v>
      </c>
      <c r="O36" s="56" t="s">
        <v>13</v>
      </c>
      <c r="P36" s="56" t="s">
        <v>13</v>
      </c>
      <c r="Q36" s="56" t="s">
        <v>13</v>
      </c>
      <c r="R36" s="58" t="s">
        <v>13</v>
      </c>
      <c r="S36" s="13" t="s">
        <v>13</v>
      </c>
      <c r="T36" s="178"/>
      <c r="U36" s="178"/>
      <c r="V36" s="1"/>
      <c r="W36" s="178"/>
      <c r="X36" s="17" t="s">
        <v>13</v>
      </c>
      <c r="Y36" s="56" t="s">
        <v>13</v>
      </c>
      <c r="Z36" s="56" t="s">
        <v>13</v>
      </c>
      <c r="AA36" s="56" t="s">
        <v>13</v>
      </c>
      <c r="AB36" s="56" t="s">
        <v>13</v>
      </c>
      <c r="AC36" s="58" t="s">
        <v>13</v>
      </c>
      <c r="AD36" s="13" t="s">
        <v>13</v>
      </c>
      <c r="AE36" s="55"/>
      <c r="AF36" s="55"/>
    </row>
    <row r="37" spans="1:32" ht="28.8" customHeight="1" thickBot="1" x14ac:dyDescent="0.6">
      <c r="A37" s="1"/>
      <c r="B37" s="1"/>
      <c r="C37" s="1"/>
      <c r="D37" s="1"/>
      <c r="M37" s="20" t="s">
        <v>13</v>
      </c>
      <c r="N37" s="21" t="s">
        <v>13</v>
      </c>
      <c r="O37" s="21" t="s">
        <v>13</v>
      </c>
      <c r="P37" s="21" t="s">
        <v>13</v>
      </c>
      <c r="Q37" s="21" t="s">
        <v>13</v>
      </c>
      <c r="R37" s="15" t="s">
        <v>13</v>
      </c>
      <c r="S37" s="16" t="s">
        <v>13</v>
      </c>
      <c r="T37" s="178"/>
      <c r="U37" s="178"/>
      <c r="V37" s="1"/>
      <c r="W37" s="178"/>
      <c r="X37" s="20" t="s">
        <v>13</v>
      </c>
      <c r="Y37" s="21" t="s">
        <v>13</v>
      </c>
      <c r="Z37" s="21" t="s">
        <v>13</v>
      </c>
      <c r="AA37" s="21" t="s">
        <v>13</v>
      </c>
      <c r="AB37" s="21" t="s">
        <v>13</v>
      </c>
      <c r="AC37" s="15" t="s">
        <v>13</v>
      </c>
      <c r="AD37" s="16" t="s">
        <v>13</v>
      </c>
    </row>
    <row r="38" spans="1:32" ht="28.8" customHeight="1" x14ac:dyDescent="0.3">
      <c r="A38" s="1"/>
      <c r="B38" s="1"/>
      <c r="C38" s="1"/>
      <c r="D38" s="1"/>
      <c r="O38" s="90"/>
      <c r="P38" s="90"/>
      <c r="Q38" s="90"/>
      <c r="R38" s="90"/>
      <c r="S38" s="253"/>
      <c r="T38" s="257"/>
      <c r="U38" s="257"/>
      <c r="V38" s="257"/>
      <c r="W38" s="257"/>
      <c r="X38" s="257"/>
      <c r="Y38" s="257"/>
      <c r="Z38" s="257"/>
      <c r="AA38" s="257"/>
      <c r="AB38" s="90"/>
      <c r="AC38" s="90"/>
      <c r="AD38" s="90"/>
      <c r="AE38" s="90"/>
      <c r="AF38" s="90"/>
    </row>
    <row r="39" spans="1:32" ht="28.8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90"/>
      <c r="P39" s="90"/>
      <c r="Q39" s="90"/>
      <c r="R39" s="90"/>
      <c r="S39" s="253"/>
      <c r="T39" s="257"/>
      <c r="U39" s="257"/>
      <c r="V39" s="257"/>
      <c r="W39" s="257"/>
      <c r="X39" s="257"/>
      <c r="Y39" s="257"/>
      <c r="Z39" s="257"/>
      <c r="AA39" s="257"/>
      <c r="AB39" s="90"/>
      <c r="AC39" s="90"/>
      <c r="AD39" s="90"/>
      <c r="AE39" s="90"/>
      <c r="AF39" s="90"/>
    </row>
    <row r="40" spans="1:32" ht="28.8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90"/>
      <c r="P40" s="90"/>
      <c r="Q40" s="253"/>
      <c r="R40" s="253"/>
      <c r="S40" s="253"/>
      <c r="T40" s="167"/>
      <c r="U40" s="167"/>
      <c r="V40" s="167"/>
      <c r="W40" s="167"/>
      <c r="X40" s="167"/>
      <c r="Y40" s="167"/>
      <c r="Z40" s="167"/>
      <c r="AA40" s="167"/>
      <c r="AB40" s="90"/>
      <c r="AC40" s="90"/>
      <c r="AD40" s="90"/>
      <c r="AE40" s="90"/>
      <c r="AF40" s="90"/>
    </row>
    <row r="41" spans="1:32" ht="28.8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90"/>
      <c r="P41" s="90"/>
      <c r="Q41" s="253"/>
      <c r="R41" s="253"/>
      <c r="S41" s="253"/>
      <c r="T41" s="167"/>
      <c r="U41" s="167"/>
      <c r="V41" s="167"/>
      <c r="W41" s="167"/>
      <c r="X41" s="167"/>
      <c r="Y41" s="167"/>
      <c r="Z41" s="167"/>
      <c r="AA41" s="167"/>
      <c r="AB41" s="90"/>
      <c r="AC41" s="90"/>
      <c r="AD41" s="90"/>
      <c r="AE41" s="90"/>
      <c r="AF41" s="90"/>
    </row>
    <row r="42" spans="1:32" ht="28.8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90"/>
      <c r="P42" s="90"/>
      <c r="Q42" s="253"/>
      <c r="R42" s="253"/>
      <c r="S42" s="253"/>
      <c r="T42" s="253"/>
      <c r="U42" s="253"/>
      <c r="V42" s="253"/>
      <c r="W42" s="253"/>
      <c r="X42" s="253"/>
      <c r="Y42" s="253"/>
      <c r="Z42" s="90"/>
      <c r="AA42" s="90"/>
      <c r="AB42" s="90"/>
      <c r="AC42" s="90"/>
      <c r="AD42" s="90"/>
      <c r="AE42" s="90"/>
      <c r="AF42" s="90"/>
    </row>
    <row r="43" spans="1:32" ht="28.8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90"/>
      <c r="P43" s="90"/>
      <c r="Q43" s="253"/>
      <c r="R43" s="253"/>
      <c r="S43" s="253"/>
      <c r="T43" s="253"/>
      <c r="U43" s="253"/>
      <c r="V43" s="253"/>
      <c r="W43" s="253"/>
      <c r="X43" s="253"/>
      <c r="Y43" s="253"/>
      <c r="Z43" s="253"/>
      <c r="AA43" s="253"/>
      <c r="AB43" s="253"/>
      <c r="AC43" s="253"/>
      <c r="AD43" s="90"/>
      <c r="AE43" s="90"/>
      <c r="AF43" s="90"/>
    </row>
    <row r="44" spans="1:32" ht="24.6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258"/>
      <c r="P44" s="258"/>
      <c r="Q44" s="258"/>
      <c r="R44" s="258"/>
      <c r="S44" s="258"/>
      <c r="T44" s="258"/>
      <c r="U44" s="258"/>
      <c r="V44" s="253"/>
      <c r="W44" s="253"/>
      <c r="X44" s="253"/>
      <c r="Y44" s="253"/>
      <c r="Z44" s="258"/>
      <c r="AA44" s="258"/>
      <c r="AB44" s="258"/>
      <c r="AC44" s="258"/>
      <c r="AD44" s="258"/>
      <c r="AE44" s="258"/>
      <c r="AF44" s="258"/>
    </row>
    <row r="45" spans="1:32" ht="24.6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258"/>
      <c r="P45" s="258"/>
      <c r="Q45" s="258"/>
      <c r="R45" s="258"/>
      <c r="S45" s="258"/>
      <c r="T45" s="258"/>
      <c r="U45" s="258"/>
      <c r="V45" s="253"/>
      <c r="W45" s="253"/>
      <c r="X45" s="253"/>
      <c r="Y45" s="253"/>
      <c r="Z45" s="258"/>
      <c r="AA45" s="258"/>
      <c r="AB45" s="258"/>
      <c r="AC45" s="258"/>
      <c r="AD45" s="258"/>
      <c r="AE45" s="258"/>
      <c r="AF45" s="258"/>
    </row>
    <row r="46" spans="1:32" ht="24.6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258"/>
      <c r="P46" s="258"/>
      <c r="Q46" s="258"/>
      <c r="R46" s="258"/>
      <c r="S46" s="258"/>
      <c r="T46" s="258"/>
      <c r="U46" s="258"/>
      <c r="V46" s="253"/>
      <c r="W46" s="253"/>
      <c r="X46" s="253"/>
      <c r="Y46" s="253"/>
      <c r="Z46" s="258"/>
      <c r="AA46" s="258"/>
      <c r="AB46" s="258"/>
      <c r="AC46" s="258"/>
      <c r="AD46" s="258"/>
      <c r="AE46" s="258"/>
      <c r="AF46" s="258"/>
    </row>
    <row r="47" spans="1:32" ht="28.8" x14ac:dyDescent="0.5500000000000000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259"/>
      <c r="P47" s="259"/>
      <c r="Q47" s="259"/>
      <c r="R47" s="259"/>
      <c r="S47" s="259"/>
      <c r="T47" s="55"/>
      <c r="U47" s="260"/>
      <c r="V47" s="253"/>
      <c r="W47" s="253"/>
      <c r="X47" s="253"/>
      <c r="Y47" s="253"/>
      <c r="Z47" s="93"/>
      <c r="AA47" s="93"/>
      <c r="AB47" s="93"/>
      <c r="AC47" s="93"/>
      <c r="AD47" s="93"/>
      <c r="AE47" s="55"/>
      <c r="AF47" s="55"/>
    </row>
    <row r="48" spans="1:32" ht="28.8" x14ac:dyDescent="0.5500000000000000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259"/>
      <c r="P48" s="261"/>
      <c r="Q48" s="262"/>
      <c r="R48" s="259"/>
      <c r="S48" s="259"/>
      <c r="T48" s="91"/>
      <c r="U48" s="260"/>
      <c r="V48" s="253"/>
      <c r="W48" s="253"/>
      <c r="X48" s="253"/>
      <c r="Y48" s="253"/>
      <c r="Z48" s="93"/>
      <c r="AA48" s="263"/>
      <c r="AB48" s="94"/>
      <c r="AC48" s="93"/>
      <c r="AD48" s="93"/>
      <c r="AE48" s="91"/>
      <c r="AF48" s="55"/>
    </row>
    <row r="49" spans="1:32" ht="28.8" x14ac:dyDescent="0.5500000000000000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259"/>
      <c r="P49" s="259"/>
      <c r="Q49" s="259"/>
      <c r="R49" s="259"/>
      <c r="S49" s="259"/>
      <c r="T49" s="55"/>
      <c r="U49" s="55"/>
      <c r="V49" s="90"/>
      <c r="W49" s="90"/>
      <c r="X49" s="90"/>
      <c r="Y49" s="90"/>
      <c r="Z49" s="259"/>
      <c r="AA49" s="259"/>
      <c r="AB49" s="259"/>
      <c r="AC49" s="259"/>
      <c r="AD49" s="259"/>
      <c r="AE49" s="55"/>
      <c r="AF49" s="55"/>
    </row>
    <row r="50" spans="1:32" ht="28.8" x14ac:dyDescent="0.5500000000000000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259"/>
      <c r="P50" s="261"/>
      <c r="Q50" s="262"/>
      <c r="R50" s="259"/>
      <c r="S50" s="259"/>
      <c r="T50" s="264"/>
      <c r="U50" s="260"/>
      <c r="V50" s="253"/>
      <c r="W50" s="253"/>
      <c r="X50" s="253"/>
      <c r="Y50" s="253"/>
      <c r="Z50" s="93"/>
      <c r="AA50" s="263"/>
      <c r="AB50" s="262"/>
      <c r="AC50" s="259"/>
      <c r="AD50" s="259"/>
      <c r="AE50" s="91"/>
      <c r="AF50" s="55"/>
    </row>
    <row r="51" spans="1:32" ht="28.8" x14ac:dyDescent="0.5500000000000000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259"/>
      <c r="P51" s="259"/>
      <c r="Q51" s="259"/>
      <c r="R51" s="259"/>
      <c r="S51" s="259"/>
      <c r="T51" s="260"/>
      <c r="U51" s="260"/>
      <c r="V51" s="253"/>
      <c r="W51" s="253"/>
      <c r="X51" s="253"/>
      <c r="Y51" s="253"/>
      <c r="Z51" s="93"/>
      <c r="AA51" s="93"/>
      <c r="AB51" s="259"/>
      <c r="AC51" s="259"/>
      <c r="AD51" s="259"/>
      <c r="AE51" s="55"/>
      <c r="AF51" s="55"/>
    </row>
    <row r="52" spans="1:32" ht="28.8" x14ac:dyDescent="0.5500000000000000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259"/>
      <c r="P52" s="259"/>
      <c r="Q52" s="259"/>
      <c r="R52" s="259"/>
      <c r="S52" s="259"/>
      <c r="T52" s="260"/>
      <c r="U52" s="260"/>
      <c r="V52" s="253"/>
      <c r="W52" s="253"/>
      <c r="X52" s="253"/>
      <c r="Y52" s="253"/>
      <c r="Z52" s="93"/>
      <c r="AA52" s="93"/>
      <c r="AB52" s="259"/>
      <c r="AC52" s="259"/>
      <c r="AD52" s="259"/>
      <c r="AE52" s="55"/>
      <c r="AF52" s="55"/>
    </row>
    <row r="53" spans="1:32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90"/>
      <c r="P53" s="90"/>
      <c r="Q53" s="90"/>
      <c r="R53" s="90"/>
      <c r="S53" s="90"/>
      <c r="T53" s="253"/>
      <c r="U53" s="253"/>
      <c r="V53" s="253"/>
      <c r="W53" s="253"/>
      <c r="X53" s="253"/>
      <c r="Y53" s="253"/>
      <c r="Z53" s="253"/>
      <c r="AA53" s="253"/>
      <c r="AB53" s="90"/>
      <c r="AC53" s="90"/>
      <c r="AD53" s="90"/>
      <c r="AE53" s="90"/>
      <c r="AF53" s="90"/>
    </row>
    <row r="54" spans="1:32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90"/>
      <c r="P54" s="90"/>
      <c r="Q54" s="90"/>
      <c r="R54" s="90"/>
      <c r="S54" s="90"/>
      <c r="T54" s="90"/>
      <c r="U54" s="90"/>
      <c r="V54" s="90"/>
      <c r="W54" s="253"/>
      <c r="X54" s="253"/>
      <c r="Y54" s="253"/>
      <c r="Z54" s="253"/>
      <c r="AA54" s="253"/>
      <c r="AB54" s="253"/>
      <c r="AC54" s="253"/>
      <c r="AD54" s="90"/>
      <c r="AE54" s="90"/>
      <c r="AF54" s="90"/>
    </row>
    <row r="55" spans="1:32" ht="24.6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258"/>
      <c r="P55" s="258"/>
      <c r="Q55" s="258"/>
      <c r="R55" s="258"/>
      <c r="S55" s="258"/>
      <c r="T55" s="258"/>
      <c r="U55" s="258"/>
      <c r="V55" s="90"/>
      <c r="W55" s="253"/>
      <c r="X55" s="253"/>
      <c r="Y55" s="253"/>
      <c r="Z55" s="258"/>
      <c r="AA55" s="258"/>
      <c r="AB55" s="258"/>
      <c r="AC55" s="258"/>
      <c r="AD55" s="258"/>
      <c r="AE55" s="258"/>
      <c r="AF55" s="258"/>
    </row>
    <row r="56" spans="1:32" ht="24.6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258"/>
      <c r="P56" s="258"/>
      <c r="Q56" s="258"/>
      <c r="R56" s="258"/>
      <c r="S56" s="258"/>
      <c r="T56" s="258"/>
      <c r="U56" s="258"/>
      <c r="V56" s="253"/>
      <c r="W56" s="253"/>
      <c r="X56" s="253"/>
      <c r="Y56" s="253"/>
      <c r="Z56" s="258"/>
      <c r="AA56" s="258"/>
      <c r="AB56" s="258"/>
      <c r="AC56" s="258"/>
      <c r="AD56" s="258"/>
      <c r="AE56" s="258"/>
      <c r="AF56" s="258"/>
    </row>
    <row r="57" spans="1:32" ht="24.6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258"/>
      <c r="P57" s="258"/>
      <c r="Q57" s="258"/>
      <c r="R57" s="258"/>
      <c r="S57" s="258"/>
      <c r="T57" s="258"/>
      <c r="U57" s="258"/>
      <c r="V57" s="253"/>
      <c r="W57" s="253"/>
      <c r="X57" s="253"/>
      <c r="Y57" s="253"/>
      <c r="Z57" s="258"/>
      <c r="AA57" s="258"/>
      <c r="AB57" s="258"/>
      <c r="AC57" s="258"/>
      <c r="AD57" s="258"/>
      <c r="AE57" s="258"/>
      <c r="AF57" s="258"/>
    </row>
    <row r="58" spans="1:32" ht="28.8" x14ac:dyDescent="0.55000000000000004">
      <c r="O58" s="259"/>
      <c r="P58" s="259"/>
      <c r="Q58" s="259"/>
      <c r="R58" s="259"/>
      <c r="S58" s="259"/>
      <c r="T58" s="55"/>
      <c r="U58" s="260"/>
      <c r="V58" s="253"/>
      <c r="W58" s="253"/>
      <c r="X58" s="253"/>
      <c r="Y58" s="253"/>
      <c r="Z58" s="93"/>
      <c r="AA58" s="93"/>
      <c r="AB58" s="93"/>
      <c r="AC58" s="93"/>
      <c r="AD58" s="93"/>
      <c r="AE58" s="55"/>
      <c r="AF58" s="55"/>
    </row>
    <row r="59" spans="1:32" ht="28.8" x14ac:dyDescent="0.55000000000000004">
      <c r="O59" s="259"/>
      <c r="P59" s="261"/>
      <c r="Q59" s="262"/>
      <c r="R59" s="259"/>
      <c r="S59" s="259"/>
      <c r="T59" s="91"/>
      <c r="U59" s="260"/>
      <c r="V59" s="253"/>
      <c r="W59" s="253"/>
      <c r="X59" s="253"/>
      <c r="Y59" s="253"/>
      <c r="Z59" s="93"/>
      <c r="AA59" s="263"/>
      <c r="AB59" s="94"/>
      <c r="AC59" s="93"/>
      <c r="AD59" s="93"/>
      <c r="AE59" s="91"/>
      <c r="AF59" s="55"/>
    </row>
    <row r="60" spans="1:32" ht="28.8" x14ac:dyDescent="0.55000000000000004">
      <c r="O60" s="259"/>
      <c r="P60" s="259"/>
      <c r="Q60" s="259"/>
      <c r="R60" s="259"/>
      <c r="S60" s="259"/>
      <c r="T60" s="55"/>
      <c r="U60" s="55"/>
      <c r="V60" s="90"/>
      <c r="W60" s="90"/>
      <c r="X60" s="90"/>
      <c r="Y60" s="90"/>
      <c r="Z60" s="259"/>
      <c r="AA60" s="259"/>
      <c r="AB60" s="259"/>
      <c r="AC60" s="259"/>
      <c r="AD60" s="259"/>
      <c r="AE60" s="55"/>
      <c r="AF60" s="55"/>
    </row>
    <row r="61" spans="1:32" ht="28.8" x14ac:dyDescent="0.55000000000000004">
      <c r="O61" s="259"/>
      <c r="P61" s="261"/>
      <c r="Q61" s="262"/>
      <c r="R61" s="259"/>
      <c r="S61" s="259"/>
      <c r="T61" s="91"/>
      <c r="U61" s="55"/>
      <c r="V61" s="90"/>
      <c r="W61" s="90"/>
      <c r="X61" s="90"/>
      <c r="Y61" s="90"/>
      <c r="Z61" s="259"/>
      <c r="AA61" s="261"/>
      <c r="AB61" s="262"/>
      <c r="AC61" s="259"/>
      <c r="AD61" s="259"/>
      <c r="AE61" s="91"/>
      <c r="AF61" s="55"/>
    </row>
    <row r="62" spans="1:32" ht="28.8" x14ac:dyDescent="0.55000000000000004">
      <c r="O62" s="259"/>
      <c r="P62" s="259"/>
      <c r="Q62" s="259"/>
      <c r="R62" s="259"/>
      <c r="S62" s="259"/>
      <c r="T62" s="55"/>
      <c r="U62" s="55"/>
      <c r="V62" s="90"/>
      <c r="W62" s="90"/>
      <c r="X62" s="90"/>
      <c r="Y62" s="90"/>
      <c r="Z62" s="259"/>
      <c r="AA62" s="259"/>
      <c r="AB62" s="259"/>
      <c r="AC62" s="259"/>
      <c r="AD62" s="259"/>
      <c r="AE62" s="55"/>
      <c r="AF62" s="55"/>
    </row>
    <row r="63" spans="1:32" ht="28.8" x14ac:dyDescent="0.55000000000000004">
      <c r="O63" s="259"/>
      <c r="P63" s="259"/>
      <c r="Q63" s="259"/>
      <c r="R63" s="259"/>
      <c r="S63" s="259"/>
      <c r="T63" s="55"/>
      <c r="U63" s="55"/>
      <c r="V63" s="90"/>
      <c r="W63" s="90"/>
      <c r="X63" s="90"/>
      <c r="Y63" s="90"/>
      <c r="Z63" s="259"/>
      <c r="AA63" s="259"/>
      <c r="AB63" s="259"/>
      <c r="AC63" s="259"/>
      <c r="AD63" s="259"/>
      <c r="AE63" s="55"/>
      <c r="AF63" s="55"/>
    </row>
  </sheetData>
  <mergeCells count="6">
    <mergeCell ref="X29:AD31"/>
    <mergeCell ref="R12:AA13"/>
    <mergeCell ref="R14:AA15"/>
    <mergeCell ref="M18:S20"/>
    <mergeCell ref="X18:AD20"/>
    <mergeCell ref="M29:S3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287FF-8AFE-442B-A59F-2A5AF78A820E}">
  <sheetPr codeName="Planilha5">
    <tabColor rgb="FFFF0000"/>
  </sheetPr>
  <dimension ref="A1:BB57"/>
  <sheetViews>
    <sheetView showGridLines="0" zoomScale="40" zoomScaleNormal="40" workbookViewId="0">
      <selection activeCell="J23" sqref="J23"/>
    </sheetView>
  </sheetViews>
  <sheetFormatPr defaultRowHeight="14.4" x14ac:dyDescent="0.3"/>
  <cols>
    <col min="6" max="6" width="23.5546875" bestFit="1" customWidth="1"/>
    <col min="10" max="10" width="34.6640625" customWidth="1"/>
    <col min="11" max="11" width="8.88671875" customWidth="1"/>
    <col min="19" max="19" width="47.6640625" bestFit="1" customWidth="1"/>
    <col min="21" max="21" width="11.44140625" customWidth="1"/>
    <col min="23" max="23" width="47.44140625" customWidth="1"/>
  </cols>
  <sheetData>
    <row r="1" spans="1:54" s="178" customFormat="1" x14ac:dyDescent="0.3">
      <c r="A1" s="182"/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  <c r="AX1" s="182"/>
      <c r="AY1" s="182"/>
      <c r="AZ1" s="182"/>
      <c r="BA1" s="182"/>
      <c r="BB1" s="182"/>
    </row>
    <row r="2" spans="1:54" s="178" customFormat="1" x14ac:dyDescent="0.3">
      <c r="A2" s="182"/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</row>
    <row r="3" spans="1:54" ht="61.5" customHeight="1" x14ac:dyDescent="0.3">
      <c r="A3" s="182"/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</row>
    <row r="4" spans="1:54" ht="46.2" customHeight="1" x14ac:dyDescent="0.3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</row>
    <row r="5" spans="1:54" x14ac:dyDescent="0.3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</row>
    <row r="6" spans="1:54" x14ac:dyDescent="0.3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</row>
    <row r="7" spans="1:54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</row>
    <row r="8" spans="1:54" ht="28.8" customHeight="1" x14ac:dyDescent="0.3"/>
    <row r="9" spans="1:54" ht="28.8" customHeight="1" x14ac:dyDescent="0.3">
      <c r="E9" s="54"/>
      <c r="F9" s="54"/>
      <c r="G9" s="54"/>
      <c r="H9" s="54"/>
      <c r="I9" s="54"/>
      <c r="J9" s="54"/>
      <c r="K9" s="54"/>
    </row>
    <row r="10" spans="1:54" ht="28.8" customHeight="1" x14ac:dyDescent="0.3">
      <c r="E10" s="54"/>
      <c r="F10" s="54"/>
      <c r="G10" s="54"/>
      <c r="H10" s="54"/>
      <c r="I10" s="54"/>
      <c r="J10" s="54"/>
      <c r="K10" s="54"/>
    </row>
    <row r="11" spans="1:54" ht="28.8" customHeight="1" x14ac:dyDescent="0.3">
      <c r="E11" s="54"/>
      <c r="F11" s="54"/>
      <c r="G11" s="54"/>
      <c r="H11" s="54"/>
      <c r="I11" s="54"/>
      <c r="J11" s="54"/>
      <c r="K11" s="54"/>
    </row>
    <row r="12" spans="1:54" ht="28.8" customHeight="1" x14ac:dyDescent="0.55000000000000004">
      <c r="E12" s="259"/>
      <c r="F12" s="259"/>
      <c r="G12" s="259"/>
      <c r="H12" s="259"/>
      <c r="I12" s="259"/>
      <c r="J12" s="55"/>
      <c r="K12" s="55"/>
      <c r="R12" s="178"/>
      <c r="S12" s="178"/>
      <c r="T12" s="178"/>
      <c r="U12" s="178"/>
      <c r="V12" s="178"/>
      <c r="W12" s="178"/>
      <c r="X12" s="178"/>
    </row>
    <row r="13" spans="1:54" ht="28.8" customHeight="1" x14ac:dyDescent="0.55000000000000004">
      <c r="E13" s="259"/>
      <c r="F13" s="265"/>
      <c r="G13" s="262"/>
      <c r="H13" s="259"/>
      <c r="I13" s="259"/>
      <c r="J13" s="59"/>
      <c r="K13" s="55"/>
      <c r="R13" s="178"/>
      <c r="S13" s="178"/>
      <c r="T13" s="178"/>
      <c r="U13" s="178"/>
      <c r="V13" s="178"/>
      <c r="W13" s="178"/>
      <c r="X13" s="178"/>
    </row>
    <row r="14" spans="1:54" ht="28.8" customHeight="1" x14ac:dyDescent="0.55000000000000004">
      <c r="E14" s="259"/>
      <c r="F14" s="259"/>
      <c r="G14" s="259"/>
      <c r="H14" s="259"/>
      <c r="I14" s="259"/>
      <c r="J14" s="55"/>
      <c r="K14" s="55"/>
      <c r="R14" s="178"/>
      <c r="S14" s="178"/>
      <c r="T14" s="178"/>
      <c r="U14" s="178"/>
      <c r="V14" s="178"/>
      <c r="W14" s="178"/>
      <c r="X14" s="178"/>
    </row>
    <row r="15" spans="1:54" ht="28.8" customHeight="1" thickBot="1" x14ac:dyDescent="0.6">
      <c r="E15" s="259"/>
      <c r="F15" s="265"/>
      <c r="G15" s="262"/>
      <c r="H15" s="259"/>
      <c r="I15" s="259"/>
      <c r="J15" s="59"/>
      <c r="K15" s="55"/>
      <c r="R15" s="178"/>
      <c r="S15" s="178"/>
      <c r="T15" s="178"/>
      <c r="U15" s="178"/>
      <c r="V15" s="178"/>
      <c r="W15" s="178"/>
      <c r="X15" s="178"/>
    </row>
    <row r="16" spans="1:54" ht="28.8" customHeight="1" x14ac:dyDescent="0.55000000000000004">
      <c r="E16" s="259"/>
      <c r="F16" s="259"/>
      <c r="G16" s="259"/>
      <c r="H16" s="259"/>
      <c r="I16" s="259"/>
      <c r="J16" s="55"/>
      <c r="K16" s="55"/>
      <c r="R16" s="395" t="s">
        <v>27</v>
      </c>
      <c r="S16" s="396"/>
      <c r="T16" s="396"/>
      <c r="U16" s="396"/>
      <c r="V16" s="396"/>
      <c r="W16" s="396"/>
      <c r="X16" s="397"/>
    </row>
    <row r="17" spans="5:24" ht="28.8" customHeight="1" x14ac:dyDescent="0.55000000000000004">
      <c r="E17" s="259"/>
      <c r="F17" s="259"/>
      <c r="G17" s="259"/>
      <c r="H17" s="259"/>
      <c r="I17" s="259"/>
      <c r="J17" s="55"/>
      <c r="K17" s="55"/>
      <c r="R17" s="398"/>
      <c r="S17" s="399"/>
      <c r="T17" s="399"/>
      <c r="U17" s="399"/>
      <c r="V17" s="399"/>
      <c r="W17" s="399"/>
      <c r="X17" s="400"/>
    </row>
    <row r="18" spans="5:24" ht="28.8" customHeight="1" thickBot="1" x14ac:dyDescent="0.6">
      <c r="E18" s="55"/>
      <c r="F18" s="55"/>
      <c r="G18" s="55"/>
      <c r="H18" s="55"/>
      <c r="I18" s="55"/>
      <c r="J18" s="55"/>
      <c r="K18" s="55"/>
      <c r="R18" s="401"/>
      <c r="S18" s="402"/>
      <c r="T18" s="402"/>
      <c r="U18" s="402"/>
      <c r="V18" s="402"/>
      <c r="W18" s="402"/>
      <c r="X18" s="403"/>
    </row>
    <row r="19" spans="5:24" ht="28.8" customHeight="1" x14ac:dyDescent="0.55000000000000004">
      <c r="E19" s="55"/>
      <c r="F19" s="55"/>
      <c r="G19" s="55"/>
      <c r="H19" s="55"/>
      <c r="I19" s="55"/>
      <c r="J19" s="55"/>
      <c r="K19" s="55"/>
      <c r="R19" s="17" t="s">
        <v>13</v>
      </c>
      <c r="S19" s="56" t="s">
        <v>13</v>
      </c>
      <c r="T19" s="56" t="s">
        <v>13</v>
      </c>
      <c r="U19" s="56" t="s">
        <v>13</v>
      </c>
      <c r="V19" s="56" t="s">
        <v>13</v>
      </c>
      <c r="W19" s="58" t="s">
        <v>13</v>
      </c>
      <c r="X19" s="245" t="s">
        <v>13</v>
      </c>
    </row>
    <row r="20" spans="5:24" ht="28.8" customHeight="1" x14ac:dyDescent="0.55000000000000004">
      <c r="E20" s="55"/>
      <c r="F20" s="55"/>
      <c r="G20" s="55"/>
      <c r="H20" s="55"/>
      <c r="I20" s="55"/>
      <c r="J20" s="55"/>
      <c r="K20" s="55"/>
      <c r="R20" s="17" t="s">
        <v>13</v>
      </c>
      <c r="S20" s="255" t="s">
        <v>28</v>
      </c>
      <c r="T20" s="57"/>
      <c r="U20" s="56" t="s">
        <v>13</v>
      </c>
      <c r="V20" s="56" t="s">
        <v>13</v>
      </c>
      <c r="W20" s="240" t="s">
        <v>18</v>
      </c>
      <c r="X20" s="245" t="s">
        <v>13</v>
      </c>
    </row>
    <row r="21" spans="5:24" ht="28.8" customHeight="1" x14ac:dyDescent="0.55000000000000004">
      <c r="E21" s="55"/>
      <c r="F21" s="55"/>
      <c r="G21" s="55"/>
      <c r="H21" s="55"/>
      <c r="I21" s="55"/>
      <c r="J21" s="55"/>
      <c r="K21" s="55"/>
      <c r="R21" s="17" t="s">
        <v>13</v>
      </c>
      <c r="S21" s="56" t="s">
        <v>13</v>
      </c>
      <c r="T21" s="56" t="s">
        <v>13</v>
      </c>
      <c r="U21" s="56" t="s">
        <v>13</v>
      </c>
      <c r="V21" s="56" t="s">
        <v>13</v>
      </c>
      <c r="W21" s="58" t="s">
        <v>13</v>
      </c>
      <c r="X21" s="13" t="s">
        <v>13</v>
      </c>
    </row>
    <row r="22" spans="5:24" ht="28.8" customHeight="1" x14ac:dyDescent="0.55000000000000004">
      <c r="R22" s="17" t="s">
        <v>13</v>
      </c>
      <c r="S22" s="255" t="s">
        <v>29</v>
      </c>
      <c r="T22" s="57"/>
      <c r="U22" s="56" t="s">
        <v>13</v>
      </c>
      <c r="V22" s="56" t="s">
        <v>13</v>
      </c>
      <c r="W22" s="240" t="s">
        <v>21</v>
      </c>
      <c r="X22" s="245" t="s">
        <v>13</v>
      </c>
    </row>
    <row r="23" spans="5:24" ht="28.8" customHeight="1" x14ac:dyDescent="0.55000000000000004">
      <c r="R23" s="17" t="s">
        <v>13</v>
      </c>
      <c r="S23" s="56" t="s">
        <v>13</v>
      </c>
      <c r="T23" s="56" t="s">
        <v>13</v>
      </c>
      <c r="U23" s="56" t="s">
        <v>13</v>
      </c>
      <c r="V23" s="56" t="s">
        <v>13</v>
      </c>
      <c r="W23" s="254" t="s">
        <v>13</v>
      </c>
      <c r="X23" s="245" t="s">
        <v>13</v>
      </c>
    </row>
    <row r="24" spans="5:24" ht="28.8" customHeight="1" x14ac:dyDescent="0.55000000000000004">
      <c r="R24" s="17" t="s">
        <v>13</v>
      </c>
      <c r="S24" s="56" t="s">
        <v>13</v>
      </c>
      <c r="T24" s="56" t="s">
        <v>13</v>
      </c>
      <c r="U24" s="56" t="s">
        <v>13</v>
      </c>
      <c r="V24" s="56" t="s">
        <v>13</v>
      </c>
      <c r="W24" s="254" t="s">
        <v>13</v>
      </c>
      <c r="X24" s="245" t="s">
        <v>13</v>
      </c>
    </row>
    <row r="25" spans="5:24" ht="28.8" customHeight="1" x14ac:dyDescent="0.55000000000000004">
      <c r="R25" s="17" t="s">
        <v>13</v>
      </c>
      <c r="S25" s="56" t="s">
        <v>13</v>
      </c>
      <c r="T25" s="56" t="s">
        <v>13</v>
      </c>
      <c r="U25" s="56" t="s">
        <v>13</v>
      </c>
      <c r="V25" s="56" t="s">
        <v>13</v>
      </c>
      <c r="W25" s="254" t="s">
        <v>13</v>
      </c>
      <c r="X25" s="245" t="s">
        <v>13</v>
      </c>
    </row>
    <row r="26" spans="5:24" ht="28.8" customHeight="1" x14ac:dyDescent="0.55000000000000004">
      <c r="R26" s="17" t="s">
        <v>13</v>
      </c>
      <c r="S26" s="56" t="s">
        <v>13</v>
      </c>
      <c r="T26" s="56" t="s">
        <v>13</v>
      </c>
      <c r="U26" s="56" t="s">
        <v>13</v>
      </c>
      <c r="V26" s="56" t="s">
        <v>13</v>
      </c>
      <c r="W26" s="254" t="s">
        <v>13</v>
      </c>
      <c r="X26" s="245" t="s">
        <v>13</v>
      </c>
    </row>
    <row r="27" spans="5:24" ht="28.8" customHeight="1" thickBot="1" x14ac:dyDescent="0.6">
      <c r="R27" s="20" t="s">
        <v>13</v>
      </c>
      <c r="S27" s="21" t="s">
        <v>13</v>
      </c>
      <c r="T27" s="21" t="s">
        <v>13</v>
      </c>
      <c r="U27" s="21" t="s">
        <v>13</v>
      </c>
      <c r="V27" s="21" t="s">
        <v>13</v>
      </c>
      <c r="W27" s="249" t="s">
        <v>13</v>
      </c>
      <c r="X27" s="250" t="s">
        <v>13</v>
      </c>
    </row>
    <row r="28" spans="5:24" ht="28.8" customHeight="1" x14ac:dyDescent="0.3"/>
    <row r="29" spans="5:24" ht="28.8" customHeight="1" x14ac:dyDescent="0.3"/>
    <row r="30" spans="5:24" ht="28.8" customHeight="1" x14ac:dyDescent="0.3">
      <c r="E30" s="54"/>
      <c r="F30" s="54"/>
      <c r="G30" s="54"/>
      <c r="H30" s="54"/>
      <c r="I30" s="54"/>
      <c r="J30" s="54"/>
      <c r="K30" s="54"/>
    </row>
    <row r="31" spans="5:24" ht="28.8" customHeight="1" x14ac:dyDescent="0.3">
      <c r="E31" s="54"/>
      <c r="F31" s="54"/>
      <c r="G31" s="54"/>
      <c r="H31" s="54"/>
      <c r="I31" s="54"/>
      <c r="J31" s="54"/>
      <c r="K31" s="54"/>
    </row>
    <row r="32" spans="5:24" ht="28.8" customHeight="1" x14ac:dyDescent="0.3">
      <c r="E32" s="54"/>
      <c r="F32" s="54"/>
      <c r="G32" s="54"/>
      <c r="H32" s="54"/>
      <c r="I32" s="54"/>
      <c r="J32" s="54"/>
      <c r="K32" s="54"/>
    </row>
    <row r="33" spans="5:11" ht="28.8" customHeight="1" x14ac:dyDescent="0.55000000000000004">
      <c r="E33" s="259"/>
      <c r="F33" s="259"/>
      <c r="G33" s="259"/>
      <c r="H33" s="259"/>
      <c r="I33" s="259"/>
      <c r="J33" s="55"/>
      <c r="K33" s="55"/>
    </row>
    <row r="34" spans="5:11" ht="28.8" customHeight="1" x14ac:dyDescent="0.55000000000000004">
      <c r="E34" s="259"/>
      <c r="F34" s="265"/>
      <c r="G34" s="262"/>
      <c r="H34" s="259"/>
      <c r="I34" s="259"/>
      <c r="J34" s="59"/>
      <c r="K34" s="55"/>
    </row>
    <row r="35" spans="5:11" ht="28.8" customHeight="1" x14ac:dyDescent="0.55000000000000004">
      <c r="E35" s="259"/>
      <c r="F35" s="259"/>
      <c r="G35" s="259"/>
      <c r="H35" s="259"/>
      <c r="I35" s="259"/>
      <c r="J35" s="55"/>
      <c r="K35" s="55"/>
    </row>
    <row r="36" spans="5:11" ht="28.8" customHeight="1" x14ac:dyDescent="0.55000000000000004">
      <c r="E36" s="259"/>
      <c r="F36" s="265"/>
      <c r="G36" s="262"/>
      <c r="H36" s="259"/>
      <c r="I36" s="259"/>
      <c r="J36" s="59"/>
      <c r="K36" s="55"/>
    </row>
    <row r="37" spans="5:11" ht="28.8" customHeight="1" x14ac:dyDescent="0.55000000000000004">
      <c r="E37" s="259"/>
      <c r="F37" s="259"/>
      <c r="G37" s="259"/>
      <c r="H37" s="259"/>
      <c r="I37" s="259"/>
      <c r="J37" s="55"/>
      <c r="K37" s="55"/>
    </row>
    <row r="38" spans="5:11" ht="28.8" customHeight="1" x14ac:dyDescent="0.55000000000000004">
      <c r="E38" s="259"/>
      <c r="F38" s="265"/>
      <c r="G38" s="259"/>
      <c r="H38" s="259"/>
      <c r="I38" s="259"/>
      <c r="J38" s="55"/>
      <c r="K38" s="55"/>
    </row>
    <row r="39" spans="5:11" ht="28.8" customHeight="1" x14ac:dyDescent="0.55000000000000004">
      <c r="E39" s="259"/>
      <c r="F39" s="259"/>
      <c r="G39" s="259"/>
      <c r="H39" s="259"/>
      <c r="I39" s="259"/>
      <c r="J39" s="55"/>
      <c r="K39" s="55"/>
    </row>
    <row r="40" spans="5:11" ht="28.8" customHeight="1" x14ac:dyDescent="0.55000000000000004">
      <c r="E40" s="259"/>
      <c r="F40" s="265"/>
      <c r="G40" s="262"/>
      <c r="H40" s="259"/>
      <c r="I40" s="259"/>
      <c r="J40" s="59"/>
      <c r="K40" s="55"/>
    </row>
    <row r="41" spans="5:11" ht="28.8" customHeight="1" x14ac:dyDescent="0.3"/>
    <row r="42" spans="5:11" ht="28.8" customHeight="1" x14ac:dyDescent="0.3"/>
    <row r="43" spans="5:11" ht="28.8" customHeight="1" x14ac:dyDescent="0.3"/>
    <row r="44" spans="5:11" ht="28.8" customHeight="1" x14ac:dyDescent="0.3"/>
    <row r="45" spans="5:11" ht="28.8" customHeight="1" x14ac:dyDescent="0.3"/>
    <row r="46" spans="5:11" ht="28.8" customHeight="1" x14ac:dyDescent="0.3"/>
    <row r="47" spans="5:11" ht="28.8" customHeight="1" x14ac:dyDescent="0.3"/>
    <row r="48" spans="5:11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</sheetData>
  <mergeCells count="1">
    <mergeCell ref="R16:X1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0433E-07BF-49E6-B558-F6A80F931118}">
  <sheetPr codeName="Planilha23">
    <tabColor rgb="FFFF0000"/>
  </sheetPr>
  <dimension ref="A1:BB69"/>
  <sheetViews>
    <sheetView zoomScale="40" zoomScaleNormal="40" workbookViewId="0">
      <selection activeCell="T15" sqref="T15"/>
    </sheetView>
  </sheetViews>
  <sheetFormatPr defaultRowHeight="14.4" x14ac:dyDescent="0.3"/>
  <cols>
    <col min="1" max="5" width="8.88671875" style="96"/>
    <col min="6" max="6" width="23.5546875" style="96" bestFit="1" customWidth="1"/>
    <col min="7" max="9" width="8.88671875" style="96"/>
    <col min="10" max="10" width="34.6640625" style="96" customWidth="1"/>
    <col min="11" max="11" width="8.88671875" style="96" customWidth="1"/>
    <col min="12" max="19" width="8.88671875" style="96"/>
    <col min="20" max="20" width="47.6640625" style="96" bestFit="1" customWidth="1"/>
    <col min="21" max="21" width="8.88671875" style="96"/>
    <col min="22" max="22" width="11.44140625" style="96" customWidth="1"/>
    <col min="23" max="23" width="8.88671875" style="96"/>
    <col min="24" max="24" width="47.44140625" style="96" customWidth="1"/>
    <col min="25" max="16384" width="8.88671875" style="96"/>
  </cols>
  <sheetData>
    <row r="1" spans="1:54" s="178" customFormat="1" x14ac:dyDescent="0.3">
      <c r="A1" s="182"/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  <c r="AX1" s="182"/>
      <c r="AY1" s="182"/>
      <c r="AZ1" s="182"/>
      <c r="BA1" s="182"/>
      <c r="BB1" s="182"/>
    </row>
    <row r="2" spans="1:54" s="178" customFormat="1" x14ac:dyDescent="0.3">
      <c r="A2" s="182"/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</row>
    <row r="3" spans="1:54" ht="61.5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</row>
    <row r="4" spans="1:54" ht="46.2" customHeight="1" x14ac:dyDescent="0.3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</row>
    <row r="5" spans="1:54" x14ac:dyDescent="0.3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</row>
    <row r="6" spans="1:54" x14ac:dyDescent="0.3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</row>
    <row r="7" spans="1:54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</row>
    <row r="8" spans="1:54" ht="28.8" customHeight="1" x14ac:dyDescent="0.3"/>
    <row r="9" spans="1:54" ht="28.8" customHeight="1" x14ac:dyDescent="0.3">
      <c r="E9" s="416"/>
      <c r="F9" s="416"/>
      <c r="G9" s="416"/>
      <c r="H9" s="416"/>
      <c r="I9" s="416"/>
      <c r="J9" s="416"/>
      <c r="K9" s="416"/>
    </row>
    <row r="10" spans="1:54" ht="28.8" customHeight="1" thickBot="1" x14ac:dyDescent="0.35">
      <c r="E10" s="416"/>
      <c r="F10" s="416"/>
      <c r="G10" s="416"/>
      <c r="H10" s="416"/>
      <c r="I10" s="416"/>
      <c r="J10" s="416"/>
      <c r="K10" s="416"/>
    </row>
    <row r="11" spans="1:54" ht="28.8" customHeight="1" x14ac:dyDescent="0.3">
      <c r="E11" s="416"/>
      <c r="F11" s="416"/>
      <c r="G11" s="416"/>
      <c r="H11" s="416"/>
      <c r="I11" s="416"/>
      <c r="J11" s="416"/>
      <c r="K11" s="416"/>
      <c r="S11" s="395" t="s">
        <v>27</v>
      </c>
      <c r="T11" s="396"/>
      <c r="U11" s="396"/>
      <c r="V11" s="396"/>
      <c r="W11" s="396"/>
      <c r="X11" s="396"/>
      <c r="Y11" s="397"/>
    </row>
    <row r="12" spans="1:54" ht="28.8" customHeight="1" x14ac:dyDescent="0.55000000000000004">
      <c r="E12" s="259"/>
      <c r="F12" s="259"/>
      <c r="G12" s="259"/>
      <c r="H12" s="259"/>
      <c r="I12" s="259"/>
      <c r="J12" s="55"/>
      <c r="K12" s="55"/>
      <c r="S12" s="398"/>
      <c r="T12" s="399"/>
      <c r="U12" s="399"/>
      <c r="V12" s="399"/>
      <c r="W12" s="399"/>
      <c r="X12" s="399"/>
      <c r="Y12" s="400"/>
    </row>
    <row r="13" spans="1:54" ht="28.8" customHeight="1" x14ac:dyDescent="0.55000000000000004">
      <c r="E13" s="259"/>
      <c r="F13" s="265"/>
      <c r="G13" s="262"/>
      <c r="H13" s="259"/>
      <c r="I13" s="259"/>
      <c r="J13" s="59"/>
      <c r="K13" s="55"/>
      <c r="S13" s="398"/>
      <c r="T13" s="399"/>
      <c r="U13" s="399"/>
      <c r="V13" s="399"/>
      <c r="W13" s="399"/>
      <c r="X13" s="399"/>
      <c r="Y13" s="400"/>
    </row>
    <row r="14" spans="1:54" ht="28.8" customHeight="1" x14ac:dyDescent="0.55000000000000004">
      <c r="E14" s="259"/>
      <c r="F14" s="259"/>
      <c r="G14" s="259"/>
      <c r="H14" s="259"/>
      <c r="I14" s="259"/>
      <c r="J14" s="55"/>
      <c r="K14" s="55"/>
      <c r="S14" s="17" t="s">
        <v>13</v>
      </c>
      <c r="T14" s="56" t="s">
        <v>13</v>
      </c>
      <c r="U14" s="56" t="s">
        <v>13</v>
      </c>
      <c r="V14" s="56" t="s">
        <v>13</v>
      </c>
      <c r="W14" s="56" t="s">
        <v>13</v>
      </c>
      <c r="X14" s="58" t="s">
        <v>13</v>
      </c>
      <c r="Y14" s="245" t="s">
        <v>13</v>
      </c>
    </row>
    <row r="15" spans="1:54" ht="28.8" customHeight="1" x14ac:dyDescent="0.55000000000000004">
      <c r="E15" s="259"/>
      <c r="F15" s="265"/>
      <c r="G15" s="262"/>
      <c r="H15" s="259"/>
      <c r="I15" s="259"/>
      <c r="J15" s="59"/>
      <c r="K15" s="55"/>
      <c r="S15" s="17" t="s">
        <v>13</v>
      </c>
      <c r="T15" s="255" t="s">
        <v>28</v>
      </c>
      <c r="U15" s="57"/>
      <c r="V15" s="56" t="s">
        <v>13</v>
      </c>
      <c r="W15" s="56" t="s">
        <v>13</v>
      </c>
      <c r="X15" s="267" t="s">
        <v>18</v>
      </c>
      <c r="Y15" s="245" t="s">
        <v>13</v>
      </c>
    </row>
    <row r="16" spans="1:54" ht="28.8" customHeight="1" x14ac:dyDescent="0.55000000000000004">
      <c r="E16" s="259"/>
      <c r="F16" s="259"/>
      <c r="G16" s="259"/>
      <c r="H16" s="259"/>
      <c r="I16" s="259"/>
      <c r="J16" s="55"/>
      <c r="K16" s="55"/>
      <c r="S16" s="17" t="s">
        <v>13</v>
      </c>
      <c r="T16" s="56" t="s">
        <v>13</v>
      </c>
      <c r="U16" s="56" t="s">
        <v>13</v>
      </c>
      <c r="V16" s="56" t="s">
        <v>13</v>
      </c>
      <c r="W16" s="56" t="s">
        <v>13</v>
      </c>
      <c r="X16" s="58" t="s">
        <v>13</v>
      </c>
      <c r="Y16" s="13" t="s">
        <v>13</v>
      </c>
    </row>
    <row r="17" spans="5:25" ht="28.8" customHeight="1" x14ac:dyDescent="0.55000000000000004">
      <c r="E17" s="259"/>
      <c r="F17" s="265"/>
      <c r="G17" s="259"/>
      <c r="H17" s="259"/>
      <c r="I17" s="259"/>
      <c r="J17" s="55"/>
      <c r="K17" s="55"/>
      <c r="S17" s="17" t="s">
        <v>13</v>
      </c>
      <c r="T17" s="255" t="s">
        <v>29</v>
      </c>
      <c r="U17" s="57"/>
      <c r="V17" s="56" t="s">
        <v>13</v>
      </c>
      <c r="W17" s="56" t="s">
        <v>13</v>
      </c>
      <c r="X17" s="267" t="s">
        <v>21</v>
      </c>
      <c r="Y17" s="245" t="s">
        <v>13</v>
      </c>
    </row>
    <row r="18" spans="5:25" ht="28.8" customHeight="1" x14ac:dyDescent="0.55000000000000004">
      <c r="E18" s="259"/>
      <c r="F18" s="259"/>
      <c r="G18" s="259"/>
      <c r="H18" s="259"/>
      <c r="I18" s="259"/>
      <c r="J18" s="55"/>
      <c r="K18" s="55"/>
      <c r="S18" s="17" t="s">
        <v>13</v>
      </c>
      <c r="T18" s="56" t="s">
        <v>13</v>
      </c>
      <c r="U18" s="56" t="s">
        <v>13</v>
      </c>
      <c r="V18" s="56" t="s">
        <v>13</v>
      </c>
      <c r="W18" s="56" t="s">
        <v>13</v>
      </c>
      <c r="X18" s="254" t="s">
        <v>13</v>
      </c>
      <c r="Y18" s="245" t="s">
        <v>13</v>
      </c>
    </row>
    <row r="19" spans="5:25" ht="28.8" customHeight="1" x14ac:dyDescent="0.55000000000000004">
      <c r="E19" s="259"/>
      <c r="F19" s="265"/>
      <c r="G19" s="262"/>
      <c r="H19" s="259"/>
      <c r="I19" s="259"/>
      <c r="J19" s="59"/>
      <c r="K19" s="55"/>
      <c r="S19" s="17" t="s">
        <v>13</v>
      </c>
      <c r="T19" s="266" t="s">
        <v>30</v>
      </c>
      <c r="U19" s="56" t="s">
        <v>13</v>
      </c>
      <c r="V19" s="56" t="s">
        <v>13</v>
      </c>
      <c r="W19" s="56" t="s">
        <v>13</v>
      </c>
      <c r="X19" s="267" t="s">
        <v>21</v>
      </c>
      <c r="Y19" s="245" t="s">
        <v>13</v>
      </c>
    </row>
    <row r="20" spans="5:25" ht="28.8" customHeight="1" x14ac:dyDescent="0.55000000000000004">
      <c r="E20" s="55"/>
      <c r="F20" s="55"/>
      <c r="G20" s="55"/>
      <c r="H20" s="55"/>
      <c r="I20" s="55"/>
      <c r="J20" s="55"/>
      <c r="K20" s="55"/>
      <c r="S20" s="17" t="s">
        <v>13</v>
      </c>
      <c r="T20" s="56" t="s">
        <v>13</v>
      </c>
      <c r="U20" s="56" t="s">
        <v>13</v>
      </c>
      <c r="V20" s="56" t="s">
        <v>13</v>
      </c>
      <c r="W20" s="56" t="s">
        <v>13</v>
      </c>
      <c r="X20" s="254" t="s">
        <v>13</v>
      </c>
      <c r="Y20" s="245" t="s">
        <v>13</v>
      </c>
    </row>
    <row r="21" spans="5:25" ht="28.8" customHeight="1" thickBot="1" x14ac:dyDescent="0.6">
      <c r="E21" s="55"/>
      <c r="F21" s="55"/>
      <c r="G21" s="55"/>
      <c r="H21" s="55"/>
      <c r="I21" s="55"/>
      <c r="J21" s="55"/>
      <c r="K21" s="55"/>
      <c r="S21" s="20" t="s">
        <v>13</v>
      </c>
      <c r="T21" s="21" t="s">
        <v>13</v>
      </c>
      <c r="U21" s="21" t="s">
        <v>13</v>
      </c>
      <c r="V21" s="21" t="s">
        <v>13</v>
      </c>
      <c r="W21" s="21" t="s">
        <v>13</v>
      </c>
      <c r="X21" s="249" t="s">
        <v>13</v>
      </c>
      <c r="Y21" s="250" t="s">
        <v>13</v>
      </c>
    </row>
    <row r="22" spans="5:25" ht="28.8" customHeight="1" x14ac:dyDescent="0.55000000000000004">
      <c r="S22" s="259" t="s">
        <v>13</v>
      </c>
      <c r="T22" s="259" t="s">
        <v>13</v>
      </c>
      <c r="U22" s="259" t="s">
        <v>13</v>
      </c>
      <c r="V22" s="259" t="s">
        <v>13</v>
      </c>
      <c r="W22" s="259" t="s">
        <v>13</v>
      </c>
      <c r="X22" s="260" t="s">
        <v>13</v>
      </c>
      <c r="Y22" s="260" t="s">
        <v>13</v>
      </c>
    </row>
    <row r="23" spans="5:25" ht="28.8" customHeight="1" x14ac:dyDescent="0.3"/>
    <row r="24" spans="5:25" ht="28.8" customHeight="1" x14ac:dyDescent="0.3"/>
    <row r="25" spans="5:25" ht="28.8" customHeight="1" x14ac:dyDescent="0.3"/>
    <row r="26" spans="5:25" ht="28.8" customHeight="1" x14ac:dyDescent="0.3"/>
    <row r="27" spans="5:25" ht="28.8" customHeight="1" x14ac:dyDescent="0.3"/>
    <row r="28" spans="5:25" ht="28.8" customHeight="1" x14ac:dyDescent="0.3"/>
    <row r="29" spans="5:25" ht="28.8" customHeight="1" x14ac:dyDescent="0.3"/>
    <row r="30" spans="5:25" ht="28.8" customHeight="1" x14ac:dyDescent="0.3"/>
    <row r="31" spans="5:25" ht="28.8" customHeight="1" x14ac:dyDescent="0.3"/>
    <row r="32" spans="5:25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  <row r="67" ht="28.8" customHeight="1" x14ac:dyDescent="0.3"/>
    <row r="68" ht="28.8" customHeight="1" x14ac:dyDescent="0.3"/>
    <row r="69" ht="28.8" customHeight="1" x14ac:dyDescent="0.3"/>
  </sheetData>
  <mergeCells count="2">
    <mergeCell ref="E9:K11"/>
    <mergeCell ref="S11:Y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A7637-ED17-407C-8138-A3434EAF3E99}">
  <sheetPr codeName="Planilha6">
    <tabColor rgb="FFFFC000"/>
  </sheetPr>
  <dimension ref="A1:AY67"/>
  <sheetViews>
    <sheetView zoomScale="40" zoomScaleNormal="40" workbookViewId="0">
      <selection activeCell="J13" sqref="J13"/>
    </sheetView>
  </sheetViews>
  <sheetFormatPr defaultRowHeight="14.4" x14ac:dyDescent="0.3"/>
  <cols>
    <col min="5" max="5" width="5.6640625" bestFit="1" customWidth="1"/>
    <col min="6" max="6" width="29.88671875" bestFit="1" customWidth="1"/>
    <col min="7" max="7" width="49.88671875" customWidth="1"/>
    <col min="8" max="8" width="30.44140625" bestFit="1" customWidth="1"/>
    <col min="9" max="9" width="11.33203125" bestFit="1" customWidth="1"/>
    <col min="10" max="10" width="29.88671875" bestFit="1" customWidth="1"/>
    <col min="11" max="11" width="49.88671875" bestFit="1" customWidth="1"/>
    <col min="12" max="12" width="30.44140625" bestFit="1" customWidth="1"/>
    <col min="13" max="13" width="25.109375" bestFit="1" customWidth="1"/>
    <col min="14" max="14" width="51.21875" bestFit="1" customWidth="1"/>
    <col min="15" max="16" width="41.77734375" bestFit="1" customWidth="1"/>
  </cols>
  <sheetData>
    <row r="1" spans="1:51" s="178" customFormat="1" x14ac:dyDescent="0.3">
      <c r="A1" s="182"/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  <c r="AX1" s="182"/>
      <c r="AY1" s="182"/>
    </row>
    <row r="2" spans="1:51" s="178" customFormat="1" x14ac:dyDescent="0.3">
      <c r="A2" s="182"/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</row>
    <row r="3" spans="1:51" ht="61.2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</row>
    <row r="4" spans="1:51" s="178" customFormat="1" ht="46.2" customHeight="1" x14ac:dyDescent="0.3">
      <c r="A4" s="268"/>
      <c r="B4" s="268"/>
      <c r="C4" s="268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8"/>
      <c r="Q4" s="268"/>
      <c r="R4" s="268"/>
      <c r="S4" s="268"/>
      <c r="T4" s="268"/>
      <c r="U4" s="268"/>
      <c r="V4" s="268"/>
      <c r="W4" s="268"/>
      <c r="X4" s="268"/>
      <c r="Y4" s="268"/>
      <c r="Z4" s="268"/>
      <c r="AA4" s="268"/>
      <c r="AB4" s="268"/>
      <c r="AC4" s="268"/>
      <c r="AD4" s="268"/>
      <c r="AE4" s="268"/>
      <c r="AF4" s="268"/>
      <c r="AG4" s="268"/>
      <c r="AH4" s="268"/>
      <c r="AI4" s="268"/>
      <c r="AJ4" s="268"/>
      <c r="AK4" s="268"/>
      <c r="AL4" s="268"/>
      <c r="AM4" s="268"/>
      <c r="AN4" s="268"/>
      <c r="AO4" s="268"/>
      <c r="AP4" s="268"/>
      <c r="AQ4" s="268"/>
      <c r="AR4" s="268"/>
      <c r="AS4" s="268"/>
      <c r="AT4" s="268"/>
      <c r="AU4" s="268"/>
      <c r="AV4" s="268"/>
      <c r="AW4" s="268"/>
      <c r="AX4" s="268"/>
      <c r="AY4" s="268"/>
    </row>
    <row r="5" spans="1:51" x14ac:dyDescent="0.3">
      <c r="A5" s="268"/>
      <c r="B5" s="268"/>
      <c r="C5" s="268"/>
      <c r="D5" s="268"/>
      <c r="E5" s="268"/>
      <c r="F5" s="268"/>
      <c r="G5" s="268"/>
      <c r="H5" s="268"/>
      <c r="I5" s="268"/>
      <c r="J5" s="268"/>
      <c r="K5" s="268"/>
      <c r="L5" s="268"/>
      <c r="M5" s="268"/>
      <c r="N5" s="268"/>
      <c r="O5" s="268"/>
      <c r="P5" s="268"/>
      <c r="Q5" s="268"/>
      <c r="R5" s="268"/>
      <c r="S5" s="268"/>
      <c r="T5" s="268"/>
      <c r="U5" s="268"/>
      <c r="V5" s="268"/>
      <c r="W5" s="268"/>
      <c r="X5" s="268"/>
      <c r="Y5" s="268"/>
      <c r="Z5" s="268"/>
      <c r="AA5" s="268"/>
      <c r="AB5" s="268"/>
      <c r="AC5" s="268"/>
      <c r="AD5" s="268"/>
      <c r="AE5" s="268"/>
      <c r="AF5" s="268"/>
      <c r="AG5" s="268"/>
      <c r="AH5" s="268"/>
      <c r="AI5" s="268"/>
      <c r="AJ5" s="268"/>
      <c r="AK5" s="268"/>
      <c r="AL5" s="268"/>
      <c r="AM5" s="268"/>
      <c r="AN5" s="268"/>
      <c r="AO5" s="268"/>
      <c r="AP5" s="268"/>
      <c r="AQ5" s="268"/>
      <c r="AR5" s="268"/>
      <c r="AS5" s="268"/>
      <c r="AT5" s="268"/>
      <c r="AU5" s="268"/>
      <c r="AV5" s="268"/>
      <c r="AW5" s="268"/>
      <c r="AX5" s="268"/>
      <c r="AY5" s="268"/>
    </row>
    <row r="6" spans="1:51" x14ac:dyDescent="0.3">
      <c r="A6" s="268"/>
      <c r="B6" s="268"/>
      <c r="C6" s="268"/>
      <c r="D6" s="268"/>
      <c r="E6" s="268"/>
      <c r="F6" s="268"/>
      <c r="G6" s="268"/>
      <c r="H6" s="268"/>
      <c r="I6" s="268"/>
      <c r="J6" s="268"/>
      <c r="K6" s="268"/>
      <c r="L6" s="268"/>
      <c r="M6" s="268"/>
      <c r="N6" s="268"/>
      <c r="O6" s="268"/>
      <c r="P6" s="268"/>
      <c r="Q6" s="268"/>
      <c r="R6" s="268"/>
      <c r="S6" s="268"/>
      <c r="T6" s="268"/>
      <c r="U6" s="268"/>
      <c r="V6" s="268"/>
      <c r="W6" s="268"/>
      <c r="X6" s="268"/>
      <c r="Y6" s="268"/>
      <c r="Z6" s="268"/>
      <c r="AA6" s="268"/>
      <c r="AB6" s="268"/>
      <c r="AC6" s="268"/>
      <c r="AD6" s="268"/>
      <c r="AE6" s="268"/>
      <c r="AF6" s="268"/>
      <c r="AG6" s="268"/>
      <c r="AH6" s="268"/>
      <c r="AI6" s="268"/>
      <c r="AJ6" s="268"/>
      <c r="AK6" s="268"/>
      <c r="AL6" s="268"/>
      <c r="AM6" s="268"/>
      <c r="AN6" s="268"/>
      <c r="AO6" s="268"/>
      <c r="AP6" s="268"/>
      <c r="AQ6" s="268"/>
      <c r="AR6" s="268"/>
      <c r="AS6" s="268"/>
      <c r="AT6" s="268"/>
      <c r="AU6" s="268"/>
      <c r="AV6" s="268"/>
      <c r="AW6" s="268"/>
      <c r="AX6" s="268"/>
      <c r="AY6" s="268"/>
    </row>
    <row r="7" spans="1:51" x14ac:dyDescent="0.3">
      <c r="A7" s="268"/>
      <c r="B7" s="268"/>
      <c r="C7" s="268"/>
      <c r="D7" s="268"/>
      <c r="E7" s="268"/>
      <c r="F7" s="268"/>
      <c r="G7" s="268"/>
      <c r="H7" s="268"/>
      <c r="I7" s="268"/>
      <c r="J7" s="268"/>
      <c r="K7" s="268"/>
      <c r="L7" s="268"/>
      <c r="M7" s="268"/>
      <c r="N7" s="268"/>
      <c r="O7" s="268"/>
      <c r="P7" s="268"/>
      <c r="Q7" s="268"/>
      <c r="R7" s="268"/>
      <c r="S7" s="268"/>
      <c r="T7" s="268"/>
      <c r="U7" s="268"/>
      <c r="V7" s="268"/>
      <c r="W7" s="268"/>
      <c r="X7" s="268"/>
      <c r="Y7" s="268"/>
      <c r="Z7" s="268"/>
      <c r="AA7" s="268"/>
      <c r="AB7" s="268"/>
      <c r="AC7" s="268"/>
      <c r="AD7" s="268"/>
      <c r="AE7" s="268"/>
      <c r="AF7" s="268"/>
      <c r="AG7" s="268"/>
      <c r="AH7" s="268"/>
      <c r="AI7" s="268"/>
      <c r="AJ7" s="268"/>
      <c r="AK7" s="268"/>
      <c r="AL7" s="268"/>
      <c r="AM7" s="268"/>
      <c r="AN7" s="268"/>
      <c r="AO7" s="268"/>
      <c r="AP7" s="268"/>
      <c r="AQ7" s="268"/>
      <c r="AR7" s="268"/>
      <c r="AS7" s="268"/>
      <c r="AT7" s="268"/>
      <c r="AU7" s="268"/>
      <c r="AV7" s="268"/>
      <c r="AW7" s="268"/>
      <c r="AX7" s="268"/>
      <c r="AY7" s="268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>
      <c r="I12" s="269" t="s">
        <v>405</v>
      </c>
      <c r="J12" s="269" t="s">
        <v>32</v>
      </c>
      <c r="K12" s="269" t="s">
        <v>33</v>
      </c>
      <c r="L12" s="269" t="s">
        <v>34</v>
      </c>
      <c r="M12" s="269" t="s">
        <v>35</v>
      </c>
      <c r="N12" s="269" t="s">
        <v>36</v>
      </c>
      <c r="O12" s="269" t="s">
        <v>37</v>
      </c>
    </row>
    <row r="13" spans="1:51" ht="28.8" customHeight="1" x14ac:dyDescent="0.3">
      <c r="I13" s="270">
        <v>1</v>
      </c>
      <c r="J13" s="270" t="s">
        <v>38</v>
      </c>
      <c r="K13" s="270" t="s">
        <v>39</v>
      </c>
      <c r="L13" s="270" t="s">
        <v>40</v>
      </c>
      <c r="M13" s="270" t="s">
        <v>41</v>
      </c>
      <c r="N13" s="270" t="s">
        <v>42</v>
      </c>
      <c r="O13" s="270" t="s">
        <v>43</v>
      </c>
    </row>
    <row r="14" spans="1:51" ht="28.8" customHeight="1" x14ac:dyDescent="0.3">
      <c r="I14" s="270">
        <f>I13+1</f>
        <v>2</v>
      </c>
      <c r="J14" s="270" t="s">
        <v>44</v>
      </c>
      <c r="K14" s="270" t="s">
        <v>45</v>
      </c>
      <c r="L14" s="270" t="s">
        <v>40</v>
      </c>
      <c r="M14" s="270" t="s">
        <v>46</v>
      </c>
      <c r="N14" s="270" t="s">
        <v>47</v>
      </c>
      <c r="O14" s="270" t="s">
        <v>48</v>
      </c>
    </row>
    <row r="15" spans="1:51" ht="28.8" customHeight="1" x14ac:dyDescent="0.3">
      <c r="I15" s="270">
        <f t="shared" ref="I15:I32" si="0">I14+1</f>
        <v>3</v>
      </c>
      <c r="J15" s="270" t="s">
        <v>49</v>
      </c>
      <c r="K15" s="270" t="s">
        <v>50</v>
      </c>
      <c r="L15" s="270" t="s">
        <v>51</v>
      </c>
      <c r="M15" s="270" t="s">
        <v>52</v>
      </c>
      <c r="N15" s="270" t="s">
        <v>53</v>
      </c>
      <c r="O15" s="270" t="s">
        <v>54</v>
      </c>
    </row>
    <row r="16" spans="1:51" ht="28.8" customHeight="1" x14ac:dyDescent="0.3">
      <c r="I16" s="270">
        <f t="shared" si="0"/>
        <v>4</v>
      </c>
      <c r="J16" s="270" t="s">
        <v>55</v>
      </c>
      <c r="K16" s="270" t="s">
        <v>56</v>
      </c>
      <c r="L16" s="270" t="s">
        <v>57</v>
      </c>
      <c r="M16" s="270" t="s">
        <v>58</v>
      </c>
      <c r="N16" s="270" t="s">
        <v>59</v>
      </c>
      <c r="O16" s="270" t="s">
        <v>60</v>
      </c>
    </row>
    <row r="17" spans="9:15" ht="28.8" customHeight="1" x14ac:dyDescent="0.3">
      <c r="I17" s="270">
        <f t="shared" si="0"/>
        <v>5</v>
      </c>
      <c r="J17" s="270" t="s">
        <v>61</v>
      </c>
      <c r="K17" s="270" t="s">
        <v>62</v>
      </c>
      <c r="L17" s="270" t="s">
        <v>63</v>
      </c>
      <c r="M17" s="270" t="s">
        <v>64</v>
      </c>
      <c r="N17" s="270" t="s">
        <v>65</v>
      </c>
      <c r="O17" s="270" t="s">
        <v>66</v>
      </c>
    </row>
    <row r="18" spans="9:15" ht="28.8" customHeight="1" x14ac:dyDescent="0.3">
      <c r="I18" s="270">
        <f t="shared" si="0"/>
        <v>6</v>
      </c>
      <c r="J18" s="270" t="s">
        <v>67</v>
      </c>
      <c r="K18" s="270" t="s">
        <v>68</v>
      </c>
      <c r="L18" s="270" t="s">
        <v>69</v>
      </c>
      <c r="M18" s="270" t="s">
        <v>70</v>
      </c>
      <c r="N18" s="270" t="s">
        <v>71</v>
      </c>
      <c r="O18" s="270" t="s">
        <v>72</v>
      </c>
    </row>
    <row r="19" spans="9:15" ht="28.8" customHeight="1" x14ac:dyDescent="0.3">
      <c r="I19" s="270">
        <f t="shared" si="0"/>
        <v>7</v>
      </c>
      <c r="J19" s="270" t="s">
        <v>73</v>
      </c>
      <c r="K19" s="270" t="s">
        <v>74</v>
      </c>
      <c r="L19" s="270" t="s">
        <v>75</v>
      </c>
      <c r="M19" s="270" t="s">
        <v>76</v>
      </c>
      <c r="N19" s="270" t="s">
        <v>77</v>
      </c>
      <c r="O19" s="270" t="s">
        <v>78</v>
      </c>
    </row>
    <row r="20" spans="9:15" ht="28.8" customHeight="1" x14ac:dyDescent="0.3">
      <c r="I20" s="270">
        <f t="shared" si="0"/>
        <v>8</v>
      </c>
      <c r="J20" s="270" t="s">
        <v>79</v>
      </c>
      <c r="K20" s="270" t="s">
        <v>80</v>
      </c>
      <c r="L20" s="270" t="s">
        <v>81</v>
      </c>
      <c r="M20" s="270" t="s">
        <v>82</v>
      </c>
      <c r="N20" s="270" t="s">
        <v>83</v>
      </c>
      <c r="O20" s="270" t="s">
        <v>84</v>
      </c>
    </row>
    <row r="21" spans="9:15" ht="28.8" customHeight="1" x14ac:dyDescent="0.3">
      <c r="I21" s="270">
        <f t="shared" si="0"/>
        <v>9</v>
      </c>
      <c r="J21" s="270" t="s">
        <v>85</v>
      </c>
      <c r="K21" s="270" t="s">
        <v>86</v>
      </c>
      <c r="L21" s="270" t="s">
        <v>87</v>
      </c>
      <c r="M21" s="270" t="s">
        <v>88</v>
      </c>
      <c r="N21" s="270" t="s">
        <v>89</v>
      </c>
      <c r="O21" s="270" t="s">
        <v>90</v>
      </c>
    </row>
    <row r="22" spans="9:15" ht="28.8" customHeight="1" x14ac:dyDescent="0.3">
      <c r="I22" s="270">
        <f t="shared" si="0"/>
        <v>10</v>
      </c>
      <c r="J22" s="270" t="s">
        <v>91</v>
      </c>
      <c r="K22" s="270" t="s">
        <v>92</v>
      </c>
      <c r="L22" s="270" t="s">
        <v>93</v>
      </c>
      <c r="M22" s="270" t="s">
        <v>94</v>
      </c>
      <c r="N22" s="270" t="s">
        <v>95</v>
      </c>
      <c r="O22" s="270" t="s">
        <v>96</v>
      </c>
    </row>
    <row r="23" spans="9:15" ht="28.8" customHeight="1" x14ac:dyDescent="0.3">
      <c r="I23" s="270">
        <f t="shared" si="0"/>
        <v>11</v>
      </c>
      <c r="J23" s="270" t="s">
        <v>97</v>
      </c>
      <c r="K23" s="270" t="s">
        <v>98</v>
      </c>
      <c r="L23" s="270" t="s">
        <v>99</v>
      </c>
      <c r="M23" s="270" t="s">
        <v>100</v>
      </c>
      <c r="N23" s="270" t="s">
        <v>101</v>
      </c>
      <c r="O23" s="270" t="s">
        <v>102</v>
      </c>
    </row>
    <row r="24" spans="9:15" ht="28.8" customHeight="1" x14ac:dyDescent="0.3">
      <c r="I24" s="270">
        <f t="shared" si="0"/>
        <v>12</v>
      </c>
      <c r="J24" s="270" t="s">
        <v>103</v>
      </c>
      <c r="K24" s="270" t="s">
        <v>104</v>
      </c>
      <c r="L24" s="270" t="s">
        <v>105</v>
      </c>
      <c r="M24" s="270" t="s">
        <v>106</v>
      </c>
      <c r="N24" s="270" t="s">
        <v>107</v>
      </c>
      <c r="O24" s="270" t="s">
        <v>108</v>
      </c>
    </row>
    <row r="25" spans="9:15" ht="28.8" customHeight="1" x14ac:dyDescent="0.3">
      <c r="I25" s="270">
        <f t="shared" si="0"/>
        <v>13</v>
      </c>
      <c r="J25" s="270" t="s">
        <v>109</v>
      </c>
      <c r="K25" s="270" t="s">
        <v>110</v>
      </c>
      <c r="L25" s="270" t="s">
        <v>111</v>
      </c>
      <c r="M25" s="270" t="s">
        <v>112</v>
      </c>
      <c r="N25" s="270" t="s">
        <v>113</v>
      </c>
      <c r="O25" s="270" t="s">
        <v>114</v>
      </c>
    </row>
    <row r="26" spans="9:15" ht="28.8" customHeight="1" x14ac:dyDescent="0.3">
      <c r="I26" s="270">
        <f t="shared" si="0"/>
        <v>14</v>
      </c>
      <c r="J26" s="270" t="s">
        <v>115</v>
      </c>
      <c r="K26" s="270" t="s">
        <v>116</v>
      </c>
      <c r="L26" s="270" t="s">
        <v>117</v>
      </c>
      <c r="M26" s="270" t="s">
        <v>118</v>
      </c>
      <c r="N26" s="270" t="s">
        <v>119</v>
      </c>
      <c r="O26" s="270" t="s">
        <v>120</v>
      </c>
    </row>
    <row r="27" spans="9:15" ht="28.8" customHeight="1" x14ac:dyDescent="0.3">
      <c r="I27" s="270">
        <f t="shared" si="0"/>
        <v>15</v>
      </c>
      <c r="J27" s="270" t="s">
        <v>121</v>
      </c>
      <c r="K27" s="270" t="s">
        <v>122</v>
      </c>
      <c r="L27" s="270" t="s">
        <v>123</v>
      </c>
      <c r="M27" s="270" t="s">
        <v>124</v>
      </c>
      <c r="N27" s="270" t="s">
        <v>125</v>
      </c>
      <c r="O27" s="270" t="s">
        <v>126</v>
      </c>
    </row>
    <row r="28" spans="9:15" ht="28.8" customHeight="1" x14ac:dyDescent="0.3">
      <c r="I28" s="270">
        <f t="shared" si="0"/>
        <v>16</v>
      </c>
      <c r="J28" s="270" t="s">
        <v>127</v>
      </c>
      <c r="K28" s="270" t="s">
        <v>128</v>
      </c>
      <c r="L28" s="270" t="s">
        <v>129</v>
      </c>
      <c r="M28" s="270" t="s">
        <v>130</v>
      </c>
      <c r="N28" s="270" t="s">
        <v>131</v>
      </c>
      <c r="O28" s="270" t="s">
        <v>102</v>
      </c>
    </row>
    <row r="29" spans="9:15" ht="28.8" customHeight="1" x14ac:dyDescent="0.3">
      <c r="I29" s="270">
        <f t="shared" si="0"/>
        <v>17</v>
      </c>
      <c r="J29" s="270" t="s">
        <v>132</v>
      </c>
      <c r="K29" s="270" t="s">
        <v>133</v>
      </c>
      <c r="L29" s="270" t="s">
        <v>134</v>
      </c>
      <c r="M29" s="270" t="s">
        <v>135</v>
      </c>
      <c r="N29" s="270" t="s">
        <v>136</v>
      </c>
      <c r="O29" s="270" t="s">
        <v>108</v>
      </c>
    </row>
    <row r="30" spans="9:15" ht="28.8" customHeight="1" x14ac:dyDescent="0.3">
      <c r="I30" s="270">
        <f t="shared" si="0"/>
        <v>18</v>
      </c>
      <c r="J30" s="270" t="s">
        <v>137</v>
      </c>
      <c r="K30" s="270" t="s">
        <v>138</v>
      </c>
      <c r="L30" s="270" t="s">
        <v>139</v>
      </c>
      <c r="M30" s="270" t="s">
        <v>140</v>
      </c>
      <c r="N30" s="270" t="s">
        <v>141</v>
      </c>
      <c r="O30" s="270" t="s">
        <v>142</v>
      </c>
    </row>
    <row r="31" spans="9:15" ht="28.8" customHeight="1" x14ac:dyDescent="0.3">
      <c r="I31" s="270">
        <f t="shared" si="0"/>
        <v>19</v>
      </c>
      <c r="J31" s="270" t="s">
        <v>143</v>
      </c>
      <c r="K31" s="270" t="s">
        <v>144</v>
      </c>
      <c r="L31" s="270" t="s">
        <v>145</v>
      </c>
      <c r="M31" s="270" t="s">
        <v>146</v>
      </c>
      <c r="N31" s="270" t="s">
        <v>147</v>
      </c>
      <c r="O31" s="270" t="s">
        <v>96</v>
      </c>
    </row>
    <row r="32" spans="9:15" ht="28.8" customHeight="1" x14ac:dyDescent="0.3">
      <c r="I32" s="270">
        <f t="shared" si="0"/>
        <v>20</v>
      </c>
      <c r="J32" s="270" t="s">
        <v>148</v>
      </c>
      <c r="K32" s="270" t="s">
        <v>149</v>
      </c>
      <c r="L32" s="270" t="s">
        <v>150</v>
      </c>
      <c r="M32" s="270" t="s">
        <v>151</v>
      </c>
      <c r="N32" s="270" t="s">
        <v>152</v>
      </c>
      <c r="O32" s="270" t="s">
        <v>78</v>
      </c>
    </row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  <row r="67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28470-B281-4DE9-829E-052D86ED25D1}">
  <sheetPr codeName="Planilha29">
    <tabColor rgb="FFFFC000"/>
  </sheetPr>
  <dimension ref="A1:AY66"/>
  <sheetViews>
    <sheetView zoomScale="40" zoomScaleNormal="40" workbookViewId="0">
      <selection activeCell="R11" sqref="R11"/>
    </sheetView>
  </sheetViews>
  <sheetFormatPr defaultRowHeight="14.4" x14ac:dyDescent="0.3"/>
  <cols>
    <col min="1" max="4" width="8.88671875" style="178"/>
    <col min="5" max="5" width="4.5546875" style="178" bestFit="1" customWidth="1"/>
    <col min="6" max="6" width="21.88671875" style="178" bestFit="1" customWidth="1"/>
    <col min="7" max="7" width="26" style="178" bestFit="1" customWidth="1"/>
    <col min="8" max="8" width="19.44140625" style="178" bestFit="1" customWidth="1"/>
    <col min="9" max="9" width="12.109375" style="178" bestFit="1" customWidth="1"/>
    <col min="10" max="10" width="12.6640625" style="178" bestFit="1" customWidth="1"/>
    <col min="11" max="11" width="5.6640625" style="178" bestFit="1" customWidth="1"/>
    <col min="12" max="12" width="31.77734375" style="178" bestFit="1" customWidth="1"/>
    <col min="13" max="13" width="26.5546875" style="178" bestFit="1" customWidth="1"/>
    <col min="14" max="14" width="44.33203125" style="178" bestFit="1" customWidth="1"/>
    <col min="15" max="15" width="28.77734375" style="178" bestFit="1" customWidth="1"/>
    <col min="16" max="16" width="32.6640625" style="178" bestFit="1" customWidth="1"/>
    <col min="17" max="17" width="37.33203125" style="178" bestFit="1" customWidth="1"/>
    <col min="18" max="18" width="30.44140625" style="178" bestFit="1" customWidth="1"/>
    <col min="19" max="16384" width="8.88671875" style="178"/>
  </cols>
  <sheetData>
    <row r="1" spans="1:51" x14ac:dyDescent="0.3">
      <c r="A1" s="182"/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  <c r="AX1" s="182"/>
      <c r="AY1" s="182"/>
    </row>
    <row r="2" spans="1:51" x14ac:dyDescent="0.3">
      <c r="A2" s="182"/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</row>
    <row r="3" spans="1:51" ht="61.2" customHeight="1" x14ac:dyDescent="0.3">
      <c r="A3" s="182"/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</row>
    <row r="4" spans="1:51" ht="46.2" customHeight="1" x14ac:dyDescent="0.3">
      <c r="A4" s="268"/>
      <c r="B4" s="268"/>
      <c r="C4" s="268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8"/>
      <c r="Q4" s="268"/>
      <c r="R4" s="268"/>
      <c r="S4" s="268"/>
      <c r="T4" s="268"/>
      <c r="U4" s="268"/>
      <c r="V4" s="268"/>
      <c r="W4" s="268"/>
      <c r="X4" s="268"/>
      <c r="Y4" s="268"/>
      <c r="Z4" s="268"/>
      <c r="AA4" s="268"/>
      <c r="AB4" s="268"/>
      <c r="AC4" s="268"/>
      <c r="AD4" s="268"/>
      <c r="AE4" s="268"/>
      <c r="AF4" s="268"/>
      <c r="AG4" s="268"/>
      <c r="AH4" s="268"/>
      <c r="AI4" s="268"/>
      <c r="AJ4" s="268"/>
      <c r="AK4" s="268"/>
      <c r="AL4" s="268"/>
      <c r="AM4" s="268"/>
      <c r="AN4" s="268"/>
      <c r="AO4" s="268"/>
      <c r="AP4" s="268"/>
      <c r="AQ4" s="268"/>
      <c r="AR4" s="268"/>
      <c r="AS4" s="268"/>
      <c r="AT4" s="268"/>
      <c r="AU4" s="268"/>
      <c r="AV4" s="268"/>
      <c r="AW4" s="268"/>
      <c r="AX4" s="268"/>
      <c r="AY4" s="268"/>
    </row>
    <row r="5" spans="1:51" x14ac:dyDescent="0.3">
      <c r="A5" s="268"/>
      <c r="B5" s="268"/>
      <c r="C5" s="268"/>
      <c r="D5" s="268"/>
      <c r="E5" s="268"/>
      <c r="F5" s="268"/>
      <c r="G5" s="268"/>
      <c r="H5" s="268"/>
      <c r="I5" s="268"/>
      <c r="J5" s="268"/>
      <c r="K5" s="268"/>
      <c r="L5" s="268"/>
      <c r="M5" s="268"/>
      <c r="N5" s="268"/>
      <c r="O5" s="268"/>
      <c r="P5" s="268"/>
      <c r="Q5" s="268"/>
      <c r="R5" s="268"/>
      <c r="S5" s="268"/>
      <c r="T5" s="268"/>
      <c r="U5" s="268"/>
      <c r="V5" s="268"/>
      <c r="W5" s="268"/>
      <c r="X5" s="268"/>
      <c r="Y5" s="268"/>
      <c r="Z5" s="268"/>
      <c r="AA5" s="268"/>
      <c r="AB5" s="268"/>
      <c r="AC5" s="268"/>
      <c r="AD5" s="268"/>
      <c r="AE5" s="268"/>
      <c r="AF5" s="268"/>
      <c r="AG5" s="268"/>
      <c r="AH5" s="268"/>
      <c r="AI5" s="268"/>
      <c r="AJ5" s="268"/>
      <c r="AK5" s="268"/>
      <c r="AL5" s="268"/>
      <c r="AM5" s="268"/>
      <c r="AN5" s="268"/>
      <c r="AO5" s="268"/>
      <c r="AP5" s="268"/>
      <c r="AQ5" s="268"/>
      <c r="AR5" s="268"/>
      <c r="AS5" s="268"/>
      <c r="AT5" s="268"/>
      <c r="AU5" s="268"/>
      <c r="AV5" s="268"/>
      <c r="AW5" s="268"/>
      <c r="AX5" s="268"/>
      <c r="AY5" s="268"/>
    </row>
    <row r="6" spans="1:51" x14ac:dyDescent="0.3">
      <c r="A6" s="268"/>
      <c r="B6" s="268"/>
      <c r="C6" s="268"/>
      <c r="D6" s="268"/>
      <c r="E6" s="268"/>
      <c r="F6" s="268"/>
      <c r="G6" s="268"/>
      <c r="H6" s="268"/>
      <c r="I6" s="268"/>
      <c r="J6" s="268"/>
      <c r="K6" s="268"/>
      <c r="L6" s="268"/>
      <c r="M6" s="268"/>
      <c r="N6" s="268"/>
      <c r="O6" s="268"/>
      <c r="P6" s="268"/>
      <c r="Q6" s="268"/>
      <c r="R6" s="268"/>
      <c r="S6" s="268"/>
      <c r="T6" s="268"/>
      <c r="U6" s="268"/>
      <c r="V6" s="268"/>
      <c r="W6" s="268"/>
      <c r="X6" s="268"/>
      <c r="Y6" s="268"/>
      <c r="Z6" s="268"/>
      <c r="AA6" s="268"/>
      <c r="AB6" s="268"/>
      <c r="AC6" s="268"/>
      <c r="AD6" s="268"/>
      <c r="AE6" s="268"/>
      <c r="AF6" s="268"/>
      <c r="AG6" s="268"/>
      <c r="AH6" s="268"/>
      <c r="AI6" s="268"/>
      <c r="AJ6" s="268"/>
      <c r="AK6" s="268"/>
      <c r="AL6" s="268"/>
      <c r="AM6" s="268"/>
      <c r="AN6" s="268"/>
      <c r="AO6" s="268"/>
      <c r="AP6" s="268"/>
      <c r="AQ6" s="268"/>
      <c r="AR6" s="268"/>
      <c r="AS6" s="268"/>
      <c r="AT6" s="268"/>
      <c r="AU6" s="268"/>
      <c r="AV6" s="268"/>
      <c r="AW6" s="268"/>
      <c r="AX6" s="268"/>
      <c r="AY6" s="268"/>
    </row>
    <row r="7" spans="1:51" x14ac:dyDescent="0.3">
      <c r="A7" s="268"/>
      <c r="B7" s="268"/>
      <c r="C7" s="268"/>
      <c r="D7" s="268"/>
      <c r="E7" s="268"/>
      <c r="F7" s="268"/>
      <c r="G7" s="268"/>
      <c r="H7" s="268"/>
      <c r="I7" s="268"/>
      <c r="J7" s="268"/>
      <c r="K7" s="268"/>
      <c r="L7" s="268"/>
      <c r="M7" s="268"/>
      <c r="N7" s="268"/>
      <c r="O7" s="268"/>
      <c r="P7" s="268"/>
      <c r="Q7" s="268"/>
      <c r="R7" s="268"/>
      <c r="S7" s="268"/>
      <c r="T7" s="268"/>
      <c r="U7" s="268"/>
      <c r="V7" s="268"/>
      <c r="W7" s="268"/>
      <c r="X7" s="268"/>
      <c r="Y7" s="268"/>
      <c r="Z7" s="268"/>
      <c r="AA7" s="268"/>
      <c r="AB7" s="268"/>
      <c r="AC7" s="268"/>
      <c r="AD7" s="268"/>
      <c r="AE7" s="268"/>
      <c r="AF7" s="268"/>
      <c r="AG7" s="268"/>
      <c r="AH7" s="268"/>
      <c r="AI7" s="268"/>
      <c r="AJ7" s="268"/>
      <c r="AK7" s="268"/>
      <c r="AL7" s="268"/>
      <c r="AM7" s="268"/>
      <c r="AN7" s="268"/>
      <c r="AO7" s="268"/>
      <c r="AP7" s="268"/>
      <c r="AQ7" s="268"/>
      <c r="AR7" s="268"/>
      <c r="AS7" s="268"/>
      <c r="AT7" s="268"/>
      <c r="AU7" s="268"/>
      <c r="AV7" s="268"/>
      <c r="AW7" s="268"/>
      <c r="AX7" s="268"/>
      <c r="AY7" s="268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x14ac:dyDescent="0.3">
      <c r="K13" s="269" t="s">
        <v>31</v>
      </c>
      <c r="L13" s="272" t="s">
        <v>153</v>
      </c>
      <c r="M13" s="272" t="s">
        <v>154</v>
      </c>
      <c r="N13" s="273" t="s">
        <v>155</v>
      </c>
      <c r="O13" s="272" t="s">
        <v>156</v>
      </c>
      <c r="P13" s="272" t="s">
        <v>157</v>
      </c>
      <c r="Q13" s="272" t="s">
        <v>158</v>
      </c>
      <c r="R13" s="272" t="s">
        <v>159</v>
      </c>
    </row>
    <row r="14" spans="1:51" ht="28.8" customHeight="1" x14ac:dyDescent="0.3">
      <c r="K14" s="270">
        <v>1</v>
      </c>
      <c r="L14" s="270" t="s">
        <v>160</v>
      </c>
      <c r="M14" s="270" t="s">
        <v>161</v>
      </c>
      <c r="N14" s="271">
        <v>10000</v>
      </c>
      <c r="O14" s="270" t="s">
        <v>162</v>
      </c>
      <c r="P14" s="270" t="s">
        <v>163</v>
      </c>
      <c r="Q14" s="270" t="s">
        <v>41</v>
      </c>
      <c r="R14" s="270" t="s">
        <v>164</v>
      </c>
    </row>
    <row r="15" spans="1:51" ht="28.8" customHeight="1" x14ac:dyDescent="0.3">
      <c r="K15" s="270">
        <f>K14+1</f>
        <v>2</v>
      </c>
      <c r="L15" s="270" t="s">
        <v>165</v>
      </c>
      <c r="M15" s="270" t="s">
        <v>166</v>
      </c>
      <c r="N15" s="271">
        <v>2000</v>
      </c>
      <c r="O15" s="270" t="s">
        <v>167</v>
      </c>
      <c r="P15" s="270" t="s">
        <v>168</v>
      </c>
      <c r="Q15" s="270" t="s">
        <v>169</v>
      </c>
      <c r="R15" s="270" t="s">
        <v>170</v>
      </c>
    </row>
    <row r="16" spans="1:51" ht="28.8" customHeight="1" x14ac:dyDescent="0.3">
      <c r="K16" s="270">
        <f t="shared" ref="K16:K33" si="0">K15+1</f>
        <v>3</v>
      </c>
      <c r="L16" s="270" t="s">
        <v>171</v>
      </c>
      <c r="M16" s="270" t="s">
        <v>161</v>
      </c>
      <c r="N16" s="271">
        <v>15000</v>
      </c>
      <c r="O16" s="270" t="s">
        <v>172</v>
      </c>
      <c r="P16" s="270" t="s">
        <v>173</v>
      </c>
      <c r="Q16" s="270" t="s">
        <v>174</v>
      </c>
      <c r="R16" s="270" t="s">
        <v>175</v>
      </c>
    </row>
    <row r="17" spans="11:18" ht="28.8" customHeight="1" x14ac:dyDescent="0.3">
      <c r="K17" s="270">
        <f t="shared" si="0"/>
        <v>4</v>
      </c>
      <c r="L17" s="270" t="s">
        <v>176</v>
      </c>
      <c r="M17" s="270" t="s">
        <v>177</v>
      </c>
      <c r="N17" s="271">
        <v>1200</v>
      </c>
      <c r="O17" s="270" t="s">
        <v>178</v>
      </c>
      <c r="P17" s="270" t="s">
        <v>179</v>
      </c>
      <c r="Q17" s="270" t="s">
        <v>58</v>
      </c>
      <c r="R17" s="270" t="s">
        <v>164</v>
      </c>
    </row>
    <row r="18" spans="11:18" ht="28.8" customHeight="1" x14ac:dyDescent="0.3">
      <c r="K18" s="270">
        <f t="shared" si="0"/>
        <v>5</v>
      </c>
      <c r="L18" s="270" t="s">
        <v>180</v>
      </c>
      <c r="M18" s="270" t="s">
        <v>161</v>
      </c>
      <c r="N18" s="271">
        <v>12500</v>
      </c>
      <c r="O18" s="270" t="s">
        <v>181</v>
      </c>
      <c r="P18" s="270" t="s">
        <v>61</v>
      </c>
      <c r="Q18" s="270" t="s">
        <v>182</v>
      </c>
      <c r="R18" s="270" t="s">
        <v>164</v>
      </c>
    </row>
    <row r="19" spans="11:18" ht="28.8" customHeight="1" x14ac:dyDescent="0.3">
      <c r="K19" s="270">
        <f t="shared" si="0"/>
        <v>6</v>
      </c>
      <c r="L19" s="270" t="s">
        <v>183</v>
      </c>
      <c r="M19" s="270" t="s">
        <v>161</v>
      </c>
      <c r="N19" s="271">
        <v>8000</v>
      </c>
      <c r="O19" s="270" t="s">
        <v>184</v>
      </c>
      <c r="P19" s="270" t="s">
        <v>185</v>
      </c>
      <c r="Q19" s="270" t="s">
        <v>186</v>
      </c>
      <c r="R19" s="270" t="s">
        <v>175</v>
      </c>
    </row>
    <row r="20" spans="11:18" ht="28.8" customHeight="1" x14ac:dyDescent="0.3">
      <c r="K20" s="270">
        <f t="shared" si="0"/>
        <v>7</v>
      </c>
      <c r="L20" s="270" t="s">
        <v>187</v>
      </c>
      <c r="M20" s="270" t="s">
        <v>166</v>
      </c>
      <c r="N20" s="271">
        <v>2500</v>
      </c>
      <c r="O20" s="270" t="s">
        <v>188</v>
      </c>
      <c r="P20" s="270" t="s">
        <v>189</v>
      </c>
      <c r="Q20" s="270" t="s">
        <v>190</v>
      </c>
      <c r="R20" s="270" t="s">
        <v>170</v>
      </c>
    </row>
    <row r="21" spans="11:18" ht="28.8" customHeight="1" x14ac:dyDescent="0.3">
      <c r="K21" s="270">
        <f t="shared" si="0"/>
        <v>8</v>
      </c>
      <c r="L21" s="270" t="s">
        <v>191</v>
      </c>
      <c r="M21" s="270" t="s">
        <v>177</v>
      </c>
      <c r="N21" s="271">
        <v>1800</v>
      </c>
      <c r="O21" s="270" t="s">
        <v>192</v>
      </c>
      <c r="P21" s="270" t="s">
        <v>193</v>
      </c>
      <c r="Q21" s="270" t="s">
        <v>82</v>
      </c>
      <c r="R21" s="270" t="s">
        <v>164</v>
      </c>
    </row>
    <row r="22" spans="11:18" ht="28.8" customHeight="1" x14ac:dyDescent="0.3">
      <c r="K22" s="270">
        <f t="shared" si="0"/>
        <v>9</v>
      </c>
      <c r="L22" s="270" t="s">
        <v>194</v>
      </c>
      <c r="M22" s="270" t="s">
        <v>161</v>
      </c>
      <c r="N22" s="271">
        <v>10500</v>
      </c>
      <c r="O22" s="270" t="s">
        <v>195</v>
      </c>
      <c r="P22" s="270" t="s">
        <v>85</v>
      </c>
      <c r="Q22" s="270" t="s">
        <v>88</v>
      </c>
      <c r="R22" s="270" t="s">
        <v>164</v>
      </c>
    </row>
    <row r="23" spans="11:18" ht="28.8" customHeight="1" x14ac:dyDescent="0.3">
      <c r="K23" s="270">
        <f t="shared" si="0"/>
        <v>10</v>
      </c>
      <c r="L23" s="270" t="s">
        <v>196</v>
      </c>
      <c r="M23" s="270" t="s">
        <v>166</v>
      </c>
      <c r="N23" s="271">
        <v>2200</v>
      </c>
      <c r="O23" s="270" t="s">
        <v>197</v>
      </c>
      <c r="P23" s="270" t="s">
        <v>198</v>
      </c>
      <c r="Q23" s="270" t="s">
        <v>94</v>
      </c>
      <c r="R23" s="270" t="s">
        <v>170</v>
      </c>
    </row>
    <row r="24" spans="11:18" ht="28.8" customHeight="1" x14ac:dyDescent="0.3">
      <c r="K24" s="270">
        <f t="shared" si="0"/>
        <v>11</v>
      </c>
      <c r="L24" s="270" t="s">
        <v>199</v>
      </c>
      <c r="M24" s="270" t="s">
        <v>161</v>
      </c>
      <c r="N24" s="271">
        <v>14000</v>
      </c>
      <c r="O24" s="270" t="s">
        <v>200</v>
      </c>
      <c r="P24" s="270" t="s">
        <v>97</v>
      </c>
      <c r="Q24" s="270" t="s">
        <v>100</v>
      </c>
      <c r="R24" s="270" t="s">
        <v>164</v>
      </c>
    </row>
    <row r="25" spans="11:18" ht="28.8" customHeight="1" x14ac:dyDescent="0.3">
      <c r="K25" s="270">
        <f t="shared" si="0"/>
        <v>12</v>
      </c>
      <c r="L25" s="270" t="s">
        <v>201</v>
      </c>
      <c r="M25" s="270" t="s">
        <v>177</v>
      </c>
      <c r="N25" s="271">
        <v>1000</v>
      </c>
      <c r="O25" s="270" t="s">
        <v>202</v>
      </c>
      <c r="P25" s="270" t="s">
        <v>203</v>
      </c>
      <c r="Q25" s="270" t="s">
        <v>106</v>
      </c>
      <c r="R25" s="270" t="s">
        <v>175</v>
      </c>
    </row>
    <row r="26" spans="11:18" ht="28.8" customHeight="1" x14ac:dyDescent="0.3">
      <c r="K26" s="270">
        <f t="shared" si="0"/>
        <v>13</v>
      </c>
      <c r="L26" s="270" t="s">
        <v>204</v>
      </c>
      <c r="M26" s="270" t="s">
        <v>161</v>
      </c>
      <c r="N26" s="271">
        <v>13000</v>
      </c>
      <c r="O26" s="270" t="s">
        <v>205</v>
      </c>
      <c r="P26" s="270" t="s">
        <v>109</v>
      </c>
      <c r="Q26" s="270" t="s">
        <v>112</v>
      </c>
      <c r="R26" s="270" t="s">
        <v>164</v>
      </c>
    </row>
    <row r="27" spans="11:18" ht="28.8" customHeight="1" x14ac:dyDescent="0.3">
      <c r="K27" s="270">
        <f t="shared" si="0"/>
        <v>14</v>
      </c>
      <c r="L27" s="270" t="s">
        <v>206</v>
      </c>
      <c r="M27" s="270" t="s">
        <v>166</v>
      </c>
      <c r="N27" s="271">
        <v>1900</v>
      </c>
      <c r="O27" s="270" t="s">
        <v>207</v>
      </c>
      <c r="P27" s="270" t="s">
        <v>115</v>
      </c>
      <c r="Q27" s="270" t="s">
        <v>118</v>
      </c>
      <c r="R27" s="270" t="s">
        <v>170</v>
      </c>
    </row>
    <row r="28" spans="11:18" ht="28.8" customHeight="1" x14ac:dyDescent="0.3">
      <c r="K28" s="270">
        <f t="shared" si="0"/>
        <v>15</v>
      </c>
      <c r="L28" s="270" t="s">
        <v>208</v>
      </c>
      <c r="M28" s="270" t="s">
        <v>161</v>
      </c>
      <c r="N28" s="271">
        <v>16000</v>
      </c>
      <c r="O28" s="270" t="s">
        <v>209</v>
      </c>
      <c r="P28" s="270" t="s">
        <v>121</v>
      </c>
      <c r="Q28" s="270" t="s">
        <v>124</v>
      </c>
      <c r="R28" s="270" t="s">
        <v>164</v>
      </c>
    </row>
    <row r="29" spans="11:18" ht="28.8" customHeight="1" x14ac:dyDescent="0.3">
      <c r="K29" s="270">
        <f t="shared" si="0"/>
        <v>16</v>
      </c>
      <c r="L29" s="270" t="s">
        <v>210</v>
      </c>
      <c r="M29" s="270" t="s">
        <v>177</v>
      </c>
      <c r="N29" s="271">
        <v>1500</v>
      </c>
      <c r="O29" s="270" t="s">
        <v>211</v>
      </c>
      <c r="P29" s="270" t="s">
        <v>127</v>
      </c>
      <c r="Q29" s="270" t="s">
        <v>130</v>
      </c>
      <c r="R29" s="270" t="s">
        <v>164</v>
      </c>
    </row>
    <row r="30" spans="11:18" ht="28.8" customHeight="1" x14ac:dyDescent="0.3">
      <c r="K30" s="270">
        <f t="shared" si="0"/>
        <v>17</v>
      </c>
      <c r="L30" s="270" t="s">
        <v>212</v>
      </c>
      <c r="M30" s="270" t="s">
        <v>166</v>
      </c>
      <c r="N30" s="271">
        <v>2300</v>
      </c>
      <c r="O30" s="270" t="s">
        <v>213</v>
      </c>
      <c r="P30" s="270" t="s">
        <v>132</v>
      </c>
      <c r="Q30" s="270" t="s">
        <v>135</v>
      </c>
      <c r="R30" s="270" t="s">
        <v>175</v>
      </c>
    </row>
    <row r="31" spans="11:18" ht="28.8" customHeight="1" x14ac:dyDescent="0.3">
      <c r="K31" s="270">
        <f t="shared" si="0"/>
        <v>18</v>
      </c>
      <c r="L31" s="270" t="s">
        <v>214</v>
      </c>
      <c r="M31" s="270" t="s">
        <v>161</v>
      </c>
      <c r="N31" s="271">
        <v>11000</v>
      </c>
      <c r="O31" s="270" t="s">
        <v>215</v>
      </c>
      <c r="P31" s="270" t="s">
        <v>137</v>
      </c>
      <c r="Q31" s="270" t="s">
        <v>140</v>
      </c>
      <c r="R31" s="270" t="s">
        <v>164</v>
      </c>
    </row>
    <row r="32" spans="11:18" ht="28.8" customHeight="1" x14ac:dyDescent="0.3">
      <c r="K32" s="270">
        <f t="shared" si="0"/>
        <v>19</v>
      </c>
      <c r="L32" s="270" t="s">
        <v>216</v>
      </c>
      <c r="M32" s="270" t="s">
        <v>166</v>
      </c>
      <c r="N32" s="271">
        <v>1700</v>
      </c>
      <c r="O32" s="270" t="s">
        <v>217</v>
      </c>
      <c r="P32" s="270" t="s">
        <v>143</v>
      </c>
      <c r="Q32" s="270" t="s">
        <v>146</v>
      </c>
      <c r="R32" s="270" t="s">
        <v>170</v>
      </c>
    </row>
    <row r="33" spans="11:18" ht="28.8" customHeight="1" x14ac:dyDescent="0.3">
      <c r="K33" s="270">
        <f t="shared" si="0"/>
        <v>20</v>
      </c>
      <c r="L33" s="270" t="s">
        <v>218</v>
      </c>
      <c r="M33" s="270" t="s">
        <v>177</v>
      </c>
      <c r="N33" s="271">
        <v>1300</v>
      </c>
      <c r="O33" s="270" t="s">
        <v>219</v>
      </c>
      <c r="P33" s="270" t="s">
        <v>148</v>
      </c>
      <c r="Q33" s="270" t="s">
        <v>151</v>
      </c>
      <c r="R33" s="270" t="s">
        <v>164</v>
      </c>
    </row>
    <row r="34" spans="11:18" ht="28.8" customHeight="1" x14ac:dyDescent="0.3"/>
    <row r="35" spans="11:18" ht="28.8" customHeight="1" x14ac:dyDescent="0.3"/>
    <row r="36" spans="11:18" ht="28.8" customHeight="1" x14ac:dyDescent="0.3"/>
    <row r="37" spans="11:18" ht="28.8" customHeight="1" x14ac:dyDescent="0.3"/>
    <row r="38" spans="11:18" ht="28.8" customHeight="1" x14ac:dyDescent="0.3"/>
    <row r="39" spans="11:18" ht="28.8" customHeight="1" x14ac:dyDescent="0.3"/>
    <row r="40" spans="11:18" ht="28.8" customHeight="1" x14ac:dyDescent="0.3"/>
    <row r="41" spans="11:18" ht="28.8" customHeight="1" x14ac:dyDescent="0.3"/>
    <row r="42" spans="11:18" ht="28.8" customHeight="1" x14ac:dyDescent="0.3"/>
    <row r="43" spans="11:18" ht="28.8" customHeight="1" x14ac:dyDescent="0.3"/>
    <row r="44" spans="11:18" ht="28.8" customHeight="1" x14ac:dyDescent="0.3"/>
    <row r="45" spans="11:18" ht="28.8" customHeight="1" x14ac:dyDescent="0.3"/>
    <row r="46" spans="11:18" ht="28.8" customHeight="1" x14ac:dyDescent="0.3"/>
    <row r="47" spans="11:18" ht="28.8" customHeight="1" x14ac:dyDescent="0.3"/>
    <row r="48" spans="11:1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0AAE6-9E02-4DF5-A528-C6871DA6989C}">
  <sheetPr codeName="Planilha30">
    <tabColor rgb="FFFFC000"/>
  </sheetPr>
  <dimension ref="A1:AY66"/>
  <sheetViews>
    <sheetView zoomScale="40" zoomScaleNormal="40" workbookViewId="0">
      <selection activeCell="AB22" sqref="AB22"/>
    </sheetView>
  </sheetViews>
  <sheetFormatPr defaultRowHeight="14.4" x14ac:dyDescent="0.3"/>
  <cols>
    <col min="1" max="4" width="8.88671875" style="178"/>
    <col min="5" max="5" width="4.5546875" style="178" bestFit="1" customWidth="1"/>
    <col min="6" max="6" width="21.88671875" style="178" bestFit="1" customWidth="1"/>
    <col min="7" max="7" width="26" style="178" bestFit="1" customWidth="1"/>
    <col min="8" max="8" width="19.44140625" style="178" bestFit="1" customWidth="1"/>
    <col min="9" max="9" width="12.109375" style="178" bestFit="1" customWidth="1"/>
    <col min="10" max="10" width="12.6640625" style="178" bestFit="1" customWidth="1"/>
    <col min="11" max="11" width="5.109375" style="178" bestFit="1" customWidth="1"/>
    <col min="12" max="12" width="27.6640625" style="178" bestFit="1" customWidth="1"/>
    <col min="13" max="13" width="24.33203125" style="178" bestFit="1" customWidth="1"/>
    <col min="14" max="14" width="29.88671875" style="178" bestFit="1" customWidth="1"/>
    <col min="15" max="15" width="52.33203125" style="178" bestFit="1" customWidth="1"/>
    <col min="16" max="16" width="27.6640625" style="178" bestFit="1" customWidth="1"/>
    <col min="17" max="17" width="20.44140625" style="178" bestFit="1" customWidth="1"/>
    <col min="18" max="18" width="36" style="178" bestFit="1" customWidth="1"/>
    <col min="19" max="19" width="31.5546875" style="178" bestFit="1" customWidth="1"/>
    <col min="20" max="16384" width="8.88671875" style="178"/>
  </cols>
  <sheetData>
    <row r="1" spans="1:51" x14ac:dyDescent="0.3">
      <c r="A1" s="182"/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  <c r="AX1" s="182"/>
      <c r="AY1" s="182"/>
    </row>
    <row r="2" spans="1:51" x14ac:dyDescent="0.3">
      <c r="A2" s="182"/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</row>
    <row r="3" spans="1:51" ht="61.2" customHeight="1" x14ac:dyDescent="0.3">
      <c r="A3" s="182"/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</row>
    <row r="4" spans="1:51" ht="46.2" customHeight="1" x14ac:dyDescent="0.3">
      <c r="A4" s="268"/>
      <c r="B4" s="268"/>
      <c r="C4" s="268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8"/>
      <c r="Q4" s="268"/>
      <c r="R4" s="268"/>
      <c r="S4" s="268"/>
      <c r="T4" s="268"/>
      <c r="U4" s="268"/>
      <c r="V4" s="268"/>
      <c r="W4" s="268"/>
      <c r="X4" s="268"/>
      <c r="Y4" s="268"/>
      <c r="Z4" s="268"/>
      <c r="AA4" s="268"/>
      <c r="AB4" s="268"/>
      <c r="AC4" s="268"/>
      <c r="AD4" s="268"/>
      <c r="AE4" s="268"/>
      <c r="AF4" s="268"/>
      <c r="AG4" s="268"/>
      <c r="AH4" s="268"/>
      <c r="AI4" s="268"/>
      <c r="AJ4" s="268"/>
      <c r="AK4" s="268"/>
      <c r="AL4" s="268"/>
      <c r="AM4" s="268"/>
      <c r="AN4" s="268"/>
      <c r="AO4" s="268"/>
      <c r="AP4" s="268"/>
      <c r="AQ4" s="268"/>
      <c r="AR4" s="268"/>
      <c r="AS4" s="268"/>
      <c r="AT4" s="268"/>
      <c r="AU4" s="268"/>
      <c r="AV4" s="268"/>
      <c r="AW4" s="268"/>
      <c r="AX4" s="268"/>
      <c r="AY4" s="268"/>
    </row>
    <row r="5" spans="1:51" x14ac:dyDescent="0.3">
      <c r="A5" s="268"/>
      <c r="B5" s="268"/>
      <c r="C5" s="268"/>
      <c r="D5" s="268"/>
      <c r="E5" s="268"/>
      <c r="F5" s="268"/>
      <c r="G5" s="268"/>
      <c r="H5" s="268"/>
      <c r="I5" s="268"/>
      <c r="J5" s="268"/>
      <c r="K5" s="268"/>
      <c r="L5" s="268"/>
      <c r="M5" s="268"/>
      <c r="N5" s="268"/>
      <c r="O5" s="268"/>
      <c r="P5" s="268"/>
      <c r="Q5" s="268"/>
      <c r="R5" s="268"/>
      <c r="S5" s="268"/>
      <c r="T5" s="268"/>
      <c r="U5" s="268"/>
      <c r="V5" s="268"/>
      <c r="W5" s="268"/>
      <c r="X5" s="268"/>
      <c r="Y5" s="268"/>
      <c r="Z5" s="268"/>
      <c r="AA5" s="268"/>
      <c r="AB5" s="268"/>
      <c r="AC5" s="268"/>
      <c r="AD5" s="268"/>
      <c r="AE5" s="268"/>
      <c r="AF5" s="268"/>
      <c r="AG5" s="268"/>
      <c r="AH5" s="268"/>
      <c r="AI5" s="268"/>
      <c r="AJ5" s="268"/>
      <c r="AK5" s="268"/>
      <c r="AL5" s="268"/>
      <c r="AM5" s="268"/>
      <c r="AN5" s="268"/>
      <c r="AO5" s="268"/>
      <c r="AP5" s="268"/>
      <c r="AQ5" s="268"/>
      <c r="AR5" s="268"/>
      <c r="AS5" s="268"/>
      <c r="AT5" s="268"/>
      <c r="AU5" s="268"/>
      <c r="AV5" s="268"/>
      <c r="AW5" s="268"/>
      <c r="AX5" s="268"/>
      <c r="AY5" s="268"/>
    </row>
    <row r="6" spans="1:51" x14ac:dyDescent="0.3">
      <c r="A6" s="268"/>
      <c r="B6" s="268"/>
      <c r="C6" s="268"/>
      <c r="D6" s="268"/>
      <c r="E6" s="268"/>
      <c r="F6" s="268"/>
      <c r="G6" s="268"/>
      <c r="H6" s="268"/>
      <c r="I6" s="268"/>
      <c r="J6" s="268"/>
      <c r="K6" s="268"/>
      <c r="L6" s="268"/>
      <c r="M6" s="268"/>
      <c r="N6" s="268"/>
      <c r="O6" s="268"/>
      <c r="P6" s="268"/>
      <c r="Q6" s="268"/>
      <c r="R6" s="268"/>
      <c r="S6" s="268"/>
      <c r="T6" s="268"/>
      <c r="U6" s="268"/>
      <c r="V6" s="268"/>
      <c r="W6" s="268"/>
      <c r="X6" s="268"/>
      <c r="Y6" s="268"/>
      <c r="Z6" s="268"/>
      <c r="AA6" s="268"/>
      <c r="AB6" s="268"/>
      <c r="AC6" s="268"/>
      <c r="AD6" s="268"/>
      <c r="AE6" s="268"/>
      <c r="AF6" s="268"/>
      <c r="AG6" s="268"/>
      <c r="AH6" s="268"/>
      <c r="AI6" s="268"/>
      <c r="AJ6" s="268"/>
      <c r="AK6" s="268"/>
      <c r="AL6" s="268"/>
      <c r="AM6" s="268"/>
      <c r="AN6" s="268"/>
      <c r="AO6" s="268"/>
      <c r="AP6" s="268"/>
      <c r="AQ6" s="268"/>
      <c r="AR6" s="268"/>
      <c r="AS6" s="268"/>
      <c r="AT6" s="268"/>
      <c r="AU6" s="268"/>
      <c r="AV6" s="268"/>
      <c r="AW6" s="268"/>
      <c r="AX6" s="268"/>
      <c r="AY6" s="268"/>
    </row>
    <row r="7" spans="1:51" x14ac:dyDescent="0.3">
      <c r="A7" s="268"/>
      <c r="B7" s="268"/>
      <c r="C7" s="268"/>
      <c r="D7" s="268"/>
      <c r="E7" s="268"/>
      <c r="F7" s="268"/>
      <c r="G7" s="268"/>
      <c r="H7" s="268"/>
      <c r="I7" s="268"/>
      <c r="J7" s="268"/>
      <c r="K7" s="268"/>
      <c r="L7" s="268"/>
      <c r="M7" s="268"/>
      <c r="N7" s="268"/>
      <c r="O7" s="268"/>
      <c r="P7" s="268"/>
      <c r="Q7" s="268"/>
      <c r="R7" s="268"/>
      <c r="S7" s="268"/>
      <c r="T7" s="268"/>
      <c r="U7" s="268"/>
      <c r="V7" s="268"/>
      <c r="W7" s="268"/>
      <c r="X7" s="268"/>
      <c r="Y7" s="268"/>
      <c r="Z7" s="268"/>
      <c r="AA7" s="268"/>
      <c r="AB7" s="268"/>
      <c r="AC7" s="268"/>
      <c r="AD7" s="268"/>
      <c r="AE7" s="268"/>
      <c r="AF7" s="268"/>
      <c r="AG7" s="268"/>
      <c r="AH7" s="268"/>
      <c r="AI7" s="268"/>
      <c r="AJ7" s="268"/>
      <c r="AK7" s="268"/>
      <c r="AL7" s="268"/>
      <c r="AM7" s="268"/>
      <c r="AN7" s="268"/>
      <c r="AO7" s="268"/>
      <c r="AP7" s="268"/>
      <c r="AQ7" s="268"/>
      <c r="AR7" s="268"/>
      <c r="AS7" s="268"/>
      <c r="AT7" s="268"/>
      <c r="AU7" s="268"/>
      <c r="AV7" s="268"/>
      <c r="AW7" s="268"/>
      <c r="AX7" s="268"/>
      <c r="AY7" s="268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x14ac:dyDescent="0.3">
      <c r="K13" s="269" t="s">
        <v>220</v>
      </c>
      <c r="L13" s="269" t="s">
        <v>221</v>
      </c>
      <c r="M13" s="273" t="s">
        <v>222</v>
      </c>
      <c r="N13" s="269" t="s">
        <v>32</v>
      </c>
      <c r="O13" s="269" t="s">
        <v>223</v>
      </c>
      <c r="P13" s="269" t="s">
        <v>224</v>
      </c>
      <c r="Q13" s="269" t="s">
        <v>225</v>
      </c>
      <c r="R13" s="269" t="s">
        <v>226</v>
      </c>
      <c r="S13" s="269" t="s">
        <v>227</v>
      </c>
    </row>
    <row r="14" spans="1:51" ht="28.8" customHeight="1" x14ac:dyDescent="0.3">
      <c r="K14" s="270">
        <v>1</v>
      </c>
      <c r="L14" s="274">
        <v>45604</v>
      </c>
      <c r="M14" s="275">
        <v>0.33333333333333331</v>
      </c>
      <c r="N14" s="270" t="s">
        <v>38</v>
      </c>
      <c r="O14" s="270" t="s">
        <v>228</v>
      </c>
      <c r="P14" s="270" t="s">
        <v>229</v>
      </c>
      <c r="Q14" s="270">
        <v>10</v>
      </c>
      <c r="R14" s="270" t="s">
        <v>161</v>
      </c>
      <c r="S14" s="270" t="s">
        <v>230</v>
      </c>
    </row>
    <row r="15" spans="1:51" ht="28.8" customHeight="1" x14ac:dyDescent="0.3">
      <c r="K15" s="270">
        <f>K14+1</f>
        <v>2</v>
      </c>
      <c r="L15" s="274">
        <v>45604</v>
      </c>
      <c r="M15" s="275">
        <v>0.39583333333333331</v>
      </c>
      <c r="N15" s="270" t="s">
        <v>44</v>
      </c>
      <c r="O15" s="270" t="s">
        <v>231</v>
      </c>
      <c r="P15" s="270" t="s">
        <v>232</v>
      </c>
      <c r="Q15" s="270">
        <v>2</v>
      </c>
      <c r="R15" s="270" t="s">
        <v>166</v>
      </c>
      <c r="S15" s="270" t="s">
        <v>233</v>
      </c>
    </row>
    <row r="16" spans="1:51" ht="28.8" customHeight="1" x14ac:dyDescent="0.3">
      <c r="K16" s="270">
        <f t="shared" ref="K16:K33" si="0">K15+1</f>
        <v>3</v>
      </c>
      <c r="L16" s="274">
        <v>45604</v>
      </c>
      <c r="M16" s="275">
        <v>0.32291666666666669</v>
      </c>
      <c r="N16" s="270" t="s">
        <v>49</v>
      </c>
      <c r="O16" s="270" t="s">
        <v>234</v>
      </c>
      <c r="P16" s="270" t="s">
        <v>235</v>
      </c>
      <c r="Q16" s="270">
        <v>50</v>
      </c>
      <c r="R16" s="270" t="s">
        <v>177</v>
      </c>
      <c r="S16" s="270" t="s">
        <v>230</v>
      </c>
    </row>
    <row r="17" spans="11:19" ht="28.8" customHeight="1" x14ac:dyDescent="0.3">
      <c r="K17" s="270">
        <f t="shared" si="0"/>
        <v>4</v>
      </c>
      <c r="L17" s="274">
        <v>45604</v>
      </c>
      <c r="M17" s="275">
        <v>0.41666666666666669</v>
      </c>
      <c r="N17" s="270" t="s">
        <v>55</v>
      </c>
      <c r="O17" s="270" t="s">
        <v>236</v>
      </c>
      <c r="P17" s="270" t="s">
        <v>237</v>
      </c>
      <c r="Q17" s="270">
        <v>15</v>
      </c>
      <c r="R17" s="270" t="s">
        <v>161</v>
      </c>
      <c r="S17" s="270" t="s">
        <v>230</v>
      </c>
    </row>
    <row r="18" spans="11:19" ht="28.8" customHeight="1" x14ac:dyDescent="0.3">
      <c r="K18" s="270">
        <f t="shared" si="0"/>
        <v>5</v>
      </c>
      <c r="L18" s="274">
        <v>45604</v>
      </c>
      <c r="M18" s="275">
        <v>0.34375</v>
      </c>
      <c r="N18" s="270" t="s">
        <v>61</v>
      </c>
      <c r="O18" s="270" t="s">
        <v>238</v>
      </c>
      <c r="P18" s="270" t="s">
        <v>229</v>
      </c>
      <c r="Q18" s="270">
        <v>100</v>
      </c>
      <c r="R18" s="270" t="s">
        <v>161</v>
      </c>
      <c r="S18" s="270" t="s">
        <v>239</v>
      </c>
    </row>
    <row r="19" spans="11:19" ht="28.8" customHeight="1" x14ac:dyDescent="0.3">
      <c r="K19" s="270">
        <f t="shared" si="0"/>
        <v>6</v>
      </c>
      <c r="L19" s="274">
        <v>45604</v>
      </c>
      <c r="M19" s="275">
        <v>0.375</v>
      </c>
      <c r="N19" s="270" t="s">
        <v>67</v>
      </c>
      <c r="O19" s="270" t="s">
        <v>240</v>
      </c>
      <c r="P19" s="270" t="s">
        <v>232</v>
      </c>
      <c r="Q19" s="270">
        <v>200</v>
      </c>
      <c r="R19" s="270" t="s">
        <v>166</v>
      </c>
      <c r="S19" s="270" t="s">
        <v>230</v>
      </c>
    </row>
    <row r="20" spans="11:19" ht="28.8" customHeight="1" x14ac:dyDescent="0.3">
      <c r="K20" s="270">
        <f t="shared" si="0"/>
        <v>7</v>
      </c>
      <c r="L20" s="274">
        <v>45604</v>
      </c>
      <c r="M20" s="275">
        <v>0.45833333333333331</v>
      </c>
      <c r="N20" s="270" t="s">
        <v>73</v>
      </c>
      <c r="O20" s="270" t="s">
        <v>241</v>
      </c>
      <c r="P20" s="270" t="s">
        <v>235</v>
      </c>
      <c r="Q20" s="270">
        <v>30</v>
      </c>
      <c r="R20" s="270" t="s">
        <v>177</v>
      </c>
      <c r="S20" s="270" t="s">
        <v>233</v>
      </c>
    </row>
    <row r="21" spans="11:19" ht="28.8" customHeight="1" x14ac:dyDescent="0.3">
      <c r="K21" s="270">
        <f t="shared" si="0"/>
        <v>8</v>
      </c>
      <c r="L21" s="274">
        <v>45604</v>
      </c>
      <c r="M21" s="275">
        <v>0.3125</v>
      </c>
      <c r="N21" s="270" t="s">
        <v>79</v>
      </c>
      <c r="O21" s="270" t="s">
        <v>242</v>
      </c>
      <c r="P21" s="270" t="s">
        <v>237</v>
      </c>
      <c r="Q21" s="270">
        <v>20</v>
      </c>
      <c r="R21" s="270" t="s">
        <v>161</v>
      </c>
      <c r="S21" s="270" t="s">
        <v>230</v>
      </c>
    </row>
    <row r="22" spans="11:19" ht="28.8" customHeight="1" x14ac:dyDescent="0.3">
      <c r="K22" s="270">
        <f t="shared" si="0"/>
        <v>9</v>
      </c>
      <c r="L22" s="274">
        <v>45604</v>
      </c>
      <c r="M22" s="275">
        <v>0.40625</v>
      </c>
      <c r="N22" s="270" t="s">
        <v>85</v>
      </c>
      <c r="O22" s="270" t="s">
        <v>243</v>
      </c>
      <c r="P22" s="270" t="s">
        <v>229</v>
      </c>
      <c r="Q22" s="270">
        <v>500</v>
      </c>
      <c r="R22" s="270" t="s">
        <v>161</v>
      </c>
      <c r="S22" s="270" t="s">
        <v>230</v>
      </c>
    </row>
    <row r="23" spans="11:19" ht="28.8" customHeight="1" x14ac:dyDescent="0.3">
      <c r="K23" s="270">
        <f t="shared" si="0"/>
        <v>10</v>
      </c>
      <c r="L23" s="274">
        <v>45604</v>
      </c>
      <c r="M23" s="275">
        <v>0.42708333333333331</v>
      </c>
      <c r="N23" s="270" t="s">
        <v>91</v>
      </c>
      <c r="O23" s="270" t="s">
        <v>244</v>
      </c>
      <c r="P23" s="270" t="s">
        <v>232</v>
      </c>
      <c r="Q23" s="270">
        <v>5</v>
      </c>
      <c r="R23" s="270" t="s">
        <v>166</v>
      </c>
      <c r="S23" s="270" t="s">
        <v>239</v>
      </c>
    </row>
    <row r="24" spans="11:19" ht="28.8" customHeight="1" x14ac:dyDescent="0.3">
      <c r="K24" s="270">
        <f t="shared" si="0"/>
        <v>11</v>
      </c>
      <c r="L24" s="274">
        <v>45604</v>
      </c>
      <c r="M24" s="275">
        <v>0.47916666666666669</v>
      </c>
      <c r="N24" s="270" t="s">
        <v>97</v>
      </c>
      <c r="O24" s="270" t="s">
        <v>245</v>
      </c>
      <c r="P24" s="270" t="s">
        <v>235</v>
      </c>
      <c r="Q24" s="270">
        <v>40</v>
      </c>
      <c r="R24" s="270" t="s">
        <v>161</v>
      </c>
      <c r="S24" s="270" t="s">
        <v>230</v>
      </c>
    </row>
    <row r="25" spans="11:19" ht="28.8" customHeight="1" x14ac:dyDescent="0.3">
      <c r="K25" s="270">
        <f t="shared" si="0"/>
        <v>12</v>
      </c>
      <c r="L25" s="274">
        <v>45604</v>
      </c>
      <c r="M25" s="275">
        <v>0.36458333333333331</v>
      </c>
      <c r="N25" s="270" t="s">
        <v>103</v>
      </c>
      <c r="O25" s="270" t="s">
        <v>246</v>
      </c>
      <c r="P25" s="270" t="s">
        <v>237</v>
      </c>
      <c r="Q25" s="270">
        <v>80</v>
      </c>
      <c r="R25" s="270" t="s">
        <v>177</v>
      </c>
      <c r="S25" s="270" t="s">
        <v>233</v>
      </c>
    </row>
    <row r="26" spans="11:19" ht="28.8" customHeight="1" x14ac:dyDescent="0.3">
      <c r="K26" s="270">
        <f t="shared" si="0"/>
        <v>13</v>
      </c>
      <c r="L26" s="274">
        <v>45604</v>
      </c>
      <c r="M26" s="275">
        <v>0.38541666666666669</v>
      </c>
      <c r="N26" s="270" t="s">
        <v>109</v>
      </c>
      <c r="O26" s="270" t="s">
        <v>247</v>
      </c>
      <c r="P26" s="270" t="s">
        <v>229</v>
      </c>
      <c r="Q26" s="270">
        <v>20</v>
      </c>
      <c r="R26" s="270" t="s">
        <v>161</v>
      </c>
      <c r="S26" s="270" t="s">
        <v>230</v>
      </c>
    </row>
    <row r="27" spans="11:19" ht="28.8" customHeight="1" x14ac:dyDescent="0.3">
      <c r="K27" s="270">
        <f t="shared" si="0"/>
        <v>14</v>
      </c>
      <c r="L27" s="274">
        <v>45604</v>
      </c>
      <c r="M27" s="275">
        <v>0.29166666666666669</v>
      </c>
      <c r="N27" s="270" t="s">
        <v>115</v>
      </c>
      <c r="O27" s="270" t="s">
        <v>248</v>
      </c>
      <c r="P27" s="270" t="s">
        <v>232</v>
      </c>
      <c r="Q27" s="270">
        <v>35</v>
      </c>
      <c r="R27" s="270" t="s">
        <v>166</v>
      </c>
      <c r="S27" s="270" t="s">
        <v>230</v>
      </c>
    </row>
    <row r="28" spans="11:19" ht="28.8" customHeight="1" x14ac:dyDescent="0.3">
      <c r="K28" s="270">
        <f t="shared" si="0"/>
        <v>15</v>
      </c>
      <c r="L28" s="274">
        <v>45604</v>
      </c>
      <c r="M28" s="275">
        <v>0.4375</v>
      </c>
      <c r="N28" s="270" t="s">
        <v>121</v>
      </c>
      <c r="O28" s="270" t="s">
        <v>249</v>
      </c>
      <c r="P28" s="270" t="s">
        <v>235</v>
      </c>
      <c r="Q28" s="270">
        <v>300</v>
      </c>
      <c r="R28" s="270" t="s">
        <v>161</v>
      </c>
      <c r="S28" s="270" t="s">
        <v>239</v>
      </c>
    </row>
    <row r="29" spans="11:19" ht="28.8" customHeight="1" x14ac:dyDescent="0.3">
      <c r="K29" s="270">
        <f t="shared" si="0"/>
        <v>16</v>
      </c>
      <c r="L29" s="274">
        <v>45604</v>
      </c>
      <c r="M29" s="275">
        <v>0.40972222222222221</v>
      </c>
      <c r="N29" s="270" t="s">
        <v>127</v>
      </c>
      <c r="O29" s="270" t="s">
        <v>250</v>
      </c>
      <c r="P29" s="270" t="s">
        <v>237</v>
      </c>
      <c r="Q29" s="270">
        <v>60</v>
      </c>
      <c r="R29" s="270" t="s">
        <v>177</v>
      </c>
      <c r="S29" s="270" t="s">
        <v>230</v>
      </c>
    </row>
    <row r="30" spans="11:19" ht="28.8" customHeight="1" x14ac:dyDescent="0.3">
      <c r="K30" s="270">
        <f t="shared" si="0"/>
        <v>17</v>
      </c>
      <c r="L30" s="274">
        <v>45604</v>
      </c>
      <c r="M30" s="275">
        <v>0.34722222222222221</v>
      </c>
      <c r="N30" s="270" t="s">
        <v>132</v>
      </c>
      <c r="O30" s="270" t="s">
        <v>251</v>
      </c>
      <c r="P30" s="270" t="s">
        <v>229</v>
      </c>
      <c r="Q30" s="270">
        <v>15</v>
      </c>
      <c r="R30" s="270" t="s">
        <v>166</v>
      </c>
      <c r="S30" s="270" t="s">
        <v>233</v>
      </c>
    </row>
    <row r="31" spans="11:19" ht="28.8" customHeight="1" x14ac:dyDescent="0.3">
      <c r="K31" s="270">
        <f t="shared" si="0"/>
        <v>18</v>
      </c>
      <c r="L31" s="274">
        <v>45604</v>
      </c>
      <c r="M31" s="275">
        <v>0.48958333333333331</v>
      </c>
      <c r="N31" s="270" t="s">
        <v>137</v>
      </c>
      <c r="O31" s="270" t="s">
        <v>252</v>
      </c>
      <c r="P31" s="270" t="s">
        <v>232</v>
      </c>
      <c r="Q31" s="270">
        <v>70</v>
      </c>
      <c r="R31" s="270" t="s">
        <v>161</v>
      </c>
      <c r="S31" s="270" t="s">
        <v>230</v>
      </c>
    </row>
    <row r="32" spans="11:19" ht="28.8" customHeight="1" x14ac:dyDescent="0.3">
      <c r="K32" s="270">
        <f t="shared" si="0"/>
        <v>19</v>
      </c>
      <c r="L32" s="274">
        <v>45604</v>
      </c>
      <c r="M32" s="275">
        <v>0.38194444444444442</v>
      </c>
      <c r="N32" s="270" t="s">
        <v>143</v>
      </c>
      <c r="O32" s="270" t="s">
        <v>253</v>
      </c>
      <c r="P32" s="270" t="s">
        <v>235</v>
      </c>
      <c r="Q32" s="270">
        <v>120</v>
      </c>
      <c r="R32" s="270" t="s">
        <v>166</v>
      </c>
      <c r="S32" s="270" t="s">
        <v>230</v>
      </c>
    </row>
    <row r="33" spans="11:19" ht="28.8" customHeight="1" x14ac:dyDescent="0.3">
      <c r="K33" s="270">
        <f t="shared" si="0"/>
        <v>20</v>
      </c>
      <c r="L33" s="274">
        <v>45604</v>
      </c>
      <c r="M33" s="275">
        <v>0.44444444444444442</v>
      </c>
      <c r="N33" s="270" t="s">
        <v>148</v>
      </c>
      <c r="O33" s="270" t="s">
        <v>254</v>
      </c>
      <c r="P33" s="270" t="s">
        <v>237</v>
      </c>
      <c r="Q33" s="270">
        <v>25</v>
      </c>
      <c r="R33" s="270" t="s">
        <v>177</v>
      </c>
      <c r="S33" s="270" t="s">
        <v>230</v>
      </c>
    </row>
    <row r="34" spans="11:19" ht="28.8" customHeight="1" x14ac:dyDescent="0.3"/>
    <row r="35" spans="11:19" ht="28.8" customHeight="1" x14ac:dyDescent="0.3"/>
    <row r="36" spans="11:19" ht="28.8" customHeight="1" x14ac:dyDescent="0.3"/>
    <row r="37" spans="11:19" ht="28.8" customHeight="1" x14ac:dyDescent="0.3"/>
    <row r="38" spans="11:19" ht="28.8" customHeight="1" x14ac:dyDescent="0.3"/>
    <row r="39" spans="11:19" ht="28.8" customHeight="1" x14ac:dyDescent="0.3"/>
    <row r="40" spans="11:19" ht="28.8" customHeight="1" x14ac:dyDescent="0.3"/>
    <row r="41" spans="11:19" ht="28.8" customHeight="1" x14ac:dyDescent="0.3"/>
    <row r="42" spans="11:19" ht="28.8" customHeight="1" x14ac:dyDescent="0.3"/>
    <row r="43" spans="11:19" ht="28.8" customHeight="1" x14ac:dyDescent="0.3"/>
    <row r="44" spans="11:19" ht="28.8" customHeight="1" x14ac:dyDescent="0.3"/>
    <row r="45" spans="11:19" ht="28.8" customHeight="1" x14ac:dyDescent="0.3"/>
    <row r="46" spans="11:19" ht="28.8" customHeight="1" x14ac:dyDescent="0.3"/>
    <row r="47" spans="11:19" ht="28.8" customHeight="1" x14ac:dyDescent="0.3"/>
    <row r="48" spans="11:19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E2C99-C7C3-43E9-92CE-FE387B7BD4DB}">
  <sheetPr codeName="Planilha31">
    <tabColor rgb="FFFFC000"/>
  </sheetPr>
  <dimension ref="A1:AY66"/>
  <sheetViews>
    <sheetView zoomScale="40" zoomScaleNormal="40" workbookViewId="0">
      <selection activeCell="T26" sqref="T26"/>
    </sheetView>
  </sheetViews>
  <sheetFormatPr defaultRowHeight="14.4" x14ac:dyDescent="0.3"/>
  <cols>
    <col min="1" max="4" width="8.88671875" style="178"/>
    <col min="5" max="5" width="4.5546875" style="178" bestFit="1" customWidth="1"/>
    <col min="6" max="6" width="21.88671875" style="178" bestFit="1" customWidth="1"/>
    <col min="7" max="7" width="26" style="178" bestFit="1" customWidth="1"/>
    <col min="8" max="8" width="19.44140625" style="178" bestFit="1" customWidth="1"/>
    <col min="9" max="9" width="12.109375" style="178" bestFit="1" customWidth="1"/>
    <col min="10" max="10" width="12.6640625" style="178" bestFit="1" customWidth="1"/>
    <col min="11" max="11" width="5.44140625" style="178" bestFit="1" customWidth="1"/>
    <col min="12" max="12" width="25.44140625" style="178" customWidth="1"/>
    <col min="13" max="13" width="26.21875" style="178" customWidth="1"/>
    <col min="14" max="14" width="25.44140625" style="178" customWidth="1"/>
    <col min="15" max="15" width="24.33203125" style="178" customWidth="1"/>
    <col min="16" max="16" width="45.44140625" style="178" bestFit="1" customWidth="1"/>
    <col min="17" max="17" width="20.44140625" style="178" bestFit="1" customWidth="1"/>
    <col min="18" max="18" width="36" style="178" bestFit="1" customWidth="1"/>
    <col min="19" max="19" width="31.5546875" style="178" bestFit="1" customWidth="1"/>
    <col min="20" max="16384" width="8.88671875" style="178"/>
  </cols>
  <sheetData>
    <row r="1" spans="1:51" x14ac:dyDescent="0.3">
      <c r="A1" s="182"/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  <c r="AX1" s="182"/>
      <c r="AY1" s="182"/>
    </row>
    <row r="2" spans="1:51" x14ac:dyDescent="0.3">
      <c r="A2" s="182"/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</row>
    <row r="3" spans="1:51" ht="61.2" customHeight="1" x14ac:dyDescent="0.3">
      <c r="A3" s="182"/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</row>
    <row r="4" spans="1:51" ht="46.2" customHeight="1" x14ac:dyDescent="0.3">
      <c r="A4" s="268"/>
      <c r="B4" s="268"/>
      <c r="C4" s="268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8"/>
      <c r="Q4" s="268"/>
      <c r="R4" s="268"/>
      <c r="S4" s="268"/>
      <c r="T4" s="268"/>
      <c r="U4" s="268"/>
      <c r="V4" s="268"/>
      <c r="W4" s="268"/>
      <c r="X4" s="268"/>
      <c r="Y4" s="268"/>
      <c r="Z4" s="268"/>
      <c r="AA4" s="268"/>
      <c r="AB4" s="268"/>
      <c r="AC4" s="268"/>
      <c r="AD4" s="268"/>
      <c r="AE4" s="268"/>
      <c r="AF4" s="268"/>
      <c r="AG4" s="268"/>
      <c r="AH4" s="268"/>
      <c r="AI4" s="268"/>
      <c r="AJ4" s="268"/>
      <c r="AK4" s="268"/>
      <c r="AL4" s="268"/>
      <c r="AM4" s="268"/>
      <c r="AN4" s="268"/>
      <c r="AO4" s="268"/>
      <c r="AP4" s="268"/>
      <c r="AQ4" s="268"/>
      <c r="AR4" s="268"/>
      <c r="AS4" s="268"/>
      <c r="AT4" s="268"/>
      <c r="AU4" s="268"/>
      <c r="AV4" s="268"/>
      <c r="AW4" s="268"/>
      <c r="AX4" s="268"/>
      <c r="AY4" s="268"/>
    </row>
    <row r="5" spans="1:51" x14ac:dyDescent="0.3">
      <c r="A5" s="268"/>
      <c r="B5" s="268"/>
      <c r="C5" s="268"/>
      <c r="D5" s="268"/>
      <c r="E5" s="268"/>
      <c r="F5" s="268"/>
      <c r="G5" s="268"/>
      <c r="H5" s="268"/>
      <c r="I5" s="268"/>
      <c r="J5" s="268"/>
      <c r="K5" s="268"/>
      <c r="L5" s="268"/>
      <c r="M5" s="268"/>
      <c r="N5" s="268"/>
      <c r="O5" s="268"/>
      <c r="P5" s="268"/>
      <c r="Q5" s="268"/>
      <c r="R5" s="268"/>
      <c r="S5" s="268"/>
      <c r="T5" s="268"/>
      <c r="U5" s="268"/>
      <c r="V5" s="268"/>
      <c r="W5" s="268"/>
      <c r="X5" s="268"/>
      <c r="Y5" s="268"/>
      <c r="Z5" s="268"/>
      <c r="AA5" s="268"/>
      <c r="AB5" s="268"/>
      <c r="AC5" s="268"/>
      <c r="AD5" s="268"/>
      <c r="AE5" s="268"/>
      <c r="AF5" s="268"/>
      <c r="AG5" s="268"/>
      <c r="AH5" s="268"/>
      <c r="AI5" s="268"/>
      <c r="AJ5" s="268"/>
      <c r="AK5" s="268"/>
      <c r="AL5" s="268"/>
      <c r="AM5" s="268"/>
      <c r="AN5" s="268"/>
      <c r="AO5" s="268"/>
      <c r="AP5" s="268"/>
      <c r="AQ5" s="268"/>
      <c r="AR5" s="268"/>
      <c r="AS5" s="268"/>
      <c r="AT5" s="268"/>
      <c r="AU5" s="268"/>
      <c r="AV5" s="268"/>
      <c r="AW5" s="268"/>
      <c r="AX5" s="268"/>
      <c r="AY5" s="268"/>
    </row>
    <row r="6" spans="1:51" x14ac:dyDescent="0.3">
      <c r="A6" s="268"/>
      <c r="B6" s="268"/>
      <c r="C6" s="268"/>
      <c r="D6" s="268"/>
      <c r="E6" s="268"/>
      <c r="F6" s="268"/>
      <c r="G6" s="268"/>
      <c r="H6" s="268"/>
      <c r="I6" s="268"/>
      <c r="J6" s="268"/>
      <c r="K6" s="268"/>
      <c r="L6" s="268"/>
      <c r="M6" s="268"/>
      <c r="N6" s="268"/>
      <c r="O6" s="268"/>
      <c r="P6" s="268"/>
      <c r="Q6" s="268"/>
      <c r="R6" s="268"/>
      <c r="S6" s="268"/>
      <c r="T6" s="268"/>
      <c r="U6" s="268"/>
      <c r="V6" s="268"/>
      <c r="W6" s="268"/>
      <c r="X6" s="268"/>
      <c r="Y6" s="268"/>
      <c r="Z6" s="268"/>
      <c r="AA6" s="268"/>
      <c r="AB6" s="268"/>
      <c r="AC6" s="268"/>
      <c r="AD6" s="268"/>
      <c r="AE6" s="268"/>
      <c r="AF6" s="268"/>
      <c r="AG6" s="268"/>
      <c r="AH6" s="268"/>
      <c r="AI6" s="268"/>
      <c r="AJ6" s="268"/>
      <c r="AK6" s="268"/>
      <c r="AL6" s="268"/>
      <c r="AM6" s="268"/>
      <c r="AN6" s="268"/>
      <c r="AO6" s="268"/>
      <c r="AP6" s="268"/>
      <c r="AQ6" s="268"/>
      <c r="AR6" s="268"/>
      <c r="AS6" s="268"/>
      <c r="AT6" s="268"/>
      <c r="AU6" s="268"/>
      <c r="AV6" s="268"/>
      <c r="AW6" s="268"/>
      <c r="AX6" s="268"/>
      <c r="AY6" s="268"/>
    </row>
    <row r="7" spans="1:51" x14ac:dyDescent="0.3">
      <c r="A7" s="268"/>
      <c r="B7" s="268"/>
      <c r="C7" s="268"/>
      <c r="D7" s="268"/>
      <c r="E7" s="268"/>
      <c r="F7" s="268"/>
      <c r="G7" s="268"/>
      <c r="H7" s="268"/>
      <c r="I7" s="268"/>
      <c r="J7" s="268"/>
      <c r="K7" s="268"/>
      <c r="L7" s="268"/>
      <c r="M7" s="268"/>
      <c r="N7" s="268"/>
      <c r="O7" s="268"/>
      <c r="P7" s="268"/>
      <c r="Q7" s="268"/>
      <c r="R7" s="268"/>
      <c r="S7" s="268"/>
      <c r="T7" s="268"/>
      <c r="U7" s="268"/>
      <c r="V7" s="268"/>
      <c r="W7" s="268"/>
      <c r="X7" s="268"/>
      <c r="Y7" s="268"/>
      <c r="Z7" s="268"/>
      <c r="AA7" s="268"/>
      <c r="AB7" s="268"/>
      <c r="AC7" s="268"/>
      <c r="AD7" s="268"/>
      <c r="AE7" s="268"/>
      <c r="AF7" s="268"/>
      <c r="AG7" s="268"/>
      <c r="AH7" s="268"/>
      <c r="AI7" s="268"/>
      <c r="AJ7" s="268"/>
      <c r="AK7" s="268"/>
      <c r="AL7" s="268"/>
      <c r="AM7" s="268"/>
      <c r="AN7" s="268"/>
      <c r="AO7" s="268"/>
      <c r="AP7" s="268"/>
      <c r="AQ7" s="268"/>
      <c r="AR7" s="268"/>
      <c r="AS7" s="268"/>
      <c r="AT7" s="268"/>
      <c r="AU7" s="268"/>
      <c r="AV7" s="268"/>
      <c r="AW7" s="268"/>
      <c r="AX7" s="268"/>
      <c r="AY7" s="268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x14ac:dyDescent="0.3">
      <c r="K13" s="272" t="s">
        <v>220</v>
      </c>
      <c r="L13" s="272" t="s">
        <v>255</v>
      </c>
      <c r="M13" s="272" t="s">
        <v>256</v>
      </c>
      <c r="N13" s="272" t="s">
        <v>257</v>
      </c>
      <c r="O13" s="272" t="s">
        <v>258</v>
      </c>
      <c r="P13" s="272" t="s">
        <v>259</v>
      </c>
    </row>
    <row r="14" spans="1:51" ht="28.8" customHeight="1" x14ac:dyDescent="0.3">
      <c r="K14" s="270">
        <v>1</v>
      </c>
      <c r="L14" s="276">
        <v>50</v>
      </c>
      <c r="M14" s="271">
        <v>1000</v>
      </c>
      <c r="N14" s="277">
        <f>L14*M14</f>
        <v>50000</v>
      </c>
      <c r="O14" s="277">
        <f>L14*M14+N14</f>
        <v>100000</v>
      </c>
      <c r="P14" s="270" t="s">
        <v>260</v>
      </c>
    </row>
    <row r="15" spans="1:51" ht="28.8" customHeight="1" x14ac:dyDescent="0.3">
      <c r="K15" s="270">
        <f>K14+1</f>
        <v>2</v>
      </c>
      <c r="L15" s="276">
        <v>120</v>
      </c>
      <c r="M15" s="270">
        <v>800</v>
      </c>
      <c r="N15" s="277">
        <v>400</v>
      </c>
      <c r="O15" s="277">
        <v>600</v>
      </c>
      <c r="P15" s="270" t="s">
        <v>261</v>
      </c>
    </row>
    <row r="16" spans="1:51" ht="28.8" customHeight="1" x14ac:dyDescent="0.3">
      <c r="K16" s="270">
        <f t="shared" ref="K16:K33" si="0">K15+1</f>
        <v>3</v>
      </c>
      <c r="L16" s="276">
        <v>30</v>
      </c>
      <c r="M16" s="270">
        <v>500</v>
      </c>
      <c r="N16" s="277">
        <v>250</v>
      </c>
      <c r="O16" s="277">
        <v>400</v>
      </c>
      <c r="P16" s="270" t="s">
        <v>262</v>
      </c>
    </row>
    <row r="17" spans="11:16" ht="28.8" customHeight="1" x14ac:dyDescent="0.3">
      <c r="K17" s="270">
        <f t="shared" si="0"/>
        <v>4</v>
      </c>
      <c r="L17" s="276">
        <v>200</v>
      </c>
      <c r="M17" s="271">
        <v>1200</v>
      </c>
      <c r="N17" s="277">
        <v>600</v>
      </c>
      <c r="O17" s="277">
        <v>900</v>
      </c>
      <c r="P17" s="270" t="s">
        <v>263</v>
      </c>
    </row>
    <row r="18" spans="11:16" ht="28.8" customHeight="1" x14ac:dyDescent="0.3">
      <c r="K18" s="270">
        <f t="shared" si="0"/>
        <v>5</v>
      </c>
      <c r="L18" s="276">
        <v>15</v>
      </c>
      <c r="M18" s="271">
        <v>2000</v>
      </c>
      <c r="N18" s="277">
        <v>700</v>
      </c>
      <c r="O18" s="277">
        <v>1000</v>
      </c>
      <c r="P18" s="270" t="s">
        <v>264</v>
      </c>
    </row>
    <row r="19" spans="11:16" ht="28.8" customHeight="1" x14ac:dyDescent="0.3">
      <c r="K19" s="270">
        <f t="shared" si="0"/>
        <v>6</v>
      </c>
      <c r="L19" s="276">
        <v>80</v>
      </c>
      <c r="M19" s="271">
        <v>1500</v>
      </c>
      <c r="N19" s="277">
        <v>500</v>
      </c>
      <c r="O19" s="277">
        <v>800</v>
      </c>
      <c r="P19" s="270" t="s">
        <v>265</v>
      </c>
    </row>
    <row r="20" spans="11:16" ht="28.8" customHeight="1" x14ac:dyDescent="0.3">
      <c r="K20" s="270">
        <f t="shared" si="0"/>
        <v>7</v>
      </c>
      <c r="L20" s="276">
        <v>60</v>
      </c>
      <c r="M20" s="270">
        <v>400</v>
      </c>
      <c r="N20" s="277">
        <v>200</v>
      </c>
      <c r="O20" s="277">
        <v>300</v>
      </c>
      <c r="P20" s="270" t="s">
        <v>266</v>
      </c>
    </row>
    <row r="21" spans="11:16" ht="28.8" customHeight="1" x14ac:dyDescent="0.3">
      <c r="K21" s="270">
        <f t="shared" si="0"/>
        <v>8</v>
      </c>
      <c r="L21" s="276">
        <v>180</v>
      </c>
      <c r="M21" s="271">
        <v>2500</v>
      </c>
      <c r="N21" s="277">
        <v>800</v>
      </c>
      <c r="O21" s="277">
        <v>1200</v>
      </c>
      <c r="P21" s="270" t="s">
        <v>267</v>
      </c>
    </row>
    <row r="22" spans="11:16" ht="28.8" customHeight="1" x14ac:dyDescent="0.3">
      <c r="K22" s="270">
        <f t="shared" si="0"/>
        <v>9</v>
      </c>
      <c r="L22" s="276">
        <v>90</v>
      </c>
      <c r="M22" s="271">
        <v>1800</v>
      </c>
      <c r="N22" s="277">
        <v>550</v>
      </c>
      <c r="O22" s="277">
        <v>850</v>
      </c>
      <c r="P22" s="270" t="s">
        <v>268</v>
      </c>
    </row>
    <row r="23" spans="11:16" ht="28.8" customHeight="1" x14ac:dyDescent="0.3">
      <c r="K23" s="270">
        <f t="shared" si="0"/>
        <v>10</v>
      </c>
      <c r="L23" s="276">
        <v>40</v>
      </c>
      <c r="M23" s="270">
        <v>600</v>
      </c>
      <c r="N23" s="277">
        <v>300</v>
      </c>
      <c r="O23" s="277">
        <v>500</v>
      </c>
      <c r="P23" s="270" t="s">
        <v>269</v>
      </c>
    </row>
    <row r="24" spans="11:16" ht="28.8" customHeight="1" x14ac:dyDescent="0.3">
      <c r="K24" s="270">
        <f t="shared" si="0"/>
        <v>11</v>
      </c>
      <c r="L24" s="276">
        <v>150</v>
      </c>
      <c r="M24" s="271">
        <v>1000</v>
      </c>
      <c r="N24" s="277">
        <v>600</v>
      </c>
      <c r="O24" s="277">
        <v>950</v>
      </c>
      <c r="P24" s="270" t="s">
        <v>270</v>
      </c>
    </row>
    <row r="25" spans="11:16" ht="28.8" customHeight="1" x14ac:dyDescent="0.3">
      <c r="K25" s="270">
        <f t="shared" si="0"/>
        <v>12</v>
      </c>
      <c r="L25" s="276">
        <v>20</v>
      </c>
      <c r="M25" s="270">
        <v>700</v>
      </c>
      <c r="N25" s="277">
        <v>250</v>
      </c>
      <c r="O25" s="277">
        <v>400</v>
      </c>
      <c r="P25" s="270" t="s">
        <v>271</v>
      </c>
    </row>
    <row r="26" spans="11:16" ht="28.8" customHeight="1" x14ac:dyDescent="0.3">
      <c r="K26" s="270">
        <f t="shared" si="0"/>
        <v>13</v>
      </c>
      <c r="L26" s="276">
        <v>170</v>
      </c>
      <c r="M26" s="271">
        <v>2000</v>
      </c>
      <c r="N26" s="277">
        <v>750</v>
      </c>
      <c r="O26" s="277">
        <v>1150</v>
      </c>
      <c r="P26" s="270" t="s">
        <v>272</v>
      </c>
    </row>
    <row r="27" spans="11:16" ht="28.8" customHeight="1" x14ac:dyDescent="0.3">
      <c r="K27" s="270">
        <f t="shared" si="0"/>
        <v>14</v>
      </c>
      <c r="L27" s="276">
        <v>35</v>
      </c>
      <c r="M27" s="270">
        <v>900</v>
      </c>
      <c r="N27" s="277">
        <v>350</v>
      </c>
      <c r="O27" s="277">
        <v>550</v>
      </c>
      <c r="P27" s="270" t="s">
        <v>273</v>
      </c>
    </row>
    <row r="28" spans="11:16" ht="28.8" customHeight="1" x14ac:dyDescent="0.3">
      <c r="K28" s="270">
        <f t="shared" si="0"/>
        <v>15</v>
      </c>
      <c r="L28" s="276">
        <v>220</v>
      </c>
      <c r="M28" s="271">
        <v>2500</v>
      </c>
      <c r="N28" s="277">
        <v>900</v>
      </c>
      <c r="O28" s="277">
        <v>1400</v>
      </c>
      <c r="P28" s="270" t="s">
        <v>274</v>
      </c>
    </row>
    <row r="29" spans="11:16" ht="28.8" customHeight="1" x14ac:dyDescent="0.3">
      <c r="K29" s="270">
        <f t="shared" si="0"/>
        <v>16</v>
      </c>
      <c r="L29" s="276">
        <v>110</v>
      </c>
      <c r="M29" s="271">
        <v>1100</v>
      </c>
      <c r="N29" s="277">
        <v>450</v>
      </c>
      <c r="O29" s="277">
        <v>700</v>
      </c>
      <c r="P29" s="270" t="s">
        <v>275</v>
      </c>
    </row>
    <row r="30" spans="11:16" ht="28.8" customHeight="1" x14ac:dyDescent="0.3">
      <c r="K30" s="270">
        <f t="shared" si="0"/>
        <v>17</v>
      </c>
      <c r="L30" s="276">
        <v>75</v>
      </c>
      <c r="M30" s="271">
        <v>1300</v>
      </c>
      <c r="N30" s="277">
        <v>500</v>
      </c>
      <c r="O30" s="277">
        <v>750</v>
      </c>
      <c r="P30" s="270" t="s">
        <v>276</v>
      </c>
    </row>
    <row r="31" spans="11:16" ht="28.8" customHeight="1" x14ac:dyDescent="0.3">
      <c r="K31" s="270">
        <f t="shared" si="0"/>
        <v>18</v>
      </c>
      <c r="L31" s="276">
        <v>25</v>
      </c>
      <c r="M31" s="270">
        <v>950</v>
      </c>
      <c r="N31" s="277">
        <v>300</v>
      </c>
      <c r="O31" s="277">
        <v>450</v>
      </c>
      <c r="P31" s="270" t="s">
        <v>277</v>
      </c>
    </row>
    <row r="32" spans="11:16" ht="28.8" customHeight="1" x14ac:dyDescent="0.3">
      <c r="K32" s="270">
        <f t="shared" si="0"/>
        <v>19</v>
      </c>
      <c r="L32" s="276">
        <v>140</v>
      </c>
      <c r="M32" s="271">
        <v>1600</v>
      </c>
      <c r="N32" s="277">
        <v>650</v>
      </c>
      <c r="O32" s="277">
        <v>1000</v>
      </c>
      <c r="P32" s="270" t="s">
        <v>278</v>
      </c>
    </row>
    <row r="33" spans="11:16" ht="28.8" customHeight="1" x14ac:dyDescent="0.3">
      <c r="K33" s="270">
        <f t="shared" si="0"/>
        <v>20</v>
      </c>
      <c r="L33" s="276">
        <v>50</v>
      </c>
      <c r="M33" s="270">
        <v>850</v>
      </c>
      <c r="N33" s="277">
        <v>350</v>
      </c>
      <c r="O33" s="277">
        <v>550</v>
      </c>
      <c r="P33" s="270" t="s">
        <v>279</v>
      </c>
    </row>
    <row r="34" spans="11:16" ht="28.8" customHeight="1" x14ac:dyDescent="0.3"/>
    <row r="35" spans="11:16" ht="28.8" customHeight="1" x14ac:dyDescent="0.3"/>
    <row r="36" spans="11:16" ht="28.8" customHeight="1" x14ac:dyDescent="0.3"/>
    <row r="37" spans="11:16" ht="28.8" customHeight="1" x14ac:dyDescent="0.3"/>
    <row r="38" spans="11:16" ht="28.8" customHeight="1" x14ac:dyDescent="0.3"/>
    <row r="39" spans="11:16" ht="28.8" customHeight="1" x14ac:dyDescent="0.3"/>
    <row r="40" spans="11:16" ht="28.8" customHeight="1" x14ac:dyDescent="0.3"/>
    <row r="41" spans="11:16" ht="28.8" customHeight="1" x14ac:dyDescent="0.3"/>
    <row r="42" spans="11:16" ht="28.8" customHeight="1" x14ac:dyDescent="0.3"/>
    <row r="43" spans="11:16" ht="28.8" customHeight="1" x14ac:dyDescent="0.3"/>
    <row r="44" spans="11:16" ht="28.8" customHeight="1" x14ac:dyDescent="0.3"/>
    <row r="45" spans="11:16" ht="28.8" customHeight="1" x14ac:dyDescent="0.3"/>
    <row r="46" spans="11:16" ht="28.8" customHeight="1" x14ac:dyDescent="0.3"/>
    <row r="47" spans="11:16" ht="28.8" customHeight="1" x14ac:dyDescent="0.3"/>
    <row r="48" spans="11:16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F82DA-602F-43A8-84A9-755032734479}">
  <sheetPr codeName="Planilha32">
    <tabColor rgb="FFFFC000"/>
  </sheetPr>
  <dimension ref="A1:AY66"/>
  <sheetViews>
    <sheetView zoomScale="40" zoomScaleNormal="40" workbookViewId="0">
      <selection activeCell="P28" sqref="P28"/>
    </sheetView>
  </sheetViews>
  <sheetFormatPr defaultRowHeight="14.4" x14ac:dyDescent="0.3"/>
  <cols>
    <col min="1" max="4" width="8.88671875" style="178"/>
    <col min="5" max="5" width="4.5546875" style="178" bestFit="1" customWidth="1"/>
    <col min="6" max="6" width="21.88671875" style="178" bestFit="1" customWidth="1"/>
    <col min="7" max="7" width="26" style="178" bestFit="1" customWidth="1"/>
    <col min="8" max="8" width="19.44140625" style="178" bestFit="1" customWidth="1"/>
    <col min="9" max="9" width="12.109375" style="178" bestFit="1" customWidth="1"/>
    <col min="10" max="10" width="12.6640625" style="178" bestFit="1" customWidth="1"/>
    <col min="11" max="11" width="5.109375" style="178" bestFit="1" customWidth="1"/>
    <col min="12" max="12" width="25.44140625" style="178" customWidth="1"/>
    <col min="13" max="13" width="26.21875" style="178" customWidth="1"/>
    <col min="14" max="14" width="25.44140625" style="178" customWidth="1"/>
    <col min="15" max="15" width="24.33203125" style="178" customWidth="1"/>
    <col min="16" max="16" width="45.44140625" style="178" bestFit="1" customWidth="1"/>
    <col min="17" max="17" width="20.44140625" style="178" bestFit="1" customWidth="1"/>
    <col min="18" max="18" width="36" style="178" bestFit="1" customWidth="1"/>
    <col min="19" max="19" width="31.5546875" style="178" bestFit="1" customWidth="1"/>
    <col min="20" max="16384" width="8.88671875" style="178"/>
  </cols>
  <sheetData>
    <row r="1" spans="1:51" x14ac:dyDescent="0.3">
      <c r="A1" s="182"/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  <c r="AX1" s="182"/>
      <c r="AY1" s="182"/>
    </row>
    <row r="2" spans="1:51" x14ac:dyDescent="0.3">
      <c r="A2" s="182"/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</row>
    <row r="3" spans="1:51" ht="61.2" customHeight="1" x14ac:dyDescent="0.3">
      <c r="A3" s="182"/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</row>
    <row r="4" spans="1:51" ht="46.2" customHeight="1" x14ac:dyDescent="0.3">
      <c r="A4" s="268"/>
      <c r="B4" s="268"/>
      <c r="C4" s="268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8"/>
      <c r="Q4" s="268"/>
      <c r="R4" s="268"/>
      <c r="S4" s="268"/>
      <c r="T4" s="268"/>
      <c r="U4" s="268"/>
      <c r="V4" s="268"/>
      <c r="W4" s="268"/>
      <c r="X4" s="268"/>
      <c r="Y4" s="268"/>
      <c r="Z4" s="268"/>
      <c r="AA4" s="268"/>
      <c r="AB4" s="268"/>
      <c r="AC4" s="268"/>
      <c r="AD4" s="268"/>
      <c r="AE4" s="268"/>
      <c r="AF4" s="268"/>
      <c r="AG4" s="268"/>
      <c r="AH4" s="268"/>
      <c r="AI4" s="268"/>
      <c r="AJ4" s="268"/>
      <c r="AK4" s="268"/>
      <c r="AL4" s="268"/>
      <c r="AM4" s="268"/>
      <c r="AN4" s="268"/>
      <c r="AO4" s="268"/>
      <c r="AP4" s="268"/>
      <c r="AQ4" s="268"/>
      <c r="AR4" s="268"/>
      <c r="AS4" s="268"/>
      <c r="AT4" s="268"/>
      <c r="AU4" s="268"/>
      <c r="AV4" s="268"/>
      <c r="AW4" s="268"/>
      <c r="AX4" s="268"/>
      <c r="AY4" s="268"/>
    </row>
    <row r="5" spans="1:51" x14ac:dyDescent="0.3">
      <c r="A5" s="268"/>
      <c r="B5" s="268"/>
      <c r="C5" s="268"/>
      <c r="D5" s="268"/>
      <c r="E5" s="268"/>
      <c r="F5" s="268"/>
      <c r="G5" s="268"/>
      <c r="H5" s="268"/>
      <c r="I5" s="268"/>
      <c r="J5" s="268"/>
      <c r="K5" s="268"/>
      <c r="L5" s="268"/>
      <c r="M5" s="268"/>
      <c r="N5" s="268"/>
      <c r="O5" s="268"/>
      <c r="P5" s="268"/>
      <c r="Q5" s="268"/>
      <c r="R5" s="268"/>
      <c r="S5" s="268"/>
      <c r="T5" s="268"/>
      <c r="U5" s="268"/>
      <c r="V5" s="268"/>
      <c r="W5" s="268"/>
      <c r="X5" s="268"/>
      <c r="Y5" s="268"/>
      <c r="Z5" s="268"/>
      <c r="AA5" s="268"/>
      <c r="AB5" s="268"/>
      <c r="AC5" s="268"/>
      <c r="AD5" s="268"/>
      <c r="AE5" s="268"/>
      <c r="AF5" s="268"/>
      <c r="AG5" s="268"/>
      <c r="AH5" s="268"/>
      <c r="AI5" s="268"/>
      <c r="AJ5" s="268"/>
      <c r="AK5" s="268"/>
      <c r="AL5" s="268"/>
      <c r="AM5" s="268"/>
      <c r="AN5" s="268"/>
      <c r="AO5" s="268"/>
      <c r="AP5" s="268"/>
      <c r="AQ5" s="268"/>
      <c r="AR5" s="268"/>
      <c r="AS5" s="268"/>
      <c r="AT5" s="268"/>
      <c r="AU5" s="268"/>
      <c r="AV5" s="268"/>
      <c r="AW5" s="268"/>
      <c r="AX5" s="268"/>
      <c r="AY5" s="268"/>
    </row>
    <row r="6" spans="1:51" x14ac:dyDescent="0.3">
      <c r="A6" s="268"/>
      <c r="B6" s="268"/>
      <c r="C6" s="268"/>
      <c r="D6" s="268"/>
      <c r="E6" s="268"/>
      <c r="F6" s="268"/>
      <c r="G6" s="268"/>
      <c r="H6" s="268"/>
      <c r="I6" s="268"/>
      <c r="J6" s="268"/>
      <c r="K6" s="268"/>
      <c r="L6" s="268"/>
      <c r="M6" s="268"/>
      <c r="N6" s="268"/>
      <c r="O6" s="268"/>
      <c r="P6" s="268"/>
      <c r="Q6" s="268"/>
      <c r="R6" s="268"/>
      <c r="S6" s="268"/>
      <c r="T6" s="268"/>
      <c r="U6" s="268"/>
      <c r="V6" s="268"/>
      <c r="W6" s="268"/>
      <c r="X6" s="268"/>
      <c r="Y6" s="268"/>
      <c r="Z6" s="268"/>
      <c r="AA6" s="268"/>
      <c r="AB6" s="268"/>
      <c r="AC6" s="268"/>
      <c r="AD6" s="268"/>
      <c r="AE6" s="268"/>
      <c r="AF6" s="268"/>
      <c r="AG6" s="268"/>
      <c r="AH6" s="268"/>
      <c r="AI6" s="268"/>
      <c r="AJ6" s="268"/>
      <c r="AK6" s="268"/>
      <c r="AL6" s="268"/>
      <c r="AM6" s="268"/>
      <c r="AN6" s="268"/>
      <c r="AO6" s="268"/>
      <c r="AP6" s="268"/>
      <c r="AQ6" s="268"/>
      <c r="AR6" s="268"/>
      <c r="AS6" s="268"/>
      <c r="AT6" s="268"/>
      <c r="AU6" s="268"/>
      <c r="AV6" s="268"/>
      <c r="AW6" s="268"/>
      <c r="AX6" s="268"/>
      <c r="AY6" s="268"/>
    </row>
    <row r="7" spans="1:51" x14ac:dyDescent="0.3">
      <c r="A7" s="268"/>
      <c r="B7" s="268"/>
      <c r="C7" s="268"/>
      <c r="D7" s="268"/>
      <c r="E7" s="268"/>
      <c r="F7" s="268"/>
      <c r="G7" s="268"/>
      <c r="H7" s="268"/>
      <c r="I7" s="268"/>
      <c r="J7" s="268"/>
      <c r="K7" s="268"/>
      <c r="L7" s="268"/>
      <c r="M7" s="268"/>
      <c r="N7" s="268"/>
      <c r="O7" s="268"/>
      <c r="P7" s="268"/>
      <c r="Q7" s="268"/>
      <c r="R7" s="268"/>
      <c r="S7" s="268"/>
      <c r="T7" s="268"/>
      <c r="U7" s="268"/>
      <c r="V7" s="268"/>
      <c r="W7" s="268"/>
      <c r="X7" s="268"/>
      <c r="Y7" s="268"/>
      <c r="Z7" s="268"/>
      <c r="AA7" s="268"/>
      <c r="AB7" s="268"/>
      <c r="AC7" s="268"/>
      <c r="AD7" s="268"/>
      <c r="AE7" s="268"/>
      <c r="AF7" s="268"/>
      <c r="AG7" s="268"/>
      <c r="AH7" s="268"/>
      <c r="AI7" s="268"/>
      <c r="AJ7" s="268"/>
      <c r="AK7" s="268"/>
      <c r="AL7" s="268"/>
      <c r="AM7" s="268"/>
      <c r="AN7" s="268"/>
      <c r="AO7" s="268"/>
      <c r="AP7" s="268"/>
      <c r="AQ7" s="268"/>
      <c r="AR7" s="268"/>
      <c r="AS7" s="268"/>
      <c r="AT7" s="268"/>
      <c r="AU7" s="268"/>
      <c r="AV7" s="268"/>
      <c r="AW7" s="268"/>
      <c r="AX7" s="268"/>
      <c r="AY7" s="268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x14ac:dyDescent="0.3">
      <c r="K13" s="272" t="s">
        <v>220</v>
      </c>
      <c r="L13" s="272" t="s">
        <v>255</v>
      </c>
      <c r="M13" s="272" t="s">
        <v>256</v>
      </c>
      <c r="N13" s="272" t="s">
        <v>257</v>
      </c>
      <c r="O13" s="272" t="s">
        <v>258</v>
      </c>
      <c r="P13" s="272" t="s">
        <v>259</v>
      </c>
    </row>
    <row r="14" spans="1:51" ht="28.8" customHeight="1" x14ac:dyDescent="0.3">
      <c r="K14" s="270">
        <v>1</v>
      </c>
      <c r="L14" s="276">
        <v>50</v>
      </c>
      <c r="M14" s="271">
        <v>1000</v>
      </c>
      <c r="N14" s="277">
        <f>L14*M14</f>
        <v>50000</v>
      </c>
      <c r="O14" s="277">
        <f>L14*M14+N14</f>
        <v>100000</v>
      </c>
      <c r="P14" s="270" t="s">
        <v>260</v>
      </c>
    </row>
    <row r="15" spans="1:51" ht="28.8" customHeight="1" x14ac:dyDescent="0.3">
      <c r="K15" s="270">
        <f>K14+1</f>
        <v>2</v>
      </c>
      <c r="L15" s="276">
        <v>120</v>
      </c>
      <c r="M15" s="270">
        <v>800</v>
      </c>
      <c r="N15" s="277">
        <v>400</v>
      </c>
      <c r="O15" s="277">
        <v>600</v>
      </c>
      <c r="P15" s="270" t="s">
        <v>261</v>
      </c>
    </row>
    <row r="16" spans="1:51" ht="28.8" customHeight="1" x14ac:dyDescent="0.3">
      <c r="K16" s="270">
        <f t="shared" ref="K16:K33" si="0">K15+1</f>
        <v>3</v>
      </c>
      <c r="L16" s="276">
        <v>30</v>
      </c>
      <c r="M16" s="270">
        <v>500</v>
      </c>
      <c r="N16" s="277">
        <v>250</v>
      </c>
      <c r="O16" s="277">
        <v>400</v>
      </c>
      <c r="P16" s="270" t="s">
        <v>262</v>
      </c>
    </row>
    <row r="17" spans="11:16" ht="28.8" customHeight="1" x14ac:dyDescent="0.3">
      <c r="K17" s="270">
        <f t="shared" si="0"/>
        <v>4</v>
      </c>
      <c r="L17" s="276">
        <v>200</v>
      </c>
      <c r="M17" s="271">
        <v>1200</v>
      </c>
      <c r="N17" s="277">
        <v>600</v>
      </c>
      <c r="O17" s="277">
        <v>900</v>
      </c>
      <c r="P17" s="270" t="s">
        <v>263</v>
      </c>
    </row>
    <row r="18" spans="11:16" ht="28.8" customHeight="1" x14ac:dyDescent="0.3">
      <c r="K18" s="270">
        <f t="shared" si="0"/>
        <v>5</v>
      </c>
      <c r="L18" s="276">
        <v>15</v>
      </c>
      <c r="M18" s="271">
        <v>2000</v>
      </c>
      <c r="N18" s="277">
        <v>700</v>
      </c>
      <c r="O18" s="277">
        <v>1000</v>
      </c>
      <c r="P18" s="270" t="s">
        <v>264</v>
      </c>
    </row>
    <row r="19" spans="11:16" ht="28.8" customHeight="1" x14ac:dyDescent="0.3">
      <c r="K19" s="270">
        <f t="shared" si="0"/>
        <v>6</v>
      </c>
      <c r="L19" s="276">
        <v>80</v>
      </c>
      <c r="M19" s="271">
        <v>1500</v>
      </c>
      <c r="N19" s="277">
        <v>500</v>
      </c>
      <c r="O19" s="277">
        <v>800</v>
      </c>
      <c r="P19" s="270" t="s">
        <v>265</v>
      </c>
    </row>
    <row r="20" spans="11:16" ht="28.8" customHeight="1" x14ac:dyDescent="0.3">
      <c r="K20" s="270">
        <f t="shared" si="0"/>
        <v>7</v>
      </c>
      <c r="L20" s="276">
        <v>60</v>
      </c>
      <c r="M20" s="270">
        <v>400</v>
      </c>
      <c r="N20" s="277">
        <v>200</v>
      </c>
      <c r="O20" s="277">
        <v>300</v>
      </c>
      <c r="P20" s="270" t="s">
        <v>266</v>
      </c>
    </row>
    <row r="21" spans="11:16" ht="28.8" customHeight="1" x14ac:dyDescent="0.3">
      <c r="K21" s="270">
        <f t="shared" si="0"/>
        <v>8</v>
      </c>
      <c r="L21" s="276">
        <v>180</v>
      </c>
      <c r="M21" s="271">
        <v>2500</v>
      </c>
      <c r="N21" s="277">
        <v>800</v>
      </c>
      <c r="O21" s="277">
        <v>1200</v>
      </c>
      <c r="P21" s="270" t="s">
        <v>267</v>
      </c>
    </row>
    <row r="22" spans="11:16" ht="28.8" customHeight="1" x14ac:dyDescent="0.3">
      <c r="K22" s="270">
        <f t="shared" si="0"/>
        <v>9</v>
      </c>
      <c r="L22" s="276">
        <v>90</v>
      </c>
      <c r="M22" s="271">
        <v>1800</v>
      </c>
      <c r="N22" s="277">
        <v>550</v>
      </c>
      <c r="O22" s="277">
        <v>850</v>
      </c>
      <c r="P22" s="270" t="s">
        <v>268</v>
      </c>
    </row>
    <row r="23" spans="11:16" ht="28.8" customHeight="1" x14ac:dyDescent="0.3">
      <c r="K23" s="270">
        <f t="shared" si="0"/>
        <v>10</v>
      </c>
      <c r="L23" s="276">
        <v>40</v>
      </c>
      <c r="M23" s="270">
        <v>600</v>
      </c>
      <c r="N23" s="277">
        <v>300</v>
      </c>
      <c r="O23" s="277">
        <v>500</v>
      </c>
      <c r="P23" s="270" t="s">
        <v>269</v>
      </c>
    </row>
    <row r="24" spans="11:16" ht="28.8" customHeight="1" x14ac:dyDescent="0.3">
      <c r="K24" s="270">
        <f t="shared" si="0"/>
        <v>11</v>
      </c>
      <c r="L24" s="276">
        <v>150</v>
      </c>
      <c r="M24" s="271">
        <v>1000</v>
      </c>
      <c r="N24" s="277">
        <v>600</v>
      </c>
      <c r="O24" s="277">
        <v>950</v>
      </c>
      <c r="P24" s="270" t="s">
        <v>270</v>
      </c>
    </row>
    <row r="25" spans="11:16" ht="28.8" customHeight="1" x14ac:dyDescent="0.3">
      <c r="K25" s="270">
        <f t="shared" si="0"/>
        <v>12</v>
      </c>
      <c r="L25" s="276">
        <v>20</v>
      </c>
      <c r="M25" s="270">
        <v>700</v>
      </c>
      <c r="N25" s="277">
        <v>250</v>
      </c>
      <c r="O25" s="277">
        <v>400</v>
      </c>
      <c r="P25" s="270" t="s">
        <v>271</v>
      </c>
    </row>
    <row r="26" spans="11:16" ht="28.8" customHeight="1" x14ac:dyDescent="0.3">
      <c r="K26" s="270">
        <f t="shared" si="0"/>
        <v>13</v>
      </c>
      <c r="L26" s="276">
        <v>170</v>
      </c>
      <c r="M26" s="271">
        <v>2000</v>
      </c>
      <c r="N26" s="277">
        <v>750</v>
      </c>
      <c r="O26" s="277">
        <v>1150</v>
      </c>
      <c r="P26" s="270" t="s">
        <v>272</v>
      </c>
    </row>
    <row r="27" spans="11:16" ht="28.8" customHeight="1" x14ac:dyDescent="0.3">
      <c r="K27" s="270">
        <f t="shared" si="0"/>
        <v>14</v>
      </c>
      <c r="L27" s="276">
        <v>35</v>
      </c>
      <c r="M27" s="270">
        <v>900</v>
      </c>
      <c r="N27" s="277">
        <v>350</v>
      </c>
      <c r="O27" s="277">
        <v>550</v>
      </c>
      <c r="P27" s="270" t="s">
        <v>273</v>
      </c>
    </row>
    <row r="28" spans="11:16" ht="28.8" customHeight="1" x14ac:dyDescent="0.3">
      <c r="K28" s="270">
        <f t="shared" si="0"/>
        <v>15</v>
      </c>
      <c r="L28" s="276">
        <v>220</v>
      </c>
      <c r="M28" s="271">
        <v>2500</v>
      </c>
      <c r="N28" s="277">
        <v>900</v>
      </c>
      <c r="O28" s="277">
        <v>1400</v>
      </c>
      <c r="P28" s="270" t="s">
        <v>274</v>
      </c>
    </row>
    <row r="29" spans="11:16" ht="28.8" customHeight="1" x14ac:dyDescent="0.3">
      <c r="K29" s="270">
        <f t="shared" si="0"/>
        <v>16</v>
      </c>
      <c r="L29" s="276">
        <v>110</v>
      </c>
      <c r="M29" s="271">
        <v>1100</v>
      </c>
      <c r="N29" s="277">
        <v>450</v>
      </c>
      <c r="O29" s="277">
        <v>700</v>
      </c>
      <c r="P29" s="270" t="s">
        <v>275</v>
      </c>
    </row>
    <row r="30" spans="11:16" ht="28.8" customHeight="1" x14ac:dyDescent="0.3">
      <c r="K30" s="270">
        <f t="shared" si="0"/>
        <v>17</v>
      </c>
      <c r="L30" s="276">
        <v>75</v>
      </c>
      <c r="M30" s="271">
        <v>1300</v>
      </c>
      <c r="N30" s="277">
        <v>500</v>
      </c>
      <c r="O30" s="277">
        <v>750</v>
      </c>
      <c r="P30" s="270" t="s">
        <v>276</v>
      </c>
    </row>
    <row r="31" spans="11:16" ht="28.8" customHeight="1" x14ac:dyDescent="0.3">
      <c r="K31" s="270">
        <f t="shared" si="0"/>
        <v>18</v>
      </c>
      <c r="L31" s="276">
        <v>25</v>
      </c>
      <c r="M31" s="270">
        <v>950</v>
      </c>
      <c r="N31" s="277">
        <v>300</v>
      </c>
      <c r="O31" s="277">
        <v>450</v>
      </c>
      <c r="P31" s="270" t="s">
        <v>277</v>
      </c>
    </row>
    <row r="32" spans="11:16" ht="28.8" customHeight="1" x14ac:dyDescent="0.3">
      <c r="K32" s="270">
        <f t="shared" si="0"/>
        <v>19</v>
      </c>
      <c r="L32" s="276">
        <v>140</v>
      </c>
      <c r="M32" s="271">
        <v>1600</v>
      </c>
      <c r="N32" s="277">
        <v>650</v>
      </c>
      <c r="O32" s="277">
        <v>1000</v>
      </c>
      <c r="P32" s="270" t="s">
        <v>278</v>
      </c>
    </row>
    <row r="33" spans="11:16" ht="28.8" customHeight="1" x14ac:dyDescent="0.3">
      <c r="K33" s="270">
        <f t="shared" si="0"/>
        <v>20</v>
      </c>
      <c r="L33" s="276">
        <v>50</v>
      </c>
      <c r="M33" s="270">
        <v>850</v>
      </c>
      <c r="N33" s="277">
        <v>350</v>
      </c>
      <c r="O33" s="277">
        <v>550</v>
      </c>
      <c r="P33" s="270" t="s">
        <v>279</v>
      </c>
    </row>
    <row r="34" spans="11:16" ht="28.8" customHeight="1" x14ac:dyDescent="0.3"/>
    <row r="35" spans="11:16" ht="28.8" customHeight="1" x14ac:dyDescent="0.3"/>
    <row r="36" spans="11:16" ht="28.8" customHeight="1" x14ac:dyDescent="0.3"/>
    <row r="37" spans="11:16" ht="28.8" customHeight="1" x14ac:dyDescent="0.3"/>
    <row r="38" spans="11:16" ht="28.8" customHeight="1" x14ac:dyDescent="0.3"/>
    <row r="39" spans="11:16" ht="28.8" customHeight="1" x14ac:dyDescent="0.3"/>
    <row r="40" spans="11:16" ht="28.8" customHeight="1" x14ac:dyDescent="0.3"/>
    <row r="41" spans="11:16" ht="28.8" customHeight="1" x14ac:dyDescent="0.3"/>
    <row r="42" spans="11:16" ht="28.8" customHeight="1" x14ac:dyDescent="0.3"/>
    <row r="43" spans="11:16" ht="28.8" customHeight="1" x14ac:dyDescent="0.3"/>
    <row r="44" spans="11:16" ht="28.8" customHeight="1" x14ac:dyDescent="0.3"/>
    <row r="45" spans="11:16" ht="28.8" customHeight="1" x14ac:dyDescent="0.3"/>
    <row r="46" spans="11:16" ht="28.8" customHeight="1" x14ac:dyDescent="0.3"/>
    <row r="47" spans="11:16" ht="28.8" customHeight="1" x14ac:dyDescent="0.3"/>
    <row r="48" spans="11:16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E1C1C-4E7F-482C-BFF7-15473EC0951C}">
  <sheetPr codeName="Planilha33">
    <tabColor rgb="FFFFC000"/>
  </sheetPr>
  <dimension ref="A1:AY66"/>
  <sheetViews>
    <sheetView zoomScale="40" zoomScaleNormal="40" workbookViewId="0">
      <selection activeCell="Q25" sqref="Q25"/>
    </sheetView>
  </sheetViews>
  <sheetFormatPr defaultRowHeight="14.4" x14ac:dyDescent="0.3"/>
  <cols>
    <col min="1" max="4" width="8.88671875" style="178"/>
    <col min="5" max="5" width="4.5546875" style="178" bestFit="1" customWidth="1"/>
    <col min="6" max="6" width="21.88671875" style="178" bestFit="1" customWidth="1"/>
    <col min="7" max="7" width="26" style="178" bestFit="1" customWidth="1"/>
    <col min="8" max="8" width="19.44140625" style="178" bestFit="1" customWidth="1"/>
    <col min="9" max="9" width="12.109375" style="178" bestFit="1" customWidth="1"/>
    <col min="10" max="10" width="12.6640625" style="178" bestFit="1" customWidth="1"/>
    <col min="11" max="11" width="4.5546875" style="178" customWidth="1"/>
    <col min="12" max="12" width="25.44140625" style="178" customWidth="1"/>
    <col min="13" max="13" width="26.21875" style="178" customWidth="1"/>
    <col min="14" max="14" width="25.44140625" style="178" customWidth="1"/>
    <col min="15" max="15" width="24.33203125" style="178" customWidth="1"/>
    <col min="16" max="16" width="45.44140625" style="178" customWidth="1"/>
    <col min="17" max="17" width="20.44140625" style="178" bestFit="1" customWidth="1"/>
    <col min="18" max="18" width="36" style="178" bestFit="1" customWidth="1"/>
    <col min="19" max="19" width="31.5546875" style="178" bestFit="1" customWidth="1"/>
    <col min="20" max="16384" width="8.88671875" style="178"/>
  </cols>
  <sheetData>
    <row r="1" spans="1:51" x14ac:dyDescent="0.3">
      <c r="A1" s="182"/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  <c r="AX1" s="182"/>
      <c r="AY1" s="182"/>
    </row>
    <row r="2" spans="1:51" x14ac:dyDescent="0.3">
      <c r="A2" s="182"/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</row>
    <row r="3" spans="1:51" ht="61.2" customHeight="1" x14ac:dyDescent="0.3">
      <c r="A3" s="182"/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</row>
    <row r="4" spans="1:51" ht="46.2" customHeight="1" x14ac:dyDescent="0.3">
      <c r="A4" s="268"/>
      <c r="B4" s="268"/>
      <c r="C4" s="268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8"/>
      <c r="Q4" s="268"/>
      <c r="R4" s="268"/>
      <c r="S4" s="268"/>
      <c r="T4" s="268"/>
      <c r="U4" s="268"/>
      <c r="V4" s="268"/>
      <c r="W4" s="268"/>
      <c r="X4" s="268"/>
      <c r="Y4" s="268"/>
      <c r="Z4" s="268"/>
      <c r="AA4" s="268"/>
      <c r="AB4" s="268"/>
      <c r="AC4" s="268"/>
      <c r="AD4" s="268"/>
      <c r="AE4" s="268"/>
      <c r="AF4" s="268"/>
      <c r="AG4" s="268"/>
      <c r="AH4" s="268"/>
      <c r="AI4" s="268"/>
      <c r="AJ4" s="268"/>
      <c r="AK4" s="268"/>
      <c r="AL4" s="268"/>
      <c r="AM4" s="268"/>
      <c r="AN4" s="268"/>
      <c r="AO4" s="268"/>
      <c r="AP4" s="268"/>
      <c r="AQ4" s="268"/>
      <c r="AR4" s="268"/>
      <c r="AS4" s="268"/>
      <c r="AT4" s="268"/>
      <c r="AU4" s="268"/>
      <c r="AV4" s="268"/>
      <c r="AW4" s="268"/>
      <c r="AX4" s="268"/>
      <c r="AY4" s="268"/>
    </row>
    <row r="5" spans="1:51" x14ac:dyDescent="0.3">
      <c r="A5" s="268"/>
      <c r="B5" s="268"/>
      <c r="C5" s="268"/>
      <c r="D5" s="268"/>
      <c r="E5" s="268"/>
      <c r="F5" s="268"/>
      <c r="G5" s="268"/>
      <c r="H5" s="268"/>
      <c r="I5" s="268"/>
      <c r="J5" s="268"/>
      <c r="K5" s="268"/>
      <c r="L5" s="268"/>
      <c r="M5" s="268"/>
      <c r="N5" s="268"/>
      <c r="O5" s="268"/>
      <c r="P5" s="268"/>
      <c r="Q5" s="268"/>
      <c r="R5" s="268"/>
      <c r="S5" s="268"/>
      <c r="T5" s="268"/>
      <c r="U5" s="268"/>
      <c r="V5" s="268"/>
      <c r="W5" s="268"/>
      <c r="X5" s="268"/>
      <c r="Y5" s="268"/>
      <c r="Z5" s="268"/>
      <c r="AA5" s="268"/>
      <c r="AB5" s="268"/>
      <c r="AC5" s="268"/>
      <c r="AD5" s="268"/>
      <c r="AE5" s="268"/>
      <c r="AF5" s="268"/>
      <c r="AG5" s="268"/>
      <c r="AH5" s="268"/>
      <c r="AI5" s="268"/>
      <c r="AJ5" s="268"/>
      <c r="AK5" s="268"/>
      <c r="AL5" s="268"/>
      <c r="AM5" s="268"/>
      <c r="AN5" s="268"/>
      <c r="AO5" s="268"/>
      <c r="AP5" s="268"/>
      <c r="AQ5" s="268"/>
      <c r="AR5" s="268"/>
      <c r="AS5" s="268"/>
      <c r="AT5" s="268"/>
      <c r="AU5" s="268"/>
      <c r="AV5" s="268"/>
      <c r="AW5" s="268"/>
      <c r="AX5" s="268"/>
      <c r="AY5" s="268"/>
    </row>
    <row r="6" spans="1:51" x14ac:dyDescent="0.3">
      <c r="A6" s="268"/>
      <c r="B6" s="268"/>
      <c r="C6" s="268"/>
      <c r="D6" s="268"/>
      <c r="E6" s="268"/>
      <c r="F6" s="268"/>
      <c r="G6" s="268"/>
      <c r="H6" s="268"/>
      <c r="I6" s="268"/>
      <c r="J6" s="268"/>
      <c r="K6" s="268"/>
      <c r="L6" s="268"/>
      <c r="M6" s="268"/>
      <c r="N6" s="268"/>
      <c r="O6" s="268"/>
      <c r="P6" s="268"/>
      <c r="Q6" s="268"/>
      <c r="R6" s="268"/>
      <c r="S6" s="268"/>
      <c r="T6" s="268"/>
      <c r="U6" s="268"/>
      <c r="V6" s="268"/>
      <c r="W6" s="268"/>
      <c r="X6" s="268"/>
      <c r="Y6" s="268"/>
      <c r="Z6" s="268"/>
      <c r="AA6" s="268"/>
      <c r="AB6" s="268"/>
      <c r="AC6" s="268"/>
      <c r="AD6" s="268"/>
      <c r="AE6" s="268"/>
      <c r="AF6" s="268"/>
      <c r="AG6" s="268"/>
      <c r="AH6" s="268"/>
      <c r="AI6" s="268"/>
      <c r="AJ6" s="268"/>
      <c r="AK6" s="268"/>
      <c r="AL6" s="268"/>
      <c r="AM6" s="268"/>
      <c r="AN6" s="268"/>
      <c r="AO6" s="268"/>
      <c r="AP6" s="268"/>
      <c r="AQ6" s="268"/>
      <c r="AR6" s="268"/>
      <c r="AS6" s="268"/>
      <c r="AT6" s="268"/>
      <c r="AU6" s="268"/>
      <c r="AV6" s="268"/>
      <c r="AW6" s="268"/>
      <c r="AX6" s="268"/>
      <c r="AY6" s="268"/>
    </row>
    <row r="7" spans="1:51" x14ac:dyDescent="0.3">
      <c r="A7" s="268"/>
      <c r="B7" s="268"/>
      <c r="C7" s="268"/>
      <c r="D7" s="268"/>
      <c r="E7" s="268"/>
      <c r="F7" s="268"/>
      <c r="G7" s="268"/>
      <c r="H7" s="268"/>
      <c r="I7" s="268"/>
      <c r="J7" s="268"/>
      <c r="K7" s="268"/>
      <c r="L7" s="268"/>
      <c r="M7" s="268"/>
      <c r="N7" s="268"/>
      <c r="O7" s="268"/>
      <c r="P7" s="268"/>
      <c r="Q7" s="268"/>
      <c r="R7" s="268"/>
      <c r="S7" s="268"/>
      <c r="T7" s="268"/>
      <c r="U7" s="268"/>
      <c r="V7" s="268"/>
      <c r="W7" s="268"/>
      <c r="X7" s="268"/>
      <c r="Y7" s="268"/>
      <c r="Z7" s="268"/>
      <c r="AA7" s="268"/>
      <c r="AB7" s="268"/>
      <c r="AC7" s="268"/>
      <c r="AD7" s="268"/>
      <c r="AE7" s="268"/>
      <c r="AF7" s="268"/>
      <c r="AG7" s="268"/>
      <c r="AH7" s="268"/>
      <c r="AI7" s="268"/>
      <c r="AJ7" s="268"/>
      <c r="AK7" s="268"/>
      <c r="AL7" s="268"/>
      <c r="AM7" s="268"/>
      <c r="AN7" s="268"/>
      <c r="AO7" s="268"/>
      <c r="AP7" s="268"/>
      <c r="AQ7" s="268"/>
      <c r="AR7" s="268"/>
      <c r="AS7" s="268"/>
      <c r="AT7" s="268"/>
      <c r="AU7" s="268"/>
      <c r="AV7" s="268"/>
      <c r="AW7" s="268"/>
      <c r="AX7" s="268"/>
      <c r="AY7" s="268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x14ac:dyDescent="0.3">
      <c r="K13" s="272" t="s">
        <v>220</v>
      </c>
      <c r="L13" s="272" t="s">
        <v>255</v>
      </c>
      <c r="M13" s="272" t="s">
        <v>256</v>
      </c>
      <c r="N13" s="272" t="s">
        <v>257</v>
      </c>
      <c r="O13" s="272" t="s">
        <v>258</v>
      </c>
      <c r="P13" s="272" t="s">
        <v>259</v>
      </c>
    </row>
    <row r="14" spans="1:51" ht="28.8" customHeight="1" x14ac:dyDescent="0.3">
      <c r="K14" s="270">
        <v>1</v>
      </c>
      <c r="L14" s="276">
        <v>50</v>
      </c>
      <c r="M14" s="271">
        <v>1000</v>
      </c>
      <c r="N14" s="277">
        <f>L14*M14</f>
        <v>50000</v>
      </c>
      <c r="O14" s="277">
        <f>L14*M14+N14</f>
        <v>100000</v>
      </c>
      <c r="P14" s="270" t="s">
        <v>260</v>
      </c>
    </row>
    <row r="15" spans="1:51" ht="28.8" customHeight="1" x14ac:dyDescent="0.3">
      <c r="K15" s="270">
        <f>K14+1</f>
        <v>2</v>
      </c>
      <c r="L15" s="276">
        <v>120</v>
      </c>
      <c r="M15" s="270">
        <v>800</v>
      </c>
      <c r="N15" s="277">
        <v>400</v>
      </c>
      <c r="O15" s="277">
        <v>600</v>
      </c>
      <c r="P15" s="270" t="s">
        <v>261</v>
      </c>
    </row>
    <row r="16" spans="1:51" ht="28.8" customHeight="1" x14ac:dyDescent="0.3">
      <c r="K16" s="270">
        <f t="shared" ref="K16:K33" si="0">K15+1</f>
        <v>3</v>
      </c>
      <c r="L16" s="276">
        <v>30</v>
      </c>
      <c r="M16" s="270">
        <v>500</v>
      </c>
      <c r="N16" s="277">
        <v>250</v>
      </c>
      <c r="O16" s="277">
        <v>400</v>
      </c>
      <c r="P16" s="270" t="s">
        <v>262</v>
      </c>
    </row>
    <row r="17" spans="11:16" ht="28.8" customHeight="1" x14ac:dyDescent="0.3">
      <c r="K17" s="270">
        <f t="shared" si="0"/>
        <v>4</v>
      </c>
      <c r="L17" s="276">
        <v>200</v>
      </c>
      <c r="M17" s="271">
        <v>1200</v>
      </c>
      <c r="N17" s="277">
        <v>600</v>
      </c>
      <c r="O17" s="277">
        <v>900</v>
      </c>
      <c r="P17" s="270" t="s">
        <v>263</v>
      </c>
    </row>
    <row r="18" spans="11:16" ht="28.8" customHeight="1" x14ac:dyDescent="0.3">
      <c r="K18" s="270">
        <f t="shared" si="0"/>
        <v>5</v>
      </c>
      <c r="L18" s="276">
        <v>15</v>
      </c>
      <c r="M18" s="271">
        <v>2000</v>
      </c>
      <c r="N18" s="277">
        <v>700</v>
      </c>
      <c r="O18" s="277">
        <v>1000</v>
      </c>
      <c r="P18" s="270" t="s">
        <v>264</v>
      </c>
    </row>
    <row r="19" spans="11:16" ht="28.8" customHeight="1" x14ac:dyDescent="0.3">
      <c r="K19" s="270">
        <f t="shared" si="0"/>
        <v>6</v>
      </c>
      <c r="L19" s="276">
        <v>80</v>
      </c>
      <c r="M19" s="271">
        <v>1500</v>
      </c>
      <c r="N19" s="277">
        <v>500</v>
      </c>
      <c r="O19" s="277">
        <v>800</v>
      </c>
      <c r="P19" s="270" t="s">
        <v>265</v>
      </c>
    </row>
    <row r="20" spans="11:16" ht="28.8" customHeight="1" x14ac:dyDescent="0.3">
      <c r="K20" s="270">
        <f t="shared" si="0"/>
        <v>7</v>
      </c>
      <c r="L20" s="276">
        <v>60</v>
      </c>
      <c r="M20" s="270">
        <v>400</v>
      </c>
      <c r="N20" s="277">
        <v>200</v>
      </c>
      <c r="O20" s="277">
        <v>300</v>
      </c>
      <c r="P20" s="270" t="s">
        <v>266</v>
      </c>
    </row>
    <row r="21" spans="11:16" ht="28.8" customHeight="1" x14ac:dyDescent="0.3">
      <c r="K21" s="270">
        <f t="shared" si="0"/>
        <v>8</v>
      </c>
      <c r="L21" s="276">
        <v>180</v>
      </c>
      <c r="M21" s="271">
        <v>2500</v>
      </c>
      <c r="N21" s="277">
        <v>800</v>
      </c>
      <c r="O21" s="277">
        <v>1200</v>
      </c>
      <c r="P21" s="270" t="s">
        <v>267</v>
      </c>
    </row>
    <row r="22" spans="11:16" ht="28.8" customHeight="1" x14ac:dyDescent="0.3">
      <c r="K22" s="270">
        <f t="shared" si="0"/>
        <v>9</v>
      </c>
      <c r="L22" s="276">
        <v>90</v>
      </c>
      <c r="M22" s="271">
        <v>1800</v>
      </c>
      <c r="N22" s="277">
        <v>550</v>
      </c>
      <c r="O22" s="277">
        <v>850</v>
      </c>
      <c r="P22" s="270" t="s">
        <v>268</v>
      </c>
    </row>
    <row r="23" spans="11:16" ht="28.8" customHeight="1" x14ac:dyDescent="0.3">
      <c r="K23" s="270">
        <f t="shared" si="0"/>
        <v>10</v>
      </c>
      <c r="L23" s="276">
        <v>40</v>
      </c>
      <c r="M23" s="270">
        <v>600</v>
      </c>
      <c r="N23" s="277">
        <v>300</v>
      </c>
      <c r="O23" s="277">
        <v>500</v>
      </c>
      <c r="P23" s="270" t="s">
        <v>269</v>
      </c>
    </row>
    <row r="24" spans="11:16" ht="28.8" customHeight="1" x14ac:dyDescent="0.3">
      <c r="K24" s="270">
        <f t="shared" si="0"/>
        <v>11</v>
      </c>
      <c r="L24" s="276">
        <v>150</v>
      </c>
      <c r="M24" s="271">
        <v>1000</v>
      </c>
      <c r="N24" s="277">
        <v>600</v>
      </c>
      <c r="O24" s="277">
        <v>950</v>
      </c>
      <c r="P24" s="270" t="s">
        <v>270</v>
      </c>
    </row>
    <row r="25" spans="11:16" ht="28.8" customHeight="1" x14ac:dyDescent="0.3">
      <c r="K25" s="270">
        <f t="shared" si="0"/>
        <v>12</v>
      </c>
      <c r="L25" s="276">
        <v>20</v>
      </c>
      <c r="M25" s="270">
        <v>700</v>
      </c>
      <c r="N25" s="277">
        <v>250</v>
      </c>
      <c r="O25" s="277">
        <v>400</v>
      </c>
      <c r="P25" s="270" t="s">
        <v>271</v>
      </c>
    </row>
    <row r="26" spans="11:16" ht="28.8" customHeight="1" x14ac:dyDescent="0.3">
      <c r="K26" s="270">
        <f t="shared" si="0"/>
        <v>13</v>
      </c>
      <c r="L26" s="276">
        <v>170</v>
      </c>
      <c r="M26" s="271">
        <v>2000</v>
      </c>
      <c r="N26" s="277">
        <v>750</v>
      </c>
      <c r="O26" s="277">
        <v>1150</v>
      </c>
      <c r="P26" s="270" t="s">
        <v>272</v>
      </c>
    </row>
    <row r="27" spans="11:16" ht="28.8" customHeight="1" x14ac:dyDescent="0.3">
      <c r="K27" s="270">
        <f t="shared" si="0"/>
        <v>14</v>
      </c>
      <c r="L27" s="276">
        <v>35</v>
      </c>
      <c r="M27" s="270">
        <v>900</v>
      </c>
      <c r="N27" s="277">
        <v>350</v>
      </c>
      <c r="O27" s="277">
        <v>550</v>
      </c>
      <c r="P27" s="270" t="s">
        <v>273</v>
      </c>
    </row>
    <row r="28" spans="11:16" ht="28.8" customHeight="1" x14ac:dyDescent="0.3">
      <c r="K28" s="270">
        <f t="shared" si="0"/>
        <v>15</v>
      </c>
      <c r="L28" s="276">
        <v>220</v>
      </c>
      <c r="M28" s="271">
        <v>2500</v>
      </c>
      <c r="N28" s="277">
        <v>900</v>
      </c>
      <c r="O28" s="277">
        <v>1400</v>
      </c>
      <c r="P28" s="270" t="s">
        <v>274</v>
      </c>
    </row>
    <row r="29" spans="11:16" ht="28.8" customHeight="1" x14ac:dyDescent="0.3">
      <c r="K29" s="270">
        <f t="shared" si="0"/>
        <v>16</v>
      </c>
      <c r="L29" s="276">
        <v>110</v>
      </c>
      <c r="M29" s="271">
        <v>1100</v>
      </c>
      <c r="N29" s="277">
        <v>450</v>
      </c>
      <c r="O29" s="277">
        <v>700</v>
      </c>
      <c r="P29" s="270" t="s">
        <v>275</v>
      </c>
    </row>
    <row r="30" spans="11:16" ht="28.8" customHeight="1" x14ac:dyDescent="0.3">
      <c r="K30" s="270">
        <f t="shared" si="0"/>
        <v>17</v>
      </c>
      <c r="L30" s="276">
        <v>75</v>
      </c>
      <c r="M30" s="271">
        <v>1300</v>
      </c>
      <c r="N30" s="277">
        <v>500</v>
      </c>
      <c r="O30" s="277">
        <v>750</v>
      </c>
      <c r="P30" s="270" t="s">
        <v>276</v>
      </c>
    </row>
    <row r="31" spans="11:16" ht="28.8" customHeight="1" x14ac:dyDescent="0.3">
      <c r="K31" s="270">
        <f t="shared" si="0"/>
        <v>18</v>
      </c>
      <c r="L31" s="276">
        <v>25</v>
      </c>
      <c r="M31" s="270">
        <v>950</v>
      </c>
      <c r="N31" s="277">
        <v>300</v>
      </c>
      <c r="O31" s="277">
        <v>450</v>
      </c>
      <c r="P31" s="270" t="s">
        <v>277</v>
      </c>
    </row>
    <row r="32" spans="11:16" ht="28.8" customHeight="1" x14ac:dyDescent="0.3">
      <c r="K32" s="270">
        <f t="shared" si="0"/>
        <v>19</v>
      </c>
      <c r="L32" s="276">
        <v>140</v>
      </c>
      <c r="M32" s="271">
        <v>1600</v>
      </c>
      <c r="N32" s="277">
        <v>650</v>
      </c>
      <c r="O32" s="277">
        <v>1000</v>
      </c>
      <c r="P32" s="270" t="s">
        <v>278</v>
      </c>
    </row>
    <row r="33" spans="11:16" ht="28.8" customHeight="1" x14ac:dyDescent="0.3">
      <c r="K33" s="270">
        <f t="shared" si="0"/>
        <v>20</v>
      </c>
      <c r="L33" s="276">
        <v>50</v>
      </c>
      <c r="M33" s="270">
        <v>850</v>
      </c>
      <c r="N33" s="277">
        <v>350</v>
      </c>
      <c r="O33" s="277">
        <v>550</v>
      </c>
      <c r="P33" s="270" t="s">
        <v>279</v>
      </c>
    </row>
    <row r="34" spans="11:16" ht="28.8" customHeight="1" x14ac:dyDescent="0.3"/>
    <row r="35" spans="11:16" ht="28.8" customHeight="1" x14ac:dyDescent="0.3"/>
    <row r="36" spans="11:16" ht="28.8" customHeight="1" x14ac:dyDescent="0.3"/>
    <row r="37" spans="11:16" ht="28.8" customHeight="1" x14ac:dyDescent="0.3"/>
    <row r="38" spans="11:16" ht="28.8" customHeight="1" x14ac:dyDescent="0.3"/>
    <row r="39" spans="11:16" ht="28.8" customHeight="1" x14ac:dyDescent="0.3"/>
    <row r="40" spans="11:16" ht="28.8" customHeight="1" x14ac:dyDescent="0.3"/>
    <row r="41" spans="11:16" ht="28.8" customHeight="1" x14ac:dyDescent="0.3"/>
    <row r="42" spans="11:16" ht="28.8" customHeight="1" x14ac:dyDescent="0.3"/>
    <row r="43" spans="11:16" ht="28.8" customHeight="1" x14ac:dyDescent="0.3"/>
    <row r="44" spans="11:16" ht="28.8" customHeight="1" x14ac:dyDescent="0.3"/>
    <row r="45" spans="11:16" ht="28.8" customHeight="1" x14ac:dyDescent="0.3"/>
    <row r="46" spans="11:16" ht="28.8" customHeight="1" x14ac:dyDescent="0.3"/>
    <row r="47" spans="11:16" ht="28.8" customHeight="1" x14ac:dyDescent="0.3"/>
    <row r="48" spans="11:16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1AB1F-2926-4669-9EC2-12A373849C81}">
  <sheetPr codeName="Planilha34">
    <tabColor rgb="FFFFC000"/>
  </sheetPr>
  <dimension ref="A1:AY66"/>
  <sheetViews>
    <sheetView zoomScale="40" zoomScaleNormal="40" workbookViewId="0">
      <selection activeCell="O13" sqref="O13"/>
    </sheetView>
  </sheetViews>
  <sheetFormatPr defaultRowHeight="14.4" x14ac:dyDescent="0.3"/>
  <cols>
    <col min="1" max="4" width="8.88671875" style="178"/>
    <col min="5" max="5" width="4.5546875" style="178" bestFit="1" customWidth="1"/>
    <col min="6" max="6" width="21.88671875" style="178" bestFit="1" customWidth="1"/>
    <col min="7" max="7" width="26" style="178" bestFit="1" customWidth="1"/>
    <col min="8" max="8" width="19.44140625" style="178" bestFit="1" customWidth="1"/>
    <col min="9" max="9" width="12.109375" style="178" bestFit="1" customWidth="1"/>
    <col min="10" max="10" width="12.6640625" style="178" bestFit="1" customWidth="1"/>
    <col min="11" max="11" width="4.5546875" style="178" customWidth="1"/>
    <col min="12" max="12" width="25.44140625" style="178" customWidth="1"/>
    <col min="13" max="13" width="26.21875" style="178" customWidth="1"/>
    <col min="14" max="14" width="25.44140625" style="178" customWidth="1"/>
    <col min="15" max="15" width="24.33203125" style="178" customWidth="1"/>
    <col min="16" max="16" width="45.44140625" style="178" customWidth="1"/>
    <col min="17" max="17" width="20.44140625" style="178" bestFit="1" customWidth="1"/>
    <col min="18" max="18" width="36" style="178" bestFit="1" customWidth="1"/>
    <col min="19" max="19" width="31.5546875" style="178" bestFit="1" customWidth="1"/>
    <col min="20" max="16384" width="8.88671875" style="178"/>
  </cols>
  <sheetData>
    <row r="1" spans="1:51" x14ac:dyDescent="0.3">
      <c r="A1" s="182"/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  <c r="AX1" s="182"/>
      <c r="AY1" s="182"/>
    </row>
    <row r="2" spans="1:51" x14ac:dyDescent="0.3">
      <c r="A2" s="182"/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</row>
    <row r="3" spans="1:51" ht="61.2" customHeight="1" x14ac:dyDescent="0.3">
      <c r="A3" s="182"/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</row>
    <row r="4" spans="1:51" ht="46.2" customHeight="1" x14ac:dyDescent="0.3">
      <c r="A4" s="268"/>
      <c r="B4" s="268"/>
      <c r="C4" s="268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8"/>
      <c r="Q4" s="268"/>
      <c r="R4" s="268"/>
      <c r="S4" s="268"/>
      <c r="T4" s="268"/>
      <c r="U4" s="268"/>
      <c r="V4" s="268"/>
      <c r="W4" s="268"/>
      <c r="X4" s="268"/>
      <c r="Y4" s="268"/>
      <c r="Z4" s="268"/>
      <c r="AA4" s="268"/>
      <c r="AB4" s="268"/>
      <c r="AC4" s="268"/>
      <c r="AD4" s="268"/>
      <c r="AE4" s="268"/>
      <c r="AF4" s="268"/>
      <c r="AG4" s="268"/>
      <c r="AH4" s="268"/>
      <c r="AI4" s="268"/>
      <c r="AJ4" s="268"/>
      <c r="AK4" s="268"/>
      <c r="AL4" s="268"/>
      <c r="AM4" s="268"/>
      <c r="AN4" s="268"/>
      <c r="AO4" s="268"/>
      <c r="AP4" s="268"/>
      <c r="AQ4" s="268"/>
      <c r="AR4" s="268"/>
      <c r="AS4" s="268"/>
      <c r="AT4" s="268"/>
      <c r="AU4" s="268"/>
      <c r="AV4" s="268"/>
      <c r="AW4" s="268"/>
      <c r="AX4" s="268"/>
      <c r="AY4" s="268"/>
    </row>
    <row r="5" spans="1:51" x14ac:dyDescent="0.3">
      <c r="A5" s="268"/>
      <c r="B5" s="268"/>
      <c r="C5" s="268"/>
      <c r="D5" s="268"/>
      <c r="E5" s="268"/>
      <c r="F5" s="268"/>
      <c r="G5" s="268"/>
      <c r="H5" s="268"/>
      <c r="I5" s="268"/>
      <c r="J5" s="268"/>
      <c r="K5" s="268"/>
      <c r="L5" s="268"/>
      <c r="M5" s="268"/>
      <c r="N5" s="268"/>
      <c r="O5" s="268"/>
      <c r="P5" s="268"/>
      <c r="Q5" s="268"/>
      <c r="R5" s="268"/>
      <c r="S5" s="268"/>
      <c r="T5" s="268"/>
      <c r="U5" s="268"/>
      <c r="V5" s="268"/>
      <c r="W5" s="268"/>
      <c r="X5" s="268"/>
      <c r="Y5" s="268"/>
      <c r="Z5" s="268"/>
      <c r="AA5" s="268"/>
      <c r="AB5" s="268"/>
      <c r="AC5" s="268"/>
      <c r="AD5" s="268"/>
      <c r="AE5" s="268"/>
      <c r="AF5" s="268"/>
      <c r="AG5" s="268"/>
      <c r="AH5" s="268"/>
      <c r="AI5" s="268"/>
      <c r="AJ5" s="268"/>
      <c r="AK5" s="268"/>
      <c r="AL5" s="268"/>
      <c r="AM5" s="268"/>
      <c r="AN5" s="268"/>
      <c r="AO5" s="268"/>
      <c r="AP5" s="268"/>
      <c r="AQ5" s="268"/>
      <c r="AR5" s="268"/>
      <c r="AS5" s="268"/>
      <c r="AT5" s="268"/>
      <c r="AU5" s="268"/>
      <c r="AV5" s="268"/>
      <c r="AW5" s="268"/>
      <c r="AX5" s="268"/>
      <c r="AY5" s="268"/>
    </row>
    <row r="6" spans="1:51" x14ac:dyDescent="0.3">
      <c r="A6" s="268"/>
      <c r="B6" s="268"/>
      <c r="C6" s="268"/>
      <c r="D6" s="268"/>
      <c r="E6" s="268"/>
      <c r="F6" s="268"/>
      <c r="G6" s="268"/>
      <c r="H6" s="268"/>
      <c r="I6" s="268"/>
      <c r="J6" s="268"/>
      <c r="K6" s="268"/>
      <c r="L6" s="268"/>
      <c r="M6" s="268"/>
      <c r="N6" s="268"/>
      <c r="O6" s="268"/>
      <c r="P6" s="268"/>
      <c r="Q6" s="268"/>
      <c r="R6" s="268"/>
      <c r="S6" s="268"/>
      <c r="T6" s="268"/>
      <c r="U6" s="268"/>
      <c r="V6" s="268"/>
      <c r="W6" s="268"/>
      <c r="X6" s="268"/>
      <c r="Y6" s="268"/>
      <c r="Z6" s="268"/>
      <c r="AA6" s="268"/>
      <c r="AB6" s="268"/>
      <c r="AC6" s="268"/>
      <c r="AD6" s="268"/>
      <c r="AE6" s="268"/>
      <c r="AF6" s="268"/>
      <c r="AG6" s="268"/>
      <c r="AH6" s="268"/>
      <c r="AI6" s="268"/>
      <c r="AJ6" s="268"/>
      <c r="AK6" s="268"/>
      <c r="AL6" s="268"/>
      <c r="AM6" s="268"/>
      <c r="AN6" s="268"/>
      <c r="AO6" s="268"/>
      <c r="AP6" s="268"/>
      <c r="AQ6" s="268"/>
      <c r="AR6" s="268"/>
      <c r="AS6" s="268"/>
      <c r="AT6" s="268"/>
      <c r="AU6" s="268"/>
      <c r="AV6" s="268"/>
      <c r="AW6" s="268"/>
      <c r="AX6" s="268"/>
      <c r="AY6" s="268"/>
    </row>
    <row r="7" spans="1:51" x14ac:dyDescent="0.3">
      <c r="A7" s="268"/>
      <c r="B7" s="268"/>
      <c r="C7" s="268"/>
      <c r="D7" s="268"/>
      <c r="E7" s="268"/>
      <c r="F7" s="268"/>
      <c r="G7" s="268"/>
      <c r="H7" s="268"/>
      <c r="I7" s="268"/>
      <c r="J7" s="268"/>
      <c r="K7" s="268"/>
      <c r="L7" s="268"/>
      <c r="M7" s="268"/>
      <c r="N7" s="268"/>
      <c r="O7" s="268"/>
      <c r="P7" s="268"/>
      <c r="Q7" s="268"/>
      <c r="R7" s="268"/>
      <c r="S7" s="268"/>
      <c r="T7" s="268"/>
      <c r="U7" s="268"/>
      <c r="V7" s="268"/>
      <c r="W7" s="268"/>
      <c r="X7" s="268"/>
      <c r="Y7" s="268"/>
      <c r="Z7" s="268"/>
      <c r="AA7" s="268"/>
      <c r="AB7" s="268"/>
      <c r="AC7" s="268"/>
      <c r="AD7" s="268"/>
      <c r="AE7" s="268"/>
      <c r="AF7" s="268"/>
      <c r="AG7" s="268"/>
      <c r="AH7" s="268"/>
      <c r="AI7" s="268"/>
      <c r="AJ7" s="268"/>
      <c r="AK7" s="268"/>
      <c r="AL7" s="268"/>
      <c r="AM7" s="268"/>
      <c r="AN7" s="268"/>
      <c r="AO7" s="268"/>
      <c r="AP7" s="268"/>
      <c r="AQ7" s="268"/>
      <c r="AR7" s="268"/>
      <c r="AS7" s="268"/>
      <c r="AT7" s="268"/>
      <c r="AU7" s="268"/>
      <c r="AV7" s="268"/>
      <c r="AW7" s="268"/>
      <c r="AX7" s="268"/>
      <c r="AY7" s="268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x14ac:dyDescent="0.3">
      <c r="K13" s="272" t="s">
        <v>220</v>
      </c>
      <c r="L13" s="272" t="s">
        <v>255</v>
      </c>
      <c r="M13" s="272" t="s">
        <v>256</v>
      </c>
      <c r="N13" s="272" t="s">
        <v>257</v>
      </c>
      <c r="O13" s="272" t="s">
        <v>258</v>
      </c>
      <c r="P13" s="272" t="s">
        <v>259</v>
      </c>
    </row>
    <row r="14" spans="1:51" ht="28.8" customHeight="1" x14ac:dyDescent="0.3">
      <c r="K14" s="270">
        <v>1</v>
      </c>
      <c r="L14" s="276">
        <v>50</v>
      </c>
      <c r="M14" s="271">
        <v>1000</v>
      </c>
      <c r="N14" s="277">
        <f>L14*M14</f>
        <v>50000</v>
      </c>
      <c r="O14" s="277">
        <f>L14*M14+N14</f>
        <v>100000</v>
      </c>
      <c r="P14" s="270" t="s">
        <v>260</v>
      </c>
    </row>
    <row r="15" spans="1:51" ht="28.8" customHeight="1" x14ac:dyDescent="0.3">
      <c r="K15" s="270">
        <f>K14+1</f>
        <v>2</v>
      </c>
      <c r="L15" s="276">
        <v>120</v>
      </c>
      <c r="M15" s="270">
        <v>800</v>
      </c>
      <c r="N15" s="277">
        <v>400</v>
      </c>
      <c r="O15" s="277">
        <v>600</v>
      </c>
      <c r="P15" s="270" t="s">
        <v>261</v>
      </c>
    </row>
    <row r="16" spans="1:51" ht="28.8" customHeight="1" x14ac:dyDescent="0.3">
      <c r="K16" s="270">
        <f t="shared" ref="K16:K33" si="0">K15+1</f>
        <v>3</v>
      </c>
      <c r="L16" s="276">
        <v>30</v>
      </c>
      <c r="M16" s="270">
        <v>500</v>
      </c>
      <c r="N16" s="277">
        <v>250</v>
      </c>
      <c r="O16" s="277">
        <v>400</v>
      </c>
      <c r="P16" s="270" t="s">
        <v>262</v>
      </c>
    </row>
    <row r="17" spans="11:16" ht="28.8" customHeight="1" x14ac:dyDescent="0.3">
      <c r="K17" s="270">
        <f t="shared" si="0"/>
        <v>4</v>
      </c>
      <c r="L17" s="276">
        <v>200</v>
      </c>
      <c r="M17" s="271">
        <v>1200</v>
      </c>
      <c r="N17" s="277">
        <v>600</v>
      </c>
      <c r="O17" s="277">
        <v>900</v>
      </c>
      <c r="P17" s="270" t="s">
        <v>263</v>
      </c>
    </row>
    <row r="18" spans="11:16" ht="28.8" customHeight="1" x14ac:dyDescent="0.3">
      <c r="K18" s="270">
        <f t="shared" si="0"/>
        <v>5</v>
      </c>
      <c r="L18" s="276">
        <v>15</v>
      </c>
      <c r="M18" s="271">
        <v>2000</v>
      </c>
      <c r="N18" s="277">
        <v>700</v>
      </c>
      <c r="O18" s="277">
        <v>1000</v>
      </c>
      <c r="P18" s="270" t="s">
        <v>264</v>
      </c>
    </row>
    <row r="19" spans="11:16" ht="28.8" customHeight="1" x14ac:dyDescent="0.3">
      <c r="K19" s="270">
        <f t="shared" si="0"/>
        <v>6</v>
      </c>
      <c r="L19" s="276">
        <v>80</v>
      </c>
      <c r="M19" s="271">
        <v>1500</v>
      </c>
      <c r="N19" s="277">
        <v>500</v>
      </c>
      <c r="O19" s="277">
        <v>800</v>
      </c>
      <c r="P19" s="270" t="s">
        <v>265</v>
      </c>
    </row>
    <row r="20" spans="11:16" ht="28.8" customHeight="1" x14ac:dyDescent="0.3">
      <c r="K20" s="270">
        <f t="shared" si="0"/>
        <v>7</v>
      </c>
      <c r="L20" s="276">
        <v>60</v>
      </c>
      <c r="M20" s="270">
        <v>400</v>
      </c>
      <c r="N20" s="277">
        <v>200</v>
      </c>
      <c r="O20" s="277">
        <v>300</v>
      </c>
      <c r="P20" s="270" t="s">
        <v>266</v>
      </c>
    </row>
    <row r="21" spans="11:16" ht="28.8" customHeight="1" x14ac:dyDescent="0.3">
      <c r="K21" s="270">
        <f t="shared" si="0"/>
        <v>8</v>
      </c>
      <c r="L21" s="276">
        <v>180</v>
      </c>
      <c r="M21" s="271">
        <v>2500</v>
      </c>
      <c r="N21" s="277">
        <v>800</v>
      </c>
      <c r="O21" s="277">
        <v>1200</v>
      </c>
      <c r="P21" s="270" t="s">
        <v>267</v>
      </c>
    </row>
    <row r="22" spans="11:16" ht="28.8" customHeight="1" x14ac:dyDescent="0.3">
      <c r="K22" s="270">
        <f t="shared" si="0"/>
        <v>9</v>
      </c>
      <c r="L22" s="276">
        <v>90</v>
      </c>
      <c r="M22" s="271">
        <v>1800</v>
      </c>
      <c r="N22" s="277">
        <v>550</v>
      </c>
      <c r="O22" s="277">
        <v>850</v>
      </c>
      <c r="P22" s="270" t="s">
        <v>268</v>
      </c>
    </row>
    <row r="23" spans="11:16" ht="28.8" customHeight="1" x14ac:dyDescent="0.3">
      <c r="K23" s="270">
        <f t="shared" si="0"/>
        <v>10</v>
      </c>
      <c r="L23" s="276">
        <v>40</v>
      </c>
      <c r="M23" s="270">
        <v>600</v>
      </c>
      <c r="N23" s="277">
        <v>300</v>
      </c>
      <c r="O23" s="277">
        <v>500</v>
      </c>
      <c r="P23" s="270" t="s">
        <v>269</v>
      </c>
    </row>
    <row r="24" spans="11:16" ht="28.8" customHeight="1" x14ac:dyDescent="0.3">
      <c r="K24" s="270">
        <f t="shared" si="0"/>
        <v>11</v>
      </c>
      <c r="L24" s="276">
        <v>150</v>
      </c>
      <c r="M24" s="271">
        <v>1000</v>
      </c>
      <c r="N24" s="277">
        <v>600</v>
      </c>
      <c r="O24" s="277">
        <v>950</v>
      </c>
      <c r="P24" s="270" t="s">
        <v>270</v>
      </c>
    </row>
    <row r="25" spans="11:16" ht="28.8" customHeight="1" x14ac:dyDescent="0.3">
      <c r="K25" s="270">
        <f t="shared" si="0"/>
        <v>12</v>
      </c>
      <c r="L25" s="276">
        <v>20</v>
      </c>
      <c r="M25" s="270">
        <v>700</v>
      </c>
      <c r="N25" s="277">
        <v>250</v>
      </c>
      <c r="O25" s="277">
        <v>400</v>
      </c>
      <c r="P25" s="270" t="s">
        <v>271</v>
      </c>
    </row>
    <row r="26" spans="11:16" ht="28.8" customHeight="1" x14ac:dyDescent="0.3">
      <c r="K26" s="270">
        <f t="shared" si="0"/>
        <v>13</v>
      </c>
      <c r="L26" s="276">
        <v>170</v>
      </c>
      <c r="M26" s="271">
        <v>2000</v>
      </c>
      <c r="N26" s="277">
        <v>750</v>
      </c>
      <c r="O26" s="277">
        <v>1150</v>
      </c>
      <c r="P26" s="270" t="s">
        <v>272</v>
      </c>
    </row>
    <row r="27" spans="11:16" ht="28.8" customHeight="1" x14ac:dyDescent="0.3">
      <c r="K27" s="270">
        <f t="shared" si="0"/>
        <v>14</v>
      </c>
      <c r="L27" s="276">
        <v>35</v>
      </c>
      <c r="M27" s="270">
        <v>900</v>
      </c>
      <c r="N27" s="277">
        <v>350</v>
      </c>
      <c r="O27" s="277">
        <v>550</v>
      </c>
      <c r="P27" s="270" t="s">
        <v>273</v>
      </c>
    </row>
    <row r="28" spans="11:16" ht="28.8" customHeight="1" x14ac:dyDescent="0.3">
      <c r="K28" s="270">
        <f t="shared" si="0"/>
        <v>15</v>
      </c>
      <c r="L28" s="276">
        <v>220</v>
      </c>
      <c r="M28" s="271">
        <v>2500</v>
      </c>
      <c r="N28" s="277">
        <v>900</v>
      </c>
      <c r="O28" s="277">
        <v>1400</v>
      </c>
      <c r="P28" s="270" t="s">
        <v>274</v>
      </c>
    </row>
    <row r="29" spans="11:16" ht="28.8" customHeight="1" x14ac:dyDescent="0.3">
      <c r="K29" s="270">
        <f t="shared" si="0"/>
        <v>16</v>
      </c>
      <c r="L29" s="276">
        <v>110</v>
      </c>
      <c r="M29" s="271">
        <v>1100</v>
      </c>
      <c r="N29" s="277">
        <v>450</v>
      </c>
      <c r="O29" s="277">
        <v>700</v>
      </c>
      <c r="P29" s="270" t="s">
        <v>275</v>
      </c>
    </row>
    <row r="30" spans="11:16" ht="28.8" customHeight="1" x14ac:dyDescent="0.3">
      <c r="K30" s="270">
        <f t="shared" si="0"/>
        <v>17</v>
      </c>
      <c r="L30" s="276">
        <v>75</v>
      </c>
      <c r="M30" s="271">
        <v>1300</v>
      </c>
      <c r="N30" s="277">
        <v>500</v>
      </c>
      <c r="O30" s="277">
        <v>750</v>
      </c>
      <c r="P30" s="270" t="s">
        <v>276</v>
      </c>
    </row>
    <row r="31" spans="11:16" ht="28.8" customHeight="1" x14ac:dyDescent="0.3">
      <c r="K31" s="270">
        <f t="shared" si="0"/>
        <v>18</v>
      </c>
      <c r="L31" s="276">
        <v>25</v>
      </c>
      <c r="M31" s="270">
        <v>950</v>
      </c>
      <c r="N31" s="277">
        <v>300</v>
      </c>
      <c r="O31" s="277">
        <v>450</v>
      </c>
      <c r="P31" s="270" t="s">
        <v>277</v>
      </c>
    </row>
    <row r="32" spans="11:16" ht="28.8" customHeight="1" x14ac:dyDescent="0.3">
      <c r="K32" s="270">
        <f t="shared" si="0"/>
        <v>19</v>
      </c>
      <c r="L32" s="276">
        <v>140</v>
      </c>
      <c r="M32" s="271">
        <v>1600</v>
      </c>
      <c r="N32" s="277">
        <v>650</v>
      </c>
      <c r="O32" s="277">
        <v>1000</v>
      </c>
      <c r="P32" s="270" t="s">
        <v>278</v>
      </c>
    </row>
    <row r="33" spans="11:16" ht="28.8" customHeight="1" x14ac:dyDescent="0.3">
      <c r="K33" s="270">
        <f t="shared" si="0"/>
        <v>20</v>
      </c>
      <c r="L33" s="276">
        <v>50</v>
      </c>
      <c r="M33" s="270">
        <v>850</v>
      </c>
      <c r="N33" s="277">
        <v>350</v>
      </c>
      <c r="O33" s="277">
        <v>550</v>
      </c>
      <c r="P33" s="270" t="s">
        <v>279</v>
      </c>
    </row>
    <row r="34" spans="11:16" ht="28.8" customHeight="1" x14ac:dyDescent="0.3"/>
    <row r="35" spans="11:16" ht="28.8" customHeight="1" x14ac:dyDescent="0.3"/>
    <row r="36" spans="11:16" ht="28.8" customHeight="1" x14ac:dyDescent="0.3"/>
    <row r="37" spans="11:16" ht="28.8" customHeight="1" x14ac:dyDescent="0.3"/>
    <row r="38" spans="11:16" ht="28.8" customHeight="1" x14ac:dyDescent="0.3"/>
    <row r="39" spans="11:16" ht="28.8" customHeight="1" x14ac:dyDescent="0.3"/>
    <row r="40" spans="11:16" ht="28.8" customHeight="1" x14ac:dyDescent="0.3"/>
    <row r="41" spans="11:16" ht="28.8" customHeight="1" x14ac:dyDescent="0.3"/>
    <row r="42" spans="11:16" ht="28.8" customHeight="1" x14ac:dyDescent="0.3"/>
    <row r="43" spans="11:16" ht="28.8" customHeight="1" x14ac:dyDescent="0.3"/>
    <row r="44" spans="11:16" ht="28.8" customHeight="1" x14ac:dyDescent="0.3"/>
    <row r="45" spans="11:16" ht="28.8" customHeight="1" x14ac:dyDescent="0.3"/>
    <row r="46" spans="11:16" ht="28.8" customHeight="1" x14ac:dyDescent="0.3"/>
    <row r="47" spans="11:16" ht="28.8" customHeight="1" x14ac:dyDescent="0.3"/>
    <row r="48" spans="11:16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A7624-8143-4CFA-ABF8-6AB5E39AAA64}">
  <sheetPr codeName="Planilha35">
    <tabColor rgb="FFC00000"/>
  </sheetPr>
  <dimension ref="A1:AY66"/>
  <sheetViews>
    <sheetView zoomScale="40" zoomScaleNormal="40" workbookViewId="0">
      <selection activeCell="A19" sqref="A19"/>
    </sheetView>
  </sheetViews>
  <sheetFormatPr defaultRowHeight="14.4" x14ac:dyDescent="0.3"/>
  <cols>
    <col min="1" max="4" width="8.88671875" style="178"/>
    <col min="5" max="5" width="4.5546875" style="178" bestFit="1" customWidth="1"/>
    <col min="6" max="6" width="21.88671875" style="178" bestFit="1" customWidth="1"/>
    <col min="7" max="7" width="26" style="178" bestFit="1" customWidth="1"/>
    <col min="8" max="8" width="19.44140625" style="178" bestFit="1" customWidth="1"/>
    <col min="9" max="9" width="12.109375" style="178" bestFit="1" customWidth="1"/>
    <col min="10" max="10" width="12.6640625" style="178" bestFit="1" customWidth="1"/>
    <col min="11" max="11" width="4.5546875" style="178" customWidth="1"/>
    <col min="12" max="12" width="25.44140625" style="178" customWidth="1"/>
    <col min="13" max="13" width="26.21875" style="178" customWidth="1"/>
    <col min="14" max="14" width="2.6640625" style="178" bestFit="1" customWidth="1"/>
    <col min="15" max="15" width="47.6640625" style="178" customWidth="1"/>
    <col min="16" max="16" width="2.6640625" style="178" bestFit="1" customWidth="1"/>
    <col min="17" max="17" width="20.44140625" style="178" bestFit="1" customWidth="1"/>
    <col min="18" max="18" width="2.6640625" style="178" bestFit="1" customWidth="1"/>
    <col min="19" max="19" width="46.88671875" style="178" customWidth="1"/>
    <col min="20" max="23" width="8.88671875" style="178"/>
    <col min="24" max="24" width="23.44140625" style="178" bestFit="1" customWidth="1"/>
    <col min="25" max="25" width="2.6640625" style="178" bestFit="1" customWidth="1"/>
    <col min="26" max="26" width="51.109375" style="178" customWidth="1"/>
    <col min="27" max="16384" width="8.88671875" style="178"/>
  </cols>
  <sheetData>
    <row r="1" spans="1:51" x14ac:dyDescent="0.3">
      <c r="A1" s="182"/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  <c r="AX1" s="182"/>
      <c r="AY1" s="182"/>
    </row>
    <row r="2" spans="1:51" x14ac:dyDescent="0.3">
      <c r="A2" s="182"/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</row>
    <row r="3" spans="1:51" ht="61.2" customHeight="1" x14ac:dyDescent="0.3">
      <c r="A3" s="182"/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</row>
    <row r="4" spans="1:51" ht="46.2" customHeight="1" x14ac:dyDescent="0.3">
      <c r="A4" s="268"/>
      <c r="B4" s="268"/>
      <c r="C4" s="268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8"/>
      <c r="Q4" s="268"/>
      <c r="R4" s="268"/>
      <c r="S4" s="268"/>
      <c r="T4" s="268"/>
      <c r="U4" s="268"/>
      <c r="V4" s="268"/>
      <c r="W4" s="268"/>
      <c r="X4" s="268"/>
      <c r="Y4" s="268"/>
      <c r="Z4" s="268"/>
      <c r="AA4" s="268"/>
      <c r="AB4" s="268"/>
      <c r="AC4" s="268"/>
      <c r="AD4" s="268"/>
      <c r="AE4" s="268"/>
      <c r="AF4" s="268"/>
      <c r="AG4" s="268"/>
      <c r="AH4" s="268"/>
      <c r="AI4" s="268"/>
      <c r="AJ4" s="268"/>
      <c r="AK4" s="268"/>
      <c r="AL4" s="268"/>
      <c r="AM4" s="268"/>
      <c r="AN4" s="268"/>
      <c r="AO4" s="268"/>
      <c r="AP4" s="268"/>
      <c r="AQ4" s="268"/>
      <c r="AR4" s="268"/>
      <c r="AS4" s="268"/>
      <c r="AT4" s="268"/>
      <c r="AU4" s="268"/>
      <c r="AV4" s="268"/>
      <c r="AW4" s="268"/>
      <c r="AX4" s="268"/>
      <c r="AY4" s="268"/>
    </row>
    <row r="5" spans="1:51" x14ac:dyDescent="0.3">
      <c r="A5" s="268"/>
      <c r="B5" s="268"/>
      <c r="C5" s="268"/>
      <c r="D5" s="268"/>
      <c r="E5" s="268"/>
      <c r="F5" s="268"/>
      <c r="G5" s="268"/>
      <c r="H5" s="268"/>
      <c r="I5" s="268"/>
      <c r="J5" s="268"/>
      <c r="K5" s="268"/>
      <c r="L5" s="268"/>
      <c r="M5" s="268"/>
      <c r="N5" s="268"/>
      <c r="O5" s="268"/>
      <c r="P5" s="268"/>
      <c r="Q5" s="268"/>
      <c r="R5" s="268"/>
      <c r="S5" s="268"/>
      <c r="T5" s="268"/>
      <c r="U5" s="268"/>
      <c r="V5" s="268"/>
      <c r="W5" s="268"/>
      <c r="X5" s="268"/>
      <c r="Y5" s="268"/>
      <c r="Z5" s="268"/>
      <c r="AA5" s="268"/>
      <c r="AB5" s="268"/>
      <c r="AC5" s="268"/>
      <c r="AD5" s="268"/>
      <c r="AE5" s="268"/>
      <c r="AF5" s="268"/>
      <c r="AG5" s="268"/>
      <c r="AH5" s="268"/>
      <c r="AI5" s="268"/>
      <c r="AJ5" s="268"/>
      <c r="AK5" s="268"/>
      <c r="AL5" s="268"/>
      <c r="AM5" s="268"/>
      <c r="AN5" s="268"/>
      <c r="AO5" s="268"/>
      <c r="AP5" s="268"/>
      <c r="AQ5" s="268"/>
      <c r="AR5" s="268"/>
      <c r="AS5" s="268"/>
      <c r="AT5" s="268"/>
      <c r="AU5" s="268"/>
      <c r="AV5" s="268"/>
      <c r="AW5" s="268"/>
      <c r="AX5" s="268"/>
      <c r="AY5" s="268"/>
    </row>
    <row r="6" spans="1:51" x14ac:dyDescent="0.3">
      <c r="A6" s="268"/>
      <c r="B6" s="268"/>
      <c r="C6" s="268"/>
      <c r="D6" s="268"/>
      <c r="E6" s="268"/>
      <c r="F6" s="268"/>
      <c r="G6" s="268"/>
      <c r="H6" s="268"/>
      <c r="I6" s="268"/>
      <c r="J6" s="268"/>
      <c r="K6" s="268"/>
      <c r="L6" s="268"/>
      <c r="M6" s="268"/>
      <c r="N6" s="268"/>
      <c r="O6" s="268"/>
      <c r="P6" s="268"/>
      <c r="Q6" s="268"/>
      <c r="R6" s="268"/>
      <c r="S6" s="268"/>
      <c r="T6" s="268"/>
      <c r="U6" s="268"/>
      <c r="V6" s="268"/>
      <c r="W6" s="268"/>
      <c r="X6" s="268"/>
      <c r="Y6" s="268"/>
      <c r="Z6" s="268"/>
      <c r="AA6" s="268"/>
      <c r="AB6" s="268"/>
      <c r="AC6" s="268"/>
      <c r="AD6" s="268"/>
      <c r="AE6" s="268"/>
      <c r="AF6" s="268"/>
      <c r="AG6" s="268"/>
      <c r="AH6" s="268"/>
      <c r="AI6" s="268"/>
      <c r="AJ6" s="268"/>
      <c r="AK6" s="268"/>
      <c r="AL6" s="268"/>
      <c r="AM6" s="268"/>
      <c r="AN6" s="268"/>
      <c r="AO6" s="268"/>
      <c r="AP6" s="268"/>
      <c r="AQ6" s="268"/>
      <c r="AR6" s="268"/>
      <c r="AS6" s="268"/>
      <c r="AT6" s="268"/>
      <c r="AU6" s="268"/>
      <c r="AV6" s="268"/>
      <c r="AW6" s="268"/>
      <c r="AX6" s="268"/>
      <c r="AY6" s="268"/>
    </row>
    <row r="7" spans="1:51" x14ac:dyDescent="0.3">
      <c r="A7" s="268"/>
      <c r="B7" s="268"/>
      <c r="C7" s="268"/>
      <c r="D7" s="268"/>
      <c r="E7" s="268"/>
      <c r="F7" s="268"/>
      <c r="G7" s="268"/>
      <c r="H7" s="268"/>
      <c r="I7" s="268"/>
      <c r="J7" s="268"/>
      <c r="K7" s="268"/>
      <c r="L7" s="268"/>
      <c r="M7" s="268"/>
      <c r="N7" s="268"/>
      <c r="O7" s="268"/>
      <c r="P7" s="268"/>
      <c r="Q7" s="268"/>
      <c r="R7" s="268"/>
      <c r="S7" s="268"/>
      <c r="T7" s="268"/>
      <c r="U7" s="268"/>
      <c r="V7" s="268"/>
      <c r="W7" s="268"/>
      <c r="X7" s="268"/>
      <c r="Y7" s="268"/>
      <c r="Z7" s="268"/>
      <c r="AA7" s="268"/>
      <c r="AB7" s="268"/>
      <c r="AC7" s="268"/>
      <c r="AD7" s="268"/>
      <c r="AE7" s="268"/>
      <c r="AF7" s="268"/>
      <c r="AG7" s="268"/>
      <c r="AH7" s="268"/>
      <c r="AI7" s="268"/>
      <c r="AJ7" s="268"/>
      <c r="AK7" s="268"/>
      <c r="AL7" s="268"/>
      <c r="AM7" s="268"/>
      <c r="AN7" s="268"/>
      <c r="AO7" s="268"/>
      <c r="AP7" s="268"/>
      <c r="AQ7" s="268"/>
      <c r="AR7" s="268"/>
      <c r="AS7" s="268"/>
      <c r="AT7" s="268"/>
      <c r="AU7" s="268"/>
      <c r="AV7" s="268"/>
      <c r="AW7" s="268"/>
      <c r="AX7" s="268"/>
      <c r="AY7" s="268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thickBot="1" x14ac:dyDescent="0.35"/>
    <row r="14" spans="1:51" ht="28.8" customHeight="1" x14ac:dyDescent="0.3">
      <c r="N14" s="395" t="s">
        <v>280</v>
      </c>
      <c r="O14" s="396"/>
      <c r="P14" s="396"/>
      <c r="Q14" s="396"/>
      <c r="R14" s="396"/>
      <c r="S14" s="396"/>
      <c r="T14" s="397"/>
      <c r="W14" s="417" t="s">
        <v>281</v>
      </c>
      <c r="X14" s="418"/>
      <c r="Y14" s="418"/>
      <c r="Z14" s="418"/>
      <c r="AA14" s="419"/>
    </row>
    <row r="15" spans="1:51" ht="28.8" customHeight="1" x14ac:dyDescent="0.3">
      <c r="N15" s="398"/>
      <c r="O15" s="399"/>
      <c r="P15" s="399"/>
      <c r="Q15" s="399"/>
      <c r="R15" s="399"/>
      <c r="S15" s="399"/>
      <c r="T15" s="400"/>
      <c r="W15" s="420"/>
      <c r="X15" s="421"/>
      <c r="Y15" s="421"/>
      <c r="Z15" s="421"/>
      <c r="AA15" s="422"/>
    </row>
    <row r="16" spans="1:51" ht="28.8" customHeight="1" x14ac:dyDescent="0.3">
      <c r="N16" s="398"/>
      <c r="O16" s="399"/>
      <c r="P16" s="399"/>
      <c r="Q16" s="399"/>
      <c r="R16" s="399"/>
      <c r="S16" s="399"/>
      <c r="T16" s="400"/>
      <c r="W16" s="420"/>
      <c r="X16" s="421"/>
      <c r="Y16" s="421"/>
      <c r="Z16" s="421"/>
      <c r="AA16" s="422"/>
    </row>
    <row r="17" spans="14:27" ht="28.8" customHeight="1" x14ac:dyDescent="0.55000000000000004">
      <c r="N17" s="17" t="s">
        <v>13</v>
      </c>
      <c r="O17" s="56" t="s">
        <v>13</v>
      </c>
      <c r="P17" s="56" t="s">
        <v>13</v>
      </c>
      <c r="Q17" s="56" t="s">
        <v>13</v>
      </c>
      <c r="R17" s="56" t="s">
        <v>13</v>
      </c>
      <c r="S17" s="58" t="s">
        <v>13</v>
      </c>
      <c r="T17" s="245" t="s">
        <v>13</v>
      </c>
      <c r="W17" s="42" t="s">
        <v>13</v>
      </c>
      <c r="X17" s="39" t="s">
        <v>13</v>
      </c>
      <c r="Y17" s="40" t="s">
        <v>13</v>
      </c>
      <c r="Z17" s="40" t="s">
        <v>13</v>
      </c>
      <c r="AA17" s="43" t="s">
        <v>13</v>
      </c>
    </row>
    <row r="18" spans="14:27" ht="28.8" customHeight="1" x14ac:dyDescent="0.55000000000000004">
      <c r="N18" s="17" t="s">
        <v>13</v>
      </c>
      <c r="O18" s="255" t="s">
        <v>3</v>
      </c>
      <c r="P18" s="57"/>
      <c r="Q18" s="56" t="s">
        <v>13</v>
      </c>
      <c r="R18" s="56" t="s">
        <v>13</v>
      </c>
      <c r="S18" s="240"/>
      <c r="T18" s="245" t="s">
        <v>13</v>
      </c>
      <c r="W18" s="42" t="s">
        <v>13</v>
      </c>
      <c r="X18" s="282" t="s">
        <v>282</v>
      </c>
      <c r="Y18" s="41"/>
      <c r="Z18" s="219"/>
      <c r="AA18" s="44" t="s">
        <v>13</v>
      </c>
    </row>
    <row r="19" spans="14:27" ht="28.8" customHeight="1" x14ac:dyDescent="0.55000000000000004">
      <c r="N19" s="17" t="s">
        <v>13</v>
      </c>
      <c r="O19" s="56" t="s">
        <v>13</v>
      </c>
      <c r="P19" s="56" t="s">
        <v>13</v>
      </c>
      <c r="Q19" s="56" t="s">
        <v>13</v>
      </c>
      <c r="R19" s="56" t="s">
        <v>13</v>
      </c>
      <c r="S19" s="58" t="s">
        <v>13</v>
      </c>
      <c r="T19" s="13" t="s">
        <v>13</v>
      </c>
      <c r="W19" s="42" t="s">
        <v>13</v>
      </c>
      <c r="X19" s="97"/>
      <c r="Y19" s="40"/>
      <c r="Z19" s="40"/>
      <c r="AA19" s="43" t="s">
        <v>13</v>
      </c>
    </row>
    <row r="20" spans="14:27" ht="28.8" customHeight="1" x14ac:dyDescent="0.55000000000000004">
      <c r="N20" s="17" t="s">
        <v>13</v>
      </c>
      <c r="O20" s="278" t="s">
        <v>4</v>
      </c>
      <c r="P20" s="57"/>
      <c r="Q20" s="56" t="s">
        <v>13</v>
      </c>
      <c r="R20" s="56" t="s">
        <v>13</v>
      </c>
      <c r="S20" s="240"/>
      <c r="T20" s="245" t="s">
        <v>13</v>
      </c>
      <c r="W20" s="42" t="s">
        <v>13</v>
      </c>
      <c r="X20" s="282" t="s">
        <v>283</v>
      </c>
      <c r="Y20" s="41"/>
      <c r="Z20" s="219"/>
      <c r="AA20" s="44" t="s">
        <v>13</v>
      </c>
    </row>
    <row r="21" spans="14:27" ht="28.8" customHeight="1" x14ac:dyDescent="0.55000000000000004">
      <c r="N21" s="17" t="s">
        <v>13</v>
      </c>
      <c r="O21" s="279"/>
      <c r="P21" s="56" t="s">
        <v>13</v>
      </c>
      <c r="Q21" s="56" t="s">
        <v>13</v>
      </c>
      <c r="R21" s="56" t="s">
        <v>13</v>
      </c>
      <c r="S21" s="254" t="s">
        <v>13</v>
      </c>
      <c r="T21" s="245" t="s">
        <v>13</v>
      </c>
      <c r="W21" s="42" t="s">
        <v>13</v>
      </c>
      <c r="X21" s="41"/>
      <c r="Y21" s="40"/>
      <c r="Z21" s="40"/>
      <c r="AA21" s="43" t="s">
        <v>13</v>
      </c>
    </row>
    <row r="22" spans="14:27" ht="28.8" customHeight="1" x14ac:dyDescent="0.55000000000000004">
      <c r="N22" s="17" t="s">
        <v>13</v>
      </c>
      <c r="O22" s="278" t="s">
        <v>5</v>
      </c>
      <c r="P22" s="56" t="s">
        <v>13</v>
      </c>
      <c r="Q22" s="56" t="s">
        <v>13</v>
      </c>
      <c r="R22" s="56" t="s">
        <v>13</v>
      </c>
      <c r="S22" s="280" t="s">
        <v>13</v>
      </c>
      <c r="T22" s="245" t="s">
        <v>13</v>
      </c>
      <c r="W22" s="42" t="s">
        <v>13</v>
      </c>
      <c r="X22" s="41"/>
      <c r="Y22" s="41"/>
      <c r="Z22" s="41"/>
      <c r="AA22" s="44" t="s">
        <v>13</v>
      </c>
    </row>
    <row r="23" spans="14:27" ht="28.8" customHeight="1" x14ac:dyDescent="0.55000000000000004">
      <c r="N23" s="17" t="s">
        <v>13</v>
      </c>
      <c r="O23" s="279"/>
      <c r="P23" s="56" t="s">
        <v>13</v>
      </c>
      <c r="Q23" s="56" t="s">
        <v>13</v>
      </c>
      <c r="R23" s="56" t="s">
        <v>13</v>
      </c>
      <c r="S23" s="254" t="s">
        <v>13</v>
      </c>
      <c r="T23" s="245" t="s">
        <v>13</v>
      </c>
      <c r="W23" s="42" t="s">
        <v>13</v>
      </c>
      <c r="X23" s="41"/>
      <c r="Y23" s="40"/>
      <c r="Z23" s="40"/>
      <c r="AA23" s="43" t="s">
        <v>13</v>
      </c>
    </row>
    <row r="24" spans="14:27" ht="28.8" customHeight="1" x14ac:dyDescent="0.55000000000000004">
      <c r="N24" s="17" t="s">
        <v>13</v>
      </c>
      <c r="O24" s="278" t="s">
        <v>6</v>
      </c>
      <c r="P24" s="56" t="s">
        <v>13</v>
      </c>
      <c r="Q24" s="56" t="s">
        <v>13</v>
      </c>
      <c r="R24" s="56" t="s">
        <v>13</v>
      </c>
      <c r="S24" s="280" t="s">
        <v>13</v>
      </c>
      <c r="T24" s="245" t="s">
        <v>13</v>
      </c>
      <c r="W24" s="42" t="s">
        <v>13</v>
      </c>
      <c r="X24" s="41"/>
      <c r="Y24" s="41"/>
      <c r="Z24" s="41"/>
      <c r="AA24" s="43" t="s">
        <v>13</v>
      </c>
    </row>
    <row r="25" spans="14:27" ht="28.8" customHeight="1" x14ac:dyDescent="0.55000000000000004">
      <c r="N25" s="17" t="s">
        <v>13</v>
      </c>
      <c r="O25" s="279"/>
      <c r="P25" s="56" t="s">
        <v>13</v>
      </c>
      <c r="Q25" s="56" t="s">
        <v>13</v>
      </c>
      <c r="R25" s="56" t="s">
        <v>13</v>
      </c>
      <c r="S25" s="254" t="s">
        <v>13</v>
      </c>
      <c r="T25" s="245" t="s">
        <v>13</v>
      </c>
      <c r="W25" s="42" t="s">
        <v>13</v>
      </c>
      <c r="X25" s="41"/>
      <c r="Y25" s="41"/>
      <c r="Z25" s="40"/>
      <c r="AA25" s="43" t="s">
        <v>13</v>
      </c>
    </row>
    <row r="26" spans="14:27" ht="28.8" customHeight="1" x14ac:dyDescent="0.55000000000000004">
      <c r="N26" s="75"/>
      <c r="O26" s="278" t="s">
        <v>7</v>
      </c>
      <c r="P26" s="86"/>
      <c r="Q26" s="86"/>
      <c r="R26" s="86"/>
      <c r="S26" s="281"/>
      <c r="T26" s="7"/>
      <c r="W26" s="42" t="s">
        <v>13</v>
      </c>
      <c r="X26" s="41"/>
      <c r="Y26" s="41"/>
      <c r="Z26" s="41"/>
      <c r="AA26" s="43" t="s">
        <v>13</v>
      </c>
    </row>
    <row r="27" spans="14:27" ht="28.8" customHeight="1" thickBot="1" x14ac:dyDescent="0.6">
      <c r="N27" s="75"/>
      <c r="O27" s="86"/>
      <c r="P27" s="86"/>
      <c r="Q27" s="86"/>
      <c r="R27" s="86"/>
      <c r="S27" s="86"/>
      <c r="T27" s="7"/>
      <c r="W27" s="45" t="s">
        <v>13</v>
      </c>
      <c r="X27" s="47" t="s">
        <v>13</v>
      </c>
      <c r="Y27" s="48" t="s">
        <v>13</v>
      </c>
      <c r="Z27" s="46" t="s">
        <v>13</v>
      </c>
      <c r="AA27" s="49" t="s">
        <v>13</v>
      </c>
    </row>
    <row r="28" spans="14:27" ht="28.8" customHeight="1" x14ac:dyDescent="0.3">
      <c r="N28" s="75"/>
      <c r="O28" s="86"/>
      <c r="P28" s="86"/>
      <c r="Q28" s="86"/>
      <c r="R28" s="86"/>
      <c r="S28" s="86"/>
      <c r="T28" s="7"/>
    </row>
    <row r="29" spans="14:27" ht="28.8" customHeight="1" x14ac:dyDescent="0.3">
      <c r="N29" s="75"/>
      <c r="O29" s="86"/>
      <c r="P29" s="86"/>
      <c r="Q29" s="86"/>
      <c r="R29" s="86"/>
      <c r="S29" s="86"/>
      <c r="T29" s="7"/>
    </row>
    <row r="30" spans="14:27" ht="28.8" customHeight="1" x14ac:dyDescent="0.3">
      <c r="N30" s="75"/>
      <c r="O30" s="86"/>
      <c r="P30" s="86"/>
      <c r="Q30" s="86"/>
      <c r="R30" s="86"/>
      <c r="S30" s="86"/>
      <c r="T30" s="7"/>
    </row>
    <row r="31" spans="14:27" ht="28.8" customHeight="1" thickBot="1" x14ac:dyDescent="0.35">
      <c r="N31" s="87"/>
      <c r="O31" s="88"/>
      <c r="P31" s="88"/>
      <c r="Q31" s="88"/>
      <c r="R31" s="88"/>
      <c r="S31" s="88"/>
      <c r="T31" s="89"/>
    </row>
    <row r="32" spans="14:27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2">
    <mergeCell ref="N14:T16"/>
    <mergeCell ref="W14:AA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D8A9E-38FA-4653-989A-67569D16AA89}">
  <sheetPr codeName="Planilha36">
    <tabColor rgb="FFC00000"/>
  </sheetPr>
  <dimension ref="A1:AY66"/>
  <sheetViews>
    <sheetView zoomScale="40" zoomScaleNormal="40" workbookViewId="0">
      <selection activeCell="V28" sqref="V28"/>
    </sheetView>
  </sheetViews>
  <sheetFormatPr defaultRowHeight="14.4" x14ac:dyDescent="0.3"/>
  <cols>
    <col min="1" max="4" width="8.88671875" style="178"/>
    <col min="5" max="5" width="4.5546875" style="178" bestFit="1" customWidth="1"/>
    <col min="6" max="6" width="21.88671875" style="178" bestFit="1" customWidth="1"/>
    <col min="7" max="7" width="26" style="178" bestFit="1" customWidth="1"/>
    <col min="8" max="8" width="19.44140625" style="178" bestFit="1" customWidth="1"/>
    <col min="9" max="9" width="12.109375" style="178" bestFit="1" customWidth="1"/>
    <col min="10" max="10" width="12.6640625" style="178" bestFit="1" customWidth="1"/>
    <col min="11" max="11" width="4.5546875" style="178" customWidth="1"/>
    <col min="12" max="12" width="25.44140625" style="178" customWidth="1"/>
    <col min="13" max="13" width="26.21875" style="178" customWidth="1"/>
    <col min="14" max="14" width="2.6640625" style="178" bestFit="1" customWidth="1"/>
    <col min="15" max="15" width="47.6640625" style="178" customWidth="1"/>
    <col min="16" max="16" width="2.6640625" style="178" bestFit="1" customWidth="1"/>
    <col min="17" max="17" width="20.44140625" style="178" bestFit="1" customWidth="1"/>
    <col min="18" max="18" width="2.6640625" style="178" bestFit="1" customWidth="1"/>
    <col min="19" max="19" width="31.33203125" style="178" customWidth="1"/>
    <col min="20" max="23" width="8.88671875" style="178"/>
    <col min="24" max="24" width="23.44140625" style="178" bestFit="1" customWidth="1"/>
    <col min="25" max="25" width="2.6640625" style="178" bestFit="1" customWidth="1"/>
    <col min="26" max="26" width="51.109375" style="178" customWidth="1"/>
    <col min="27" max="16384" width="8.88671875" style="178"/>
  </cols>
  <sheetData>
    <row r="1" spans="1:51" x14ac:dyDescent="0.3">
      <c r="A1" s="182"/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  <c r="AX1" s="182"/>
      <c r="AY1" s="182"/>
    </row>
    <row r="2" spans="1:51" x14ac:dyDescent="0.3">
      <c r="A2" s="182"/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</row>
    <row r="3" spans="1:51" ht="61.2" customHeight="1" x14ac:dyDescent="0.3">
      <c r="A3" s="182"/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</row>
    <row r="4" spans="1:51" ht="46.2" customHeight="1" x14ac:dyDescent="0.3">
      <c r="A4" s="268"/>
      <c r="B4" s="268"/>
      <c r="C4" s="268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8"/>
      <c r="Q4" s="268"/>
      <c r="R4" s="268"/>
      <c r="S4" s="268"/>
      <c r="T4" s="268"/>
      <c r="U4" s="268"/>
      <c r="V4" s="268"/>
      <c r="W4" s="268"/>
      <c r="X4" s="268"/>
      <c r="Y4" s="268"/>
      <c r="Z4" s="268"/>
      <c r="AA4" s="268"/>
      <c r="AB4" s="268"/>
      <c r="AC4" s="268"/>
      <c r="AD4" s="268"/>
      <c r="AE4" s="268"/>
      <c r="AF4" s="268"/>
      <c r="AG4" s="268"/>
      <c r="AH4" s="268"/>
      <c r="AI4" s="268"/>
      <c r="AJ4" s="268"/>
      <c r="AK4" s="268"/>
      <c r="AL4" s="268"/>
      <c r="AM4" s="268"/>
      <c r="AN4" s="268"/>
      <c r="AO4" s="268"/>
      <c r="AP4" s="268"/>
      <c r="AQ4" s="268"/>
      <c r="AR4" s="268"/>
      <c r="AS4" s="268"/>
      <c r="AT4" s="268"/>
      <c r="AU4" s="268"/>
      <c r="AV4" s="268"/>
      <c r="AW4" s="268"/>
      <c r="AX4" s="268"/>
      <c r="AY4" s="268"/>
    </row>
    <row r="5" spans="1:51" x14ac:dyDescent="0.3">
      <c r="A5" s="268"/>
      <c r="B5" s="268"/>
      <c r="C5" s="268"/>
      <c r="D5" s="268"/>
      <c r="E5" s="268"/>
      <c r="F5" s="268"/>
      <c r="G5" s="268"/>
      <c r="H5" s="268"/>
      <c r="I5" s="268"/>
      <c r="J5" s="268"/>
      <c r="K5" s="268"/>
      <c r="L5" s="268"/>
      <c r="M5" s="268"/>
      <c r="N5" s="268"/>
      <c r="O5" s="268"/>
      <c r="P5" s="268"/>
      <c r="Q5" s="268"/>
      <c r="R5" s="268"/>
      <c r="S5" s="268"/>
      <c r="T5" s="268"/>
      <c r="U5" s="268"/>
      <c r="V5" s="268"/>
      <c r="W5" s="268"/>
      <c r="X5" s="268"/>
      <c r="Y5" s="268"/>
      <c r="Z5" s="268"/>
      <c r="AA5" s="268"/>
      <c r="AB5" s="268"/>
      <c r="AC5" s="268"/>
      <c r="AD5" s="268"/>
      <c r="AE5" s="268"/>
      <c r="AF5" s="268"/>
      <c r="AG5" s="268"/>
      <c r="AH5" s="268"/>
      <c r="AI5" s="268"/>
      <c r="AJ5" s="268"/>
      <c r="AK5" s="268"/>
      <c r="AL5" s="268"/>
      <c r="AM5" s="268"/>
      <c r="AN5" s="268"/>
      <c r="AO5" s="268"/>
      <c r="AP5" s="268"/>
      <c r="AQ5" s="268"/>
      <c r="AR5" s="268"/>
      <c r="AS5" s="268"/>
      <c r="AT5" s="268"/>
      <c r="AU5" s="268"/>
      <c r="AV5" s="268"/>
      <c r="AW5" s="268"/>
      <c r="AX5" s="268"/>
      <c r="AY5" s="268"/>
    </row>
    <row r="6" spans="1:51" x14ac:dyDescent="0.3">
      <c r="A6" s="268"/>
      <c r="B6" s="268"/>
      <c r="C6" s="268"/>
      <c r="D6" s="268"/>
      <c r="E6" s="268"/>
      <c r="F6" s="268"/>
      <c r="G6" s="268"/>
      <c r="H6" s="268"/>
      <c r="I6" s="268"/>
      <c r="J6" s="268"/>
      <c r="K6" s="268"/>
      <c r="L6" s="268"/>
      <c r="M6" s="268"/>
      <c r="N6" s="268"/>
      <c r="O6" s="268"/>
      <c r="P6" s="268"/>
      <c r="Q6" s="268"/>
      <c r="R6" s="268"/>
      <c r="S6" s="268"/>
      <c r="T6" s="268"/>
      <c r="U6" s="268"/>
      <c r="V6" s="268"/>
      <c r="W6" s="268"/>
      <c r="X6" s="268"/>
      <c r="Y6" s="268"/>
      <c r="Z6" s="268"/>
      <c r="AA6" s="268"/>
      <c r="AB6" s="268"/>
      <c r="AC6" s="268"/>
      <c r="AD6" s="268"/>
      <c r="AE6" s="268"/>
      <c r="AF6" s="268"/>
      <c r="AG6" s="268"/>
      <c r="AH6" s="268"/>
      <c r="AI6" s="268"/>
      <c r="AJ6" s="268"/>
      <c r="AK6" s="268"/>
      <c r="AL6" s="268"/>
      <c r="AM6" s="268"/>
      <c r="AN6" s="268"/>
      <c r="AO6" s="268"/>
      <c r="AP6" s="268"/>
      <c r="AQ6" s="268"/>
      <c r="AR6" s="268"/>
      <c r="AS6" s="268"/>
      <c r="AT6" s="268"/>
      <c r="AU6" s="268"/>
      <c r="AV6" s="268"/>
      <c r="AW6" s="268"/>
      <c r="AX6" s="268"/>
      <c r="AY6" s="268"/>
    </row>
    <row r="7" spans="1:51" x14ac:dyDescent="0.3">
      <c r="A7" s="268"/>
      <c r="B7" s="268"/>
      <c r="C7" s="268"/>
      <c r="D7" s="268"/>
      <c r="E7" s="268"/>
      <c r="F7" s="268"/>
      <c r="G7" s="268"/>
      <c r="H7" s="268"/>
      <c r="I7" s="268"/>
      <c r="J7" s="268"/>
      <c r="K7" s="268"/>
      <c r="L7" s="268"/>
      <c r="M7" s="268"/>
      <c r="N7" s="268"/>
      <c r="O7" s="268"/>
      <c r="P7" s="268"/>
      <c r="Q7" s="268"/>
      <c r="R7" s="268"/>
      <c r="S7" s="268"/>
      <c r="T7" s="268"/>
      <c r="U7" s="268"/>
      <c r="V7" s="268"/>
      <c r="W7" s="268"/>
      <c r="X7" s="268"/>
      <c r="Y7" s="268"/>
      <c r="Z7" s="268"/>
      <c r="AA7" s="268"/>
      <c r="AB7" s="268"/>
      <c r="AC7" s="268"/>
      <c r="AD7" s="268"/>
      <c r="AE7" s="268"/>
      <c r="AF7" s="268"/>
      <c r="AG7" s="268"/>
      <c r="AH7" s="268"/>
      <c r="AI7" s="268"/>
      <c r="AJ7" s="268"/>
      <c r="AK7" s="268"/>
      <c r="AL7" s="268"/>
      <c r="AM7" s="268"/>
      <c r="AN7" s="268"/>
      <c r="AO7" s="268"/>
      <c r="AP7" s="268"/>
      <c r="AQ7" s="268"/>
      <c r="AR7" s="268"/>
      <c r="AS7" s="268"/>
      <c r="AT7" s="268"/>
      <c r="AU7" s="268"/>
      <c r="AV7" s="268"/>
      <c r="AW7" s="268"/>
      <c r="AX7" s="268"/>
      <c r="AY7" s="268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thickBot="1" x14ac:dyDescent="0.35"/>
    <row r="14" spans="1:51" ht="28.8" customHeight="1" x14ac:dyDescent="0.3">
      <c r="N14" s="395" t="s">
        <v>280</v>
      </c>
      <c r="O14" s="396"/>
      <c r="P14" s="396"/>
      <c r="Q14" s="396"/>
      <c r="R14" s="396"/>
      <c r="S14" s="396"/>
      <c r="T14" s="397"/>
    </row>
    <row r="15" spans="1:51" ht="28.8" customHeight="1" x14ac:dyDescent="0.3">
      <c r="N15" s="398"/>
      <c r="O15" s="399"/>
      <c r="P15" s="399"/>
      <c r="Q15" s="399"/>
      <c r="R15" s="399"/>
      <c r="S15" s="399"/>
      <c r="T15" s="400"/>
    </row>
    <row r="16" spans="1:51" ht="28.8" customHeight="1" x14ac:dyDescent="0.3">
      <c r="N16" s="398"/>
      <c r="O16" s="399"/>
      <c r="P16" s="399"/>
      <c r="Q16" s="399"/>
      <c r="R16" s="399"/>
      <c r="S16" s="399"/>
      <c r="T16" s="400"/>
    </row>
    <row r="17" spans="14:20" ht="28.8" customHeight="1" x14ac:dyDescent="0.55000000000000004">
      <c r="N17" s="17" t="s">
        <v>13</v>
      </c>
      <c r="O17" s="56" t="s">
        <v>13</v>
      </c>
      <c r="P17" s="56" t="s">
        <v>13</v>
      </c>
      <c r="Q17" s="56" t="s">
        <v>13</v>
      </c>
      <c r="R17" s="56" t="s">
        <v>13</v>
      </c>
      <c r="S17" s="58" t="s">
        <v>13</v>
      </c>
      <c r="T17" s="245" t="s">
        <v>13</v>
      </c>
    </row>
    <row r="18" spans="14:20" ht="28.8" customHeight="1" x14ac:dyDescent="0.55000000000000004">
      <c r="N18" s="17" t="s">
        <v>13</v>
      </c>
      <c r="O18" s="255" t="s">
        <v>3</v>
      </c>
      <c r="P18" s="57"/>
      <c r="Q18" s="56" t="s">
        <v>13</v>
      </c>
      <c r="R18" s="56" t="s">
        <v>13</v>
      </c>
      <c r="S18" s="240"/>
      <c r="T18" s="245" t="s">
        <v>13</v>
      </c>
    </row>
    <row r="19" spans="14:20" ht="28.8" customHeight="1" x14ac:dyDescent="0.55000000000000004">
      <c r="N19" s="17" t="s">
        <v>13</v>
      </c>
      <c r="O19" s="56" t="s">
        <v>13</v>
      </c>
      <c r="P19" s="56" t="s">
        <v>13</v>
      </c>
      <c r="Q19" s="56" t="s">
        <v>13</v>
      </c>
      <c r="R19" s="56" t="s">
        <v>13</v>
      </c>
      <c r="S19" s="58" t="s">
        <v>13</v>
      </c>
      <c r="T19" s="13" t="s">
        <v>13</v>
      </c>
    </row>
    <row r="20" spans="14:20" ht="28.8" customHeight="1" x14ac:dyDescent="0.55000000000000004">
      <c r="N20" s="17" t="s">
        <v>13</v>
      </c>
      <c r="O20" s="278" t="s">
        <v>4</v>
      </c>
      <c r="P20" s="57"/>
      <c r="Q20" s="56" t="s">
        <v>13</v>
      </c>
      <c r="R20" s="56" t="s">
        <v>13</v>
      </c>
      <c r="S20" s="240"/>
      <c r="T20" s="245" t="s">
        <v>13</v>
      </c>
    </row>
    <row r="21" spans="14:20" ht="28.8" customHeight="1" x14ac:dyDescent="0.55000000000000004">
      <c r="N21" s="17" t="s">
        <v>13</v>
      </c>
      <c r="O21" s="279"/>
      <c r="P21" s="56" t="s">
        <v>13</v>
      </c>
      <c r="Q21" s="56" t="s">
        <v>13</v>
      </c>
      <c r="R21" s="56" t="s">
        <v>13</v>
      </c>
      <c r="S21" s="254" t="s">
        <v>13</v>
      </c>
      <c r="T21" s="245" t="s">
        <v>13</v>
      </c>
    </row>
    <row r="22" spans="14:20" ht="28.8" customHeight="1" x14ac:dyDescent="0.55000000000000004">
      <c r="N22" s="17" t="s">
        <v>13</v>
      </c>
      <c r="O22" s="278" t="s">
        <v>5</v>
      </c>
      <c r="P22" s="56" t="s">
        <v>13</v>
      </c>
      <c r="Q22" s="56" t="s">
        <v>13</v>
      </c>
      <c r="R22" s="56" t="s">
        <v>13</v>
      </c>
      <c r="S22" s="280" t="s">
        <v>13</v>
      </c>
      <c r="T22" s="245" t="s">
        <v>13</v>
      </c>
    </row>
    <row r="23" spans="14:20" ht="28.8" customHeight="1" x14ac:dyDescent="0.55000000000000004">
      <c r="N23" s="17" t="s">
        <v>13</v>
      </c>
      <c r="O23" s="279"/>
      <c r="P23" s="56" t="s">
        <v>13</v>
      </c>
      <c r="Q23" s="56" t="s">
        <v>13</v>
      </c>
      <c r="R23" s="56" t="s">
        <v>13</v>
      </c>
      <c r="S23" s="254" t="s">
        <v>13</v>
      </c>
      <c r="T23" s="245" t="s">
        <v>13</v>
      </c>
    </row>
    <row r="24" spans="14:20" ht="28.8" customHeight="1" x14ac:dyDescent="0.55000000000000004">
      <c r="N24" s="17" t="s">
        <v>13</v>
      </c>
      <c r="O24" s="278" t="s">
        <v>6</v>
      </c>
      <c r="P24" s="56" t="s">
        <v>13</v>
      </c>
      <c r="Q24" s="56" t="s">
        <v>13</v>
      </c>
      <c r="R24" s="56" t="s">
        <v>13</v>
      </c>
      <c r="S24" s="280" t="s">
        <v>13</v>
      </c>
      <c r="T24" s="245" t="s">
        <v>13</v>
      </c>
    </row>
    <row r="25" spans="14:20" ht="28.8" customHeight="1" x14ac:dyDescent="0.55000000000000004">
      <c r="N25" s="17" t="s">
        <v>13</v>
      </c>
      <c r="O25" s="279"/>
      <c r="P25" s="56" t="s">
        <v>13</v>
      </c>
      <c r="Q25" s="56" t="s">
        <v>13</v>
      </c>
      <c r="R25" s="56" t="s">
        <v>13</v>
      </c>
      <c r="S25" s="254" t="s">
        <v>13</v>
      </c>
      <c r="T25" s="245" t="s">
        <v>13</v>
      </c>
    </row>
    <row r="26" spans="14:20" ht="28.8" customHeight="1" x14ac:dyDescent="0.3">
      <c r="N26" s="75"/>
      <c r="O26" s="278" t="s">
        <v>7</v>
      </c>
      <c r="P26" s="86"/>
      <c r="Q26" s="86"/>
      <c r="R26" s="86"/>
      <c r="S26" s="281"/>
      <c r="T26" s="7"/>
    </row>
    <row r="27" spans="14:20" ht="28.8" customHeight="1" x14ac:dyDescent="0.3">
      <c r="N27" s="75"/>
      <c r="O27" s="86"/>
      <c r="P27" s="86"/>
      <c r="Q27" s="86"/>
      <c r="R27" s="86"/>
      <c r="S27" s="86"/>
      <c r="T27" s="7"/>
    </row>
    <row r="28" spans="14:20" ht="28.8" customHeight="1" x14ac:dyDescent="0.3">
      <c r="N28" s="75"/>
      <c r="O28" s="86"/>
      <c r="P28" s="86"/>
      <c r="Q28" s="86"/>
      <c r="R28" s="86"/>
      <c r="S28" s="86"/>
      <c r="T28" s="7"/>
    </row>
    <row r="29" spans="14:20" ht="28.8" customHeight="1" x14ac:dyDescent="0.3">
      <c r="N29" s="75"/>
      <c r="O29" s="86"/>
      <c r="P29" s="86"/>
      <c r="Q29" s="86"/>
      <c r="R29" s="86"/>
      <c r="S29" s="86"/>
      <c r="T29" s="7"/>
    </row>
    <row r="30" spans="14:20" ht="28.8" customHeight="1" x14ac:dyDescent="0.3">
      <c r="N30" s="75"/>
      <c r="O30" s="86"/>
      <c r="P30" s="86"/>
      <c r="Q30" s="86"/>
      <c r="R30" s="86"/>
      <c r="S30" s="86"/>
      <c r="T30" s="7"/>
    </row>
    <row r="31" spans="14:20" ht="28.8" customHeight="1" thickBot="1" x14ac:dyDescent="0.35">
      <c r="N31" s="87"/>
      <c r="O31" s="88"/>
      <c r="P31" s="88"/>
      <c r="Q31" s="88"/>
      <c r="R31" s="88"/>
      <c r="S31" s="88"/>
      <c r="T31" s="89"/>
    </row>
    <row r="32" spans="14:20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1">
    <mergeCell ref="N14:T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4C65B-976F-4821-8648-7AD25197BDE0}">
  <sheetPr codeName="Planilha37">
    <tabColor rgb="FF00B050"/>
  </sheetPr>
  <dimension ref="A1:AW66"/>
  <sheetViews>
    <sheetView zoomScale="40" zoomScaleNormal="40" workbookViewId="0">
      <selection activeCell="X36" sqref="X36"/>
    </sheetView>
  </sheetViews>
  <sheetFormatPr defaultRowHeight="14.4" x14ac:dyDescent="0.3"/>
  <cols>
    <col min="1" max="4" width="8.88671875" style="178"/>
    <col min="5" max="5" width="4.5546875" style="178" bestFit="1" customWidth="1"/>
    <col min="6" max="6" width="21.88671875" style="178" bestFit="1" customWidth="1"/>
    <col min="7" max="7" width="26" style="178" bestFit="1" customWidth="1"/>
    <col min="8" max="8" width="19.44140625" style="178" bestFit="1" customWidth="1"/>
    <col min="9" max="9" width="12.109375" style="178" bestFit="1" customWidth="1"/>
    <col min="10" max="10" width="12.6640625" style="178" bestFit="1" customWidth="1"/>
    <col min="11" max="11" width="4.5546875" style="178" customWidth="1"/>
    <col min="12" max="12" width="25.44140625" style="178" customWidth="1"/>
    <col min="13" max="13" width="26.21875" style="178" customWidth="1"/>
    <col min="14" max="14" width="2.6640625" style="178" bestFit="1" customWidth="1"/>
    <col min="15" max="15" width="99.33203125" style="178" bestFit="1" customWidth="1"/>
    <col min="16" max="16" width="11.21875" style="178" customWidth="1"/>
    <col min="17" max="17" width="56.109375" style="178" customWidth="1"/>
    <col min="18" max="21" width="8.88671875" style="178"/>
    <col min="22" max="22" width="23.44140625" style="178" bestFit="1" customWidth="1"/>
    <col min="23" max="23" width="2.6640625" style="178" bestFit="1" customWidth="1"/>
    <col min="24" max="24" width="51.109375" style="178" customWidth="1"/>
    <col min="25" max="16384" width="8.88671875" style="178"/>
  </cols>
  <sheetData>
    <row r="1" spans="1:49" x14ac:dyDescent="0.3">
      <c r="A1" s="182"/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</row>
    <row r="2" spans="1:49" x14ac:dyDescent="0.3">
      <c r="A2" s="182"/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</row>
    <row r="3" spans="1:49" ht="61.2" customHeight="1" x14ac:dyDescent="0.3">
      <c r="A3" s="182"/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</row>
    <row r="4" spans="1:49" ht="46.2" customHeight="1" x14ac:dyDescent="0.3">
      <c r="A4" s="268"/>
      <c r="B4" s="268"/>
      <c r="C4" s="268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8"/>
      <c r="Q4" s="268"/>
      <c r="R4" s="268"/>
      <c r="S4" s="268"/>
      <c r="T4" s="268"/>
      <c r="U4" s="268"/>
      <c r="V4" s="268"/>
      <c r="W4" s="268"/>
      <c r="X4" s="268"/>
      <c r="Y4" s="268"/>
      <c r="Z4" s="268"/>
      <c r="AA4" s="268"/>
      <c r="AB4" s="268"/>
      <c r="AC4" s="268"/>
      <c r="AD4" s="268"/>
      <c r="AE4" s="268"/>
      <c r="AF4" s="268"/>
      <c r="AG4" s="268"/>
      <c r="AH4" s="268"/>
      <c r="AI4" s="268"/>
      <c r="AJ4" s="268"/>
      <c r="AK4" s="268"/>
      <c r="AL4" s="268"/>
      <c r="AM4" s="268"/>
      <c r="AN4" s="268"/>
      <c r="AO4" s="268"/>
      <c r="AP4" s="268"/>
      <c r="AQ4" s="268"/>
      <c r="AR4" s="268"/>
      <c r="AS4" s="268"/>
      <c r="AT4" s="268"/>
      <c r="AU4" s="268"/>
      <c r="AV4" s="268"/>
      <c r="AW4" s="268"/>
    </row>
    <row r="5" spans="1:49" x14ac:dyDescent="0.3">
      <c r="A5" s="268"/>
      <c r="B5" s="268"/>
      <c r="C5" s="268"/>
      <c r="D5" s="268"/>
      <c r="E5" s="268"/>
      <c r="F5" s="268"/>
      <c r="G5" s="268"/>
      <c r="H5" s="268"/>
      <c r="I5" s="268"/>
      <c r="J5" s="268"/>
      <c r="K5" s="268"/>
      <c r="L5" s="268"/>
      <c r="M5" s="268"/>
      <c r="N5" s="268"/>
      <c r="O5" s="268"/>
      <c r="P5" s="268"/>
      <c r="Q5" s="268"/>
      <c r="R5" s="268"/>
      <c r="S5" s="268"/>
      <c r="T5" s="268"/>
      <c r="U5" s="268"/>
      <c r="V5" s="268"/>
      <c r="W5" s="268"/>
      <c r="X5" s="268"/>
      <c r="Y5" s="268"/>
      <c r="Z5" s="268"/>
      <c r="AA5" s="268"/>
      <c r="AB5" s="268"/>
      <c r="AC5" s="268"/>
      <c r="AD5" s="268"/>
      <c r="AE5" s="268"/>
      <c r="AF5" s="268"/>
      <c r="AG5" s="268"/>
      <c r="AH5" s="268"/>
      <c r="AI5" s="268"/>
      <c r="AJ5" s="268"/>
      <c r="AK5" s="268"/>
      <c r="AL5" s="268"/>
      <c r="AM5" s="268"/>
      <c r="AN5" s="268"/>
      <c r="AO5" s="268"/>
      <c r="AP5" s="268"/>
      <c r="AQ5" s="268"/>
      <c r="AR5" s="268"/>
      <c r="AS5" s="268"/>
      <c r="AT5" s="268"/>
      <c r="AU5" s="268"/>
      <c r="AV5" s="268"/>
      <c r="AW5" s="268"/>
    </row>
    <row r="6" spans="1:49" x14ac:dyDescent="0.3">
      <c r="A6" s="268"/>
      <c r="B6" s="268"/>
      <c r="C6" s="268"/>
      <c r="D6" s="268"/>
      <c r="E6" s="268"/>
      <c r="F6" s="268"/>
      <c r="G6" s="268"/>
      <c r="H6" s="268"/>
      <c r="I6" s="268"/>
      <c r="J6" s="268"/>
      <c r="K6" s="268"/>
      <c r="L6" s="268"/>
      <c r="M6" s="268"/>
      <c r="N6" s="268"/>
      <c r="O6" s="268"/>
      <c r="P6" s="268"/>
      <c r="Q6" s="268"/>
      <c r="R6" s="268"/>
      <c r="S6" s="268"/>
      <c r="T6" s="268"/>
      <c r="U6" s="268"/>
      <c r="V6" s="268"/>
      <c r="W6" s="268"/>
      <c r="X6" s="268"/>
      <c r="Y6" s="268"/>
      <c r="Z6" s="268"/>
      <c r="AA6" s="268"/>
      <c r="AB6" s="268"/>
      <c r="AC6" s="268"/>
      <c r="AD6" s="268"/>
      <c r="AE6" s="268"/>
      <c r="AF6" s="268"/>
      <c r="AG6" s="268"/>
      <c r="AH6" s="268"/>
      <c r="AI6" s="268"/>
      <c r="AJ6" s="268"/>
      <c r="AK6" s="268"/>
      <c r="AL6" s="268"/>
      <c r="AM6" s="268"/>
      <c r="AN6" s="268"/>
      <c r="AO6" s="268"/>
      <c r="AP6" s="268"/>
      <c r="AQ6" s="268"/>
      <c r="AR6" s="268"/>
      <c r="AS6" s="268"/>
      <c r="AT6" s="268"/>
      <c r="AU6" s="268"/>
      <c r="AV6" s="268"/>
      <c r="AW6" s="268"/>
    </row>
    <row r="7" spans="1:49" x14ac:dyDescent="0.3">
      <c r="A7" s="268"/>
      <c r="B7" s="268"/>
      <c r="C7" s="268"/>
      <c r="D7" s="268"/>
      <c r="E7" s="268"/>
      <c r="F7" s="268"/>
      <c r="G7" s="268"/>
      <c r="H7" s="268"/>
      <c r="I7" s="268"/>
      <c r="J7" s="268"/>
      <c r="K7" s="268"/>
      <c r="L7" s="268"/>
      <c r="M7" s="268"/>
      <c r="N7" s="268"/>
      <c r="O7" s="268"/>
      <c r="P7" s="268"/>
      <c r="Q7" s="268"/>
      <c r="R7" s="268"/>
      <c r="S7" s="268"/>
      <c r="T7" s="268"/>
      <c r="U7" s="268"/>
      <c r="V7" s="268"/>
      <c r="W7" s="268"/>
      <c r="X7" s="268"/>
      <c r="Y7" s="268"/>
      <c r="Z7" s="268"/>
      <c r="AA7" s="268"/>
      <c r="AB7" s="268"/>
      <c r="AC7" s="268"/>
      <c r="AD7" s="268"/>
      <c r="AE7" s="268"/>
      <c r="AF7" s="268"/>
      <c r="AG7" s="268"/>
      <c r="AH7" s="268"/>
      <c r="AI7" s="268"/>
      <c r="AJ7" s="268"/>
      <c r="AK7" s="268"/>
      <c r="AL7" s="268"/>
      <c r="AM7" s="268"/>
      <c r="AN7" s="268"/>
      <c r="AO7" s="268"/>
      <c r="AP7" s="268"/>
      <c r="AQ7" s="268"/>
      <c r="AR7" s="268"/>
      <c r="AS7" s="268"/>
      <c r="AT7" s="268"/>
      <c r="AU7" s="268"/>
      <c r="AV7" s="268"/>
      <c r="AW7" s="268"/>
    </row>
    <row r="8" spans="1:49" ht="28.8" customHeight="1" x14ac:dyDescent="0.3"/>
    <row r="9" spans="1:49" ht="28.8" customHeight="1" x14ac:dyDescent="0.3"/>
    <row r="10" spans="1:49" ht="28.8" customHeight="1" x14ac:dyDescent="0.3"/>
    <row r="11" spans="1:49" ht="28.8" customHeight="1" x14ac:dyDescent="0.3"/>
    <row r="12" spans="1:49" ht="28.8" customHeight="1" x14ac:dyDescent="0.3"/>
    <row r="13" spans="1:49" ht="28.8" customHeight="1" thickBot="1" x14ac:dyDescent="0.35"/>
    <row r="14" spans="1:49" ht="28.8" customHeight="1" x14ac:dyDescent="0.3">
      <c r="N14" s="395" t="s">
        <v>280</v>
      </c>
      <c r="O14" s="396"/>
      <c r="P14" s="396"/>
      <c r="Q14" s="396"/>
      <c r="R14" s="397"/>
    </row>
    <row r="15" spans="1:49" ht="28.8" customHeight="1" x14ac:dyDescent="0.3">
      <c r="N15" s="398"/>
      <c r="O15" s="399"/>
      <c r="P15" s="399"/>
      <c r="Q15" s="399"/>
      <c r="R15" s="400"/>
    </row>
    <row r="16" spans="1:49" ht="28.8" customHeight="1" x14ac:dyDescent="0.3">
      <c r="N16" s="398"/>
      <c r="O16" s="399"/>
      <c r="P16" s="399"/>
      <c r="Q16" s="399"/>
      <c r="R16" s="400"/>
    </row>
    <row r="17" spans="14:18" ht="28.8" customHeight="1" x14ac:dyDescent="0.55000000000000004">
      <c r="N17" s="17" t="s">
        <v>13</v>
      </c>
      <c r="O17" s="56" t="s">
        <v>13</v>
      </c>
      <c r="P17" s="56" t="s">
        <v>13</v>
      </c>
      <c r="Q17" s="58" t="s">
        <v>13</v>
      </c>
      <c r="R17" s="245" t="s">
        <v>13</v>
      </c>
    </row>
    <row r="18" spans="14:18" ht="28.8" customHeight="1" x14ac:dyDescent="0.55000000000000004">
      <c r="N18" s="17" t="s">
        <v>13</v>
      </c>
      <c r="O18" s="255" t="s">
        <v>284</v>
      </c>
      <c r="P18" s="56" t="s">
        <v>13</v>
      </c>
      <c r="Q18" s="283"/>
      <c r="R18" s="245" t="s">
        <v>13</v>
      </c>
    </row>
    <row r="19" spans="14:18" ht="28.8" customHeight="1" x14ac:dyDescent="0.55000000000000004">
      <c r="N19" s="17" t="s">
        <v>13</v>
      </c>
      <c r="O19" s="56" t="s">
        <v>13</v>
      </c>
      <c r="P19" s="56" t="s">
        <v>13</v>
      </c>
      <c r="Q19" s="58" t="s">
        <v>13</v>
      </c>
      <c r="R19" s="13" t="s">
        <v>13</v>
      </c>
    </row>
    <row r="20" spans="14:18" ht="28.8" customHeight="1" x14ac:dyDescent="0.55000000000000004">
      <c r="N20" s="17" t="s">
        <v>13</v>
      </c>
      <c r="O20" s="278" t="s">
        <v>285</v>
      </c>
      <c r="P20" s="56" t="s">
        <v>13</v>
      </c>
      <c r="Q20" s="283"/>
      <c r="R20" s="245" t="s">
        <v>13</v>
      </c>
    </row>
    <row r="21" spans="14:18" ht="28.8" customHeight="1" x14ac:dyDescent="0.55000000000000004">
      <c r="N21" s="17" t="s">
        <v>13</v>
      </c>
      <c r="O21" s="279"/>
      <c r="P21" s="56" t="s">
        <v>13</v>
      </c>
      <c r="Q21" s="254" t="s">
        <v>13</v>
      </c>
      <c r="R21" s="245" t="s">
        <v>13</v>
      </c>
    </row>
    <row r="22" spans="14:18" ht="28.8" customHeight="1" x14ac:dyDescent="0.55000000000000004">
      <c r="N22" s="17" t="s">
        <v>13</v>
      </c>
      <c r="O22" s="86"/>
      <c r="P22" s="86"/>
      <c r="Q22" s="86"/>
      <c r="R22" s="245" t="s">
        <v>13</v>
      </c>
    </row>
    <row r="23" spans="14:18" ht="28.8" customHeight="1" x14ac:dyDescent="0.55000000000000004">
      <c r="N23" s="17" t="s">
        <v>13</v>
      </c>
      <c r="O23" s="86"/>
      <c r="P23" s="86"/>
      <c r="Q23" s="86"/>
      <c r="R23" s="245" t="s">
        <v>13</v>
      </c>
    </row>
    <row r="24" spans="14:18" ht="28.8" customHeight="1" x14ac:dyDescent="0.55000000000000004">
      <c r="N24" s="17" t="s">
        <v>13</v>
      </c>
      <c r="O24" s="86"/>
      <c r="P24" s="86"/>
      <c r="Q24" s="86"/>
      <c r="R24" s="245" t="s">
        <v>13</v>
      </c>
    </row>
    <row r="25" spans="14:18" ht="28.8" customHeight="1" x14ac:dyDescent="0.55000000000000004">
      <c r="N25" s="17" t="s">
        <v>13</v>
      </c>
      <c r="O25" s="86"/>
      <c r="P25" s="86"/>
      <c r="Q25" s="86"/>
      <c r="R25" s="245" t="s">
        <v>13</v>
      </c>
    </row>
    <row r="26" spans="14:18" ht="28.8" customHeight="1" thickBot="1" x14ac:dyDescent="0.35">
      <c r="N26" s="87"/>
      <c r="O26" s="88"/>
      <c r="P26" s="88"/>
      <c r="Q26" s="88"/>
      <c r="R26" s="89"/>
    </row>
    <row r="27" spans="14:18" ht="28.8" customHeight="1" x14ac:dyDescent="0.3"/>
    <row r="28" spans="14:18" ht="28.8" customHeight="1" x14ac:dyDescent="0.3"/>
    <row r="29" spans="14:18" ht="28.8" customHeight="1" x14ac:dyDescent="0.3"/>
    <row r="30" spans="14:18" ht="28.8" customHeight="1" x14ac:dyDescent="0.3"/>
    <row r="31" spans="14:18" ht="28.8" customHeight="1" x14ac:dyDescent="0.3"/>
    <row r="32" spans="14:18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1">
    <mergeCell ref="N14:R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3C90F-34AD-404D-B4DA-B6EDB56960A3}">
  <sheetPr codeName="Planilha38">
    <tabColor rgb="FF00B050"/>
  </sheetPr>
  <dimension ref="A1:AW66"/>
  <sheetViews>
    <sheetView zoomScale="25" zoomScaleNormal="25" workbookViewId="0">
      <selection activeCell="M13" sqref="M13:Q46"/>
    </sheetView>
  </sheetViews>
  <sheetFormatPr defaultRowHeight="14.4" x14ac:dyDescent="0.3"/>
  <cols>
    <col min="1" max="4" width="8.88671875" style="178"/>
    <col min="5" max="5" width="4.5546875" style="178" bestFit="1" customWidth="1"/>
    <col min="6" max="6" width="21.88671875" style="178" bestFit="1" customWidth="1"/>
    <col min="7" max="7" width="26" style="178" bestFit="1" customWidth="1"/>
    <col min="8" max="8" width="19.44140625" style="178" bestFit="1" customWidth="1"/>
    <col min="9" max="9" width="12.109375" style="178" bestFit="1" customWidth="1"/>
    <col min="10" max="10" width="12.6640625" style="178" bestFit="1" customWidth="1"/>
    <col min="11" max="11" width="4.5546875" style="178" customWidth="1"/>
    <col min="12" max="12" width="25.44140625" style="178" customWidth="1"/>
    <col min="13" max="13" width="9" style="178" customWidth="1"/>
    <col min="14" max="14" width="30.6640625" style="178" bestFit="1" customWidth="1"/>
    <col min="15" max="15" width="29.33203125" style="178" customWidth="1"/>
    <col min="16" max="16" width="73.44140625" style="178" customWidth="1"/>
    <col min="17" max="17" width="15.5546875" style="178" customWidth="1"/>
    <col min="18" max="21" width="8.88671875" style="178"/>
    <col min="22" max="22" width="23.44140625" style="178" bestFit="1" customWidth="1"/>
    <col min="23" max="23" width="2.6640625" style="178" bestFit="1" customWidth="1"/>
    <col min="24" max="24" width="51.109375" style="178" customWidth="1"/>
    <col min="25" max="16384" width="8.88671875" style="178"/>
  </cols>
  <sheetData>
    <row r="1" spans="1:49" x14ac:dyDescent="0.3">
      <c r="A1" s="182"/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</row>
    <row r="2" spans="1:49" x14ac:dyDescent="0.3">
      <c r="A2" s="182"/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</row>
    <row r="3" spans="1:49" ht="61.2" customHeight="1" x14ac:dyDescent="0.3">
      <c r="A3" s="182"/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</row>
    <row r="4" spans="1:49" ht="46.2" customHeight="1" x14ac:dyDescent="0.3">
      <c r="A4" s="268"/>
      <c r="B4" s="268"/>
      <c r="C4" s="268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8"/>
      <c r="Q4" s="268"/>
      <c r="R4" s="268"/>
      <c r="S4" s="268"/>
      <c r="T4" s="268"/>
      <c r="U4" s="268"/>
      <c r="V4" s="268"/>
      <c r="W4" s="268"/>
      <c r="X4" s="268"/>
      <c r="Y4" s="268"/>
      <c r="Z4" s="268"/>
      <c r="AA4" s="268"/>
      <c r="AB4" s="268"/>
      <c r="AC4" s="268"/>
      <c r="AD4" s="268"/>
      <c r="AE4" s="268"/>
      <c r="AF4" s="268"/>
      <c r="AG4" s="268"/>
      <c r="AH4" s="268"/>
      <c r="AI4" s="268"/>
      <c r="AJ4" s="268"/>
      <c r="AK4" s="268"/>
      <c r="AL4" s="268"/>
      <c r="AM4" s="268"/>
      <c r="AN4" s="268"/>
      <c r="AO4" s="268"/>
      <c r="AP4" s="268"/>
      <c r="AQ4" s="268"/>
      <c r="AR4" s="268"/>
      <c r="AS4" s="268"/>
      <c r="AT4" s="268"/>
      <c r="AU4" s="268"/>
      <c r="AV4" s="268"/>
      <c r="AW4" s="268"/>
    </row>
    <row r="5" spans="1:49" x14ac:dyDescent="0.3">
      <c r="A5" s="268"/>
      <c r="B5" s="268"/>
      <c r="C5" s="268"/>
      <c r="D5" s="268"/>
      <c r="E5" s="268"/>
      <c r="F5" s="268"/>
      <c r="G5" s="268"/>
      <c r="H5" s="268"/>
      <c r="I5" s="268"/>
      <c r="J5" s="268"/>
      <c r="K5" s="268"/>
      <c r="L5" s="268"/>
      <c r="M5" s="268"/>
      <c r="N5" s="268"/>
      <c r="O5" s="268"/>
      <c r="P5" s="268"/>
      <c r="Q5" s="268"/>
      <c r="R5" s="268"/>
      <c r="S5" s="268"/>
      <c r="T5" s="268"/>
      <c r="U5" s="268"/>
      <c r="V5" s="268"/>
      <c r="W5" s="268"/>
      <c r="X5" s="268"/>
      <c r="Y5" s="268"/>
      <c r="Z5" s="268"/>
      <c r="AA5" s="268"/>
      <c r="AB5" s="268"/>
      <c r="AC5" s="268"/>
      <c r="AD5" s="268"/>
      <c r="AE5" s="268"/>
      <c r="AF5" s="268"/>
      <c r="AG5" s="268"/>
      <c r="AH5" s="268"/>
      <c r="AI5" s="268"/>
      <c r="AJ5" s="268"/>
      <c r="AK5" s="268"/>
      <c r="AL5" s="268"/>
      <c r="AM5" s="268"/>
      <c r="AN5" s="268"/>
      <c r="AO5" s="268"/>
      <c r="AP5" s="268"/>
      <c r="AQ5" s="268"/>
      <c r="AR5" s="268"/>
      <c r="AS5" s="268"/>
      <c r="AT5" s="268"/>
      <c r="AU5" s="268"/>
      <c r="AV5" s="268"/>
      <c r="AW5" s="268"/>
    </row>
    <row r="6" spans="1:49" x14ac:dyDescent="0.3">
      <c r="A6" s="268"/>
      <c r="B6" s="268"/>
      <c r="C6" s="268"/>
      <c r="D6" s="268"/>
      <c r="E6" s="268"/>
      <c r="F6" s="268"/>
      <c r="G6" s="268"/>
      <c r="H6" s="268"/>
      <c r="I6" s="268"/>
      <c r="J6" s="268"/>
      <c r="K6" s="268"/>
      <c r="L6" s="268"/>
      <c r="M6" s="268"/>
      <c r="N6" s="268"/>
      <c r="O6" s="268"/>
      <c r="P6" s="268"/>
      <c r="Q6" s="268"/>
      <c r="R6" s="268"/>
      <c r="S6" s="268"/>
      <c r="T6" s="268"/>
      <c r="U6" s="268"/>
      <c r="V6" s="268"/>
      <c r="W6" s="268"/>
      <c r="X6" s="268"/>
      <c r="Y6" s="268"/>
      <c r="Z6" s="268"/>
      <c r="AA6" s="268"/>
      <c r="AB6" s="268"/>
      <c r="AC6" s="268"/>
      <c r="AD6" s="268"/>
      <c r="AE6" s="268"/>
      <c r="AF6" s="268"/>
      <c r="AG6" s="268"/>
      <c r="AH6" s="268"/>
      <c r="AI6" s="268"/>
      <c r="AJ6" s="268"/>
      <c r="AK6" s="268"/>
      <c r="AL6" s="268"/>
      <c r="AM6" s="268"/>
      <c r="AN6" s="268"/>
      <c r="AO6" s="268"/>
      <c r="AP6" s="268"/>
      <c r="AQ6" s="268"/>
      <c r="AR6" s="268"/>
      <c r="AS6" s="268"/>
      <c r="AT6" s="268"/>
      <c r="AU6" s="268"/>
      <c r="AV6" s="268"/>
      <c r="AW6" s="268"/>
    </row>
    <row r="7" spans="1:49" x14ac:dyDescent="0.3">
      <c r="A7" s="268"/>
      <c r="B7" s="268"/>
      <c r="C7" s="268"/>
      <c r="D7" s="268"/>
      <c r="E7" s="268"/>
      <c r="F7" s="268"/>
      <c r="G7" s="268"/>
      <c r="H7" s="268"/>
      <c r="I7" s="268"/>
      <c r="J7" s="268"/>
      <c r="K7" s="268"/>
      <c r="L7" s="268"/>
      <c r="M7" s="268"/>
      <c r="N7" s="268"/>
      <c r="O7" s="268"/>
      <c r="P7" s="268"/>
      <c r="Q7" s="268"/>
      <c r="R7" s="268"/>
      <c r="S7" s="268"/>
      <c r="T7" s="268"/>
      <c r="U7" s="268"/>
      <c r="V7" s="268"/>
      <c r="W7" s="268"/>
      <c r="X7" s="268"/>
      <c r="Y7" s="268"/>
      <c r="Z7" s="268"/>
      <c r="AA7" s="268"/>
      <c r="AB7" s="268"/>
      <c r="AC7" s="268"/>
      <c r="AD7" s="268"/>
      <c r="AE7" s="268"/>
      <c r="AF7" s="268"/>
      <c r="AG7" s="268"/>
      <c r="AH7" s="268"/>
      <c r="AI7" s="268"/>
      <c r="AJ7" s="268"/>
      <c r="AK7" s="268"/>
      <c r="AL7" s="268"/>
      <c r="AM7" s="268"/>
      <c r="AN7" s="268"/>
      <c r="AO7" s="268"/>
      <c r="AP7" s="268"/>
      <c r="AQ7" s="268"/>
      <c r="AR7" s="268"/>
      <c r="AS7" s="268"/>
      <c r="AT7" s="268"/>
      <c r="AU7" s="268"/>
      <c r="AV7" s="268"/>
      <c r="AW7" s="268"/>
    </row>
    <row r="8" spans="1:49" ht="28.8" customHeight="1" x14ac:dyDescent="0.3"/>
    <row r="9" spans="1:49" ht="28.8" customHeight="1" x14ac:dyDescent="0.3"/>
    <row r="10" spans="1:49" ht="28.8" customHeight="1" x14ac:dyDescent="0.3"/>
    <row r="11" spans="1:49" ht="28.8" customHeight="1" x14ac:dyDescent="0.3"/>
    <row r="12" spans="1:49" ht="28.8" customHeight="1" thickBot="1" x14ac:dyDescent="0.35"/>
    <row r="13" spans="1:49" ht="28.8" customHeight="1" x14ac:dyDescent="0.3">
      <c r="M13" s="423" t="s">
        <v>286</v>
      </c>
      <c r="N13" s="424"/>
      <c r="O13" s="424"/>
      <c r="P13" s="424"/>
      <c r="Q13" s="425"/>
    </row>
    <row r="14" spans="1:49" ht="28.8" customHeight="1" thickBot="1" x14ac:dyDescent="0.35">
      <c r="M14" s="426"/>
      <c r="N14" s="427"/>
      <c r="O14" s="427"/>
      <c r="P14" s="427"/>
      <c r="Q14" s="428"/>
    </row>
    <row r="15" spans="1:49" ht="28.8" customHeight="1" thickBot="1" x14ac:dyDescent="0.35">
      <c r="M15" s="8"/>
      <c r="N15" s="62"/>
      <c r="O15" s="62"/>
      <c r="P15" s="62"/>
      <c r="Q15" s="63"/>
    </row>
    <row r="16" spans="1:49" ht="28.8" customHeight="1" thickBot="1" x14ac:dyDescent="0.35">
      <c r="M16" s="8"/>
      <c r="N16" s="284" t="s">
        <v>287</v>
      </c>
      <c r="O16" s="62"/>
      <c r="P16" s="60"/>
      <c r="Q16" s="63"/>
    </row>
    <row r="17" spans="13:17" ht="28.8" customHeight="1" thickBot="1" x14ac:dyDescent="0.35">
      <c r="M17" s="8"/>
      <c r="N17" s="284"/>
      <c r="O17" s="62"/>
      <c r="P17" s="62"/>
      <c r="Q17" s="63"/>
    </row>
    <row r="18" spans="13:17" ht="28.8" customHeight="1" thickBot="1" x14ac:dyDescent="0.35">
      <c r="M18" s="8"/>
      <c r="N18" s="284" t="s">
        <v>288</v>
      </c>
      <c r="O18" s="62"/>
      <c r="P18" s="60"/>
      <c r="Q18" s="63"/>
    </row>
    <row r="19" spans="13:17" ht="28.8" customHeight="1" thickBot="1" x14ac:dyDescent="0.35">
      <c r="M19" s="8"/>
      <c r="N19" s="284"/>
      <c r="O19" s="62"/>
      <c r="P19" s="62"/>
      <c r="Q19" s="63"/>
    </row>
    <row r="20" spans="13:17" ht="28.8" customHeight="1" thickBot="1" x14ac:dyDescent="0.35">
      <c r="M20" s="8"/>
      <c r="N20" s="284" t="s">
        <v>289</v>
      </c>
      <c r="O20" s="62"/>
      <c r="P20" s="60"/>
      <c r="Q20" s="63"/>
    </row>
    <row r="21" spans="13:17" ht="28.8" customHeight="1" thickBot="1" x14ac:dyDescent="0.35">
      <c r="M21" s="8"/>
      <c r="N21" s="284"/>
      <c r="O21" s="62"/>
      <c r="P21" s="62"/>
      <c r="Q21" s="63"/>
    </row>
    <row r="22" spans="13:17" ht="28.8" customHeight="1" thickBot="1" x14ac:dyDescent="0.35">
      <c r="M22" s="8"/>
      <c r="N22" s="284" t="s">
        <v>290</v>
      </c>
      <c r="O22" s="62"/>
      <c r="P22" s="60"/>
      <c r="Q22" s="63"/>
    </row>
    <row r="23" spans="13:17" ht="28.8" customHeight="1" thickBot="1" x14ac:dyDescent="0.35">
      <c r="M23" s="8"/>
      <c r="N23" s="284"/>
      <c r="O23" s="62"/>
      <c r="P23" s="62"/>
      <c r="Q23" s="63"/>
    </row>
    <row r="24" spans="13:17" ht="28.8" customHeight="1" thickBot="1" x14ac:dyDescent="0.35">
      <c r="M24" s="8"/>
      <c r="N24" s="284" t="s">
        <v>291</v>
      </c>
      <c r="O24" s="62"/>
      <c r="P24" s="60"/>
      <c r="Q24" s="63"/>
    </row>
    <row r="25" spans="13:17" ht="28.8" customHeight="1" thickBot="1" x14ac:dyDescent="0.35">
      <c r="M25" s="8"/>
      <c r="N25" s="284"/>
      <c r="O25" s="62"/>
      <c r="P25" s="62"/>
      <c r="Q25" s="63"/>
    </row>
    <row r="26" spans="13:17" ht="28.8" customHeight="1" thickBot="1" x14ac:dyDescent="0.35">
      <c r="M26" s="8"/>
      <c r="N26" s="284" t="s">
        <v>292</v>
      </c>
      <c r="O26" s="62"/>
      <c r="P26" s="60"/>
      <c r="Q26" s="63"/>
    </row>
    <row r="27" spans="13:17" ht="28.8" customHeight="1" thickBot="1" x14ac:dyDescent="0.35">
      <c r="M27" s="8"/>
      <c r="N27" s="284"/>
      <c r="O27" s="62"/>
      <c r="P27" s="62"/>
      <c r="Q27" s="63"/>
    </row>
    <row r="28" spans="13:17" ht="28.8" customHeight="1" thickBot="1" x14ac:dyDescent="0.35">
      <c r="M28" s="8"/>
      <c r="N28" s="284" t="s">
        <v>293</v>
      </c>
      <c r="O28" s="62"/>
      <c r="P28" s="60"/>
      <c r="Q28" s="63"/>
    </row>
    <row r="29" spans="13:17" ht="28.8" customHeight="1" thickBot="1" x14ac:dyDescent="0.35">
      <c r="M29" s="8"/>
      <c r="N29" s="284"/>
      <c r="O29" s="62"/>
      <c r="P29" s="62"/>
      <c r="Q29" s="63"/>
    </row>
    <row r="30" spans="13:17" ht="28.8" customHeight="1" thickBot="1" x14ac:dyDescent="0.35">
      <c r="M30" s="8"/>
      <c r="N30" s="284" t="s">
        <v>294</v>
      </c>
      <c r="O30" s="62"/>
      <c r="P30" s="60"/>
      <c r="Q30" s="63"/>
    </row>
    <row r="31" spans="13:17" ht="28.8" customHeight="1" thickBot="1" x14ac:dyDescent="0.35">
      <c r="M31" s="8"/>
      <c r="N31" s="284"/>
      <c r="O31" s="62"/>
      <c r="P31" s="62"/>
      <c r="Q31" s="63"/>
    </row>
    <row r="32" spans="13:17" ht="28.8" customHeight="1" thickBot="1" x14ac:dyDescent="0.35">
      <c r="M32" s="8"/>
      <c r="N32" s="284" t="s">
        <v>295</v>
      </c>
      <c r="O32" s="62"/>
      <c r="P32" s="60"/>
      <c r="Q32" s="63"/>
    </row>
    <row r="33" spans="13:17" ht="28.8" customHeight="1" thickBot="1" x14ac:dyDescent="0.35">
      <c r="M33" s="8"/>
      <c r="N33" s="285"/>
      <c r="O33" s="62"/>
      <c r="P33" s="62"/>
      <c r="Q33" s="63"/>
    </row>
    <row r="34" spans="13:17" ht="28.8" customHeight="1" thickBot="1" x14ac:dyDescent="0.35">
      <c r="M34" s="8"/>
      <c r="N34" s="284" t="s">
        <v>296</v>
      </c>
      <c r="O34" s="62"/>
      <c r="P34" s="60"/>
      <c r="Q34" s="63"/>
    </row>
    <row r="35" spans="13:17" ht="28.8" customHeight="1" thickBot="1" x14ac:dyDescent="0.35">
      <c r="M35" s="8"/>
      <c r="N35" s="285"/>
      <c r="O35" s="62"/>
      <c r="P35" s="62"/>
      <c r="Q35" s="63"/>
    </row>
    <row r="36" spans="13:17" ht="28.8" customHeight="1" thickBot="1" x14ac:dyDescent="0.35">
      <c r="M36" s="8"/>
      <c r="N36" s="284" t="s">
        <v>297</v>
      </c>
      <c r="O36" s="62"/>
      <c r="P36" s="61"/>
      <c r="Q36" s="63"/>
    </row>
    <row r="37" spans="13:17" ht="28.8" customHeight="1" thickBot="1" x14ac:dyDescent="0.35">
      <c r="M37" s="8"/>
      <c r="N37" s="285"/>
      <c r="O37" s="62"/>
      <c r="P37" s="62"/>
      <c r="Q37" s="63"/>
    </row>
    <row r="38" spans="13:17" ht="28.8" customHeight="1" thickBot="1" x14ac:dyDescent="0.45">
      <c r="M38" s="8"/>
      <c r="N38" s="284" t="s">
        <v>298</v>
      </c>
      <c r="O38" s="62"/>
      <c r="P38" s="286" t="s">
        <v>300</v>
      </c>
      <c r="Q38" s="63"/>
    </row>
    <row r="39" spans="13:17" ht="28.8" customHeight="1" thickBot="1" x14ac:dyDescent="0.35">
      <c r="M39" s="8"/>
      <c r="N39" s="285"/>
      <c r="O39" s="62"/>
      <c r="P39" s="62"/>
      <c r="Q39" s="63"/>
    </row>
    <row r="40" spans="13:17" ht="28.8" customHeight="1" thickBot="1" x14ac:dyDescent="0.35">
      <c r="M40" s="8"/>
      <c r="N40" s="284" t="s">
        <v>299</v>
      </c>
      <c r="O40" s="62"/>
      <c r="P40" s="60"/>
      <c r="Q40" s="63"/>
    </row>
    <row r="41" spans="13:17" ht="28.8" customHeight="1" x14ac:dyDescent="0.3">
      <c r="M41" s="8"/>
      <c r="N41" s="62"/>
      <c r="O41" s="62"/>
      <c r="P41" s="62"/>
      <c r="Q41" s="63"/>
    </row>
    <row r="42" spans="13:17" ht="28.8" customHeight="1" x14ac:dyDescent="0.3">
      <c r="M42" s="8"/>
      <c r="N42" s="62"/>
      <c r="O42" s="62"/>
      <c r="P42" s="62"/>
      <c r="Q42" s="63"/>
    </row>
    <row r="43" spans="13:17" ht="28.8" customHeight="1" x14ac:dyDescent="0.3">
      <c r="M43" s="8"/>
      <c r="N43" s="62"/>
      <c r="O43" s="62"/>
      <c r="P43" s="62"/>
      <c r="Q43" s="63"/>
    </row>
    <row r="44" spans="13:17" ht="28.8" customHeight="1" x14ac:dyDescent="0.3">
      <c r="M44" s="8"/>
      <c r="N44" s="62"/>
      <c r="O44" s="62"/>
      <c r="P44" s="62"/>
      <c r="Q44" s="63"/>
    </row>
    <row r="45" spans="13:17" ht="28.8" customHeight="1" x14ac:dyDescent="0.3">
      <c r="M45" s="8"/>
      <c r="N45" s="62"/>
      <c r="O45" s="62"/>
      <c r="P45" s="62"/>
      <c r="Q45" s="63"/>
    </row>
    <row r="46" spans="13:17" ht="28.8" customHeight="1" thickBot="1" x14ac:dyDescent="0.35">
      <c r="M46" s="64"/>
      <c r="N46" s="65"/>
      <c r="O46" s="65"/>
      <c r="P46" s="65"/>
      <c r="Q46" s="66"/>
    </row>
    <row r="47" spans="13:17" ht="28.8" customHeight="1" x14ac:dyDescent="0.3"/>
    <row r="48" spans="13:17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1">
    <mergeCell ref="M13:Q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BF768-0A6B-464C-ADF2-C292B4AC449F}">
  <sheetPr codeName="Planilha39">
    <tabColor rgb="FF00B050"/>
  </sheetPr>
  <dimension ref="A1:AW66"/>
  <sheetViews>
    <sheetView topLeftCell="G1" zoomScale="40" zoomScaleNormal="40" workbookViewId="0">
      <selection activeCell="A48" sqref="A48"/>
    </sheetView>
  </sheetViews>
  <sheetFormatPr defaultRowHeight="14.4" x14ac:dyDescent="0.3"/>
  <cols>
    <col min="1" max="4" width="8.88671875" style="178"/>
    <col min="5" max="5" width="72.33203125" style="178" bestFit="1" customWidth="1"/>
    <col min="6" max="6" width="11.21875" style="178" customWidth="1"/>
    <col min="7" max="7" width="26" style="178" bestFit="1" customWidth="1"/>
    <col min="8" max="8" width="19.44140625" style="178" bestFit="1" customWidth="1"/>
    <col min="9" max="9" width="104.33203125" style="178" bestFit="1" customWidth="1"/>
    <col min="10" max="10" width="12.6640625" style="178" customWidth="1"/>
    <col min="11" max="11" width="4.5546875" style="178" customWidth="1"/>
    <col min="12" max="12" width="25.44140625" style="178" bestFit="1" customWidth="1"/>
    <col min="13" max="13" width="29" style="178" bestFit="1" customWidth="1"/>
    <col min="14" max="14" width="47.88671875" style="178" bestFit="1" customWidth="1"/>
    <col min="15" max="15" width="29.33203125" style="178" customWidth="1"/>
    <col min="16" max="16" width="73.44140625" style="178" customWidth="1"/>
    <col min="17" max="17" width="15.5546875" style="178" customWidth="1"/>
    <col min="18" max="21" width="8.88671875" style="178"/>
    <col min="22" max="22" width="23.44140625" style="178" bestFit="1" customWidth="1"/>
    <col min="23" max="23" width="2.6640625" style="178" bestFit="1" customWidth="1"/>
    <col min="24" max="24" width="51.109375" style="178" customWidth="1"/>
    <col min="25" max="16384" width="8.88671875" style="178"/>
  </cols>
  <sheetData>
    <row r="1" spans="1:49" x14ac:dyDescent="0.3">
      <c r="A1" s="182"/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</row>
    <row r="2" spans="1:49" x14ac:dyDescent="0.3">
      <c r="A2" s="182"/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</row>
    <row r="3" spans="1:49" ht="61.2" customHeight="1" x14ac:dyDescent="0.3">
      <c r="A3" s="182"/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</row>
    <row r="4" spans="1:49" ht="46.2" customHeight="1" x14ac:dyDescent="0.3">
      <c r="A4" s="268"/>
      <c r="B4" s="268"/>
      <c r="C4" s="268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8"/>
      <c r="Q4" s="268"/>
      <c r="R4" s="268"/>
      <c r="S4" s="268"/>
      <c r="T4" s="268"/>
      <c r="U4" s="268"/>
      <c r="V4" s="268"/>
      <c r="W4" s="268"/>
      <c r="X4" s="268"/>
      <c r="Y4" s="268"/>
      <c r="Z4" s="268"/>
      <c r="AA4" s="268"/>
      <c r="AB4" s="268"/>
      <c r="AC4" s="268"/>
      <c r="AD4" s="268"/>
      <c r="AE4" s="268"/>
      <c r="AF4" s="268"/>
      <c r="AG4" s="268"/>
      <c r="AH4" s="268"/>
      <c r="AI4" s="268"/>
      <c r="AJ4" s="268"/>
      <c r="AK4" s="268"/>
      <c r="AL4" s="268"/>
      <c r="AM4" s="268"/>
      <c r="AN4" s="268"/>
      <c r="AO4" s="268"/>
      <c r="AP4" s="268"/>
      <c r="AQ4" s="268"/>
      <c r="AR4" s="268"/>
      <c r="AS4" s="268"/>
      <c r="AT4" s="268"/>
      <c r="AU4" s="268"/>
      <c r="AV4" s="268"/>
      <c r="AW4" s="268"/>
    </row>
    <row r="5" spans="1:49" x14ac:dyDescent="0.3">
      <c r="A5" s="268"/>
      <c r="B5" s="268"/>
      <c r="C5" s="268"/>
      <c r="D5" s="268"/>
      <c r="E5" s="268"/>
      <c r="F5" s="268"/>
      <c r="G5" s="268"/>
      <c r="H5" s="268"/>
      <c r="I5" s="268"/>
      <c r="J5" s="268"/>
      <c r="K5" s="268"/>
      <c r="L5" s="268"/>
      <c r="M5" s="268"/>
      <c r="N5" s="268"/>
      <c r="O5" s="268"/>
      <c r="P5" s="268"/>
      <c r="Q5" s="268"/>
      <c r="R5" s="268"/>
      <c r="S5" s="268"/>
      <c r="T5" s="268"/>
      <c r="U5" s="268"/>
      <c r="V5" s="268"/>
      <c r="W5" s="268"/>
      <c r="X5" s="268"/>
      <c r="Y5" s="268"/>
      <c r="Z5" s="268"/>
      <c r="AA5" s="268"/>
      <c r="AB5" s="268"/>
      <c r="AC5" s="268"/>
      <c r="AD5" s="268"/>
      <c r="AE5" s="268"/>
      <c r="AF5" s="268"/>
      <c r="AG5" s="268"/>
      <c r="AH5" s="268"/>
      <c r="AI5" s="268"/>
      <c r="AJ5" s="268"/>
      <c r="AK5" s="268"/>
      <c r="AL5" s="268"/>
      <c r="AM5" s="268"/>
      <c r="AN5" s="268"/>
      <c r="AO5" s="268"/>
      <c r="AP5" s="268"/>
      <c r="AQ5" s="268"/>
      <c r="AR5" s="268"/>
      <c r="AS5" s="268"/>
      <c r="AT5" s="268"/>
      <c r="AU5" s="268"/>
      <c r="AV5" s="268"/>
      <c r="AW5" s="268"/>
    </row>
    <row r="6" spans="1:49" x14ac:dyDescent="0.3">
      <c r="A6" s="268"/>
      <c r="B6" s="268"/>
      <c r="C6" s="268"/>
      <c r="D6" s="268"/>
      <c r="E6" s="268"/>
      <c r="F6" s="268"/>
      <c r="G6" s="268"/>
      <c r="H6" s="268"/>
      <c r="I6" s="268"/>
      <c r="J6" s="268"/>
      <c r="K6" s="268"/>
      <c r="L6" s="268"/>
      <c r="M6" s="268"/>
      <c r="N6" s="268"/>
      <c r="O6" s="268"/>
      <c r="P6" s="268"/>
      <c r="Q6" s="268"/>
      <c r="R6" s="268"/>
      <c r="S6" s="268"/>
      <c r="T6" s="268"/>
      <c r="U6" s="268"/>
      <c r="V6" s="268"/>
      <c r="W6" s="268"/>
      <c r="X6" s="268"/>
      <c r="Y6" s="268"/>
      <c r="Z6" s="268"/>
      <c r="AA6" s="268"/>
      <c r="AB6" s="268"/>
      <c r="AC6" s="268"/>
      <c r="AD6" s="268"/>
      <c r="AE6" s="268"/>
      <c r="AF6" s="268"/>
      <c r="AG6" s="268"/>
      <c r="AH6" s="268"/>
      <c r="AI6" s="268"/>
      <c r="AJ6" s="268"/>
      <c r="AK6" s="268"/>
      <c r="AL6" s="268"/>
      <c r="AM6" s="268"/>
      <c r="AN6" s="268"/>
      <c r="AO6" s="268"/>
      <c r="AP6" s="268"/>
      <c r="AQ6" s="268"/>
      <c r="AR6" s="268"/>
      <c r="AS6" s="268"/>
      <c r="AT6" s="268"/>
      <c r="AU6" s="268"/>
      <c r="AV6" s="268"/>
      <c r="AW6" s="268"/>
    </row>
    <row r="7" spans="1:49" x14ac:dyDescent="0.3">
      <c r="A7" s="268"/>
      <c r="B7" s="268"/>
      <c r="C7" s="268"/>
      <c r="D7" s="268"/>
      <c r="E7" s="268"/>
      <c r="F7" s="268"/>
      <c r="G7" s="268"/>
      <c r="H7" s="268"/>
      <c r="I7" s="268"/>
      <c r="J7" s="268"/>
      <c r="K7" s="268"/>
      <c r="L7" s="268"/>
      <c r="M7" s="268"/>
      <c r="N7" s="268"/>
      <c r="O7" s="268"/>
      <c r="P7" s="268"/>
      <c r="Q7" s="268"/>
      <c r="R7" s="268"/>
      <c r="S7" s="268"/>
      <c r="T7" s="268"/>
      <c r="U7" s="268"/>
      <c r="V7" s="268"/>
      <c r="W7" s="268"/>
      <c r="X7" s="268"/>
      <c r="Y7" s="268"/>
      <c r="Z7" s="268"/>
      <c r="AA7" s="268"/>
      <c r="AB7" s="268"/>
      <c r="AC7" s="268"/>
      <c r="AD7" s="268"/>
      <c r="AE7" s="268"/>
      <c r="AF7" s="268"/>
      <c r="AG7" s="268"/>
      <c r="AH7" s="268"/>
      <c r="AI7" s="268"/>
      <c r="AJ7" s="268"/>
      <c r="AK7" s="268"/>
      <c r="AL7" s="268"/>
      <c r="AM7" s="268"/>
      <c r="AN7" s="268"/>
      <c r="AO7" s="268"/>
      <c r="AP7" s="268"/>
      <c r="AQ7" s="268"/>
      <c r="AR7" s="268"/>
      <c r="AS7" s="268"/>
      <c r="AT7" s="268"/>
      <c r="AU7" s="268"/>
      <c r="AV7" s="268"/>
      <c r="AW7" s="268"/>
    </row>
    <row r="8" spans="1:49" ht="28.8" customHeight="1" x14ac:dyDescent="0.3"/>
    <row r="9" spans="1:49" ht="28.8" customHeight="1" thickBot="1" x14ac:dyDescent="0.35"/>
    <row r="10" spans="1:49" ht="28.8" customHeight="1" x14ac:dyDescent="0.3">
      <c r="D10" s="423" t="s">
        <v>301</v>
      </c>
      <c r="E10" s="424"/>
      <c r="F10" s="425"/>
      <c r="H10" s="291"/>
      <c r="I10" s="292"/>
      <c r="J10" s="292"/>
      <c r="K10" s="292"/>
      <c r="L10" s="292"/>
      <c r="M10" s="292"/>
      <c r="N10" s="292"/>
      <c r="O10" s="292"/>
      <c r="P10" s="293"/>
    </row>
    <row r="11" spans="1:49" ht="28.8" customHeight="1" x14ac:dyDescent="0.3">
      <c r="D11" s="429"/>
      <c r="E11" s="430"/>
      <c r="F11" s="431"/>
      <c r="H11" s="294"/>
      <c r="I11" s="288" t="s">
        <v>406</v>
      </c>
      <c r="J11" s="295"/>
      <c r="K11" s="295"/>
      <c r="L11" s="295"/>
      <c r="M11" s="295"/>
      <c r="N11" s="296" t="s">
        <v>306</v>
      </c>
      <c r="O11" s="295"/>
      <c r="P11" s="297"/>
    </row>
    <row r="12" spans="1:49" ht="28.8" customHeight="1" x14ac:dyDescent="0.5">
      <c r="D12" s="429"/>
      <c r="E12" s="430"/>
      <c r="F12" s="431"/>
      <c r="H12" s="294"/>
      <c r="I12" s="298" t="s">
        <v>307</v>
      </c>
      <c r="J12" s="295"/>
      <c r="K12" s="295"/>
      <c r="L12" s="295"/>
      <c r="M12" s="295"/>
      <c r="N12" s="290" t="s">
        <v>308</v>
      </c>
      <c r="O12" s="295"/>
      <c r="P12" s="297"/>
    </row>
    <row r="13" spans="1:49" ht="28.8" customHeight="1" x14ac:dyDescent="0.35">
      <c r="D13" s="79"/>
      <c r="E13" s="80"/>
      <c r="F13" s="81"/>
      <c r="H13" s="294"/>
      <c r="I13" s="298" t="s">
        <v>309</v>
      </c>
      <c r="J13" s="295"/>
      <c r="K13" s="295"/>
      <c r="L13" s="295"/>
      <c r="M13" s="295"/>
      <c r="N13" s="299"/>
      <c r="O13" s="295"/>
      <c r="P13" s="297"/>
    </row>
    <row r="14" spans="1:49" ht="28.8" customHeight="1" x14ac:dyDescent="0.3">
      <c r="D14" s="82"/>
      <c r="E14" s="287" t="s">
        <v>302</v>
      </c>
      <c r="F14" s="83"/>
      <c r="H14" s="300"/>
      <c r="I14" s="301"/>
      <c r="J14" s="301"/>
      <c r="K14" s="301"/>
      <c r="L14" s="301"/>
      <c r="M14" s="301"/>
      <c r="N14" s="301"/>
      <c r="O14" s="301"/>
      <c r="P14" s="302"/>
    </row>
    <row r="15" spans="1:49" ht="28.8" customHeight="1" thickBot="1" x14ac:dyDescent="0.35">
      <c r="D15" s="84"/>
      <c r="E15" s="85"/>
      <c r="F15" s="83"/>
      <c r="H15" s="303"/>
      <c r="I15" s="304"/>
      <c r="J15" s="304"/>
      <c r="K15" s="304"/>
      <c r="L15" s="304"/>
      <c r="M15" s="304"/>
      <c r="N15" s="304"/>
      <c r="O15" s="304"/>
      <c r="P15" s="305"/>
    </row>
    <row r="16" spans="1:49" ht="28.8" customHeight="1" thickBot="1" x14ac:dyDescent="0.55000000000000004">
      <c r="D16" s="78"/>
      <c r="E16" s="50"/>
      <c r="F16" s="7"/>
      <c r="H16" s="306"/>
      <c r="I16" s="329" t="s">
        <v>310</v>
      </c>
      <c r="J16" s="307"/>
      <c r="K16" s="307"/>
      <c r="L16" s="307"/>
      <c r="M16" s="307"/>
      <c r="N16" s="289" t="s">
        <v>311</v>
      </c>
      <c r="O16" s="307"/>
      <c r="P16" s="308"/>
    </row>
    <row r="17" spans="4:16" ht="28.8" customHeight="1" x14ac:dyDescent="0.3">
      <c r="D17" s="78"/>
      <c r="E17" s="77"/>
      <c r="F17" s="7"/>
      <c r="H17" s="306"/>
      <c r="I17" s="309"/>
      <c r="J17" s="307"/>
      <c r="K17" s="307"/>
      <c r="L17" s="307"/>
      <c r="M17" s="307"/>
      <c r="N17" s="309"/>
      <c r="O17" s="307"/>
      <c r="P17" s="308"/>
    </row>
    <row r="18" spans="4:16" ht="28.8" customHeight="1" x14ac:dyDescent="0.3">
      <c r="D18" s="75"/>
      <c r="E18" s="287" t="s">
        <v>303</v>
      </c>
      <c r="F18" s="7"/>
      <c r="H18" s="306"/>
      <c r="I18" s="310"/>
      <c r="J18" s="310"/>
      <c r="K18" s="310"/>
      <c r="L18" s="310"/>
      <c r="M18" s="310"/>
      <c r="N18" s="310"/>
      <c r="O18" s="310"/>
      <c r="P18" s="311"/>
    </row>
    <row r="19" spans="4:16" ht="28.8" customHeight="1" thickBot="1" x14ac:dyDescent="0.45">
      <c r="D19" s="75"/>
      <c r="E19" s="77"/>
      <c r="F19" s="7"/>
      <c r="H19" s="312"/>
      <c r="I19" s="330" t="s">
        <v>312</v>
      </c>
      <c r="J19" s="313"/>
      <c r="K19" s="313"/>
      <c r="L19" s="333" t="s">
        <v>313</v>
      </c>
      <c r="M19" s="333" t="s">
        <v>314</v>
      </c>
      <c r="N19" s="314"/>
      <c r="O19" s="330" t="s">
        <v>315</v>
      </c>
      <c r="P19" s="314"/>
    </row>
    <row r="20" spans="4:16" ht="28.8" customHeight="1" thickBot="1" x14ac:dyDescent="0.35">
      <c r="D20" s="75"/>
      <c r="E20" s="51"/>
      <c r="F20" s="7"/>
      <c r="H20" s="315"/>
      <c r="I20" s="331" t="s">
        <v>316</v>
      </c>
      <c r="J20" s="313"/>
      <c r="K20" s="313"/>
      <c r="L20" s="316"/>
      <c r="M20" s="316"/>
      <c r="N20" s="314"/>
      <c r="O20" s="313"/>
      <c r="P20" s="314"/>
    </row>
    <row r="21" spans="4:16" ht="28.8" customHeight="1" x14ac:dyDescent="0.3">
      <c r="D21" s="75"/>
      <c r="E21" s="77"/>
      <c r="F21" s="7"/>
      <c r="H21" s="315"/>
      <c r="I21" s="332" t="s">
        <v>317</v>
      </c>
      <c r="J21" s="317"/>
      <c r="K21" s="317"/>
      <c r="L21" s="315"/>
      <c r="M21" s="315"/>
      <c r="N21" s="318"/>
      <c r="O21" s="317"/>
      <c r="P21" s="318"/>
    </row>
    <row r="22" spans="4:16" ht="28.8" customHeight="1" x14ac:dyDescent="0.3">
      <c r="D22" s="75"/>
      <c r="E22" s="287" t="s">
        <v>304</v>
      </c>
      <c r="F22" s="71"/>
      <c r="H22" s="315"/>
      <c r="I22" s="331" t="s">
        <v>318</v>
      </c>
      <c r="J22" s="313"/>
      <c r="K22" s="313"/>
      <c r="L22" s="316"/>
      <c r="M22" s="316"/>
      <c r="N22" s="314"/>
      <c r="O22" s="313"/>
      <c r="P22" s="314"/>
    </row>
    <row r="23" spans="4:16" ht="28.8" customHeight="1" thickBot="1" x14ac:dyDescent="0.35">
      <c r="D23" s="75"/>
      <c r="E23" s="76"/>
      <c r="F23" s="71"/>
      <c r="H23" s="315"/>
      <c r="I23" s="332" t="s">
        <v>319</v>
      </c>
      <c r="J23" s="317"/>
      <c r="K23" s="317"/>
      <c r="L23" s="315"/>
      <c r="M23" s="315"/>
      <c r="N23" s="318"/>
      <c r="O23" s="317"/>
      <c r="P23" s="318"/>
    </row>
    <row r="24" spans="4:16" ht="28.8" customHeight="1" thickBot="1" x14ac:dyDescent="0.35">
      <c r="D24" s="75"/>
      <c r="E24" s="67"/>
      <c r="F24" s="71"/>
      <c r="H24" s="315"/>
      <c r="I24" s="331" t="s">
        <v>320</v>
      </c>
      <c r="J24" s="313"/>
      <c r="K24" s="313"/>
      <c r="L24" s="316"/>
      <c r="M24" s="316"/>
      <c r="N24" s="314"/>
      <c r="O24" s="313"/>
      <c r="P24" s="314"/>
    </row>
    <row r="25" spans="4:16" ht="28.8" customHeight="1" x14ac:dyDescent="0.3">
      <c r="D25" s="75"/>
      <c r="E25" s="76"/>
      <c r="F25" s="71"/>
      <c r="H25" s="319"/>
      <c r="I25" s="319"/>
      <c r="J25" s="320"/>
      <c r="K25" s="320"/>
      <c r="L25" s="319"/>
      <c r="M25" s="319"/>
      <c r="N25" s="321"/>
      <c r="O25" s="320"/>
      <c r="P25" s="321"/>
    </row>
    <row r="26" spans="4:16" ht="28.8" customHeight="1" x14ac:dyDescent="0.4">
      <c r="D26" s="75"/>
      <c r="E26" s="287" t="s">
        <v>305</v>
      </c>
      <c r="F26" s="71"/>
      <c r="H26" s="315"/>
      <c r="I26" s="334" t="s">
        <v>321</v>
      </c>
      <c r="J26" s="317"/>
      <c r="K26" s="317"/>
      <c r="L26" s="317"/>
      <c r="M26" s="334" t="s">
        <v>322</v>
      </c>
      <c r="N26" s="318"/>
      <c r="O26" s="337" t="s">
        <v>323</v>
      </c>
      <c r="P26" s="318"/>
    </row>
    <row r="27" spans="4:16" ht="28.8" customHeight="1" thickBot="1" x14ac:dyDescent="0.35">
      <c r="D27" s="75"/>
      <c r="E27" s="76"/>
      <c r="F27" s="71"/>
      <c r="H27" s="315"/>
      <c r="I27" s="315"/>
      <c r="J27" s="317"/>
      <c r="K27" s="317"/>
      <c r="L27" s="317"/>
      <c r="M27" s="315"/>
      <c r="N27" s="318"/>
      <c r="O27" s="317"/>
      <c r="P27" s="318"/>
    </row>
    <row r="28" spans="4:16" ht="28.8" customHeight="1" thickBot="1" x14ac:dyDescent="0.35">
      <c r="D28" s="75"/>
      <c r="E28" s="67"/>
      <c r="F28" s="71"/>
      <c r="H28" s="315"/>
      <c r="I28" s="315"/>
      <c r="J28" s="317"/>
      <c r="K28" s="317"/>
      <c r="L28" s="317"/>
      <c r="M28" s="315"/>
      <c r="N28" s="318"/>
      <c r="O28" s="317"/>
      <c r="P28" s="318"/>
    </row>
    <row r="29" spans="4:16" ht="28.8" customHeight="1" x14ac:dyDescent="0.3">
      <c r="D29" s="69"/>
      <c r="E29" s="70"/>
      <c r="F29" s="71"/>
      <c r="H29" s="315"/>
      <c r="I29" s="315"/>
      <c r="J29" s="317"/>
      <c r="K29" s="317"/>
      <c r="L29" s="317"/>
      <c r="M29" s="315"/>
      <c r="N29" s="318"/>
      <c r="O29" s="317"/>
      <c r="P29" s="318"/>
    </row>
    <row r="30" spans="4:16" ht="28.8" customHeight="1" x14ac:dyDescent="0.3">
      <c r="D30" s="69"/>
      <c r="E30" s="70"/>
      <c r="F30" s="71"/>
      <c r="H30" s="315"/>
      <c r="I30" s="319"/>
      <c r="J30" s="320"/>
      <c r="K30" s="320"/>
      <c r="L30" s="320"/>
      <c r="M30" s="315"/>
      <c r="N30" s="318"/>
      <c r="O30" s="317"/>
      <c r="P30" s="318"/>
    </row>
    <row r="31" spans="4:16" ht="28.8" customHeight="1" x14ac:dyDescent="0.3">
      <c r="D31" s="69"/>
      <c r="E31" s="70"/>
      <c r="F31" s="71"/>
      <c r="H31" s="303"/>
      <c r="I31" s="304"/>
      <c r="J31" s="304"/>
      <c r="K31" s="304"/>
      <c r="L31" s="304"/>
      <c r="M31" s="304"/>
      <c r="N31" s="304"/>
      <c r="O31" s="304"/>
      <c r="P31" s="305"/>
    </row>
    <row r="32" spans="4:16" ht="28.8" customHeight="1" x14ac:dyDescent="0.4">
      <c r="D32" s="69"/>
      <c r="E32" s="70"/>
      <c r="F32" s="71"/>
      <c r="H32" s="306"/>
      <c r="I32" s="338" t="s">
        <v>316</v>
      </c>
      <c r="J32" s="322"/>
      <c r="K32" s="323"/>
      <c r="L32" s="323"/>
      <c r="M32" s="323"/>
      <c r="N32" s="323"/>
      <c r="O32" s="324"/>
      <c r="P32" s="308"/>
    </row>
    <row r="33" spans="1:16" ht="28.8" customHeight="1" x14ac:dyDescent="0.4">
      <c r="D33" s="69"/>
      <c r="E33" s="70"/>
      <c r="F33" s="71"/>
      <c r="H33" s="306"/>
      <c r="I33" s="338" t="s">
        <v>324</v>
      </c>
      <c r="J33" s="322"/>
      <c r="K33" s="323"/>
      <c r="L33" s="323"/>
      <c r="M33" s="323"/>
      <c r="N33" s="323"/>
      <c r="O33" s="324"/>
      <c r="P33" s="308"/>
    </row>
    <row r="34" spans="1:16" ht="28.8" customHeight="1" thickBot="1" x14ac:dyDescent="0.45">
      <c r="D34" s="72"/>
      <c r="E34" s="73"/>
      <c r="F34" s="74"/>
      <c r="H34" s="306"/>
      <c r="I34" s="338" t="s">
        <v>325</v>
      </c>
      <c r="J34" s="322"/>
      <c r="K34" s="323"/>
      <c r="L34" s="323"/>
      <c r="M34" s="323"/>
      <c r="N34" s="323"/>
      <c r="O34" s="324"/>
      <c r="P34" s="308"/>
    </row>
    <row r="35" spans="1:16" ht="28.8" customHeight="1" x14ac:dyDescent="0.4">
      <c r="H35" s="306"/>
      <c r="I35" s="338" t="s">
        <v>326</v>
      </c>
      <c r="J35" s="322"/>
      <c r="K35" s="323"/>
      <c r="L35" s="323"/>
      <c r="M35" s="323"/>
      <c r="N35" s="323"/>
      <c r="O35" s="324"/>
      <c r="P35" s="308"/>
    </row>
    <row r="36" spans="1:16" ht="28.8" customHeight="1" x14ac:dyDescent="0.3">
      <c r="H36" s="325"/>
      <c r="I36" s="310"/>
      <c r="J36" s="310"/>
      <c r="K36" s="310"/>
      <c r="L36" s="310"/>
      <c r="M36" s="310"/>
      <c r="N36" s="310"/>
      <c r="O36" s="310"/>
      <c r="P36" s="311"/>
    </row>
    <row r="37" spans="1:16" ht="28.8" customHeight="1" x14ac:dyDescent="0.3">
      <c r="H37" s="326"/>
      <c r="I37" s="327"/>
      <c r="J37" s="327"/>
      <c r="K37" s="327"/>
      <c r="L37" s="327"/>
      <c r="M37" s="327"/>
      <c r="N37" s="327"/>
      <c r="O37" s="327"/>
      <c r="P37" s="328"/>
    </row>
    <row r="38" spans="1:16" ht="28.8" customHeight="1" x14ac:dyDescent="0.4">
      <c r="H38" s="315"/>
      <c r="I38" s="336" t="s">
        <v>327</v>
      </c>
      <c r="J38" s="317"/>
      <c r="K38" s="317"/>
      <c r="L38" s="317"/>
      <c r="M38" s="317"/>
      <c r="N38" s="317"/>
      <c r="O38" s="317"/>
      <c r="P38" s="318"/>
    </row>
    <row r="39" spans="1:16" ht="28.8" customHeight="1" x14ac:dyDescent="0.3">
      <c r="H39" s="315"/>
      <c r="I39" s="317"/>
      <c r="J39" s="317"/>
      <c r="K39" s="317"/>
      <c r="L39" s="317"/>
      <c r="M39" s="317"/>
      <c r="N39" s="317"/>
      <c r="O39" s="317"/>
      <c r="P39" s="318"/>
    </row>
    <row r="40" spans="1:16" ht="28.8" customHeight="1" x14ac:dyDescent="0.3">
      <c r="H40" s="315"/>
      <c r="I40" s="320"/>
      <c r="J40" s="320"/>
      <c r="K40" s="320"/>
      <c r="L40" s="317"/>
      <c r="M40" s="320"/>
      <c r="N40" s="320"/>
      <c r="O40" s="320"/>
      <c r="P40" s="318"/>
    </row>
    <row r="41" spans="1:16" ht="28.8" customHeight="1" x14ac:dyDescent="0.4">
      <c r="H41" s="315"/>
      <c r="I41" s="335" t="s">
        <v>328</v>
      </c>
      <c r="J41" s="317"/>
      <c r="K41" s="317"/>
      <c r="L41" s="317"/>
      <c r="M41" s="339" t="s">
        <v>329</v>
      </c>
      <c r="N41" s="317"/>
      <c r="O41" s="317"/>
      <c r="P41" s="318"/>
    </row>
    <row r="42" spans="1:16" ht="28.8" customHeight="1" x14ac:dyDescent="0.3">
      <c r="H42" s="319"/>
      <c r="I42" s="320"/>
      <c r="J42" s="320"/>
      <c r="K42" s="320"/>
      <c r="L42" s="320"/>
      <c r="M42" s="320"/>
      <c r="N42" s="320"/>
      <c r="O42" s="320"/>
      <c r="P42" s="321"/>
    </row>
    <row r="43" spans="1:16" ht="28.8" customHeight="1" x14ac:dyDescent="0.3"/>
    <row r="44" spans="1:16" ht="28.8" customHeight="1" x14ac:dyDescent="0.3"/>
    <row r="45" spans="1:16" ht="28.8" customHeight="1" x14ac:dyDescent="0.3"/>
    <row r="46" spans="1:16" ht="28.8" customHeight="1" x14ac:dyDescent="0.3"/>
    <row r="47" spans="1:16" ht="28.8" customHeight="1" x14ac:dyDescent="0.3"/>
    <row r="48" spans="1:16" ht="28.8" customHeight="1" x14ac:dyDescent="0.3">
      <c r="A48" s="178" t="s">
        <v>407</v>
      </c>
    </row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1">
    <mergeCell ref="D10:F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25B54-63D7-412B-AAD7-4CCFC6E91CA4}">
  <sheetPr codeName="Planilha40">
    <tabColor rgb="FF00B050"/>
  </sheetPr>
  <dimension ref="A1:AW66"/>
  <sheetViews>
    <sheetView zoomScale="40" zoomScaleNormal="40" workbookViewId="0">
      <selection activeCell="N15" sqref="N15"/>
    </sheetView>
  </sheetViews>
  <sheetFormatPr defaultRowHeight="14.4" x14ac:dyDescent="0.3"/>
  <cols>
    <col min="1" max="4" width="8.88671875" style="178"/>
    <col min="5" max="5" width="72.33203125" style="178" bestFit="1" customWidth="1"/>
    <col min="6" max="6" width="23.21875" style="178" bestFit="1" customWidth="1"/>
    <col min="7" max="7" width="26" style="178" bestFit="1" customWidth="1"/>
    <col min="8" max="8" width="25.6640625" style="178" bestFit="1" customWidth="1"/>
    <col min="9" max="9" width="22.88671875" style="178" bestFit="1" customWidth="1"/>
    <col min="10" max="10" width="27.88671875" style="178" bestFit="1" customWidth="1"/>
    <col min="11" max="11" width="36.77734375" style="178" bestFit="1" customWidth="1"/>
    <col min="12" max="12" width="25.44140625" style="178" bestFit="1" customWidth="1"/>
    <col min="13" max="13" width="29" style="178" bestFit="1" customWidth="1"/>
    <col min="14" max="14" width="47.88671875" style="178" bestFit="1" customWidth="1"/>
    <col min="15" max="15" width="29.33203125" style="178" customWidth="1"/>
    <col min="16" max="16" width="73.44140625" style="178" customWidth="1"/>
    <col min="17" max="17" width="15.5546875" style="178" customWidth="1"/>
    <col min="18" max="21" width="8.88671875" style="178"/>
    <col min="22" max="22" width="23.44140625" style="178" bestFit="1" customWidth="1"/>
    <col min="23" max="23" width="2.6640625" style="178" bestFit="1" customWidth="1"/>
    <col min="24" max="24" width="51.109375" style="178" customWidth="1"/>
    <col min="25" max="16384" width="8.88671875" style="178"/>
  </cols>
  <sheetData>
    <row r="1" spans="1:49" x14ac:dyDescent="0.3">
      <c r="A1" s="182"/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</row>
    <row r="2" spans="1:49" x14ac:dyDescent="0.3">
      <c r="A2" s="182"/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</row>
    <row r="3" spans="1:49" ht="61.2" customHeight="1" x14ac:dyDescent="0.3">
      <c r="A3" s="182"/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</row>
    <row r="4" spans="1:49" ht="46.2" customHeight="1" x14ac:dyDescent="0.3">
      <c r="A4" s="268"/>
      <c r="B4" s="268"/>
      <c r="C4" s="268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8"/>
      <c r="Q4" s="268"/>
      <c r="R4" s="268"/>
      <c r="S4" s="268"/>
      <c r="T4" s="268"/>
      <c r="U4" s="268"/>
      <c r="V4" s="268"/>
      <c r="W4" s="268"/>
      <c r="X4" s="268"/>
      <c r="Y4" s="268"/>
      <c r="Z4" s="268"/>
      <c r="AA4" s="268"/>
      <c r="AB4" s="268"/>
      <c r="AC4" s="268"/>
      <c r="AD4" s="268"/>
      <c r="AE4" s="268"/>
      <c r="AF4" s="268"/>
      <c r="AG4" s="268"/>
      <c r="AH4" s="268"/>
      <c r="AI4" s="268"/>
      <c r="AJ4" s="268"/>
      <c r="AK4" s="268"/>
      <c r="AL4" s="268"/>
      <c r="AM4" s="268"/>
      <c r="AN4" s="268"/>
      <c r="AO4" s="268"/>
      <c r="AP4" s="268"/>
      <c r="AQ4" s="268"/>
      <c r="AR4" s="268"/>
      <c r="AS4" s="268"/>
      <c r="AT4" s="268"/>
      <c r="AU4" s="268"/>
      <c r="AV4" s="268"/>
      <c r="AW4" s="268"/>
    </row>
    <row r="5" spans="1:49" x14ac:dyDescent="0.3">
      <c r="A5" s="268"/>
      <c r="B5" s="268"/>
      <c r="C5" s="268"/>
      <c r="D5" s="268"/>
      <c r="E5" s="268"/>
      <c r="F5" s="268"/>
      <c r="G5" s="268"/>
      <c r="H5" s="268"/>
      <c r="I5" s="268"/>
      <c r="J5" s="268"/>
      <c r="K5" s="268"/>
      <c r="L5" s="268"/>
      <c r="M5" s="268"/>
      <c r="N5" s="268"/>
      <c r="O5" s="268"/>
      <c r="P5" s="268"/>
      <c r="Q5" s="268"/>
      <c r="R5" s="268"/>
      <c r="S5" s="268"/>
      <c r="T5" s="268"/>
      <c r="U5" s="268"/>
      <c r="V5" s="268"/>
      <c r="W5" s="268"/>
      <c r="X5" s="268"/>
      <c r="Y5" s="268"/>
      <c r="Z5" s="268"/>
      <c r="AA5" s="268"/>
      <c r="AB5" s="268"/>
      <c r="AC5" s="268"/>
      <c r="AD5" s="268"/>
      <c r="AE5" s="268"/>
      <c r="AF5" s="268"/>
      <c r="AG5" s="268"/>
      <c r="AH5" s="268"/>
      <c r="AI5" s="268"/>
      <c r="AJ5" s="268"/>
      <c r="AK5" s="268"/>
      <c r="AL5" s="268"/>
      <c r="AM5" s="268"/>
      <c r="AN5" s="268"/>
      <c r="AO5" s="268"/>
      <c r="AP5" s="268"/>
      <c r="AQ5" s="268"/>
      <c r="AR5" s="268"/>
      <c r="AS5" s="268"/>
      <c r="AT5" s="268"/>
      <c r="AU5" s="268"/>
      <c r="AV5" s="268"/>
      <c r="AW5" s="268"/>
    </row>
    <row r="6" spans="1:49" x14ac:dyDescent="0.3">
      <c r="A6" s="268"/>
      <c r="B6" s="268"/>
      <c r="C6" s="268"/>
      <c r="D6" s="268"/>
      <c r="E6" s="268"/>
      <c r="F6" s="268"/>
      <c r="G6" s="268"/>
      <c r="H6" s="268"/>
      <c r="I6" s="268"/>
      <c r="J6" s="268"/>
      <c r="K6" s="268"/>
      <c r="L6" s="268"/>
      <c r="M6" s="268"/>
      <c r="N6" s="268"/>
      <c r="O6" s="268"/>
      <c r="P6" s="268"/>
      <c r="Q6" s="268"/>
      <c r="R6" s="268"/>
      <c r="S6" s="268"/>
      <c r="T6" s="268"/>
      <c r="U6" s="268"/>
      <c r="V6" s="268"/>
      <c r="W6" s="268"/>
      <c r="X6" s="268"/>
      <c r="Y6" s="268"/>
      <c r="Z6" s="268"/>
      <c r="AA6" s="268"/>
      <c r="AB6" s="268"/>
      <c r="AC6" s="268"/>
      <c r="AD6" s="268"/>
      <c r="AE6" s="268"/>
      <c r="AF6" s="268"/>
      <c r="AG6" s="268"/>
      <c r="AH6" s="268"/>
      <c r="AI6" s="268"/>
      <c r="AJ6" s="268"/>
      <c r="AK6" s="268"/>
      <c r="AL6" s="268"/>
      <c r="AM6" s="268"/>
      <c r="AN6" s="268"/>
      <c r="AO6" s="268"/>
      <c r="AP6" s="268"/>
      <c r="AQ6" s="268"/>
      <c r="AR6" s="268"/>
      <c r="AS6" s="268"/>
      <c r="AT6" s="268"/>
      <c r="AU6" s="268"/>
      <c r="AV6" s="268"/>
      <c r="AW6" s="268"/>
    </row>
    <row r="7" spans="1:49" x14ac:dyDescent="0.3">
      <c r="A7" s="268"/>
      <c r="B7" s="268"/>
      <c r="C7" s="268"/>
      <c r="D7" s="268"/>
      <c r="E7" s="268"/>
      <c r="F7" s="268"/>
      <c r="G7" s="268"/>
      <c r="H7" s="268"/>
      <c r="I7" s="268"/>
      <c r="J7" s="268"/>
      <c r="K7" s="268"/>
      <c r="L7" s="268"/>
      <c r="M7" s="268"/>
      <c r="N7" s="268"/>
      <c r="O7" s="268"/>
      <c r="P7" s="268"/>
      <c r="Q7" s="268"/>
      <c r="R7" s="268"/>
      <c r="S7" s="268"/>
      <c r="T7" s="268"/>
      <c r="U7" s="268"/>
      <c r="V7" s="268"/>
      <c r="W7" s="268"/>
      <c r="X7" s="268"/>
      <c r="Y7" s="268"/>
      <c r="Z7" s="268"/>
      <c r="AA7" s="268"/>
      <c r="AB7" s="268"/>
      <c r="AC7" s="268"/>
      <c r="AD7" s="268"/>
      <c r="AE7" s="268"/>
      <c r="AF7" s="268"/>
      <c r="AG7" s="268"/>
      <c r="AH7" s="268"/>
      <c r="AI7" s="268"/>
      <c r="AJ7" s="268"/>
      <c r="AK7" s="268"/>
      <c r="AL7" s="268"/>
      <c r="AM7" s="268"/>
      <c r="AN7" s="268"/>
      <c r="AO7" s="268"/>
      <c r="AP7" s="268"/>
      <c r="AQ7" s="268"/>
      <c r="AR7" s="268"/>
      <c r="AS7" s="268"/>
      <c r="AT7" s="268"/>
      <c r="AU7" s="268"/>
      <c r="AV7" s="268"/>
      <c r="AW7" s="268"/>
    </row>
    <row r="8" spans="1:49" ht="28.8" customHeight="1" x14ac:dyDescent="0.3"/>
    <row r="9" spans="1:49" ht="28.8" customHeight="1" thickBot="1" x14ac:dyDescent="0.35"/>
    <row r="10" spans="1:49" ht="28.8" customHeight="1" x14ac:dyDescent="0.4">
      <c r="E10" s="342" t="s">
        <v>330</v>
      </c>
      <c r="F10" s="343" t="s">
        <v>297</v>
      </c>
      <c r="H10" s="432" t="s">
        <v>351</v>
      </c>
      <c r="I10" s="433"/>
      <c r="J10" s="433"/>
      <c r="K10" s="434"/>
    </row>
    <row r="11" spans="1:49" ht="28.8" customHeight="1" x14ac:dyDescent="0.3">
      <c r="E11" s="340" t="s">
        <v>331</v>
      </c>
      <c r="F11" s="344">
        <v>5000</v>
      </c>
      <c r="H11" s="435" t="s">
        <v>352</v>
      </c>
      <c r="I11" s="436"/>
      <c r="J11" s="346" t="s">
        <v>353</v>
      </c>
      <c r="K11" s="347" t="s">
        <v>354</v>
      </c>
    </row>
    <row r="12" spans="1:49" ht="28.8" customHeight="1" x14ac:dyDescent="0.35">
      <c r="E12" s="340" t="s">
        <v>332</v>
      </c>
      <c r="F12" s="344">
        <v>3000</v>
      </c>
      <c r="H12" s="349" t="s">
        <v>355</v>
      </c>
      <c r="I12" s="348">
        <v>2259.1999999999998</v>
      </c>
      <c r="J12" s="350">
        <v>0</v>
      </c>
      <c r="K12" s="351">
        <v>0</v>
      </c>
    </row>
    <row r="13" spans="1:49" ht="28.8" customHeight="1" x14ac:dyDescent="0.35">
      <c r="E13" s="340" t="s">
        <v>333</v>
      </c>
      <c r="F13" s="344">
        <v>2000</v>
      </c>
      <c r="H13" s="352">
        <f>I12</f>
        <v>2259.1999999999998</v>
      </c>
      <c r="I13" s="348">
        <v>2826.65</v>
      </c>
      <c r="J13" s="353">
        <v>7.4999999999999997E-2</v>
      </c>
      <c r="K13" s="351">
        <v>164.44</v>
      </c>
    </row>
    <row r="14" spans="1:49" ht="28.8" customHeight="1" x14ac:dyDescent="0.35">
      <c r="E14" s="340" t="s">
        <v>334</v>
      </c>
      <c r="F14" s="344">
        <v>5000</v>
      </c>
      <c r="H14" s="352">
        <f>I13</f>
        <v>2826.65</v>
      </c>
      <c r="I14" s="348">
        <v>3751.05</v>
      </c>
      <c r="J14" s="353">
        <v>0.15</v>
      </c>
      <c r="K14" s="351">
        <v>381.44</v>
      </c>
    </row>
    <row r="15" spans="1:49" ht="28.8" customHeight="1" x14ac:dyDescent="0.35">
      <c r="E15" s="340" t="s">
        <v>335</v>
      </c>
      <c r="F15" s="344">
        <v>3000</v>
      </c>
      <c r="H15" s="352">
        <f>I14</f>
        <v>3751.05</v>
      </c>
      <c r="I15" s="348">
        <v>4664.68</v>
      </c>
      <c r="J15" s="353">
        <v>0.22500000000000001</v>
      </c>
      <c r="K15" s="351">
        <v>662.77</v>
      </c>
    </row>
    <row r="16" spans="1:49" ht="28.8" customHeight="1" thickBot="1" x14ac:dyDescent="0.4">
      <c r="E16" s="340" t="s">
        <v>336</v>
      </c>
      <c r="F16" s="344">
        <v>2000</v>
      </c>
      <c r="H16" s="354" t="s">
        <v>356</v>
      </c>
      <c r="I16" s="355">
        <f>I15</f>
        <v>4664.68</v>
      </c>
      <c r="J16" s="356">
        <v>0.27500000000000002</v>
      </c>
      <c r="K16" s="357">
        <v>896</v>
      </c>
    </row>
    <row r="17" spans="5:11" ht="28.8" customHeight="1" thickBot="1" x14ac:dyDescent="0.35">
      <c r="E17" s="340" t="s">
        <v>337</v>
      </c>
      <c r="F17" s="344">
        <v>5000</v>
      </c>
    </row>
    <row r="18" spans="5:11" ht="28.8" customHeight="1" x14ac:dyDescent="0.3">
      <c r="E18" s="340" t="s">
        <v>338</v>
      </c>
      <c r="F18" s="344">
        <v>3000</v>
      </c>
      <c r="H18" s="432" t="s">
        <v>315</v>
      </c>
      <c r="I18" s="433"/>
      <c r="J18" s="433"/>
      <c r="K18" s="434"/>
    </row>
    <row r="19" spans="5:11" ht="28.8" customHeight="1" x14ac:dyDescent="0.3">
      <c r="E19" s="340" t="s">
        <v>14</v>
      </c>
      <c r="F19" s="344">
        <v>5000</v>
      </c>
      <c r="H19" s="340" t="s">
        <v>319</v>
      </c>
      <c r="I19" s="350">
        <v>0.11</v>
      </c>
      <c r="J19" s="358" t="s">
        <v>319</v>
      </c>
      <c r="K19" s="359">
        <v>0.11</v>
      </c>
    </row>
    <row r="20" spans="5:11" ht="28.8" customHeight="1" x14ac:dyDescent="0.3">
      <c r="E20" s="340" t="s">
        <v>339</v>
      </c>
      <c r="F20" s="344">
        <v>3000</v>
      </c>
      <c r="H20" s="340" t="s">
        <v>357</v>
      </c>
      <c r="I20" s="358" t="s">
        <v>358</v>
      </c>
      <c r="J20" s="358" t="s">
        <v>357</v>
      </c>
      <c r="K20" s="360" t="s">
        <v>358</v>
      </c>
    </row>
    <row r="21" spans="5:11" ht="28.8" customHeight="1" thickBot="1" x14ac:dyDescent="0.35">
      <c r="E21" s="340" t="s">
        <v>340</v>
      </c>
      <c r="F21" s="344">
        <v>2000</v>
      </c>
      <c r="H21" s="341" t="s">
        <v>359</v>
      </c>
      <c r="I21" s="356">
        <v>1.4999999999999999E-2</v>
      </c>
      <c r="J21" s="361" t="s">
        <v>359</v>
      </c>
      <c r="K21" s="362">
        <v>1.4999999999999999E-2</v>
      </c>
    </row>
    <row r="22" spans="5:11" ht="28.8" customHeight="1" thickBot="1" x14ac:dyDescent="0.35">
      <c r="E22" s="340" t="s">
        <v>341</v>
      </c>
      <c r="F22" s="344">
        <v>5000</v>
      </c>
    </row>
    <row r="23" spans="5:11" ht="28.8" customHeight="1" x14ac:dyDescent="0.4">
      <c r="E23" s="340" t="s">
        <v>342</v>
      </c>
      <c r="F23" s="344">
        <v>3000</v>
      </c>
      <c r="H23" s="363" t="s">
        <v>360</v>
      </c>
    </row>
    <row r="24" spans="5:11" ht="28.8" customHeight="1" thickBot="1" x14ac:dyDescent="0.4">
      <c r="E24" s="340" t="s">
        <v>343</v>
      </c>
      <c r="F24" s="344">
        <v>2000</v>
      </c>
      <c r="H24" s="364">
        <v>0.08</v>
      </c>
    </row>
    <row r="25" spans="5:11" ht="28.8" customHeight="1" x14ac:dyDescent="0.3">
      <c r="E25" s="340" t="s">
        <v>344</v>
      </c>
      <c r="F25" s="344">
        <v>5000</v>
      </c>
    </row>
    <row r="26" spans="5:11" ht="28.8" customHeight="1" x14ac:dyDescent="0.3">
      <c r="E26" s="340" t="s">
        <v>345</v>
      </c>
      <c r="F26" s="344">
        <v>4000</v>
      </c>
    </row>
    <row r="27" spans="5:11" ht="28.8" customHeight="1" x14ac:dyDescent="0.3">
      <c r="E27" s="340" t="s">
        <v>346</v>
      </c>
      <c r="F27" s="344">
        <v>3000</v>
      </c>
    </row>
    <row r="28" spans="5:11" ht="28.8" customHeight="1" x14ac:dyDescent="0.3">
      <c r="E28" s="340" t="s">
        <v>347</v>
      </c>
      <c r="F28" s="344">
        <v>2000</v>
      </c>
    </row>
    <row r="29" spans="5:11" ht="28.8" customHeight="1" x14ac:dyDescent="0.3">
      <c r="E29" s="340" t="s">
        <v>348</v>
      </c>
      <c r="F29" s="344">
        <v>5000</v>
      </c>
    </row>
    <row r="30" spans="5:11" ht="28.8" customHeight="1" x14ac:dyDescent="0.3">
      <c r="E30" s="340" t="s">
        <v>349</v>
      </c>
      <c r="F30" s="344">
        <v>3000</v>
      </c>
    </row>
    <row r="31" spans="5:11" ht="28.8" customHeight="1" thickBot="1" x14ac:dyDescent="0.35">
      <c r="E31" s="341" t="s">
        <v>350</v>
      </c>
      <c r="F31" s="345">
        <v>2000</v>
      </c>
    </row>
    <row r="32" spans="5:11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3">
    <mergeCell ref="H10:K10"/>
    <mergeCell ref="H11:I11"/>
    <mergeCell ref="H18:K1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7668E-500D-4CA2-B913-5B35813BD264}">
  <sheetPr codeName="Planilha41">
    <tabColor rgb="FF7030A0"/>
  </sheetPr>
  <dimension ref="A1:AW66"/>
  <sheetViews>
    <sheetView topLeftCell="A4" zoomScale="40" zoomScaleNormal="40" workbookViewId="0">
      <selection activeCell="N26" sqref="N26"/>
    </sheetView>
  </sheetViews>
  <sheetFormatPr defaultRowHeight="14.4" x14ac:dyDescent="0.3"/>
  <cols>
    <col min="1" max="4" width="8.88671875" style="178"/>
    <col min="5" max="5" width="72.33203125" style="178" bestFit="1" customWidth="1"/>
    <col min="6" max="6" width="23.21875" style="178" bestFit="1" customWidth="1"/>
    <col min="7" max="7" width="26" style="178" bestFit="1" customWidth="1"/>
    <col min="8" max="8" width="25.6640625" style="178" bestFit="1" customWidth="1"/>
    <col min="9" max="9" width="22.88671875" style="178" bestFit="1" customWidth="1"/>
    <col min="10" max="10" width="27.88671875" style="178" bestFit="1" customWidth="1"/>
    <col min="11" max="11" width="36.77734375" style="178" bestFit="1" customWidth="1"/>
    <col min="12" max="12" width="25.44140625" style="178" bestFit="1" customWidth="1"/>
    <col min="13" max="13" width="29" style="178" bestFit="1" customWidth="1"/>
    <col min="14" max="14" width="47.88671875" style="178" bestFit="1" customWidth="1"/>
    <col min="15" max="15" width="29.33203125" style="178" customWidth="1"/>
    <col min="16" max="16" width="73.44140625" style="178" customWidth="1"/>
    <col min="17" max="17" width="15.5546875" style="178" customWidth="1"/>
    <col min="18" max="21" width="8.88671875" style="178"/>
    <col min="22" max="22" width="23.44140625" style="178" bestFit="1" customWidth="1"/>
    <col min="23" max="23" width="2.6640625" style="178" bestFit="1" customWidth="1"/>
    <col min="24" max="24" width="51.109375" style="178" customWidth="1"/>
    <col min="25" max="16384" width="8.88671875" style="178"/>
  </cols>
  <sheetData>
    <row r="1" spans="1:49" x14ac:dyDescent="0.3">
      <c r="A1" s="182"/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</row>
    <row r="2" spans="1:49" x14ac:dyDescent="0.3">
      <c r="A2" s="182"/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</row>
    <row r="3" spans="1:49" ht="61.2" customHeight="1" x14ac:dyDescent="0.3">
      <c r="A3" s="182"/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</row>
    <row r="4" spans="1:49" ht="46.2" customHeight="1" x14ac:dyDescent="0.3">
      <c r="A4" s="268"/>
      <c r="B4" s="268"/>
      <c r="C4" s="268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8"/>
      <c r="Q4" s="268"/>
      <c r="R4" s="268"/>
      <c r="S4" s="268"/>
      <c r="T4" s="268"/>
      <c r="U4" s="268"/>
      <c r="V4" s="268"/>
      <c r="W4" s="268"/>
      <c r="X4" s="268"/>
      <c r="Y4" s="268"/>
      <c r="Z4" s="268"/>
      <c r="AA4" s="268"/>
      <c r="AB4" s="268"/>
      <c r="AC4" s="268"/>
      <c r="AD4" s="268"/>
      <c r="AE4" s="268"/>
      <c r="AF4" s="268"/>
      <c r="AG4" s="268"/>
      <c r="AH4" s="268"/>
      <c r="AI4" s="268"/>
      <c r="AJ4" s="268"/>
      <c r="AK4" s="268"/>
      <c r="AL4" s="268"/>
      <c r="AM4" s="268"/>
      <c r="AN4" s="268"/>
      <c r="AO4" s="268"/>
      <c r="AP4" s="268"/>
      <c r="AQ4" s="268"/>
      <c r="AR4" s="268"/>
      <c r="AS4" s="268"/>
      <c r="AT4" s="268"/>
      <c r="AU4" s="268"/>
      <c r="AV4" s="268"/>
      <c r="AW4" s="268"/>
    </row>
    <row r="5" spans="1:49" x14ac:dyDescent="0.3">
      <c r="A5" s="268"/>
      <c r="B5" s="268"/>
      <c r="C5" s="268"/>
      <c r="D5" s="268"/>
      <c r="E5" s="268"/>
      <c r="F5" s="268"/>
      <c r="G5" s="268"/>
      <c r="H5" s="268"/>
      <c r="I5" s="268"/>
      <c r="J5" s="268"/>
      <c r="K5" s="268"/>
      <c r="L5" s="268"/>
      <c r="M5" s="268"/>
      <c r="N5" s="268"/>
      <c r="O5" s="268"/>
      <c r="P5" s="268"/>
      <c r="Q5" s="268"/>
      <c r="R5" s="268"/>
      <c r="S5" s="268"/>
      <c r="T5" s="268"/>
      <c r="U5" s="268"/>
      <c r="V5" s="268"/>
      <c r="W5" s="268"/>
      <c r="X5" s="268"/>
      <c r="Y5" s="268"/>
      <c r="Z5" s="268"/>
      <c r="AA5" s="268"/>
      <c r="AB5" s="268"/>
      <c r="AC5" s="268"/>
      <c r="AD5" s="268"/>
      <c r="AE5" s="268"/>
      <c r="AF5" s="268"/>
      <c r="AG5" s="268"/>
      <c r="AH5" s="268"/>
      <c r="AI5" s="268"/>
      <c r="AJ5" s="268"/>
      <c r="AK5" s="268"/>
      <c r="AL5" s="268"/>
      <c r="AM5" s="268"/>
      <c r="AN5" s="268"/>
      <c r="AO5" s="268"/>
      <c r="AP5" s="268"/>
      <c r="AQ5" s="268"/>
      <c r="AR5" s="268"/>
      <c r="AS5" s="268"/>
      <c r="AT5" s="268"/>
      <c r="AU5" s="268"/>
      <c r="AV5" s="268"/>
      <c r="AW5" s="268"/>
    </row>
    <row r="6" spans="1:49" x14ac:dyDescent="0.3">
      <c r="A6" s="268"/>
      <c r="B6" s="268"/>
      <c r="C6" s="268"/>
      <c r="D6" s="268"/>
      <c r="E6" s="268"/>
      <c r="F6" s="268"/>
      <c r="G6" s="268"/>
      <c r="H6" s="268"/>
      <c r="I6" s="268"/>
      <c r="J6" s="268"/>
      <c r="K6" s="268"/>
      <c r="L6" s="268"/>
      <c r="M6" s="268"/>
      <c r="N6" s="268"/>
      <c r="O6" s="268"/>
      <c r="P6" s="268"/>
      <c r="Q6" s="268"/>
      <c r="R6" s="268"/>
      <c r="S6" s="268"/>
      <c r="T6" s="268"/>
      <c r="U6" s="268"/>
      <c r="V6" s="268"/>
      <c r="W6" s="268"/>
      <c r="X6" s="268"/>
      <c r="Y6" s="268"/>
      <c r="Z6" s="268"/>
      <c r="AA6" s="268"/>
      <c r="AB6" s="268"/>
      <c r="AC6" s="268"/>
      <c r="AD6" s="268"/>
      <c r="AE6" s="268"/>
      <c r="AF6" s="268"/>
      <c r="AG6" s="268"/>
      <c r="AH6" s="268"/>
      <c r="AI6" s="268"/>
      <c r="AJ6" s="268"/>
      <c r="AK6" s="268"/>
      <c r="AL6" s="268"/>
      <c r="AM6" s="268"/>
      <c r="AN6" s="268"/>
      <c r="AO6" s="268"/>
      <c r="AP6" s="268"/>
      <c r="AQ6" s="268"/>
      <c r="AR6" s="268"/>
      <c r="AS6" s="268"/>
      <c r="AT6" s="268"/>
      <c r="AU6" s="268"/>
      <c r="AV6" s="268"/>
      <c r="AW6" s="268"/>
    </row>
    <row r="7" spans="1:49" x14ac:dyDescent="0.3">
      <c r="A7" s="268"/>
      <c r="B7" s="268"/>
      <c r="C7" s="268"/>
      <c r="D7" s="268"/>
      <c r="E7" s="268"/>
      <c r="F7" s="268"/>
      <c r="G7" s="268"/>
      <c r="H7" s="268"/>
      <c r="I7" s="268"/>
      <c r="J7" s="268"/>
      <c r="K7" s="268"/>
      <c r="L7" s="268"/>
      <c r="M7" s="268"/>
      <c r="N7" s="268"/>
      <c r="O7" s="268"/>
      <c r="P7" s="268"/>
      <c r="Q7" s="268"/>
      <c r="R7" s="268"/>
      <c r="S7" s="268"/>
      <c r="T7" s="268"/>
      <c r="U7" s="268"/>
      <c r="V7" s="268"/>
      <c r="W7" s="268"/>
      <c r="X7" s="268"/>
      <c r="Y7" s="268"/>
      <c r="Z7" s="268"/>
      <c r="AA7" s="268"/>
      <c r="AB7" s="268"/>
      <c r="AC7" s="268"/>
      <c r="AD7" s="268"/>
      <c r="AE7" s="268"/>
      <c r="AF7" s="268"/>
      <c r="AG7" s="268"/>
      <c r="AH7" s="268"/>
      <c r="AI7" s="268"/>
      <c r="AJ7" s="268"/>
      <c r="AK7" s="268"/>
      <c r="AL7" s="268"/>
      <c r="AM7" s="268"/>
      <c r="AN7" s="268"/>
      <c r="AO7" s="268"/>
      <c r="AP7" s="268"/>
      <c r="AQ7" s="268"/>
      <c r="AR7" s="268"/>
      <c r="AS7" s="268"/>
      <c r="AT7" s="268"/>
      <c r="AU7" s="268"/>
      <c r="AV7" s="268"/>
      <c r="AW7" s="268"/>
    </row>
    <row r="8" spans="1:49" ht="28.8" customHeight="1" x14ac:dyDescent="0.3"/>
    <row r="9" spans="1:49" ht="28.8" customHeight="1" x14ac:dyDescent="0.3"/>
    <row r="10" spans="1:49" ht="28.8" customHeight="1" x14ac:dyDescent="0.3"/>
    <row r="11" spans="1:49" ht="28.8" customHeight="1" thickBot="1" x14ac:dyDescent="0.35"/>
    <row r="12" spans="1:49" ht="28.8" customHeight="1" x14ac:dyDescent="0.3">
      <c r="H12" s="423" t="s">
        <v>409</v>
      </c>
      <c r="I12" s="424"/>
      <c r="J12" s="424"/>
      <c r="K12" s="424"/>
      <c r="L12" s="425"/>
    </row>
    <row r="13" spans="1:49" ht="28.8" customHeight="1" thickBot="1" x14ac:dyDescent="0.35">
      <c r="H13" s="426"/>
      <c r="I13" s="427"/>
      <c r="J13" s="427"/>
      <c r="K13" s="427"/>
      <c r="L13" s="428"/>
    </row>
    <row r="14" spans="1:49" ht="28.8" customHeight="1" thickBot="1" x14ac:dyDescent="0.35">
      <c r="H14" s="8"/>
      <c r="I14" s="62"/>
      <c r="J14" s="62"/>
      <c r="K14" s="62"/>
      <c r="L14" s="63"/>
    </row>
    <row r="15" spans="1:49" ht="28.8" customHeight="1" thickBot="1" x14ac:dyDescent="0.35">
      <c r="H15" s="8"/>
      <c r="I15" s="284" t="s">
        <v>361</v>
      </c>
      <c r="J15" s="62"/>
      <c r="K15" s="60"/>
      <c r="L15" s="63"/>
    </row>
    <row r="16" spans="1:49" ht="28.8" customHeight="1" thickBot="1" x14ac:dyDescent="0.35">
      <c r="H16" s="8"/>
      <c r="I16" s="284"/>
      <c r="J16" s="62"/>
      <c r="K16" s="62"/>
      <c r="L16" s="63"/>
    </row>
    <row r="17" spans="8:12" ht="28.8" customHeight="1" thickBot="1" x14ac:dyDescent="0.35">
      <c r="H17" s="8"/>
      <c r="I17" s="284" t="s">
        <v>365</v>
      </c>
      <c r="J17" s="62"/>
      <c r="K17" s="60"/>
      <c r="L17" s="63"/>
    </row>
    <row r="18" spans="8:12" ht="28.8" customHeight="1" thickBot="1" x14ac:dyDescent="0.35">
      <c r="H18" s="8"/>
      <c r="I18" s="284"/>
      <c r="J18" s="62"/>
      <c r="K18" s="62"/>
      <c r="L18" s="63"/>
    </row>
    <row r="19" spans="8:12" ht="28.8" customHeight="1" thickBot="1" x14ac:dyDescent="0.35">
      <c r="H19" s="8"/>
      <c r="I19" s="284" t="s">
        <v>362</v>
      </c>
      <c r="J19" s="62"/>
      <c r="K19" s="60"/>
      <c r="L19" s="63"/>
    </row>
    <row r="20" spans="8:12" ht="28.8" customHeight="1" thickBot="1" x14ac:dyDescent="0.35">
      <c r="H20" s="8"/>
      <c r="I20" s="284"/>
      <c r="J20" s="62"/>
      <c r="K20" s="62"/>
      <c r="L20" s="63"/>
    </row>
    <row r="21" spans="8:12" ht="28.8" customHeight="1" thickBot="1" x14ac:dyDescent="0.35">
      <c r="H21" s="8"/>
      <c r="I21" s="284" t="s">
        <v>293</v>
      </c>
      <c r="J21" s="62"/>
      <c r="K21" s="60"/>
      <c r="L21" s="63"/>
    </row>
    <row r="22" spans="8:12" ht="28.8" customHeight="1" thickBot="1" x14ac:dyDescent="0.35">
      <c r="H22" s="8"/>
      <c r="I22" s="284"/>
      <c r="J22" s="62"/>
      <c r="K22" s="62"/>
      <c r="L22" s="63"/>
    </row>
    <row r="23" spans="8:12" ht="28.8" customHeight="1" thickBot="1" x14ac:dyDescent="0.35">
      <c r="H23" s="8"/>
      <c r="I23" s="284" t="s">
        <v>408</v>
      </c>
      <c r="J23" s="62"/>
      <c r="K23" s="60"/>
      <c r="L23" s="63"/>
    </row>
    <row r="24" spans="8:12" ht="28.8" customHeight="1" thickBot="1" x14ac:dyDescent="0.35">
      <c r="H24" s="8"/>
      <c r="I24" s="284"/>
      <c r="J24" s="62"/>
      <c r="K24" s="62"/>
      <c r="L24" s="63"/>
    </row>
    <row r="25" spans="8:12" ht="28.8" customHeight="1" thickBot="1" x14ac:dyDescent="0.35">
      <c r="H25" s="8"/>
      <c r="I25" s="284" t="s">
        <v>363</v>
      </c>
      <c r="J25" s="62"/>
      <c r="K25" s="60"/>
      <c r="L25" s="63"/>
    </row>
    <row r="26" spans="8:12" ht="28.8" customHeight="1" thickBot="1" x14ac:dyDescent="0.35">
      <c r="H26" s="8"/>
      <c r="I26" s="284"/>
      <c r="J26" s="62"/>
      <c r="K26" s="62"/>
      <c r="L26" s="63"/>
    </row>
    <row r="27" spans="8:12" ht="28.8" customHeight="1" thickBot="1" x14ac:dyDescent="0.35">
      <c r="H27" s="8"/>
      <c r="I27" s="284" t="s">
        <v>294</v>
      </c>
      <c r="J27" s="62"/>
      <c r="K27" s="60"/>
      <c r="L27" s="63"/>
    </row>
    <row r="28" spans="8:12" ht="28.8" customHeight="1" x14ac:dyDescent="0.3">
      <c r="H28" s="75"/>
      <c r="I28" s="86"/>
      <c r="J28" s="86"/>
      <c r="K28" s="86"/>
      <c r="L28" s="7"/>
    </row>
    <row r="29" spans="8:12" ht="28.8" customHeight="1" x14ac:dyDescent="0.3">
      <c r="H29" s="75"/>
      <c r="I29" s="86"/>
      <c r="J29" s="86"/>
      <c r="K29" s="86"/>
      <c r="L29" s="7"/>
    </row>
    <row r="30" spans="8:12" ht="28.8" customHeight="1" x14ac:dyDescent="0.3">
      <c r="H30" s="75"/>
      <c r="I30" s="86"/>
      <c r="J30" s="86"/>
      <c r="K30" s="86"/>
      <c r="L30" s="7"/>
    </row>
    <row r="31" spans="8:12" ht="28.8" customHeight="1" x14ac:dyDescent="0.3">
      <c r="H31" s="75"/>
      <c r="I31" s="86"/>
      <c r="J31" s="86"/>
      <c r="K31" s="86"/>
      <c r="L31" s="7"/>
    </row>
    <row r="32" spans="8:12" ht="28.8" customHeight="1" x14ac:dyDescent="0.3">
      <c r="H32" s="75"/>
      <c r="I32" s="86"/>
      <c r="J32" s="86"/>
      <c r="K32" s="86"/>
      <c r="L32" s="7"/>
    </row>
    <row r="33" spans="8:12" ht="28.8" customHeight="1" x14ac:dyDescent="0.3">
      <c r="H33" s="75"/>
      <c r="I33" s="86"/>
      <c r="J33" s="86"/>
      <c r="K33" s="86"/>
      <c r="L33" s="7"/>
    </row>
    <row r="34" spans="8:12" ht="28.8" customHeight="1" thickBot="1" x14ac:dyDescent="0.35">
      <c r="H34" s="87"/>
      <c r="I34" s="88"/>
      <c r="J34" s="88"/>
      <c r="K34" s="88"/>
      <c r="L34" s="89"/>
    </row>
    <row r="35" spans="8:12" ht="28.8" customHeight="1" x14ac:dyDescent="0.3"/>
    <row r="36" spans="8:12" ht="28.8" customHeight="1" x14ac:dyDescent="0.3"/>
    <row r="37" spans="8:12" ht="28.8" customHeight="1" x14ac:dyDescent="0.3"/>
    <row r="38" spans="8:12" ht="28.8" customHeight="1" x14ac:dyDescent="0.3"/>
    <row r="39" spans="8:12" ht="28.8" customHeight="1" x14ac:dyDescent="0.3"/>
    <row r="40" spans="8:12" ht="28.8" customHeight="1" x14ac:dyDescent="0.3"/>
    <row r="41" spans="8:12" ht="28.8" customHeight="1" x14ac:dyDescent="0.3"/>
    <row r="42" spans="8:12" ht="28.8" customHeight="1" x14ac:dyDescent="0.3"/>
    <row r="43" spans="8:12" ht="28.8" customHeight="1" x14ac:dyDescent="0.3"/>
    <row r="44" spans="8:12" ht="28.8" customHeight="1" x14ac:dyDescent="0.3"/>
    <row r="45" spans="8:12" ht="28.8" customHeight="1" x14ac:dyDescent="0.3"/>
    <row r="46" spans="8:12" ht="28.8" customHeight="1" x14ac:dyDescent="0.3"/>
    <row r="47" spans="8:12" ht="28.8" customHeight="1" x14ac:dyDescent="0.3"/>
    <row r="48" spans="8:12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1">
    <mergeCell ref="H12:L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D83D1-DE8A-4B61-9E34-406C839CC34A}">
  <sheetPr codeName="Planilha42">
    <tabColor rgb="FF7030A0"/>
  </sheetPr>
  <dimension ref="A1:AW66"/>
  <sheetViews>
    <sheetView zoomScale="40" zoomScaleNormal="40" workbookViewId="0">
      <selection activeCell="H12" sqref="H12:L38"/>
    </sheetView>
  </sheetViews>
  <sheetFormatPr defaultRowHeight="14.4" x14ac:dyDescent="0.3"/>
  <cols>
    <col min="1" max="4" width="8.88671875" style="178"/>
    <col min="5" max="5" width="72.33203125" style="178" bestFit="1" customWidth="1"/>
    <col min="6" max="6" width="23.21875" style="178" bestFit="1" customWidth="1"/>
    <col min="7" max="7" width="26" style="178" bestFit="1" customWidth="1"/>
    <col min="8" max="8" width="25.6640625" style="178" bestFit="1" customWidth="1"/>
    <col min="9" max="9" width="22.88671875" style="178" bestFit="1" customWidth="1"/>
    <col min="10" max="10" width="27.88671875" style="178" bestFit="1" customWidth="1"/>
    <col min="11" max="11" width="36.77734375" style="178" bestFit="1" customWidth="1"/>
    <col min="12" max="12" width="25.44140625" style="178" bestFit="1" customWidth="1"/>
    <col min="13" max="13" width="29" style="178" bestFit="1" customWidth="1"/>
    <col min="14" max="14" width="47.88671875" style="178" bestFit="1" customWidth="1"/>
    <col min="15" max="15" width="29.33203125" style="178" customWidth="1"/>
    <col min="16" max="16" width="73.44140625" style="178" customWidth="1"/>
    <col min="17" max="17" width="15.5546875" style="178" customWidth="1"/>
    <col min="18" max="21" width="8.88671875" style="178"/>
    <col min="22" max="22" width="23.44140625" style="178" bestFit="1" customWidth="1"/>
    <col min="23" max="23" width="2.6640625" style="178" bestFit="1" customWidth="1"/>
    <col min="24" max="24" width="51.109375" style="178" customWidth="1"/>
    <col min="25" max="16384" width="8.88671875" style="178"/>
  </cols>
  <sheetData>
    <row r="1" spans="1:49" x14ac:dyDescent="0.3">
      <c r="A1" s="182"/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</row>
    <row r="2" spans="1:49" x14ac:dyDescent="0.3">
      <c r="A2" s="182"/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</row>
    <row r="3" spans="1:49" ht="61.2" customHeight="1" x14ac:dyDescent="0.3">
      <c r="A3" s="182"/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</row>
    <row r="4" spans="1:49" ht="46.2" customHeight="1" x14ac:dyDescent="0.3">
      <c r="A4" s="268"/>
      <c r="B4" s="268"/>
      <c r="C4" s="268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8"/>
      <c r="Q4" s="268"/>
      <c r="R4" s="268"/>
      <c r="S4" s="268"/>
      <c r="T4" s="268"/>
      <c r="U4" s="268"/>
      <c r="V4" s="268"/>
      <c r="W4" s="268"/>
      <c r="X4" s="268"/>
      <c r="Y4" s="268"/>
      <c r="Z4" s="268"/>
      <c r="AA4" s="268"/>
      <c r="AB4" s="268"/>
      <c r="AC4" s="268"/>
      <c r="AD4" s="268"/>
      <c r="AE4" s="268"/>
      <c r="AF4" s="268"/>
      <c r="AG4" s="268"/>
      <c r="AH4" s="268"/>
      <c r="AI4" s="268"/>
      <c r="AJ4" s="268"/>
      <c r="AK4" s="268"/>
      <c r="AL4" s="268"/>
      <c r="AM4" s="268"/>
      <c r="AN4" s="268"/>
      <c r="AO4" s="268"/>
      <c r="AP4" s="268"/>
      <c r="AQ4" s="268"/>
      <c r="AR4" s="268"/>
      <c r="AS4" s="268"/>
      <c r="AT4" s="268"/>
      <c r="AU4" s="268"/>
      <c r="AV4" s="268"/>
      <c r="AW4" s="268"/>
    </row>
    <row r="5" spans="1:49" x14ac:dyDescent="0.3">
      <c r="A5" s="268"/>
      <c r="B5" s="268"/>
      <c r="C5" s="268"/>
      <c r="D5" s="268"/>
      <c r="E5" s="268"/>
      <c r="F5" s="268"/>
      <c r="G5" s="268"/>
      <c r="H5" s="268"/>
      <c r="I5" s="268"/>
      <c r="J5" s="268"/>
      <c r="K5" s="268"/>
      <c r="L5" s="268"/>
      <c r="M5" s="268"/>
      <c r="N5" s="268"/>
      <c r="O5" s="268"/>
      <c r="P5" s="268"/>
      <c r="Q5" s="268"/>
      <c r="R5" s="268"/>
      <c r="S5" s="268"/>
      <c r="T5" s="268"/>
      <c r="U5" s="268"/>
      <c r="V5" s="268"/>
      <c r="W5" s="268"/>
      <c r="X5" s="268"/>
      <c r="Y5" s="268"/>
      <c r="Z5" s="268"/>
      <c r="AA5" s="268"/>
      <c r="AB5" s="268"/>
      <c r="AC5" s="268"/>
      <c r="AD5" s="268"/>
      <c r="AE5" s="268"/>
      <c r="AF5" s="268"/>
      <c r="AG5" s="268"/>
      <c r="AH5" s="268"/>
      <c r="AI5" s="268"/>
      <c r="AJ5" s="268"/>
      <c r="AK5" s="268"/>
      <c r="AL5" s="268"/>
      <c r="AM5" s="268"/>
      <c r="AN5" s="268"/>
      <c r="AO5" s="268"/>
      <c r="AP5" s="268"/>
      <c r="AQ5" s="268"/>
      <c r="AR5" s="268"/>
      <c r="AS5" s="268"/>
      <c r="AT5" s="268"/>
      <c r="AU5" s="268"/>
      <c r="AV5" s="268"/>
      <c r="AW5" s="268"/>
    </row>
    <row r="6" spans="1:49" x14ac:dyDescent="0.3">
      <c r="A6" s="268"/>
      <c r="B6" s="268"/>
      <c r="C6" s="268"/>
      <c r="D6" s="268"/>
      <c r="E6" s="268"/>
      <c r="F6" s="268"/>
      <c r="G6" s="268"/>
      <c r="H6" s="268"/>
      <c r="I6" s="268"/>
      <c r="J6" s="268"/>
      <c r="K6" s="268"/>
      <c r="L6" s="268"/>
      <c r="M6" s="268"/>
      <c r="N6" s="268"/>
      <c r="O6" s="268"/>
      <c r="P6" s="268"/>
      <c r="Q6" s="268"/>
      <c r="R6" s="268"/>
      <c r="S6" s="268"/>
      <c r="T6" s="268"/>
      <c r="U6" s="268"/>
      <c r="V6" s="268"/>
      <c r="W6" s="268"/>
      <c r="X6" s="268"/>
      <c r="Y6" s="268"/>
      <c r="Z6" s="268"/>
      <c r="AA6" s="268"/>
      <c r="AB6" s="268"/>
      <c r="AC6" s="268"/>
      <c r="AD6" s="268"/>
      <c r="AE6" s="268"/>
      <c r="AF6" s="268"/>
      <c r="AG6" s="268"/>
      <c r="AH6" s="268"/>
      <c r="AI6" s="268"/>
      <c r="AJ6" s="268"/>
      <c r="AK6" s="268"/>
      <c r="AL6" s="268"/>
      <c r="AM6" s="268"/>
      <c r="AN6" s="268"/>
      <c r="AO6" s="268"/>
      <c r="AP6" s="268"/>
      <c r="AQ6" s="268"/>
      <c r="AR6" s="268"/>
      <c r="AS6" s="268"/>
      <c r="AT6" s="268"/>
      <c r="AU6" s="268"/>
      <c r="AV6" s="268"/>
      <c r="AW6" s="268"/>
    </row>
    <row r="7" spans="1:49" x14ac:dyDescent="0.3">
      <c r="A7" s="268"/>
      <c r="B7" s="268"/>
      <c r="C7" s="268"/>
      <c r="D7" s="268"/>
      <c r="E7" s="268"/>
      <c r="F7" s="268"/>
      <c r="G7" s="268"/>
      <c r="H7" s="268"/>
      <c r="I7" s="268"/>
      <c r="J7" s="268"/>
      <c r="K7" s="268"/>
      <c r="L7" s="268"/>
      <c r="M7" s="268"/>
      <c r="N7" s="268"/>
      <c r="O7" s="268"/>
      <c r="P7" s="268"/>
      <c r="Q7" s="268"/>
      <c r="R7" s="268"/>
      <c r="S7" s="268"/>
      <c r="T7" s="268"/>
      <c r="U7" s="268"/>
      <c r="V7" s="268"/>
      <c r="W7" s="268"/>
      <c r="X7" s="268"/>
      <c r="Y7" s="268"/>
      <c r="Z7" s="268"/>
      <c r="AA7" s="268"/>
      <c r="AB7" s="268"/>
      <c r="AC7" s="268"/>
      <c r="AD7" s="268"/>
      <c r="AE7" s="268"/>
      <c r="AF7" s="268"/>
      <c r="AG7" s="268"/>
      <c r="AH7" s="268"/>
      <c r="AI7" s="268"/>
      <c r="AJ7" s="268"/>
      <c r="AK7" s="268"/>
      <c r="AL7" s="268"/>
      <c r="AM7" s="268"/>
      <c r="AN7" s="268"/>
      <c r="AO7" s="268"/>
      <c r="AP7" s="268"/>
      <c r="AQ7" s="268"/>
      <c r="AR7" s="268"/>
      <c r="AS7" s="268"/>
      <c r="AT7" s="268"/>
      <c r="AU7" s="268"/>
      <c r="AV7" s="268"/>
      <c r="AW7" s="268"/>
    </row>
    <row r="8" spans="1:49" ht="28.8" customHeight="1" x14ac:dyDescent="0.3"/>
    <row r="9" spans="1:49" ht="28.8" customHeight="1" x14ac:dyDescent="0.3"/>
    <row r="10" spans="1:49" ht="28.8" customHeight="1" x14ac:dyDescent="0.3"/>
    <row r="11" spans="1:49" ht="28.8" customHeight="1" thickBot="1" x14ac:dyDescent="0.35"/>
    <row r="12" spans="1:49" ht="28.8" customHeight="1" x14ac:dyDescent="0.3">
      <c r="H12" s="423" t="s">
        <v>371</v>
      </c>
      <c r="I12" s="424"/>
      <c r="J12" s="424"/>
      <c r="K12" s="424"/>
      <c r="L12" s="425"/>
    </row>
    <row r="13" spans="1:49" ht="28.8" customHeight="1" thickBot="1" x14ac:dyDescent="0.35">
      <c r="H13" s="426"/>
      <c r="I13" s="427"/>
      <c r="J13" s="427"/>
      <c r="K13" s="427"/>
      <c r="L13" s="428"/>
    </row>
    <row r="14" spans="1:49" ht="28.8" customHeight="1" thickBot="1" x14ac:dyDescent="0.35">
      <c r="H14" s="8"/>
      <c r="I14" s="62"/>
      <c r="J14" s="62"/>
      <c r="K14" s="62"/>
      <c r="L14" s="63"/>
    </row>
    <row r="15" spans="1:49" ht="28.8" customHeight="1" thickBot="1" x14ac:dyDescent="0.35">
      <c r="H15" s="8"/>
      <c r="I15" s="458" t="s">
        <v>365</v>
      </c>
      <c r="J15" s="62"/>
      <c r="K15" s="60"/>
      <c r="L15" s="63"/>
    </row>
    <row r="16" spans="1:49" ht="28.8" customHeight="1" thickBot="1" x14ac:dyDescent="0.35">
      <c r="H16" s="8"/>
      <c r="I16" s="92" t="s">
        <v>13</v>
      </c>
      <c r="J16" s="62"/>
      <c r="K16" s="62"/>
      <c r="L16" s="63"/>
    </row>
    <row r="17" spans="8:12" ht="28.8" customHeight="1" thickBot="1" x14ac:dyDescent="0.35">
      <c r="H17" s="8"/>
      <c r="I17" s="458" t="s">
        <v>366</v>
      </c>
      <c r="J17" s="62"/>
      <c r="K17" s="60"/>
      <c r="L17" s="63"/>
    </row>
    <row r="18" spans="8:12" ht="28.8" customHeight="1" thickBot="1" x14ac:dyDescent="0.35">
      <c r="H18" s="8"/>
      <c r="I18" s="92" t="s">
        <v>13</v>
      </c>
      <c r="J18" s="62"/>
      <c r="K18" s="62"/>
      <c r="L18" s="63"/>
    </row>
    <row r="19" spans="8:12" ht="28.8" customHeight="1" thickBot="1" x14ac:dyDescent="0.35">
      <c r="H19" s="8"/>
      <c r="I19" s="458" t="s">
        <v>293</v>
      </c>
      <c r="J19" s="62"/>
      <c r="K19" s="60"/>
      <c r="L19" s="63"/>
    </row>
    <row r="20" spans="8:12" ht="28.8" customHeight="1" thickBot="1" x14ac:dyDescent="0.35">
      <c r="H20" s="8"/>
      <c r="I20" s="92" t="s">
        <v>13</v>
      </c>
      <c r="J20" s="62"/>
      <c r="K20" s="62"/>
      <c r="L20" s="63"/>
    </row>
    <row r="21" spans="8:12" ht="28.8" customHeight="1" thickBot="1" x14ac:dyDescent="0.35">
      <c r="H21" s="8"/>
      <c r="I21" s="458" t="s">
        <v>282</v>
      </c>
      <c r="J21" s="62"/>
      <c r="K21" s="60"/>
      <c r="L21" s="63"/>
    </row>
    <row r="22" spans="8:12" ht="28.8" customHeight="1" thickBot="1" x14ac:dyDescent="0.35">
      <c r="H22" s="8"/>
      <c r="I22" s="92" t="s">
        <v>13</v>
      </c>
      <c r="J22" s="62"/>
      <c r="K22" s="62"/>
      <c r="L22" s="63"/>
    </row>
    <row r="23" spans="8:12" ht="28.8" customHeight="1" thickBot="1" x14ac:dyDescent="0.35">
      <c r="H23" s="8"/>
      <c r="I23" s="458" t="s">
        <v>283</v>
      </c>
      <c r="J23" s="62"/>
      <c r="K23" s="60"/>
      <c r="L23" s="63"/>
    </row>
    <row r="24" spans="8:12" ht="28.8" customHeight="1" thickBot="1" x14ac:dyDescent="0.35">
      <c r="H24" s="8"/>
      <c r="I24" s="92" t="s">
        <v>13</v>
      </c>
      <c r="J24" s="62"/>
      <c r="K24" s="62"/>
      <c r="L24" s="63"/>
    </row>
    <row r="25" spans="8:12" ht="28.8" customHeight="1" thickBot="1" x14ac:dyDescent="0.35">
      <c r="H25" s="8"/>
      <c r="I25" s="458" t="s">
        <v>367</v>
      </c>
      <c r="J25" s="62"/>
      <c r="K25" s="60"/>
      <c r="L25" s="63"/>
    </row>
    <row r="26" spans="8:12" ht="28.8" customHeight="1" thickBot="1" x14ac:dyDescent="0.35">
      <c r="H26" s="8"/>
      <c r="I26" s="92" t="s">
        <v>13</v>
      </c>
      <c r="J26" s="62"/>
      <c r="K26" s="62"/>
      <c r="L26" s="63"/>
    </row>
    <row r="27" spans="8:12" ht="28.8" customHeight="1" thickBot="1" x14ac:dyDescent="0.35">
      <c r="H27" s="8"/>
      <c r="I27" s="458" t="s">
        <v>368</v>
      </c>
      <c r="J27" s="62"/>
      <c r="K27" s="60"/>
      <c r="L27" s="63"/>
    </row>
    <row r="28" spans="8:12" ht="28.8" customHeight="1" thickBot="1" x14ac:dyDescent="0.35">
      <c r="H28" s="75"/>
      <c r="I28" s="92"/>
      <c r="J28" s="86"/>
      <c r="K28" s="86"/>
      <c r="L28" s="7"/>
    </row>
    <row r="29" spans="8:12" ht="28.8" customHeight="1" thickBot="1" x14ac:dyDescent="0.35">
      <c r="H29" s="75"/>
      <c r="I29" s="458" t="s">
        <v>369</v>
      </c>
      <c r="J29" s="86"/>
      <c r="K29" s="50"/>
      <c r="L29" s="7"/>
    </row>
    <row r="30" spans="8:12" ht="28.8" customHeight="1" thickBot="1" x14ac:dyDescent="0.35">
      <c r="H30" s="75"/>
      <c r="I30" s="92"/>
      <c r="J30" s="86"/>
      <c r="K30" s="86"/>
      <c r="L30" s="7"/>
    </row>
    <row r="31" spans="8:12" ht="28.8" customHeight="1" thickBot="1" x14ac:dyDescent="0.35">
      <c r="H31" s="75"/>
      <c r="I31" s="458" t="s">
        <v>370</v>
      </c>
      <c r="J31" s="86"/>
      <c r="K31" s="50"/>
      <c r="L31" s="7"/>
    </row>
    <row r="32" spans="8:12" ht="28.8" customHeight="1" x14ac:dyDescent="0.3">
      <c r="H32" s="75"/>
      <c r="I32" s="70"/>
      <c r="J32" s="86"/>
      <c r="K32" s="86"/>
      <c r="L32" s="7"/>
    </row>
    <row r="33" spans="8:12" ht="28.8" customHeight="1" x14ac:dyDescent="0.3">
      <c r="H33" s="75"/>
      <c r="I33" s="86"/>
      <c r="J33" s="86"/>
      <c r="K33" s="86"/>
      <c r="L33" s="7"/>
    </row>
    <row r="34" spans="8:12" ht="28.8" customHeight="1" x14ac:dyDescent="0.3">
      <c r="H34" s="75"/>
      <c r="I34" s="86"/>
      <c r="J34" s="86"/>
      <c r="K34" s="86"/>
      <c r="L34" s="7"/>
    </row>
    <row r="35" spans="8:12" ht="28.8" customHeight="1" x14ac:dyDescent="0.3">
      <c r="H35" s="75"/>
      <c r="I35" s="86"/>
      <c r="J35" s="86"/>
      <c r="K35" s="86"/>
      <c r="L35" s="7"/>
    </row>
    <row r="36" spans="8:12" ht="28.8" customHeight="1" x14ac:dyDescent="0.3">
      <c r="H36" s="75"/>
      <c r="I36" s="86"/>
      <c r="J36" s="86"/>
      <c r="K36" s="86"/>
      <c r="L36" s="7"/>
    </row>
    <row r="37" spans="8:12" ht="28.8" customHeight="1" x14ac:dyDescent="0.3">
      <c r="H37" s="75"/>
      <c r="I37" s="86"/>
      <c r="J37" s="86"/>
      <c r="K37" s="86"/>
      <c r="L37" s="7"/>
    </row>
    <row r="38" spans="8:12" ht="28.8" customHeight="1" thickBot="1" x14ac:dyDescent="0.35">
      <c r="H38" s="87"/>
      <c r="I38" s="88"/>
      <c r="J38" s="88"/>
      <c r="K38" s="88"/>
      <c r="L38" s="89"/>
    </row>
    <row r="39" spans="8:12" ht="28.8" customHeight="1" x14ac:dyDescent="0.3"/>
    <row r="40" spans="8:12" ht="28.8" customHeight="1" x14ac:dyDescent="0.3"/>
    <row r="41" spans="8:12" ht="28.8" customHeight="1" x14ac:dyDescent="0.3"/>
    <row r="42" spans="8:12" ht="28.8" customHeight="1" x14ac:dyDescent="0.3"/>
    <row r="43" spans="8:12" ht="28.8" customHeight="1" x14ac:dyDescent="0.3"/>
    <row r="44" spans="8:12" ht="28.8" customHeight="1" x14ac:dyDescent="0.3"/>
    <row r="45" spans="8:12" ht="28.8" customHeight="1" x14ac:dyDescent="0.3"/>
    <row r="46" spans="8:12" ht="28.8" customHeight="1" x14ac:dyDescent="0.3"/>
    <row r="47" spans="8:12" ht="28.8" customHeight="1" x14ac:dyDescent="0.3"/>
    <row r="48" spans="8:12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1">
    <mergeCell ref="H12:L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0FEF8-CD32-4F59-8452-17067DCCF61B}">
  <sheetPr codeName="Planilha43">
    <tabColor rgb="FF7030A0"/>
  </sheetPr>
  <dimension ref="A1:AW66"/>
  <sheetViews>
    <sheetView zoomScale="40" zoomScaleNormal="40" workbookViewId="0">
      <selection activeCell="M25" sqref="M25"/>
    </sheetView>
  </sheetViews>
  <sheetFormatPr defaultRowHeight="14.4" x14ac:dyDescent="0.3"/>
  <cols>
    <col min="1" max="4" width="8.88671875" style="178"/>
    <col min="5" max="5" width="72.33203125" style="178" bestFit="1" customWidth="1"/>
    <col min="6" max="6" width="23.21875" style="178" bestFit="1" customWidth="1"/>
    <col min="7" max="7" width="26" style="178" bestFit="1" customWidth="1"/>
    <col min="8" max="8" width="25.6640625" style="178" bestFit="1" customWidth="1"/>
    <col min="9" max="9" width="22.88671875" style="178" bestFit="1" customWidth="1"/>
    <col min="10" max="10" width="27.88671875" style="178" bestFit="1" customWidth="1"/>
    <col min="11" max="11" width="36.77734375" style="178" bestFit="1" customWidth="1"/>
    <col min="12" max="12" width="25.44140625" style="178" bestFit="1" customWidth="1"/>
    <col min="13" max="13" width="29" style="178" bestFit="1" customWidth="1"/>
    <col min="14" max="14" width="47.88671875" style="178" bestFit="1" customWidth="1"/>
    <col min="15" max="15" width="29.33203125" style="178" customWidth="1"/>
    <col min="16" max="16" width="73.44140625" style="178" customWidth="1"/>
    <col min="17" max="17" width="15.5546875" style="178" customWidth="1"/>
    <col min="18" max="21" width="8.88671875" style="178"/>
    <col min="22" max="22" width="23.44140625" style="178" bestFit="1" customWidth="1"/>
    <col min="23" max="23" width="2.6640625" style="178" bestFit="1" customWidth="1"/>
    <col min="24" max="24" width="51.109375" style="178" customWidth="1"/>
    <col min="25" max="16384" width="8.88671875" style="178"/>
  </cols>
  <sheetData>
    <row r="1" spans="1:49" x14ac:dyDescent="0.3">
      <c r="A1" s="182"/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</row>
    <row r="2" spans="1:49" x14ac:dyDescent="0.3">
      <c r="A2" s="182"/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</row>
    <row r="3" spans="1:49" ht="61.2" customHeight="1" x14ac:dyDescent="0.3">
      <c r="A3" s="182"/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</row>
    <row r="4" spans="1:49" ht="46.2" customHeight="1" x14ac:dyDescent="0.3">
      <c r="A4" s="268"/>
      <c r="B4" s="268"/>
      <c r="C4" s="268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8"/>
      <c r="Q4" s="268"/>
      <c r="R4" s="268"/>
      <c r="S4" s="268"/>
      <c r="T4" s="268"/>
      <c r="U4" s="268"/>
      <c r="V4" s="268"/>
      <c r="W4" s="268"/>
      <c r="X4" s="268"/>
      <c r="Y4" s="268"/>
      <c r="Z4" s="268"/>
      <c r="AA4" s="268"/>
      <c r="AB4" s="268"/>
      <c r="AC4" s="268"/>
      <c r="AD4" s="268"/>
      <c r="AE4" s="268"/>
      <c r="AF4" s="268"/>
      <c r="AG4" s="268"/>
      <c r="AH4" s="268"/>
      <c r="AI4" s="268"/>
      <c r="AJ4" s="268"/>
      <c r="AK4" s="268"/>
      <c r="AL4" s="268"/>
      <c r="AM4" s="268"/>
      <c r="AN4" s="268"/>
      <c r="AO4" s="268"/>
      <c r="AP4" s="268"/>
      <c r="AQ4" s="268"/>
      <c r="AR4" s="268"/>
      <c r="AS4" s="268"/>
      <c r="AT4" s="268"/>
      <c r="AU4" s="268"/>
      <c r="AV4" s="268"/>
      <c r="AW4" s="268"/>
    </row>
    <row r="5" spans="1:49" x14ac:dyDescent="0.3">
      <c r="A5" s="268"/>
      <c r="B5" s="268"/>
      <c r="C5" s="268"/>
      <c r="D5" s="268"/>
      <c r="E5" s="268"/>
      <c r="F5" s="268"/>
      <c r="G5" s="268"/>
      <c r="H5" s="268"/>
      <c r="I5" s="268"/>
      <c r="J5" s="268"/>
      <c r="K5" s="268"/>
      <c r="L5" s="268"/>
      <c r="M5" s="268"/>
      <c r="N5" s="268"/>
      <c r="O5" s="268"/>
      <c r="P5" s="268"/>
      <c r="Q5" s="268"/>
      <c r="R5" s="268"/>
      <c r="S5" s="268"/>
      <c r="T5" s="268"/>
      <c r="U5" s="268"/>
      <c r="V5" s="268"/>
      <c r="W5" s="268"/>
      <c r="X5" s="268"/>
      <c r="Y5" s="268"/>
      <c r="Z5" s="268"/>
      <c r="AA5" s="268"/>
      <c r="AB5" s="268"/>
      <c r="AC5" s="268"/>
      <c r="AD5" s="268"/>
      <c r="AE5" s="268"/>
      <c r="AF5" s="268"/>
      <c r="AG5" s="268"/>
      <c r="AH5" s="268"/>
      <c r="AI5" s="268"/>
      <c r="AJ5" s="268"/>
      <c r="AK5" s="268"/>
      <c r="AL5" s="268"/>
      <c r="AM5" s="268"/>
      <c r="AN5" s="268"/>
      <c r="AO5" s="268"/>
      <c r="AP5" s="268"/>
      <c r="AQ5" s="268"/>
      <c r="AR5" s="268"/>
      <c r="AS5" s="268"/>
      <c r="AT5" s="268"/>
      <c r="AU5" s="268"/>
      <c r="AV5" s="268"/>
      <c r="AW5" s="268"/>
    </row>
    <row r="6" spans="1:49" x14ac:dyDescent="0.3">
      <c r="A6" s="268"/>
      <c r="B6" s="268"/>
      <c r="C6" s="268"/>
      <c r="D6" s="268"/>
      <c r="E6" s="268"/>
      <c r="F6" s="268"/>
      <c r="G6" s="268"/>
      <c r="H6" s="268"/>
      <c r="I6" s="268"/>
      <c r="J6" s="268"/>
      <c r="K6" s="268"/>
      <c r="L6" s="268"/>
      <c r="M6" s="268"/>
      <c r="N6" s="268"/>
      <c r="O6" s="268"/>
      <c r="P6" s="268"/>
      <c r="Q6" s="268"/>
      <c r="R6" s="268"/>
      <c r="S6" s="268"/>
      <c r="T6" s="268"/>
      <c r="U6" s="268"/>
      <c r="V6" s="268"/>
      <c r="W6" s="268"/>
      <c r="X6" s="268"/>
      <c r="Y6" s="268"/>
      <c r="Z6" s="268"/>
      <c r="AA6" s="268"/>
      <c r="AB6" s="268"/>
      <c r="AC6" s="268"/>
      <c r="AD6" s="268"/>
      <c r="AE6" s="268"/>
      <c r="AF6" s="268"/>
      <c r="AG6" s="268"/>
      <c r="AH6" s="268"/>
      <c r="AI6" s="268"/>
      <c r="AJ6" s="268"/>
      <c r="AK6" s="268"/>
      <c r="AL6" s="268"/>
      <c r="AM6" s="268"/>
      <c r="AN6" s="268"/>
      <c r="AO6" s="268"/>
      <c r="AP6" s="268"/>
      <c r="AQ6" s="268"/>
      <c r="AR6" s="268"/>
      <c r="AS6" s="268"/>
      <c r="AT6" s="268"/>
      <c r="AU6" s="268"/>
      <c r="AV6" s="268"/>
      <c r="AW6" s="268"/>
    </row>
    <row r="7" spans="1:49" x14ac:dyDescent="0.3">
      <c r="A7" s="268"/>
      <c r="B7" s="268"/>
      <c r="C7" s="268"/>
      <c r="D7" s="268"/>
      <c r="E7" s="268"/>
      <c r="F7" s="268"/>
      <c r="G7" s="268"/>
      <c r="H7" s="268"/>
      <c r="I7" s="268"/>
      <c r="J7" s="268"/>
      <c r="K7" s="268"/>
      <c r="L7" s="268"/>
      <c r="M7" s="268"/>
      <c r="N7" s="268"/>
      <c r="O7" s="268"/>
      <c r="P7" s="268"/>
      <c r="Q7" s="268"/>
      <c r="R7" s="268"/>
      <c r="S7" s="268"/>
      <c r="T7" s="268"/>
      <c r="U7" s="268"/>
      <c r="V7" s="268"/>
      <c r="W7" s="268"/>
      <c r="X7" s="268"/>
      <c r="Y7" s="268"/>
      <c r="Z7" s="268"/>
      <c r="AA7" s="268"/>
      <c r="AB7" s="268"/>
      <c r="AC7" s="268"/>
      <c r="AD7" s="268"/>
      <c r="AE7" s="268"/>
      <c r="AF7" s="268"/>
      <c r="AG7" s="268"/>
      <c r="AH7" s="268"/>
      <c r="AI7" s="268"/>
      <c r="AJ7" s="268"/>
      <c r="AK7" s="268"/>
      <c r="AL7" s="268"/>
      <c r="AM7" s="268"/>
      <c r="AN7" s="268"/>
      <c r="AO7" s="268"/>
      <c r="AP7" s="268"/>
      <c r="AQ7" s="268"/>
      <c r="AR7" s="268"/>
      <c r="AS7" s="268"/>
      <c r="AT7" s="268"/>
      <c r="AU7" s="268"/>
      <c r="AV7" s="268"/>
      <c r="AW7" s="268"/>
    </row>
    <row r="8" spans="1:49" ht="28.8" customHeight="1" x14ac:dyDescent="0.3"/>
    <row r="9" spans="1:49" ht="28.8" customHeight="1" x14ac:dyDescent="0.3"/>
    <row r="10" spans="1:49" ht="28.8" customHeight="1" x14ac:dyDescent="0.3"/>
    <row r="11" spans="1:49" ht="28.8" customHeight="1" thickBot="1" x14ac:dyDescent="0.35"/>
    <row r="12" spans="1:49" ht="28.8" customHeight="1" x14ac:dyDescent="0.4">
      <c r="H12" s="423" t="s">
        <v>372</v>
      </c>
      <c r="I12" s="424"/>
      <c r="J12" s="424"/>
      <c r="K12" s="424"/>
      <c r="L12" s="425"/>
      <c r="N12" s="461" t="s">
        <v>374</v>
      </c>
      <c r="O12" s="461" t="s">
        <v>283</v>
      </c>
    </row>
    <row r="13" spans="1:49" ht="28.8" customHeight="1" thickBot="1" x14ac:dyDescent="0.4">
      <c r="H13" s="426"/>
      <c r="I13" s="427"/>
      <c r="J13" s="427"/>
      <c r="K13" s="427"/>
      <c r="L13" s="428"/>
      <c r="N13" s="462" t="s">
        <v>410</v>
      </c>
      <c r="O13" s="463">
        <v>16700</v>
      </c>
    </row>
    <row r="14" spans="1:49" ht="28.8" customHeight="1" thickBot="1" x14ac:dyDescent="0.35">
      <c r="H14" s="8"/>
      <c r="I14" s="62"/>
      <c r="J14" s="62"/>
      <c r="K14" s="62"/>
      <c r="L14" s="63"/>
      <c r="N14" s="68"/>
    </row>
    <row r="15" spans="1:49" ht="28.8" customHeight="1" thickBot="1" x14ac:dyDescent="0.35">
      <c r="H15" s="8"/>
      <c r="I15" s="458" t="s">
        <v>365</v>
      </c>
      <c r="J15" s="62"/>
      <c r="K15" s="60"/>
      <c r="L15" s="63"/>
      <c r="N15" s="68"/>
    </row>
    <row r="16" spans="1:49" ht="28.8" customHeight="1" thickBot="1" x14ac:dyDescent="0.45">
      <c r="H16" s="8"/>
      <c r="I16" s="92" t="s">
        <v>13</v>
      </c>
      <c r="J16" s="62"/>
      <c r="K16" s="62"/>
      <c r="L16" s="63"/>
      <c r="N16" s="461" t="s">
        <v>411</v>
      </c>
    </row>
    <row r="17" spans="8:15" ht="28.8" customHeight="1" thickBot="1" x14ac:dyDescent="0.4">
      <c r="H17" s="8"/>
      <c r="I17" s="458" t="s">
        <v>366</v>
      </c>
      <c r="J17" s="62"/>
      <c r="K17" s="60"/>
      <c r="L17" s="63"/>
      <c r="N17" s="464">
        <v>20</v>
      </c>
      <c r="O17" s="1"/>
    </row>
    <row r="18" spans="8:15" ht="28.8" customHeight="1" thickBot="1" x14ac:dyDescent="0.35">
      <c r="H18" s="8"/>
      <c r="I18" s="92" t="s">
        <v>13</v>
      </c>
      <c r="J18" s="62"/>
      <c r="K18" s="62"/>
      <c r="L18" s="63"/>
    </row>
    <row r="19" spans="8:15" ht="28.8" customHeight="1" thickBot="1" x14ac:dyDescent="0.35">
      <c r="H19" s="8"/>
      <c r="I19" s="458" t="s">
        <v>293</v>
      </c>
      <c r="J19" s="62"/>
      <c r="K19" s="60"/>
      <c r="L19" s="63"/>
    </row>
    <row r="20" spans="8:15" ht="28.8" customHeight="1" thickBot="1" x14ac:dyDescent="0.35">
      <c r="H20" s="8"/>
      <c r="I20" s="92" t="s">
        <v>13</v>
      </c>
      <c r="J20" s="62"/>
      <c r="K20" s="62"/>
      <c r="L20" s="63"/>
    </row>
    <row r="21" spans="8:15" ht="28.8" customHeight="1" thickBot="1" x14ac:dyDescent="0.35">
      <c r="H21" s="8"/>
      <c r="I21" s="458" t="s">
        <v>282</v>
      </c>
      <c r="J21" s="62"/>
      <c r="K21" s="60"/>
      <c r="L21" s="63"/>
    </row>
    <row r="22" spans="8:15" ht="28.8" customHeight="1" x14ac:dyDescent="0.3">
      <c r="H22" s="8"/>
      <c r="I22" s="70"/>
      <c r="J22" s="62"/>
      <c r="K22" s="62"/>
      <c r="L22" s="63"/>
    </row>
    <row r="23" spans="8:15" ht="28.8" customHeight="1" x14ac:dyDescent="0.3">
      <c r="H23" s="8"/>
      <c r="I23" s="86"/>
      <c r="J23" s="62"/>
      <c r="K23" s="459"/>
      <c r="L23" s="63"/>
    </row>
    <row r="24" spans="8:15" ht="28.8" customHeight="1" x14ac:dyDescent="0.3">
      <c r="H24" s="8"/>
      <c r="I24" s="86"/>
      <c r="J24" s="62"/>
      <c r="K24" s="62"/>
      <c r="L24" s="63"/>
    </row>
    <row r="25" spans="8:15" ht="28.8" customHeight="1" x14ac:dyDescent="0.3">
      <c r="H25" s="8"/>
      <c r="I25" s="86"/>
      <c r="J25" s="62"/>
      <c r="K25" s="62"/>
      <c r="L25" s="63"/>
    </row>
    <row r="26" spans="8:15" ht="28.8" customHeight="1" x14ac:dyDescent="0.3">
      <c r="H26" s="8"/>
      <c r="I26" s="86"/>
      <c r="J26" s="62"/>
      <c r="K26" s="62"/>
      <c r="L26" s="63"/>
    </row>
    <row r="27" spans="8:15" ht="28.8" customHeight="1" thickBot="1" x14ac:dyDescent="0.35">
      <c r="H27" s="64"/>
      <c r="I27" s="88"/>
      <c r="J27" s="65"/>
      <c r="K27" s="460"/>
      <c r="L27" s="66"/>
    </row>
    <row r="28" spans="8:15" ht="28.8" customHeight="1" x14ac:dyDescent="0.3"/>
    <row r="29" spans="8:15" ht="28.8" customHeight="1" x14ac:dyDescent="0.3"/>
    <row r="30" spans="8:15" ht="28.8" customHeight="1" x14ac:dyDescent="0.3"/>
    <row r="31" spans="8:15" ht="28.8" customHeight="1" x14ac:dyDescent="0.3"/>
    <row r="32" spans="8:15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1">
    <mergeCell ref="H12:L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82836-25C8-47A6-A7B2-4739FD27837C}">
  <sheetPr codeName="Planilha45">
    <tabColor rgb="FF7030A0"/>
  </sheetPr>
  <dimension ref="A1:AW66"/>
  <sheetViews>
    <sheetView zoomScale="40" zoomScaleNormal="40" workbookViewId="0">
      <selection activeCell="H25" sqref="H25"/>
    </sheetView>
  </sheetViews>
  <sheetFormatPr defaultRowHeight="14.4" x14ac:dyDescent="0.3"/>
  <cols>
    <col min="1" max="4" width="8.88671875" style="178"/>
    <col min="5" max="5" width="72.33203125" style="178" bestFit="1" customWidth="1"/>
    <col min="6" max="6" width="23.21875" style="178" bestFit="1" customWidth="1"/>
    <col min="7" max="7" width="26" style="178" bestFit="1" customWidth="1"/>
    <col min="8" max="8" width="25.6640625" style="178" bestFit="1" customWidth="1"/>
    <col min="9" max="9" width="22.88671875" style="178" bestFit="1" customWidth="1"/>
    <col min="10" max="10" width="27.88671875" style="178" bestFit="1" customWidth="1"/>
    <col min="11" max="11" width="36.77734375" style="178" bestFit="1" customWidth="1"/>
    <col min="12" max="12" width="25.44140625" style="178" bestFit="1" customWidth="1"/>
    <col min="13" max="13" width="29" style="178" bestFit="1" customWidth="1"/>
    <col min="14" max="14" width="47.88671875" style="178" bestFit="1" customWidth="1"/>
    <col min="15" max="15" width="29.33203125" style="178" customWidth="1"/>
    <col min="16" max="16" width="73.44140625" style="178" customWidth="1"/>
    <col min="17" max="17" width="15.5546875" style="178" customWidth="1"/>
    <col min="18" max="21" width="8.88671875" style="178"/>
    <col min="22" max="22" width="23.44140625" style="178" bestFit="1" customWidth="1"/>
    <col min="23" max="23" width="2.6640625" style="178" bestFit="1" customWidth="1"/>
    <col min="24" max="24" width="51.109375" style="178" customWidth="1"/>
    <col min="25" max="16384" width="8.88671875" style="178"/>
  </cols>
  <sheetData>
    <row r="1" spans="1:49" x14ac:dyDescent="0.3">
      <c r="A1" s="182"/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</row>
    <row r="2" spans="1:49" x14ac:dyDescent="0.3">
      <c r="A2" s="182"/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</row>
    <row r="3" spans="1:49" ht="61.2" customHeight="1" x14ac:dyDescent="0.3">
      <c r="A3" s="182"/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</row>
    <row r="4" spans="1:49" ht="46.2" customHeight="1" x14ac:dyDescent="0.3">
      <c r="A4" s="268"/>
      <c r="B4" s="268"/>
      <c r="C4" s="268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8"/>
      <c r="Q4" s="268"/>
      <c r="R4" s="268"/>
      <c r="S4" s="268"/>
      <c r="T4" s="268"/>
      <c r="U4" s="268"/>
      <c r="V4" s="268"/>
      <c r="W4" s="268"/>
      <c r="X4" s="268"/>
      <c r="Y4" s="268"/>
      <c r="Z4" s="268"/>
      <c r="AA4" s="268"/>
      <c r="AB4" s="268"/>
      <c r="AC4" s="268"/>
      <c r="AD4" s="268"/>
      <c r="AE4" s="268"/>
      <c r="AF4" s="268"/>
      <c r="AG4" s="268"/>
      <c r="AH4" s="268"/>
      <c r="AI4" s="268"/>
      <c r="AJ4" s="268"/>
      <c r="AK4" s="268"/>
      <c r="AL4" s="268"/>
      <c r="AM4" s="268"/>
      <c r="AN4" s="268"/>
      <c r="AO4" s="268"/>
      <c r="AP4" s="268"/>
      <c r="AQ4" s="268"/>
      <c r="AR4" s="268"/>
      <c r="AS4" s="268"/>
      <c r="AT4" s="268"/>
      <c r="AU4" s="268"/>
      <c r="AV4" s="268"/>
      <c r="AW4" s="268"/>
    </row>
    <row r="5" spans="1:49" x14ac:dyDescent="0.3">
      <c r="A5" s="268"/>
      <c r="B5" s="268"/>
      <c r="C5" s="268"/>
      <c r="D5" s="268"/>
      <c r="E5" s="268"/>
      <c r="F5" s="268"/>
      <c r="G5" s="268"/>
      <c r="H5" s="268"/>
      <c r="I5" s="268"/>
      <c r="J5" s="268"/>
      <c r="K5" s="268"/>
      <c r="L5" s="268"/>
      <c r="M5" s="268"/>
      <c r="N5" s="268"/>
      <c r="O5" s="268"/>
      <c r="P5" s="268"/>
      <c r="Q5" s="268"/>
      <c r="R5" s="268"/>
      <c r="S5" s="268"/>
      <c r="T5" s="268"/>
      <c r="U5" s="268"/>
      <c r="V5" s="268"/>
      <c r="W5" s="268"/>
      <c r="X5" s="268"/>
      <c r="Y5" s="268"/>
      <c r="Z5" s="268"/>
      <c r="AA5" s="268"/>
      <c r="AB5" s="268"/>
      <c r="AC5" s="268"/>
      <c r="AD5" s="268"/>
      <c r="AE5" s="268"/>
      <c r="AF5" s="268"/>
      <c r="AG5" s="268"/>
      <c r="AH5" s="268"/>
      <c r="AI5" s="268"/>
      <c r="AJ5" s="268"/>
      <c r="AK5" s="268"/>
      <c r="AL5" s="268"/>
      <c r="AM5" s="268"/>
      <c r="AN5" s="268"/>
      <c r="AO5" s="268"/>
      <c r="AP5" s="268"/>
      <c r="AQ5" s="268"/>
      <c r="AR5" s="268"/>
      <c r="AS5" s="268"/>
      <c r="AT5" s="268"/>
      <c r="AU5" s="268"/>
      <c r="AV5" s="268"/>
      <c r="AW5" s="268"/>
    </row>
    <row r="6" spans="1:49" x14ac:dyDescent="0.3">
      <c r="A6" s="268"/>
      <c r="B6" s="268"/>
      <c r="C6" s="268"/>
      <c r="D6" s="268"/>
      <c r="E6" s="268"/>
      <c r="F6" s="268"/>
      <c r="G6" s="268"/>
      <c r="H6" s="268"/>
      <c r="I6" s="268"/>
      <c r="J6" s="268"/>
      <c r="K6" s="268"/>
      <c r="L6" s="268"/>
      <c r="M6" s="268"/>
      <c r="N6" s="268"/>
      <c r="O6" s="268"/>
      <c r="P6" s="268"/>
      <c r="Q6" s="268"/>
      <c r="R6" s="268"/>
      <c r="S6" s="268"/>
      <c r="T6" s="268"/>
      <c r="U6" s="268"/>
      <c r="V6" s="268"/>
      <c r="W6" s="268"/>
      <c r="X6" s="268"/>
      <c r="Y6" s="268"/>
      <c r="Z6" s="268"/>
      <c r="AA6" s="268"/>
      <c r="AB6" s="268"/>
      <c r="AC6" s="268"/>
      <c r="AD6" s="268"/>
      <c r="AE6" s="268"/>
      <c r="AF6" s="268"/>
      <c r="AG6" s="268"/>
      <c r="AH6" s="268"/>
      <c r="AI6" s="268"/>
      <c r="AJ6" s="268"/>
      <c r="AK6" s="268"/>
      <c r="AL6" s="268"/>
      <c r="AM6" s="268"/>
      <c r="AN6" s="268"/>
      <c r="AO6" s="268"/>
      <c r="AP6" s="268"/>
      <c r="AQ6" s="268"/>
      <c r="AR6" s="268"/>
      <c r="AS6" s="268"/>
      <c r="AT6" s="268"/>
      <c r="AU6" s="268"/>
      <c r="AV6" s="268"/>
      <c r="AW6" s="268"/>
    </row>
    <row r="7" spans="1:49" x14ac:dyDescent="0.3">
      <c r="A7" s="268"/>
      <c r="B7" s="268"/>
      <c r="C7" s="268"/>
      <c r="D7" s="268"/>
      <c r="E7" s="268"/>
      <c r="F7" s="268"/>
      <c r="G7" s="268"/>
      <c r="H7" s="268"/>
      <c r="I7" s="268"/>
      <c r="J7" s="268"/>
      <c r="K7" s="268"/>
      <c r="L7" s="268"/>
      <c r="M7" s="268"/>
      <c r="N7" s="268"/>
      <c r="O7" s="268"/>
      <c r="P7" s="268"/>
      <c r="Q7" s="268"/>
      <c r="R7" s="268"/>
      <c r="S7" s="268"/>
      <c r="T7" s="268"/>
      <c r="U7" s="268"/>
      <c r="V7" s="268"/>
      <c r="W7" s="268"/>
      <c r="X7" s="268"/>
      <c r="Y7" s="268"/>
      <c r="Z7" s="268"/>
      <c r="AA7" s="268"/>
      <c r="AB7" s="268"/>
      <c r="AC7" s="268"/>
      <c r="AD7" s="268"/>
      <c r="AE7" s="268"/>
      <c r="AF7" s="268"/>
      <c r="AG7" s="268"/>
      <c r="AH7" s="268"/>
      <c r="AI7" s="268"/>
      <c r="AJ7" s="268"/>
      <c r="AK7" s="268"/>
      <c r="AL7" s="268"/>
      <c r="AM7" s="268"/>
      <c r="AN7" s="268"/>
      <c r="AO7" s="268"/>
      <c r="AP7" s="268"/>
      <c r="AQ7" s="268"/>
      <c r="AR7" s="268"/>
      <c r="AS7" s="268"/>
      <c r="AT7" s="268"/>
      <c r="AU7" s="268"/>
      <c r="AV7" s="268"/>
      <c r="AW7" s="268"/>
    </row>
    <row r="8" spans="1:49" ht="28.8" customHeight="1" x14ac:dyDescent="0.3"/>
    <row r="9" spans="1:49" ht="28.8" customHeight="1" x14ac:dyDescent="0.3"/>
    <row r="10" spans="1:49" ht="28.8" customHeight="1" x14ac:dyDescent="0.3"/>
    <row r="11" spans="1:49" ht="28.8" customHeight="1" x14ac:dyDescent="0.3"/>
    <row r="12" spans="1:49" ht="28.8" customHeight="1" x14ac:dyDescent="0.3"/>
    <row r="13" spans="1:49" ht="28.8" customHeight="1" x14ac:dyDescent="0.3"/>
    <row r="14" spans="1:49" ht="28.8" customHeight="1" thickBot="1" x14ac:dyDescent="0.35"/>
    <row r="15" spans="1:49" ht="28.8" customHeight="1" x14ac:dyDescent="0.3">
      <c r="I15" s="423" t="s">
        <v>371</v>
      </c>
      <c r="J15" s="424"/>
      <c r="K15" s="424"/>
      <c r="L15" s="424"/>
      <c r="M15" s="425"/>
    </row>
    <row r="16" spans="1:49" ht="28.8" customHeight="1" thickBot="1" x14ac:dyDescent="0.35">
      <c r="I16" s="426"/>
      <c r="J16" s="427"/>
      <c r="K16" s="427"/>
      <c r="L16" s="427"/>
      <c r="M16" s="428"/>
    </row>
    <row r="17" spans="9:13" ht="28.8" customHeight="1" thickBot="1" x14ac:dyDescent="0.35">
      <c r="I17" s="8"/>
      <c r="J17" s="62"/>
      <c r="K17" s="62"/>
      <c r="L17" s="62"/>
      <c r="M17" s="63"/>
    </row>
    <row r="18" spans="9:13" ht="28.8" customHeight="1" thickBot="1" x14ac:dyDescent="0.35">
      <c r="I18" s="8"/>
      <c r="J18" s="458" t="s">
        <v>365</v>
      </c>
      <c r="K18" s="62"/>
      <c r="L18" s="60"/>
      <c r="M18" s="63"/>
    </row>
    <row r="19" spans="9:13" ht="28.8" customHeight="1" thickBot="1" x14ac:dyDescent="0.35">
      <c r="I19" s="8"/>
      <c r="J19" s="92" t="s">
        <v>13</v>
      </c>
      <c r="K19" s="62"/>
      <c r="L19" s="62"/>
      <c r="M19" s="63"/>
    </row>
    <row r="20" spans="9:13" ht="28.8" customHeight="1" thickBot="1" x14ac:dyDescent="0.35">
      <c r="I20" s="8"/>
      <c r="J20" s="458" t="s">
        <v>366</v>
      </c>
      <c r="K20" s="62"/>
      <c r="L20" s="60"/>
      <c r="M20" s="63"/>
    </row>
    <row r="21" spans="9:13" ht="28.8" customHeight="1" thickBot="1" x14ac:dyDescent="0.35">
      <c r="I21" s="8"/>
      <c r="J21" s="92" t="s">
        <v>13</v>
      </c>
      <c r="K21" s="62"/>
      <c r="L21" s="62"/>
      <c r="M21" s="63"/>
    </row>
    <row r="22" spans="9:13" ht="28.8" customHeight="1" thickBot="1" x14ac:dyDescent="0.35">
      <c r="I22" s="8"/>
      <c r="J22" s="458" t="s">
        <v>293</v>
      </c>
      <c r="K22" s="62"/>
      <c r="L22" s="60"/>
      <c r="M22" s="63"/>
    </row>
    <row r="23" spans="9:13" ht="28.8" customHeight="1" thickBot="1" x14ac:dyDescent="0.35">
      <c r="I23" s="8"/>
      <c r="J23" s="92" t="s">
        <v>13</v>
      </c>
      <c r="K23" s="62"/>
      <c r="L23" s="62"/>
      <c r="M23" s="63"/>
    </row>
    <row r="24" spans="9:13" ht="28.8" customHeight="1" thickBot="1" x14ac:dyDescent="0.35">
      <c r="I24" s="8"/>
      <c r="J24" s="458" t="s">
        <v>282</v>
      </c>
      <c r="K24" s="62"/>
      <c r="L24" s="60"/>
      <c r="M24" s="63"/>
    </row>
    <row r="25" spans="9:13" ht="28.8" customHeight="1" thickBot="1" x14ac:dyDescent="0.35">
      <c r="I25" s="8"/>
      <c r="J25" s="92" t="s">
        <v>13</v>
      </c>
      <c r="K25" s="62"/>
      <c r="L25" s="62"/>
      <c r="M25" s="63"/>
    </row>
    <row r="26" spans="9:13" ht="28.8" customHeight="1" thickBot="1" x14ac:dyDescent="0.35">
      <c r="I26" s="8"/>
      <c r="J26" s="458" t="s">
        <v>283</v>
      </c>
      <c r="K26" s="62"/>
      <c r="L26" s="60"/>
      <c r="M26" s="63"/>
    </row>
    <row r="27" spans="9:13" ht="28.8" customHeight="1" thickBot="1" x14ac:dyDescent="0.35">
      <c r="I27" s="8"/>
      <c r="J27" s="92" t="s">
        <v>13</v>
      </c>
      <c r="K27" s="62"/>
      <c r="L27" s="62"/>
      <c r="M27" s="63"/>
    </row>
    <row r="28" spans="9:13" ht="28.8" customHeight="1" thickBot="1" x14ac:dyDescent="0.35">
      <c r="I28" s="8"/>
      <c r="J28" s="458" t="s">
        <v>367</v>
      </c>
      <c r="K28" s="62"/>
      <c r="L28" s="60"/>
      <c r="M28" s="63"/>
    </row>
    <row r="29" spans="9:13" ht="28.8" customHeight="1" thickBot="1" x14ac:dyDescent="0.35">
      <c r="I29" s="8"/>
      <c r="J29" s="92" t="s">
        <v>13</v>
      </c>
      <c r="K29" s="62"/>
      <c r="L29" s="62"/>
      <c r="M29" s="63"/>
    </row>
    <row r="30" spans="9:13" ht="28.8" customHeight="1" thickBot="1" x14ac:dyDescent="0.35">
      <c r="I30" s="8"/>
      <c r="J30" s="458" t="s">
        <v>368</v>
      </c>
      <c r="K30" s="62"/>
      <c r="L30" s="60"/>
      <c r="M30" s="63"/>
    </row>
    <row r="31" spans="9:13" ht="28.8" customHeight="1" thickBot="1" x14ac:dyDescent="0.35">
      <c r="I31" s="75"/>
      <c r="J31" s="92"/>
      <c r="K31" s="86"/>
      <c r="L31" s="86"/>
      <c r="M31" s="7"/>
    </row>
    <row r="32" spans="9:13" ht="28.8" customHeight="1" thickBot="1" x14ac:dyDescent="0.35">
      <c r="I32" s="75"/>
      <c r="J32" s="458" t="s">
        <v>369</v>
      </c>
      <c r="K32" s="86"/>
      <c r="L32" s="50"/>
      <c r="M32" s="7"/>
    </row>
    <row r="33" spans="9:13" ht="28.8" customHeight="1" thickBot="1" x14ac:dyDescent="0.35">
      <c r="I33" s="75"/>
      <c r="J33" s="92"/>
      <c r="K33" s="86"/>
      <c r="L33" s="86"/>
      <c r="M33" s="7"/>
    </row>
    <row r="34" spans="9:13" ht="28.8" customHeight="1" thickBot="1" x14ac:dyDescent="0.35">
      <c r="I34" s="75"/>
      <c r="J34" s="458" t="s">
        <v>370</v>
      </c>
      <c r="K34" s="86"/>
      <c r="L34" s="50"/>
      <c r="M34" s="7"/>
    </row>
    <row r="35" spans="9:13" ht="28.8" customHeight="1" x14ac:dyDescent="0.3">
      <c r="I35" s="75"/>
      <c r="J35" s="70"/>
      <c r="K35" s="86"/>
      <c r="L35" s="86"/>
      <c r="M35" s="7"/>
    </row>
    <row r="36" spans="9:13" ht="28.8" customHeight="1" thickBot="1" x14ac:dyDescent="0.35">
      <c r="I36" s="87"/>
      <c r="J36" s="88"/>
      <c r="K36" s="88"/>
      <c r="L36" s="88"/>
      <c r="M36" s="89"/>
    </row>
    <row r="37" spans="9:13" ht="28.8" customHeight="1" x14ac:dyDescent="0.3">
      <c r="I37" s="90"/>
      <c r="J37" s="90"/>
      <c r="K37" s="90"/>
      <c r="L37" s="90"/>
      <c r="M37" s="90"/>
    </row>
    <row r="38" spans="9:13" ht="28.8" customHeight="1" x14ac:dyDescent="0.3">
      <c r="I38" s="90"/>
      <c r="J38" s="90"/>
      <c r="K38" s="90"/>
      <c r="L38" s="90"/>
      <c r="M38" s="90"/>
    </row>
    <row r="39" spans="9:13" ht="28.8" customHeight="1" x14ac:dyDescent="0.3">
      <c r="I39" s="90"/>
      <c r="J39" s="90"/>
      <c r="K39" s="90"/>
      <c r="L39" s="90"/>
      <c r="M39" s="90"/>
    </row>
    <row r="40" spans="9:13" ht="28.8" customHeight="1" x14ac:dyDescent="0.3">
      <c r="I40" s="90"/>
      <c r="J40" s="90"/>
      <c r="K40" s="90"/>
      <c r="L40" s="90"/>
      <c r="M40" s="90"/>
    </row>
    <row r="41" spans="9:13" ht="28.8" customHeight="1" x14ac:dyDescent="0.3">
      <c r="I41" s="90"/>
      <c r="J41" s="90"/>
      <c r="K41" s="90"/>
      <c r="L41" s="90"/>
      <c r="M41" s="90"/>
    </row>
    <row r="42" spans="9:13" ht="28.8" customHeight="1" x14ac:dyDescent="0.3"/>
    <row r="43" spans="9:13" ht="28.8" customHeight="1" x14ac:dyDescent="0.3"/>
    <row r="44" spans="9:13" ht="28.8" customHeight="1" x14ac:dyDescent="0.3"/>
    <row r="45" spans="9:13" ht="28.8" customHeight="1" x14ac:dyDescent="0.3"/>
    <row r="46" spans="9:13" ht="28.8" customHeight="1" x14ac:dyDescent="0.3"/>
    <row r="47" spans="9:13" ht="28.8" customHeight="1" x14ac:dyDescent="0.3"/>
    <row r="48" spans="9:13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1">
    <mergeCell ref="I15:M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05214-C487-4973-BEC2-B5A04CCEF868}">
  <sheetPr codeName="Planilha44">
    <tabColor rgb="FF7030A0"/>
  </sheetPr>
  <dimension ref="A1:AW66"/>
  <sheetViews>
    <sheetView zoomScale="40" zoomScaleNormal="40" workbookViewId="0">
      <selection activeCell="M25" sqref="M25"/>
    </sheetView>
  </sheetViews>
  <sheetFormatPr defaultRowHeight="14.4" x14ac:dyDescent="0.3"/>
  <cols>
    <col min="1" max="4" width="8.88671875" style="178"/>
    <col min="5" max="5" width="72.33203125" style="178" bestFit="1" customWidth="1"/>
    <col min="6" max="6" width="23.21875" style="178" bestFit="1" customWidth="1"/>
    <col min="7" max="7" width="26" style="178" bestFit="1" customWidth="1"/>
    <col min="8" max="8" width="25.6640625" style="178" bestFit="1" customWidth="1"/>
    <col min="9" max="9" width="22.88671875" style="178" bestFit="1" customWidth="1"/>
    <col min="10" max="10" width="27.88671875" style="178" bestFit="1" customWidth="1"/>
    <col min="11" max="11" width="36.77734375" style="178" bestFit="1" customWidth="1"/>
    <col min="12" max="12" width="25.44140625" style="178" bestFit="1" customWidth="1"/>
    <col min="13" max="13" width="29" style="178" bestFit="1" customWidth="1"/>
    <col min="14" max="14" width="47.88671875" style="178" bestFit="1" customWidth="1"/>
    <col min="15" max="15" width="29.33203125" style="178" customWidth="1"/>
    <col min="16" max="16" width="73.44140625" style="178" customWidth="1"/>
    <col min="17" max="17" width="15.5546875" style="178" customWidth="1"/>
    <col min="18" max="21" width="8.88671875" style="178"/>
    <col min="22" max="22" width="23.44140625" style="178" bestFit="1" customWidth="1"/>
    <col min="23" max="23" width="2.6640625" style="178" bestFit="1" customWidth="1"/>
    <col min="24" max="24" width="51.109375" style="178" customWidth="1"/>
    <col min="25" max="16384" width="8.88671875" style="178"/>
  </cols>
  <sheetData>
    <row r="1" spans="1:49" x14ac:dyDescent="0.3">
      <c r="A1" s="182"/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</row>
    <row r="2" spans="1:49" x14ac:dyDescent="0.3">
      <c r="A2" s="182"/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</row>
    <row r="3" spans="1:49" ht="61.2" customHeight="1" x14ac:dyDescent="0.3">
      <c r="A3" s="182"/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</row>
    <row r="4" spans="1:49" ht="46.2" customHeight="1" x14ac:dyDescent="0.3">
      <c r="A4" s="268"/>
      <c r="B4" s="268"/>
      <c r="C4" s="268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8"/>
      <c r="Q4" s="268"/>
      <c r="R4" s="268"/>
      <c r="S4" s="268"/>
      <c r="T4" s="268"/>
      <c r="U4" s="268"/>
      <c r="V4" s="268"/>
      <c r="W4" s="268"/>
      <c r="X4" s="268"/>
      <c r="Y4" s="268"/>
      <c r="Z4" s="268"/>
      <c r="AA4" s="268"/>
      <c r="AB4" s="268"/>
      <c r="AC4" s="268"/>
      <c r="AD4" s="268"/>
      <c r="AE4" s="268"/>
      <c r="AF4" s="268"/>
      <c r="AG4" s="268"/>
      <c r="AH4" s="268"/>
      <c r="AI4" s="268"/>
      <c r="AJ4" s="268"/>
      <c r="AK4" s="268"/>
      <c r="AL4" s="268"/>
      <c r="AM4" s="268"/>
      <c r="AN4" s="268"/>
      <c r="AO4" s="268"/>
      <c r="AP4" s="268"/>
      <c r="AQ4" s="268"/>
      <c r="AR4" s="268"/>
      <c r="AS4" s="268"/>
      <c r="AT4" s="268"/>
      <c r="AU4" s="268"/>
      <c r="AV4" s="268"/>
      <c r="AW4" s="268"/>
    </row>
    <row r="5" spans="1:49" x14ac:dyDescent="0.3">
      <c r="A5" s="268"/>
      <c r="B5" s="268"/>
      <c r="C5" s="268"/>
      <c r="D5" s="268"/>
      <c r="E5" s="268"/>
      <c r="F5" s="268"/>
      <c r="G5" s="268"/>
      <c r="H5" s="268"/>
      <c r="I5" s="268"/>
      <c r="J5" s="268"/>
      <c r="K5" s="268"/>
      <c r="L5" s="268"/>
      <c r="M5" s="268"/>
      <c r="N5" s="268"/>
      <c r="O5" s="268"/>
      <c r="P5" s="268"/>
      <c r="Q5" s="268"/>
      <c r="R5" s="268"/>
      <c r="S5" s="268"/>
      <c r="T5" s="268"/>
      <c r="U5" s="268"/>
      <c r="V5" s="268"/>
      <c r="W5" s="268"/>
      <c r="X5" s="268"/>
      <c r="Y5" s="268"/>
      <c r="Z5" s="268"/>
      <c r="AA5" s="268"/>
      <c r="AB5" s="268"/>
      <c r="AC5" s="268"/>
      <c r="AD5" s="268"/>
      <c r="AE5" s="268"/>
      <c r="AF5" s="268"/>
      <c r="AG5" s="268"/>
      <c r="AH5" s="268"/>
      <c r="AI5" s="268"/>
      <c r="AJ5" s="268"/>
      <c r="AK5" s="268"/>
      <c r="AL5" s="268"/>
      <c r="AM5" s="268"/>
      <c r="AN5" s="268"/>
      <c r="AO5" s="268"/>
      <c r="AP5" s="268"/>
      <c r="AQ5" s="268"/>
      <c r="AR5" s="268"/>
      <c r="AS5" s="268"/>
      <c r="AT5" s="268"/>
      <c r="AU5" s="268"/>
      <c r="AV5" s="268"/>
      <c r="AW5" s="268"/>
    </row>
    <row r="6" spans="1:49" x14ac:dyDescent="0.3">
      <c r="A6" s="268"/>
      <c r="B6" s="268"/>
      <c r="C6" s="268"/>
      <c r="D6" s="268"/>
      <c r="E6" s="268"/>
      <c r="F6" s="268"/>
      <c r="G6" s="268"/>
      <c r="H6" s="268"/>
      <c r="I6" s="268"/>
      <c r="J6" s="268"/>
      <c r="K6" s="268"/>
      <c r="L6" s="268"/>
      <c r="M6" s="268"/>
      <c r="N6" s="268"/>
      <c r="O6" s="268"/>
      <c r="P6" s="268"/>
      <c r="Q6" s="268"/>
      <c r="R6" s="268"/>
      <c r="S6" s="268"/>
      <c r="T6" s="268"/>
      <c r="U6" s="268"/>
      <c r="V6" s="268"/>
      <c r="W6" s="268"/>
      <c r="X6" s="268"/>
      <c r="Y6" s="268"/>
      <c r="Z6" s="268"/>
      <c r="AA6" s="268"/>
      <c r="AB6" s="268"/>
      <c r="AC6" s="268"/>
      <c r="AD6" s="268"/>
      <c r="AE6" s="268"/>
      <c r="AF6" s="268"/>
      <c r="AG6" s="268"/>
      <c r="AH6" s="268"/>
      <c r="AI6" s="268"/>
      <c r="AJ6" s="268"/>
      <c r="AK6" s="268"/>
      <c r="AL6" s="268"/>
      <c r="AM6" s="268"/>
      <c r="AN6" s="268"/>
      <c r="AO6" s="268"/>
      <c r="AP6" s="268"/>
      <c r="AQ6" s="268"/>
      <c r="AR6" s="268"/>
      <c r="AS6" s="268"/>
      <c r="AT6" s="268"/>
      <c r="AU6" s="268"/>
      <c r="AV6" s="268"/>
      <c r="AW6" s="268"/>
    </row>
    <row r="7" spans="1:49" x14ac:dyDescent="0.3">
      <c r="A7" s="268"/>
      <c r="B7" s="268"/>
      <c r="C7" s="268"/>
      <c r="D7" s="268"/>
      <c r="E7" s="268"/>
      <c r="F7" s="268"/>
      <c r="G7" s="268"/>
      <c r="H7" s="268"/>
      <c r="I7" s="268"/>
      <c r="J7" s="268"/>
      <c r="K7" s="268"/>
      <c r="L7" s="268"/>
      <c r="M7" s="268"/>
      <c r="N7" s="268"/>
      <c r="O7" s="268"/>
      <c r="P7" s="268"/>
      <c r="Q7" s="268"/>
      <c r="R7" s="268"/>
      <c r="S7" s="268"/>
      <c r="T7" s="268"/>
      <c r="U7" s="268"/>
      <c r="V7" s="268"/>
      <c r="W7" s="268"/>
      <c r="X7" s="268"/>
      <c r="Y7" s="268"/>
      <c r="Z7" s="268"/>
      <c r="AA7" s="268"/>
      <c r="AB7" s="268"/>
      <c r="AC7" s="268"/>
      <c r="AD7" s="268"/>
      <c r="AE7" s="268"/>
      <c r="AF7" s="268"/>
      <c r="AG7" s="268"/>
      <c r="AH7" s="268"/>
      <c r="AI7" s="268"/>
      <c r="AJ7" s="268"/>
      <c r="AK7" s="268"/>
      <c r="AL7" s="268"/>
      <c r="AM7" s="268"/>
      <c r="AN7" s="268"/>
      <c r="AO7" s="268"/>
      <c r="AP7" s="268"/>
      <c r="AQ7" s="268"/>
      <c r="AR7" s="268"/>
      <c r="AS7" s="268"/>
      <c r="AT7" s="268"/>
      <c r="AU7" s="268"/>
      <c r="AV7" s="268"/>
      <c r="AW7" s="268"/>
    </row>
    <row r="8" spans="1:49" ht="28.8" customHeight="1" x14ac:dyDescent="0.3"/>
    <row r="9" spans="1:49" ht="28.8" customHeight="1" x14ac:dyDescent="0.3"/>
    <row r="10" spans="1:49" ht="28.8" customHeight="1" x14ac:dyDescent="0.3"/>
    <row r="11" spans="1:49" ht="28.8" customHeight="1" thickBot="1" x14ac:dyDescent="0.35"/>
    <row r="12" spans="1:49" ht="28.8" customHeight="1" x14ac:dyDescent="0.4">
      <c r="H12" s="423" t="s">
        <v>372</v>
      </c>
      <c r="I12" s="424"/>
      <c r="J12" s="424"/>
      <c r="K12" s="424"/>
      <c r="L12" s="425"/>
      <c r="N12" s="461" t="s">
        <v>374</v>
      </c>
      <c r="O12" s="461" t="s">
        <v>283</v>
      </c>
    </row>
    <row r="13" spans="1:49" ht="28.8" customHeight="1" thickBot="1" x14ac:dyDescent="0.4">
      <c r="H13" s="426"/>
      <c r="I13" s="427"/>
      <c r="J13" s="427"/>
      <c r="K13" s="427"/>
      <c r="L13" s="428"/>
      <c r="N13" s="462" t="s">
        <v>410</v>
      </c>
      <c r="O13" s="463">
        <v>16700</v>
      </c>
    </row>
    <row r="14" spans="1:49" ht="28.8" customHeight="1" thickBot="1" x14ac:dyDescent="0.35">
      <c r="H14" s="8"/>
      <c r="I14" s="62"/>
      <c r="J14" s="62"/>
      <c r="K14" s="62"/>
      <c r="L14" s="63"/>
      <c r="N14" s="68"/>
    </row>
    <row r="15" spans="1:49" ht="28.8" customHeight="1" thickBot="1" x14ac:dyDescent="0.4">
      <c r="H15" s="8"/>
      <c r="I15" s="465" t="s">
        <v>375</v>
      </c>
      <c r="J15" s="62"/>
      <c r="K15" s="60"/>
      <c r="L15" s="63"/>
      <c r="N15" s="68"/>
    </row>
    <row r="16" spans="1:49" ht="28.8" customHeight="1" thickBot="1" x14ac:dyDescent="0.45">
      <c r="H16" s="8"/>
      <c r="I16" s="465" t="s">
        <v>13</v>
      </c>
      <c r="J16" s="62"/>
      <c r="K16" s="62"/>
      <c r="L16" s="63"/>
      <c r="N16" s="461" t="s">
        <v>411</v>
      </c>
    </row>
    <row r="17" spans="8:15" ht="28.8" customHeight="1" thickBot="1" x14ac:dyDescent="0.4">
      <c r="H17" s="8"/>
      <c r="I17" s="465" t="s">
        <v>282</v>
      </c>
      <c r="J17" s="62"/>
      <c r="K17" s="60"/>
      <c r="L17" s="63"/>
      <c r="N17" s="464">
        <v>20</v>
      </c>
      <c r="O17" s="1"/>
    </row>
    <row r="18" spans="8:15" ht="28.8" customHeight="1" thickBot="1" x14ac:dyDescent="0.4">
      <c r="H18" s="8"/>
      <c r="I18" s="465" t="s">
        <v>13</v>
      </c>
      <c r="J18" s="62"/>
      <c r="K18" s="62"/>
      <c r="L18" s="63"/>
    </row>
    <row r="19" spans="8:15" ht="28.8" customHeight="1" thickBot="1" x14ac:dyDescent="0.4">
      <c r="H19" s="8"/>
      <c r="I19" s="465" t="s">
        <v>373</v>
      </c>
      <c r="J19" s="62"/>
      <c r="K19" s="60"/>
      <c r="L19" s="63"/>
    </row>
    <row r="20" spans="8:15" ht="28.8" customHeight="1" thickBot="1" x14ac:dyDescent="0.4">
      <c r="H20" s="8"/>
      <c r="I20" s="465" t="s">
        <v>13</v>
      </c>
      <c r="J20" s="62"/>
      <c r="K20" s="62"/>
      <c r="L20" s="63"/>
    </row>
    <row r="21" spans="8:15" ht="28.8" customHeight="1" thickBot="1" x14ac:dyDescent="0.4">
      <c r="H21" s="8"/>
      <c r="I21" s="465" t="s">
        <v>412</v>
      </c>
      <c r="J21" s="62"/>
      <c r="K21" s="60"/>
      <c r="L21" s="63"/>
    </row>
    <row r="22" spans="8:15" ht="28.8" customHeight="1" x14ac:dyDescent="0.3">
      <c r="H22" s="8"/>
      <c r="I22" s="70"/>
      <c r="J22" s="62"/>
      <c r="K22" s="62"/>
      <c r="L22" s="63"/>
    </row>
    <row r="23" spans="8:15" ht="28.8" customHeight="1" x14ac:dyDescent="0.3">
      <c r="H23" s="8"/>
      <c r="I23" s="86"/>
      <c r="J23" s="62"/>
      <c r="K23" s="459"/>
      <c r="L23" s="63"/>
    </row>
    <row r="24" spans="8:15" ht="28.8" customHeight="1" x14ac:dyDescent="0.3">
      <c r="H24" s="8"/>
      <c r="I24" s="86"/>
      <c r="J24" s="62"/>
      <c r="K24" s="62"/>
      <c r="L24" s="63"/>
    </row>
    <row r="25" spans="8:15" ht="28.8" customHeight="1" x14ac:dyDescent="0.3">
      <c r="H25" s="8"/>
      <c r="I25" s="86"/>
      <c r="J25" s="62"/>
      <c r="K25" s="62"/>
      <c r="L25" s="63"/>
    </row>
    <row r="26" spans="8:15" ht="28.8" customHeight="1" x14ac:dyDescent="0.3">
      <c r="H26" s="8"/>
      <c r="I26" s="86"/>
      <c r="J26" s="62"/>
      <c r="K26" s="62"/>
      <c r="L26" s="63"/>
    </row>
    <row r="27" spans="8:15" ht="28.8" customHeight="1" thickBot="1" x14ac:dyDescent="0.35">
      <c r="H27" s="64"/>
      <c r="I27" s="88"/>
      <c r="J27" s="65"/>
      <c r="K27" s="460"/>
      <c r="L27" s="66"/>
    </row>
    <row r="28" spans="8:15" ht="28.8" customHeight="1" x14ac:dyDescent="0.3"/>
    <row r="29" spans="8:15" ht="28.8" customHeight="1" x14ac:dyDescent="0.3"/>
    <row r="30" spans="8:15" ht="28.8" customHeight="1" x14ac:dyDescent="0.3"/>
    <row r="31" spans="8:15" ht="28.8" customHeight="1" x14ac:dyDescent="0.3"/>
    <row r="32" spans="8:15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1">
    <mergeCell ref="H12:L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3F519-E410-4819-BE8F-4C29F73E20E3}">
  <sheetPr codeName="Planilha19">
    <tabColor rgb="FFFF0000"/>
  </sheetPr>
  <dimension ref="A1:AE38"/>
  <sheetViews>
    <sheetView showGridLines="0" zoomScale="70" zoomScaleNormal="70" workbookViewId="0">
      <selection activeCell="G18" sqref="G18"/>
    </sheetView>
  </sheetViews>
  <sheetFormatPr defaultRowHeight="14.4" x14ac:dyDescent="0.3"/>
  <cols>
    <col min="6" max="6" width="33.77734375" bestFit="1" customWidth="1"/>
    <col min="7" max="7" width="8.88671875" customWidth="1"/>
    <col min="9" max="9" width="41.10937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37"/>
      <c r="B2" s="437"/>
      <c r="C2" s="437"/>
      <c r="D2" s="437"/>
      <c r="E2" s="437"/>
      <c r="F2" s="437"/>
      <c r="G2" s="437"/>
      <c r="H2" s="437"/>
      <c r="I2" s="437"/>
      <c r="J2" s="437"/>
      <c r="K2" s="437"/>
      <c r="L2" s="437"/>
      <c r="M2" s="437"/>
      <c r="N2" s="437"/>
      <c r="O2" s="437"/>
      <c r="P2" s="437"/>
      <c r="Q2" s="437"/>
      <c r="R2" s="437"/>
      <c r="S2" s="437"/>
      <c r="T2" s="437"/>
      <c r="U2" s="437"/>
      <c r="V2" s="437"/>
      <c r="W2" s="437"/>
      <c r="X2" s="437"/>
      <c r="Y2" s="437"/>
      <c r="Z2" s="437"/>
      <c r="AA2" s="437"/>
      <c r="AB2" s="437"/>
      <c r="AC2" s="437"/>
      <c r="AD2" s="437"/>
      <c r="AE2" s="437"/>
    </row>
    <row r="5" spans="1:31" ht="14.4" customHeight="1" x14ac:dyDescent="0.3"/>
    <row r="6" spans="1:31" ht="14.4" customHeight="1" thickBot="1" x14ac:dyDescent="0.35"/>
    <row r="7" spans="1:31" ht="14.4" customHeight="1" x14ac:dyDescent="0.3">
      <c r="E7" s="438" t="s">
        <v>390</v>
      </c>
      <c r="F7" s="439"/>
      <c r="G7" s="439"/>
      <c r="H7" s="439"/>
      <c r="I7" s="439"/>
      <c r="J7" s="440"/>
    </row>
    <row r="8" spans="1:31" s="98" customFormat="1" ht="14.4" customHeight="1" x14ac:dyDescent="0.3">
      <c r="E8" s="441"/>
      <c r="F8" s="442"/>
      <c r="G8" s="442"/>
      <c r="H8" s="442"/>
      <c r="I8" s="442"/>
      <c r="J8" s="443"/>
    </row>
    <row r="9" spans="1:31" ht="14.4" customHeight="1" x14ac:dyDescent="0.3">
      <c r="E9" s="123"/>
      <c r="F9" s="112"/>
      <c r="G9" s="112"/>
      <c r="H9" s="112"/>
      <c r="I9" s="112"/>
      <c r="J9" s="124"/>
    </row>
    <row r="10" spans="1:31" ht="14.4" customHeight="1" x14ac:dyDescent="0.3">
      <c r="E10" s="125"/>
      <c r="F10" s="111" t="s">
        <v>376</v>
      </c>
      <c r="G10" s="113"/>
      <c r="H10" s="113"/>
      <c r="I10" s="114"/>
      <c r="J10" s="126"/>
    </row>
    <row r="11" spans="1:31" ht="14.4" customHeight="1" x14ac:dyDescent="0.3">
      <c r="E11" s="125"/>
      <c r="F11" s="113"/>
      <c r="G11" s="113"/>
      <c r="H11" s="113"/>
      <c r="I11" s="115"/>
      <c r="J11" s="126"/>
    </row>
    <row r="12" spans="1:31" ht="14.4" customHeight="1" x14ac:dyDescent="0.3">
      <c r="E12" s="127"/>
      <c r="F12" s="116" t="s">
        <v>378</v>
      </c>
      <c r="G12" s="116"/>
      <c r="H12" s="117"/>
      <c r="I12" s="118"/>
      <c r="J12" s="128"/>
    </row>
    <row r="13" spans="1:31" ht="14.4" customHeight="1" x14ac:dyDescent="0.3">
      <c r="E13" s="127"/>
      <c r="F13" s="116"/>
      <c r="G13" s="116"/>
      <c r="H13" s="117"/>
      <c r="I13" s="117"/>
      <c r="J13" s="128"/>
    </row>
    <row r="14" spans="1:31" ht="14.4" customHeight="1" x14ac:dyDescent="0.3">
      <c r="E14" s="127"/>
      <c r="F14" s="116" t="s">
        <v>365</v>
      </c>
      <c r="G14" s="116"/>
      <c r="H14" s="117"/>
      <c r="I14" s="119"/>
      <c r="J14" s="128"/>
    </row>
    <row r="15" spans="1:31" ht="14.4" customHeight="1" x14ac:dyDescent="0.3">
      <c r="E15" s="127"/>
      <c r="F15" s="117"/>
      <c r="G15" s="117"/>
      <c r="H15" s="117"/>
      <c r="I15" s="117"/>
      <c r="J15" s="128"/>
    </row>
    <row r="16" spans="1:31" ht="14.4" customHeight="1" x14ac:dyDescent="0.3">
      <c r="E16" s="127"/>
      <c r="F16" s="116" t="s">
        <v>36</v>
      </c>
      <c r="G16" s="117"/>
      <c r="H16" s="117"/>
      <c r="I16" s="120"/>
      <c r="J16" s="128"/>
    </row>
    <row r="17" spans="5:10" ht="14.4" customHeight="1" x14ac:dyDescent="0.3">
      <c r="E17" s="127"/>
      <c r="F17" s="117"/>
      <c r="G17" s="117"/>
      <c r="H17" s="117"/>
      <c r="I17" s="117"/>
      <c r="J17" s="128"/>
    </row>
    <row r="18" spans="5:10" ht="14.4" customHeight="1" x14ac:dyDescent="0.3">
      <c r="E18" s="127"/>
      <c r="F18" s="116" t="s">
        <v>35</v>
      </c>
      <c r="G18" s="117"/>
      <c r="H18" s="117"/>
      <c r="I18" s="118"/>
      <c r="J18" s="128"/>
    </row>
    <row r="19" spans="5:10" ht="14.4" customHeight="1" x14ac:dyDescent="0.3">
      <c r="E19" s="127"/>
      <c r="F19" s="117"/>
      <c r="G19" s="117"/>
      <c r="H19" s="117"/>
      <c r="I19" s="117"/>
      <c r="J19" s="128"/>
    </row>
    <row r="20" spans="5:10" ht="14.4" customHeight="1" x14ac:dyDescent="0.3">
      <c r="E20" s="127"/>
      <c r="F20" s="116" t="s">
        <v>383</v>
      </c>
      <c r="G20" s="117"/>
      <c r="H20" s="117"/>
      <c r="I20" s="118"/>
      <c r="J20" s="128"/>
    </row>
    <row r="21" spans="5:10" ht="14.4" customHeight="1" x14ac:dyDescent="0.3">
      <c r="E21" s="127"/>
      <c r="F21" s="117"/>
      <c r="G21" s="117"/>
      <c r="H21" s="121"/>
      <c r="I21" s="121"/>
      <c r="J21" s="129"/>
    </row>
    <row r="22" spans="5:10" ht="14.4" customHeight="1" x14ac:dyDescent="0.3">
      <c r="E22" s="127"/>
      <c r="F22" s="116" t="s">
        <v>385</v>
      </c>
      <c r="G22" s="117"/>
      <c r="H22" s="121"/>
      <c r="I22" s="122"/>
      <c r="J22" s="129"/>
    </row>
    <row r="23" spans="5:10" ht="14.4" customHeight="1" x14ac:dyDescent="0.3">
      <c r="E23" s="125"/>
      <c r="F23" s="113"/>
      <c r="G23" s="113"/>
      <c r="H23" s="113"/>
      <c r="I23" s="115"/>
      <c r="J23" s="126"/>
    </row>
    <row r="24" spans="5:10" ht="14.4" customHeight="1" x14ac:dyDescent="0.3">
      <c r="E24" s="127"/>
      <c r="F24" s="116" t="s">
        <v>387</v>
      </c>
      <c r="G24" s="117"/>
      <c r="H24" s="121"/>
      <c r="I24" s="122"/>
      <c r="J24" s="129"/>
    </row>
    <row r="25" spans="5:10" ht="14.4" customHeight="1" x14ac:dyDescent="0.3">
      <c r="E25" s="127"/>
      <c r="F25" s="117"/>
      <c r="G25" s="117"/>
      <c r="H25" s="121"/>
      <c r="I25" s="121"/>
      <c r="J25" s="129"/>
    </row>
    <row r="26" spans="5:10" ht="14.4" customHeight="1" x14ac:dyDescent="0.3">
      <c r="E26" s="127"/>
      <c r="F26" s="116" t="s">
        <v>389</v>
      </c>
      <c r="G26" s="117"/>
      <c r="H26" s="121"/>
      <c r="I26" s="134"/>
      <c r="J26" s="129"/>
    </row>
    <row r="27" spans="5:10" ht="14.4" customHeight="1" x14ac:dyDescent="0.3">
      <c r="E27" s="127"/>
      <c r="F27" s="117"/>
      <c r="G27" s="117"/>
      <c r="H27" s="121"/>
      <c r="I27" s="121"/>
      <c r="J27" s="129"/>
    </row>
    <row r="28" spans="5:10" ht="14.4" customHeight="1" x14ac:dyDescent="0.3">
      <c r="E28" s="127"/>
      <c r="F28" s="117"/>
      <c r="G28" s="117"/>
      <c r="H28" s="121"/>
      <c r="I28" s="121"/>
      <c r="J28" s="129"/>
    </row>
    <row r="29" spans="5:10" ht="14.4" customHeight="1" x14ac:dyDescent="0.3">
      <c r="E29" s="127"/>
      <c r="F29" s="117"/>
      <c r="G29" s="117"/>
      <c r="H29" s="121"/>
      <c r="I29" s="121"/>
      <c r="J29" s="129"/>
    </row>
    <row r="30" spans="5:10" ht="14.4" customHeight="1" x14ac:dyDescent="0.3">
      <c r="E30" s="127"/>
      <c r="F30" s="117"/>
      <c r="G30" s="117"/>
      <c r="H30" s="121"/>
      <c r="I30" s="121"/>
      <c r="J30" s="129"/>
    </row>
    <row r="31" spans="5:10" ht="14.4" customHeight="1" thickBot="1" x14ac:dyDescent="0.35">
      <c r="E31" s="130"/>
      <c r="F31" s="131"/>
      <c r="G31" s="131"/>
      <c r="H31" s="132"/>
      <c r="I31" s="132"/>
      <c r="J31" s="133"/>
    </row>
    <row r="32" spans="5:10" ht="14.4" customHeight="1" x14ac:dyDescent="0.3"/>
    <row r="33" ht="14.4" customHeight="1" x14ac:dyDescent="0.3"/>
    <row r="34" ht="14.4" customHeight="1" x14ac:dyDescent="0.3"/>
    <row r="35" ht="14.4" customHeight="1" x14ac:dyDescent="0.3"/>
    <row r="36" ht="14.4" customHeight="1" x14ac:dyDescent="0.3"/>
    <row r="37" ht="14.4" customHeight="1" x14ac:dyDescent="0.3"/>
    <row r="38" ht="14.4" customHeight="1" x14ac:dyDescent="0.3"/>
  </sheetData>
  <mergeCells count="2">
    <mergeCell ref="A2:AE2"/>
    <mergeCell ref="E7:J8"/>
  </mergeCells>
  <pageMargins left="0.511811024" right="0.511811024" top="0.78740157499999996" bottom="0.78740157499999996" header="0.31496062000000002" footer="0.31496062000000002"/>
  <pageSetup paperSize="9" scale="33" fitToWidth="0" fitToHeight="0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BCA9A-CFF6-4DA6-B23B-2BC2AFAE32E6}">
  <sheetPr codeName="Planilha25">
    <tabColor rgb="FFFF0000"/>
  </sheetPr>
  <dimension ref="A1:AE39"/>
  <sheetViews>
    <sheetView showGridLines="0" zoomScale="70" zoomScaleNormal="70" workbookViewId="0">
      <selection activeCell="H14" sqref="H14"/>
    </sheetView>
  </sheetViews>
  <sheetFormatPr defaultRowHeight="14.4" x14ac:dyDescent="0.3"/>
  <cols>
    <col min="1" max="5" width="8.88671875" style="141"/>
    <col min="6" max="6" width="33.77734375" style="141" bestFit="1" customWidth="1"/>
    <col min="7" max="7" width="8.88671875" style="141" customWidth="1"/>
    <col min="8" max="8" width="8.88671875" style="141"/>
    <col min="9" max="9" width="41.109375" style="141" bestFit="1" customWidth="1"/>
    <col min="10" max="16384" width="8.88671875" style="141"/>
  </cols>
  <sheetData>
    <row r="1" spans="1:31" ht="61.5" customHeight="1" x14ac:dyDescent="0.3">
      <c r="A1" s="142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</row>
    <row r="2" spans="1:31" ht="46.2" customHeight="1" x14ac:dyDescent="0.3">
      <c r="A2" s="437"/>
      <c r="B2" s="437"/>
      <c r="C2" s="437"/>
      <c r="D2" s="437"/>
      <c r="E2" s="437"/>
      <c r="F2" s="437"/>
      <c r="G2" s="437"/>
      <c r="H2" s="437"/>
      <c r="I2" s="437"/>
      <c r="J2" s="437"/>
      <c r="K2" s="437"/>
      <c r="L2" s="437"/>
      <c r="M2" s="437"/>
      <c r="N2" s="437"/>
      <c r="O2" s="437"/>
      <c r="P2" s="437"/>
      <c r="Q2" s="437"/>
      <c r="R2" s="437"/>
      <c r="S2" s="437"/>
      <c r="T2" s="437"/>
      <c r="U2" s="437"/>
      <c r="V2" s="437"/>
      <c r="W2" s="437"/>
      <c r="X2" s="437"/>
      <c r="Y2" s="437"/>
      <c r="Z2" s="437"/>
      <c r="AA2" s="437"/>
      <c r="AB2" s="437"/>
      <c r="AC2" s="437"/>
      <c r="AD2" s="437"/>
      <c r="AE2" s="437"/>
    </row>
    <row r="5" spans="1:31" ht="14.4" customHeight="1" x14ac:dyDescent="0.3"/>
    <row r="6" spans="1:31" ht="14.4" customHeight="1" thickBot="1" x14ac:dyDescent="0.35"/>
    <row r="7" spans="1:31" ht="14.4" customHeight="1" x14ac:dyDescent="0.3">
      <c r="E7" s="444" t="s">
        <v>390</v>
      </c>
      <c r="F7" s="445"/>
      <c r="G7" s="445"/>
      <c r="H7" s="445"/>
      <c r="I7" s="445"/>
      <c r="J7" s="446"/>
    </row>
    <row r="8" spans="1:31" s="152" customFormat="1" ht="14.4" customHeight="1" x14ac:dyDescent="0.3">
      <c r="E8" s="447"/>
      <c r="F8" s="448"/>
      <c r="G8" s="448"/>
      <c r="H8" s="448"/>
      <c r="I8" s="448"/>
      <c r="J8" s="449"/>
    </row>
    <row r="9" spans="1:31" ht="14.4" customHeight="1" x14ac:dyDescent="0.3">
      <c r="E9" s="155"/>
      <c r="F9" s="101"/>
      <c r="G9" s="101"/>
      <c r="H9" s="102"/>
      <c r="I9" s="102"/>
      <c r="J9" s="156"/>
    </row>
    <row r="10" spans="1:31" ht="14.4" customHeight="1" x14ac:dyDescent="0.3">
      <c r="E10" s="157"/>
      <c r="F10" s="103" t="s">
        <v>376</v>
      </c>
      <c r="G10" s="104"/>
      <c r="H10" s="104"/>
      <c r="I10" s="154" t="s">
        <v>377</v>
      </c>
      <c r="J10" s="158"/>
    </row>
    <row r="11" spans="1:31" ht="14.4" customHeight="1" x14ac:dyDescent="0.3">
      <c r="E11" s="157"/>
      <c r="F11" s="104"/>
      <c r="G11" s="104"/>
      <c r="H11" s="104"/>
      <c r="I11" s="100"/>
      <c r="J11" s="158"/>
    </row>
    <row r="12" spans="1:31" ht="14.4" customHeight="1" x14ac:dyDescent="0.3">
      <c r="E12" s="155"/>
      <c r="F12" s="101" t="s">
        <v>378</v>
      </c>
      <c r="G12" s="101"/>
      <c r="H12" s="102"/>
      <c r="I12" s="106" t="s">
        <v>379</v>
      </c>
      <c r="J12" s="156"/>
    </row>
    <row r="13" spans="1:31" ht="14.4" customHeight="1" x14ac:dyDescent="0.3">
      <c r="E13" s="155"/>
      <c r="F13" s="101"/>
      <c r="G13" s="101"/>
      <c r="H13" s="102"/>
      <c r="I13" s="102"/>
      <c r="J13" s="156"/>
    </row>
    <row r="14" spans="1:31" ht="14.4" customHeight="1" x14ac:dyDescent="0.3">
      <c r="E14" s="155"/>
      <c r="F14" s="101" t="s">
        <v>365</v>
      </c>
      <c r="G14" s="101"/>
      <c r="H14" s="102"/>
      <c r="I14" s="107" t="s">
        <v>380</v>
      </c>
      <c r="J14" s="156"/>
    </row>
    <row r="15" spans="1:31" ht="14.4" customHeight="1" x14ac:dyDescent="0.3">
      <c r="E15" s="155"/>
      <c r="F15" s="102"/>
      <c r="G15" s="102"/>
      <c r="H15" s="102"/>
      <c r="I15" s="102"/>
      <c r="J15" s="156"/>
    </row>
    <row r="16" spans="1:31" ht="14.4" customHeight="1" x14ac:dyDescent="0.3">
      <c r="E16" s="155"/>
      <c r="F16" s="101" t="s">
        <v>36</v>
      </c>
      <c r="G16" s="102"/>
      <c r="H16" s="102"/>
      <c r="I16" s="108" t="s">
        <v>381</v>
      </c>
      <c r="J16" s="156"/>
    </row>
    <row r="17" spans="5:10" ht="14.4" customHeight="1" x14ac:dyDescent="0.3">
      <c r="E17" s="155"/>
      <c r="F17" s="102"/>
      <c r="G17" s="102"/>
      <c r="H17" s="102"/>
      <c r="I17" s="102"/>
      <c r="J17" s="156"/>
    </row>
    <row r="18" spans="5:10" ht="14.4" customHeight="1" x14ac:dyDescent="0.3">
      <c r="E18" s="155"/>
      <c r="F18" s="101" t="s">
        <v>35</v>
      </c>
      <c r="G18" s="102"/>
      <c r="H18" s="102"/>
      <c r="I18" s="106" t="s">
        <v>382</v>
      </c>
      <c r="J18" s="156"/>
    </row>
    <row r="19" spans="5:10" ht="14.4" customHeight="1" x14ac:dyDescent="0.3">
      <c r="E19" s="155"/>
      <c r="F19" s="102"/>
      <c r="G19" s="102"/>
      <c r="H19" s="102"/>
      <c r="I19" s="102"/>
      <c r="J19" s="156"/>
    </row>
    <row r="20" spans="5:10" ht="14.4" customHeight="1" x14ac:dyDescent="0.3">
      <c r="E20" s="155"/>
      <c r="F20" s="101" t="s">
        <v>383</v>
      </c>
      <c r="G20" s="102"/>
      <c r="H20" s="102"/>
      <c r="I20" s="106" t="s">
        <v>384</v>
      </c>
      <c r="J20" s="156"/>
    </row>
    <row r="21" spans="5:10" ht="14.4" customHeight="1" x14ac:dyDescent="0.3">
      <c r="E21" s="155"/>
      <c r="F21" s="102"/>
      <c r="G21" s="102"/>
      <c r="H21" s="105"/>
      <c r="I21" s="105"/>
      <c r="J21" s="159"/>
    </row>
    <row r="22" spans="5:10" ht="14.4" customHeight="1" x14ac:dyDescent="0.3">
      <c r="E22" s="155"/>
      <c r="F22" s="101" t="s">
        <v>385</v>
      </c>
      <c r="G22" s="102"/>
      <c r="H22" s="105"/>
      <c r="I22" s="109" t="s">
        <v>386</v>
      </c>
      <c r="J22" s="159"/>
    </row>
    <row r="23" spans="5:10" ht="14.4" customHeight="1" x14ac:dyDescent="0.3">
      <c r="E23" s="157"/>
      <c r="F23" s="104"/>
      <c r="G23" s="104"/>
      <c r="H23" s="104"/>
      <c r="I23" s="100"/>
      <c r="J23" s="158"/>
    </row>
    <row r="24" spans="5:10" ht="14.4" customHeight="1" x14ac:dyDescent="0.3">
      <c r="E24" s="155"/>
      <c r="F24" s="101" t="s">
        <v>387</v>
      </c>
      <c r="G24" s="102"/>
      <c r="H24" s="105"/>
      <c r="I24" s="109" t="s">
        <v>388</v>
      </c>
      <c r="J24" s="159"/>
    </row>
    <row r="25" spans="5:10" ht="14.4" customHeight="1" x14ac:dyDescent="0.3">
      <c r="E25" s="155"/>
      <c r="F25" s="102"/>
      <c r="G25" s="102"/>
      <c r="H25" s="105"/>
      <c r="I25" s="105"/>
      <c r="J25" s="159"/>
    </row>
    <row r="26" spans="5:10" ht="14.4" customHeight="1" x14ac:dyDescent="0.3">
      <c r="E26" s="155"/>
      <c r="F26" s="101" t="s">
        <v>389</v>
      </c>
      <c r="G26" s="102"/>
      <c r="H26" s="105"/>
      <c r="I26" s="110">
        <v>4.5</v>
      </c>
      <c r="J26" s="159"/>
    </row>
    <row r="27" spans="5:10" ht="14.4" customHeight="1" thickBot="1" x14ac:dyDescent="0.35">
      <c r="E27" s="160"/>
      <c r="F27" s="161"/>
      <c r="G27" s="161"/>
      <c r="H27" s="162"/>
      <c r="I27" s="162"/>
      <c r="J27" s="163"/>
    </row>
    <row r="28" spans="5:10" ht="14.4" customHeight="1" x14ac:dyDescent="0.3">
      <c r="E28" s="138"/>
      <c r="F28" s="138"/>
      <c r="G28" s="138"/>
      <c r="H28" s="139"/>
      <c r="I28" s="139"/>
      <c r="J28" s="139"/>
    </row>
    <row r="29" spans="5:10" ht="14.4" customHeight="1" x14ac:dyDescent="0.3">
      <c r="E29" s="138"/>
      <c r="F29" s="138"/>
      <c r="G29" s="138"/>
      <c r="H29" s="139"/>
      <c r="I29" s="139"/>
      <c r="J29" s="139"/>
    </row>
    <row r="30" spans="5:10" ht="14.4" customHeight="1" x14ac:dyDescent="0.3">
      <c r="E30" s="138"/>
      <c r="F30" s="138"/>
      <c r="G30" s="138"/>
      <c r="H30" s="139"/>
      <c r="I30" s="139"/>
      <c r="J30" s="139"/>
    </row>
    <row r="31" spans="5:10" ht="14.4" customHeight="1" x14ac:dyDescent="0.3">
      <c r="E31" s="138"/>
      <c r="F31" s="138"/>
      <c r="G31" s="138"/>
      <c r="H31" s="139"/>
      <c r="I31" s="139"/>
      <c r="J31" s="139"/>
    </row>
    <row r="32" spans="5:10" ht="14.4" customHeight="1" x14ac:dyDescent="0.3">
      <c r="E32" s="138"/>
      <c r="F32" s="138"/>
      <c r="G32" s="138"/>
      <c r="H32" s="139"/>
      <c r="I32" s="139"/>
      <c r="J32" s="139"/>
    </row>
    <row r="33" ht="14.4" customHeight="1" x14ac:dyDescent="0.3"/>
    <row r="34" ht="14.4" customHeight="1" x14ac:dyDescent="0.3"/>
    <row r="35" ht="14.4" customHeight="1" x14ac:dyDescent="0.3"/>
    <row r="36" ht="14.4" customHeight="1" x14ac:dyDescent="0.3"/>
    <row r="37" ht="14.4" customHeight="1" x14ac:dyDescent="0.3"/>
    <row r="38" ht="14.4" customHeight="1" x14ac:dyDescent="0.3"/>
    <row r="39" ht="14.4" customHeight="1" x14ac:dyDescent="0.3"/>
  </sheetData>
  <mergeCells count="2">
    <mergeCell ref="A2:AE2"/>
    <mergeCell ref="E7:J8"/>
  </mergeCells>
  <pageMargins left="0.511811024" right="0.511811024" top="0.78740157499999996" bottom="0.78740157499999996" header="0.31496062000000002" footer="0.31496062000000002"/>
  <pageSetup paperSize="9" scale="33" fitToWidth="0" fitToHeight="0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4EE17-9B84-4FD7-92B8-355A1DBEAE58}">
  <sheetPr codeName="Planilha24">
    <tabColor rgb="FFFF0000"/>
  </sheetPr>
  <dimension ref="A1:AE39"/>
  <sheetViews>
    <sheetView showGridLines="0" zoomScale="70" zoomScaleNormal="70" workbookViewId="0">
      <selection activeCell="O22" sqref="O22"/>
    </sheetView>
  </sheetViews>
  <sheetFormatPr defaultRowHeight="14.4" x14ac:dyDescent="0.3"/>
  <cols>
    <col min="1" max="5" width="8.88671875" style="98"/>
    <col min="6" max="6" width="33.77734375" style="98" bestFit="1" customWidth="1"/>
    <col min="7" max="7" width="8.88671875" style="98" customWidth="1"/>
    <col min="8" max="8" width="32" style="98" customWidth="1"/>
    <col min="9" max="9" width="8.88671875" style="98" customWidth="1"/>
    <col min="10" max="16384" width="8.88671875" style="98"/>
  </cols>
  <sheetData>
    <row r="1" spans="1:31" ht="61.5" customHeight="1" x14ac:dyDescent="0.3">
      <c r="A1" s="99"/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</row>
    <row r="2" spans="1:31" ht="46.2" customHeight="1" x14ac:dyDescent="0.3">
      <c r="A2" s="437"/>
      <c r="B2" s="437"/>
      <c r="C2" s="437"/>
      <c r="D2" s="437"/>
      <c r="E2" s="437"/>
      <c r="F2" s="437"/>
      <c r="G2" s="437"/>
      <c r="H2" s="437"/>
      <c r="I2" s="437"/>
      <c r="J2" s="437"/>
      <c r="K2" s="437"/>
      <c r="L2" s="437"/>
      <c r="M2" s="437"/>
      <c r="N2" s="437"/>
      <c r="O2" s="437"/>
      <c r="P2" s="437"/>
      <c r="Q2" s="437"/>
      <c r="R2" s="437"/>
      <c r="S2" s="437"/>
      <c r="T2" s="437"/>
      <c r="U2" s="437"/>
      <c r="V2" s="437"/>
      <c r="W2" s="437"/>
      <c r="X2" s="437"/>
      <c r="Y2" s="437"/>
      <c r="Z2" s="437"/>
      <c r="AA2" s="437"/>
      <c r="AB2" s="437"/>
      <c r="AC2" s="437"/>
      <c r="AD2" s="437"/>
      <c r="AE2" s="437"/>
    </row>
    <row r="5" spans="1:31" ht="14.4" customHeight="1" x14ac:dyDescent="0.3"/>
    <row r="6" spans="1:31" ht="14.4" customHeight="1" thickBot="1" x14ac:dyDescent="0.35"/>
    <row r="7" spans="1:31" ht="14.4" customHeight="1" x14ac:dyDescent="0.4">
      <c r="E7" s="450" t="s">
        <v>391</v>
      </c>
      <c r="F7" s="451"/>
      <c r="G7" s="451"/>
      <c r="H7" s="451"/>
      <c r="I7" s="452"/>
      <c r="J7" s="145"/>
      <c r="K7" s="145"/>
    </row>
    <row r="8" spans="1:31" s="141" customFormat="1" ht="14.4" customHeight="1" x14ac:dyDescent="0.4">
      <c r="E8" s="453"/>
      <c r="F8" s="421"/>
      <c r="G8" s="421"/>
      <c r="H8" s="421"/>
      <c r="I8" s="454"/>
      <c r="J8" s="145"/>
      <c r="K8" s="145"/>
    </row>
    <row r="9" spans="1:31" ht="14.4" customHeight="1" x14ac:dyDescent="0.3">
      <c r="E9" s="147"/>
      <c r="F9" s="100"/>
      <c r="G9" s="100"/>
      <c r="H9" s="100"/>
      <c r="I9" s="148"/>
      <c r="J9" s="146"/>
      <c r="K9" s="146"/>
    </row>
    <row r="10" spans="1:31" ht="14.4" customHeight="1" x14ac:dyDescent="0.3">
      <c r="E10" s="147"/>
      <c r="F10" s="103" t="s">
        <v>392</v>
      </c>
      <c r="G10" s="100"/>
      <c r="H10" s="143"/>
      <c r="I10" s="148"/>
      <c r="J10" s="90"/>
      <c r="K10" s="146"/>
    </row>
    <row r="11" spans="1:31" ht="14.4" customHeight="1" x14ac:dyDescent="0.3">
      <c r="E11" s="147"/>
      <c r="F11" s="103"/>
      <c r="G11" s="100"/>
      <c r="H11" s="100"/>
      <c r="I11" s="148"/>
      <c r="J11" s="146"/>
      <c r="K11" s="146"/>
    </row>
    <row r="12" spans="1:31" ht="14.4" customHeight="1" x14ac:dyDescent="0.3">
      <c r="E12" s="147"/>
      <c r="F12" s="103" t="s">
        <v>393</v>
      </c>
      <c r="G12" s="100"/>
      <c r="H12" s="143"/>
      <c r="I12" s="148"/>
      <c r="J12" s="90"/>
      <c r="K12" s="146"/>
    </row>
    <row r="13" spans="1:31" ht="14.4" customHeight="1" x14ac:dyDescent="0.3">
      <c r="E13" s="147"/>
      <c r="F13" s="103"/>
      <c r="G13" s="100"/>
      <c r="H13" s="100"/>
      <c r="I13" s="148"/>
      <c r="J13" s="146"/>
      <c r="K13" s="146"/>
    </row>
    <row r="14" spans="1:31" ht="14.4" customHeight="1" x14ac:dyDescent="0.3">
      <c r="E14" s="147"/>
      <c r="F14" s="103" t="s">
        <v>394</v>
      </c>
      <c r="G14" s="100"/>
      <c r="H14" s="143"/>
      <c r="I14" s="148"/>
      <c r="J14" s="90"/>
      <c r="K14" s="146"/>
    </row>
    <row r="15" spans="1:31" ht="14.4" customHeight="1" x14ac:dyDescent="0.3">
      <c r="E15" s="147"/>
      <c r="F15" s="103"/>
      <c r="G15" s="100"/>
      <c r="H15" s="100"/>
      <c r="I15" s="148"/>
      <c r="J15" s="146"/>
      <c r="K15" s="146"/>
    </row>
    <row r="16" spans="1:31" ht="14.4" customHeight="1" x14ac:dyDescent="0.3">
      <c r="E16" s="147"/>
      <c r="F16" s="103" t="s">
        <v>395</v>
      </c>
      <c r="G16" s="100"/>
      <c r="H16" s="144"/>
      <c r="I16" s="148"/>
      <c r="J16" s="90"/>
      <c r="K16" s="146"/>
    </row>
    <row r="17" spans="5:11" ht="14.4" customHeight="1" x14ac:dyDescent="0.3">
      <c r="E17" s="147"/>
      <c r="F17" s="100"/>
      <c r="G17" s="100"/>
      <c r="H17" s="100"/>
      <c r="I17" s="148"/>
      <c r="J17" s="146"/>
      <c r="K17" s="146"/>
    </row>
    <row r="18" spans="5:11" ht="14.4" customHeight="1" x14ac:dyDescent="0.3">
      <c r="E18" s="147"/>
      <c r="F18" s="103" t="s">
        <v>396</v>
      </c>
      <c r="G18" s="100"/>
      <c r="H18" s="144"/>
      <c r="I18" s="148"/>
      <c r="J18" s="90"/>
      <c r="K18" s="146"/>
    </row>
    <row r="19" spans="5:11" ht="14.4" customHeight="1" x14ac:dyDescent="0.3">
      <c r="E19" s="147"/>
      <c r="F19" s="100"/>
      <c r="G19" s="100"/>
      <c r="H19" s="100"/>
      <c r="I19" s="148"/>
      <c r="J19" s="146"/>
      <c r="K19" s="146"/>
    </row>
    <row r="20" spans="5:11" ht="14.4" customHeight="1" x14ac:dyDescent="0.3">
      <c r="E20" s="147"/>
      <c r="F20" s="100"/>
      <c r="G20" s="100"/>
      <c r="H20" s="100"/>
      <c r="I20" s="148"/>
      <c r="J20" s="138"/>
    </row>
    <row r="21" spans="5:11" ht="14.4" customHeight="1" x14ac:dyDescent="0.3">
      <c r="E21" s="147"/>
      <c r="F21" s="100"/>
      <c r="G21" s="100"/>
      <c r="H21" s="100"/>
      <c r="I21" s="148"/>
      <c r="J21" s="138"/>
    </row>
    <row r="22" spans="5:11" ht="14.4" customHeight="1" x14ac:dyDescent="0.3">
      <c r="E22" s="147"/>
      <c r="F22" s="100"/>
      <c r="G22" s="100"/>
      <c r="H22" s="100"/>
      <c r="I22" s="148"/>
      <c r="J22" s="139"/>
    </row>
    <row r="23" spans="5:11" ht="14.4" customHeight="1" thickBot="1" x14ac:dyDescent="0.35">
      <c r="E23" s="149"/>
      <c r="F23" s="150"/>
      <c r="G23" s="150"/>
      <c r="H23" s="150"/>
      <c r="I23" s="151"/>
      <c r="J23" s="139"/>
    </row>
    <row r="24" spans="5:11" ht="14.4" customHeight="1" x14ac:dyDescent="0.3">
      <c r="E24" s="135"/>
      <c r="F24" s="135"/>
      <c r="G24" s="135"/>
      <c r="H24" s="135"/>
      <c r="I24" s="136"/>
      <c r="J24" s="135"/>
    </row>
    <row r="25" spans="5:11" ht="14.4" customHeight="1" x14ac:dyDescent="0.3">
      <c r="E25" s="138"/>
      <c r="F25" s="137"/>
      <c r="G25" s="138"/>
      <c r="H25" s="139"/>
      <c r="I25" s="139"/>
      <c r="J25" s="139"/>
    </row>
    <row r="26" spans="5:11" ht="14.4" customHeight="1" x14ac:dyDescent="0.3">
      <c r="E26" s="138"/>
      <c r="F26" s="138"/>
      <c r="G26" s="138"/>
      <c r="H26" s="139"/>
      <c r="I26" s="139"/>
      <c r="J26" s="139"/>
    </row>
    <row r="27" spans="5:11" ht="14.4" customHeight="1" x14ac:dyDescent="0.3">
      <c r="E27" s="138"/>
      <c r="F27" s="137"/>
      <c r="G27" s="138"/>
      <c r="H27" s="139"/>
      <c r="I27" s="140"/>
      <c r="J27" s="139"/>
    </row>
    <row r="28" spans="5:11" ht="14.4" customHeight="1" x14ac:dyDescent="0.3">
      <c r="E28" s="138"/>
      <c r="F28" s="138"/>
      <c r="G28" s="138"/>
      <c r="H28" s="139"/>
      <c r="I28" s="139"/>
      <c r="J28" s="139"/>
    </row>
    <row r="29" spans="5:11" ht="14.4" customHeight="1" x14ac:dyDescent="0.3">
      <c r="E29" s="138"/>
      <c r="F29" s="138"/>
      <c r="G29" s="138"/>
      <c r="H29" s="139"/>
      <c r="I29" s="139"/>
      <c r="J29" s="139"/>
    </row>
    <row r="30" spans="5:11" ht="14.4" customHeight="1" x14ac:dyDescent="0.3">
      <c r="E30" s="138"/>
      <c r="F30" s="138"/>
      <c r="G30" s="138"/>
      <c r="H30" s="139"/>
      <c r="I30" s="139"/>
      <c r="J30" s="139"/>
    </row>
    <row r="31" spans="5:11" ht="14.4" customHeight="1" x14ac:dyDescent="0.3">
      <c r="E31" s="138"/>
      <c r="F31" s="138"/>
      <c r="G31" s="138"/>
      <c r="H31" s="139"/>
      <c r="I31" s="139"/>
      <c r="J31" s="139"/>
    </row>
    <row r="32" spans="5:11" ht="14.4" customHeight="1" x14ac:dyDescent="0.3">
      <c r="E32" s="138"/>
      <c r="F32" s="138"/>
      <c r="G32" s="138"/>
      <c r="H32" s="139"/>
      <c r="I32" s="139"/>
      <c r="J32" s="139"/>
    </row>
    <row r="33" ht="14.4" customHeight="1" x14ac:dyDescent="0.3"/>
    <row r="34" ht="14.4" customHeight="1" x14ac:dyDescent="0.3"/>
    <row r="35" ht="14.4" customHeight="1" x14ac:dyDescent="0.3"/>
    <row r="36" ht="14.4" customHeight="1" x14ac:dyDescent="0.3"/>
    <row r="37" ht="14.4" customHeight="1" x14ac:dyDescent="0.3"/>
    <row r="38" ht="14.4" customHeight="1" x14ac:dyDescent="0.3"/>
    <row r="39" ht="14.4" customHeight="1" x14ac:dyDescent="0.3"/>
  </sheetData>
  <mergeCells count="2">
    <mergeCell ref="A2:AE2"/>
    <mergeCell ref="E7:I8"/>
  </mergeCells>
  <pageMargins left="0.511811024" right="0.511811024" top="0.78740157499999996" bottom="0.78740157499999996" header="0.31496062000000002" footer="0.31496062000000002"/>
  <pageSetup paperSize="9" scale="33" fitToWidth="0" fitToHeight="0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30CDE-D6C6-4343-9392-C855A4232612}">
  <sheetPr codeName="Planilha26">
    <tabColor rgb="FFFF0000"/>
  </sheetPr>
  <dimension ref="A1:AE40"/>
  <sheetViews>
    <sheetView showGridLines="0" zoomScale="70" zoomScaleNormal="70" workbookViewId="0">
      <selection activeCell="L27" sqref="L27"/>
    </sheetView>
  </sheetViews>
  <sheetFormatPr defaultRowHeight="14.4" x14ac:dyDescent="0.3"/>
  <cols>
    <col min="1" max="5" width="8.88671875" style="152"/>
    <col min="6" max="6" width="33.77734375" style="152" bestFit="1" customWidth="1"/>
    <col min="7" max="7" width="25.21875" style="152" customWidth="1"/>
    <col min="8" max="8" width="8.88671875" style="152"/>
    <col min="9" max="9" width="41.109375" style="152" bestFit="1" customWidth="1"/>
    <col min="10" max="16384" width="8.88671875" style="152"/>
  </cols>
  <sheetData>
    <row r="1" spans="1:31" ht="61.5" customHeight="1" x14ac:dyDescent="0.3">
      <c r="A1" s="153"/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</row>
    <row r="2" spans="1:31" ht="46.2" customHeight="1" x14ac:dyDescent="0.3">
      <c r="A2" s="437"/>
      <c r="B2" s="437"/>
      <c r="C2" s="437"/>
      <c r="D2" s="437"/>
      <c r="E2" s="437"/>
      <c r="F2" s="437"/>
      <c r="G2" s="437"/>
      <c r="H2" s="437"/>
      <c r="I2" s="437"/>
      <c r="J2" s="437"/>
      <c r="K2" s="437"/>
      <c r="L2" s="437"/>
      <c r="M2" s="437"/>
      <c r="N2" s="437"/>
      <c r="O2" s="437"/>
      <c r="P2" s="437"/>
      <c r="Q2" s="437"/>
      <c r="R2" s="437"/>
      <c r="S2" s="437"/>
      <c r="T2" s="437"/>
      <c r="U2" s="437"/>
      <c r="V2" s="437"/>
      <c r="W2" s="437"/>
      <c r="X2" s="437"/>
      <c r="Y2" s="437"/>
      <c r="Z2" s="437"/>
      <c r="AA2" s="437"/>
      <c r="AB2" s="437"/>
      <c r="AC2" s="437"/>
      <c r="AD2" s="437"/>
      <c r="AE2" s="437"/>
    </row>
    <row r="5" spans="1:31" ht="14.4" customHeight="1" x14ac:dyDescent="0.3"/>
    <row r="6" spans="1:31" ht="14.4" customHeight="1" x14ac:dyDescent="0.3"/>
    <row r="7" spans="1:31" ht="14.4" customHeight="1" thickBot="1" x14ac:dyDescent="0.35">
      <c r="E7" s="167"/>
      <c r="F7" s="167"/>
      <c r="G7" s="167"/>
      <c r="H7" s="167"/>
      <c r="I7" s="167"/>
      <c r="J7" s="167"/>
    </row>
    <row r="8" spans="1:31" ht="14.4" customHeight="1" x14ac:dyDescent="0.3">
      <c r="E8" s="438" t="s">
        <v>399</v>
      </c>
      <c r="F8" s="439"/>
      <c r="G8" s="439"/>
      <c r="H8" s="440"/>
      <c r="I8" s="172"/>
      <c r="J8" s="172"/>
      <c r="K8" s="172"/>
      <c r="L8" s="172"/>
    </row>
    <row r="9" spans="1:31" s="170" customFormat="1" ht="14.4" customHeight="1" x14ac:dyDescent="0.3">
      <c r="E9" s="441"/>
      <c r="F9" s="442"/>
      <c r="G9" s="442"/>
      <c r="H9" s="443"/>
      <c r="I9" s="172"/>
      <c r="J9" s="172"/>
      <c r="K9" s="172"/>
      <c r="L9" s="172"/>
    </row>
    <row r="10" spans="1:31" ht="14.4" customHeight="1" x14ac:dyDescent="0.3">
      <c r="E10" s="193"/>
      <c r="F10" s="188"/>
      <c r="G10" s="188"/>
      <c r="H10" s="194"/>
      <c r="I10" s="173"/>
      <c r="J10" s="173"/>
      <c r="K10" s="173"/>
      <c r="L10" s="173"/>
    </row>
    <row r="11" spans="1:31" ht="14.4" customHeight="1" x14ac:dyDescent="0.3">
      <c r="E11" s="193"/>
      <c r="F11" s="190" t="s">
        <v>397</v>
      </c>
      <c r="G11" s="177"/>
      <c r="H11" s="194"/>
      <c r="I11" s="173"/>
      <c r="J11" s="174"/>
      <c r="K11" s="173"/>
      <c r="L11" s="173"/>
    </row>
    <row r="12" spans="1:31" ht="14.4" customHeight="1" x14ac:dyDescent="0.3">
      <c r="E12" s="193"/>
      <c r="F12" s="188"/>
      <c r="G12" s="188"/>
      <c r="H12" s="194"/>
      <c r="I12" s="173"/>
      <c r="J12" s="173"/>
      <c r="K12" s="173"/>
      <c r="L12" s="173"/>
    </row>
    <row r="13" spans="1:31" ht="14.4" customHeight="1" x14ac:dyDescent="0.3">
      <c r="E13" s="193"/>
      <c r="F13" s="190" t="s">
        <v>398</v>
      </c>
      <c r="G13" s="177"/>
      <c r="H13" s="194"/>
      <c r="I13" s="173"/>
      <c r="J13" s="174"/>
      <c r="K13" s="173"/>
      <c r="L13" s="173"/>
    </row>
    <row r="14" spans="1:31" ht="14.4" customHeight="1" x14ac:dyDescent="0.3">
      <c r="E14" s="193"/>
      <c r="F14" s="189"/>
      <c r="G14" s="189"/>
      <c r="H14" s="195"/>
      <c r="I14" s="175"/>
      <c r="J14" s="175"/>
      <c r="K14" s="175"/>
      <c r="L14" s="175"/>
    </row>
    <row r="15" spans="1:31" ht="14.4" customHeight="1" x14ac:dyDescent="0.3">
      <c r="E15" s="193"/>
      <c r="F15" s="190" t="s">
        <v>387</v>
      </c>
      <c r="G15" s="177"/>
      <c r="H15" s="195"/>
      <c r="I15" s="175"/>
      <c r="J15" s="174"/>
      <c r="K15" s="175"/>
      <c r="L15" s="175"/>
    </row>
    <row r="16" spans="1:31" ht="14.4" customHeight="1" x14ac:dyDescent="0.3">
      <c r="E16" s="193"/>
      <c r="F16" s="189"/>
      <c r="G16" s="189"/>
      <c r="H16" s="195"/>
      <c r="I16" s="175"/>
      <c r="J16" s="175"/>
      <c r="K16" s="175"/>
      <c r="L16" s="175"/>
    </row>
    <row r="17" spans="5:12" ht="14.4" customHeight="1" x14ac:dyDescent="0.3">
      <c r="E17" s="193"/>
      <c r="F17" s="190" t="s">
        <v>225</v>
      </c>
      <c r="G17" s="177"/>
      <c r="H17" s="195"/>
      <c r="I17" s="175"/>
      <c r="J17" s="174"/>
      <c r="K17" s="175"/>
      <c r="L17" s="175"/>
    </row>
    <row r="18" spans="5:12" ht="14.4" customHeight="1" x14ac:dyDescent="0.3">
      <c r="E18" s="193"/>
      <c r="F18" s="189"/>
      <c r="G18" s="189"/>
      <c r="H18" s="196"/>
      <c r="I18" s="176"/>
      <c r="J18" s="176"/>
      <c r="K18" s="176"/>
      <c r="L18" s="176"/>
    </row>
    <row r="19" spans="5:12" ht="14.4" customHeight="1" x14ac:dyDescent="0.3">
      <c r="E19" s="193"/>
      <c r="F19" s="189"/>
      <c r="G19" s="189"/>
      <c r="H19" s="196"/>
      <c r="I19" s="164"/>
      <c r="J19" s="164"/>
    </row>
    <row r="20" spans="5:12" ht="14.4" customHeight="1" x14ac:dyDescent="0.3">
      <c r="E20" s="193"/>
      <c r="F20" s="189"/>
      <c r="G20" s="189"/>
      <c r="H20" s="196"/>
      <c r="I20" s="164"/>
      <c r="J20" s="164"/>
    </row>
    <row r="21" spans="5:12" ht="14.4" customHeight="1" x14ac:dyDescent="0.3">
      <c r="E21" s="193"/>
      <c r="F21" s="189"/>
      <c r="G21" s="189"/>
      <c r="H21" s="196"/>
      <c r="I21" s="164"/>
      <c r="J21" s="164"/>
    </row>
    <row r="22" spans="5:12" ht="14.4" customHeight="1" thickBot="1" x14ac:dyDescent="0.35">
      <c r="E22" s="197"/>
      <c r="F22" s="198"/>
      <c r="G22" s="198"/>
      <c r="H22" s="199"/>
      <c r="I22" s="165"/>
      <c r="J22" s="165"/>
    </row>
    <row r="23" spans="5:12" ht="14.4" customHeight="1" x14ac:dyDescent="0.3">
      <c r="E23" s="164"/>
      <c r="F23" s="168"/>
      <c r="G23" s="164"/>
      <c r="H23" s="165"/>
      <c r="I23" s="165"/>
      <c r="J23" s="165"/>
    </row>
    <row r="24" spans="5:12" ht="14.4" customHeight="1" x14ac:dyDescent="0.3">
      <c r="E24" s="169"/>
      <c r="F24" s="169"/>
      <c r="G24" s="169"/>
      <c r="H24" s="169"/>
      <c r="I24" s="146"/>
      <c r="J24" s="169"/>
    </row>
    <row r="25" spans="5:12" ht="14.4" customHeight="1" x14ac:dyDescent="0.3">
      <c r="E25" s="164"/>
      <c r="F25" s="168"/>
      <c r="G25" s="164"/>
      <c r="H25" s="165"/>
      <c r="I25" s="165"/>
      <c r="J25" s="165"/>
    </row>
    <row r="26" spans="5:12" ht="14.4" customHeight="1" x14ac:dyDescent="0.3">
      <c r="E26" s="164"/>
      <c r="F26" s="164"/>
      <c r="G26" s="164"/>
      <c r="H26" s="165"/>
      <c r="I26" s="165"/>
      <c r="J26" s="165"/>
    </row>
    <row r="27" spans="5:12" ht="14.4" customHeight="1" x14ac:dyDescent="0.3">
      <c r="E27" s="164"/>
      <c r="F27" s="168"/>
      <c r="G27" s="164"/>
      <c r="H27" s="165"/>
      <c r="I27" s="166"/>
      <c r="J27" s="165"/>
    </row>
    <row r="28" spans="5:12" ht="14.4" customHeight="1" x14ac:dyDescent="0.3">
      <c r="E28" s="164"/>
      <c r="F28" s="164"/>
      <c r="G28" s="164"/>
      <c r="H28" s="165"/>
      <c r="I28" s="165"/>
      <c r="J28" s="165"/>
    </row>
    <row r="29" spans="5:12" ht="14.4" customHeight="1" x14ac:dyDescent="0.3">
      <c r="E29" s="138"/>
      <c r="F29" s="138"/>
      <c r="G29" s="138"/>
      <c r="H29" s="139"/>
      <c r="I29" s="139"/>
      <c r="J29" s="139"/>
    </row>
    <row r="30" spans="5:12" ht="14.4" customHeight="1" x14ac:dyDescent="0.3">
      <c r="E30" s="138"/>
      <c r="F30" s="138"/>
      <c r="G30" s="138"/>
      <c r="H30" s="139"/>
      <c r="I30" s="139"/>
      <c r="J30" s="139"/>
    </row>
    <row r="31" spans="5:12" ht="14.4" customHeight="1" x14ac:dyDescent="0.3">
      <c r="E31" s="138"/>
      <c r="F31" s="138"/>
      <c r="G31" s="138"/>
      <c r="H31" s="139"/>
      <c r="I31" s="139"/>
      <c r="J31" s="139"/>
    </row>
    <row r="32" spans="5:12" ht="14.4" customHeight="1" x14ac:dyDescent="0.3">
      <c r="E32" s="138"/>
      <c r="F32" s="138"/>
      <c r="G32" s="138"/>
      <c r="H32" s="139"/>
      <c r="I32" s="139"/>
      <c r="J32" s="139"/>
    </row>
    <row r="33" spans="5:10" ht="14.4" customHeight="1" x14ac:dyDescent="0.3">
      <c r="E33" s="138"/>
      <c r="F33" s="138"/>
      <c r="G33" s="138"/>
      <c r="H33" s="139"/>
      <c r="I33" s="139"/>
      <c r="J33" s="139"/>
    </row>
    <row r="34" spans="5:10" ht="14.4" customHeight="1" x14ac:dyDescent="0.3"/>
    <row r="35" spans="5:10" ht="14.4" customHeight="1" x14ac:dyDescent="0.3"/>
    <row r="36" spans="5:10" ht="14.4" customHeight="1" x14ac:dyDescent="0.3"/>
    <row r="37" spans="5:10" ht="14.4" customHeight="1" x14ac:dyDescent="0.3"/>
    <row r="38" spans="5:10" ht="14.4" customHeight="1" x14ac:dyDescent="0.3"/>
    <row r="39" spans="5:10" ht="14.4" customHeight="1" x14ac:dyDescent="0.3"/>
    <row r="40" spans="5:10" ht="14.4" customHeight="1" x14ac:dyDescent="0.3"/>
  </sheetData>
  <mergeCells count="2">
    <mergeCell ref="A2:AE2"/>
    <mergeCell ref="E8:H9"/>
  </mergeCells>
  <pageMargins left="0.511811024" right="0.511811024" top="0.78740157499999996" bottom="0.78740157499999996" header="0.31496062000000002" footer="0.31496062000000002"/>
  <pageSetup paperSize="9" scale="33" fitToWidth="0" fitToHeight="0"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3E116-2DA3-4024-8836-2A9DF352A106}">
  <sheetPr codeName="Planilha27">
    <tabColor rgb="FFFF0000"/>
  </sheetPr>
  <dimension ref="A1:AE41"/>
  <sheetViews>
    <sheetView showGridLines="0" zoomScale="55" zoomScaleNormal="55" workbookViewId="0">
      <selection activeCell="AB26" sqref="AB26"/>
    </sheetView>
  </sheetViews>
  <sheetFormatPr defaultRowHeight="14.4" x14ac:dyDescent="0.3"/>
  <cols>
    <col min="1" max="5" width="8.88671875" style="170"/>
    <col min="6" max="6" width="33.77734375" style="170" bestFit="1" customWidth="1"/>
    <col min="7" max="7" width="22.77734375" style="170" customWidth="1"/>
    <col min="8" max="8" width="8.88671875" style="170"/>
    <col min="9" max="9" width="8.77734375" style="170" customWidth="1"/>
    <col min="10" max="16384" width="8.88671875" style="170"/>
  </cols>
  <sheetData>
    <row r="1" spans="1:31" ht="61.5" customHeight="1" x14ac:dyDescent="0.3">
      <c r="A1" s="171"/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</row>
    <row r="2" spans="1:31" ht="46.2" customHeight="1" x14ac:dyDescent="0.3">
      <c r="A2" s="437"/>
      <c r="B2" s="437"/>
      <c r="C2" s="437"/>
      <c r="D2" s="437"/>
      <c r="E2" s="437"/>
      <c r="F2" s="437"/>
      <c r="G2" s="437"/>
      <c r="H2" s="437"/>
      <c r="I2" s="437"/>
      <c r="J2" s="437"/>
      <c r="K2" s="437"/>
      <c r="L2" s="437"/>
      <c r="M2" s="437"/>
      <c r="N2" s="437"/>
      <c r="O2" s="437"/>
      <c r="P2" s="437"/>
      <c r="Q2" s="437"/>
      <c r="R2" s="437"/>
      <c r="S2" s="437"/>
      <c r="T2" s="437"/>
      <c r="U2" s="437"/>
      <c r="V2" s="437"/>
      <c r="W2" s="437"/>
      <c r="X2" s="437"/>
      <c r="Y2" s="437"/>
      <c r="Z2" s="437"/>
      <c r="AA2" s="437"/>
      <c r="AB2" s="437"/>
      <c r="AC2" s="437"/>
      <c r="AD2" s="437"/>
      <c r="AE2" s="437"/>
    </row>
    <row r="5" spans="1:31" ht="14.4" customHeight="1" x14ac:dyDescent="0.3"/>
    <row r="6" spans="1:31" ht="14.4" customHeight="1" x14ac:dyDescent="0.3"/>
    <row r="7" spans="1:31" ht="14.4" customHeight="1" thickBot="1" x14ac:dyDescent="0.35">
      <c r="E7" s="167"/>
      <c r="F7" s="167"/>
      <c r="G7" s="167"/>
      <c r="H7" s="167"/>
      <c r="I7" s="167"/>
      <c r="J7" s="167"/>
    </row>
    <row r="8" spans="1:31" ht="14.4" customHeight="1" x14ac:dyDescent="0.3">
      <c r="E8" s="438" t="s">
        <v>404</v>
      </c>
      <c r="F8" s="439"/>
      <c r="G8" s="439"/>
      <c r="H8" s="440"/>
      <c r="I8" s="183"/>
      <c r="J8" s="183"/>
      <c r="K8" s="183"/>
      <c r="L8" s="183"/>
    </row>
    <row r="9" spans="1:31" s="178" customFormat="1" ht="14.4" customHeight="1" x14ac:dyDescent="0.3">
      <c r="E9" s="455"/>
      <c r="F9" s="456"/>
      <c r="G9" s="456"/>
      <c r="H9" s="457"/>
      <c r="I9" s="183"/>
      <c r="J9" s="183"/>
      <c r="K9" s="183"/>
      <c r="L9" s="183"/>
    </row>
    <row r="10" spans="1:31" ht="14.4" customHeight="1" x14ac:dyDescent="0.3">
      <c r="E10" s="200"/>
      <c r="F10" s="192"/>
      <c r="G10" s="192"/>
      <c r="H10" s="201"/>
      <c r="I10" s="215"/>
      <c r="J10" s="173"/>
      <c r="K10" s="173"/>
      <c r="L10" s="173"/>
    </row>
    <row r="11" spans="1:31" ht="14.4" customHeight="1" x14ac:dyDescent="0.3">
      <c r="E11" s="202"/>
      <c r="F11" s="190" t="s">
        <v>400</v>
      </c>
      <c r="G11" s="180"/>
      <c r="H11" s="158"/>
      <c r="I11" s="215"/>
      <c r="J11" s="173"/>
      <c r="K11" s="173"/>
      <c r="L11" s="173"/>
    </row>
    <row r="12" spans="1:31" ht="14.4" customHeight="1" x14ac:dyDescent="0.3">
      <c r="E12" s="202"/>
      <c r="F12" s="190"/>
      <c r="G12" s="190"/>
      <c r="H12" s="203"/>
      <c r="I12" s="215"/>
      <c r="J12" s="173"/>
      <c r="K12" s="173"/>
      <c r="L12" s="173"/>
    </row>
    <row r="13" spans="1:31" ht="14.4" customHeight="1" x14ac:dyDescent="0.3">
      <c r="E13" s="202"/>
      <c r="F13" s="190" t="s">
        <v>376</v>
      </c>
      <c r="G13" s="179"/>
      <c r="H13" s="158"/>
      <c r="I13" s="215"/>
      <c r="J13" s="173"/>
      <c r="K13" s="173"/>
      <c r="L13" s="173"/>
    </row>
    <row r="14" spans="1:31" ht="14.4" customHeight="1" x14ac:dyDescent="0.3">
      <c r="E14" s="202"/>
      <c r="F14" s="190"/>
      <c r="G14" s="190"/>
      <c r="H14" s="204"/>
      <c r="I14" s="216"/>
      <c r="J14" s="175"/>
      <c r="K14" s="175"/>
      <c r="L14" s="175"/>
    </row>
    <row r="15" spans="1:31" ht="14.4" customHeight="1" x14ac:dyDescent="0.3">
      <c r="E15" s="202"/>
      <c r="F15" s="190" t="s">
        <v>401</v>
      </c>
      <c r="G15" s="179"/>
      <c r="H15" s="158"/>
      <c r="I15" s="216"/>
      <c r="J15" s="175"/>
      <c r="K15" s="175"/>
      <c r="L15" s="175"/>
    </row>
    <row r="16" spans="1:31" ht="14.4" customHeight="1" x14ac:dyDescent="0.3">
      <c r="E16" s="202"/>
      <c r="F16" s="190"/>
      <c r="G16" s="190"/>
      <c r="H16" s="204"/>
      <c r="I16" s="216"/>
      <c r="J16" s="175"/>
      <c r="K16" s="175"/>
      <c r="L16" s="175"/>
    </row>
    <row r="17" spans="5:12" ht="14.4" customHeight="1" x14ac:dyDescent="0.3">
      <c r="E17" s="202"/>
      <c r="F17" s="190" t="s">
        <v>35</v>
      </c>
      <c r="G17" s="179"/>
      <c r="H17" s="158"/>
      <c r="I17" s="216"/>
      <c r="J17" s="175"/>
      <c r="K17" s="175"/>
      <c r="L17" s="175"/>
    </row>
    <row r="18" spans="5:12" ht="14.4" customHeight="1" x14ac:dyDescent="0.3">
      <c r="E18" s="202"/>
      <c r="F18" s="190"/>
      <c r="G18" s="190"/>
      <c r="H18" s="203"/>
      <c r="I18" s="215"/>
      <c r="J18" s="173"/>
      <c r="K18" s="173"/>
      <c r="L18" s="173"/>
    </row>
    <row r="19" spans="5:12" ht="14.4" customHeight="1" x14ac:dyDescent="0.3">
      <c r="E19" s="202"/>
      <c r="F19" s="190" t="s">
        <v>387</v>
      </c>
      <c r="G19" s="179"/>
      <c r="H19" s="158"/>
      <c r="I19" s="216"/>
      <c r="J19" s="175"/>
      <c r="K19" s="175"/>
      <c r="L19" s="175"/>
    </row>
    <row r="20" spans="5:12" ht="14.4" customHeight="1" x14ac:dyDescent="0.3">
      <c r="E20" s="205"/>
      <c r="F20" s="206"/>
      <c r="G20" s="206"/>
      <c r="H20" s="207"/>
      <c r="I20" s="217"/>
      <c r="J20" s="186"/>
      <c r="K20" s="186"/>
      <c r="L20" s="186"/>
    </row>
    <row r="21" spans="5:12" ht="14.4" customHeight="1" x14ac:dyDescent="0.3">
      <c r="E21" s="205"/>
      <c r="F21" s="190" t="s">
        <v>402</v>
      </c>
      <c r="G21" s="185"/>
      <c r="H21" s="158"/>
      <c r="I21" s="217"/>
      <c r="J21" s="186"/>
      <c r="K21" s="186"/>
      <c r="L21" s="186"/>
    </row>
    <row r="22" spans="5:12" ht="14.4" customHeight="1" x14ac:dyDescent="0.3">
      <c r="E22" s="202"/>
      <c r="F22" s="190"/>
      <c r="G22" s="190"/>
      <c r="H22" s="204"/>
      <c r="I22" s="216"/>
      <c r="J22" s="175"/>
      <c r="K22" s="175"/>
      <c r="L22" s="175"/>
    </row>
    <row r="23" spans="5:12" ht="14.4" customHeight="1" x14ac:dyDescent="0.3">
      <c r="E23" s="202"/>
      <c r="F23" s="190" t="s">
        <v>225</v>
      </c>
      <c r="G23" s="181"/>
      <c r="H23" s="158"/>
      <c r="I23" s="216"/>
      <c r="J23" s="175"/>
      <c r="K23" s="175"/>
      <c r="L23" s="175"/>
    </row>
    <row r="24" spans="5:12" ht="14.4" customHeight="1" x14ac:dyDescent="0.3">
      <c r="E24" s="202"/>
      <c r="F24" s="190"/>
      <c r="G24" s="190"/>
      <c r="H24" s="204"/>
      <c r="I24" s="216"/>
      <c r="J24" s="175"/>
      <c r="K24" s="175"/>
      <c r="L24" s="175"/>
    </row>
    <row r="25" spans="5:12" ht="14.4" customHeight="1" x14ac:dyDescent="0.3">
      <c r="E25" s="202"/>
      <c r="F25" s="190" t="s">
        <v>403</v>
      </c>
      <c r="G25" s="184"/>
      <c r="H25" s="158"/>
      <c r="I25" s="218"/>
      <c r="J25" s="176"/>
      <c r="K25" s="176"/>
      <c r="L25" s="176"/>
    </row>
    <row r="26" spans="5:12" ht="14.4" customHeight="1" x14ac:dyDescent="0.3">
      <c r="E26" s="214"/>
      <c r="F26" s="213"/>
      <c r="G26" s="191"/>
      <c r="H26" s="208"/>
      <c r="I26" s="218"/>
      <c r="J26" s="187"/>
      <c r="K26" s="187"/>
      <c r="L26" s="187"/>
    </row>
    <row r="27" spans="5:12" ht="14.4" customHeight="1" x14ac:dyDescent="0.3">
      <c r="E27" s="214"/>
      <c r="F27" s="213"/>
      <c r="G27" s="191"/>
      <c r="H27" s="208"/>
      <c r="I27" s="218"/>
      <c r="J27" s="165"/>
    </row>
    <row r="28" spans="5:12" ht="14.4" customHeight="1" x14ac:dyDescent="0.3">
      <c r="E28" s="214"/>
      <c r="F28" s="213"/>
      <c r="G28" s="191"/>
      <c r="H28" s="208"/>
      <c r="I28" s="218"/>
      <c r="J28" s="165"/>
    </row>
    <row r="29" spans="5:12" ht="14.4" customHeight="1" x14ac:dyDescent="0.3">
      <c r="E29" s="214"/>
      <c r="F29" s="213"/>
      <c r="G29" s="191"/>
      <c r="H29" s="208"/>
      <c r="I29" s="218"/>
      <c r="J29" s="165"/>
    </row>
    <row r="30" spans="5:12" ht="14.4" customHeight="1" x14ac:dyDescent="0.3">
      <c r="E30" s="214"/>
      <c r="F30" s="213"/>
      <c r="G30" s="191"/>
      <c r="H30" s="208"/>
      <c r="I30" s="218"/>
      <c r="J30" s="139"/>
    </row>
    <row r="31" spans="5:12" ht="14.4" customHeight="1" thickBot="1" x14ac:dyDescent="0.35">
      <c r="E31" s="209"/>
      <c r="F31" s="210"/>
      <c r="G31" s="211"/>
      <c r="H31" s="212"/>
      <c r="I31" s="218"/>
      <c r="J31" s="139"/>
    </row>
    <row r="32" spans="5:12" ht="14.4" customHeight="1" x14ac:dyDescent="0.3">
      <c r="E32" s="138"/>
      <c r="F32" s="138"/>
      <c r="G32" s="138"/>
      <c r="H32" s="139"/>
      <c r="I32" s="139"/>
      <c r="J32" s="139"/>
    </row>
    <row r="33" spans="5:10" ht="14.4" customHeight="1" x14ac:dyDescent="0.3">
      <c r="E33" s="138"/>
      <c r="F33" s="138"/>
      <c r="G33" s="138"/>
      <c r="H33" s="139"/>
      <c r="I33" s="139"/>
      <c r="J33" s="139"/>
    </row>
    <row r="34" spans="5:10" ht="14.4" customHeight="1" x14ac:dyDescent="0.3">
      <c r="E34" s="138"/>
      <c r="F34" s="138"/>
      <c r="G34" s="138"/>
      <c r="H34" s="139"/>
      <c r="I34" s="139"/>
      <c r="J34" s="139"/>
    </row>
    <row r="35" spans="5:10" ht="14.4" customHeight="1" x14ac:dyDescent="0.3"/>
    <row r="36" spans="5:10" ht="14.4" customHeight="1" x14ac:dyDescent="0.3"/>
    <row r="37" spans="5:10" ht="14.4" customHeight="1" x14ac:dyDescent="0.3"/>
    <row r="38" spans="5:10" ht="14.4" customHeight="1" x14ac:dyDescent="0.3"/>
    <row r="39" spans="5:10" ht="14.4" customHeight="1" x14ac:dyDescent="0.3"/>
    <row r="40" spans="5:10" ht="14.4" customHeight="1" x14ac:dyDescent="0.3"/>
    <row r="41" spans="5:10" ht="14.4" customHeight="1" x14ac:dyDescent="0.3"/>
  </sheetData>
  <mergeCells count="2">
    <mergeCell ref="A2:AE2"/>
    <mergeCell ref="E8:H9"/>
  </mergeCells>
  <pageMargins left="0.511811024" right="0.511811024" top="0.78740157499999996" bottom="0.78740157499999996" header="0.31496062000000002" footer="0.31496062000000002"/>
  <pageSetup paperSize="9" scale="33" fitToWidth="0" fitToHeight="0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8F13F-F396-493D-8D7F-7E294A665FE0}">
  <sheetPr codeName="Planilha18">
    <tabColor rgb="FFFF0000"/>
  </sheetPr>
  <dimension ref="A1:AE2"/>
  <sheetViews>
    <sheetView showGridLines="0" zoomScale="70" zoomScaleNormal="70" workbookViewId="0">
      <selection activeCell="U36" sqref="U36"/>
    </sheetView>
  </sheetViews>
  <sheetFormatPr defaultRowHeight="14.4" x14ac:dyDescent="0.3"/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37"/>
      <c r="B2" s="437"/>
      <c r="C2" s="437"/>
      <c r="D2" s="437"/>
      <c r="E2" s="437"/>
      <c r="F2" s="437"/>
      <c r="G2" s="437"/>
      <c r="H2" s="437"/>
      <c r="I2" s="437"/>
      <c r="J2" s="437"/>
      <c r="K2" s="437"/>
      <c r="L2" s="437"/>
      <c r="M2" s="437"/>
      <c r="N2" s="437"/>
      <c r="O2" s="437"/>
      <c r="P2" s="437"/>
      <c r="Q2" s="437"/>
      <c r="R2" s="437"/>
      <c r="S2" s="437"/>
      <c r="T2" s="437"/>
      <c r="U2" s="437"/>
      <c r="V2" s="437"/>
      <c r="W2" s="437"/>
      <c r="X2" s="437"/>
      <c r="Y2" s="437"/>
      <c r="Z2" s="437"/>
      <c r="AA2" s="437"/>
      <c r="AB2" s="437"/>
      <c r="AC2" s="437"/>
      <c r="AD2" s="437"/>
      <c r="AE2" s="437"/>
    </row>
  </sheetData>
  <mergeCells count="1">
    <mergeCell ref="A2:AE2"/>
  </mergeCells>
  <pageMargins left="0.511811024" right="0.511811024" top="0.78740157499999996" bottom="0.78740157499999996" header="0.31496062000000002" footer="0.31496062000000002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67F5E-02EB-455A-BA13-D6AE10E0BD61}">
  <sheetPr codeName="Planilha28">
    <tabColor rgb="FFFF0000"/>
  </sheetPr>
  <dimension ref="A1:AE2"/>
  <sheetViews>
    <sheetView topLeftCell="A4" zoomScale="70" zoomScaleNormal="70" workbookViewId="0">
      <selection activeCell="K9" sqref="K9:L9"/>
    </sheetView>
  </sheetViews>
  <sheetFormatPr defaultRowHeight="14.4" x14ac:dyDescent="0.3"/>
  <cols>
    <col min="1" max="16384" width="8.88671875" style="178"/>
  </cols>
  <sheetData>
    <row r="1" spans="1:31" ht="61.5" customHeight="1" x14ac:dyDescent="0.3">
      <c r="A1" s="182"/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</row>
    <row r="2" spans="1:31" ht="46.2" customHeight="1" x14ac:dyDescent="0.3">
      <c r="A2" s="437"/>
      <c r="B2" s="437"/>
      <c r="C2" s="437"/>
      <c r="D2" s="437"/>
      <c r="E2" s="437"/>
      <c r="F2" s="437"/>
      <c r="G2" s="437"/>
      <c r="H2" s="437"/>
      <c r="I2" s="437"/>
      <c r="J2" s="437"/>
      <c r="K2" s="437"/>
      <c r="L2" s="437"/>
      <c r="M2" s="437"/>
      <c r="N2" s="437"/>
      <c r="O2" s="437"/>
      <c r="P2" s="437"/>
      <c r="Q2" s="437"/>
      <c r="R2" s="437"/>
      <c r="S2" s="437"/>
      <c r="T2" s="437"/>
      <c r="U2" s="437"/>
      <c r="V2" s="437"/>
      <c r="W2" s="437"/>
      <c r="X2" s="437"/>
      <c r="Y2" s="437"/>
      <c r="Z2" s="437"/>
      <c r="AA2" s="437"/>
      <c r="AB2" s="437"/>
      <c r="AC2" s="437"/>
      <c r="AD2" s="437"/>
      <c r="AE2" s="437"/>
    </row>
  </sheetData>
  <mergeCells count="1">
    <mergeCell ref="A2:AE2"/>
  </mergeCells>
  <pageMargins left="0.511811024" right="0.511811024" top="0.78740157499999996" bottom="0.78740157499999996" header="0.31496062000000002" footer="0.31496062000000002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24952-B8F5-4D2E-B0D6-75E649AE77CA}">
  <sheetPr codeName="Planilha46">
    <tabColor rgb="FFFF0000"/>
  </sheetPr>
  <dimension ref="A1:AE37"/>
  <sheetViews>
    <sheetView showGridLines="0" zoomScale="55" zoomScaleNormal="55" workbookViewId="0">
      <selection activeCell="K27" sqref="K27"/>
    </sheetView>
  </sheetViews>
  <sheetFormatPr defaultRowHeight="14.4" x14ac:dyDescent="0.3"/>
  <cols>
    <col min="1" max="2" width="8.88671875" style="178"/>
    <col min="3" max="3" width="30.5546875" style="178" bestFit="1" customWidth="1"/>
    <col min="4" max="4" width="21.109375" style="178" bestFit="1" customWidth="1"/>
    <col min="5" max="5" width="17.88671875" style="178" bestFit="1" customWidth="1"/>
    <col min="6" max="6" width="31.77734375" style="178" bestFit="1" customWidth="1"/>
    <col min="7" max="7" width="16.109375" style="178" bestFit="1" customWidth="1"/>
    <col min="8" max="8" width="13.33203125" style="178" bestFit="1" customWidth="1"/>
    <col min="9" max="9" width="32.21875" style="178" bestFit="1" customWidth="1"/>
    <col min="10" max="10" width="19.33203125" style="178" customWidth="1"/>
    <col min="11" max="11" width="29.5546875" style="178" bestFit="1" customWidth="1"/>
    <col min="12" max="12" width="28" style="178" bestFit="1" customWidth="1"/>
    <col min="13" max="13" width="21.33203125" style="178" bestFit="1" customWidth="1"/>
    <col min="14" max="14" width="31" style="178" bestFit="1" customWidth="1"/>
    <col min="15" max="16384" width="8.88671875" style="178"/>
  </cols>
  <sheetData>
    <row r="1" spans="1:31" ht="61.5" customHeight="1" x14ac:dyDescent="0.3">
      <c r="A1" s="182"/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</row>
    <row r="2" spans="1:31" ht="46.2" customHeight="1" x14ac:dyDescent="0.3">
      <c r="A2" s="437"/>
      <c r="B2" s="437"/>
      <c r="C2" s="437"/>
      <c r="D2" s="437"/>
      <c r="E2" s="437"/>
      <c r="F2" s="437"/>
      <c r="G2" s="437"/>
      <c r="H2" s="437"/>
      <c r="I2" s="437"/>
      <c r="J2" s="437"/>
      <c r="K2" s="437"/>
      <c r="L2" s="437"/>
      <c r="M2" s="437"/>
      <c r="N2" s="437"/>
      <c r="O2" s="437"/>
      <c r="P2" s="437"/>
      <c r="Q2" s="437"/>
      <c r="R2" s="437"/>
      <c r="S2" s="437"/>
      <c r="T2" s="437"/>
      <c r="U2" s="437"/>
      <c r="V2" s="437"/>
      <c r="W2" s="437"/>
      <c r="X2" s="437"/>
      <c r="Y2" s="437"/>
      <c r="Z2" s="437"/>
      <c r="AA2" s="437"/>
      <c r="AB2" s="437"/>
      <c r="AC2" s="437"/>
      <c r="AD2" s="437"/>
      <c r="AE2" s="437"/>
    </row>
    <row r="4" spans="1:31" x14ac:dyDescent="0.3">
      <c r="B4" s="1"/>
      <c r="C4" s="1"/>
      <c r="D4" s="1"/>
      <c r="E4" s="1"/>
      <c r="F4" s="1"/>
      <c r="G4" s="1"/>
      <c r="H4" s="1"/>
      <c r="I4" s="1"/>
      <c r="J4" s="1"/>
      <c r="K4" s="1"/>
    </row>
    <row r="5" spans="1:31" ht="18" thickBot="1" x14ac:dyDescent="0.35">
      <c r="B5" s="1"/>
      <c r="C5" s="466"/>
      <c r="D5" s="467"/>
      <c r="E5" s="467"/>
      <c r="F5" s="1"/>
      <c r="G5" s="1"/>
      <c r="H5" s="466"/>
      <c r="I5" s="467"/>
      <c r="J5" s="467"/>
      <c r="K5" s="1"/>
    </row>
    <row r="6" spans="1:31" ht="18" thickBot="1" x14ac:dyDescent="0.35">
      <c r="B6" s="1"/>
      <c r="C6" s="468" t="s">
        <v>364</v>
      </c>
      <c r="D6" s="469"/>
      <c r="E6" s="469"/>
      <c r="F6" s="469"/>
      <c r="G6" s="469"/>
      <c r="H6" s="469"/>
      <c r="I6" s="470"/>
      <c r="J6" s="471"/>
      <c r="K6" s="472" t="s">
        <v>413</v>
      </c>
      <c r="L6" s="473"/>
      <c r="M6" s="473"/>
      <c r="N6" s="474"/>
      <c r="O6" s="475"/>
    </row>
    <row r="7" spans="1:31" x14ac:dyDescent="0.3">
      <c r="B7" s="1"/>
      <c r="C7" s="476" t="s">
        <v>287</v>
      </c>
      <c r="D7" s="477" t="s">
        <v>365</v>
      </c>
      <c r="E7" s="477" t="s">
        <v>414</v>
      </c>
      <c r="F7" s="477" t="s">
        <v>293</v>
      </c>
      <c r="G7" s="477" t="s">
        <v>408</v>
      </c>
      <c r="H7" s="477" t="s">
        <v>415</v>
      </c>
      <c r="I7" s="478" t="s">
        <v>416</v>
      </c>
      <c r="J7" s="466"/>
      <c r="K7" s="479" t="s">
        <v>417</v>
      </c>
      <c r="L7" s="480" t="s">
        <v>365</v>
      </c>
      <c r="M7" s="480" t="s">
        <v>294</v>
      </c>
      <c r="N7" s="481" t="s">
        <v>414</v>
      </c>
      <c r="O7" s="482"/>
    </row>
    <row r="8" spans="1:31" x14ac:dyDescent="0.3">
      <c r="B8" s="1"/>
      <c r="C8" s="483" t="s">
        <v>418</v>
      </c>
      <c r="D8" s="484" t="s">
        <v>419</v>
      </c>
      <c r="E8" s="484" t="s">
        <v>420</v>
      </c>
      <c r="F8" s="485" t="s">
        <v>421</v>
      </c>
      <c r="G8" s="484" t="s">
        <v>422</v>
      </c>
      <c r="H8" s="484" t="s">
        <v>423</v>
      </c>
      <c r="I8" s="486" t="s">
        <v>424</v>
      </c>
      <c r="J8" s="466"/>
      <c r="K8" s="487"/>
      <c r="L8" s="488"/>
      <c r="M8" s="488"/>
      <c r="N8" s="489"/>
      <c r="O8" s="482"/>
    </row>
    <row r="9" spans="1:31" x14ac:dyDescent="0.3">
      <c r="B9" s="1"/>
      <c r="C9" s="483" t="s">
        <v>425</v>
      </c>
      <c r="D9" s="484" t="s">
        <v>426</v>
      </c>
      <c r="E9" s="484" t="s">
        <v>427</v>
      </c>
      <c r="F9" s="485" t="s">
        <v>428</v>
      </c>
      <c r="G9" s="484" t="s">
        <v>429</v>
      </c>
      <c r="H9" s="484" t="s">
        <v>423</v>
      </c>
      <c r="I9" s="490" t="s">
        <v>430</v>
      </c>
      <c r="J9" s="466"/>
      <c r="K9" s="487"/>
      <c r="L9" s="488"/>
      <c r="M9" s="488"/>
      <c r="N9" s="489"/>
      <c r="O9" s="482"/>
    </row>
    <row r="10" spans="1:31" x14ac:dyDescent="0.3">
      <c r="B10" s="1"/>
      <c r="C10" s="483" t="s">
        <v>431</v>
      </c>
      <c r="D10" s="484" t="s">
        <v>432</v>
      </c>
      <c r="E10" s="484" t="s">
        <v>433</v>
      </c>
      <c r="F10" s="485" t="s">
        <v>434</v>
      </c>
      <c r="G10" s="484" t="s">
        <v>435</v>
      </c>
      <c r="H10" s="484" t="s">
        <v>423</v>
      </c>
      <c r="I10" s="486" t="s">
        <v>436</v>
      </c>
      <c r="J10" s="466"/>
      <c r="K10" s="487"/>
      <c r="L10" s="488"/>
      <c r="M10" s="488"/>
      <c r="N10" s="489"/>
      <c r="O10" s="482"/>
    </row>
    <row r="11" spans="1:31" x14ac:dyDescent="0.3">
      <c r="B11" s="1"/>
      <c r="C11" s="483" t="s">
        <v>437</v>
      </c>
      <c r="D11" s="484" t="s">
        <v>438</v>
      </c>
      <c r="E11" s="484" t="s">
        <v>439</v>
      </c>
      <c r="F11" s="485" t="s">
        <v>440</v>
      </c>
      <c r="G11" s="484" t="s">
        <v>423</v>
      </c>
      <c r="H11" s="484" t="s">
        <v>423</v>
      </c>
      <c r="I11" s="491" t="s">
        <v>441</v>
      </c>
      <c r="J11" s="1"/>
      <c r="K11" s="487"/>
      <c r="L11" s="488"/>
      <c r="M11" s="488"/>
      <c r="N11" s="489"/>
      <c r="O11" s="482"/>
    </row>
    <row r="12" spans="1:31" x14ac:dyDescent="0.3">
      <c r="B12" s="1"/>
      <c r="C12" s="483" t="s">
        <v>442</v>
      </c>
      <c r="D12" s="484" t="s">
        <v>443</v>
      </c>
      <c r="E12" s="484" t="s">
        <v>444</v>
      </c>
      <c r="F12" s="485" t="s">
        <v>445</v>
      </c>
      <c r="G12" s="484" t="s">
        <v>446</v>
      </c>
      <c r="H12" s="484" t="s">
        <v>423</v>
      </c>
      <c r="I12" s="490" t="s">
        <v>447</v>
      </c>
      <c r="J12" s="1"/>
      <c r="K12" s="487"/>
      <c r="L12" s="488"/>
      <c r="M12" s="488"/>
      <c r="N12" s="489"/>
      <c r="O12" s="482"/>
    </row>
    <row r="13" spans="1:31" x14ac:dyDescent="0.3">
      <c r="B13" s="1"/>
      <c r="C13" s="483" t="s">
        <v>448</v>
      </c>
      <c r="D13" s="484" t="s">
        <v>449</v>
      </c>
      <c r="E13" s="484" t="s">
        <v>450</v>
      </c>
      <c r="F13" s="485" t="s">
        <v>451</v>
      </c>
      <c r="G13" s="484" t="s">
        <v>452</v>
      </c>
      <c r="H13" s="484" t="s">
        <v>423</v>
      </c>
      <c r="I13" s="486" t="s">
        <v>453</v>
      </c>
      <c r="J13" s="1"/>
      <c r="K13" s="487"/>
      <c r="L13" s="488"/>
      <c r="M13" s="488"/>
      <c r="N13" s="489"/>
      <c r="O13" s="482"/>
    </row>
    <row r="14" spans="1:31" x14ac:dyDescent="0.3">
      <c r="C14" s="483" t="s">
        <v>454</v>
      </c>
      <c r="D14" s="484" t="s">
        <v>455</v>
      </c>
      <c r="E14" s="484" t="s">
        <v>456</v>
      </c>
      <c r="F14" s="485" t="s">
        <v>457</v>
      </c>
      <c r="G14" s="484" t="s">
        <v>458</v>
      </c>
      <c r="H14" s="484" t="s">
        <v>423</v>
      </c>
      <c r="I14" s="486" t="s">
        <v>459</v>
      </c>
      <c r="K14" s="487"/>
      <c r="L14" s="488"/>
      <c r="M14" s="488"/>
      <c r="N14" s="489"/>
      <c r="O14" s="482"/>
    </row>
    <row r="15" spans="1:31" x14ac:dyDescent="0.3">
      <c r="C15" s="483" t="s">
        <v>460</v>
      </c>
      <c r="D15" s="484" t="s">
        <v>461</v>
      </c>
      <c r="E15" s="484" t="s">
        <v>462</v>
      </c>
      <c r="F15" s="485" t="s">
        <v>463</v>
      </c>
      <c r="G15" s="484" t="s">
        <v>464</v>
      </c>
      <c r="H15" s="484" t="s">
        <v>423</v>
      </c>
      <c r="I15" s="492" t="s">
        <v>465</v>
      </c>
      <c r="K15" s="487"/>
      <c r="L15" s="488"/>
      <c r="M15" s="488"/>
      <c r="N15" s="489"/>
      <c r="O15" s="482"/>
    </row>
    <row r="16" spans="1:31" x14ac:dyDescent="0.3">
      <c r="C16" s="483" t="s">
        <v>466</v>
      </c>
      <c r="D16" s="484" t="s">
        <v>467</v>
      </c>
      <c r="E16" s="484" t="s">
        <v>468</v>
      </c>
      <c r="F16" s="485" t="s">
        <v>469</v>
      </c>
      <c r="G16" s="484" t="s">
        <v>470</v>
      </c>
      <c r="H16" s="484" t="s">
        <v>471</v>
      </c>
      <c r="I16" s="486" t="s">
        <v>472</v>
      </c>
      <c r="K16" s="487"/>
      <c r="L16" s="488"/>
      <c r="M16" s="488"/>
      <c r="N16" s="489"/>
      <c r="O16" s="482"/>
    </row>
    <row r="17" spans="3:19" x14ac:dyDescent="0.3">
      <c r="C17" s="483" t="s">
        <v>473</v>
      </c>
      <c r="D17" s="484" t="s">
        <v>474</v>
      </c>
      <c r="E17" s="484" t="s">
        <v>475</v>
      </c>
      <c r="F17" s="485" t="s">
        <v>476</v>
      </c>
      <c r="G17" s="484" t="s">
        <v>477</v>
      </c>
      <c r="H17" s="484" t="s">
        <v>471</v>
      </c>
      <c r="I17" s="490" t="s">
        <v>478</v>
      </c>
      <c r="K17" s="487"/>
      <c r="L17" s="488"/>
      <c r="M17" s="488"/>
      <c r="N17" s="489"/>
      <c r="O17" s="482"/>
    </row>
    <row r="18" spans="3:19" x14ac:dyDescent="0.3">
      <c r="C18" s="483" t="s">
        <v>479</v>
      </c>
      <c r="D18" s="484" t="s">
        <v>480</v>
      </c>
      <c r="E18" s="484" t="s">
        <v>481</v>
      </c>
      <c r="F18" s="485" t="s">
        <v>482</v>
      </c>
      <c r="G18" s="484" t="s">
        <v>483</v>
      </c>
      <c r="H18" s="484" t="s">
        <v>471</v>
      </c>
      <c r="I18" s="490" t="s">
        <v>484</v>
      </c>
      <c r="K18" s="487"/>
      <c r="L18" s="488"/>
      <c r="M18" s="488"/>
      <c r="N18" s="489"/>
      <c r="O18" s="482"/>
    </row>
    <row r="19" spans="3:19" x14ac:dyDescent="0.3">
      <c r="C19" s="483" t="s">
        <v>485</v>
      </c>
      <c r="D19" s="484" t="s">
        <v>486</v>
      </c>
      <c r="E19" s="484" t="s">
        <v>487</v>
      </c>
      <c r="F19" s="485" t="s">
        <v>488</v>
      </c>
      <c r="G19" s="484" t="s">
        <v>489</v>
      </c>
      <c r="H19" s="484" t="s">
        <v>471</v>
      </c>
      <c r="I19" s="493" t="s">
        <v>490</v>
      </c>
      <c r="K19" s="487"/>
      <c r="L19" s="488"/>
      <c r="M19" s="488"/>
      <c r="N19" s="489"/>
      <c r="O19" s="482"/>
    </row>
    <row r="20" spans="3:19" ht="15" thickBot="1" x14ac:dyDescent="0.35">
      <c r="C20" s="483" t="s">
        <v>491</v>
      </c>
      <c r="D20" s="484" t="s">
        <v>492</v>
      </c>
      <c r="E20" s="484" t="s">
        <v>493</v>
      </c>
      <c r="F20" s="485" t="s">
        <v>494</v>
      </c>
      <c r="G20" s="484" t="s">
        <v>477</v>
      </c>
      <c r="H20" s="484" t="s">
        <v>471</v>
      </c>
      <c r="I20" s="486" t="s">
        <v>495</v>
      </c>
      <c r="J20" s="494"/>
      <c r="K20" s="495"/>
      <c r="L20" s="496"/>
      <c r="M20" s="496"/>
      <c r="N20" s="497"/>
    </row>
    <row r="21" spans="3:19" x14ac:dyDescent="0.3">
      <c r="C21" s="483" t="s">
        <v>496</v>
      </c>
      <c r="D21" s="484" t="s">
        <v>497</v>
      </c>
      <c r="E21" s="484" t="s">
        <v>498</v>
      </c>
      <c r="F21" s="485" t="s">
        <v>499</v>
      </c>
      <c r="G21" s="484" t="s">
        <v>500</v>
      </c>
      <c r="H21" s="484" t="s">
        <v>471</v>
      </c>
      <c r="I21" s="486" t="s">
        <v>501</v>
      </c>
    </row>
    <row r="22" spans="3:19" x14ac:dyDescent="0.3">
      <c r="C22" s="483" t="s">
        <v>502</v>
      </c>
      <c r="D22" s="484" t="s">
        <v>503</v>
      </c>
      <c r="E22" s="484" t="s">
        <v>504</v>
      </c>
      <c r="F22" s="485" t="s">
        <v>505</v>
      </c>
      <c r="G22" s="484" t="s">
        <v>506</v>
      </c>
      <c r="H22" s="484" t="s">
        <v>471</v>
      </c>
      <c r="I22" s="491" t="s">
        <v>507</v>
      </c>
    </row>
    <row r="23" spans="3:19" x14ac:dyDescent="0.3">
      <c r="C23" s="483" t="s">
        <v>508</v>
      </c>
      <c r="D23" s="484" t="s">
        <v>509</v>
      </c>
      <c r="E23" s="484" t="s">
        <v>510</v>
      </c>
      <c r="F23" s="485" t="s">
        <v>511</v>
      </c>
      <c r="G23" s="484" t="s">
        <v>512</v>
      </c>
      <c r="H23" s="484" t="s">
        <v>471</v>
      </c>
      <c r="I23" s="486" t="s">
        <v>513</v>
      </c>
    </row>
    <row r="24" spans="3:19" x14ac:dyDescent="0.3">
      <c r="C24" s="483" t="s">
        <v>514</v>
      </c>
      <c r="D24" s="484" t="s">
        <v>515</v>
      </c>
      <c r="E24" s="484" t="s">
        <v>516</v>
      </c>
      <c r="F24" s="485" t="s">
        <v>517</v>
      </c>
      <c r="G24" s="484" t="s">
        <v>518</v>
      </c>
      <c r="H24" s="484" t="s">
        <v>519</v>
      </c>
      <c r="I24" s="486" t="s">
        <v>520</v>
      </c>
    </row>
    <row r="25" spans="3:19" x14ac:dyDescent="0.3">
      <c r="C25" s="483" t="s">
        <v>521</v>
      </c>
      <c r="D25" s="484" t="s">
        <v>522</v>
      </c>
      <c r="E25" s="484" t="s">
        <v>523</v>
      </c>
      <c r="F25" s="485" t="s">
        <v>524</v>
      </c>
      <c r="G25" s="484" t="s">
        <v>525</v>
      </c>
      <c r="H25" s="484" t="s">
        <v>519</v>
      </c>
      <c r="I25" s="486" t="s">
        <v>526</v>
      </c>
    </row>
    <row r="26" spans="3:19" x14ac:dyDescent="0.3">
      <c r="C26" s="483" t="s">
        <v>527</v>
      </c>
      <c r="D26" s="484" t="s">
        <v>528</v>
      </c>
      <c r="E26" s="484" t="s">
        <v>529</v>
      </c>
      <c r="F26" s="485" t="s">
        <v>530</v>
      </c>
      <c r="G26" s="484" t="s">
        <v>531</v>
      </c>
      <c r="H26" s="484" t="s">
        <v>519</v>
      </c>
      <c r="I26" s="486" t="s">
        <v>532</v>
      </c>
    </row>
    <row r="27" spans="3:19" x14ac:dyDescent="0.3">
      <c r="C27" s="483" t="s">
        <v>533</v>
      </c>
      <c r="D27" s="484" t="s">
        <v>534</v>
      </c>
      <c r="E27" s="484" t="s">
        <v>535</v>
      </c>
      <c r="F27" s="485" t="s">
        <v>536</v>
      </c>
      <c r="G27" s="484" t="s">
        <v>537</v>
      </c>
      <c r="H27" s="484" t="s">
        <v>519</v>
      </c>
      <c r="I27" s="486" t="s">
        <v>538</v>
      </c>
    </row>
    <row r="28" spans="3:19" ht="15" thickBot="1" x14ac:dyDescent="0.35">
      <c r="C28" s="498" t="s">
        <v>539</v>
      </c>
      <c r="D28" s="499" t="s">
        <v>540</v>
      </c>
      <c r="E28" s="499" t="s">
        <v>541</v>
      </c>
      <c r="F28" s="500" t="s">
        <v>542</v>
      </c>
      <c r="G28" s="499" t="s">
        <v>543</v>
      </c>
      <c r="H28" s="499" t="s">
        <v>519</v>
      </c>
      <c r="I28" s="501" t="s">
        <v>544</v>
      </c>
    </row>
    <row r="30" spans="3:19" ht="15" thickBot="1" x14ac:dyDescent="0.35"/>
    <row r="31" spans="3:19" ht="15" thickBot="1" x14ac:dyDescent="0.35">
      <c r="C31" s="502" t="s">
        <v>545</v>
      </c>
      <c r="D31" s="503"/>
      <c r="E31" s="503"/>
      <c r="F31" s="503"/>
      <c r="G31" s="503"/>
      <c r="H31" s="503"/>
      <c r="I31" s="503"/>
      <c r="J31" s="503"/>
      <c r="K31" s="503"/>
      <c r="L31" s="503"/>
      <c r="M31" s="503"/>
      <c r="N31" s="503"/>
      <c r="O31" s="503"/>
      <c r="P31" s="503"/>
      <c r="Q31" s="503"/>
      <c r="R31" s="503"/>
      <c r="S31" s="504"/>
    </row>
    <row r="32" spans="3:19" x14ac:dyDescent="0.3">
      <c r="C32" s="505" t="s">
        <v>287</v>
      </c>
      <c r="D32" s="506" t="s">
        <v>288</v>
      </c>
      <c r="E32" s="506" t="s">
        <v>289</v>
      </c>
      <c r="F32" s="506" t="s">
        <v>290</v>
      </c>
      <c r="G32" s="506" t="s">
        <v>291</v>
      </c>
      <c r="H32" s="506" t="s">
        <v>292</v>
      </c>
      <c r="I32" s="506" t="s">
        <v>293</v>
      </c>
      <c r="J32" s="506" t="s">
        <v>294</v>
      </c>
      <c r="K32" s="506" t="s">
        <v>295</v>
      </c>
      <c r="L32" s="506" t="s">
        <v>311</v>
      </c>
      <c r="M32" s="507" t="s">
        <v>546</v>
      </c>
      <c r="N32" s="507" t="s">
        <v>547</v>
      </c>
      <c r="O32" s="507" t="s">
        <v>548</v>
      </c>
      <c r="P32" s="507" t="s">
        <v>360</v>
      </c>
      <c r="Q32" s="507" t="s">
        <v>549</v>
      </c>
      <c r="R32" s="507" t="s">
        <v>550</v>
      </c>
      <c r="S32" s="508" t="s">
        <v>319</v>
      </c>
    </row>
    <row r="33" spans="3:19" x14ac:dyDescent="0.3">
      <c r="C33" s="509" t="s">
        <v>551</v>
      </c>
      <c r="D33" s="488" t="s">
        <v>552</v>
      </c>
      <c r="E33" s="488" t="s">
        <v>553</v>
      </c>
      <c r="F33" s="488" t="s">
        <v>554</v>
      </c>
      <c r="G33" s="488">
        <v>3336859865</v>
      </c>
      <c r="H33" s="488" t="s">
        <v>555</v>
      </c>
      <c r="I33" s="510" t="s">
        <v>451</v>
      </c>
      <c r="J33" s="511" t="s">
        <v>556</v>
      </c>
      <c r="K33" s="488" t="s">
        <v>557</v>
      </c>
      <c r="L33" s="488" t="s">
        <v>558</v>
      </c>
      <c r="M33" s="512">
        <v>3000</v>
      </c>
      <c r="N33" s="512"/>
      <c r="O33" s="512"/>
      <c r="P33" s="512"/>
      <c r="Q33" s="512"/>
      <c r="R33" s="512"/>
      <c r="S33" s="513"/>
    </row>
    <row r="34" spans="3:19" x14ac:dyDescent="0.3">
      <c r="C34" s="509" t="s">
        <v>559</v>
      </c>
      <c r="D34" s="488" t="s">
        <v>552</v>
      </c>
      <c r="E34" s="488" t="s">
        <v>560</v>
      </c>
      <c r="F34" s="488" t="s">
        <v>561</v>
      </c>
      <c r="G34" s="488">
        <v>3336859865</v>
      </c>
      <c r="H34" s="488" t="s">
        <v>562</v>
      </c>
      <c r="I34" s="510" t="s">
        <v>457</v>
      </c>
      <c r="J34" s="511" t="s">
        <v>563</v>
      </c>
      <c r="K34" s="488" t="s">
        <v>564</v>
      </c>
      <c r="L34" s="488" t="s">
        <v>558</v>
      </c>
      <c r="M34" s="512">
        <v>3000</v>
      </c>
      <c r="N34" s="512"/>
      <c r="O34" s="512"/>
      <c r="P34" s="512"/>
      <c r="Q34" s="512"/>
      <c r="R34" s="512"/>
      <c r="S34" s="513"/>
    </row>
    <row r="35" spans="3:19" x14ac:dyDescent="0.3">
      <c r="C35" s="509" t="s">
        <v>565</v>
      </c>
      <c r="D35" s="488" t="s">
        <v>552</v>
      </c>
      <c r="E35" s="488" t="s">
        <v>553</v>
      </c>
      <c r="F35" s="488" t="s">
        <v>554</v>
      </c>
      <c r="G35" s="488">
        <v>3336859865</v>
      </c>
      <c r="H35" s="488" t="s">
        <v>566</v>
      </c>
      <c r="I35" s="510" t="s">
        <v>463</v>
      </c>
      <c r="J35" s="511" t="s">
        <v>567</v>
      </c>
      <c r="K35" s="488" t="s">
        <v>568</v>
      </c>
      <c r="L35" s="488" t="s">
        <v>558</v>
      </c>
      <c r="M35" s="512">
        <v>3000</v>
      </c>
      <c r="N35" s="512"/>
      <c r="O35" s="512"/>
      <c r="P35" s="512"/>
      <c r="Q35" s="512"/>
      <c r="R35" s="512"/>
      <c r="S35" s="513"/>
    </row>
    <row r="36" spans="3:19" x14ac:dyDescent="0.3">
      <c r="C36" s="509" t="s">
        <v>569</v>
      </c>
      <c r="D36" s="488" t="s">
        <v>552</v>
      </c>
      <c r="E36" s="488" t="s">
        <v>570</v>
      </c>
      <c r="F36" s="488" t="s">
        <v>561</v>
      </c>
      <c r="G36" s="488">
        <v>3336859865</v>
      </c>
      <c r="H36" s="488" t="s">
        <v>571</v>
      </c>
      <c r="I36" s="510" t="s">
        <v>469</v>
      </c>
      <c r="J36" s="511" t="s">
        <v>572</v>
      </c>
      <c r="K36" s="488" t="s">
        <v>573</v>
      </c>
      <c r="L36" s="488" t="s">
        <v>558</v>
      </c>
      <c r="M36" s="512">
        <v>3000</v>
      </c>
      <c r="N36" s="512"/>
      <c r="O36" s="512"/>
      <c r="P36" s="512"/>
      <c r="Q36" s="512"/>
      <c r="R36" s="512"/>
      <c r="S36" s="513"/>
    </row>
    <row r="37" spans="3:19" ht="15" thickBot="1" x14ac:dyDescent="0.35">
      <c r="C37" s="495"/>
      <c r="D37" s="496"/>
      <c r="E37" s="496"/>
      <c r="F37" s="496"/>
      <c r="G37" s="496"/>
      <c r="H37" s="496"/>
      <c r="I37" s="496"/>
      <c r="J37" s="496"/>
      <c r="K37" s="496"/>
      <c r="L37" s="496"/>
      <c r="M37" s="496"/>
      <c r="N37" s="496"/>
      <c r="O37" s="496"/>
      <c r="P37" s="496"/>
      <c r="Q37" s="496"/>
      <c r="R37" s="496"/>
      <c r="S37" s="497"/>
    </row>
  </sheetData>
  <mergeCells count="6">
    <mergeCell ref="A2:AE2"/>
    <mergeCell ref="D5:E5"/>
    <mergeCell ref="I5:J5"/>
    <mergeCell ref="C6:I6"/>
    <mergeCell ref="K6:N6"/>
    <mergeCell ref="C31:S31"/>
  </mergeCells>
  <hyperlinks>
    <hyperlink ref="K24" r:id="rId1" display="andréa.melo29@email.com" xr:uid="{DA8428CF-F25F-4FA2-AA2B-E02149495918}"/>
    <hyperlink ref="I11" r:id="rId2" xr:uid="{38E75BCF-BB3D-4791-8404-9B2714BC6109}"/>
    <hyperlink ref="I22" r:id="rId3" xr:uid="{082609C8-C4AB-4F76-99DA-3FB57766DEC4}"/>
    <hyperlink ref="I15" r:id="rId4" xr:uid="{E69748C8-687E-4F86-B9EB-195E94A7C944}"/>
    <hyperlink ref="J33" r:id="rId5" xr:uid="{7DF154AD-951E-48F1-AC8C-365725AE64E2}"/>
    <hyperlink ref="J34" r:id="rId6" xr:uid="{00EEAEDD-1F3E-483D-A06C-745452F370E7}"/>
    <hyperlink ref="J35" r:id="rId7" xr:uid="{1AEC7AE7-CB1B-41DE-BF0C-74464A087766}"/>
    <hyperlink ref="J36" r:id="rId8" xr:uid="{1B2A1F2C-CD25-46B5-87B4-D2B0FA7DCE6F}"/>
  </hyperlinks>
  <pageMargins left="0.511811024" right="0.511811024" top="0.78740157499999996" bottom="0.78740157499999996" header="0.31496062000000002" footer="0.31496062000000002"/>
  <pageSetup paperSize="9" orientation="portrait" r:id="rId9"/>
  <drawing r:id="rId1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78475-30DF-41D0-BB79-485660171371}">
  <sheetPr codeName="Planilha47">
    <tabColor rgb="FFFF0000"/>
  </sheetPr>
  <dimension ref="A1:AE37"/>
  <sheetViews>
    <sheetView showGridLines="0" tabSelected="1" zoomScale="55" zoomScaleNormal="55" workbookViewId="0">
      <selection activeCell="L35" sqref="L35"/>
    </sheetView>
  </sheetViews>
  <sheetFormatPr defaultRowHeight="14.4" x14ac:dyDescent="0.3"/>
  <cols>
    <col min="1" max="2" width="8.88671875" style="178"/>
    <col min="3" max="3" width="20.88671875" style="178" customWidth="1"/>
    <col min="4" max="4" width="28" style="178" bestFit="1" customWidth="1"/>
    <col min="5" max="5" width="21.33203125" style="178" customWidth="1"/>
    <col min="6" max="6" width="31" style="178" customWidth="1"/>
    <col min="7" max="7" width="32.6640625" style="178" bestFit="1" customWidth="1"/>
    <col min="8" max="8" width="24" style="178" bestFit="1" customWidth="1"/>
    <col min="9" max="10" width="24.5546875" style="178" bestFit="1" customWidth="1"/>
    <col min="11" max="11" width="17.88671875" style="178" bestFit="1" customWidth="1"/>
    <col min="12" max="12" width="28" style="178" bestFit="1" customWidth="1"/>
    <col min="13" max="13" width="21.33203125" style="178" bestFit="1" customWidth="1"/>
    <col min="14" max="14" width="31" style="178" bestFit="1" customWidth="1"/>
    <col min="15" max="16384" width="8.88671875" style="178"/>
  </cols>
  <sheetData>
    <row r="1" spans="1:31" ht="61.5" customHeight="1" x14ac:dyDescent="0.3">
      <c r="A1" s="182"/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</row>
    <row r="2" spans="1:31" ht="46.2" customHeight="1" x14ac:dyDescent="0.3">
      <c r="A2" s="437"/>
      <c r="B2" s="437"/>
      <c r="C2" s="437"/>
      <c r="D2" s="437"/>
      <c r="E2" s="437"/>
      <c r="F2" s="437"/>
      <c r="G2" s="437"/>
      <c r="H2" s="437"/>
      <c r="I2" s="437"/>
      <c r="J2" s="437"/>
      <c r="K2" s="437"/>
      <c r="L2" s="437"/>
      <c r="M2" s="437"/>
      <c r="N2" s="437"/>
      <c r="O2" s="437"/>
      <c r="P2" s="437"/>
      <c r="Q2" s="437"/>
      <c r="R2" s="437"/>
      <c r="S2" s="437"/>
      <c r="T2" s="437"/>
      <c r="U2" s="437"/>
      <c r="V2" s="437"/>
      <c r="W2" s="437"/>
      <c r="X2" s="437"/>
      <c r="Y2" s="437"/>
      <c r="Z2" s="437"/>
      <c r="AA2" s="437"/>
      <c r="AB2" s="437"/>
      <c r="AC2" s="437"/>
      <c r="AD2" s="437"/>
      <c r="AE2" s="437"/>
    </row>
    <row r="4" spans="1:31" x14ac:dyDescent="0.3">
      <c r="B4" s="1"/>
      <c r="C4" s="1"/>
      <c r="D4" s="1"/>
      <c r="E4" s="1"/>
      <c r="F4" s="1"/>
      <c r="G4" s="1"/>
      <c r="H4" s="1"/>
      <c r="I4" s="1"/>
      <c r="J4" s="1"/>
      <c r="K4" s="1"/>
    </row>
    <row r="5" spans="1:31" ht="17.399999999999999" x14ac:dyDescent="0.3">
      <c r="B5" s="1"/>
      <c r="C5" s="466"/>
      <c r="D5" s="467"/>
      <c r="E5" s="467"/>
      <c r="F5" s="1"/>
      <c r="G5" s="1"/>
      <c r="H5" s="466"/>
      <c r="I5" s="467"/>
      <c r="J5" s="467"/>
      <c r="K5" s="1"/>
    </row>
    <row r="6" spans="1:31" ht="17.399999999999999" x14ac:dyDescent="0.3">
      <c r="B6" s="1"/>
      <c r="C6" s="514" t="s">
        <v>574</v>
      </c>
      <c r="D6" s="514"/>
      <c r="E6" s="514"/>
      <c r="F6" s="514"/>
      <c r="G6" s="514"/>
      <c r="H6" s="515"/>
      <c r="I6" s="515"/>
      <c r="J6" s="471"/>
    </row>
    <row r="7" spans="1:31" x14ac:dyDescent="0.3">
      <c r="B7" s="1"/>
      <c r="C7" s="516" t="s">
        <v>282</v>
      </c>
      <c r="D7" s="516" t="s">
        <v>575</v>
      </c>
      <c r="E7" s="517" t="s">
        <v>367</v>
      </c>
      <c r="F7" s="516" t="s">
        <v>368</v>
      </c>
      <c r="G7" s="516" t="s">
        <v>576</v>
      </c>
      <c r="H7" s="518"/>
      <c r="I7" s="518"/>
      <c r="J7" s="466"/>
    </row>
    <row r="8" spans="1:31" x14ac:dyDescent="0.3">
      <c r="B8" s="1"/>
      <c r="C8" s="519"/>
      <c r="D8" s="519"/>
      <c r="E8" s="520">
        <v>20</v>
      </c>
      <c r="F8" s="519"/>
      <c r="G8" s="519" t="s">
        <v>577</v>
      </c>
      <c r="H8" s="95"/>
      <c r="I8" s="521"/>
      <c r="J8" s="466"/>
    </row>
    <row r="9" spans="1:31" x14ac:dyDescent="0.3">
      <c r="B9" s="1"/>
      <c r="C9" s="519"/>
      <c r="D9" s="522"/>
      <c r="E9" s="523">
        <v>30</v>
      </c>
      <c r="F9" s="519"/>
      <c r="G9" s="519" t="s">
        <v>577</v>
      </c>
      <c r="H9" s="95"/>
      <c r="I9" s="482"/>
      <c r="J9" s="466"/>
    </row>
    <row r="10" spans="1:31" x14ac:dyDescent="0.3">
      <c r="B10" s="1"/>
      <c r="C10" s="519"/>
      <c r="D10" s="519"/>
      <c r="E10" s="523">
        <v>23</v>
      </c>
      <c r="F10" s="519"/>
      <c r="G10" s="519" t="s">
        <v>577</v>
      </c>
      <c r="H10" s="95"/>
      <c r="I10" s="521"/>
      <c r="J10" s="466"/>
    </row>
    <row r="11" spans="1:31" x14ac:dyDescent="0.3">
      <c r="B11" s="1"/>
      <c r="C11" s="519"/>
      <c r="D11" s="519"/>
      <c r="E11" s="523">
        <v>50</v>
      </c>
      <c r="F11" s="519"/>
      <c r="G11" s="519" t="s">
        <v>577</v>
      </c>
      <c r="H11" s="95"/>
      <c r="I11" s="524"/>
      <c r="J11" s="1"/>
    </row>
    <row r="12" spans="1:31" x14ac:dyDescent="0.3">
      <c r="B12" s="1"/>
      <c r="C12" s="519"/>
      <c r="D12" s="519"/>
      <c r="E12" s="523">
        <v>77</v>
      </c>
      <c r="F12" s="519"/>
      <c r="G12" s="519" t="s">
        <v>577</v>
      </c>
      <c r="H12" s="95"/>
      <c r="I12" s="482"/>
      <c r="J12" s="1"/>
    </row>
    <row r="13" spans="1:31" x14ac:dyDescent="0.3">
      <c r="B13" s="1"/>
      <c r="C13" s="519"/>
      <c r="D13" s="519"/>
      <c r="E13" s="523">
        <v>55</v>
      </c>
      <c r="F13" s="519"/>
      <c r="G13" s="519" t="s">
        <v>577</v>
      </c>
      <c r="H13" s="95"/>
      <c r="I13" s="521"/>
      <c r="J13" s="1"/>
    </row>
    <row r="14" spans="1:31" x14ac:dyDescent="0.3">
      <c r="C14" s="519"/>
      <c r="D14" s="519"/>
      <c r="E14" s="523">
        <v>130</v>
      </c>
      <c r="F14" s="519"/>
      <c r="G14" s="519" t="s">
        <v>577</v>
      </c>
      <c r="H14" s="95"/>
      <c r="I14" s="521"/>
    </row>
    <row r="15" spans="1:31" x14ac:dyDescent="0.3">
      <c r="C15" s="519"/>
      <c r="D15" s="519"/>
      <c r="E15" s="523">
        <v>62</v>
      </c>
      <c r="F15" s="519"/>
      <c r="G15" s="519" t="s">
        <v>577</v>
      </c>
      <c r="H15" s="95"/>
      <c r="I15" s="525"/>
    </row>
    <row r="16" spans="1:31" x14ac:dyDescent="0.3">
      <c r="C16" s="519"/>
      <c r="D16" s="519"/>
      <c r="E16" s="523">
        <v>8</v>
      </c>
      <c r="F16" s="519"/>
      <c r="G16" s="519" t="s">
        <v>577</v>
      </c>
      <c r="H16" s="95"/>
      <c r="I16" s="521"/>
    </row>
    <row r="17" spans="3:19" x14ac:dyDescent="0.3">
      <c r="C17" s="519"/>
      <c r="D17" s="519"/>
      <c r="E17" s="523">
        <v>54</v>
      </c>
      <c r="F17" s="519"/>
      <c r="G17" s="519" t="s">
        <v>577</v>
      </c>
      <c r="H17" s="95"/>
      <c r="I17" s="482"/>
    </row>
    <row r="18" spans="3:19" x14ac:dyDescent="0.3">
      <c r="C18" s="519"/>
      <c r="D18" s="519"/>
      <c r="E18" s="523">
        <v>4</v>
      </c>
      <c r="F18" s="519"/>
      <c r="G18" s="519" t="s">
        <v>577</v>
      </c>
      <c r="H18" s="95"/>
      <c r="I18" s="482"/>
    </row>
    <row r="19" spans="3:19" x14ac:dyDescent="0.3">
      <c r="C19" s="519"/>
      <c r="D19" s="519"/>
      <c r="E19" s="523">
        <v>64</v>
      </c>
      <c r="F19" s="519"/>
      <c r="G19" s="519" t="s">
        <v>577</v>
      </c>
      <c r="H19" s="95"/>
      <c r="I19" s="526"/>
    </row>
    <row r="20" spans="3:19" x14ac:dyDescent="0.3">
      <c r="C20" s="519"/>
      <c r="D20" s="519"/>
      <c r="E20" s="523">
        <v>78</v>
      </c>
      <c r="F20" s="519"/>
      <c r="G20" s="519" t="s">
        <v>577</v>
      </c>
      <c r="H20" s="95"/>
      <c r="I20" s="521"/>
      <c r="J20" s="494"/>
      <c r="K20" s="494"/>
      <c r="L20" s="1"/>
    </row>
    <row r="21" spans="3:19" ht="15" thickBot="1" x14ac:dyDescent="0.35">
      <c r="C21" s="95"/>
      <c r="D21" s="95"/>
      <c r="E21" s="95"/>
      <c r="F21" s="521"/>
      <c r="G21" s="95"/>
      <c r="H21" s="95"/>
      <c r="I21" s="521"/>
    </row>
    <row r="22" spans="3:19" ht="17.399999999999999" x14ac:dyDescent="0.3">
      <c r="C22" s="527" t="s">
        <v>578</v>
      </c>
      <c r="D22" s="528"/>
      <c r="E22" s="528"/>
      <c r="F22" s="528"/>
      <c r="G22" s="528"/>
      <c r="H22" s="528"/>
      <c r="I22" s="528"/>
      <c r="J22" s="529"/>
      <c r="K22" s="530"/>
    </row>
    <row r="23" spans="3:19" ht="17.399999999999999" x14ac:dyDescent="0.3">
      <c r="C23" s="531" t="s">
        <v>220</v>
      </c>
      <c r="D23" s="532" t="s">
        <v>579</v>
      </c>
      <c r="E23" s="532" t="s">
        <v>580</v>
      </c>
      <c r="F23" s="532" t="s">
        <v>581</v>
      </c>
      <c r="G23" s="532" t="s">
        <v>582</v>
      </c>
      <c r="H23" s="532" t="s">
        <v>583</v>
      </c>
      <c r="I23" s="532" t="s">
        <v>584</v>
      </c>
      <c r="J23" s="533" t="s">
        <v>585</v>
      </c>
      <c r="K23" s="534" t="s">
        <v>259</v>
      </c>
    </row>
    <row r="24" spans="3:19" ht="18" x14ac:dyDescent="0.3">
      <c r="C24" s="535"/>
      <c r="D24" s="536"/>
      <c r="E24" s="536"/>
      <c r="F24" s="536"/>
      <c r="G24" s="536"/>
      <c r="H24" s="488"/>
      <c r="I24" s="488"/>
      <c r="J24" s="489"/>
      <c r="K24" s="1"/>
    </row>
    <row r="25" spans="3:19" ht="18" x14ac:dyDescent="0.3">
      <c r="C25" s="535"/>
      <c r="D25" s="536"/>
      <c r="E25" s="536"/>
      <c r="F25" s="536"/>
      <c r="G25" s="536"/>
      <c r="H25" s="488"/>
      <c r="I25" s="488"/>
      <c r="J25" s="489"/>
      <c r="K25" s="1"/>
    </row>
    <row r="26" spans="3:19" x14ac:dyDescent="0.3">
      <c r="C26" s="487"/>
      <c r="D26" s="488"/>
      <c r="E26" s="488"/>
      <c r="F26" s="488"/>
      <c r="G26" s="488"/>
      <c r="H26" s="488"/>
      <c r="I26" s="488"/>
      <c r="J26" s="489"/>
      <c r="K26" s="1"/>
    </row>
    <row r="27" spans="3:19" x14ac:dyDescent="0.3">
      <c r="C27" s="487"/>
      <c r="D27" s="488"/>
      <c r="E27" s="488"/>
      <c r="F27" s="488"/>
      <c r="G27" s="488"/>
      <c r="H27" s="488"/>
      <c r="I27" s="488"/>
      <c r="J27" s="489"/>
      <c r="K27" s="1"/>
    </row>
    <row r="28" spans="3:19" x14ac:dyDescent="0.3">
      <c r="C28" s="487"/>
      <c r="D28" s="488"/>
      <c r="E28" s="488"/>
      <c r="F28" s="488"/>
      <c r="G28" s="488"/>
      <c r="H28" s="488"/>
      <c r="I28" s="488"/>
      <c r="J28" s="489"/>
      <c r="K28" s="1"/>
    </row>
    <row r="29" spans="3:19" ht="15" thickBot="1" x14ac:dyDescent="0.35">
      <c r="C29" s="495"/>
      <c r="D29" s="496"/>
      <c r="E29" s="496"/>
      <c r="F29" s="496"/>
      <c r="G29" s="496"/>
      <c r="H29" s="496"/>
      <c r="I29" s="496"/>
      <c r="J29" s="497"/>
      <c r="K29" s="1"/>
    </row>
    <row r="31" spans="3:19" x14ac:dyDescent="0.3">
      <c r="C31" s="537"/>
      <c r="D31" s="537"/>
      <c r="E31" s="537"/>
      <c r="F31" s="537"/>
      <c r="G31" s="537"/>
      <c r="H31" s="537"/>
      <c r="I31" s="537"/>
      <c r="J31" s="537"/>
      <c r="K31" s="537"/>
      <c r="L31" s="537"/>
      <c r="M31" s="537"/>
      <c r="N31" s="537"/>
      <c r="O31" s="537"/>
      <c r="P31" s="537"/>
      <c r="Q31" s="537"/>
      <c r="R31" s="537"/>
      <c r="S31" s="537"/>
    </row>
    <row r="32" spans="3:19" x14ac:dyDescent="0.3">
      <c r="C32" s="538"/>
      <c r="D32" s="538"/>
      <c r="E32" s="538"/>
      <c r="F32" s="538"/>
      <c r="G32" s="538"/>
      <c r="H32" s="538"/>
      <c r="I32" s="538"/>
      <c r="J32" s="538"/>
      <c r="K32" s="538"/>
      <c r="L32" s="538"/>
      <c r="M32" s="539"/>
      <c r="N32" s="539"/>
      <c r="O32" s="539"/>
      <c r="P32" s="539"/>
      <c r="Q32" s="539"/>
      <c r="R32" s="539"/>
      <c r="S32" s="539"/>
    </row>
    <row r="33" spans="3:19" x14ac:dyDescent="0.3">
      <c r="C33" s="466"/>
      <c r="D33" s="1"/>
      <c r="E33" s="1"/>
      <c r="F33" s="1"/>
      <c r="G33" s="1"/>
      <c r="H33" s="1"/>
      <c r="I33" s="521"/>
      <c r="J33" s="540"/>
      <c r="K33" s="1"/>
      <c r="L33" s="1"/>
      <c r="M33" s="541"/>
      <c r="N33" s="541"/>
      <c r="O33" s="541"/>
      <c r="P33" s="541"/>
      <c r="Q33" s="541"/>
      <c r="R33" s="541"/>
      <c r="S33" s="541"/>
    </row>
    <row r="34" spans="3:19" x14ac:dyDescent="0.3">
      <c r="C34" s="466"/>
      <c r="D34" s="1"/>
      <c r="E34" s="1"/>
      <c r="F34" s="1"/>
      <c r="G34" s="1"/>
      <c r="H34" s="1"/>
      <c r="I34" s="521"/>
      <c r="J34" s="540"/>
      <c r="K34" s="1"/>
      <c r="L34" s="1"/>
      <c r="M34" s="541"/>
      <c r="N34" s="541"/>
      <c r="O34" s="541"/>
      <c r="P34" s="541"/>
      <c r="Q34" s="541"/>
      <c r="R34" s="541"/>
      <c r="S34" s="541"/>
    </row>
    <row r="35" spans="3:19" x14ac:dyDescent="0.3">
      <c r="C35" s="466"/>
      <c r="D35" s="1"/>
      <c r="E35" s="1"/>
      <c r="F35" s="1"/>
      <c r="G35" s="1"/>
      <c r="H35" s="1"/>
      <c r="I35" s="521"/>
      <c r="J35" s="540"/>
      <c r="K35" s="1"/>
      <c r="L35" s="542"/>
      <c r="M35" s="541"/>
      <c r="N35" s="541"/>
      <c r="O35" s="541"/>
      <c r="P35" s="541"/>
      <c r="Q35" s="541"/>
      <c r="R35" s="541"/>
      <c r="S35" s="541"/>
    </row>
    <row r="36" spans="3:19" x14ac:dyDescent="0.3">
      <c r="C36" s="466"/>
      <c r="D36" s="1"/>
      <c r="E36" s="1"/>
      <c r="F36" s="1"/>
      <c r="G36" s="1"/>
      <c r="H36" s="1"/>
      <c r="I36" s="521"/>
      <c r="J36" s="540"/>
      <c r="K36" s="1"/>
      <c r="L36" s="1"/>
      <c r="M36" s="541"/>
      <c r="N36" s="541"/>
      <c r="O36" s="541"/>
      <c r="P36" s="541"/>
      <c r="Q36" s="541"/>
      <c r="R36" s="541"/>
      <c r="S36" s="541"/>
    </row>
    <row r="37" spans="3:19" x14ac:dyDescent="0.3"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</sheetData>
  <mergeCells count="5">
    <mergeCell ref="A2:AE2"/>
    <mergeCell ref="D5:E5"/>
    <mergeCell ref="I5:J5"/>
    <mergeCell ref="C6:G6"/>
    <mergeCell ref="C22:J2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33</vt:i4>
      </vt:variant>
    </vt:vector>
  </HeadingPairs>
  <TitlesOfParts>
    <vt:vector size="33" baseType="lpstr">
      <vt:lpstr>NOVO</vt:lpstr>
      <vt:lpstr>N_PRODHOME</vt:lpstr>
      <vt:lpstr>N_PRODREQ</vt:lpstr>
      <vt:lpstr>N_ EQUIPES</vt:lpstr>
      <vt:lpstr>N_PRODLANC</vt:lpstr>
      <vt:lpstr>N_PRODGRAF </vt:lpstr>
      <vt:lpstr>N_LOGCLIENTES</vt:lpstr>
      <vt:lpstr>N_LOGVEIC</vt:lpstr>
      <vt:lpstr>N_LOGCRON</vt:lpstr>
      <vt:lpstr>N_LOGFRETE</vt:lpstr>
      <vt:lpstr>N_LOGRELAT</vt:lpstr>
      <vt:lpstr>N_LOGRAST</vt:lpstr>
      <vt:lpstr>N_LOGCAD</vt:lpstr>
      <vt:lpstr>N_ESTQSAÍDAS</vt:lpstr>
      <vt:lpstr>N_ESTQENTRAD</vt:lpstr>
      <vt:lpstr>N_RHCONTRATAÇÃO</vt:lpstr>
      <vt:lpstr>N_CADASTRAR</vt:lpstr>
      <vt:lpstr>N_RHFOLHA</vt:lpstr>
      <vt:lpstr>N_RHREF </vt:lpstr>
      <vt:lpstr>N_VCLIENTES</vt:lpstr>
      <vt:lpstr>N_VCINTRL</vt:lpstr>
      <vt:lpstr>N_VMETAS</vt:lpstr>
      <vt:lpstr>N_VRELCOM</vt:lpstr>
      <vt:lpstr>N_VRELMET</vt:lpstr>
      <vt:lpstr>N_CCADASTROF</vt:lpstr>
      <vt:lpstr>N_PROCFOR</vt:lpstr>
      <vt:lpstr>N_CMP</vt:lpstr>
      <vt:lpstr>N_CSOLICITAR</vt:lpstr>
      <vt:lpstr>N_CREALIZARP</vt:lpstr>
      <vt:lpstr>N_FINANÇAS</vt:lpstr>
      <vt:lpstr>BANCO DE DADOS</vt:lpstr>
      <vt:lpstr>BD_CADAS</vt:lpstr>
      <vt:lpstr>BD_CADAS (2)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moraes369@gmail.com</dc:creator>
  <cp:keywords/>
  <dc:description/>
  <cp:lastModifiedBy>moraes369@gmail.com</cp:lastModifiedBy>
  <cp:revision/>
  <dcterms:created xsi:type="dcterms:W3CDTF">2024-10-25T18:08:44Z</dcterms:created>
  <dcterms:modified xsi:type="dcterms:W3CDTF">2024-11-26T18:41:26Z</dcterms:modified>
  <cp:category/>
  <cp:contentStatus/>
</cp:coreProperties>
</file>