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8_{5B0A6F4C-ACE3-4AAF-8D18-D9AC10728878}" xr6:coauthVersionLast="47" xr6:coauthVersionMax="47" xr10:uidLastSave="{00000000-0000-0000-0000-000000000000}"/>
  <bookViews>
    <workbookView xWindow="-108" yWindow="-108" windowWidth="23256" windowHeight="12456" tabRatio="902" firstSheet="22" activeTab="30" xr2:uid="{D62A3A3B-6FA0-4DAA-89BC-434730893DC8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75" r:id="rId8"/>
    <sheet name="N_LOGCRON" sheetId="76" r:id="rId9"/>
    <sheet name="N_LOGFRETE" sheetId="77" r:id="rId10"/>
    <sheet name="N_LOGRELAT" sheetId="78" r:id="rId11"/>
    <sheet name="N_LOGRASTR" sheetId="79" r:id="rId12"/>
    <sheet name="N_ESTQSAÍDAS" sheetId="67" r:id="rId13"/>
    <sheet name="N_ESTQENTRAD" sheetId="81" r:id="rId14"/>
    <sheet name="N_RHCONTRATAÇÃO" sheetId="68" r:id="rId15"/>
    <sheet name="N_CADASTRAR" sheetId="82" r:id="rId16"/>
    <sheet name="N_RHFOLHA" sheetId="83" r:id="rId17"/>
    <sheet name="N_RHREF " sheetId="84" r:id="rId18"/>
    <sheet name="N_VCLIENTES" sheetId="71" r:id="rId19"/>
    <sheet name="N_VCONTROLE" sheetId="85" r:id="rId20"/>
    <sheet name="N_VMETAS" sheetId="86" r:id="rId21"/>
    <sheet name="N_CCADASTROF" sheetId="70" r:id="rId22"/>
    <sheet name="N_PROCFOR" sheetId="89" r:id="rId23"/>
    <sheet name="N_CMP" sheetId="88" r:id="rId24"/>
    <sheet name="N_CSOLICITAR" sheetId="90" r:id="rId25"/>
    <sheet name="N_CREALIZARP" sheetId="91" r:id="rId26"/>
    <sheet name="N_CUSTOFIXOEVARIAVEL" sheetId="95" r:id="rId27"/>
    <sheet name="N_DRE" sheetId="96" r:id="rId28"/>
    <sheet name="N_VALORESPRODUTOS" sheetId="97" r:id="rId29"/>
    <sheet name="BANCO DE DADOS" sheetId="92" r:id="rId30"/>
    <sheet name="BD_CADAS" sheetId="98" r:id="rId31"/>
    <sheet name="BD_CADAS (2)" sheetId="99" r:id="rId32"/>
  </sheets>
  <externalReferences>
    <externalReference r:id="rId33"/>
    <externalReference r:id="rId34"/>
  </externalReferences>
  <definedNames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97" l="1"/>
  <c r="C7" i="97"/>
  <c r="C6" i="97"/>
  <c r="C5" i="97"/>
  <c r="C4" i="97"/>
  <c r="C24" i="96"/>
  <c r="C23" i="96"/>
  <c r="C20" i="96"/>
  <c r="C19" i="96"/>
  <c r="C15" i="96"/>
  <c r="C14" i="96"/>
  <c r="C13" i="96"/>
  <c r="K47" i="95"/>
  <c r="K46" i="95"/>
  <c r="K45" i="95"/>
  <c r="K42" i="95"/>
  <c r="G42" i="95"/>
  <c r="K41" i="95"/>
  <c r="G41" i="95"/>
  <c r="K40" i="95"/>
  <c r="G40" i="95"/>
  <c r="K39" i="95"/>
  <c r="G37" i="95"/>
  <c r="K36" i="95"/>
  <c r="G36" i="95"/>
  <c r="K35" i="95"/>
  <c r="G35" i="95"/>
  <c r="K34" i="95"/>
  <c r="G32" i="95"/>
  <c r="K31" i="95"/>
  <c r="G31" i="95"/>
  <c r="K30" i="95"/>
  <c r="G30" i="95"/>
  <c r="R13" i="95" s="1"/>
  <c r="J13" i="84"/>
  <c r="I12" i="84"/>
  <c r="I11" i="84"/>
  <c r="I10" i="84"/>
  <c r="E9" i="79"/>
  <c r="E10" i="79" s="1"/>
  <c r="E11" i="79" s="1"/>
  <c r="E12" i="79" s="1"/>
  <c r="E13" i="79" s="1"/>
  <c r="E14" i="79" s="1"/>
  <c r="E15" i="79" s="1"/>
  <c r="E16" i="79" s="1"/>
  <c r="E17" i="79" s="1"/>
  <c r="E18" i="79" s="1"/>
  <c r="E19" i="79" s="1"/>
  <c r="E20" i="79" s="1"/>
  <c r="E21" i="79" s="1"/>
  <c r="E22" i="79" s="1"/>
  <c r="E23" i="79" s="1"/>
  <c r="E24" i="79" s="1"/>
  <c r="E25" i="79" s="1"/>
  <c r="E26" i="79" s="1"/>
  <c r="E27" i="79" s="1"/>
  <c r="H8" i="79"/>
  <c r="I8" i="79" s="1"/>
  <c r="E9" i="78"/>
  <c r="E10" i="78" s="1"/>
  <c r="E11" i="78" s="1"/>
  <c r="E12" i="78" s="1"/>
  <c r="E13" i="78" s="1"/>
  <c r="E14" i="78" s="1"/>
  <c r="E15" i="78" s="1"/>
  <c r="E16" i="78" s="1"/>
  <c r="E17" i="78" s="1"/>
  <c r="E18" i="78" s="1"/>
  <c r="E19" i="78" s="1"/>
  <c r="E20" i="78" s="1"/>
  <c r="E21" i="78" s="1"/>
  <c r="E22" i="78" s="1"/>
  <c r="E23" i="78" s="1"/>
  <c r="E24" i="78" s="1"/>
  <c r="E25" i="78" s="1"/>
  <c r="E26" i="78" s="1"/>
  <c r="E27" i="78" s="1"/>
  <c r="H8" i="78"/>
  <c r="I8" i="78" s="1"/>
  <c r="E9" i="77"/>
  <c r="E10" i="77" s="1"/>
  <c r="E11" i="77" s="1"/>
  <c r="E12" i="77" s="1"/>
  <c r="E13" i="77" s="1"/>
  <c r="E14" i="77" s="1"/>
  <c r="E15" i="77" s="1"/>
  <c r="E16" i="77" s="1"/>
  <c r="E17" i="77" s="1"/>
  <c r="E18" i="77" s="1"/>
  <c r="E19" i="77" s="1"/>
  <c r="E20" i="77" s="1"/>
  <c r="E21" i="77" s="1"/>
  <c r="E22" i="77" s="1"/>
  <c r="E23" i="77" s="1"/>
  <c r="E24" i="77" s="1"/>
  <c r="E25" i="77" s="1"/>
  <c r="E26" i="77" s="1"/>
  <c r="E27" i="77" s="1"/>
  <c r="H8" i="77"/>
  <c r="I8" i="77" s="1"/>
  <c r="E9" i="76"/>
  <c r="E10" i="76" s="1"/>
  <c r="E11" i="76" s="1"/>
  <c r="E12" i="76" s="1"/>
  <c r="E13" i="76" s="1"/>
  <c r="E14" i="76" s="1"/>
  <c r="E15" i="76" s="1"/>
  <c r="E16" i="76" s="1"/>
  <c r="E17" i="76" s="1"/>
  <c r="E18" i="76" s="1"/>
  <c r="E19" i="76" s="1"/>
  <c r="E20" i="76" s="1"/>
  <c r="E21" i="76" s="1"/>
  <c r="E22" i="76" s="1"/>
  <c r="E23" i="76" s="1"/>
  <c r="E24" i="76" s="1"/>
  <c r="E25" i="76" s="1"/>
  <c r="E26" i="76" s="1"/>
  <c r="E27" i="76" s="1"/>
  <c r="E9" i="75"/>
  <c r="E10" i="75" s="1"/>
  <c r="E11" i="75" s="1"/>
  <c r="E12" i="75" s="1"/>
  <c r="E13" i="75" s="1"/>
  <c r="E14" i="75" s="1"/>
  <c r="E15" i="75" s="1"/>
  <c r="E16" i="75" s="1"/>
  <c r="E17" i="75" s="1"/>
  <c r="E18" i="75" s="1"/>
  <c r="E19" i="75" s="1"/>
  <c r="E20" i="75" s="1"/>
  <c r="E21" i="75" s="1"/>
  <c r="E22" i="75" s="1"/>
  <c r="E23" i="75" s="1"/>
  <c r="E24" i="75" s="1"/>
  <c r="E25" i="75" s="1"/>
  <c r="E26" i="75" s="1"/>
  <c r="E27" i="75" s="1"/>
  <c r="E9" i="66"/>
  <c r="E10" i="66" s="1"/>
  <c r="E11" i="66" s="1"/>
  <c r="E12" i="66" s="1"/>
  <c r="E13" i="66" s="1"/>
  <c r="E14" i="66" s="1"/>
  <c r="E15" i="66" s="1"/>
  <c r="E16" i="66" s="1"/>
  <c r="E17" i="66" s="1"/>
  <c r="E18" i="66" s="1"/>
  <c r="E19" i="66" s="1"/>
  <c r="E20" i="66" s="1"/>
  <c r="E21" i="66" s="1"/>
  <c r="E22" i="66" s="1"/>
  <c r="E23" i="66" s="1"/>
  <c r="E24" i="66" s="1"/>
  <c r="E25" i="66" s="1"/>
  <c r="E26" i="66" s="1"/>
  <c r="E27" i="66" s="1"/>
  <c r="H23" i="65"/>
  <c r="H31" i="65"/>
  <c r="H29" i="65"/>
  <c r="H27" i="65"/>
  <c r="H25" i="65"/>
</calcChain>
</file>

<file path=xl/sharedStrings.xml><?xml version="1.0" encoding="utf-8"?>
<sst xmlns="http://schemas.openxmlformats.org/spreadsheetml/2006/main" count="1885" uniqueCount="661">
  <si>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</si>
  <si>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</si>
  <si>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</si>
  <si>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</si>
  <si>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</si>
  <si>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</si>
  <si>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</si>
  <si>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</si>
  <si>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</si>
  <si>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</si>
  <si>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</si>
  <si>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</si>
  <si>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</si>
  <si>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</si>
  <si>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</si>
  <si>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</si>
  <si>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</si>
  <si>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</si>
  <si>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</si>
  <si>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</si>
  <si>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</si>
  <si>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</si>
  <si>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</si>
  <si>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</si>
  <si>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</si>
  <si>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</si>
  <si>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</si>
  <si>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</si>
  <si>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</si>
  <si>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LISTA</t>
  </si>
  <si>
    <t>UNIDADES PRODUZIDAS</t>
  </si>
  <si>
    <t>METAS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</si>
  <si>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</si>
  <si>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</si>
  <si>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</si>
  <si>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</si>
  <si>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</si>
  <si>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</si>
  <si>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</si>
  <si>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</si>
  <si>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</si>
  <si>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</si>
  <si>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</si>
  <si>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</si>
  <si>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</si>
  <si>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</si>
  <si>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</si>
  <si>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</si>
  <si>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</si>
  <si>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</si>
  <si>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</si>
  <si>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</si>
  <si>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</si>
  <si>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</si>
  <si>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</si>
  <si>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</si>
  <si>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</si>
  <si>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</si>
  <si>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</si>
  <si>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</si>
  <si>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</si>
  <si>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</si>
  <si>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</si>
  <si>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</si>
  <si>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</si>
  <si>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</si>
  <si>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</si>
  <si>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</si>
  <si>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</si>
  <si>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</si>
  <si>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</si>
  <si>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</si>
  <si>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</si>
  <si>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</si>
  <si>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</si>
  <si>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</si>
  <si>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</si>
  <si>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</si>
  <si>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</si>
  <si>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</si>
  <si>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</si>
  <si>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</si>
  <si>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</si>
  <si>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</si>
  <si>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</si>
  <si>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</si>
  <si>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</si>
  <si>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</si>
  <si>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</si>
  <si>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</si>
  <si>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</si>
  <si>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</si>
  <si>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</si>
  <si>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</si>
  <si>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</si>
  <si>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</si>
  <si>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</si>
  <si>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</si>
  <si>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</si>
  <si>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</si>
  <si>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</si>
  <si>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</si>
  <si>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</si>
  <si>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</si>
  <si>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</si>
  <si>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</si>
  <si>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</si>
  <si>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</si>
  <si>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</si>
  <si>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</si>
  <si>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</si>
  <si>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</si>
  <si>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</si>
  <si>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</si>
  <si>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</si>
  <si>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</si>
  <si>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</si>
  <si>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</si>
  <si>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</si>
  <si>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</si>
  <si>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</si>
  <si>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</si>
  <si>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</si>
  <si>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</si>
  <si>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</si>
  <si>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</si>
  <si>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</si>
  <si>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</si>
  <si>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</si>
  <si>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</si>
  <si>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</si>
  <si>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</si>
  <si>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</si>
  <si>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</si>
  <si>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</si>
  <si>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</si>
  <si>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</si>
  <si>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</si>
  <si>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</si>
  <si>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</si>
  <si>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</si>
  <si>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</si>
  <si>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</si>
  <si>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</si>
  <si>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</si>
  <si>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</si>
  <si>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</si>
  <si>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</si>
  <si>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</si>
  <si>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</si>
  <si>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</si>
  <si>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</si>
  <si>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</si>
  <si>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</si>
  <si>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</si>
  <si>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</si>
  <si>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</si>
  <si>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</si>
  <si>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</si>
  <si>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</si>
  <si>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</si>
  <si>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</si>
  <si>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</si>
  <si>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</si>
  <si>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</si>
  <si>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</si>
  <si>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</si>
  <si>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</si>
  <si>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</si>
  <si>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</si>
  <si>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</si>
  <si>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</si>
  <si>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</si>
  <si>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</si>
  <si>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</si>
  <si>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</si>
  <si>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</si>
  <si>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</si>
  <si>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</si>
  <si>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</si>
  <si>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</si>
  <si>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</si>
  <si>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</si>
  <si>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</si>
  <si>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</si>
  <si>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</si>
  <si>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</si>
  <si>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</si>
  <si>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</si>
  <si>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</si>
  <si>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</si>
  <si>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</si>
  <si>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</si>
  <si>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</si>
  <si>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</si>
  <si>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</si>
  <si>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</si>
  <si>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</si>
  <si>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</si>
  <si>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</si>
  <si>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</si>
  <si>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</si>
  <si>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</si>
  <si>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</si>
  <si>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</si>
  <si>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</si>
  <si>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</si>
  <si>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</si>
  <si>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</si>
  <si>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</si>
  <si>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</si>
  <si>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</si>
  <si>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</si>
  <si>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</si>
  <si>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</si>
  <si>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</si>
  <si>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</si>
  <si>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</si>
  <si>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</si>
  <si>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</si>
  <si>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</si>
  <si>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</si>
  <si>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</si>
  <si>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</si>
  <si>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</si>
  <si>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</si>
  <si>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</si>
  <si>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</si>
  <si>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</si>
  <si>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</si>
  <si>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</si>
  <si>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</si>
  <si>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</si>
  <si>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</si>
  <si>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</si>
  <si>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</si>
  <si>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</si>
  <si>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</si>
  <si>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</si>
  <si>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</si>
  <si>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</si>
  <si>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</si>
  <si>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</si>
  <si>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</si>
  <si>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</si>
  <si>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</si>
  <si>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</si>
  <si>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</si>
  <si>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</si>
  <si>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</si>
  <si>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</si>
  <si>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</si>
  <si>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</si>
  <si>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</si>
  <si>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</si>
  <si>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</si>
  <si>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</si>
  <si>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</si>
  <si>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</si>
  <si>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</si>
  <si>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</si>
  <si>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</si>
  <si>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</si>
  <si>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</si>
  <si>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</si>
  <si>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</si>
  <si>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</si>
  <si>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</si>
  <si>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</si>
  <si>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</si>
  <si>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</si>
  <si>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</si>
  <si>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</si>
  <si>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</si>
  <si>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</si>
  <si>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</si>
  <si>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</si>
  <si>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</si>
  <si>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</si>
  <si>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</si>
  <si>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</si>
  <si>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</si>
  <si>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</si>
  <si>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</si>
  <si>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VEM DE PROD</t>
  </si>
  <si>
    <t>PRODUTO</t>
  </si>
  <si>
    <t>QUANTIDADE</t>
  </si>
  <si>
    <t>REQUISIÇÃO DE MATÉRIA PRIMA</t>
  </si>
  <si>
    <t>SOLICITAÇÃO DE CONTRATAÇÃO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</si>
  <si>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</si>
  <si>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</si>
  <si>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</si>
  <si>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</si>
  <si>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</si>
  <si>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</si>
  <si>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</si>
  <si>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</si>
  <si>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</si>
  <si>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</si>
  <si>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</si>
  <si>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</si>
  <si>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</si>
  <si>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</si>
  <si>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</si>
  <si>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</si>
  <si>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</si>
  <si>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</si>
  <si>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</si>
  <si>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</si>
  <si>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</si>
  <si>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</si>
  <si>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r>
      <t xml:space="preserve">Empregador </t>
    </r>
    <r>
      <rPr>
        <b/>
        <sz val="16"/>
        <color theme="1"/>
        <rFont val="Calibri"/>
        <family val="2"/>
        <scheme val="minor"/>
      </rPr>
      <t>QUEIJARIA ALPINA</t>
    </r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</si>
  <si>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</si>
  <si>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</si>
  <si>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</si>
  <si>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</si>
  <si>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</si>
  <si>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</si>
  <si>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</si>
  <si>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</si>
  <si>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</si>
  <si>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</si>
  <si>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</si>
  <si>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</si>
  <si>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</si>
  <si>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</si>
  <si>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</si>
  <si>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</si>
  <si>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</si>
  <si>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</si>
  <si>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</si>
  <si>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</si>
  <si>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</si>
  <si>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</si>
  <si>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</si>
  <si>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</si>
  <si>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</si>
  <si>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</si>
  <si>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</si>
  <si>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</si>
  <si>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</si>
  <si>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</si>
  <si>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</si>
  <si>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</si>
  <si>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</si>
  <si>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</si>
  <si>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</si>
  <si>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</si>
  <si>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</si>
  <si>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</si>
  <si>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</si>
  <si>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</si>
  <si>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</si>
  <si>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</si>
  <si>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</si>
  <si>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</si>
  <si>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</si>
  <si>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</si>
  <si>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</si>
  <si>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</si>
  <si>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</si>
  <si>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</si>
  <si>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</si>
  <si>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</si>
  <si>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</si>
  <si>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</si>
  <si>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</si>
  <si>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</si>
  <si>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CNPJ:</t>
  </si>
  <si>
    <t>TELEFONE:</t>
  </si>
  <si>
    <t>ENDEREÇO:</t>
  </si>
  <si>
    <t>CIDADE:</t>
  </si>
  <si>
    <t>ESTADO:</t>
  </si>
  <si>
    <t>E-MAIL: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</si>
  <si>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</si>
  <si>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</si>
  <si>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</si>
  <si>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</si>
  <si>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</si>
  <si>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</si>
  <si>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</si>
  <si>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</si>
  <si>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</si>
  <si>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</si>
  <si>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</si>
  <si>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</si>
  <si>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</si>
  <si>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</si>
  <si>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</si>
  <si>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</si>
  <si>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</si>
  <si>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</si>
  <si>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</si>
  <si>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</si>
  <si>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</si>
  <si>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</si>
  <si>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</si>
  <si>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</si>
  <si>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</si>
  <si>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</si>
  <si>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</si>
  <si>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</si>
  <si>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PROCURAR FORNECEDOR</t>
  </si>
  <si>
    <t>CONTROLE DE MATÉRIA-PRIMA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</si>
  <si>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</si>
  <si>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</si>
  <si>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</si>
  <si>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</si>
  <si>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</si>
  <si>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</si>
  <si>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</si>
  <si>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</si>
  <si>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</si>
  <si>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</si>
  <si>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</si>
  <si>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</si>
  <si>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</si>
  <si>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>CUSTO FIXO OU VARIAVEL</t>
  </si>
  <si>
    <t>AVALIAÇÃO DE VENDAS E FUNCIONÁRIOS</t>
  </si>
  <si>
    <t>CUSTO FIXO</t>
  </si>
  <si>
    <t>R$</t>
  </si>
  <si>
    <t>QUANTIDADE VENDIDA GERAL</t>
  </si>
  <si>
    <t>CONTA DE AGUA</t>
  </si>
  <si>
    <t>CUSTOS FUNCIONÁRIOS PRODUÇÃO</t>
  </si>
  <si>
    <t>CONTA DE ENERGIA ELETRICA</t>
  </si>
  <si>
    <t>CUSTOS FUNCIONÁRIOS ADMINISTRATIVOS</t>
  </si>
  <si>
    <t>IPTU</t>
  </si>
  <si>
    <t>CUSTO FIXO DE FUNCIONÁRIOS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</si>
  <si>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</si>
  <si>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</si>
  <si>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</si>
  <si>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</si>
  <si>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</si>
  <si>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</si>
  <si>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</si>
  <si>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</si>
  <si>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GASOLINA</t>
  </si>
  <si>
    <t>IPVA</t>
  </si>
  <si>
    <t>Produção</t>
  </si>
  <si>
    <t>Qntd.</t>
  </si>
  <si>
    <t>Salarios</t>
  </si>
  <si>
    <t>Vendas</t>
  </si>
  <si>
    <t>Gerente</t>
  </si>
  <si>
    <t>Operadores</t>
  </si>
  <si>
    <t>Auxiliares</t>
  </si>
  <si>
    <t>Compras</t>
  </si>
  <si>
    <t>RH</t>
  </si>
  <si>
    <t>Analista</t>
  </si>
  <si>
    <t>Auxiliar</t>
  </si>
  <si>
    <t>Logistica</t>
  </si>
  <si>
    <t>Financeiro</t>
  </si>
  <si>
    <t>Coordenador</t>
  </si>
  <si>
    <t>Estoque</t>
  </si>
  <si>
    <t>Receita Bruta</t>
    <phoneticPr fontId="18" type="noConversion"/>
  </si>
  <si>
    <t>Janeiro</t>
    <phoneticPr fontId="18" type="noConversion"/>
  </si>
  <si>
    <t>Fevereiro</t>
  </si>
  <si>
    <t>Venda dos Produtos</t>
  </si>
  <si>
    <t xml:space="preserve">Total de Receita </t>
  </si>
  <si>
    <t>Total de despesa</t>
    <phoneticPr fontId="18" type="noConversion"/>
  </si>
  <si>
    <t>Receita Liquida</t>
  </si>
  <si>
    <t>Despesas</t>
    <phoneticPr fontId="18" type="noConversion"/>
  </si>
  <si>
    <t>Conta de Água</t>
  </si>
  <si>
    <t>Conta de Energia Elétrica</t>
  </si>
  <si>
    <t>Folha de Pagamento</t>
    <phoneticPr fontId="18" type="noConversion"/>
  </si>
  <si>
    <t>Pró-Labore</t>
  </si>
  <si>
    <t>Celular</t>
    <phoneticPr fontId="18" type="noConversion"/>
  </si>
  <si>
    <t>Internet</t>
    <phoneticPr fontId="18" type="noConversion"/>
  </si>
  <si>
    <t>Seguro do Prédio</t>
  </si>
  <si>
    <t>Seguro dos automoveis</t>
    <phoneticPr fontId="18" type="noConversion"/>
  </si>
  <si>
    <t>Material de Limpeza</t>
  </si>
  <si>
    <t>Parcela de Empréstimo</t>
  </si>
  <si>
    <t>Servico de Vigilância e Seguranca</t>
  </si>
  <si>
    <t>Gasolina</t>
    <phoneticPr fontId="18" type="noConversion"/>
  </si>
  <si>
    <t>Ipva</t>
    <phoneticPr fontId="18" type="noConversion"/>
  </si>
  <si>
    <t>Imposto Tributário ICMS,CSLL,PIS,IPI,IRPJ,COFINS</t>
  </si>
  <si>
    <t>Papelaria</t>
    <phoneticPr fontId="18" type="noConversion"/>
  </si>
  <si>
    <t>Taxa administrativa de cartões de crédito e débito</t>
  </si>
  <si>
    <t>Embalagens</t>
    <phoneticPr fontId="18" type="noConversion"/>
  </si>
  <si>
    <t>Matéria Prima</t>
  </si>
  <si>
    <t>Frete</t>
    <phoneticPr fontId="18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</si>
  <si>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</si>
  <si>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</si>
  <si>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</si>
  <si>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</si>
  <si>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</si>
  <si>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</si>
  <si>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</si>
  <si>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</si>
  <si>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TELEFONE</t>
  </si>
  <si>
    <t>CIDADE</t>
  </si>
  <si>
    <t>ESTADO</t>
  </si>
  <si>
    <t>EMAIL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</si>
  <si>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</si>
  <si>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</si>
  <si>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</si>
  <si>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</si>
  <si>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</si>
  <si>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</si>
  <si>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</si>
  <si>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</si>
  <si>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</si>
  <si>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</si>
  <si>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</si>
  <si>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</si>
  <si>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</si>
  <si>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</si>
  <si>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</si>
  <si>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</si>
  <si>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</si>
  <si>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</si>
  <si>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</si>
  <si>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</si>
  <si>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</si>
  <si>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</si>
  <si>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</si>
  <si>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</si>
  <si>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</si>
  <si>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</si>
  <si>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</si>
  <si>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</si>
  <si>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</si>
  <si>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</si>
  <si>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</si>
  <si>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</si>
  <si>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</si>
  <si>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</si>
  <si>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</si>
  <si>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</si>
  <si>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</si>
  <si>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</si>
  <si>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</si>
  <si>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</si>
  <si>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</si>
  <si>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</si>
  <si>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</si>
  <si>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</si>
  <si>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</si>
  <si>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</si>
  <si>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</si>
  <si>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</si>
  <si>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</si>
  <si>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</si>
  <si>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</si>
  <si>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</si>
  <si>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</si>
  <si>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</si>
  <si>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</si>
  <si>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</si>
  <si>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</si>
  <si>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</si>
  <si>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</si>
  <si>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</si>
  <si>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</si>
  <si>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</si>
  <si>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</si>
  <si>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</si>
  <si>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</si>
  <si>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</si>
  <si>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</si>
  <si>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</si>
  <si>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</si>
  <si>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</si>
  <si>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</si>
  <si>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</si>
  <si>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</si>
  <si>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</si>
  <si>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</si>
  <si>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</si>
  <si>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</si>
  <si>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</si>
  <si>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</si>
  <si>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</si>
  <si>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</si>
  <si>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</si>
  <si>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</si>
  <si>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</si>
  <si>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</si>
  <si>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</si>
  <si>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</si>
  <si>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</si>
  <si>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</si>
  <si>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</si>
  <si>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</si>
  <si>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</si>
  <si>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</si>
  <si>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</si>
  <si>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</si>
  <si>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</si>
  <si>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</si>
  <si>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</si>
  <si>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</si>
  <si>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</si>
  <si>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</si>
  <si>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</si>
  <si>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</si>
  <si>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</si>
  <si>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</si>
  <si>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</si>
  <si>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</si>
  <si>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</si>
  <si>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</si>
  <si>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</si>
  <si>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</si>
  <si>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</si>
  <si>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</si>
  <si>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</si>
  <si>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</si>
  <si>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</si>
  <si>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</si>
  <si>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</si>
  <si>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</si>
  <si>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</si>
  <si>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</si>
  <si>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</si>
  <si>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</si>
  <si>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</si>
  <si>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</si>
  <si>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</si>
  <si>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</si>
  <si>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</si>
  <si>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</si>
  <si>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</si>
  <si>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</si>
  <si>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</si>
  <si>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</si>
  <si>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</si>
  <si>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</si>
  <si>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</si>
  <si>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</si>
  <si>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</si>
  <si>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</si>
  <si>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</si>
  <si>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</si>
  <si>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</si>
  <si>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</si>
  <si>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</si>
  <si>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</si>
  <si>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</si>
  <si>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</si>
  <si>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</si>
  <si>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</si>
  <si>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</si>
  <si>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</si>
  <si>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</si>
  <si>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</si>
  <si>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</si>
  <si>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</si>
  <si>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CADASTRO DE FUNCIONÁRIOS ATIVOS</t>
  </si>
  <si>
    <t>QUANTIDADE VENDIDA</t>
  </si>
  <si>
    <t>MES</t>
  </si>
  <si>
    <t>Outubro</t>
  </si>
  <si>
    <t>RECEITA</t>
  </si>
  <si>
    <t>CALCULO DE FRETE</t>
  </si>
  <si>
    <t>DISTÂNCIA (km)</t>
  </si>
  <si>
    <t>PREÇO DA GASOLINA</t>
  </si>
  <si>
    <t>CONSUMO DO VEÍCULO</t>
  </si>
  <si>
    <t>PESO TOTAL (kg)</t>
  </si>
  <si>
    <t>CUSTO DO FRETE</t>
  </si>
  <si>
    <t>VALOR DO FRETE</t>
  </si>
  <si>
    <t>NOME DO FORNECEDOR</t>
  </si>
  <si>
    <t>CADASTRO DE FORNECEDORES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</si>
</sst>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  <numFmt numFmtId="168" formatCode="_-&quot;R$&quot;\ * #,##0.00_-;\-&quot;R$&quot;\ * #,##0.00_-;_-&quot;R$&quot;\ * &quot;-&quot;??_-;_-@_-"/>
  </numFmts>
  <fonts count="4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u/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rgb="FF000000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635">
    <xf numFmtId="0" fontId="0" fillId="0" borderId="0" xfId="0"/>
    <xf numFmtId="0" fontId="0" fillId="2" borderId="0" xfId="0" applyFill="1"/>
    <xf numFmtId="0" fontId="0" fillId="7" borderId="0" xfId="0" applyFill="1"/>
    <xf numFmtId="0" fontId="8" fillId="8" borderId="19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8" fillId="8" borderId="23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10" fillId="10" borderId="0" xfId="0" applyFont="1" applyFill="1" applyAlignment="1">
      <alignment horizontal="center" vertical="center"/>
    </xf>
    <xf numFmtId="0" fontId="10" fillId="10" borderId="7" xfId="0" applyFont="1" applyFill="1" applyBorder="1" applyAlignment="1">
      <alignment vertical="center"/>
    </xf>
    <xf numFmtId="0" fontId="6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4" fillId="11" borderId="10" xfId="0" applyFont="1" applyFill="1" applyBorder="1" applyAlignment="1">
      <alignment horizontal="left" vertical="center"/>
    </xf>
    <xf numFmtId="0" fontId="3" fillId="11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center" vertical="center"/>
    </xf>
    <xf numFmtId="0" fontId="2" fillId="9" borderId="1" xfId="0" applyFont="1" applyFill="1" applyBorder="1"/>
    <xf numFmtId="0" fontId="2" fillId="11" borderId="9" xfId="0" applyFont="1" applyFill="1" applyBorder="1"/>
    <xf numFmtId="0" fontId="7" fillId="1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7" fillId="18" borderId="1" xfId="0" applyFont="1" applyFill="1" applyBorder="1" applyAlignment="1">
      <alignment horizontal="left" vertical="center"/>
    </xf>
    <xf numFmtId="0" fontId="7" fillId="18" borderId="1" xfId="0" applyFont="1" applyFill="1" applyBorder="1" applyAlignment="1">
      <alignment horizontal="right" vertical="center"/>
    </xf>
    <xf numFmtId="3" fontId="0" fillId="13" borderId="1" xfId="0" applyNumberFormat="1" applyFill="1" applyBorder="1" applyAlignment="1">
      <alignment horizontal="left" vertical="center" wrapText="1"/>
    </xf>
    <xf numFmtId="14" fontId="0" fillId="13" borderId="1" xfId="0" applyNumberFormat="1" applyFill="1" applyBorder="1" applyAlignment="1">
      <alignment horizontal="left" vertical="center" wrapText="1"/>
    </xf>
    <xf numFmtId="20" fontId="0" fillId="13" borderId="1" xfId="0" applyNumberFormat="1" applyFill="1" applyBorder="1" applyAlignment="1">
      <alignment horizontal="left" vertical="center" wrapText="1"/>
    </xf>
    <xf numFmtId="2" fontId="0" fillId="13" borderId="1" xfId="0" applyNumberFormat="1" applyFill="1" applyBorder="1" applyAlignment="1">
      <alignment horizontal="left" vertical="center" wrapText="1"/>
    </xf>
    <xf numFmtId="8" fontId="0" fillId="13" borderId="1" xfId="0" applyNumberFormat="1" applyFill="1" applyBorder="1" applyAlignment="1">
      <alignment horizontal="left" vertical="center" wrapText="1"/>
    </xf>
    <xf numFmtId="0" fontId="0" fillId="18" borderId="0" xfId="0" applyFill="1"/>
    <xf numFmtId="0" fontId="8" fillId="18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9" fillId="18" borderId="0" xfId="0" applyFont="1" applyFill="1"/>
    <xf numFmtId="0" fontId="10" fillId="18" borderId="0" xfId="0" applyFont="1" applyFill="1" applyAlignment="1">
      <alignment horizontal="center" vertical="center"/>
    </xf>
    <xf numFmtId="0" fontId="10" fillId="18" borderId="0" xfId="0" applyFont="1" applyFill="1" applyAlignment="1">
      <alignment vertical="center"/>
    </xf>
    <xf numFmtId="0" fontId="6" fillId="18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3" fillId="13" borderId="0" xfId="0" applyFont="1" applyFill="1" applyBorder="1" applyAlignment="1"/>
    <xf numFmtId="0" fontId="13" fillId="13" borderId="48" xfId="0" applyFont="1" applyFill="1" applyBorder="1" applyAlignment="1"/>
    <xf numFmtId="0" fontId="2" fillId="13" borderId="49" xfId="0" applyFont="1" applyFill="1" applyBorder="1" applyAlignment="1"/>
    <xf numFmtId="0" fontId="4" fillId="13" borderId="49" xfId="0" applyFont="1" applyFill="1" applyBorder="1" applyAlignment="1"/>
    <xf numFmtId="0" fontId="13" fillId="13" borderId="49" xfId="0" applyFont="1" applyFill="1" applyBorder="1" applyAlignment="1"/>
    <xf numFmtId="0" fontId="13" fillId="13" borderId="52" xfId="0" applyFont="1" applyFill="1" applyBorder="1" applyAlignment="1"/>
    <xf numFmtId="0" fontId="2" fillId="13" borderId="53" xfId="0" applyFont="1" applyFill="1" applyBorder="1" applyAlignment="1"/>
    <xf numFmtId="0" fontId="13" fillId="13" borderId="54" xfId="0" applyFont="1" applyFill="1" applyBorder="1" applyAlignment="1"/>
    <xf numFmtId="0" fontId="15" fillId="8" borderId="12" xfId="0" applyFont="1" applyFill="1" applyBorder="1" applyAlignment="1"/>
    <xf numFmtId="0" fontId="3" fillId="2" borderId="0" xfId="0" applyFont="1" applyFill="1" applyBorder="1" applyAlignment="1"/>
    <xf numFmtId="0" fontId="4" fillId="2" borderId="0" xfId="0" applyFont="1" applyFill="1" applyBorder="1" applyAlignment="1"/>
    <xf numFmtId="0" fontId="2" fillId="2" borderId="0" xfId="0" applyFont="1" applyFill="1" applyBorder="1" applyAlignment="1"/>
    <xf numFmtId="0" fontId="13" fillId="2" borderId="0" xfId="0" applyFont="1" applyFill="1" applyBorder="1" applyAlignment="1"/>
    <xf numFmtId="0" fontId="14" fillId="13" borderId="53" xfId="0" applyFont="1" applyFill="1" applyBorder="1" applyAlignment="1"/>
    <xf numFmtId="0" fontId="4" fillId="13" borderId="53" xfId="0" applyFont="1" applyFill="1" applyBorder="1" applyAlignment="1"/>
    <xf numFmtId="0" fontId="2" fillId="13" borderId="54" xfId="0" applyFont="1" applyFill="1" applyBorder="1" applyAlignment="1"/>
    <xf numFmtId="0" fontId="14" fillId="2" borderId="0" xfId="0" applyFont="1" applyFill="1" applyBorder="1" applyAlignment="1"/>
    <xf numFmtId="0" fontId="15" fillId="2" borderId="0" xfId="0" applyFont="1" applyFill="1" applyBorder="1" applyAlignment="1"/>
    <xf numFmtId="0" fontId="7" fillId="2" borderId="0" xfId="0" applyFont="1" applyFill="1" applyBorder="1" applyAlignment="1">
      <alignment vertical="center"/>
    </xf>
    <xf numFmtId="0" fontId="0" fillId="2" borderId="58" xfId="0" applyFill="1" applyBorder="1"/>
    <xf numFmtId="0" fontId="0" fillId="2" borderId="58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2" fillId="11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vertical="center"/>
    </xf>
    <xf numFmtId="0" fontId="11" fillId="11" borderId="8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vertical="center"/>
    </xf>
    <xf numFmtId="0" fontId="2" fillId="11" borderId="0" xfId="0" applyFont="1" applyFill="1" applyBorder="1"/>
    <xf numFmtId="0" fontId="2" fillId="11" borderId="7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8" xfId="0" applyFont="1" applyFill="1" applyBorder="1"/>
    <xf numFmtId="0" fontId="9" fillId="2" borderId="58" xfId="0" applyFont="1" applyFill="1" applyBorder="1" applyAlignment="1">
      <alignment horizontal="center"/>
    </xf>
    <xf numFmtId="0" fontId="9" fillId="10" borderId="0" xfId="0" applyFont="1" applyFill="1" applyBorder="1"/>
    <xf numFmtId="0" fontId="8" fillId="10" borderId="0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horizontal="left" vertical="center"/>
    </xf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8" fillId="20" borderId="58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8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22" fillId="2" borderId="58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3" fillId="18" borderId="4" xfId="0" applyFont="1" applyFill="1" applyBorder="1" applyAlignment="1">
      <alignment horizontal="left" vertical="center"/>
    </xf>
    <xf numFmtId="0" fontId="23" fillId="18" borderId="5" xfId="0" applyFont="1" applyFill="1" applyBorder="1" applyAlignment="1">
      <alignment vertical="center"/>
    </xf>
    <xf numFmtId="0" fontId="23" fillId="18" borderId="6" xfId="0" applyFont="1" applyFill="1" applyBorder="1" applyAlignment="1">
      <alignment vertical="center"/>
    </xf>
    <xf numFmtId="0" fontId="23" fillId="18" borderId="7" xfId="0" applyFont="1" applyFill="1" applyBorder="1"/>
    <xf numFmtId="0" fontId="24" fillId="18" borderId="0" xfId="0" applyFont="1" applyFill="1" applyBorder="1" applyAlignment="1">
      <alignment horizontal="center" vertical="center"/>
    </xf>
    <xf numFmtId="0" fontId="23" fillId="18" borderId="8" xfId="0" applyFont="1" applyFill="1" applyBorder="1" applyAlignment="1">
      <alignment vertical="center"/>
    </xf>
    <xf numFmtId="0" fontId="22" fillId="10" borderId="7" xfId="0" applyFont="1" applyFill="1" applyBorder="1" applyAlignment="1">
      <alignment horizontal="left" vertical="center"/>
    </xf>
    <xf numFmtId="0" fontId="22" fillId="10" borderId="0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22" fillId="10" borderId="9" xfId="0" applyFont="1" applyFill="1" applyBorder="1" applyAlignment="1">
      <alignment horizontal="left" vertical="center"/>
    </xf>
    <xf numFmtId="0" fontId="22" fillId="10" borderId="10" xfId="0" applyFont="1" applyFill="1" applyBorder="1" applyAlignment="1">
      <alignment vertical="center"/>
    </xf>
    <xf numFmtId="0" fontId="22" fillId="10" borderId="11" xfId="0" applyFont="1" applyFill="1" applyBorder="1" applyAlignment="1">
      <alignment vertical="center"/>
    </xf>
    <xf numFmtId="0" fontId="0" fillId="10" borderId="7" xfId="0" applyFill="1" applyBorder="1"/>
    <xf numFmtId="0" fontId="22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3" fillId="10" borderId="7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25" fillId="10" borderId="0" xfId="0" applyFont="1" applyFill="1" applyBorder="1" applyAlignment="1">
      <alignment horizontal="center" vertical="center"/>
    </xf>
    <xf numFmtId="0" fontId="0" fillId="21" borderId="55" xfId="0" applyFill="1" applyBorder="1"/>
    <xf numFmtId="0" fontId="0" fillId="21" borderId="56" xfId="0" applyFill="1" applyBorder="1"/>
    <xf numFmtId="0" fontId="0" fillId="21" borderId="15" xfId="0" applyFill="1" applyBorder="1"/>
    <xf numFmtId="0" fontId="0" fillId="21" borderId="57" xfId="0" applyFill="1" applyBorder="1"/>
    <xf numFmtId="0" fontId="26" fillId="21" borderId="0" xfId="0" applyFont="1" applyFill="1" applyAlignment="1">
      <alignment vertical="center"/>
    </xf>
    <xf numFmtId="0" fontId="0" fillId="21" borderId="0" xfId="0" applyFill="1"/>
    <xf numFmtId="0" fontId="21" fillId="21" borderId="0" xfId="0" applyFont="1" applyFill="1" applyAlignment="1">
      <alignment horizontal="left" vertical="center"/>
    </xf>
    <xf numFmtId="0" fontId="0" fillId="21" borderId="20" xfId="0" applyFill="1" applyBorder="1"/>
    <xf numFmtId="0" fontId="17" fillId="21" borderId="0" xfId="0" applyFont="1" applyFill="1"/>
    <xf numFmtId="0" fontId="28" fillId="2" borderId="1" xfId="0" applyFont="1" applyFill="1" applyBorder="1"/>
    <xf numFmtId="0" fontId="0" fillId="21" borderId="59" xfId="0" applyFill="1" applyBorder="1"/>
    <xf numFmtId="0" fontId="0" fillId="21" borderId="14" xfId="0" applyFill="1" applyBorder="1"/>
    <xf numFmtId="0" fontId="0" fillId="21" borderId="3" xfId="0" applyFill="1" applyBorder="1"/>
    <xf numFmtId="0" fontId="0" fillId="22" borderId="55" xfId="0" applyFill="1" applyBorder="1"/>
    <xf numFmtId="0" fontId="0" fillId="22" borderId="56" xfId="0" applyFill="1" applyBorder="1"/>
    <xf numFmtId="0" fontId="0" fillId="22" borderId="15" xfId="0" applyFill="1" applyBorder="1"/>
    <xf numFmtId="0" fontId="0" fillId="22" borderId="57" xfId="0" applyFill="1" applyBorder="1"/>
    <xf numFmtId="0" fontId="17" fillId="22" borderId="0" xfId="0" applyFont="1" applyFill="1"/>
    <xf numFmtId="0" fontId="0" fillId="22" borderId="0" xfId="0" applyFill="1"/>
    <xf numFmtId="0" fontId="0" fillId="22" borderId="20" xfId="0" applyFill="1" applyBorder="1"/>
    <xf numFmtId="0" fontId="0" fillId="2" borderId="1" xfId="0" applyFill="1" applyBorder="1"/>
    <xf numFmtId="0" fontId="0" fillId="22" borderId="14" xfId="0" applyFill="1" applyBorder="1"/>
    <xf numFmtId="0" fontId="0" fillId="22" borderId="3" xfId="0" applyFill="1" applyBorder="1"/>
    <xf numFmtId="0" fontId="0" fillId="23" borderId="13" xfId="0" applyFill="1" applyBorder="1"/>
    <xf numFmtId="0" fontId="17" fillId="23" borderId="60" xfId="0" applyFont="1" applyFill="1" applyBorder="1"/>
    <xf numFmtId="0" fontId="0" fillId="23" borderId="60" xfId="0" applyFill="1" applyBorder="1"/>
    <xf numFmtId="0" fontId="17" fillId="23" borderId="61" xfId="0" applyFont="1" applyFill="1" applyBorder="1"/>
    <xf numFmtId="0" fontId="0" fillId="23" borderId="62" xfId="0" applyFill="1" applyBorder="1"/>
    <xf numFmtId="0" fontId="0" fillId="23" borderId="57" xfId="0" applyFill="1" applyBorder="1"/>
    <xf numFmtId="0" fontId="0" fillId="23" borderId="61" xfId="0" applyFill="1" applyBorder="1"/>
    <xf numFmtId="0" fontId="0" fillId="23" borderId="0" xfId="0" applyFill="1"/>
    <xf numFmtId="0" fontId="0" fillId="23" borderId="20" xfId="0" applyFill="1" applyBorder="1"/>
    <xf numFmtId="0" fontId="0" fillId="23" borderId="59" xfId="0" applyFill="1" applyBorder="1"/>
    <xf numFmtId="0" fontId="0" fillId="23" borderId="14" xfId="0" applyFill="1" applyBorder="1"/>
    <xf numFmtId="0" fontId="0" fillId="23" borderId="3" xfId="0" applyFill="1" applyBorder="1"/>
    <xf numFmtId="0" fontId="17" fillId="23" borderId="57" xfId="0" applyFont="1" applyFill="1" applyBorder="1"/>
    <xf numFmtId="0" fontId="17" fillId="23" borderId="0" xfId="0" applyFont="1" applyFill="1"/>
    <xf numFmtId="0" fontId="17" fillId="22" borderId="1" xfId="0" applyFont="1" applyFill="1" applyBorder="1"/>
    <xf numFmtId="0" fontId="0" fillId="22" borderId="61" xfId="0" applyFill="1" applyBorder="1"/>
    <xf numFmtId="0" fontId="0" fillId="22" borderId="60" xfId="0" applyFill="1" applyBorder="1"/>
    <xf numFmtId="0" fontId="0" fillId="22" borderId="62" xfId="0" applyFill="1" applyBorder="1"/>
    <xf numFmtId="0" fontId="0" fillId="22" borderId="59" xfId="0" applyFill="1" applyBorder="1"/>
    <xf numFmtId="0" fontId="0" fillId="23" borderId="55" xfId="0" applyFill="1" applyBorder="1"/>
    <xf numFmtId="0" fontId="0" fillId="23" borderId="56" xfId="0" applyFill="1" applyBorder="1"/>
    <xf numFmtId="0" fontId="0" fillId="23" borderId="15" xfId="0" applyFill="1" applyBorder="1"/>
    <xf numFmtId="0" fontId="21" fillId="23" borderId="0" xfId="0" applyFont="1" applyFill="1"/>
    <xf numFmtId="0" fontId="9" fillId="10" borderId="1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44" fontId="9" fillId="10" borderId="1" xfId="0" applyNumberFormat="1" applyFont="1" applyFill="1" applyBorder="1"/>
    <xf numFmtId="9" fontId="9" fillId="10" borderId="1" xfId="0" applyNumberFormat="1" applyFont="1" applyFill="1" applyBorder="1" applyAlignment="1">
      <alignment vertical="center"/>
    </xf>
    <xf numFmtId="10" fontId="9" fillId="10" borderId="1" xfId="0" applyNumberFormat="1" applyFont="1" applyFill="1" applyBorder="1" applyAlignment="1">
      <alignment vertical="center"/>
    </xf>
    <xf numFmtId="9" fontId="9" fillId="10" borderId="1" xfId="0" applyNumberFormat="1" applyFont="1" applyFill="1" applyBorder="1" applyAlignment="1">
      <alignment horizontal="left" vertical="center"/>
    </xf>
    <xf numFmtId="0" fontId="30" fillId="18" borderId="37" xfId="0" applyFont="1" applyFill="1" applyBorder="1" applyAlignment="1">
      <alignment horizontal="center"/>
    </xf>
    <xf numFmtId="0" fontId="30" fillId="18" borderId="39" xfId="0" applyFont="1" applyFill="1" applyBorder="1" applyAlignment="1">
      <alignment horizontal="center"/>
    </xf>
    <xf numFmtId="0" fontId="9" fillId="10" borderId="40" xfId="0" applyFont="1" applyFill="1" applyBorder="1" applyAlignment="1">
      <alignment horizontal="left" vertical="center"/>
    </xf>
    <xf numFmtId="44" fontId="9" fillId="10" borderId="41" xfId="0" applyNumberFormat="1" applyFont="1" applyFill="1" applyBorder="1" applyAlignment="1">
      <alignment horizontal="left" vertical="center"/>
    </xf>
    <xf numFmtId="0" fontId="9" fillId="10" borderId="42" xfId="0" applyFont="1" applyFill="1" applyBorder="1" applyAlignment="1">
      <alignment horizontal="left" vertical="center"/>
    </xf>
    <xf numFmtId="44" fontId="9" fillId="10" borderId="44" xfId="0" applyNumberFormat="1" applyFont="1" applyFill="1" applyBorder="1" applyAlignment="1">
      <alignment horizontal="left" vertical="center"/>
    </xf>
    <xf numFmtId="0" fontId="8" fillId="20" borderId="41" xfId="0" applyFont="1" applyFill="1" applyBorder="1" applyAlignment="1">
      <alignment vertical="center"/>
    </xf>
    <xf numFmtId="0" fontId="9" fillId="10" borderId="40" xfId="0" applyFont="1" applyFill="1" applyBorder="1"/>
    <xf numFmtId="164" fontId="9" fillId="10" borderId="41" xfId="0" applyNumberFormat="1" applyFont="1" applyFill="1" applyBorder="1" applyAlignment="1">
      <alignment vertical="center"/>
    </xf>
    <xf numFmtId="44" fontId="9" fillId="10" borderId="40" xfId="0" applyNumberFormat="1" applyFont="1" applyFill="1" applyBorder="1"/>
    <xf numFmtId="0" fontId="9" fillId="10" borderId="42" xfId="0" applyFont="1" applyFill="1" applyBorder="1"/>
    <xf numFmtId="44" fontId="9" fillId="10" borderId="43" xfId="0" applyNumberFormat="1" applyFont="1" applyFill="1" applyBorder="1"/>
    <xf numFmtId="10" fontId="9" fillId="10" borderId="43" xfId="0" applyNumberFormat="1" applyFont="1" applyFill="1" applyBorder="1" applyAlignment="1">
      <alignment vertical="center"/>
    </xf>
    <xf numFmtId="164" fontId="9" fillId="10" borderId="44" xfId="0" applyNumberFormat="1" applyFont="1" applyFill="1" applyBorder="1" applyAlignment="1">
      <alignment vertical="center"/>
    </xf>
    <xf numFmtId="9" fontId="9" fillId="10" borderId="41" xfId="0" applyNumberFormat="1" applyFont="1" applyFill="1" applyBorder="1" applyAlignment="1">
      <alignment horizontal="left" vertical="center"/>
    </xf>
    <xf numFmtId="0" fontId="9" fillId="10" borderId="41" xfId="0" applyFont="1" applyFill="1" applyBorder="1" applyAlignment="1">
      <alignment horizontal="left" vertical="center"/>
    </xf>
    <xf numFmtId="10" fontId="9" fillId="10" borderId="43" xfId="0" applyNumberFormat="1" applyFont="1" applyFill="1" applyBorder="1" applyAlignment="1">
      <alignment horizontal="left" vertical="center"/>
    </xf>
    <xf numFmtId="0" fontId="9" fillId="10" borderId="43" xfId="0" applyFont="1" applyFill="1" applyBorder="1" applyAlignment="1">
      <alignment horizontal="left" vertical="center"/>
    </xf>
    <xf numFmtId="10" fontId="9" fillId="10" borderId="44" xfId="0" applyNumberFormat="1" applyFont="1" applyFill="1" applyBorder="1" applyAlignment="1">
      <alignment horizontal="left" vertical="center"/>
    </xf>
    <xf numFmtId="0" fontId="32" fillId="18" borderId="66" xfId="0" applyFont="1" applyFill="1" applyBorder="1"/>
    <xf numFmtId="9" fontId="9" fillId="10" borderId="67" xfId="0" applyNumberFormat="1" applyFont="1" applyFill="1" applyBorder="1" applyAlignment="1">
      <alignment horizontal="left"/>
    </xf>
    <xf numFmtId="0" fontId="34" fillId="3" borderId="0" xfId="0" applyFont="1" applyFill="1" applyAlignment="1">
      <alignment horizontal="center" vertical="center"/>
    </xf>
    <xf numFmtId="0" fontId="2" fillId="3" borderId="0" xfId="0" applyFont="1" applyFill="1"/>
    <xf numFmtId="0" fontId="0" fillId="10" borderId="0" xfId="0" applyFill="1" applyBorder="1"/>
    <xf numFmtId="0" fontId="2" fillId="3" borderId="1" xfId="0" applyFont="1" applyFill="1" applyBorder="1"/>
    <xf numFmtId="0" fontId="33" fillId="3" borderId="0" xfId="0" applyFont="1" applyFill="1" applyAlignment="1">
      <alignment vertical="center"/>
    </xf>
    <xf numFmtId="0" fontId="15" fillId="11" borderId="0" xfId="0" applyFont="1" applyFill="1" applyBorder="1" applyAlignment="1">
      <alignment horizontal="left" vertical="center"/>
    </xf>
    <xf numFmtId="0" fontId="3" fillId="11" borderId="0" xfId="0" applyFont="1" applyFill="1" applyBorder="1"/>
    <xf numFmtId="0" fontId="13" fillId="11" borderId="0" xfId="0" applyFont="1" applyFill="1" applyBorder="1" applyAlignment="1">
      <alignment horizontal="left" vertical="center"/>
    </xf>
    <xf numFmtId="0" fontId="4" fillId="11" borderId="0" xfId="0" applyFont="1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3" fillId="3" borderId="0" xfId="0" applyFont="1" applyFill="1" applyBorder="1" applyAlignment="1"/>
    <xf numFmtId="0" fontId="19" fillId="2" borderId="0" xfId="0" applyFont="1" applyFill="1" applyBorder="1" applyAlignment="1">
      <alignment vertical="center"/>
    </xf>
    <xf numFmtId="0" fontId="0" fillId="2" borderId="0" xfId="0" applyFill="1" applyBorder="1"/>
    <xf numFmtId="0" fontId="34" fillId="3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3" fillId="11" borderId="0" xfId="0" applyFont="1" applyFill="1" applyBorder="1" applyAlignment="1">
      <alignment vertical="center"/>
    </xf>
    <xf numFmtId="0" fontId="0" fillId="10" borderId="7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15" fillId="3" borderId="0" xfId="0" applyFont="1" applyFill="1"/>
    <xf numFmtId="0" fontId="15" fillId="3" borderId="1" xfId="0" applyFont="1" applyFill="1" applyBorder="1"/>
    <xf numFmtId="0" fontId="15" fillId="11" borderId="7" xfId="0" applyFont="1" applyFill="1" applyBorder="1"/>
    <xf numFmtId="0" fontId="15" fillId="11" borderId="0" xfId="0" applyFont="1" applyFill="1" applyBorder="1"/>
    <xf numFmtId="0" fontId="15" fillId="11" borderId="8" xfId="0" applyFont="1" applyFill="1" applyBorder="1"/>
    <xf numFmtId="0" fontId="15" fillId="11" borderId="9" xfId="0" applyFont="1" applyFill="1" applyBorder="1"/>
    <xf numFmtId="0" fontId="15" fillId="11" borderId="10" xfId="0" applyFont="1" applyFill="1" applyBorder="1"/>
    <xf numFmtId="0" fontId="15" fillId="11" borderId="11" xfId="0" applyFont="1" applyFill="1" applyBorder="1"/>
    <xf numFmtId="0" fontId="15" fillId="11" borderId="0" xfId="0" applyFont="1" applyFill="1" applyBorder="1" applyAlignment="1">
      <alignment vertical="center"/>
    </xf>
    <xf numFmtId="0" fontId="13" fillId="11" borderId="0" xfId="0" applyFont="1" applyFill="1" applyBorder="1" applyAlignment="1">
      <alignment vertical="center"/>
    </xf>
    <xf numFmtId="0" fontId="31" fillId="18" borderId="1" xfId="0" applyFont="1" applyFill="1" applyBorder="1"/>
    <xf numFmtId="0" fontId="0" fillId="0" borderId="0" xfId="0"/>
    <xf numFmtId="0" fontId="9" fillId="10" borderId="68" xfId="0" applyFont="1" applyFill="1" applyBorder="1" applyAlignment="1">
      <alignment horizontal="left"/>
    </xf>
    <xf numFmtId="0" fontId="9" fillId="10" borderId="1" xfId="0" applyFont="1" applyFill="1" applyBorder="1" applyAlignment="1">
      <alignment horizontal="left"/>
    </xf>
    <xf numFmtId="0" fontId="35" fillId="13" borderId="0" xfId="0" applyFont="1" applyFill="1" applyBorder="1" applyAlignment="1">
      <alignment vertical="center"/>
    </xf>
    <xf numFmtId="0" fontId="35" fillId="13" borderId="0" xfId="0" applyFont="1" applyFill="1" applyBorder="1" applyAlignment="1"/>
    <xf numFmtId="0" fontId="35" fillId="8" borderId="12" xfId="0" applyFont="1" applyFill="1" applyBorder="1" applyAlignment="1"/>
    <xf numFmtId="0" fontId="36" fillId="13" borderId="0" xfId="0" applyFont="1" applyFill="1" applyBorder="1" applyAlignment="1"/>
    <xf numFmtId="0" fontId="13" fillId="13" borderId="0" xfId="0" applyFont="1" applyFill="1" applyBorder="1" applyAlignment="1"/>
    <xf numFmtId="0" fontId="0" fillId="0" borderId="0" xfId="0"/>
    <xf numFmtId="0" fontId="0" fillId="7" borderId="0" xfId="0" applyFill="1"/>
    <xf numFmtId="0" fontId="38" fillId="10" borderId="0" xfId="0" applyFont="1" applyFill="1" applyBorder="1"/>
    <xf numFmtId="0" fontId="20" fillId="10" borderId="0" xfId="0" applyFont="1" applyFill="1" applyBorder="1" applyAlignment="1">
      <alignment horizontal="left"/>
    </xf>
    <xf numFmtId="0" fontId="38" fillId="10" borderId="0" xfId="0" applyFont="1" applyFill="1" applyBorder="1" applyAlignment="1">
      <alignment horizontal="left"/>
    </xf>
    <xf numFmtId="0" fontId="20" fillId="10" borderId="0" xfId="0" applyFont="1" applyFill="1" applyBorder="1"/>
    <xf numFmtId="0" fontId="0" fillId="10" borderId="0" xfId="0" applyFont="1" applyFill="1" applyBorder="1"/>
    <xf numFmtId="0" fontId="38" fillId="11" borderId="0" xfId="0" applyFont="1" applyFill="1" applyBorder="1" applyAlignment="1">
      <alignment horizontal="left"/>
    </xf>
    <xf numFmtId="0" fontId="38" fillId="2" borderId="1" xfId="0" applyFont="1" applyFill="1" applyBorder="1" applyAlignment="1">
      <alignment horizontal="left"/>
    </xf>
    <xf numFmtId="0" fontId="38" fillId="2" borderId="1" xfId="0" applyNumberFormat="1" applyFont="1" applyFill="1" applyBorder="1" applyAlignment="1">
      <alignment horizontal="left"/>
    </xf>
    <xf numFmtId="0" fontId="41" fillId="2" borderId="1" xfId="2" applyFont="1" applyFill="1" applyBorder="1" applyAlignment="1">
      <alignment horizontal="left"/>
    </xf>
    <xf numFmtId="0" fontId="38" fillId="3" borderId="1" xfId="0" applyFont="1" applyFill="1" applyBorder="1" applyAlignment="1">
      <alignment horizontal="left"/>
    </xf>
    <xf numFmtId="165" fontId="38" fillId="3" borderId="1" xfId="0" applyNumberFormat="1" applyFont="1" applyFill="1" applyBorder="1" applyAlignment="1">
      <alignment horizontal="left"/>
    </xf>
    <xf numFmtId="0" fontId="25" fillId="10" borderId="0" xfId="0" applyFont="1" applyFill="1" applyBorder="1"/>
    <xf numFmtId="0" fontId="30" fillId="10" borderId="0" xfId="0" applyFont="1" applyFill="1" applyBorder="1" applyAlignment="1">
      <alignment vertical="center"/>
    </xf>
    <xf numFmtId="0" fontId="42" fillId="10" borderId="0" xfId="0" applyFont="1" applyFill="1" applyBorder="1"/>
    <xf numFmtId="0" fontId="29" fillId="2" borderId="1" xfId="0" applyFont="1" applyFill="1" applyBorder="1"/>
    <xf numFmtId="0" fontId="29" fillId="10" borderId="0" xfId="0" applyFont="1" applyFill="1" applyBorder="1"/>
    <xf numFmtId="0" fontId="25" fillId="10" borderId="0" xfId="0" applyFont="1" applyFill="1" applyBorder="1" applyAlignment="1">
      <alignment horizontal="left"/>
    </xf>
    <xf numFmtId="0" fontId="29" fillId="10" borderId="0" xfId="0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0" fontId="29" fillId="2" borderId="1" xfId="0" applyNumberFormat="1" applyFont="1" applyFill="1" applyBorder="1" applyAlignment="1">
      <alignment horizontal="left"/>
    </xf>
    <xf numFmtId="0" fontId="43" fillId="2" borderId="1" xfId="2" applyFont="1" applyFill="1" applyBorder="1" applyAlignment="1">
      <alignment horizontal="left"/>
    </xf>
    <xf numFmtId="0" fontId="29" fillId="11" borderId="0" xfId="0" applyFont="1" applyFill="1" applyBorder="1" applyAlignment="1">
      <alignment horizontal="left"/>
    </xf>
    <xf numFmtId="0" fontId="29" fillId="3" borderId="1" xfId="0" applyFont="1" applyFill="1" applyBorder="1" applyAlignment="1">
      <alignment horizontal="left"/>
    </xf>
    <xf numFmtId="0" fontId="30" fillId="10" borderId="7" xfId="0" applyFont="1" applyFill="1" applyBorder="1" applyAlignment="1">
      <alignment vertical="center"/>
    </xf>
    <xf numFmtId="0" fontId="30" fillId="10" borderId="8" xfId="0" applyFont="1" applyFill="1" applyBorder="1" applyAlignment="1">
      <alignment vertical="center"/>
    </xf>
    <xf numFmtId="0" fontId="42" fillId="10" borderId="7" xfId="0" applyFont="1" applyFill="1" applyBorder="1"/>
    <xf numFmtId="0" fontId="42" fillId="10" borderId="8" xfId="0" applyFont="1" applyFill="1" applyBorder="1"/>
    <xf numFmtId="0" fontId="29" fillId="10" borderId="7" xfId="0" applyFont="1" applyFill="1" applyBorder="1" applyAlignment="1">
      <alignment horizontal="left"/>
    </xf>
    <xf numFmtId="0" fontId="29" fillId="10" borderId="8" xfId="0" applyFont="1" applyFill="1" applyBorder="1" applyAlignment="1">
      <alignment horizontal="left"/>
    </xf>
    <xf numFmtId="0" fontId="29" fillId="11" borderId="8" xfId="0" applyFont="1" applyFill="1" applyBorder="1" applyAlignment="1">
      <alignment horizontal="left"/>
    </xf>
    <xf numFmtId="0" fontId="29" fillId="10" borderId="9" xfId="0" applyFont="1" applyFill="1" applyBorder="1" applyAlignment="1">
      <alignment horizontal="left"/>
    </xf>
    <xf numFmtId="0" fontId="29" fillId="10" borderId="10" xfId="0" applyFont="1" applyFill="1" applyBorder="1" applyAlignment="1">
      <alignment horizontal="left"/>
    </xf>
    <xf numFmtId="0" fontId="29" fillId="11" borderId="10" xfId="0" applyFont="1" applyFill="1" applyBorder="1" applyAlignment="1">
      <alignment horizontal="left"/>
    </xf>
    <xf numFmtId="0" fontId="29" fillId="11" borderId="11" xfId="0" applyFont="1" applyFill="1" applyBorder="1" applyAlignment="1">
      <alignment horizontal="left"/>
    </xf>
    <xf numFmtId="165" fontId="29" fillId="3" borderId="1" xfId="0" applyNumberFormat="1" applyFont="1" applyFill="1" applyBorder="1" applyAlignment="1">
      <alignment horizontal="left"/>
    </xf>
    <xf numFmtId="0" fontId="42" fillId="2" borderId="0" xfId="0" applyFont="1" applyFill="1" applyBorder="1"/>
    <xf numFmtId="0" fontId="29" fillId="2" borderId="0" xfId="0" applyFont="1" applyFill="1" applyBorder="1"/>
    <xf numFmtId="0" fontId="25" fillId="2" borderId="0" xfId="0" applyFont="1" applyFill="1" applyBorder="1" applyAlignment="1">
      <alignment horizontal="left"/>
    </xf>
    <xf numFmtId="0" fontId="29" fillId="2" borderId="0" xfId="0" applyFont="1" applyFill="1" applyBorder="1" applyAlignment="1">
      <alignment horizontal="left"/>
    </xf>
    <xf numFmtId="0" fontId="29" fillId="3" borderId="0" xfId="0" applyFont="1" applyFill="1" applyBorder="1" applyAlignment="1">
      <alignment horizontal="left"/>
    </xf>
    <xf numFmtId="165" fontId="29" fillId="3" borderId="0" xfId="0" applyNumberFormat="1" applyFont="1" applyFill="1" applyBorder="1" applyAlignment="1">
      <alignment horizontal="left"/>
    </xf>
    <xf numFmtId="0" fontId="0" fillId="0" borderId="0" xfId="0"/>
    <xf numFmtId="0" fontId="0" fillId="7" borderId="0" xfId="0" applyFill="1"/>
    <xf numFmtId="0" fontId="39" fillId="2" borderId="1" xfId="0" applyFont="1" applyFill="1" applyBorder="1"/>
    <xf numFmtId="0" fontId="38" fillId="2" borderId="1" xfId="0" applyFont="1" applyFill="1" applyBorder="1"/>
    <xf numFmtId="0" fontId="37" fillId="2" borderId="0" xfId="0" applyFont="1" applyFill="1" applyBorder="1" applyAlignment="1"/>
    <xf numFmtId="0" fontId="38" fillId="2" borderId="0" xfId="0" applyFont="1" applyFill="1" applyBorder="1"/>
    <xf numFmtId="0" fontId="38" fillId="10" borderId="7" xfId="0" applyFont="1" applyFill="1" applyBorder="1"/>
    <xf numFmtId="0" fontId="38" fillId="10" borderId="8" xfId="0" applyFont="1" applyFill="1" applyBorder="1"/>
    <xf numFmtId="0" fontId="38" fillId="10" borderId="9" xfId="0" applyFont="1" applyFill="1" applyBorder="1"/>
    <xf numFmtId="0" fontId="38" fillId="10" borderId="10" xfId="0" applyFont="1" applyFill="1" applyBorder="1"/>
    <xf numFmtId="0" fontId="38" fillId="10" borderId="11" xfId="0" applyFont="1" applyFill="1" applyBorder="1"/>
    <xf numFmtId="0" fontId="0" fillId="0" borderId="0" xfId="0"/>
    <xf numFmtId="0" fontId="0" fillId="7" borderId="0" xfId="0" applyFill="1"/>
    <xf numFmtId="0" fontId="38" fillId="2" borderId="1" xfId="0" applyFont="1" applyFill="1" applyBorder="1"/>
    <xf numFmtId="0" fontId="38" fillId="10" borderId="7" xfId="0" applyFont="1" applyFill="1" applyBorder="1" applyAlignment="1">
      <alignment horizontal="left"/>
    </xf>
    <xf numFmtId="0" fontId="38" fillId="10" borderId="8" xfId="0" applyFont="1" applyFill="1" applyBorder="1" applyAlignment="1">
      <alignment horizontal="left"/>
    </xf>
    <xf numFmtId="0" fontId="0" fillId="10" borderId="7" xfId="0" applyFont="1" applyFill="1" applyBorder="1"/>
    <xf numFmtId="0" fontId="0" fillId="10" borderId="8" xfId="0" applyFont="1" applyFill="1" applyBorder="1"/>
    <xf numFmtId="0" fontId="38" fillId="11" borderId="8" xfId="0" applyFont="1" applyFill="1" applyBorder="1" applyAlignment="1">
      <alignment horizontal="left"/>
    </xf>
    <xf numFmtId="0" fontId="38" fillId="10" borderId="9" xfId="0" applyFont="1" applyFill="1" applyBorder="1" applyAlignment="1">
      <alignment horizontal="left"/>
    </xf>
    <xf numFmtId="0" fontId="38" fillId="10" borderId="10" xfId="0" applyFont="1" applyFill="1" applyBorder="1" applyAlignment="1">
      <alignment horizontal="left"/>
    </xf>
    <xf numFmtId="0" fontId="38" fillId="11" borderId="10" xfId="0" applyFont="1" applyFill="1" applyBorder="1" applyAlignment="1">
      <alignment horizontal="left"/>
    </xf>
    <xf numFmtId="0" fontId="38" fillId="11" borderId="11" xfId="0" applyFont="1" applyFill="1" applyBorder="1" applyAlignment="1">
      <alignment horizontal="left"/>
    </xf>
    <xf numFmtId="0" fontId="38" fillId="2" borderId="0" xfId="0" applyFont="1" applyFill="1" applyBorder="1" applyAlignment="1">
      <alignment horizontal="left"/>
    </xf>
    <xf numFmtId="0" fontId="38" fillId="3" borderId="0" xfId="0" applyFont="1" applyFill="1" applyBorder="1" applyAlignment="1">
      <alignment horizontal="left"/>
    </xf>
    <xf numFmtId="165" fontId="38" fillId="3" borderId="0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0" fillId="0" borderId="0" xfId="0"/>
    <xf numFmtId="0" fontId="0" fillId="7" borderId="0" xfId="0" applyFill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40" fillId="2" borderId="0" xfId="0" applyFont="1" applyFill="1" applyBorder="1" applyAlignment="1">
      <alignment horizontal="left" vertical="center"/>
    </xf>
    <xf numFmtId="0" fontId="39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0" borderId="0" xfId="0"/>
    <xf numFmtId="0" fontId="38" fillId="2" borderId="1" xfId="0" applyFont="1" applyFill="1" applyBorder="1" applyAlignment="1">
      <alignment horizontal="left" vertical="center"/>
    </xf>
    <xf numFmtId="14" fontId="38" fillId="2" borderId="1" xfId="0" applyNumberFormat="1" applyFont="1" applyFill="1" applyBorder="1" applyAlignment="1">
      <alignment horizontal="left" vertical="center"/>
    </xf>
    <xf numFmtId="1" fontId="38" fillId="2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7" fillId="2" borderId="0" xfId="0" applyFont="1" applyFill="1" applyBorder="1" applyAlignment="1">
      <alignment vertical="center"/>
    </xf>
    <xf numFmtId="165" fontId="38" fillId="3" borderId="1" xfId="0" applyNumberFormat="1" applyFont="1" applyFill="1" applyBorder="1" applyAlignment="1">
      <alignment horizontal="lef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34" fillId="3" borderId="0" xfId="0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20" fillId="10" borderId="0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horizontal="left" vertical="center"/>
    </xf>
    <xf numFmtId="0" fontId="20" fillId="10" borderId="56" xfId="0" applyFont="1" applyFill="1" applyBorder="1" applyAlignment="1">
      <alignment horizontal="left" vertical="center"/>
    </xf>
    <xf numFmtId="0" fontId="39" fillId="10" borderId="7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0" fontId="39" fillId="10" borderId="8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left" vertical="center"/>
    </xf>
    <xf numFmtId="0" fontId="39" fillId="10" borderId="9" xfId="0" applyFont="1" applyFill="1" applyBorder="1" applyAlignment="1">
      <alignment horizontal="left" vertical="center"/>
    </xf>
    <xf numFmtId="0" fontId="39" fillId="10" borderId="10" xfId="0" applyFont="1" applyFill="1" applyBorder="1" applyAlignment="1">
      <alignment horizontal="left" vertical="center"/>
    </xf>
    <xf numFmtId="0" fontId="7" fillId="11" borderId="11" xfId="0" applyFont="1" applyFill="1" applyBorder="1" applyAlignment="1">
      <alignment horizontal="left" vertical="center"/>
    </xf>
    <xf numFmtId="0" fontId="38" fillId="10" borderId="31" xfId="0" applyFont="1" applyFill="1" applyBorder="1" applyAlignment="1">
      <alignment horizontal="left" vertical="center"/>
    </xf>
    <xf numFmtId="0" fontId="20" fillId="10" borderId="69" xfId="0" applyFont="1" applyFill="1" applyBorder="1" applyAlignment="1">
      <alignment horizontal="left" vertical="center"/>
    </xf>
    <xf numFmtId="0" fontId="38" fillId="10" borderId="7" xfId="0" applyFont="1" applyFill="1" applyBorder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38" fillId="10" borderId="8" xfId="0" applyFont="1" applyFill="1" applyBorder="1" applyAlignment="1">
      <alignment horizontal="left" vertical="center"/>
    </xf>
    <xf numFmtId="0" fontId="0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0" fillId="10" borderId="8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38" fillId="10" borderId="9" xfId="0" applyFont="1" applyFill="1" applyBorder="1" applyAlignment="1">
      <alignment vertical="center"/>
    </xf>
    <xf numFmtId="0" fontId="38" fillId="10" borderId="10" xfId="0" applyFont="1" applyFill="1" applyBorder="1" applyAlignment="1">
      <alignment vertical="center"/>
    </xf>
    <xf numFmtId="0" fontId="38" fillId="10" borderId="10" xfId="0" applyFont="1" applyFill="1" applyBorder="1" applyAlignment="1">
      <alignment horizontal="left" vertical="center"/>
    </xf>
    <xf numFmtId="0" fontId="20" fillId="11" borderId="11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vertical="center"/>
    </xf>
    <xf numFmtId="0" fontId="38" fillId="10" borderId="7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3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5" fillId="2" borderId="12" xfId="0" applyFont="1" applyFill="1" applyBorder="1" applyAlignment="1"/>
    <xf numFmtId="0" fontId="17" fillId="13" borderId="1" xfId="0" applyFont="1" applyFill="1" applyBorder="1" applyAlignment="1">
      <alignment horizontal="center"/>
    </xf>
    <xf numFmtId="44" fontId="0" fillId="13" borderId="1" xfId="4" applyFont="1" applyFill="1" applyBorder="1"/>
    <xf numFmtId="0" fontId="20" fillId="18" borderId="61" xfId="0" applyFont="1" applyFill="1" applyBorder="1"/>
    <xf numFmtId="0" fontId="20" fillId="18" borderId="1" xfId="0" applyFont="1" applyFill="1" applyBorder="1" applyAlignment="1">
      <alignment horizontal="center"/>
    </xf>
    <xf numFmtId="0" fontId="20" fillId="18" borderId="1" xfId="0" applyFont="1" applyFill="1" applyBorder="1"/>
    <xf numFmtId="0" fontId="20" fillId="2" borderId="0" xfId="0" applyFont="1" applyFill="1" applyAlignment="1">
      <alignment horizontal="center"/>
    </xf>
    <xf numFmtId="0" fontId="20" fillId="2" borderId="0" xfId="0" applyFont="1" applyFill="1"/>
    <xf numFmtId="0" fontId="0" fillId="0" borderId="0" xfId="0" applyAlignment="1">
      <alignment horizontal="left"/>
    </xf>
    <xf numFmtId="44" fontId="9" fillId="0" borderId="0" xfId="4" applyFont="1" applyFill="1" applyBorder="1" applyAlignment="1"/>
    <xf numFmtId="0" fontId="9" fillId="13" borderId="61" xfId="0" applyFont="1" applyFill="1" applyBorder="1"/>
    <xf numFmtId="0" fontId="9" fillId="13" borderId="1" xfId="0" applyFont="1" applyFill="1" applyBorder="1" applyAlignment="1">
      <alignment horizontal="center"/>
    </xf>
    <xf numFmtId="44" fontId="9" fillId="13" borderId="1" xfId="4" applyFont="1" applyFill="1" applyBorder="1" applyAlignment="1"/>
    <xf numFmtId="0" fontId="9" fillId="13" borderId="1" xfId="0" applyFont="1" applyFill="1" applyBorder="1"/>
    <xf numFmtId="44" fontId="9" fillId="13" borderId="1" xfId="4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0" xfId="0" applyFont="1" applyFill="1"/>
    <xf numFmtId="44" fontId="0" fillId="0" borderId="0" xfId="4" applyFont="1" applyFill="1" applyBorder="1"/>
    <xf numFmtId="44" fontId="0" fillId="0" borderId="0" xfId="0" applyNumberFormat="1"/>
    <xf numFmtId="44" fontId="9" fillId="2" borderId="0" xfId="4" applyFont="1" applyFill="1" applyBorder="1"/>
    <xf numFmtId="0" fontId="0" fillId="2" borderId="0" xfId="0" applyFill="1" applyAlignment="1">
      <alignment horizontal="center"/>
    </xf>
    <xf numFmtId="44" fontId="0" fillId="2" borderId="0" xfId="4" applyFont="1" applyFill="1" applyBorder="1"/>
    <xf numFmtId="0" fontId="9" fillId="2" borderId="0" xfId="0" applyFont="1" applyFill="1"/>
    <xf numFmtId="0" fontId="9" fillId="10" borderId="1" xfId="0" applyFont="1" applyFill="1" applyBorder="1"/>
    <xf numFmtId="0" fontId="25" fillId="18" borderId="1" xfId="0" applyFont="1" applyFill="1" applyBorder="1" applyAlignment="1">
      <alignment horizontal="center"/>
    </xf>
    <xf numFmtId="44" fontId="9" fillId="13" borderId="1" xfId="4" applyFont="1" applyFill="1" applyBorder="1"/>
    <xf numFmtId="0" fontId="9" fillId="13" borderId="13" xfId="0" applyFont="1" applyFill="1" applyBorder="1"/>
    <xf numFmtId="44" fontId="9" fillId="13" borderId="13" xfId="4" applyFont="1" applyFill="1" applyBorder="1"/>
    <xf numFmtId="44" fontId="0" fillId="13" borderId="13" xfId="4" applyFont="1" applyFill="1" applyBorder="1"/>
    <xf numFmtId="0" fontId="9" fillId="0" borderId="56" xfId="0" applyFont="1" applyBorder="1"/>
    <xf numFmtId="44" fontId="9" fillId="0" borderId="56" xfId="4" applyFont="1" applyBorder="1"/>
    <xf numFmtId="44" fontId="0" fillId="0" borderId="56" xfId="4" applyFont="1" applyBorder="1"/>
    <xf numFmtId="0" fontId="9" fillId="0" borderId="0" xfId="0" applyFont="1"/>
    <xf numFmtId="44" fontId="9" fillId="0" borderId="0" xfId="4" applyFont="1" applyBorder="1"/>
    <xf numFmtId="44" fontId="0" fillId="0" borderId="0" xfId="4" applyFont="1" applyBorder="1"/>
    <xf numFmtId="0" fontId="25" fillId="18" borderId="13" xfId="0" applyFont="1" applyFill="1" applyBorder="1"/>
    <xf numFmtId="44" fontId="9" fillId="18" borderId="13" xfId="4" applyFont="1" applyFill="1" applyBorder="1"/>
    <xf numFmtId="44" fontId="0" fillId="18" borderId="13" xfId="4" applyFont="1" applyFill="1" applyBorder="1"/>
    <xf numFmtId="0" fontId="9" fillId="0" borderId="60" xfId="0" applyFont="1" applyBorder="1"/>
    <xf numFmtId="44" fontId="9" fillId="0" borderId="60" xfId="4" applyFont="1" applyBorder="1"/>
    <xf numFmtId="44" fontId="0" fillId="0" borderId="60" xfId="4" applyFont="1" applyBorder="1"/>
    <xf numFmtId="44" fontId="9" fillId="13" borderId="0" xfId="4" applyFont="1" applyFill="1"/>
    <xf numFmtId="0" fontId="0" fillId="13" borderId="1" xfId="0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7" fillId="18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7" fillId="12" borderId="37" xfId="0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0" fontId="7" fillId="12" borderId="39" xfId="0" applyFont="1" applyFill="1" applyBorder="1" applyAlignment="1">
      <alignment horizontal="center" vertical="center"/>
    </xf>
    <xf numFmtId="0" fontId="7" fillId="12" borderId="40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horizontal="center" vertical="center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7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2" borderId="8" xfId="0" applyFont="1" applyFill="1" applyBorder="1" applyAlignment="1">
      <alignment horizontal="center" vertical="center"/>
    </xf>
    <xf numFmtId="0" fontId="37" fillId="12" borderId="4" xfId="0" applyFont="1" applyFill="1" applyBorder="1" applyAlignment="1">
      <alignment horizontal="center" vertical="center"/>
    </xf>
    <xf numFmtId="0" fontId="37" fillId="12" borderId="5" xfId="0" applyFont="1" applyFill="1" applyBorder="1" applyAlignment="1">
      <alignment horizontal="center" vertical="center"/>
    </xf>
    <xf numFmtId="0" fontId="37" fillId="12" borderId="6" xfId="0" applyFont="1" applyFill="1" applyBorder="1" applyAlignment="1">
      <alignment horizontal="center" vertical="center"/>
    </xf>
    <xf numFmtId="0" fontId="37" fillId="12" borderId="7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37" fillId="18" borderId="45" xfId="0" applyFont="1" applyFill="1" applyBorder="1" applyAlignment="1">
      <alignment horizontal="center" vertical="center"/>
    </xf>
    <xf numFmtId="0" fontId="37" fillId="18" borderId="46" xfId="0" applyFont="1" applyFill="1" applyBorder="1" applyAlignment="1">
      <alignment horizontal="center" vertical="center"/>
    </xf>
    <xf numFmtId="0" fontId="37" fillId="18" borderId="47" xfId="0" applyFont="1" applyFill="1" applyBorder="1" applyAlignment="1">
      <alignment horizontal="center" vertical="center"/>
    </xf>
    <xf numFmtId="0" fontId="37" fillId="18" borderId="48" xfId="0" applyFont="1" applyFill="1" applyBorder="1" applyAlignment="1">
      <alignment horizontal="center" vertical="center"/>
    </xf>
    <xf numFmtId="0" fontId="37" fillId="18" borderId="0" xfId="0" applyFont="1" applyFill="1" applyBorder="1" applyAlignment="1">
      <alignment horizontal="center" vertical="center"/>
    </xf>
    <xf numFmtId="0" fontId="37" fillId="18" borderId="49" xfId="0" applyFont="1" applyFill="1" applyBorder="1" applyAlignment="1">
      <alignment horizontal="center" vertical="center"/>
    </xf>
    <xf numFmtId="0" fontId="37" fillId="18" borderId="50" xfId="0" applyFont="1" applyFill="1" applyBorder="1" applyAlignment="1">
      <alignment horizontal="center" vertical="center"/>
    </xf>
    <xf numFmtId="0" fontId="37" fillId="18" borderId="14" xfId="0" applyFont="1" applyFill="1" applyBorder="1" applyAlignment="1">
      <alignment horizontal="center" vertical="center"/>
    </xf>
    <xf numFmtId="0" fontId="37" fillId="18" borderId="51" xfId="0" applyFont="1" applyFill="1" applyBorder="1" applyAlignment="1">
      <alignment horizontal="center" vertical="center"/>
    </xf>
    <xf numFmtId="0" fontId="7" fillId="12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8" borderId="4" xfId="0" applyFont="1" applyFill="1" applyBorder="1" applyAlignment="1">
      <alignment horizontal="center" vertical="center"/>
    </xf>
    <xf numFmtId="0" fontId="7" fillId="18" borderId="5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" fillId="18" borderId="8" xfId="0" applyFont="1" applyFill="1" applyBorder="1" applyAlignment="1">
      <alignment horizontal="center" vertical="center"/>
    </xf>
    <xf numFmtId="0" fontId="8" fillId="20" borderId="40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31" fillId="18" borderId="63" xfId="0" applyFont="1" applyFill="1" applyBorder="1" applyAlignment="1">
      <alignment horizontal="center" vertical="center"/>
    </xf>
    <xf numFmtId="0" fontId="31" fillId="18" borderId="64" xfId="0" applyFont="1" applyFill="1" applyBorder="1" applyAlignment="1">
      <alignment horizontal="center" vertical="center"/>
    </xf>
    <xf numFmtId="0" fontId="31" fillId="18" borderId="65" xfId="0" applyFont="1" applyFill="1" applyBorder="1" applyAlignment="1">
      <alignment horizontal="center" vertical="center"/>
    </xf>
    <xf numFmtId="0" fontId="31" fillId="18" borderId="63" xfId="0" applyFont="1" applyFill="1" applyBorder="1" applyAlignment="1">
      <alignment horizontal="center"/>
    </xf>
    <xf numFmtId="0" fontId="31" fillId="18" borderId="64" xfId="0" applyFont="1" applyFill="1" applyBorder="1" applyAlignment="1">
      <alignment horizontal="center"/>
    </xf>
    <xf numFmtId="0" fontId="31" fillId="18" borderId="65" xfId="0" applyFont="1" applyFill="1" applyBorder="1" applyAlignment="1">
      <alignment horizontal="center"/>
    </xf>
    <xf numFmtId="0" fontId="37" fillId="12" borderId="0" xfId="0" applyFont="1" applyFill="1" applyBorder="1" applyAlignment="1">
      <alignment horizontal="center" vertical="center"/>
    </xf>
    <xf numFmtId="0" fontId="20" fillId="18" borderId="4" xfId="0" applyFont="1" applyFill="1" applyBorder="1" applyAlignment="1">
      <alignment horizontal="center" vertical="center"/>
    </xf>
    <xf numFmtId="0" fontId="20" fillId="18" borderId="5" xfId="0" applyFont="1" applyFill="1" applyBorder="1" applyAlignment="1">
      <alignment horizontal="center" vertical="center"/>
    </xf>
    <xf numFmtId="0" fontId="20" fillId="18" borderId="6" xfId="0" applyFont="1" applyFill="1" applyBorder="1" applyAlignment="1">
      <alignment horizontal="center" vertical="center"/>
    </xf>
    <xf numFmtId="0" fontId="20" fillId="18" borderId="7" xfId="0" applyFont="1" applyFill="1" applyBorder="1" applyAlignment="1">
      <alignment horizontal="center" vertical="center"/>
    </xf>
    <xf numFmtId="0" fontId="20" fillId="18" borderId="0" xfId="0" applyFont="1" applyFill="1" applyBorder="1" applyAlignment="1">
      <alignment horizontal="center" vertical="center"/>
    </xf>
    <xf numFmtId="0" fontId="20" fillId="18" borderId="8" xfId="0" applyFont="1" applyFill="1" applyBorder="1" applyAlignment="1">
      <alignment horizontal="center" vertical="center"/>
    </xf>
    <xf numFmtId="0" fontId="37" fillId="18" borderId="4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37" fillId="18" borderId="6" xfId="0" applyFont="1" applyFill="1" applyBorder="1" applyAlignment="1">
      <alignment horizontal="center" vertical="center"/>
    </xf>
    <xf numFmtId="0" fontId="37" fillId="18" borderId="7" xfId="0" applyFont="1" applyFill="1" applyBorder="1" applyAlignment="1">
      <alignment horizontal="center" vertical="center"/>
    </xf>
    <xf numFmtId="0" fontId="37" fillId="18" borderId="8" xfId="0" applyFont="1" applyFill="1" applyBorder="1" applyAlignment="1">
      <alignment horizontal="center" vertical="center"/>
    </xf>
    <xf numFmtId="0" fontId="7" fillId="18" borderId="21" xfId="0" applyFont="1" applyFill="1" applyBorder="1" applyAlignment="1">
      <alignment horizontal="center" vertical="center"/>
    </xf>
    <xf numFmtId="0" fontId="7" fillId="18" borderId="14" xfId="0" applyFont="1" applyFill="1" applyBorder="1" applyAlignment="1">
      <alignment horizontal="center" vertical="center"/>
    </xf>
    <xf numFmtId="0" fontId="7" fillId="18" borderId="22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left"/>
    </xf>
    <xf numFmtId="44" fontId="9" fillId="13" borderId="1" xfId="4" applyFont="1" applyFill="1" applyBorder="1" applyAlignment="1">
      <alignment horizontal="center"/>
    </xf>
    <xf numFmtId="0" fontId="8" fillId="18" borderId="61" xfId="0" applyFont="1" applyFill="1" applyBorder="1" applyAlignment="1">
      <alignment horizontal="center"/>
    </xf>
    <xf numFmtId="0" fontId="8" fillId="18" borderId="60" xfId="0" applyFont="1" applyFill="1" applyBorder="1" applyAlignment="1">
      <alignment horizontal="center"/>
    </xf>
    <xf numFmtId="0" fontId="8" fillId="18" borderId="62" xfId="0" applyFont="1" applyFill="1" applyBorder="1" applyAlignment="1">
      <alignment horizontal="center"/>
    </xf>
    <xf numFmtId="0" fontId="8" fillId="18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0" fillId="13" borderId="61" xfId="0" applyFill="1" applyBorder="1" applyAlignment="1">
      <alignment horizontal="center"/>
    </xf>
    <xf numFmtId="0" fontId="0" fillId="13" borderId="62" xfId="0" applyFill="1" applyBorder="1" applyAlignment="1">
      <alignment horizontal="center"/>
    </xf>
    <xf numFmtId="0" fontId="20" fillId="18" borderId="61" xfId="0" applyFont="1" applyFill="1" applyBorder="1" applyAlignment="1">
      <alignment horizontal="center"/>
    </xf>
    <xf numFmtId="0" fontId="20" fillId="18" borderId="60" xfId="0" applyFont="1" applyFill="1" applyBorder="1" applyAlignment="1">
      <alignment horizontal="center"/>
    </xf>
    <xf numFmtId="0" fontId="20" fillId="18" borderId="62" xfId="0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 vertical="center"/>
    </xf>
    <xf numFmtId="0" fontId="8" fillId="10" borderId="1" xfId="0" applyFont="1" applyFill="1" applyBorder="1" applyAlignment="1">
      <alignment horizontal="left" vertical="center"/>
    </xf>
    <xf numFmtId="0" fontId="25" fillId="10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31" fillId="12" borderId="37" xfId="0" applyFont="1" applyFill="1" applyBorder="1" applyAlignment="1">
      <alignment horizontal="center" vertical="center"/>
    </xf>
    <xf numFmtId="0" fontId="31" fillId="12" borderId="70" xfId="0" applyFont="1" applyFill="1" applyBorder="1" applyAlignment="1">
      <alignment horizontal="center" vertical="center"/>
    </xf>
    <xf numFmtId="0" fontId="31" fillId="12" borderId="65" xfId="0" applyFont="1" applyFill="1" applyBorder="1" applyAlignment="1">
      <alignment horizontal="center" vertical="center"/>
    </xf>
    <xf numFmtId="0" fontId="7" fillId="7" borderId="75" xfId="0" applyFont="1" applyFill="1" applyBorder="1" applyAlignment="1">
      <alignment horizontal="center" vertical="center"/>
    </xf>
    <xf numFmtId="0" fontId="7" fillId="7" borderId="76" xfId="0" applyFont="1" applyFill="1" applyBorder="1" applyAlignment="1">
      <alignment horizontal="center" vertical="center"/>
    </xf>
    <xf numFmtId="0" fontId="7" fillId="7" borderId="74" xfId="0" applyFont="1" applyFill="1" applyBorder="1" applyAlignment="1">
      <alignment horizontal="center" vertical="center"/>
    </xf>
    <xf numFmtId="0" fontId="31" fillId="18" borderId="2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/>
    </xf>
    <xf numFmtId="0" fontId="0" fillId="0" borderId="0" xfId="0"/>
    <xf numFmtId="0" fontId="31" fillId="18" borderId="2" xfId="0" applyFont="1" applyFill="1" applyBorder="1" applyAlignment="1">
      <alignment horizontal="center" vertical="center"/>
    </xf>
    <xf numFmtId="0" fontId="32" fillId="7" borderId="74" xfId="0" applyFont="1" applyFill="1" applyBorder="1" applyAlignment="1">
      <alignment horizontal="center"/>
    </xf>
    <xf numFmtId="0" fontId="32" fillId="7" borderId="75" xfId="0" applyFont="1" applyFill="1" applyBorder="1" applyAlignment="1">
      <alignment horizontal="center"/>
    </xf>
    <xf numFmtId="0" fontId="32" fillId="7" borderId="76" xfId="0" applyFont="1" applyFill="1" applyBorder="1" applyAlignment="1">
      <alignment horizontal="center"/>
    </xf>
    <xf numFmtId="0" fontId="0" fillId="0" borderId="0" xfId="0"/>
    <xf numFmtId="0" fontId="31" fillId="12" borderId="1" xfId="0" applyFont="1" applyFill="1" applyBorder="1" applyAlignment="1">
      <alignment horizontal="center"/>
    </xf>
    <xf numFmtId="0" fontId="31" fillId="12" borderId="6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0" fontId="8" fillId="2" borderId="18" xfId="0" applyFont="1" applyFill="1" applyBorder="1" applyAlignment="1">
      <alignment horizontal="left"/>
    </xf>
    <xf numFmtId="0" fontId="45" fillId="2" borderId="1" xfId="0" applyFont="1" applyFill="1" applyBorder="1" applyAlignment="1">
      <alignment horizontal="left"/>
    </xf>
    <xf numFmtId="0" fontId="9" fillId="2" borderId="18" xfId="0" applyFont="1" applyFill="1" applyBorder="1" applyAlignment="1">
      <alignment horizontal="left"/>
    </xf>
    <xf numFmtId="0" fontId="31" fillId="3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left"/>
    </xf>
    <xf numFmtId="0" fontId="15" fillId="3" borderId="71" xfId="0" applyFont="1" applyFill="1" applyBorder="1"/>
    <xf numFmtId="0" fontId="15" fillId="3" borderId="3" xfId="0" applyFont="1" applyFill="1" applyBorder="1"/>
    <xf numFmtId="0" fontId="9" fillId="2" borderId="1" xfId="0" applyFont="1" applyFill="1" applyBorder="1" applyAlignment="1">
      <alignment horizontal="left" vertical="center"/>
    </xf>
    <xf numFmtId="0" fontId="9" fillId="2" borderId="41" xfId="0" applyFont="1" applyFill="1" applyBorder="1" applyAlignment="1">
      <alignment horizontal="left" vertical="center"/>
    </xf>
    <xf numFmtId="0" fontId="9" fillId="2" borderId="41" xfId="0" applyFont="1" applyFill="1" applyBorder="1" applyAlignment="1">
      <alignment horizontal="left"/>
    </xf>
    <xf numFmtId="0" fontId="1" fillId="2" borderId="41" xfId="2" applyFill="1" applyBorder="1" applyAlignment="1">
      <alignment horizontal="left" vertical="center"/>
    </xf>
    <xf numFmtId="0" fontId="1" fillId="2" borderId="41" xfId="2" applyFill="1" applyBorder="1" applyAlignment="1">
      <alignment horizontal="left"/>
    </xf>
    <xf numFmtId="0" fontId="9" fillId="2" borderId="41" xfId="0" applyFont="1" applyFill="1" applyBorder="1"/>
    <xf numFmtId="0" fontId="15" fillId="3" borderId="72" xfId="0" applyFont="1" applyFill="1" applyBorder="1"/>
    <xf numFmtId="0" fontId="15" fillId="3" borderId="73" xfId="0" applyFont="1" applyFill="1" applyBorder="1"/>
    <xf numFmtId="0" fontId="9" fillId="2" borderId="43" xfId="0" applyFont="1" applyFill="1" applyBorder="1" applyAlignment="1">
      <alignment horizontal="left" vertical="center"/>
    </xf>
    <xf numFmtId="0" fontId="9" fillId="2" borderId="44" xfId="0" applyFont="1" applyFill="1" applyBorder="1" applyAlignment="1">
      <alignment horizontal="left" vertical="center"/>
    </xf>
    <xf numFmtId="0" fontId="31" fillId="3" borderId="0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32" fillId="2" borderId="0" xfId="0" applyFont="1" applyFill="1" applyBorder="1" applyAlignment="1"/>
    <xf numFmtId="0" fontId="31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 vertical="center"/>
    </xf>
    <xf numFmtId="0" fontId="1" fillId="2" borderId="0" xfId="2" applyFill="1" applyBorder="1"/>
    <xf numFmtId="168" fontId="0" fillId="2" borderId="0" xfId="5" applyFont="1" applyFill="1" applyBorder="1"/>
    <xf numFmtId="0" fontId="7" fillId="7" borderId="14" xfId="0" applyFont="1" applyFill="1" applyBorder="1" applyAlignment="1">
      <alignment horizontal="center" vertical="center"/>
    </xf>
    <xf numFmtId="0" fontId="0" fillId="0" borderId="1" xfId="0" applyBorder="1"/>
    <xf numFmtId="0" fontId="44" fillId="0" borderId="1" xfId="0" applyFont="1" applyBorder="1" applyAlignment="1">
      <alignment horizontal="center" vertical="center"/>
    </xf>
    <xf numFmtId="0" fontId="7" fillId="3" borderId="0" xfId="0" applyFont="1" applyFill="1" applyBorder="1" applyAlignment="1"/>
    <xf numFmtId="0" fontId="7" fillId="25" borderId="63" xfId="0" applyFont="1" applyFill="1" applyBorder="1" applyAlignment="1">
      <alignment horizontal="center"/>
    </xf>
    <xf numFmtId="0" fontId="7" fillId="25" borderId="64" xfId="0" applyFont="1" applyFill="1" applyBorder="1" applyAlignment="1">
      <alignment horizontal="center"/>
    </xf>
    <xf numFmtId="0" fontId="7" fillId="25" borderId="65" xfId="0" applyFont="1" applyFill="1" applyBorder="1" applyAlignment="1">
      <alignment horizontal="center"/>
    </xf>
    <xf numFmtId="0" fontId="7" fillId="18" borderId="40" xfId="0" applyFont="1" applyFill="1" applyBorder="1" applyAlignment="1">
      <alignment horizontal="center" vertical="center"/>
    </xf>
    <xf numFmtId="0" fontId="7" fillId="18" borderId="41" xfId="0" applyFont="1" applyFill="1" applyBorder="1" applyAlignment="1">
      <alignment horizontal="center" vertical="center"/>
    </xf>
    <xf numFmtId="0" fontId="44" fillId="0" borderId="40" xfId="0" applyFont="1" applyBorder="1" applyAlignment="1">
      <alignment horizontal="center" vertical="center"/>
    </xf>
    <xf numFmtId="0" fontId="0" fillId="0" borderId="41" xfId="0" applyBorder="1"/>
    <xf numFmtId="0" fontId="0" fillId="0" borderId="40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1" xfId="0" applyBorder="1"/>
    <xf numFmtId="0" fontId="9" fillId="0" borderId="1" xfId="0" applyFont="1" applyBorder="1" applyAlignment="1">
      <alignment horizontal="left" vertical="center"/>
    </xf>
    <xf numFmtId="0" fontId="1" fillId="0" borderId="1" xfId="2" applyBorder="1"/>
    <xf numFmtId="168" fontId="0" fillId="0" borderId="1" xfId="5" applyFont="1" applyBorder="1"/>
    <xf numFmtId="0" fontId="31" fillId="25" borderId="63" xfId="0" applyFont="1" applyFill="1" applyBorder="1" applyAlignment="1">
      <alignment horizontal="center"/>
    </xf>
    <xf numFmtId="0" fontId="31" fillId="25" borderId="64" xfId="0" applyFont="1" applyFill="1" applyBorder="1" applyAlignment="1">
      <alignment horizontal="center"/>
    </xf>
    <xf numFmtId="0" fontId="31" fillId="25" borderId="65" xfId="0" applyFont="1" applyFill="1" applyBorder="1" applyAlignment="1">
      <alignment horizontal="center"/>
    </xf>
    <xf numFmtId="0" fontId="31" fillId="18" borderId="40" xfId="0" applyFont="1" applyFill="1" applyBorder="1" applyAlignment="1">
      <alignment horizontal="center"/>
    </xf>
    <xf numFmtId="0" fontId="31" fillId="18" borderId="41" xfId="0" applyFont="1" applyFill="1" applyBorder="1" applyAlignment="1">
      <alignment horizontal="center"/>
    </xf>
    <xf numFmtId="0" fontId="31" fillId="18" borderId="71" xfId="0" applyFont="1" applyFill="1" applyBorder="1" applyAlignment="1">
      <alignment horizontal="center"/>
    </xf>
    <xf numFmtId="0" fontId="31" fillId="18" borderId="33" xfId="0" applyFont="1" applyFill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68" fontId="0" fillId="0" borderId="41" xfId="5" applyFont="1" applyBorder="1"/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DA2C2EDE-8899-4372-B524-0E6323AB7649}"/>
    <cellStyle name="Normal" xfId="0" builtinId="0"/>
  </cellStyles>
  <dxfs count="0"/>
  <tableStyles count="0" defaultTableStyle="TableStyleMedium2" defaultPivotStyle="PivotStyleLight16"/>
  <colors>
    <mruColors>
      <color rgb="FF3D5B7A"/>
      <color rgb="FF3A5775"/>
      <color rgb="FF8EA9DB"/>
      <color rgb="FF212121"/>
      <color rgb="FF3D597A"/>
      <color rgb="FF202020"/>
      <color rgb="FF1C1C1C"/>
      <color rgb="FF171717"/>
      <color rgb="FFD0CECE"/>
      <color rgb="FFF13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10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6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0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1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4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1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0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1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2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2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30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microsoft.com/office/2007/relationships/hdphoto" Target="../media/hdphoto10.wdp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Relationship Id="rId22" Type="http://schemas.openxmlformats.org/officeDocument/2006/relationships/image" Target="../media/image39.png"/></Relationships>
</file>

<file path=xl/drawings/_rels/drawing31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microsoft.com/office/2007/relationships/hdphoto" Target="../media/hdphoto10.wdp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Relationship Id="rId22" Type="http://schemas.openxmlformats.org/officeDocument/2006/relationships/image" Target="../media/image39.png"/></Relationships>
</file>

<file path=xl/drawings/_rels/drawing3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microsoft.com/office/2007/relationships/hdphoto" Target="../media/hdphoto10.wdp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Relationship Id="rId22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</xdr:row>
      <xdr:rowOff>568033</xdr:rowOff>
    </xdr:from>
    <xdr:to>
      <xdr:col>19</xdr:col>
      <xdr:colOff>574981</xdr:colOff>
      <xdr:row>32</xdr:row>
      <xdr:rowOff>78827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A271014-B2D8-45B4-B4B0-3B0A45172369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0" y="1340919"/>
          <a:ext cx="5451781" cy="5650337"/>
        </a:xfrm>
        <a:prstGeom prst="rect">
          <a:avLst/>
        </a:prstGeom>
      </xdr:spPr>
    </xdr:pic>
    <xdr:clientData/>
  </xdr:twoCellAnchor>
  <xdr:twoCellAnchor editAs="absolute">
    <xdr:from>
      <xdr:col>12</xdr:col>
      <xdr:colOff>514350</xdr:colOff>
      <xdr:row>0</xdr:row>
      <xdr:rowOff>95250</xdr:rowOff>
    </xdr:from>
    <xdr:to>
      <xdr:col>17</xdr:col>
      <xdr:colOff>152400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782955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8</xdr:col>
      <xdr:colOff>361950</xdr:colOff>
      <xdr:row>33</xdr:row>
      <xdr:rowOff>0</xdr:rowOff>
    </xdr:from>
    <xdr:to>
      <xdr:col>12</xdr:col>
      <xdr:colOff>0</xdr:colOff>
      <xdr:row>36</xdr:row>
      <xdr:rowOff>57149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27A1621-AD33-48E5-89E5-B6102C9218FB}"/>
            </a:ext>
            <a:ext uri="{147F2762-F138-4A5C-976F-8EAC2B608ADB}">
              <a16:predDERef xmlns:a16="http://schemas.microsoft.com/office/drawing/2014/main" pred="{AD69FCF3-1DA2-47EC-9F09-304C9D0E1885}"/>
            </a:ext>
          </a:extLst>
        </xdr:cNvPr>
        <xdr:cNvSpPr/>
      </xdr:nvSpPr>
      <xdr:spPr>
        <a:xfrm>
          <a:off x="5238750" y="6941127"/>
          <a:ext cx="2076450" cy="597477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13</xdr:col>
      <xdr:colOff>498760</xdr:colOff>
      <xdr:row>33</xdr:row>
      <xdr:rowOff>0</xdr:rowOff>
    </xdr:from>
    <xdr:to>
      <xdr:col>17</xdr:col>
      <xdr:colOff>136810</xdr:colOff>
      <xdr:row>36</xdr:row>
      <xdr:rowOff>57149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363B077-DCDF-4B4E-A3A8-52F50972E801}"/>
            </a:ext>
          </a:extLst>
        </xdr:cNvPr>
        <xdr:cNvSpPr/>
      </xdr:nvSpPr>
      <xdr:spPr>
        <a:xfrm>
          <a:off x="8423560" y="6920753"/>
          <a:ext cx="2076450" cy="595031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LOGISTICA</a:t>
          </a:r>
        </a:p>
      </xdr:txBody>
    </xdr:sp>
    <xdr:clientData/>
  </xdr:twoCellAnchor>
  <xdr:twoCellAnchor>
    <xdr:from>
      <xdr:col>8</xdr:col>
      <xdr:colOff>375805</xdr:colOff>
      <xdr:row>38</xdr:row>
      <xdr:rowOff>151126</xdr:rowOff>
    </xdr:from>
    <xdr:to>
      <xdr:col>12</xdr:col>
      <xdr:colOff>13855</xdr:colOff>
      <xdr:row>42</xdr:row>
      <xdr:rowOff>28982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85E8954-78EF-4B2D-BBED-94A436E7D4D0}"/>
            </a:ext>
          </a:extLst>
        </xdr:cNvPr>
        <xdr:cNvSpPr/>
      </xdr:nvSpPr>
      <xdr:spPr>
        <a:xfrm>
          <a:off x="5252605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13</xdr:col>
      <xdr:colOff>498760</xdr:colOff>
      <xdr:row>38</xdr:row>
      <xdr:rowOff>151126</xdr:rowOff>
    </xdr:from>
    <xdr:to>
      <xdr:col>17</xdr:col>
      <xdr:colOff>136810</xdr:colOff>
      <xdr:row>42</xdr:row>
      <xdr:rowOff>28982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F6759180-4857-4EE9-8789-D8F31EA8B3E6}"/>
            </a:ext>
          </a:extLst>
        </xdr:cNvPr>
        <xdr:cNvSpPr/>
      </xdr:nvSpPr>
      <xdr:spPr>
        <a:xfrm>
          <a:off x="8423560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>
    <xdr:from>
      <xdr:col>19</xdr:col>
      <xdr:colOff>6524</xdr:colOff>
      <xdr:row>33</xdr:row>
      <xdr:rowOff>809</xdr:rowOff>
    </xdr:from>
    <xdr:to>
      <xdr:col>22</xdr:col>
      <xdr:colOff>254174</xdr:colOff>
      <xdr:row>36</xdr:row>
      <xdr:rowOff>57143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9CADF97B-1A34-49F5-99DD-83EA451C57DC}"/>
            </a:ext>
          </a:extLst>
        </xdr:cNvPr>
        <xdr:cNvSpPr/>
      </xdr:nvSpPr>
      <xdr:spPr>
        <a:xfrm>
          <a:off x="11588924" y="6921562"/>
          <a:ext cx="2076450" cy="594216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>
    <xdr:from>
      <xdr:col>19</xdr:col>
      <xdr:colOff>20379</xdr:colOff>
      <xdr:row>38</xdr:row>
      <xdr:rowOff>151126</xdr:rowOff>
    </xdr:from>
    <xdr:to>
      <xdr:col>22</xdr:col>
      <xdr:colOff>268029</xdr:colOff>
      <xdr:row>42</xdr:row>
      <xdr:rowOff>28982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39E58D9A-D3C6-44CA-863A-BE15222A48E2}"/>
            </a:ext>
          </a:extLst>
        </xdr:cNvPr>
        <xdr:cNvSpPr/>
      </xdr:nvSpPr>
      <xdr:spPr>
        <a:xfrm>
          <a:off x="11602779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>
    <xdr:from>
      <xdr:col>13</xdr:col>
      <xdr:colOff>498760</xdr:colOff>
      <xdr:row>44</xdr:row>
      <xdr:rowOff>122960</xdr:rowOff>
    </xdr:from>
    <xdr:to>
      <xdr:col>17</xdr:col>
      <xdr:colOff>136810</xdr:colOff>
      <xdr:row>48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975C4812-9CB2-4690-BF00-90C779BCD6B5}"/>
            </a:ext>
          </a:extLst>
        </xdr:cNvPr>
        <xdr:cNvSpPr/>
      </xdr:nvSpPr>
      <xdr:spPr>
        <a:xfrm>
          <a:off x="8423560" y="9015948"/>
          <a:ext cx="2076450" cy="594217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3126443" y="0"/>
          <a:ext cx="1113353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4439375" y="0"/>
          <a:ext cx="1118315" cy="772886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5766500" y="0"/>
          <a:ext cx="111336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7085020" y="0"/>
          <a:ext cx="1127914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8425707" y="0"/>
          <a:ext cx="1114356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9747903" y="0"/>
          <a:ext cx="1112363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11072054" y="0"/>
          <a:ext cx="111831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6</xdr:col>
      <xdr:colOff>476983</xdr:colOff>
      <xdr:row>32</xdr:row>
      <xdr:rowOff>160318</xdr:rowOff>
    </xdr:from>
    <xdr:to>
      <xdr:col>7</xdr:col>
      <xdr:colOff>724865</xdr:colOff>
      <xdr:row>34</xdr:row>
      <xdr:rowOff>172098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5745669" y="8868889"/>
          <a:ext cx="1325567" cy="75200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1</xdr:row>
      <xdr:rowOff>416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13</xdr:col>
      <xdr:colOff>296827</xdr:colOff>
      <xdr:row>0</xdr:row>
      <xdr:rowOff>0</xdr:rowOff>
    </xdr:from>
    <xdr:to>
      <xdr:col>14</xdr:col>
      <xdr:colOff>272143</xdr:colOff>
      <xdr:row>1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7868ED9-60A4-4805-AD1C-AEE0568515E6}"/>
            </a:ext>
          </a:extLst>
        </xdr:cNvPr>
        <xdr:cNvGrpSpPr/>
      </xdr:nvGrpSpPr>
      <xdr:grpSpPr>
        <a:xfrm>
          <a:off x="12260227" y="0"/>
          <a:ext cx="1118316" cy="772886"/>
          <a:chOff x="11105473" y="0"/>
          <a:chExt cx="1118289" cy="781538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13</xdr:col>
      <xdr:colOff>638940</xdr:colOff>
      <xdr:row>0</xdr:row>
      <xdr:rowOff>70089</xdr:rowOff>
    </xdr:from>
    <xdr:to>
      <xdr:col>13</xdr:col>
      <xdr:colOff>1073654</xdr:colOff>
      <xdr:row>0</xdr:row>
      <xdr:rowOff>502024</xdr:rowOff>
    </xdr:to>
    <xdr:pic>
      <xdr:nvPicPr>
        <xdr:cNvPr id="49" name="Imagem 48" descr="Ícone do banco de dados (símbolo png) preto">
          <a:extLst>
            <a:ext uri="{FF2B5EF4-FFF2-40B4-BE49-F238E27FC236}">
              <a16:creationId xmlns:a16="http://schemas.microsoft.com/office/drawing/2014/main" id="{F2B3580B-7D1F-46B1-832E-F7B561C22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02340" y="7008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3A2B6FD-E27E-4B87-B88D-A22A6FDD425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65762EB-1764-4E03-AD44-2FAB2F19A43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6BDA167-899A-4CF1-8440-2C5DB58F20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0326521-4F6E-4BA1-85CB-674B5A597F0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7BE3C52-3F58-48DD-A473-0D5F9C2FDBB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440F4A4-5BE8-4C41-9804-0BDD138167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4184B27-8E48-4191-940F-12FF40F512C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789DC3-25D5-4D62-B56F-6D08AE4AA5E8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BBFD00E-9DE1-486C-A465-3E21E4E2FC4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387992B-8461-4302-97F7-BDACC0F51F2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5ACD62-AEA7-4201-AC48-A6A41E463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CB0E4C3-6683-4DCD-AD2A-830CD49B011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5E4879B2-6F3B-43FE-8F3A-4917502E5DD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FE648E8-74E6-4DBC-B200-AAA71177B401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F13C80-DC88-4466-954C-47452B5B64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286037</xdr:colOff>
      <xdr:row>0</xdr:row>
      <xdr:rowOff>0</xdr:rowOff>
    </xdr:from>
    <xdr:to>
      <xdr:col>9</xdr:col>
      <xdr:colOff>1402372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B7FABC9-2961-446C-8752-3B28EA32E019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4259DED-D315-428D-A3AC-0519E955F82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A527E65-546D-4EF5-A854-C929C12E4C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77128C7-E1F3-475F-A3F9-933774A2DC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1615147</xdr:colOff>
      <xdr:row>0</xdr:row>
      <xdr:rowOff>0</xdr:rowOff>
    </xdr:from>
    <xdr:to>
      <xdr:col>10</xdr:col>
      <xdr:colOff>279227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49402B4-4E6E-49D6-BDEB-99D70839A501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CBF454B-A9DE-4CD2-B27C-D9C9FE2CCCF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28C5C3-7E7D-4989-99F2-3BF811309EF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E75D66-D966-43E6-8567-470FE9131B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492000</xdr:colOff>
      <xdr:row>0</xdr:row>
      <xdr:rowOff>0</xdr:rowOff>
    </xdr:from>
    <xdr:to>
      <xdr:col>12</xdr:col>
      <xdr:colOff>389135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A456E9B8-27D1-4092-8D73-8D16432CCDE6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AC24B4B-0CF2-42B5-91F2-A305D7D6759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51E9EC5-2193-4E94-9076-E5408DDAD7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FC771F3-7A6D-41EE-B8CB-46699446E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600933</xdr:colOff>
      <xdr:row>0</xdr:row>
      <xdr:rowOff>0</xdr:rowOff>
    </xdr:from>
    <xdr:to>
      <xdr:col>14</xdr:col>
      <xdr:colOff>499045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54D2A7B8-C27E-4987-AC61-1C5627FBC56D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531F6B77-5315-4BD2-A769-71066166F47B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7DDD865-8040-4F68-8340-212DA5A344E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625B4E-3359-4EF5-8E06-8BB19FFC1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101233</xdr:colOff>
      <xdr:row>0</xdr:row>
      <xdr:rowOff>0</xdr:rowOff>
    </xdr:from>
    <xdr:to>
      <xdr:col>16</xdr:col>
      <xdr:colOff>607969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E5DA5921-CDB9-4DD3-A5A0-C78EC70110C9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943F80F-60E9-416B-BD50-64276706CD0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95A431F8-AA94-4742-B24A-790E0ADB4F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457EBFC-28F0-4133-877B-09B39144A7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CDEE1CC-BA6E-419E-8432-E07A0E538A6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1219200</xdr:colOff>
      <xdr:row>1</xdr:row>
      <xdr:rowOff>68383</xdr:rowOff>
    </xdr:from>
    <xdr:to>
      <xdr:col>11</xdr:col>
      <xdr:colOff>54529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F027568-DD04-40A9-A793-B2A59CA89A06}"/>
            </a:ext>
          </a:extLst>
        </xdr:cNvPr>
        <xdr:cNvSpPr/>
      </xdr:nvSpPr>
      <xdr:spPr>
        <a:xfrm>
          <a:off x="6705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LANÇAMENTOS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1</xdr:row>
      <xdr:rowOff>68383</xdr:rowOff>
    </xdr:from>
    <xdr:to>
      <xdr:col>9</xdr:col>
      <xdr:colOff>68384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4D0C3D40-AA12-4B42-B50D-361914FACEFC}"/>
            </a:ext>
          </a:extLst>
        </xdr:cNvPr>
        <xdr:cNvSpPr/>
      </xdr:nvSpPr>
      <xdr:spPr>
        <a:xfrm>
          <a:off x="3657600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BB1482EF-16BC-4D08-B64C-CF90F373DF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0A6CB3A-9FD6-4C9E-B3C8-EB71FAAF8F8C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53784711-5171-4277-9370-F27C82C373F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EAE184CE-C5B1-4BF5-B075-F9A05ADC1D0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E5A3403-6DFB-4537-B484-36B2D29C0DEA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4F5683E-2375-4643-A8DA-9E2DD29C36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92FB913-6160-4BF2-B850-B6181025BB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218F04-9AE9-4DFE-BA9A-6B2C6FA3D80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9EE08F-971F-4C8E-97BA-A28F2E471A1A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3DF7CB-4750-44EA-9044-BD37AFAFC13A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6EEA69E-67E6-48DA-9811-9B4BF385682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0B39D6-8F27-4C76-B536-563C950744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3C4BD4E-BED4-4068-AC16-E9C93CB6B74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6BA611B5-5AD2-4985-84A2-0B518EB3A78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8D2CFD-A846-4EDE-A8D6-1754699873F8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7CBB0D-5BCF-41D3-A18D-8E15EAFCE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3D3EF64-AEA3-4AEF-A782-EF1B50C50B11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00A277-C144-496D-BE4D-347A117BA8F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C131EA8B-356B-4736-9CA1-B8409D2CDDC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DB7E255-E3ED-469B-9A2F-C07952B66F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9570BAC-8104-4AC7-8E27-457CB17B61B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56F1C5C-08F9-4F49-9534-7AFF1A098C8B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57269C3-2D17-4C47-9BF0-35D5713F4EE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840389-A8C8-43E6-BD88-796F6C3DF6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4B01A032-10DB-4AB0-AFB6-5902050E9B53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17C7682D-A1C0-4407-A292-F2C8D6F42BB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8357BAF-7655-4D64-9138-F17C7A39F4A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F79C115-696F-4B45-A7B3-030C417E3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FA390065-5CA6-4EC8-A220-328D9D935F10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947D7FB1-4A31-4FCC-B917-C997999F6A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93EFF550-F65C-40F0-A7A6-08247CC8012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09C5EC-6D7D-4AE8-A42F-DAE7A4062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B7F5B8E1-FE20-4DC4-83DE-19DF2B53AFEF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D11FF48-F77B-4A6A-9903-55225AD9EFB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4E2C18F5-42FC-4C65-AEA5-C501B4864D0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D794BB-2F51-4560-8610-EDCCA2ACD7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A459B399-3DD9-4F55-B159-7F3157A34DAC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738CB0B-4F23-4301-B797-D9F3C20737B4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EC6C1B-0C19-41B3-86A6-DEC2535447F5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54BC87F5-FA86-4205-97B2-0996704921A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498764</xdr:colOff>
      <xdr:row>14</xdr:row>
      <xdr:rowOff>180110</xdr:rowOff>
    </xdr:from>
    <xdr:to>
      <xdr:col>8</xdr:col>
      <xdr:colOff>443346</xdr:colOff>
      <xdr:row>18</xdr:row>
      <xdr:rowOff>83127</xdr:rowOff>
    </xdr:to>
    <xdr:sp macro="[1]!REQ_MP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7646AD71-784F-438A-BC2E-998609A68919}"/>
            </a:ext>
          </a:extLst>
        </xdr:cNvPr>
        <xdr:cNvSpPr/>
      </xdr:nvSpPr>
      <xdr:spPr>
        <a:xfrm>
          <a:off x="5167746" y="3823855"/>
          <a:ext cx="1163782" cy="67887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7CF1EE7-439B-46F1-84D5-69AEC7134BD8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88E0423-35A6-4D6A-AF7C-7F1194AF28E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59A781E-067D-4127-8D4D-8328A3D2FA9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BF28E86-EEE9-4636-B094-B02312815B9E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057B3B-A7D6-4ECB-BAA4-20DBB2B84D1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C7B3F76-EA24-4D74-BA25-88011398EA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168BEB2-3753-4257-A1D0-F6AC6B71F30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DA4010D-6817-46EE-9905-EFCA7F58FA57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B1E7EA80-A1F2-48C9-9E92-2D61613E81E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EC1F57-C8A5-4957-9B1D-41D7F79088B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66E6CA-3769-4E64-9A0D-3AF1EE021E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E8FAA36-C5D1-45B6-A804-C70A5F48B04A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D94B5B0-4E95-43DB-A53A-F69631CBBB6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CFFF71B9-4B1B-4456-B03A-898FF279A067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AB592E-EC26-4EC2-923B-F35483CE5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4531C5E6-2DBE-4B52-A896-C5DF667E3257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AFBAFA-F453-487B-B487-5D581D8B07E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D48FE4AC-7299-4D01-A284-3D5C44FE010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BEFC5A0-2ACB-4985-85D5-261561ADDA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0EAE24C-68F6-4F10-941A-4CDD8F7EAC8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8A43166-95A9-49F8-8B6A-F19180418A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928FBBC-E754-4603-8776-D29782426B7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D3E52E-6262-4E10-8F83-6474164CFF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29E0D8A2-6DB4-4470-95B7-C0647D3F4DA7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A35C911-D18B-4B3E-BA51-E10B0522305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84165EBC-B71E-4667-93D2-330BA971C97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6655DD-CB0B-4717-9FF5-589D59305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751E3EF7-1D8E-461C-B620-F740D5B7783C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47186B6-B775-4032-9C8F-5E235CAB46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E0A9CFC-A25D-4623-BFA1-6C30155533A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811A5C2-890B-41F0-9960-2568C8897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81FB19E6-C991-46A9-9498-5D80442AF7F2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DAF9482A-194C-423A-AE26-369F743E3C6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0CFF4C8-A23C-42F1-AB29-FDB5AC128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D7B1D-E4E8-4C08-A7BD-C94CD46BE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F3C040E7-CEA5-4A5D-A9DB-F3BE056D6EB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30CF6F9-91CE-4F68-AFEE-B26A7D8297CE}"/>
            </a:ext>
          </a:extLst>
        </xdr:cNvPr>
        <xdr:cNvSpPr/>
      </xdr:nvSpPr>
      <xdr:spPr>
        <a:xfrm>
          <a:off x="6700058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F16D02B-C0AD-48E7-AD02-674F1180FDB8}"/>
            </a:ext>
          </a:extLst>
        </xdr:cNvPr>
        <xdr:cNvSpPr/>
      </xdr:nvSpPr>
      <xdr:spPr>
        <a:xfrm>
          <a:off x="3657600" y="845623"/>
          <a:ext cx="189164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E23E5925-89F4-4161-8A2B-B7C589ED3DB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221654</xdr:colOff>
      <xdr:row>0</xdr:row>
      <xdr:rowOff>0</xdr:rowOff>
    </xdr:from>
    <xdr:to>
      <xdr:col>6</xdr:col>
      <xdr:colOff>1242295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4484806" y="0"/>
          <a:ext cx="1022595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187020</xdr:colOff>
      <xdr:row>0</xdr:row>
      <xdr:rowOff>514894</xdr:rowOff>
    </xdr:from>
    <xdr:to>
      <xdr:col>6</xdr:col>
      <xdr:colOff>1303355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1516123</xdr:colOff>
      <xdr:row>0</xdr:row>
      <xdr:rowOff>0</xdr:rowOff>
    </xdr:from>
    <xdr:to>
      <xdr:col>7</xdr:col>
      <xdr:colOff>847201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1059976</xdr:colOff>
      <xdr:row>0</xdr:row>
      <xdr:rowOff>0</xdr:rowOff>
    </xdr:from>
    <xdr:to>
      <xdr:col>9</xdr:col>
      <xdr:colOff>10053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222826</xdr:colOff>
      <xdr:row>0</xdr:row>
      <xdr:rowOff>0</xdr:rowOff>
    </xdr:from>
    <xdr:to>
      <xdr:col>10</xdr:col>
      <xdr:colOff>468304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680102</xdr:colOff>
      <xdr:row>0</xdr:row>
      <xdr:rowOff>0</xdr:rowOff>
    </xdr:from>
    <xdr:to>
      <xdr:col>10</xdr:col>
      <xdr:colOff>1797414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2009202</xdr:colOff>
      <xdr:row>0</xdr:row>
      <xdr:rowOff>0</xdr:rowOff>
    </xdr:from>
    <xdr:to>
      <xdr:col>12</xdr:col>
      <xdr:colOff>360567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6</xdr:col>
      <xdr:colOff>3769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pSpPr/>
      </xdr:nvGrpSpPr>
      <xdr:grpSpPr>
        <a:xfrm>
          <a:off x="3126443" y="0"/>
          <a:ext cx="1133640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B83241A6-C60E-41A3-B2C6-BC3DBC9E07E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609600" y="849088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688870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30480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1230086</xdr:colOff>
      <xdr:row>1</xdr:row>
      <xdr:rowOff>76202</xdr:rowOff>
    </xdr:from>
    <xdr:to>
      <xdr:col>8</xdr:col>
      <xdr:colOff>3070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54864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8</xdr:col>
      <xdr:colOff>544286</xdr:colOff>
      <xdr:row>1</xdr:row>
      <xdr:rowOff>76202</xdr:rowOff>
    </xdr:from>
    <xdr:to>
      <xdr:col>10</xdr:col>
      <xdr:colOff>743298</xdr:colOff>
      <xdr:row>1</xdr:row>
      <xdr:rowOff>506048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79248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10</xdr:col>
      <xdr:colOff>1284514</xdr:colOff>
      <xdr:row>1</xdr:row>
      <xdr:rowOff>76202</xdr:rowOff>
    </xdr:from>
    <xdr:to>
      <xdr:col>12</xdr:col>
      <xdr:colOff>416727</xdr:colOff>
      <xdr:row>1</xdr:row>
      <xdr:rowOff>506048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103632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348343</xdr:colOff>
      <xdr:row>1</xdr:row>
      <xdr:rowOff>76202</xdr:rowOff>
    </xdr:from>
    <xdr:to>
      <xdr:col>16</xdr:col>
      <xdr:colOff>416727</xdr:colOff>
      <xdr:row>1</xdr:row>
      <xdr:rowOff>506048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128016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A72DB56-E511-441B-9C1C-7DAD32B44DD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33B9CD6-7A1F-49E7-9927-F4B7E14BF95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1C842F6-1983-4293-9310-0B294A2191B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3D2912E-C9B0-4E92-A2C7-601A8F409592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796628B-938F-4151-9274-6CB8ECDF1B9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168DAC2-E0A3-4712-ACBB-4733DB5B8F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91C2A54-8EB0-444F-A833-497116C4597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920E267-116A-4874-89B8-DC52727A5456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FAA9A2A-B407-432E-B339-12A190B64C14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6B2C-F9D9-4B72-A3FB-BF542B8B4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8C71CFF-85DD-4DFB-A183-6A15357270B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B095781-174F-4B47-97E4-5E33FF81C89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914568A-DB2A-4A69-8B4F-3C748031C4D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AC10075-F608-4766-A67F-E5E188C81C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F6358B3-D9F1-43FF-8936-E17ABDBF3806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4CC24B-EECF-4145-B6FD-9103DC8FFE1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9083D49-3738-47C7-B249-0C716D5C63EF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463982-595B-4B0A-999F-033F58A185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E5380CE-1B77-47A0-AAFE-010AAF11DD7B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22A94B08-B1FA-49FC-BF9A-F5FD49EF271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BF86B5B-5F32-4DA1-9625-BC21EDDD5DE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0FB874-E8BF-445B-8230-44DF31BD2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10</xdr:col>
      <xdr:colOff>371386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51D8A74-5B47-46FE-982E-72937EAAD3BB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E994F85C-0585-4675-8757-45B998745977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AB8E145-1140-4DB1-A7E3-390EFE9164AC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58FA7E-BC22-4F20-AB7F-A5864F7C06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583174</xdr:colOff>
      <xdr:row>0</xdr:row>
      <xdr:rowOff>0</xdr:rowOff>
    </xdr:from>
    <xdr:to>
      <xdr:col>10</xdr:col>
      <xdr:colOff>1699510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D9BA1F-4AA4-4116-96F5-182E9114F1BE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733F381D-085E-4760-AE61-19AE763C545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4A7B662-52FB-432E-ADF1-9343000A79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26DD269-FAC1-43A9-BDA2-A0CDF8457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20B2D5-6A24-4AC1-9380-C73E9B8108B4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B6334DDE-345E-4F68-A967-3324C6163AB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10FE285-BB84-4799-A092-9841EFEF746C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463AECF-3E0F-4F9F-857A-C8DC9CA18C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AB0F0E25-F00F-4659-97D6-24C37D40348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85A7009-5D80-4646-A427-5DE862DF0E97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37B6D95-0121-4695-973F-F50780D3B9D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9829D8F-06AE-4AE8-BC1C-12377F2B4ACD}"/>
            </a:ext>
          </a:extLst>
        </xdr:cNvPr>
        <xdr:cNvSpPr/>
      </xdr:nvSpPr>
      <xdr:spPr>
        <a:xfrm>
          <a:off x="5482046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3949BFC-5DFC-4B47-9EA3-E88E71DF2B14}"/>
            </a:ext>
          </a:extLst>
        </xdr:cNvPr>
        <xdr:cNvSpPr/>
      </xdr:nvSpPr>
      <xdr:spPr>
        <a:xfrm>
          <a:off x="791282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1755670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58A41306-52F2-4515-B55A-E740E380CA50}"/>
            </a:ext>
          </a:extLst>
        </xdr:cNvPr>
        <xdr:cNvSpPr/>
      </xdr:nvSpPr>
      <xdr:spPr>
        <a:xfrm>
          <a:off x="10352314" y="853442"/>
          <a:ext cx="18982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11</xdr:col>
      <xdr:colOff>141514</xdr:colOff>
      <xdr:row>1</xdr:row>
      <xdr:rowOff>76202</xdr:rowOff>
    </xdr:from>
    <xdr:to>
      <xdr:col>12</xdr:col>
      <xdr:colOff>449384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E6536FE-01F0-46AE-8C18-7784ED8D020C}"/>
            </a:ext>
          </a:extLst>
        </xdr:cNvPr>
        <xdr:cNvSpPr/>
      </xdr:nvSpPr>
      <xdr:spPr>
        <a:xfrm>
          <a:off x="12791803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B5C5D18-BD58-42E0-A5D8-9493FF5CCB6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964455D-AA25-4772-8034-286441CE8B5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83CA67B-881E-40F5-B492-5C61117232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CC9FFE4-B049-445D-99C5-520EA60E6BAD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8B288-8390-475F-B8B9-CB75AB6C2A8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B49E451-C4E9-461B-863F-D0D2CD594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4671786-57C5-444A-BABC-C58A307EB85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A44D77F-A8EC-4113-ABBE-5E066410B51F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A3159094-782C-438C-A0A8-8C3444612FFB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4F6D6C4-485C-4763-BBA7-60EF3F23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1EBE38-D87D-437E-99BD-48918A9E4FE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613191B-FB4A-45B4-BB3D-134D78A4EED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9CAE984D-9873-476E-B63F-67AC7259C75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1C5C8-8005-44E2-9404-A31195003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CA7E50-CB37-47B5-BEAE-13AF253DBA94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E03BCB0-301D-44D6-A0F7-9FEDBE16A86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E4D46DB-874A-4FAD-BE4A-E4D7D106738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7565ACC-28F0-4283-BDE7-6603ED89A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D0F78521-FBDF-451E-AC44-8410414100C5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587C5A1-928A-4FC1-8E68-86BA9D7B5D02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34C1DFB-0D77-417E-AE04-336875F5FB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30726E3-FC13-4FC4-8262-DB84688999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1638045</xdr:colOff>
      <xdr:row>0</xdr:row>
      <xdr:rowOff>0</xdr:rowOff>
    </xdr:from>
    <xdr:to>
      <xdr:col>9</xdr:col>
      <xdr:colOff>632643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EEA08F07-46C0-46B5-9F3E-030D8FEB4C9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B7866E8-9BA8-42D4-A727-357C6EEFC7B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EF3EB322-9F87-41E4-8672-54B7814FD2E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87D324B-81DF-4552-897C-82642E121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844431</xdr:colOff>
      <xdr:row>0</xdr:row>
      <xdr:rowOff>0</xdr:rowOff>
    </xdr:from>
    <xdr:to>
      <xdr:col>10</xdr:col>
      <xdr:colOff>1089910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22782A-E8F5-4FE9-8F52-58AE9DDCD086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1E26AE6-BAA6-4E62-AD5F-685A1E5AB10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A43F63F-F96A-417D-8BE4-B865019C721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A089760-818A-42DF-BB1C-B8AA8B080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49928FB4-4E76-4A3A-B0AC-550743F16581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BB662EA-60E8-4772-9073-7089CDE5BA3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423EDE7-9F08-40C1-83EA-B97C1F39A3A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D5554E3-F985-4093-A677-2908590450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4C75F58-1799-42B5-9966-F47F10F7571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3C1ED435-5A3D-4889-8162-E945FA8990B5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7BEA4-10FA-470D-9E7A-57CCB0447F1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BE779A9-DC15-4EF3-BBD3-E3AEDB45DE50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8</xdr:col>
      <xdr:colOff>1701241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D2630D9-B8CF-4247-8354-FF14009632DF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119743</xdr:colOff>
      <xdr:row>1</xdr:row>
      <xdr:rowOff>76202</xdr:rowOff>
    </xdr:from>
    <xdr:to>
      <xdr:col>10</xdr:col>
      <xdr:colOff>1146070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D1739B3-6867-4293-BD88-2A7D3747268A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1687286</xdr:colOff>
      <xdr:row>1</xdr:row>
      <xdr:rowOff>76202</xdr:rowOff>
    </xdr:from>
    <xdr:to>
      <xdr:col>11</xdr:col>
      <xdr:colOff>1439984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5199901-A184-4905-8BB7-4691DA946095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3CF0251-D81E-46C3-A018-92C78D4F5C99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DB62038-107B-41B2-B2E1-5FC57F79AE72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C66AB5C-4973-4178-9DB6-5A5CE13767B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B6759CA-CB0E-4028-938E-C8A693E264D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379E165-95D7-4C06-B43D-B0513A140F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305BCF3-C132-4DA4-87CB-996DC5A4C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89DCCC4-85E6-4A46-888C-78C7AF755D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C2A8193-C569-49AB-8F8F-06DFC9ECA4C9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9E2CC007-4705-4767-95D9-B29BC8A39232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286CFF-60D1-4C4B-ACA5-593C64E9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139A2B7-A2EF-4F3D-89DC-FF20F90CCA25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870BC1-274C-4FF0-BECF-AC1651685D0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C54255BA-3B49-4AF8-85A2-8EB287B9333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30114BA-E638-4EA7-85FB-47EF74DF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4F15E7F-A997-4C59-ADED-86DF61B2672E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568B727-0FC1-4E74-9F34-36BF6844A5D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2CE42E6-11B3-4AD7-9BCF-F828612FBBC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C42B6D-5579-49CD-AFB0-ADCA60AFC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4EF4257-57CF-41A9-BFEC-D4400CAA7D94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167B5A-744D-4EEE-A857-2669F36F692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FEE2CC4-C9F5-425C-BDF8-C5DE75BEA83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9A7C8F3-91BC-4CD9-AA34-F04882FDC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4C570BE7-2CFB-447A-AEED-6EAB41F78653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1F7D3B1-E270-4689-AD81-270A7E38D3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79E13C9-CAFD-4163-9FC5-6CC80B45347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BC7AF1-4A50-42FB-9B18-7D39FBE85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81401AC-C4B8-4D4C-A123-268F6D74628A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154FFD1-8261-49B1-968F-BFC4F8EBCBD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B742D2C-E623-40FA-B4F6-56D63CF7BF2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734E37C-937D-45C4-AF02-4B73833095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CBC7BB66-846A-410C-B196-6EF59F9B1765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368A6300-EEEA-43B6-A75D-F21810AD492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1C06814D-C2F2-4103-A47E-25F19877894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54B4940-CE44-4D9D-88C3-BF55CB1E8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8AAB0F4-D96C-47B8-90EB-B3082BAE017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4393C56-B853-448A-ABF1-8668AF690AB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C9E61CB-4865-4314-842B-8AD9C3C270B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471FFC-B464-4F91-8257-5C52AC47EB1E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675AAB13-C920-42CB-8445-D36001CCB11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84F1F3B-B798-4FDC-8377-4CD5A1B7675B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8793E03-7A28-45AD-A4DD-3259CD8A3D93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8F2ED4A-7384-4B2D-A58C-4ECBBE155C74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71E0CC8-F667-43F8-80DF-4EE446952BF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FBF00D4-3DD7-4815-A532-4852D266B6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71820D34-55DF-4A51-9D15-E247C10057E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324C30B-8671-4D60-952B-2F6849677F5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55FC359-76B3-4121-A185-7F9D89132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23DC4F8-3C2D-4AA8-82F9-C21479168C3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642076A-3A01-40E8-B992-DD7EFC59C0A2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5782DF1-2716-4CDB-BBB1-63B06470D92F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70DAD25-C96D-47FD-8C7C-87A275E94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6AED5FC-5DD4-4693-8A48-FE74DEB395EC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112A150-0E41-4056-AA17-50F68E7C913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73A446C-7E11-4932-BE1F-6C1C5762453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EC8B98-F24C-4B76-8AFF-D8E150E02D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996BCF38-E8F0-48FC-BF1E-4347ED003232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A315594-2521-4CD8-9C93-BC265189AB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D2AFFC6-51EE-4A18-868E-565E1F1F34F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528C72-960E-485E-9C69-40CF58CB2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DC453E3-5B08-454F-94EB-E8AE53D9AE37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3D953ED-756F-412C-A20B-62CDF56E276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1D1D82-C46F-4997-9FA8-8628A38B9C2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65C01-C6C5-4D29-968F-CFC44B3147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83F4037-82CA-45DB-B173-083B8F3E71A1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9CE85F7-B7A3-4EA1-9477-7B3C853CC18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F8EEE86-2AEB-40E0-892D-710860B6F01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BE2C13-F06C-4CC4-A9B4-410ACA96F7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71E926F6-898E-436C-B61C-46D918F5BC3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6081FD6-D0D4-431D-9CFA-FD0AE537291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B8DAFDD-F15E-4FD9-8095-91315713BF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1E417D3-2747-4727-993F-8BCC87AE3B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20F9A91C-EEC2-4E05-8EDA-7F25D3FE7A10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805FE05-20E8-4263-8A84-A5F4FAB2AE4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EFA6F04-90E9-4830-B5E4-55E78499EE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8B499D-1B57-4F80-9AD9-D01FA5766D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47F4956E-2630-48F3-9C65-91A3E2DC835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596AF550-3656-423F-B57C-363C9E25BDBC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8D48CE5-2802-4B3A-8681-2224F4A1BEE6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DBF3C03-C8B6-4EE1-9FFC-091A7B577A6B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F8D0CDA-6807-4D7F-98A3-35C3EEBE8FE1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647986C-B8AB-4A5A-A346-EA0A8052133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87EFFB3-A12B-451A-94E0-3D53A610A499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6D5F4C5-30E5-4F07-82F0-0B4D45BD886A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73F575A-9561-4B03-A6F5-5179E05426EF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A49F81-1C6E-45D5-BBE7-510F4EBCAB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7D9365D-3511-4C7B-B5E7-068F62EF04CD}"/>
            </a:ext>
          </a:extLst>
        </xdr:cNvPr>
        <xdr:cNvGrpSpPr/>
      </xdr:nvGrpSpPr>
      <xdr:grpSpPr>
        <a:xfrm>
          <a:off x="1990723" y="0"/>
          <a:ext cx="1024587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AB6DB8B-793D-4186-9EDA-03C69D02C23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0538F55-9338-413A-BEA3-486D92F5F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3F83120-FAA5-48F2-B72C-D255F9F0670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2A5292C-4E95-468F-8A89-DF2571E62418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BE33B23-736B-4FC5-A582-71B0BDAF8F26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231E127-80A0-4D7D-A4E5-D6C1702D8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C3DEAE9-20EB-4BDD-A3A3-1DEA9DBD63B4}"/>
            </a:ext>
          </a:extLst>
        </xdr:cNvPr>
        <xdr:cNvGrpSpPr/>
      </xdr:nvGrpSpPr>
      <xdr:grpSpPr>
        <a:xfrm>
          <a:off x="5769468" y="0"/>
          <a:ext cx="1114356" cy="775855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921E5-CCC8-4D8B-B971-B0937E88D63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FB49CAE-A640-44F9-AB60-3BA22D78EB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738C99-B9B7-43C0-B932-D8E43BD960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7364881-6E20-4DB5-8023-5DAD90D8DB3E}"/>
            </a:ext>
          </a:extLst>
        </xdr:cNvPr>
        <xdr:cNvGrpSpPr/>
      </xdr:nvGrpSpPr>
      <xdr:grpSpPr>
        <a:xfrm>
          <a:off x="7096599" y="0"/>
          <a:ext cx="1119304" cy="775855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5EDEF2-E1C0-45DD-B683-741B9C3AC9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EFFE23B-4B5D-4820-AE8B-A613F20BDBB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8FCF16-45A5-43B9-89B5-4D609FC003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83F2E4D-1634-4965-A2F9-FC2DC576D2AB}"/>
            </a:ext>
          </a:extLst>
        </xdr:cNvPr>
        <xdr:cNvGrpSpPr/>
      </xdr:nvGrpSpPr>
      <xdr:grpSpPr>
        <a:xfrm>
          <a:off x="8428676" y="0"/>
          <a:ext cx="1116335" cy="775855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890E1DAD-0425-4383-BA5D-1B898ECB1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9DEFFCD-D256-4E61-9938-4CC626A240E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FBD080-AF67-4EB9-B396-467DD4FBA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EE8ABB8-E07F-43BA-92AB-7524FB8E2159}"/>
            </a:ext>
          </a:extLst>
        </xdr:cNvPr>
        <xdr:cNvGrpSpPr/>
      </xdr:nvGrpSpPr>
      <xdr:grpSpPr>
        <a:xfrm>
          <a:off x="9753840" y="0"/>
          <a:ext cx="1117312" cy="775855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FB1FE70-83A3-4AA8-9E21-9723CA9BEE7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DDB2EEB-8DBB-4F90-A7E3-1705D7EC76C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C8FCFAE-46F4-4C69-9058-EBB6B091E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6F3B911-7F5E-4D18-8BA7-4A11035CC2CA}"/>
            </a:ext>
          </a:extLst>
        </xdr:cNvPr>
        <xdr:cNvGrpSpPr/>
      </xdr:nvGrpSpPr>
      <xdr:grpSpPr>
        <a:xfrm>
          <a:off x="11082940" y="0"/>
          <a:ext cx="1111388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6486C4BB-8DBD-42C5-8610-77AED9C4689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EA7E91B7-2997-45A8-BACF-174AE9204C7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D8F0AFD-2F96-439A-B9E3-023F143444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913052D1-7D32-49BB-95B2-620A97A8DC93}"/>
            </a:ext>
          </a:extLst>
        </xdr:cNvPr>
        <xdr:cNvGrpSpPr/>
      </xdr:nvGrpSpPr>
      <xdr:grpSpPr>
        <a:xfrm>
          <a:off x="3129412" y="0"/>
          <a:ext cx="1117312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A4BF58F-EBB7-4256-84DF-2599B67E42E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34C60B4-7C80-45EE-89FD-BC293264BD09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84556C5-1D1A-4314-9F05-418D85AA67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5645359-6711-43E6-90BA-A5F54F4FF06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39A10A0-9862-4B5D-B732-41CAC73D45E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C22AD2-B550-40CB-9F73-78A08A4F30C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C250C30E-528F-45FF-8C4E-0CB2F0E246E5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1C33A1E-3B91-4CB7-A073-D00A328B954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764E91C-5553-4247-8A24-7F6C81907A6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FDF3870D-464B-4A1C-A0AB-3F079A188B4A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ESTOQUE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556222E-8B11-46D4-9173-BAE9FEF4F200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813737D-9855-463A-A421-0EEA773D51A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774ACA4-619B-489A-B921-FAEFF87043B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2B59ECB-E43A-4429-9ED3-67FDBD993451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5FB711-345B-45F7-A696-96C13EFE5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24156A-93F2-41AE-A1DF-302611A5E0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03E125B-2409-48B7-A085-2FFAE73F5F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0F1ED64-A145-4C44-8170-7FBEC9E18A42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07C3E6B-1385-4670-89AA-C5EBDD0DC29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0E019D1-7A8A-46DD-88CA-57ABC1E0010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6D8FC-85DD-4108-B4A6-872E48F1BE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40E0E215-EBEA-411B-A406-EE1202E1C3CA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8E6576D-CA96-43C1-B040-163E41B9E00A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2BBA1179-3F95-480F-A266-BEF3FC857049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E8AF4C7-FBDD-4DAD-9B38-2CBEC261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ADE1B8-9540-45FC-A265-7483C08D7BFE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9271A29-83B2-445F-B7D2-32D93B53D23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070FA2C-2EA8-4DFB-9AEE-6171923C432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12F50F-303D-4099-A2A7-931BE24A0E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E7D69CA-E93C-437B-8B6C-721685CBA8C7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5F06FDF4-AD49-489F-8752-7274FE9FF50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DAA2EDC-1D61-4528-ACDB-C8D83583E43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60F27F1-12F0-4198-ACA6-F0B41CA33E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8685C6B-91E4-4AAD-A029-589D7AF06ECB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5609FCDB-F68A-4766-8B7F-2097CE416D2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01DDDD6-8F32-4EB4-91D4-C299497F785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B79634-1D3B-4580-AC38-0D9622F59F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0EC0AAF-2E8C-49C8-ABD5-8B5E273DF927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263FEC1-DE9C-4385-8545-71D79B22E16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7229D8C-790C-4C7A-8276-B7E5210C7C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5AFA05-7980-498F-975D-0DF5059A08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FF58BB4-39C9-4960-AF10-2DA3A4050BEF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B648AF9-952F-4ABF-ABD2-02E313DE284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D6247218-0B25-44DA-95AE-2900D6B0988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D1C8B4-6091-4610-AF0E-F5C9C83531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AAEC107-CA43-4F28-B823-3CCB6AC694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D0BB3D4-BD80-4464-91D6-016818FF1739}"/>
            </a:ext>
            <a:ext uri="{147F2762-F138-4A5C-976F-8EAC2B608ADB}">
              <a16:predDERef xmlns:a16="http://schemas.microsoft.com/office/drawing/2014/main" pred="{CAAEC107-CA43-4F28-B823-3CCB6AC6942A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867A9B3-F445-416A-9B3C-E12512BE9ED3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FEE27294-4771-4BDE-8047-454433BFA703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SAÍDA</a:t>
          </a:r>
        </a:p>
      </xdr:txBody>
    </xdr:sp>
    <xdr:clientData/>
  </xdr:twoCellAnchor>
  <xdr:twoCellAnchor>
    <xdr:from>
      <xdr:col>12</xdr:col>
      <xdr:colOff>904875</xdr:colOff>
      <xdr:row>14</xdr:row>
      <xdr:rowOff>123825</xdr:rowOff>
    </xdr:from>
    <xdr:to>
      <xdr:col>14</xdr:col>
      <xdr:colOff>85957</xdr:colOff>
      <xdr:row>18</xdr:row>
      <xdr:rowOff>135605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7734CD6C-BC0E-43C8-BEEE-AA281C856964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9667875" y="36576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C7AB170-5817-448C-9EE3-93532C6FC3A2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CD4F254-482A-72A6-EA79-F2ACE64FE7A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540CFCE-87FC-D827-4E57-F9610B5313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E16C86F-B5FE-43F3-AECD-DE0C16D5C52D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F35019-793F-B371-6DD7-018713523B8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2F321FE-A820-7195-6AAE-D8FE9B6350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87E825C-C52F-15A1-2904-D66AFC888E4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9" name="Agrupar 35">
          <a:extLst>
            <a:ext uri="{FF2B5EF4-FFF2-40B4-BE49-F238E27FC236}">
              <a16:creationId xmlns:a16="http://schemas.microsoft.com/office/drawing/2014/main" id="{92CFD80D-9AE5-44B4-9385-0BA36EE0E97E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10" name="Retângulo 8">
            <a:extLst>
              <a:ext uri="{FF2B5EF4-FFF2-40B4-BE49-F238E27FC236}">
                <a16:creationId xmlns:a16="http://schemas.microsoft.com/office/drawing/2014/main" id="{3AE8D21B-2877-849F-33B1-B967FC7D67D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9">
            <a:extLst>
              <a:ext uri="{FF2B5EF4-FFF2-40B4-BE49-F238E27FC236}">
                <a16:creationId xmlns:a16="http://schemas.microsoft.com/office/drawing/2014/main" id="{65EF310B-D552-9E9A-D625-1B53E052D224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212BE6-F8F1-B5B1-F1C4-65CF872F60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13" name="Agrupar 36">
          <a:extLst>
            <a:ext uri="{FF2B5EF4-FFF2-40B4-BE49-F238E27FC236}">
              <a16:creationId xmlns:a16="http://schemas.microsoft.com/office/drawing/2014/main" id="{1D581AFC-57B7-406A-BAE6-61BF093BCE44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4" name="Retângulo 12">
            <a:extLst>
              <a:ext uri="{FF2B5EF4-FFF2-40B4-BE49-F238E27FC236}">
                <a16:creationId xmlns:a16="http://schemas.microsoft.com/office/drawing/2014/main" id="{B6F6AE9B-F426-D06C-E05D-AAE61E0E2C62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3">
            <a:extLst>
              <a:ext uri="{FF2B5EF4-FFF2-40B4-BE49-F238E27FC236}">
                <a16:creationId xmlns:a16="http://schemas.microsoft.com/office/drawing/2014/main" id="{D15E3D1D-1DD9-EFDD-8835-1F8CF63A7CC7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F033AB-8C32-5230-A2AA-04D7688249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7" name="Agrupar 15">
          <a:extLst>
            <a:ext uri="{FF2B5EF4-FFF2-40B4-BE49-F238E27FC236}">
              <a16:creationId xmlns:a16="http://schemas.microsoft.com/office/drawing/2014/main" id="{BF4F0AB3-DE75-4230-8BA1-23994FEDEE53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8" name="Retângulo 16">
            <a:extLst>
              <a:ext uri="{FF2B5EF4-FFF2-40B4-BE49-F238E27FC236}">
                <a16:creationId xmlns:a16="http://schemas.microsoft.com/office/drawing/2014/main" id="{A4FDCEDA-8BF6-165E-A8AC-9BB6D04C328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7">
            <a:extLst>
              <a:ext uri="{FF2B5EF4-FFF2-40B4-BE49-F238E27FC236}">
                <a16:creationId xmlns:a16="http://schemas.microsoft.com/office/drawing/2014/main" id="{EAA8F7A7-A8FD-F177-DE99-67791EC0492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49E1808-2B66-7ACF-5BF5-C38C85F5F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1" name="Agrupar 19">
          <a:extLst>
            <a:ext uri="{FF2B5EF4-FFF2-40B4-BE49-F238E27FC236}">
              <a16:creationId xmlns:a16="http://schemas.microsoft.com/office/drawing/2014/main" id="{643D5C28-AB00-4786-9D71-2FC20C4B2F10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2" name="Retângulo 20">
            <a:extLst>
              <a:ext uri="{FF2B5EF4-FFF2-40B4-BE49-F238E27FC236}">
                <a16:creationId xmlns:a16="http://schemas.microsoft.com/office/drawing/2014/main" id="{EECE9682-7C9B-D392-6688-15CE868070DA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1">
            <a:extLst>
              <a:ext uri="{FF2B5EF4-FFF2-40B4-BE49-F238E27FC236}">
                <a16:creationId xmlns:a16="http://schemas.microsoft.com/office/drawing/2014/main" id="{29AFCC88-F5F1-0183-7714-8EF091F9C1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8CD906-4411-73D0-2687-A0A2A844A2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5" name="Agrupar 23">
          <a:extLst>
            <a:ext uri="{FF2B5EF4-FFF2-40B4-BE49-F238E27FC236}">
              <a16:creationId xmlns:a16="http://schemas.microsoft.com/office/drawing/2014/main" id="{05CD1838-7897-4129-B81A-FFFF19492538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6" name="Retângulo 24">
            <a:extLst>
              <a:ext uri="{FF2B5EF4-FFF2-40B4-BE49-F238E27FC236}">
                <a16:creationId xmlns:a16="http://schemas.microsoft.com/office/drawing/2014/main" id="{B8A64481-F149-7C83-9A6D-8F47BFA3A0F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5">
            <a:extLst>
              <a:ext uri="{FF2B5EF4-FFF2-40B4-BE49-F238E27FC236}">
                <a16:creationId xmlns:a16="http://schemas.microsoft.com/office/drawing/2014/main" id="{85583173-D821-CB61-7A3A-EAE40B63F02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BC2092-FFC9-642A-2A7E-AED09E218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9" name="Agrupar 27">
          <a:extLst>
            <a:ext uri="{FF2B5EF4-FFF2-40B4-BE49-F238E27FC236}">
              <a16:creationId xmlns:a16="http://schemas.microsoft.com/office/drawing/2014/main" id="{0BF3BBB9-0153-4EEB-8B16-C3A9705EEC50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30" name="Retângulo 28">
            <a:extLst>
              <a:ext uri="{FF2B5EF4-FFF2-40B4-BE49-F238E27FC236}">
                <a16:creationId xmlns:a16="http://schemas.microsoft.com/office/drawing/2014/main" id="{3793C91B-3E77-17F8-3E28-5C59E7DAD2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29">
            <a:extLst>
              <a:ext uri="{FF2B5EF4-FFF2-40B4-BE49-F238E27FC236}">
                <a16:creationId xmlns:a16="http://schemas.microsoft.com/office/drawing/2014/main" id="{9CAB2FE2-079A-4FE9-A90F-71F4D90907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2A58E25-C622-059C-E4FA-3DB7CC7CD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1">
          <a:extLst>
            <a:ext uri="{FF2B5EF4-FFF2-40B4-BE49-F238E27FC236}">
              <a16:creationId xmlns:a16="http://schemas.microsoft.com/office/drawing/2014/main" id="{81D527A6-E9CE-486E-B277-81B3D626440A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4" name="Retângulo 32">
            <a:extLst>
              <a:ext uri="{FF2B5EF4-FFF2-40B4-BE49-F238E27FC236}">
                <a16:creationId xmlns:a16="http://schemas.microsoft.com/office/drawing/2014/main" id="{3B8AA700-F4D6-4D3B-AE73-A527E47C1BC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3">
            <a:extLst>
              <a:ext uri="{FF2B5EF4-FFF2-40B4-BE49-F238E27FC236}">
                <a16:creationId xmlns:a16="http://schemas.microsoft.com/office/drawing/2014/main" id="{362FC30D-5B83-5F8E-D188-F1D4A1E88B4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E31607B-8175-0523-F23B-43D9D7B0A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7">
          <a:extLst>
            <a:ext uri="{FF2B5EF4-FFF2-40B4-BE49-F238E27FC236}">
              <a16:creationId xmlns:a16="http://schemas.microsoft.com/office/drawing/2014/main" id="{A5441EBB-FD56-485B-BA30-EAD2206BDC4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8">
          <a:extLst>
            <a:ext uri="{FF2B5EF4-FFF2-40B4-BE49-F238E27FC236}">
              <a16:creationId xmlns:a16="http://schemas.microsoft.com/office/drawing/2014/main" id="{E041DFD8-1927-448A-840B-B1D31338DD2A}"/>
            </a:ext>
            <a:ext uri="{147F2762-F138-4A5C-976F-8EAC2B608ADB}">
              <a16:predDERef xmlns:a16="http://schemas.microsoft.com/office/drawing/2014/main" pred="{A5441EBB-FD56-485B-BA30-EAD2206BDC44}"/>
            </a:ext>
          </a:extLst>
        </xdr:cNvPr>
        <xdr:cNvSpPr/>
      </xdr:nvSpPr>
      <xdr:spPr>
        <a:xfrm>
          <a:off x="609600" y="84943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39" name="Retângulo 39">
          <a:extLst>
            <a:ext uri="{FF2B5EF4-FFF2-40B4-BE49-F238E27FC236}">
              <a16:creationId xmlns:a16="http://schemas.microsoft.com/office/drawing/2014/main" id="{449A860F-F2EA-42A8-8480-96DE154B1C19}"/>
            </a:ext>
            <a:ext uri="{147F2762-F138-4A5C-976F-8EAC2B608ADB}">
              <a16:predDERef xmlns:a16="http://schemas.microsoft.com/office/drawing/2014/main" pred="{E041DFD8-1927-448A-840B-B1D31338DD2A}"/>
            </a:ext>
          </a:extLst>
        </xdr:cNvPr>
        <xdr:cNvSpPr/>
      </xdr:nvSpPr>
      <xdr:spPr>
        <a:xfrm>
          <a:off x="3063630" y="849433"/>
          <a:ext cx="1908908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6F583A74-CD90-4F57-B5FF-CDC6653D496D}"/>
            </a:ext>
            <a:ext uri="{147F2762-F138-4A5C-976F-8EAC2B608ADB}">
              <a16:predDERef xmlns:a16="http://schemas.microsoft.com/office/drawing/2014/main" pred="{449A860F-F2EA-42A8-8480-96DE154B1C19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B706CF7-E07D-4D6B-AE23-7F3F1A56236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DEC0E480-110C-47C5-8706-7948B8E8555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2ED9B4B-DEC9-44EE-ACAB-DD45BC2BB8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6BE2407-84E5-4F03-A913-212D100B135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C5C92AB-2CAE-4B8E-B5C1-058083EB4E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A330BB-6C7D-4F2C-B180-812B6E3B6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BA0D190-4F95-457E-93A0-92216390E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701E9E4-354A-4052-9DF6-3B5C6A5FE415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9E7A5D1-9DC6-4028-8234-E28792259A9A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B9D8F49-9EF7-401A-BE0A-D718F00C515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58A3F4F-E7D1-4A80-80DC-82B3E25F9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AE8001F-BB75-4EC0-8BF6-EE230DCD25C6}"/>
            </a:ext>
          </a:extLst>
        </xdr:cNvPr>
        <xdr:cNvSpPr/>
      </xdr:nvSpPr>
      <xdr:spPr>
        <a:xfrm>
          <a:off x="5771599" y="0"/>
          <a:ext cx="1013661" cy="7815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F36A243-C219-4060-A72A-E97CDFFECF3B}"/>
            </a:ext>
          </a:extLst>
        </xdr:cNvPr>
        <xdr:cNvSpPr txBox="1"/>
      </xdr:nvSpPr>
      <xdr:spPr>
        <a:xfrm rot="10800000" flipH="1" flipV="1">
          <a:off x="5737268" y="514894"/>
          <a:ext cx="110851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B6037A-9945-4F9D-9C17-388102E9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7286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7</xdr:col>
      <xdr:colOff>341412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1894E27F-A467-422F-867D-32FD872015F4}"/>
            </a:ext>
          </a:extLst>
        </xdr:cNvPr>
        <xdr:cNvSpPr/>
      </xdr:nvSpPr>
      <xdr:spPr>
        <a:xfrm>
          <a:off x="7092893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7</xdr:col>
      <xdr:colOff>401939</xdr:colOff>
      <xdr:row>0</xdr:row>
      <xdr:rowOff>769325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FE6AE8CE-A5A4-4B00-86E1-EC3201B6E116}"/>
            </a:ext>
          </a:extLst>
        </xdr:cNvPr>
        <xdr:cNvSpPr txBox="1"/>
      </xdr:nvSpPr>
      <xdr:spPr>
        <a:xfrm rot="10800000" flipH="1" flipV="1">
          <a:off x="7058562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7</xdr:col>
      <xdr:colOff>35413</xdr:colOff>
      <xdr:row>0</xdr:row>
      <xdr:rowOff>494501</xdr:rowOff>
    </xdr:to>
    <xdr:pic>
      <xdr:nvPicPr>
        <xdr:cNvPr id="2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DBB613-E803-4591-B00E-F40BDDCC0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94982" y="91651"/>
          <a:ext cx="409482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614712</xdr:colOff>
      <xdr:row>0</xdr:row>
      <xdr:rowOff>0</xdr:rowOff>
    </xdr:from>
    <xdr:to>
      <xdr:col>7</xdr:col>
      <xdr:colOff>1731047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E9F5E048-C346-4136-B384-6EC260CA43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B54043AD-F460-4FE2-A5EB-4C0A18E8198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81CBB4E-FEC1-468A-8278-8718C84D23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ECF74-0FC1-46BF-B1F9-6AB134024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201131</xdr:colOff>
      <xdr:row>0</xdr:row>
      <xdr:rowOff>0</xdr:rowOff>
    </xdr:from>
    <xdr:to>
      <xdr:col>10</xdr:col>
      <xdr:colOff>99243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DA6CDA8-C479-4264-AC2F-47AFD71192AC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FCD47DE-E0AD-4B64-9C87-4798D6A07EA4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40ED265-DE71-41CC-8483-A0E4D47D3F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292ED4-A147-4617-9AA4-08D5069E9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311031</xdr:colOff>
      <xdr:row>0</xdr:row>
      <xdr:rowOff>0</xdr:rowOff>
    </xdr:from>
    <xdr:to>
      <xdr:col>12</xdr:col>
      <xdr:colOff>208167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82542D54-CB8C-4F1B-9D0C-D276B646203D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78C7D574-BBE1-4A1F-80C6-18BA3C5CFEA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F31430F-096A-4E2E-AEC3-41669296B5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9E92F91-FC98-46B9-8133-AB69663979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5AB84C63-82BE-4296-A4ED-4884AF18EEB4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E6999755-2989-40E7-9473-CF0302BCF137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383BFC0-036E-4D56-89BE-CAB57DB2511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6B79520-8676-4B78-83B5-CD25C0FB5F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209F1C1-78CE-4958-A3C6-EEF7F7E222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1DCC9D-A8A5-4381-A3B4-A590346AB210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65D332F-7304-439C-82F7-7A0DC74AB1BB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F9565171-AC41-433D-90D0-777CF0157561}"/>
            </a:ext>
          </a:extLst>
        </xdr:cNvPr>
        <xdr:cNvSpPr/>
      </xdr:nvSpPr>
      <xdr:spPr>
        <a:xfrm>
          <a:off x="54824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7</xdr:col>
      <xdr:colOff>155749</xdr:colOff>
      <xdr:row>1</xdr:row>
      <xdr:rowOff>68383</xdr:rowOff>
    </xdr:from>
    <xdr:to>
      <xdr:col>8</xdr:col>
      <xdr:colOff>322942</xdr:colOff>
      <xdr:row>1</xdr:row>
      <xdr:rowOff>498229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E325A04-26D1-4921-BE10-906461F97068}"/>
            </a:ext>
          </a:extLst>
        </xdr:cNvPr>
        <xdr:cNvSpPr/>
      </xdr:nvSpPr>
      <xdr:spPr>
        <a:xfrm>
          <a:off x="79208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2743200</xdr:colOff>
      <xdr:row>14</xdr:row>
      <xdr:rowOff>87086</xdr:rowOff>
    </xdr:from>
    <xdr:to>
      <xdr:col>5</xdr:col>
      <xdr:colOff>4073512</xdr:colOff>
      <xdr:row>16</xdr:row>
      <xdr:rowOff>241322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F55F7B4-16B0-4078-8DB1-7CD9B0AF6A5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791200" y="3766457"/>
          <a:ext cx="1330312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08DCA98-7385-4B4C-8050-484A24EEC867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1658B7F-5BDC-4609-8CBF-4B41B8D8F065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539CACE-2185-4BC4-AE9A-6367D3DEAC2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8B567FE-9988-41A9-B931-406B409473A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37F4A76-C92C-455D-B8FC-D7E6B427403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F7FBF6F-13BE-4563-B22C-A389A9209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44F7879-15BA-4C77-873C-0A4B9FB97BB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6</xdr:col>
      <xdr:colOff>419633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F022EA5-28BE-461A-96CB-3D268686A2C9}"/>
            </a:ext>
          </a:extLst>
        </xdr:cNvPr>
        <xdr:cNvGrpSpPr/>
      </xdr:nvGrpSpPr>
      <xdr:grpSpPr>
        <a:xfrm>
          <a:off x="4443334" y="0"/>
          <a:ext cx="1125242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F5618277-89A2-499C-A389-865D865910C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42BF067-B2C2-426E-ABAD-BF301ED6204C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07B522-5CDE-4EBE-B395-E285BB651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57132</xdr:colOff>
      <xdr:row>0</xdr:row>
      <xdr:rowOff>0</xdr:rowOff>
    </xdr:from>
    <xdr:to>
      <xdr:col>7</xdr:col>
      <xdr:colOff>1078609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76C6F46-57BC-4EF1-B314-4E3DBD0D5DE7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22801</xdr:colOff>
      <xdr:row>0</xdr:row>
      <xdr:rowOff>514894</xdr:rowOff>
    </xdr:from>
    <xdr:to>
      <xdr:col>7</xdr:col>
      <xdr:colOff>1139136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504B5C6E-0A84-4BE1-9630-C33CCD528052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362308</xdr:colOff>
      <xdr:row>0</xdr:row>
      <xdr:rowOff>91651</xdr:rowOff>
    </xdr:from>
    <xdr:to>
      <xdr:col>7</xdr:col>
      <xdr:colOff>773433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DD928D-8960-4C57-B5B5-3CC6B04E0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1386242</xdr:colOff>
      <xdr:row>0</xdr:row>
      <xdr:rowOff>0</xdr:rowOff>
    </xdr:from>
    <xdr:to>
      <xdr:col>8</xdr:col>
      <xdr:colOff>499749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6740C59-D95B-4AC5-BE6A-E27035132F64}"/>
            </a:ext>
          </a:extLst>
        </xdr:cNvPr>
        <xdr:cNvSpPr/>
      </xdr:nvSpPr>
      <xdr:spPr>
        <a:xfrm>
          <a:off x="7135878" y="0"/>
          <a:ext cx="1016034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1351911</xdr:colOff>
      <xdr:row>0</xdr:row>
      <xdr:rowOff>514894</xdr:rowOff>
    </xdr:from>
    <xdr:to>
      <xdr:col>8</xdr:col>
      <xdr:colOff>560276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5D4371DB-CF76-41EA-9F5C-C34B36A62599}"/>
            </a:ext>
          </a:extLst>
        </xdr:cNvPr>
        <xdr:cNvSpPr txBox="1"/>
      </xdr:nvSpPr>
      <xdr:spPr>
        <a:xfrm rot="10800000" flipH="1" flipV="1">
          <a:off x="7101547" y="514894"/>
          <a:ext cx="11108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7</xdr:col>
      <xdr:colOff>1692238</xdr:colOff>
      <xdr:row>0</xdr:row>
      <xdr:rowOff>91651</xdr:rowOff>
    </xdr:from>
    <xdr:to>
      <xdr:col>8</xdr:col>
      <xdr:colOff>193750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C0F669F-995D-46D6-B13E-20B3BED03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1874" y="91651"/>
          <a:ext cx="404039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163449</xdr:colOff>
      <xdr:row>0</xdr:row>
      <xdr:rowOff>0</xdr:rowOff>
    </xdr:from>
    <xdr:to>
      <xdr:col>11</xdr:col>
      <xdr:colOff>60584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44FB14A-0450-4E76-ACC4-9DF74EF603A4}"/>
            </a:ext>
          </a:extLst>
        </xdr:cNvPr>
        <xdr:cNvGrpSpPr/>
      </xdr:nvGrpSpPr>
      <xdr:grpSpPr>
        <a:xfrm>
          <a:off x="8436592" y="0"/>
          <a:ext cx="1116335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FB8DEE-22AA-48A2-9B3B-523A78D4ADB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CAB172BD-32F0-4CAB-B87E-70FC8FA23B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A978EB-6B21-4D64-BAB7-F8D873F59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276340</xdr:colOff>
      <xdr:row>0</xdr:row>
      <xdr:rowOff>0</xdr:rowOff>
    </xdr:from>
    <xdr:to>
      <xdr:col>13</xdr:col>
      <xdr:colOff>174452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0ABA7DB-47CE-4C2B-9002-66A4B4FD04CE}"/>
            </a:ext>
          </a:extLst>
        </xdr:cNvPr>
        <xdr:cNvGrpSpPr/>
      </xdr:nvGrpSpPr>
      <xdr:grpSpPr>
        <a:xfrm>
          <a:off x="9768683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5CA449C-67EE-475C-B75B-9BD49052AB9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12C58F1-AA21-43F8-BFF7-26082E91EDA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50EDBF3-F126-455F-9DCD-B75E96826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386240</xdr:colOff>
      <xdr:row>0</xdr:row>
      <xdr:rowOff>0</xdr:rowOff>
    </xdr:from>
    <xdr:to>
      <xdr:col>15</xdr:col>
      <xdr:colOff>283376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A3ED8FCC-A503-4C75-90D4-5B1D0103A269}"/>
            </a:ext>
          </a:extLst>
        </xdr:cNvPr>
        <xdr:cNvGrpSpPr/>
      </xdr:nvGrpSpPr>
      <xdr:grpSpPr>
        <a:xfrm>
          <a:off x="11097783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7561745-75D6-4E72-BC44-B1BB18D131F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E2D8C39-815E-4891-85FC-DA637EAB252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F58ED-3310-4E6A-88FC-FB218C179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601F861-9907-4AD7-AE4B-5EED85E6C7B2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C21E4AD-E504-45C8-BAC8-8CB0C5A1763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23FB4CB-DB85-46C8-B6CF-8B893C78CE9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39A0F4-F520-4FE9-A377-59E8B54294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C5592CB-A025-4303-BBEB-568858D6E3B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D4FA8AD-207B-4F2E-ACEB-F41DAF4010C4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27ED3191-05F7-4939-B2D2-6CA2572774DB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6</xdr:col>
      <xdr:colOff>377625</xdr:colOff>
      <xdr:row>1</xdr:row>
      <xdr:rowOff>68383</xdr:rowOff>
    </xdr:from>
    <xdr:to>
      <xdr:col>7</xdr:col>
      <xdr:colOff>1676932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9804117-A983-45A5-9950-E42963D6E6BC}"/>
            </a:ext>
          </a:extLst>
        </xdr:cNvPr>
        <xdr:cNvSpPr/>
      </xdr:nvSpPr>
      <xdr:spPr>
        <a:xfrm>
          <a:off x="5517661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314086</xdr:colOff>
      <xdr:row>1</xdr:row>
      <xdr:rowOff>68383</xdr:rowOff>
    </xdr:from>
    <xdr:to>
      <xdr:col>11</xdr:col>
      <xdr:colOff>398151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5238014-6E08-451D-B747-A06F31AEE8B3}"/>
            </a:ext>
          </a:extLst>
        </xdr:cNvPr>
        <xdr:cNvSpPr/>
      </xdr:nvSpPr>
      <xdr:spPr>
        <a:xfrm>
          <a:off x="7966249" y="845623"/>
          <a:ext cx="19121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1436914</xdr:colOff>
      <xdr:row>35</xdr:row>
      <xdr:rowOff>108858</xdr:rowOff>
    </xdr:from>
    <xdr:to>
      <xdr:col>7</xdr:col>
      <xdr:colOff>402770</xdr:colOff>
      <xdr:row>39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3075373C-F5D9-44E7-BF96-E8F14B48BC3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484914" y="7903029"/>
          <a:ext cx="1676399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165F973-E403-453E-894E-4FAA861E4C80}"/>
            </a:ext>
          </a:extLst>
        </xdr:cNvPr>
        <xdr:cNvGrpSpPr/>
      </xdr:nvGrpSpPr>
      <xdr:grpSpPr>
        <a:xfrm>
          <a:off x="0" y="1"/>
          <a:ext cx="1840006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67C49F2-B7C1-4962-8457-3FD37DAB4A2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933563F-AD1B-43DE-92E6-CFEEC1879B9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BC4FF1A-D3AE-4568-ACB5-507645028505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7ADB4FD-AE68-4864-A26B-E42CE420EAB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A9EF556-A518-4900-8B24-280712006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0CF0C87-B433-4A40-987B-B105CDA4731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D59B10B-D317-43D1-82E1-222240B39440}"/>
            </a:ext>
          </a:extLst>
        </xdr:cNvPr>
        <xdr:cNvGrpSpPr/>
      </xdr:nvGrpSpPr>
      <xdr:grpSpPr>
        <a:xfrm>
          <a:off x="4443334" y="0"/>
          <a:ext cx="1116335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595B1DB-0CFA-4356-99BF-622E041E7720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28C45E0-584C-4833-B4FC-D67DFEBC72B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458DF6-50CB-4CD1-B19F-671BAC52FD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A3EFBB5-1579-4E73-B3B3-5ECAE02C4E68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F93D039-01E7-4E55-B7DC-16FB6BDA7E9C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AF6370-4A50-45AF-81F9-6C52C441F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5</xdr:col>
      <xdr:colOff>5113313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6FED993-682C-4645-8CE0-841EE630EAE4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5</xdr:col>
      <xdr:colOff>5173840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604A40D6-AE12-4B1E-A403-8098EE4DF520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5</xdr:col>
      <xdr:colOff>4807314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7C5756-09F3-4BCB-A93F-15E61A188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38758</xdr:colOff>
      <xdr:row>0</xdr:row>
      <xdr:rowOff>0</xdr:rowOff>
    </xdr:from>
    <xdr:to>
      <xdr:col>7</xdr:col>
      <xdr:colOff>531639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45D5178-6280-4368-9ED3-0682B0264681}"/>
            </a:ext>
          </a:extLst>
        </xdr:cNvPr>
        <xdr:cNvGrpSpPr/>
      </xdr:nvGrpSpPr>
      <xdr:grpSpPr>
        <a:xfrm>
          <a:off x="8420758" y="0"/>
          <a:ext cx="1121531" cy="781050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56A7DB6-F06C-41CD-BB9B-6AC661B2874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FF748EB5-515B-4791-9941-537546E8571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7EC736-0F2A-4A91-99E6-ADB3D9E2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123940</xdr:colOff>
      <xdr:row>0</xdr:row>
      <xdr:rowOff>0</xdr:rowOff>
    </xdr:from>
    <xdr:to>
      <xdr:col>9</xdr:col>
      <xdr:colOff>617798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1C31F38-C3EB-4D3B-84FD-23E487E7CFF0}"/>
            </a:ext>
          </a:extLst>
        </xdr:cNvPr>
        <xdr:cNvGrpSpPr/>
      </xdr:nvGrpSpPr>
      <xdr:grpSpPr>
        <a:xfrm>
          <a:off x="9763240" y="0"/>
          <a:ext cx="1122508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1257A0E-4FCF-4360-8367-315A03DD633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415A684-927B-4EF5-8EA1-8C1869F348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A2A68D-4D19-4E8E-99E1-72470B3A7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834781</xdr:colOff>
      <xdr:row>0</xdr:row>
      <xdr:rowOff>0</xdr:rowOff>
    </xdr:from>
    <xdr:to>
      <xdr:col>10</xdr:col>
      <xdr:colOff>65167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9CB32C9-2865-465F-A4BB-BAE3724CA786}"/>
            </a:ext>
          </a:extLst>
        </xdr:cNvPr>
        <xdr:cNvGrpSpPr/>
      </xdr:nvGrpSpPr>
      <xdr:grpSpPr>
        <a:xfrm>
          <a:off x="11102731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44C24D3-B452-4950-BD13-74400C9B8C5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86C44CA-A7B4-47F7-AFD0-458A3EC26B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A1C252-FBEC-4D06-BB1A-102DB4A2A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18E4A88-816B-4DD3-AB92-B8524FD4CAD1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47C3241-83EF-4DCD-A348-FB3583CA439D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FDBDB58-4BA7-4F0A-B9CD-60027F8FCB2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9C1367-F8D3-4FEB-920D-7A16A1A2E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4C53B2F5-42F6-45C2-B4B3-5B4254714F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6637EC6C-B297-4719-949C-4C0B202FA830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6290DD2-D6F1-478C-BBDA-64E069816D3E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A5775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FD56C8F-86E5-4C9A-BAF0-43658449994E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5</xdr:col>
      <xdr:colOff>4927650</xdr:colOff>
      <xdr:row>1</xdr:row>
      <xdr:rowOff>68383</xdr:rowOff>
    </xdr:from>
    <xdr:to>
      <xdr:col>8</xdr:col>
      <xdr:colOff>245751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DA3F1CC-B682-491E-B1F2-25B7C8DB2197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1861458</xdr:colOff>
      <xdr:row>27</xdr:row>
      <xdr:rowOff>43543</xdr:rowOff>
    </xdr:from>
    <xdr:to>
      <xdr:col>5</xdr:col>
      <xdr:colOff>3537857</xdr:colOff>
      <xdr:row>31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C333263-0FEE-49A3-85DC-73B40BEC308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259286"/>
          <a:ext cx="1676399" cy="763837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11</xdr:col>
      <xdr:colOff>4071258</xdr:colOff>
      <xdr:row>42</xdr:row>
      <xdr:rowOff>144236</xdr:rowOff>
    </xdr:from>
    <xdr:to>
      <xdr:col>13</xdr:col>
      <xdr:colOff>552450</xdr:colOff>
      <xdr:row>48</xdr:row>
      <xdr:rowOff>114300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E6004F23-FAD2-4F5A-A25E-E7E86C289A9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853808" y="9135836"/>
          <a:ext cx="2710542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8C79224-6D7A-4726-BC12-EC366F0F17C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5B0207A-92CC-4F9B-9F7F-8F847253D89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662DE287-AB14-48D7-97B4-8F91C4413A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958146F-4F60-4098-9EDC-C3E747DD8968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769F562-66AA-451F-8077-1D074327222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8F62114-E5B8-4AC5-BA64-48F07C65A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2228B1B-9A46-45FA-AE86-49CDFDD0ABC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2008893</xdr:colOff>
      <xdr:row>0</xdr:row>
      <xdr:rowOff>0</xdr:rowOff>
    </xdr:from>
    <xdr:to>
      <xdr:col>5</xdr:col>
      <xdr:colOff>880791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8F8E466-D1C4-4D5B-AAE6-8654E64C6520}"/>
            </a:ext>
          </a:extLst>
        </xdr:cNvPr>
        <xdr:cNvGrpSpPr/>
      </xdr:nvGrpSpPr>
      <xdr:grpSpPr>
        <a:xfrm>
          <a:off x="4447293" y="0"/>
          <a:ext cx="111435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D59178C9-B026-4A70-A711-7A32EF6FC52C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9095B55-6CA7-4259-994E-5A882CA23492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D0EDD5-D63C-4ECF-A5F5-4B93735D82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104633</xdr:colOff>
      <xdr:row>0</xdr:row>
      <xdr:rowOff>0</xdr:rowOff>
    </xdr:from>
    <xdr:to>
      <xdr:col>7</xdr:col>
      <xdr:colOff>516510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4621039C-9987-4B6E-855E-A24B1CEE28F5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70302</xdr:colOff>
      <xdr:row>0</xdr:row>
      <xdr:rowOff>514894</xdr:rowOff>
    </xdr:from>
    <xdr:to>
      <xdr:col>7</xdr:col>
      <xdr:colOff>577037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E1456A13-B091-481D-A46F-5F65928E2397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409809</xdr:colOff>
      <xdr:row>0</xdr:row>
      <xdr:rowOff>91651</xdr:rowOff>
    </xdr:from>
    <xdr:to>
      <xdr:col>7</xdr:col>
      <xdr:colOff>211334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7EB063-96C5-4FA0-964F-3BB39F4E6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214543</xdr:colOff>
      <xdr:row>0</xdr:row>
      <xdr:rowOff>0</xdr:rowOff>
    </xdr:from>
    <xdr:to>
      <xdr:col>9</xdr:col>
      <xdr:colOff>115547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7AF57C7-1A5D-4BF6-B87A-E5F4D8D7693B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180212</xdr:colOff>
      <xdr:row>0</xdr:row>
      <xdr:rowOff>514894</xdr:rowOff>
    </xdr:from>
    <xdr:to>
      <xdr:col>9</xdr:col>
      <xdr:colOff>176074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555FCB3-0770-4E05-823A-122F8A7F4B27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520539</xdr:colOff>
      <xdr:row>0</xdr:row>
      <xdr:rowOff>91651</xdr:rowOff>
    </xdr:from>
    <xdr:to>
      <xdr:col>8</xdr:col>
      <xdr:colOff>933979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F095EAB-3F22-4541-A7C0-AFC2B084F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388847</xdr:colOff>
      <xdr:row>0</xdr:row>
      <xdr:rowOff>0</xdr:rowOff>
    </xdr:from>
    <xdr:to>
      <xdr:col>10</xdr:col>
      <xdr:colOff>522907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2245E9-52A3-486E-A113-5E0905FEA95B}"/>
            </a:ext>
          </a:extLst>
        </xdr:cNvPr>
        <xdr:cNvGrpSpPr/>
      </xdr:nvGrpSpPr>
      <xdr:grpSpPr>
        <a:xfrm>
          <a:off x="8444276" y="0"/>
          <a:ext cx="1113774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802EEC3-D213-4FF5-8F47-BF17CB0B63F3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EE4EBBD-D7D1-4968-A5B1-711753DA3E0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4F5242-BC46-4D2D-A66D-5F81414C13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745706</xdr:colOff>
      <xdr:row>0</xdr:row>
      <xdr:rowOff>0</xdr:rowOff>
    </xdr:from>
    <xdr:to>
      <xdr:col>11</xdr:col>
      <xdr:colOff>734106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17D793F-25A7-4FB4-8EAD-A7FC7EAEFF20}"/>
            </a:ext>
          </a:extLst>
        </xdr:cNvPr>
        <xdr:cNvGrpSpPr/>
      </xdr:nvGrpSpPr>
      <xdr:grpSpPr>
        <a:xfrm>
          <a:off x="9780849" y="0"/>
          <a:ext cx="1120514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E95F03FF-BFEC-4886-87B7-E42AA7B4981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876B4EF-34EB-4E9F-859A-46E12EC268D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AA60E6-028E-4E74-9BAB-A79BB3DB20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945894</xdr:colOff>
      <xdr:row>0</xdr:row>
      <xdr:rowOff>0</xdr:rowOff>
    </xdr:from>
    <xdr:to>
      <xdr:col>13</xdr:col>
      <xdr:colOff>36207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6E5FE9-A69A-4480-A0F1-CAED14322384}"/>
            </a:ext>
          </a:extLst>
        </xdr:cNvPr>
        <xdr:cNvGrpSpPr/>
      </xdr:nvGrpSpPr>
      <xdr:grpSpPr>
        <a:xfrm>
          <a:off x="11113151" y="0"/>
          <a:ext cx="111505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75BD541-72F9-4E8D-9CE9-A714A461985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89FEF3C-A450-444A-A239-BB36A1F14AC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F98019F-6038-4DC2-9463-81C56D17D6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1805355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CE2DF5F-39B3-42DF-9C8F-3B7414ABC787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852CB84-970B-4CC0-84FF-766523860F3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56EE543-DCDF-4264-9788-7738D152FFD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A88767A-443E-4885-84C0-9D60C5C87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22C868DC-093A-4F2F-A045-C56C11A3072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B9154DB-81F3-4196-944C-B9A6520319C9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4</xdr:col>
      <xdr:colOff>625230</xdr:colOff>
      <xdr:row>1</xdr:row>
      <xdr:rowOff>68383</xdr:rowOff>
    </xdr:from>
    <xdr:to>
      <xdr:col>5</xdr:col>
      <xdr:colOff>295640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86FF97A-DBD7-4A97-9713-02BD515C0EF5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838783</xdr:colOff>
      <xdr:row>1</xdr:row>
      <xdr:rowOff>68383</xdr:rowOff>
    </xdr:from>
    <xdr:to>
      <xdr:col>8</xdr:col>
      <xdr:colOff>505233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7514119-24D8-4A29-A278-D0E2FD3752CC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1059437</xdr:colOff>
      <xdr:row>1</xdr:row>
      <xdr:rowOff>68383</xdr:rowOff>
    </xdr:from>
    <xdr:to>
      <xdr:col>10</xdr:col>
      <xdr:colOff>867517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CDCC7D1-EFAD-4383-9ADC-30FF49FBB05A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CB5A2C6-5A04-4065-9723-09C6A46DAB8C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F3FFF42-E6D5-4FD3-82E0-0AADB06F46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D22D8A7-94D4-4F04-B7A5-C6A3A45AE2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4187F8F-60BA-43C9-B95A-72702ECCBD65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99D296B-B56B-48A5-A7C1-B8732DBD8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8FA0E99-FA33-44FD-BB0D-476F841BD6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873D8D1-AD00-4FE1-9AE8-B106B2E15C1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473118</xdr:colOff>
      <xdr:row>0</xdr:row>
      <xdr:rowOff>0</xdr:rowOff>
    </xdr:from>
    <xdr:to>
      <xdr:col>8</xdr:col>
      <xdr:colOff>340667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EF4FA3BD-E52C-4F32-B54B-B961900C07AD}"/>
            </a:ext>
          </a:extLst>
        </xdr:cNvPr>
        <xdr:cNvGrpSpPr/>
      </xdr:nvGrpSpPr>
      <xdr:grpSpPr>
        <a:xfrm>
          <a:off x="4435518" y="0"/>
          <a:ext cx="110852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93FDBBB-C6C7-4242-B533-C6AAF2C3D1D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2F126E6-1402-4463-9B05-DA42AB97361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284D80-0239-4F2C-9B9D-5BFE15384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587766</xdr:colOff>
      <xdr:row>0</xdr:row>
      <xdr:rowOff>0</xdr:rowOff>
    </xdr:from>
    <xdr:to>
      <xdr:col>8</xdr:col>
      <xdr:colOff>1593891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9101FB8-B5BE-4CA8-999F-A7BDEF1E6203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553435</xdr:colOff>
      <xdr:row>0</xdr:row>
      <xdr:rowOff>514894</xdr:rowOff>
    </xdr:from>
    <xdr:to>
      <xdr:col>8</xdr:col>
      <xdr:colOff>1654418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DF9C12E-92F7-48A3-A23F-FA2DB52F71B9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886244</xdr:colOff>
      <xdr:row>0</xdr:row>
      <xdr:rowOff>91651</xdr:rowOff>
    </xdr:from>
    <xdr:to>
      <xdr:col>8</xdr:col>
      <xdr:colOff>1297369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07FFC0-8D1E-436C-927D-44AAB6278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1867193</xdr:colOff>
      <xdr:row>0</xdr:row>
      <xdr:rowOff>0</xdr:rowOff>
    </xdr:from>
    <xdr:to>
      <xdr:col>9</xdr:col>
      <xdr:colOff>233908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8C3687-0A2F-4891-A68F-0EEDDF40BD14}"/>
            </a:ext>
          </a:extLst>
        </xdr:cNvPr>
        <xdr:cNvGrpSpPr/>
      </xdr:nvGrpSpPr>
      <xdr:grpSpPr>
        <a:xfrm>
          <a:off x="7070564" y="0"/>
          <a:ext cx="109903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CF14E878-5964-4A25-8C3E-8B4AF1E4FE1F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A82B934-DC70-4FE5-895B-6AD8A0491927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C8F991-0D5A-402A-BF13-485D84B1FB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446681</xdr:colOff>
      <xdr:row>0</xdr:row>
      <xdr:rowOff>0</xdr:rowOff>
    </xdr:from>
    <xdr:to>
      <xdr:col>11</xdr:col>
      <xdr:colOff>336001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BF8E5FB-FA9E-4EA0-802D-932C3C60CDA8}"/>
            </a:ext>
          </a:extLst>
        </xdr:cNvPr>
        <xdr:cNvGrpSpPr/>
      </xdr:nvGrpSpPr>
      <xdr:grpSpPr>
        <a:xfrm>
          <a:off x="8382367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F6C9A9C-F0A4-4488-AE1B-75D952D3569C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B691AD9-6427-415F-825B-3F07B2FFD7B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BC684F4-347B-405B-AFE0-C0DCB9CB9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543891</xdr:colOff>
      <xdr:row>0</xdr:row>
      <xdr:rowOff>0</xdr:rowOff>
    </xdr:from>
    <xdr:to>
      <xdr:col>13</xdr:col>
      <xdr:colOff>444515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C1E28CE-6E8D-4100-B65E-4FDAB90A1A9B}"/>
            </a:ext>
          </a:extLst>
        </xdr:cNvPr>
        <xdr:cNvGrpSpPr/>
      </xdr:nvGrpSpPr>
      <xdr:grpSpPr>
        <a:xfrm>
          <a:off x="9698777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0AAE3DC-A4FF-4717-97B9-64DD211E2F3C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2A944EDA-5401-4E9E-804F-5EFA7789A00F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DFA013-9A51-4BA4-8010-0EAC7D8945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77127</xdr:colOff>
      <xdr:row>0</xdr:row>
      <xdr:rowOff>0</xdr:rowOff>
    </xdr:from>
    <xdr:to>
      <xdr:col>15</xdr:col>
      <xdr:colOff>489005</xdr:colOff>
      <xdr:row>1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7E24A84B-5037-46A8-827B-03D963CDEA82}"/>
            </a:ext>
          </a:extLst>
        </xdr:cNvPr>
        <xdr:cNvSpPr/>
      </xdr:nvSpPr>
      <xdr:spPr>
        <a:xfrm>
          <a:off x="11051881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42796</xdr:colOff>
      <xdr:row>0</xdr:row>
      <xdr:rowOff>514894</xdr:rowOff>
    </xdr:from>
    <xdr:to>
      <xdr:col>15</xdr:col>
      <xdr:colOff>549532</xdr:colOff>
      <xdr:row>0</xdr:row>
      <xdr:rowOff>769325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5E30FD73-58FE-46B5-8349-F2342A2C8A1F}"/>
            </a:ext>
          </a:extLst>
        </xdr:cNvPr>
        <xdr:cNvSpPr txBox="1"/>
      </xdr:nvSpPr>
      <xdr:spPr>
        <a:xfrm rot="10800000" flipH="1" flipV="1">
          <a:off x="11017550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388201</xdr:colOff>
      <xdr:row>0</xdr:row>
      <xdr:rowOff>91651</xdr:rowOff>
    </xdr:from>
    <xdr:to>
      <xdr:col>15</xdr:col>
      <xdr:colOff>177931</xdr:colOff>
      <xdr:row>0</xdr:row>
      <xdr:rowOff>494500</xdr:rowOff>
    </xdr:to>
    <xdr:pic>
      <xdr:nvPicPr>
        <xdr:cNvPr id="3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60D0D0-8C9D-4A8B-9892-C72357FAC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59047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277447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9D622D3-780D-4902-AEC9-D35D6F70D5FD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7A5E4B8-9308-43F1-9CD0-CD222A184F0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DE4F8D3-1805-4CDB-AE98-2AE1B92F584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465393-11E0-403E-9B80-67251BBC2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C1221F0-195E-46F7-B9DA-5B171C7C4AC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91830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7A2C728-4D84-44C7-B840-8CAA69C1B4DA}"/>
            </a:ext>
          </a:extLst>
        </xdr:cNvPr>
        <xdr:cNvSpPr/>
      </xdr:nvSpPr>
      <xdr:spPr>
        <a:xfrm>
          <a:off x="605692" y="849921"/>
          <a:ext cx="1908907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31260</xdr:colOff>
      <xdr:row>1</xdr:row>
      <xdr:rowOff>68383</xdr:rowOff>
    </xdr:from>
    <xdr:to>
      <xdr:col>7</xdr:col>
      <xdr:colOff>409241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669AE9-6786-4904-8051-42317BFA65C7}"/>
            </a:ext>
          </a:extLst>
        </xdr:cNvPr>
        <xdr:cNvSpPr/>
      </xdr:nvSpPr>
      <xdr:spPr>
        <a:xfrm>
          <a:off x="3059722" y="849921"/>
          <a:ext cx="191286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8</xdr:col>
      <xdr:colOff>331899</xdr:colOff>
      <xdr:row>1</xdr:row>
      <xdr:rowOff>68383</xdr:rowOff>
    </xdr:from>
    <xdr:to>
      <xdr:col>8</xdr:col>
      <xdr:colOff>2228525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7FD749-C525-4676-86FF-DB92AECA6E44}"/>
            </a:ext>
          </a:extLst>
        </xdr:cNvPr>
        <xdr:cNvSpPr/>
      </xdr:nvSpPr>
      <xdr:spPr>
        <a:xfrm>
          <a:off x="5515732" y="849921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7</xdr:col>
      <xdr:colOff>119743</xdr:colOff>
      <xdr:row>23</xdr:row>
      <xdr:rowOff>65315</xdr:rowOff>
    </xdr:from>
    <xdr:to>
      <xdr:col>8</xdr:col>
      <xdr:colOff>947056</xdr:colOff>
      <xdr:row>26</xdr:row>
      <xdr:rowOff>78037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6647F068-E680-475C-9210-022856CE77D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2629" y="5312229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A1CDE10-6E8D-4549-A8BF-CAF6B125A58D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353668F-F741-4E22-8DA2-C9541C3983C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2A8FDCA-4152-4820-8112-538D843A8E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4E1F70E-AD01-4F1F-9986-19089FEC86B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2936992-F455-4044-BF45-A0EF6D0C31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75777E-B1F7-4341-BA46-4F68DD11B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1BF72F9-7F24-4033-A9E0-79F89F87452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5</xdr:col>
      <xdr:colOff>2419838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2B9322-0D04-4AC5-8E38-646B2C4058B7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0C60073-D836-4AF4-9865-BCA042221CB4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E311FB6-2C90-43EC-B02A-5DA9574F3DC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036EF5-BFB6-4788-9CF3-4794E978EE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2666937</xdr:colOff>
      <xdr:row>0</xdr:row>
      <xdr:rowOff>0</xdr:rowOff>
    </xdr:from>
    <xdr:to>
      <xdr:col>7</xdr:col>
      <xdr:colOff>222291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EB65E9D-826C-4D78-B5EB-7C3F85883B81}"/>
            </a:ext>
          </a:extLst>
        </xdr:cNvPr>
        <xdr:cNvSpPr/>
      </xdr:nvSpPr>
      <xdr:spPr>
        <a:xfrm>
          <a:off x="5799846" y="0"/>
          <a:ext cx="100612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2632606</xdr:colOff>
      <xdr:row>0</xdr:row>
      <xdr:rowOff>514894</xdr:rowOff>
    </xdr:from>
    <xdr:to>
      <xdr:col>7</xdr:col>
      <xdr:colOff>282818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952AA96-4C2C-4A7C-A221-5CC162101538}"/>
            </a:ext>
          </a:extLst>
        </xdr:cNvPr>
        <xdr:cNvSpPr txBox="1"/>
      </xdr:nvSpPr>
      <xdr:spPr>
        <a:xfrm rot="10800000" flipH="1" flipV="1">
          <a:off x="5765515" y="514894"/>
          <a:ext cx="110098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135130</xdr:colOff>
      <xdr:row>0</xdr:row>
      <xdr:rowOff>91651</xdr:rowOff>
    </xdr:from>
    <xdr:to>
      <xdr:col>6</xdr:col>
      <xdr:colOff>546255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3F16D7-985A-418E-BBDE-10243B70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832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495593</xdr:colOff>
      <xdr:row>0</xdr:row>
      <xdr:rowOff>0</xdr:rowOff>
    </xdr:from>
    <xdr:to>
      <xdr:col>7</xdr:col>
      <xdr:colOff>1594622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6659A24-4902-41B9-9CF0-70020A2247C0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73AC0407-F196-4518-8742-FF12902E92EC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F43A4F97-F6B7-46B6-BD00-F8C7B15B856D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21A29A5-4E48-48C7-9A91-F674FEEA0D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1807395</xdr:colOff>
      <xdr:row>0</xdr:row>
      <xdr:rowOff>0</xdr:rowOff>
    </xdr:from>
    <xdr:to>
      <xdr:col>9</xdr:col>
      <xdr:colOff>216258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10DACA9-E12F-4648-B023-08A3204602D2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BE4E672B-899F-4B9A-8DEE-4DAD3C6ACFF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62F6EA1D-0E8A-47EA-BCD2-0DDFF00E37D5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EA4408-EEE1-49F4-B91A-A3854B688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424148</xdr:colOff>
      <xdr:row>0</xdr:row>
      <xdr:rowOff>0</xdr:rowOff>
    </xdr:from>
    <xdr:to>
      <xdr:col>9</xdr:col>
      <xdr:colOff>1543972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871EB7F7-EF34-4F0C-82C8-BAEDA1E4BAA5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4E3A8E5A-4730-421A-AB15-C4A71768749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84E61E8-4F02-486D-97C8-7880DFB711C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5CC5C2B-625F-4709-8B2D-E8D5A25276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1786184</xdr:colOff>
      <xdr:row>0</xdr:row>
      <xdr:rowOff>0</xdr:rowOff>
    </xdr:from>
    <xdr:to>
      <xdr:col>10</xdr:col>
      <xdr:colOff>401919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1BA9F397-8380-4B32-B364-38A5D19914FC}"/>
            </a:ext>
          </a:extLst>
        </xdr:cNvPr>
        <xdr:cNvSpPr/>
      </xdr:nvSpPr>
      <xdr:spPr>
        <a:xfrm>
          <a:off x="11065167" y="0"/>
          <a:ext cx="1021478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1744233</xdr:colOff>
      <xdr:row>0</xdr:row>
      <xdr:rowOff>514894</xdr:rowOff>
    </xdr:from>
    <xdr:to>
      <xdr:col>10</xdr:col>
      <xdr:colOff>462446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98446B6-DA13-43E8-82E2-8F9105133BDD}"/>
            </a:ext>
          </a:extLst>
        </xdr:cNvPr>
        <xdr:cNvSpPr txBox="1"/>
      </xdr:nvSpPr>
      <xdr:spPr>
        <a:xfrm rot="10800000" flipH="1" flipV="1">
          <a:off x="11030836" y="514894"/>
          <a:ext cx="1116336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9</xdr:col>
      <xdr:colOff>2097258</xdr:colOff>
      <xdr:row>0</xdr:row>
      <xdr:rowOff>91651</xdr:rowOff>
    </xdr:from>
    <xdr:to>
      <xdr:col>10</xdr:col>
      <xdr:colOff>90845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D2D955-95AB-42ED-9CEC-559E99397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6241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F8070-E5E4-4360-907E-97CAA9D8AD21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B55797CC-FC06-492F-A4DF-8DF983E6BB7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A4F6C2E-5FB3-4693-AAF6-B015BB7DB2C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B01614-CDCD-4A16-A336-5AD25C08D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63FC92C-1B4D-4DB4-BEA1-C4272686CCF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BFA8BD88-6BAC-4857-97E5-15893392D754}"/>
            </a:ext>
          </a:extLst>
        </xdr:cNvPr>
        <xdr:cNvSpPr/>
      </xdr:nvSpPr>
      <xdr:spPr>
        <a:xfrm>
          <a:off x="609600" y="845623"/>
          <a:ext cx="192063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7794CDC-56BF-4A41-B4C3-EFF8793E72A5}"/>
            </a:ext>
          </a:extLst>
        </xdr:cNvPr>
        <xdr:cNvSpPr/>
      </xdr:nvSpPr>
      <xdr:spPr>
        <a:xfrm>
          <a:off x="3079260" y="845623"/>
          <a:ext cx="1917221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5</xdr:col>
      <xdr:colOff>2411070</xdr:colOff>
      <xdr:row>1</xdr:row>
      <xdr:rowOff>68383</xdr:rowOff>
    </xdr:from>
    <xdr:to>
      <xdr:col>7</xdr:col>
      <xdr:colOff>856925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F82A91-0DFD-4FBA-B7FA-A8D18DA86FA7}"/>
            </a:ext>
          </a:extLst>
        </xdr:cNvPr>
        <xdr:cNvSpPr/>
      </xdr:nvSpPr>
      <xdr:spPr>
        <a:xfrm>
          <a:off x="5543979" y="845623"/>
          <a:ext cx="189662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5</xdr:col>
      <xdr:colOff>1872342</xdr:colOff>
      <xdr:row>26</xdr:row>
      <xdr:rowOff>54428</xdr:rowOff>
    </xdr:from>
    <xdr:to>
      <xdr:col>6</xdr:col>
      <xdr:colOff>489854</xdr:colOff>
      <xdr:row>29</xdr:row>
      <xdr:rowOff>67151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2860D56D-0926-4221-BF01-E7FD7A1F91B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20342" y="5856514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E83B6B-A012-48A6-A7F3-5F9CFE6C401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D237DA9-7497-41B5-94C6-2C457A0B27F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279E2399-4B5D-4865-BB68-DF91109E7A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D3958CB-1538-4420-BD9F-7B44C11DB04C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20DFB44-C2C2-491C-B4DB-C4C83C53E2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39B7-8813-4577-8A81-3D9B7829E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649181C-1F06-430B-A43A-8D545CF187C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6</xdr:col>
      <xdr:colOff>460410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55AE2AB7-5BBD-4FF9-8D11-1DCFC0BF5E03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5787156-B252-4039-A94E-E07908CFB43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6CE4E49-9C44-448C-A2AB-595813237D4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F20B062-1315-4252-83B2-07C43049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87023</xdr:colOff>
      <xdr:row>0</xdr:row>
      <xdr:rowOff>0</xdr:rowOff>
    </xdr:from>
    <xdr:to>
      <xdr:col>7</xdr:col>
      <xdr:colOff>1093148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236B20FE-70E6-4307-8626-E3E870BAB2A9}"/>
            </a:ext>
          </a:extLst>
        </xdr:cNvPr>
        <xdr:cNvSpPr/>
      </xdr:nvSpPr>
      <xdr:spPr>
        <a:xfrm>
          <a:off x="5791137" y="0"/>
          <a:ext cx="1014834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52692</xdr:colOff>
      <xdr:row>0</xdr:row>
      <xdr:rowOff>514894</xdr:rowOff>
    </xdr:from>
    <xdr:to>
      <xdr:col>7</xdr:col>
      <xdr:colOff>1153675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0786B41-6214-4E81-85DF-D92BF30073E1}"/>
            </a:ext>
          </a:extLst>
        </xdr:cNvPr>
        <xdr:cNvSpPr txBox="1"/>
      </xdr:nvSpPr>
      <xdr:spPr>
        <a:xfrm rot="10800000" flipH="1" flipV="1">
          <a:off x="5756806" y="514894"/>
          <a:ext cx="11096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385501</xdr:colOff>
      <xdr:row>0</xdr:row>
      <xdr:rowOff>91651</xdr:rowOff>
    </xdr:from>
    <xdr:to>
      <xdr:col>7</xdr:col>
      <xdr:colOff>796626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ED4B09-1B8B-4991-8B61-8E1B307D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3970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1366450</xdr:colOff>
      <xdr:row>0</xdr:row>
      <xdr:rowOff>0</xdr:rowOff>
    </xdr:from>
    <xdr:to>
      <xdr:col>9</xdr:col>
      <xdr:colOff>179479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9FE160-6BD4-46C3-B68B-63AD2E50527E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B40D4D0-DA76-4E9A-AB9F-F2A67F8D04B4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DE1D242-5903-457A-8C5E-22BBEBA97580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1FF119F-E78F-4081-ACF2-DEB0E660E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392252</xdr:colOff>
      <xdr:row>0</xdr:row>
      <xdr:rowOff>0</xdr:rowOff>
    </xdr:from>
    <xdr:to>
      <xdr:col>10</xdr:col>
      <xdr:colOff>880286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FDB2360-F75D-4539-ABA3-B0BCD428CCB1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337CD2DB-223A-45F7-BB99-6BF7766E9C4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AF965D-EEBE-4E96-9068-CF42E5851DF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2D35EDF-36AE-4D4B-9071-9E032DC01B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1088176</xdr:colOff>
      <xdr:row>0</xdr:row>
      <xdr:rowOff>0</xdr:rowOff>
    </xdr:from>
    <xdr:to>
      <xdr:col>11</xdr:col>
      <xdr:colOff>324772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E39C5C6-76A6-4986-81E3-638D4B031A72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3B993847-9AC7-4289-8AE1-3D2B166BD1A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4B202E6-F8D4-4F03-8958-A178873FDFF7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ECD37A2-8556-43DC-80AD-3241CE2F57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566984</xdr:colOff>
      <xdr:row>0</xdr:row>
      <xdr:rowOff>0</xdr:rowOff>
    </xdr:from>
    <xdr:to>
      <xdr:col>12</xdr:col>
      <xdr:colOff>586976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6E7A7198-0BDA-4E79-BAC1-955AFA36C3A8}"/>
            </a:ext>
          </a:extLst>
        </xdr:cNvPr>
        <xdr:cNvSpPr/>
      </xdr:nvSpPr>
      <xdr:spPr>
        <a:xfrm>
          <a:off x="11067344" y="0"/>
          <a:ext cx="1016035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525033</xdr:colOff>
      <xdr:row>0</xdr:row>
      <xdr:rowOff>514894</xdr:rowOff>
    </xdr:from>
    <xdr:to>
      <xdr:col>13</xdr:col>
      <xdr:colOff>27017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9ECB47E-8395-4006-AF69-8858E0552DDD}"/>
            </a:ext>
          </a:extLst>
        </xdr:cNvPr>
        <xdr:cNvSpPr txBox="1"/>
      </xdr:nvSpPr>
      <xdr:spPr>
        <a:xfrm rot="10800000" flipH="1" flipV="1">
          <a:off x="11025393" y="514894"/>
          <a:ext cx="111851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11</xdr:col>
      <xdr:colOff>878058</xdr:colOff>
      <xdr:row>0</xdr:row>
      <xdr:rowOff>91651</xdr:rowOff>
    </xdr:from>
    <xdr:to>
      <xdr:col>12</xdr:col>
      <xdr:colOff>275902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E42ECC-F96C-4387-AAFF-158A7F9F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8418" y="91651"/>
          <a:ext cx="393887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CB6C1-140B-47AB-95BB-E76E809313B0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E84A780-CEF5-40DB-BBFA-DCD359F5D5B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8090841-F439-489A-BE66-9C28E98C22E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430542-D3E5-4002-A7C6-56172DAE4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E5E7F5E-915A-4888-A08D-31E81FA5AA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9232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50C2C38-F712-4326-9EC6-8E63AE5E43C3}"/>
            </a:ext>
          </a:extLst>
        </xdr:cNvPr>
        <xdr:cNvSpPr/>
      </xdr:nvSpPr>
      <xdr:spPr>
        <a:xfrm>
          <a:off x="609600" y="845623"/>
          <a:ext cx="193804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C601C1DA-DEF1-41F1-BB37-555C2E3C990C}"/>
            </a:ext>
          </a:extLst>
        </xdr:cNvPr>
        <xdr:cNvSpPr/>
      </xdr:nvSpPr>
      <xdr:spPr>
        <a:xfrm>
          <a:off x="3096677" y="845623"/>
          <a:ext cx="190633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451642</xdr:colOff>
      <xdr:row>1</xdr:row>
      <xdr:rowOff>68383</xdr:rowOff>
    </xdr:from>
    <xdr:to>
      <xdr:col>8</xdr:col>
      <xdr:colOff>62268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5AF40DD-7A26-4B52-9520-349B71CFEB66}"/>
            </a:ext>
          </a:extLst>
        </xdr:cNvPr>
        <xdr:cNvSpPr/>
      </xdr:nvSpPr>
      <xdr:spPr>
        <a:xfrm>
          <a:off x="5535270" y="845623"/>
          <a:ext cx="1905335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>
    <xdr:from>
      <xdr:col>5</xdr:col>
      <xdr:colOff>1426028</xdr:colOff>
      <xdr:row>17</xdr:row>
      <xdr:rowOff>174172</xdr:rowOff>
    </xdr:from>
    <xdr:to>
      <xdr:col>7</xdr:col>
      <xdr:colOff>293911</xdr:colOff>
      <xdr:row>21</xdr:row>
      <xdr:rowOff>1837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45E2BE8C-1AFD-4F1C-9A28-6FA0EAD0947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528457" y="4310743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B58CD7-25B9-4E96-B5C4-3586D4D0E7B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4388833-DF22-4066-96BD-26159EB38924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EBB02CD-F04C-4263-ADCC-024710CEE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E950EE4-BBE9-4338-9533-1C8EE5A75E2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1EF9506-72C3-4999-95B3-E2D217BEABF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F2B6A1-8558-48AF-B419-E947ACCB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3D361B7-2AA5-4FE6-BDF2-5E84305725F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05B76A-8B19-4E18-B766-83D49C353E2D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CE88040-87E8-4DAF-90A0-1DF546A5CDE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EC502B7-BB7C-489F-9600-43E462EC40B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C032B3-1A13-490B-A1FC-44590E0A8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077138C-8F22-4A2B-B9FB-D3FD6E729A69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B98E175-6F43-41F2-BC71-5FECC7CE01A8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0632FE-88F5-44A9-82DB-DE87E481B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5BE56DF-7483-40F7-987C-81E7C1EA5837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279268-CAA1-46FF-8F21-60BDD09DA71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BAAF908-749C-45DD-B974-E611C09B10C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6B8279-1398-4FC0-B75E-BC0ACB2A1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600A15D-01DD-4E40-A20D-D63FA63B2FA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63CEAE1-C831-409F-AEE9-72727A655D67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45D8B18-B83F-4E3F-B859-6BB27E778374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33C26C-9539-4BBA-A39D-DC3436EFF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F90E033-79B5-401F-AE09-B65085F00906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177B353D-A55D-4AB9-B520-12255F61CEC5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9B67C2E2-0D53-4B37-8C8F-D783EC626DAD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B13319-B0F1-47C1-941E-91EB8AABC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A28C241-7359-4FEF-B209-B65C70DC161E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D9839BE-3330-40E4-B487-09D49C203E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1B9643A-E1F6-4424-9C43-EF3A4E48012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C5D7F6-44DD-4137-8CBF-E01D49864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31EC7D4-0907-4A01-8798-58D7A7D179E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AA7F2729-937E-43D1-B6C6-D4CA017A9F6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4FEA53-ED83-468E-8751-D73B22A179CB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17FAD-DE62-4BD7-B0EC-8455F1E9C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67888B7-12B5-41AD-8589-F5062E67E0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80C80C4-26FB-4111-805B-79C38B534E41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C928AEE1-EF7C-4D2E-8C81-ACBC7C358506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1306285</xdr:colOff>
      <xdr:row>1</xdr:row>
      <xdr:rowOff>68383</xdr:rowOff>
    </xdr:from>
    <xdr:to>
      <xdr:col>9</xdr:col>
      <xdr:colOff>402700</xdr:colOff>
      <xdr:row>1</xdr:row>
      <xdr:rowOff>496783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F0B4974-1AFF-4F35-A945-212EFBF8E5F6}"/>
            </a:ext>
          </a:extLst>
        </xdr:cNvPr>
        <xdr:cNvSpPr/>
      </xdr:nvSpPr>
      <xdr:spPr>
        <a:xfrm>
          <a:off x="7892142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F9552A9-D006-4B9B-9319-EB49D04D788B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2198076</xdr:colOff>
      <xdr:row>27</xdr:row>
      <xdr:rowOff>9769</xdr:rowOff>
    </xdr:from>
    <xdr:to>
      <xdr:col>8</xdr:col>
      <xdr:colOff>119181</xdr:colOff>
      <xdr:row>30</xdr:row>
      <xdr:rowOff>20817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A74F841E-459B-430F-8DC7-89566DEDBC1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226538" y="6017846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105786</xdr:colOff>
      <xdr:row>1</xdr:row>
      <xdr:rowOff>68383</xdr:rowOff>
    </xdr:from>
    <xdr:to>
      <xdr:col>8</xdr:col>
      <xdr:colOff>790678</xdr:colOff>
      <xdr:row>1</xdr:row>
      <xdr:rowOff>496783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FBD81A27-1E42-469E-8E36-7209ACE62B8E}"/>
            </a:ext>
          </a:extLst>
        </xdr:cNvPr>
        <xdr:cNvSpPr/>
      </xdr:nvSpPr>
      <xdr:spPr>
        <a:xfrm>
          <a:off x="5472443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BBF7D61-1ACA-4E10-81BF-77324BB8043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D580BE3-FEB5-4C26-A54C-415E6DC2842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D3A623A-E2F6-4BCD-B455-49A030A791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C1D24D9-7537-4B51-8582-B30DAF5998B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45362C8-CDAA-435D-A51E-85499FA21C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9F31DF-E7CA-4431-A103-7CC3F973C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C38C42D-6EF5-4D8A-884B-31FF93D0DE5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A651857-F82F-4D5C-8181-1CFF77AA1D4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B475002-0FD5-4B93-A5A5-31F3E09E442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80BB4B5-FD53-4A27-9771-95FD37F88B5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C861F7A-D265-4261-B05D-E1B7B0E7C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919F40-B5F0-4DFA-9DB0-D2AA2619BF6D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8087CCE-63B9-46F4-AF9D-7F43CA164925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F0C17-FD84-4129-9AD8-3E685853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F4B78C9-54DB-4DE1-ABDE-8ABA00F15776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79FF9F-0704-4C37-856C-05AF12AFCCE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F0C1551-23B4-4FDB-90DA-E5C1BDEDDA2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ED0C54-B666-4CC0-867C-571C3E1BB7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B4F205C-91FA-46CF-96F1-A3B60728642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72C4B3-28D3-480E-84AC-7C9E9ED84695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61AE0B7-08D2-4F9A-AC1B-DE2345C373C6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CCD9A21-4AB1-47E8-A5F2-5F18334FA8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C9C5CF4-EC73-4315-AF14-F8A8DA5364F4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3006D2A-6276-46F2-B776-8478F8A23B3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ABD5BB3-58D6-42A3-9224-E284EFE76F2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8712C7A-1F7B-41E5-898B-12B41F46E3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189BF8-FD2C-4952-B835-B19CCBC58122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D993417-6FCA-450E-9220-578C6A42F6CF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9CCC979-A988-44E0-A955-3B5276E007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A95CED-CAF7-445C-8F30-B226E9D7C7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0B0DA0-1D74-4AE7-966A-DC19AEEC6554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C152EBC-513E-4469-8384-E58047CAC85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F5F175C-C67B-48D5-AE3B-2267AE96723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E413FD-B884-47B5-8A55-31480EF84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1E04473-B643-4CD5-89E7-2E080CCF6A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63F1F9-91FA-4F64-88E4-5176BB09EBDA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0104C76-428B-4214-A632-C7551A6D66B1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8</xdr:col>
      <xdr:colOff>790677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B79C07B-F6FD-4223-8BAA-88C0F1C51780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1306283</xdr:colOff>
      <xdr:row>1</xdr:row>
      <xdr:rowOff>68383</xdr:rowOff>
    </xdr:from>
    <xdr:to>
      <xdr:col>9</xdr:col>
      <xdr:colOff>402698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D13F507-1166-4925-B6BA-D565A2AB58E7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454F4CB-96E1-49BB-AA08-C72168E1D60A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B41B17C-CF4E-4E46-83D9-1A8D86C6357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610D335-F039-43AA-BD74-489E82DE21F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554A3D-E5E6-4E04-B44E-010A39A0335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688D141-932A-4061-98BF-8249A4F62EB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F7D4E51-7332-4574-9EAD-057A54DC574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9A2A387-9BBC-4EC0-84C9-0C8F24733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516C1FE-5FC9-4FD5-8C50-4B41A2565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B561700-B70D-48DD-8FBF-7B42C3140D1A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18D22CA-B52E-4D1D-8330-10B314B7508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F95F96B-6009-4F4D-9A80-42B68EEEF0F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6626B98-D9DD-4A2B-945A-8708D2873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7</xdr:col>
      <xdr:colOff>839706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CABAD3A-011C-44B6-9CF1-663C3D4BABC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7</xdr:col>
      <xdr:colOff>900233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F734EEB-13D3-4C0A-82EC-8F9DA29D2A18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C3124A-2E7D-4A6D-AAF7-96885459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1113008</xdr:colOff>
      <xdr:row>0</xdr:row>
      <xdr:rowOff>0</xdr:rowOff>
    </xdr:from>
    <xdr:to>
      <xdr:col>8</xdr:col>
      <xdr:colOff>22614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C48775D-88F8-4125-8C7D-CD83E3F06514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DF2A68C-E3D5-43D1-9831-A7E99F80A8B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18C6C35-3FD7-49C1-94A6-537BEEE81C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8A26A7-7213-4329-B399-55321529E3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235387</xdr:colOff>
      <xdr:row>0</xdr:row>
      <xdr:rowOff>0</xdr:rowOff>
    </xdr:from>
    <xdr:to>
      <xdr:col>10</xdr:col>
      <xdr:colOff>120799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616DBE3-46A2-47CE-A050-9CCF44DE7C12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97BDF6-776F-4BDE-95C8-AEDCBBB08CCB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F7DBB171-5D70-4A56-A5D1-843C23FAE44A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D255A8-11CC-4A83-8E0A-ECE57FB8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328689</xdr:colOff>
      <xdr:row>0</xdr:row>
      <xdr:rowOff>0</xdr:rowOff>
    </xdr:from>
    <xdr:to>
      <xdr:col>12</xdr:col>
      <xdr:colOff>230709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532E00E-A3BD-4F75-86F7-28652565CD31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3DF950B-7A7D-485A-8D06-492FAE944428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B7CEF2FA-15AD-4778-A4B7-04B32D5D37DE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959824C-C2C1-48BC-9160-E05E44692D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438590</xdr:colOff>
      <xdr:row>0</xdr:row>
      <xdr:rowOff>0</xdr:rowOff>
    </xdr:from>
    <xdr:to>
      <xdr:col>14</xdr:col>
      <xdr:colOff>335725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379192D-D60A-4801-8AE8-0BF3F68252E3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ED7E6AF-C7E5-49A7-9432-BC050D81188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5B2CF8D-E62F-4067-A8DB-FDD45614124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538B0F-03B6-484F-BAE9-0BB082BC5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11B1520-3D0D-455A-9178-87600DE96E9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E3273E5-CA79-4428-8386-0EB63D0B130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DD9DE27-A284-4718-9696-D1F8BAA8DC6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F7F937-2BED-4527-8222-65F9D0D96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34194C1-CF0B-4B96-B76C-E87D128DA98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7FB893B9-2E61-4BDE-B63B-3B564A2619CE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EC2CF2-255E-42EC-8EE6-666FDE7772B7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1400277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FAA3AEE-FF7B-4204-9861-4C51845D47CC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1915883</xdr:colOff>
      <xdr:row>1</xdr:row>
      <xdr:rowOff>68383</xdr:rowOff>
    </xdr:from>
    <xdr:to>
      <xdr:col>10</xdr:col>
      <xdr:colOff>413584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EA7E8E1-7F2B-4672-83AB-7F7B2AEEBB15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319591</xdr:colOff>
      <xdr:row>1</xdr:row>
      <xdr:rowOff>68383</xdr:rowOff>
    </xdr:from>
    <xdr:to>
      <xdr:col>14</xdr:col>
      <xdr:colOff>410514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C2685B7-C303-46E1-A802-9F3A88AEA270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1763485</xdr:colOff>
      <xdr:row>19</xdr:row>
      <xdr:rowOff>54429</xdr:rowOff>
    </xdr:from>
    <xdr:to>
      <xdr:col>7</xdr:col>
      <xdr:colOff>294190</xdr:colOff>
      <xdr:row>22</xdr:row>
      <xdr:rowOff>65477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28A335A-1495-4D0F-8124-A947A4662B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811485" y="456111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0AD2A1E-6437-4060-926F-B04123BF7F4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A9A1703-F4D5-4FD0-8561-B23FF84C7A2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2D1CC18-1DE8-4D6B-AAB1-9CB427642C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FD0B0C-3137-493E-95F0-B1E6722B552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1E013DA-21D1-4154-8EBD-6D2ADF448DF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E8887C-2AA2-4C5A-AF15-DB15F68AE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2830BC8-1E2C-440A-B434-8EFAA34CA7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013303D-B456-43DF-AFE5-AE770404303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F22827-770E-4981-8A78-D754CF377DE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14B055B-DD26-4DEF-8BC8-08720A2BA1B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F9D1FE-7926-444E-B649-5A7963BB0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DFFF9B0-0846-455C-A41E-9EAA32453531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2CE296C-B2F1-49BB-B5E6-8E334ECF4B46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A61368-A557-43C3-BA80-3FA45A2D1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1722608</xdr:colOff>
      <xdr:row>0</xdr:row>
      <xdr:rowOff>0</xdr:rowOff>
    </xdr:from>
    <xdr:to>
      <xdr:col>8</xdr:col>
      <xdr:colOff>490699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7250137-00A6-470B-AFD7-E26C819309D1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6758487-C639-4529-A347-1B38E6E510A9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9544566-33B0-4CCA-BB4C-1FB57DBC27C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0035DC-A4FD-48A0-8A8B-4104D0AD1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703472</xdr:colOff>
      <xdr:row>0</xdr:row>
      <xdr:rowOff>0</xdr:rowOff>
    </xdr:from>
    <xdr:to>
      <xdr:col>8</xdr:col>
      <xdr:colOff>1808084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5D11A53-B515-4067-BCAD-8761167C5A4E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868EC99-CCDA-4851-930D-0F22F44063FE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1193230-B91F-4414-90D3-9E0298EB19D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C256634-3020-4C36-B0F2-75F191A03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2015974</xdr:colOff>
      <xdr:row>0</xdr:row>
      <xdr:rowOff>0</xdr:rowOff>
    </xdr:from>
    <xdr:to>
      <xdr:col>9</xdr:col>
      <xdr:colOff>317794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2E34EBF-8EE5-4158-AA51-60C89B926ED8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B47ED3E6-F850-4986-B34F-B3CC903FEEF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1D872AE-9AD7-4071-BFEE-FA9B5830537A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485FF8D-CF1F-41D2-B88C-8774AF00C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525675</xdr:colOff>
      <xdr:row>0</xdr:row>
      <xdr:rowOff>0</xdr:rowOff>
    </xdr:from>
    <xdr:to>
      <xdr:col>11</xdr:col>
      <xdr:colOff>422810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D9E6924-F538-49EB-97AA-1C17EE8F5A0C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6021374-D775-4C1B-9BB7-86B7C071C4B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4F19C67-C34D-42F7-A3C4-8E54AFB6081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F29CD92-7A07-42E9-AF09-B5EF6DD93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7F7102C-84EB-4F4E-BB22-72476B8E30D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42313F9-1937-41D8-91AB-D9843937DBD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7157322-635E-4232-B419-7ADCAB0AF34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E3B4B9-AA30-49D8-A5FE-5B3118D97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9DB13918-6C1C-411C-ACA4-641EEA39DE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5A7B69A-857E-45E2-A344-AE8F4663D484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6D126CC-A07C-49B1-96FB-F4F26706D599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279048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CE1990-2D10-4837-9984-49FD33C06371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185055</xdr:colOff>
      <xdr:row>1</xdr:row>
      <xdr:rowOff>68383</xdr:rowOff>
    </xdr:from>
    <xdr:to>
      <xdr:col>8</xdr:col>
      <xdr:colOff>2100870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2B44F7-0EBB-42C4-AA89-D3ADE8C68200}"/>
            </a:ext>
          </a:extLst>
        </xdr:cNvPr>
        <xdr:cNvSpPr/>
      </xdr:nvSpPr>
      <xdr:spPr>
        <a:xfrm>
          <a:off x="7892141" y="841269"/>
          <a:ext cx="1915815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2616476</xdr:colOff>
      <xdr:row>1</xdr:row>
      <xdr:rowOff>68383</xdr:rowOff>
    </xdr:from>
    <xdr:to>
      <xdr:col>11</xdr:col>
      <xdr:colOff>497599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CF3F-364A-4C06-B131-BC34971C6299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1240972</xdr:colOff>
      <xdr:row>18</xdr:row>
      <xdr:rowOff>32656</xdr:rowOff>
    </xdr:from>
    <xdr:to>
      <xdr:col>6</xdr:col>
      <xdr:colOff>381277</xdr:colOff>
      <xdr:row>21</xdr:row>
      <xdr:rowOff>43704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35FE4108-FD6A-43E7-B111-D704E31E069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288972" y="435428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D28702-DE07-44F7-B2C5-CFAD73562A67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E594F69-784E-4183-93DD-25CC108E7991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63658ED-7F82-4951-89DF-F12D3F628A3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CC79808-0D55-418C-8F54-4C9977DAD2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19491A4-06CD-44E3-B849-D82148B97C6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827EDF-CD96-43EB-AFD2-34F9C5555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E6F984-21EE-4EA2-BB47-D5BF8E62A6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6857ED-AB25-4561-BB47-BA5EC7E13660}"/>
            </a:ext>
          </a:extLst>
        </xdr:cNvPr>
        <xdr:cNvGrpSpPr/>
      </xdr:nvGrpSpPr>
      <xdr:grpSpPr>
        <a:xfrm>
          <a:off x="4435518" y="0"/>
          <a:ext cx="1106922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B0738F8-7DA6-4AB5-854E-7A837A82284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C062126-9C7F-4503-9614-AF56403E096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4176B09-A6C9-4B5C-813D-5A3BDE5D6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2C206F-057F-4721-8EB7-905C7673EAF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838EE59-1563-4633-8092-B2456906C630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631B73-AF7E-4B6A-A2C7-6EB0C8A32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155065</xdr:colOff>
      <xdr:row>0</xdr:row>
      <xdr:rowOff>0</xdr:rowOff>
    </xdr:from>
    <xdr:to>
      <xdr:col>9</xdr:col>
      <xdr:colOff>55271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B394168-C13F-4D41-9B3D-658E257943E9}"/>
            </a:ext>
          </a:extLst>
        </xdr:cNvPr>
        <xdr:cNvGrpSpPr/>
      </xdr:nvGrpSpPr>
      <xdr:grpSpPr>
        <a:xfrm>
          <a:off x="7082338" y="0"/>
          <a:ext cx="1105551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2485F59-A5B6-4ABB-A224-6AAAB6E46B5B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AEB6545-8D09-48E9-8006-AEB796CCCF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6C16CC0-7B7F-41DF-A086-63C1A885B4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268044</xdr:colOff>
      <xdr:row>0</xdr:row>
      <xdr:rowOff>0</xdr:rowOff>
    </xdr:from>
    <xdr:to>
      <xdr:col>11</xdr:col>
      <xdr:colOff>153456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8C0961C-BD92-4C52-9F28-9F564E193EED}"/>
            </a:ext>
          </a:extLst>
        </xdr:cNvPr>
        <xdr:cNvGrpSpPr/>
      </xdr:nvGrpSpPr>
      <xdr:grpSpPr>
        <a:xfrm>
          <a:off x="8400662" y="0"/>
          <a:ext cx="1104612" cy="775855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6B7C1BD-2CE2-4100-BFFF-C3AEF2920323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F5B2727-4A23-4F97-94E5-8CA1ADAC775D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9970DD2-F210-4AF3-9979-8DD5C98EB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361346</xdr:colOff>
      <xdr:row>0</xdr:row>
      <xdr:rowOff>0</xdr:rowOff>
    </xdr:from>
    <xdr:to>
      <xdr:col>13</xdr:col>
      <xdr:colOff>263366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9162A22-88EA-40D5-8AD4-6BCDF2936E97}"/>
            </a:ext>
          </a:extLst>
        </xdr:cNvPr>
        <xdr:cNvGrpSpPr/>
      </xdr:nvGrpSpPr>
      <xdr:grpSpPr>
        <a:xfrm>
          <a:off x="9713164" y="0"/>
          <a:ext cx="1121220" cy="775855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1635918-E23B-447C-A324-DBDFAB6880BD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B2A39BE-1EB4-4DBE-9E48-64962A013832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8D0106-4D06-4906-BBED-55E381C8B3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471247</xdr:colOff>
      <xdr:row>0</xdr:row>
      <xdr:rowOff>0</xdr:rowOff>
    </xdr:from>
    <xdr:to>
      <xdr:col>15</xdr:col>
      <xdr:colOff>368382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F51CCD5-FA4B-41A9-9121-9C31E3C1745B}"/>
            </a:ext>
          </a:extLst>
        </xdr:cNvPr>
        <xdr:cNvGrpSpPr/>
      </xdr:nvGrpSpPr>
      <xdr:grpSpPr>
        <a:xfrm>
          <a:off x="11042265" y="0"/>
          <a:ext cx="1116335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35794250-DE85-4B35-B9F9-DBE4378D5FE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17BC8191-9E11-4987-AC7F-F686BDB9FA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8BA66B2-E840-414A-B648-E929C5A284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C6A5A15-2FD5-4163-B69D-1C419F41A213}"/>
            </a:ext>
          </a:extLst>
        </xdr:cNvPr>
        <xdr:cNvGrpSpPr/>
      </xdr:nvGrpSpPr>
      <xdr:grpSpPr>
        <a:xfrm>
          <a:off x="3126443" y="0"/>
          <a:ext cx="1113404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0716404-1D5D-448E-9847-31CDB19DAC7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FBEA216D-133B-4829-B6AC-DA5D6226F65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72CFB18-99E3-4041-B7A0-16D006B47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2C0D5A30-E14A-4E85-A175-CB765B466D1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CB5F885-C519-4157-9A5C-72027F72B1B4}"/>
            </a:ext>
          </a:extLst>
        </xdr:cNvPr>
        <xdr:cNvSpPr/>
      </xdr:nvSpPr>
      <xdr:spPr>
        <a:xfrm>
          <a:off x="605691" y="845623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B6870B09-1977-40E3-AF53-4A0AE4A6CC47}"/>
            </a:ext>
          </a:extLst>
        </xdr:cNvPr>
        <xdr:cNvSpPr/>
      </xdr:nvSpPr>
      <xdr:spPr>
        <a:xfrm>
          <a:off x="3044929" y="845623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442334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54EFA34-90A3-41F4-B4EB-64F6907867D6}"/>
            </a:ext>
          </a:extLst>
        </xdr:cNvPr>
        <xdr:cNvSpPr/>
      </xdr:nvSpPr>
      <xdr:spPr>
        <a:xfrm>
          <a:off x="5470265" y="845623"/>
          <a:ext cx="190300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348341</xdr:colOff>
      <xdr:row>1</xdr:row>
      <xdr:rowOff>68383</xdr:rowOff>
    </xdr:from>
    <xdr:to>
      <xdr:col>11</xdr:col>
      <xdr:colOff>446242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856600-7B2A-497C-8D7E-CD180670D931}"/>
            </a:ext>
          </a:extLst>
        </xdr:cNvPr>
        <xdr:cNvSpPr/>
      </xdr:nvSpPr>
      <xdr:spPr>
        <a:xfrm>
          <a:off x="7888875" y="845623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12</xdr:col>
      <xdr:colOff>352248</xdr:colOff>
      <xdr:row>1</xdr:row>
      <xdr:rowOff>68383</xdr:rowOff>
    </xdr:from>
    <xdr:to>
      <xdr:col>15</xdr:col>
      <xdr:colOff>443171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480F0A9-1C1D-4990-B057-C847D86F5418}"/>
            </a:ext>
          </a:extLst>
        </xdr:cNvPr>
        <xdr:cNvSpPr/>
      </xdr:nvSpPr>
      <xdr:spPr>
        <a:xfrm>
          <a:off x="10320296" y="845623"/>
          <a:ext cx="1919723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1295398</xdr:colOff>
      <xdr:row>27</xdr:row>
      <xdr:rowOff>0</xdr:rowOff>
    </xdr:from>
    <xdr:to>
      <xdr:col>6</xdr:col>
      <xdr:colOff>435703</xdr:colOff>
      <xdr:row>30</xdr:row>
      <xdr:rowOff>11048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9B9F491A-16FB-4287-9511-47DFC582740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343398" y="5987143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59A5A9-E9BC-420F-9081-3B0360C88B1F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46F322E-3178-489E-B88E-228E569088D3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538D565-542C-4FC1-B608-48CA41555C8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8CF2E59-B0F7-464C-B988-40D6AC2ED488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B510D15-7EA4-4EBA-8D48-8412BE4F854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818D5E7-8146-4AA5-B12F-19F75B3C54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1032D1B-CFE7-4068-BC96-830503D0D58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263220</xdr:colOff>
      <xdr:row>0</xdr:row>
      <xdr:rowOff>0</xdr:rowOff>
    </xdr:from>
    <xdr:to>
      <xdr:col>7</xdr:col>
      <xdr:colOff>203898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3DDCFE49-5E98-4C24-995C-504C61E3E2C4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AF6321C2-71A1-4B2C-968B-DC6EC31EDE9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1773F92-AC52-4872-8C38-37A2A7768E2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2B394BE-92F2-45F4-8DC0-4E76B5883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450997</xdr:colOff>
      <xdr:row>0</xdr:row>
      <xdr:rowOff>0</xdr:rowOff>
    </xdr:from>
    <xdr:to>
      <xdr:col>8</xdr:col>
      <xdr:colOff>525416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A7B464-FB73-4D14-87BD-BE106E969578}"/>
            </a:ext>
          </a:extLst>
        </xdr:cNvPr>
        <xdr:cNvSpPr/>
      </xdr:nvSpPr>
      <xdr:spPr>
        <a:xfrm>
          <a:off x="5800237" y="0"/>
          <a:ext cx="1019299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416666</xdr:colOff>
      <xdr:row>0</xdr:row>
      <xdr:rowOff>514894</xdr:rowOff>
    </xdr:from>
    <xdr:to>
      <xdr:col>8</xdr:col>
      <xdr:colOff>585943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48EBD2AA-5799-44D7-B7C8-05AF42C6B628}"/>
            </a:ext>
          </a:extLst>
        </xdr:cNvPr>
        <xdr:cNvSpPr txBox="1"/>
      </xdr:nvSpPr>
      <xdr:spPr>
        <a:xfrm rot="10800000" flipH="1" flipV="1">
          <a:off x="5765906" y="514894"/>
          <a:ext cx="1114157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756173</xdr:colOff>
      <xdr:row>0</xdr:row>
      <xdr:rowOff>91651</xdr:rowOff>
    </xdr:from>
    <xdr:to>
      <xdr:col>8</xdr:col>
      <xdr:colOff>220240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B458721-B489-4795-AC05-984954823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05413" y="91651"/>
          <a:ext cx="408947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798718</xdr:colOff>
      <xdr:row>0</xdr:row>
      <xdr:rowOff>0</xdr:rowOff>
    </xdr:from>
    <xdr:to>
      <xdr:col>9</xdr:col>
      <xdr:colOff>967996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7400A554-7F18-46AB-A51E-BB2F7E7C3C0C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A3AF733-26D1-4AF0-A9F4-0DE75479D0BA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25FA490D-14E6-4778-AA50-CA1F69EA8B7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D0DFD78-5253-4F14-B85F-968B38C6A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113969</xdr:colOff>
      <xdr:row>0</xdr:row>
      <xdr:rowOff>0</xdr:rowOff>
    </xdr:from>
    <xdr:to>
      <xdr:col>11</xdr:col>
      <xdr:colOff>305019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FA6E37C-1B17-497F-834A-820288A5EA54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A8BD149-664F-4AF2-9BAB-4128308008C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D94916FD-8757-4FAF-B41A-0BA49338F28E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10DF59-394C-4C38-8156-2F31A8C232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516817</xdr:colOff>
      <xdr:row>0</xdr:row>
      <xdr:rowOff>0</xdr:rowOff>
    </xdr:from>
    <xdr:to>
      <xdr:col>13</xdr:col>
      <xdr:colOff>414929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800A2281-4897-42FE-9C37-FC15E3A03368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C4DC90D5-D673-4642-8D46-35AE5E02D0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64484E29-EBD8-4BBB-8B20-566ACC5CC9D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63DC08B-577A-4D82-B75C-04A930322F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17117</xdr:colOff>
      <xdr:row>0</xdr:row>
      <xdr:rowOff>0</xdr:rowOff>
    </xdr:from>
    <xdr:to>
      <xdr:col>15</xdr:col>
      <xdr:colOff>523853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88423AB-096F-4D9B-BA14-325CD1F30E7E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5136E6-FC05-4CC5-BDDB-B9C5BB0707B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730D70F-A268-4F99-93DE-987864C4044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610980B-2BA9-49EC-A173-B40779561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6</xdr:col>
      <xdr:colOff>63641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26BD42E5-6B84-434C-8D48-588F6950106C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BA5F58E3-13B8-4080-B988-C2026BDEBFA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785E2D6-3EA4-4747-B9D7-F0D172EF945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E05409A-915B-4AF8-8500-14EC0529D9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EA340D2-191F-4A68-BEEB-8D7F26E6305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1230406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F3BA27C-6FAB-4EBB-8C45-BFF4BE002FF0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7FE3ED3-465B-49AF-96B1-2E77F9F876E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B42A5B30-AB8B-4393-BC52-A906D760323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</xdr:col>
      <xdr:colOff>1381123</xdr:colOff>
      <xdr:row>0</xdr:row>
      <xdr:rowOff>0</xdr:rowOff>
    </xdr:from>
    <xdr:to>
      <xdr:col>1</xdr:col>
      <xdr:colOff>2402741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2B8F0E9-2950-4D06-AD86-6C3496D75E72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5D3759C-8406-41F4-9971-61E52F7E33F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669B89F-E3CA-470E-BB3D-7BF717AE2F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9DCC712-2390-4A0F-8E8D-F0CC7AA750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2</xdr:col>
      <xdr:colOff>393848</xdr:colOff>
      <xdr:row>0</xdr:row>
      <xdr:rowOff>0</xdr:rowOff>
    </xdr:from>
    <xdr:to>
      <xdr:col>3</xdr:col>
      <xdr:colOff>508698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4118781-E359-41A1-812C-4F3BF2D2D6F3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135626C-776C-4F0E-A288-968A0EDC39A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8D6E67D-B581-42AC-9340-BB2EF342F490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F9BF1FF-E3F5-4668-BEFB-18C3A0C049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755797</xdr:colOff>
      <xdr:row>0</xdr:row>
      <xdr:rowOff>0</xdr:rowOff>
    </xdr:from>
    <xdr:to>
      <xdr:col>5</xdr:col>
      <xdr:colOff>242388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C4A246A4-BB1F-419D-B2EA-14EEBF805418}"/>
            </a:ext>
          </a:extLst>
        </xdr:cNvPr>
        <xdr:cNvSpPr/>
      </xdr:nvSpPr>
      <xdr:spPr>
        <a:xfrm>
          <a:off x="5815477" y="0"/>
          <a:ext cx="1018211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721466</xdr:colOff>
      <xdr:row>0</xdr:row>
      <xdr:rowOff>514894</xdr:rowOff>
    </xdr:from>
    <xdr:to>
      <xdr:col>5</xdr:col>
      <xdr:colOff>302915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BE24922B-8BBA-4AB3-9F8B-E5409897C19A}"/>
            </a:ext>
          </a:extLst>
        </xdr:cNvPr>
        <xdr:cNvSpPr txBox="1"/>
      </xdr:nvSpPr>
      <xdr:spPr>
        <a:xfrm rot="10800000" flipH="1" flipV="1">
          <a:off x="5781146" y="514894"/>
          <a:ext cx="111306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4</xdr:col>
      <xdr:colOff>135687</xdr:colOff>
      <xdr:row>0</xdr:row>
      <xdr:rowOff>91651</xdr:rowOff>
    </xdr:from>
    <xdr:to>
      <xdr:col>4</xdr:col>
      <xdr:colOff>546812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A1FDC89-9310-463F-80DB-B08BB640B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38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515690</xdr:colOff>
      <xdr:row>0</xdr:row>
      <xdr:rowOff>0</xdr:rowOff>
    </xdr:from>
    <xdr:to>
      <xdr:col>7</xdr:col>
      <xdr:colOff>412825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E7BF184-9A16-4853-BB8D-D1E79BEFD572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0F7F840-FA14-421C-A7AA-77C2EBA3287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196F857-3FA1-4EAD-A18C-A20788F94EBC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489F4F8-6781-4BE7-9236-6C5A4F2228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15998</xdr:colOff>
      <xdr:row>0</xdr:row>
      <xdr:rowOff>0</xdr:rowOff>
    </xdr:from>
    <xdr:to>
      <xdr:col>9</xdr:col>
      <xdr:colOff>522733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DE27496-DF83-45F8-ACC0-7431086C043D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1C17787-025B-4CD9-A8D3-5F017AD87A0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04DB87C-8E65-4D03-B1A8-25A17883CA0F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8A888F-B61D-4C67-BAF3-0E967B9440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124931</xdr:colOff>
      <xdr:row>0</xdr:row>
      <xdr:rowOff>0</xdr:rowOff>
    </xdr:from>
    <xdr:to>
      <xdr:col>12</xdr:col>
      <xdr:colOff>23043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0B596D4-C969-47D8-9732-DC5BEB3903A8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C3B82150-0F41-4CF7-A5C5-962870E1A72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456061B-6388-41D2-B2A5-C2BDCCCDD45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8E32855-B56E-4931-A567-4B32DBE8C9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234831</xdr:colOff>
      <xdr:row>0</xdr:row>
      <xdr:rowOff>0</xdr:rowOff>
    </xdr:from>
    <xdr:to>
      <xdr:col>14</xdr:col>
      <xdr:colOff>131967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8D2BB3-50C9-46F8-9B18-E68D9E89E55B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2BFF5DFF-95E8-493F-BA93-551396D209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8E9C025-CB04-44EB-BDE2-D5982C9FF5A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2724735-C510-4AFA-ADC3-89F5E96BA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2516843</xdr:colOff>
      <xdr:row>0</xdr:row>
      <xdr:rowOff>0</xdr:rowOff>
    </xdr:from>
    <xdr:to>
      <xdr:col>2</xdr:col>
      <xdr:colOff>194269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D904E42A-B5AA-493C-B634-9593697676F2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C176C199-6F06-41E6-9FED-4A2A40B6725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2AB3CE3B-284B-4ACD-9D8F-1BCDAC62F73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8E91BCF-D842-465D-A4A2-C333218235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1</xdr:col>
      <xdr:colOff>1230923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B8B75A2-401C-41DE-A57A-A4C41B37D9D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1230406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BB9ECA-6DB5-447B-AC66-874FD519E05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7E46B80-E144-4211-B1D4-7DE918B281C5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4F28B50-569E-4FD8-8874-7F040B9BC7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</xdr:col>
      <xdr:colOff>1381123</xdr:colOff>
      <xdr:row>0</xdr:row>
      <xdr:rowOff>0</xdr:rowOff>
    </xdr:from>
    <xdr:to>
      <xdr:col>1</xdr:col>
      <xdr:colOff>2402741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90082B3-3DED-45F2-8430-DC2DB6164FA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8426D61-68E1-4133-BE0E-96597591AC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A71A6A4-C7A9-4F12-BE8D-B22BF668A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3C9F8CC-65D9-4193-8355-5C7B03C99F2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2</xdr:col>
      <xdr:colOff>393848</xdr:colOff>
      <xdr:row>0</xdr:row>
      <xdr:rowOff>0</xdr:rowOff>
    </xdr:from>
    <xdr:to>
      <xdr:col>3</xdr:col>
      <xdr:colOff>508698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596B271-A60B-4BE5-9797-7B2AA6D9D6C4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515835-A040-4E08-9061-51B5CA0BF4B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AB980D0-C9E9-44C1-B389-1A101BBB127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3848C5-F01B-4C29-B667-FDC72733FA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755797</xdr:colOff>
      <xdr:row>0</xdr:row>
      <xdr:rowOff>0</xdr:rowOff>
    </xdr:from>
    <xdr:to>
      <xdr:col>5</xdr:col>
      <xdr:colOff>242388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62F4868C-BCE8-4845-9A39-591440B1F5A5}"/>
            </a:ext>
          </a:extLst>
        </xdr:cNvPr>
        <xdr:cNvSpPr/>
      </xdr:nvSpPr>
      <xdr:spPr>
        <a:xfrm>
          <a:off x="5815477" y="0"/>
          <a:ext cx="1018211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721466</xdr:colOff>
      <xdr:row>0</xdr:row>
      <xdr:rowOff>514894</xdr:rowOff>
    </xdr:from>
    <xdr:to>
      <xdr:col>5</xdr:col>
      <xdr:colOff>302915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4C87EFE-8413-46F1-B0A4-1E19743D330F}"/>
            </a:ext>
          </a:extLst>
        </xdr:cNvPr>
        <xdr:cNvSpPr txBox="1"/>
      </xdr:nvSpPr>
      <xdr:spPr>
        <a:xfrm rot="10800000" flipH="1" flipV="1">
          <a:off x="5781146" y="514894"/>
          <a:ext cx="111306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4</xdr:col>
      <xdr:colOff>135687</xdr:colOff>
      <xdr:row>0</xdr:row>
      <xdr:rowOff>91651</xdr:rowOff>
    </xdr:from>
    <xdr:to>
      <xdr:col>4</xdr:col>
      <xdr:colOff>546812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1E3B1E-FF58-4993-8F00-4C70EDF5D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38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515690</xdr:colOff>
      <xdr:row>0</xdr:row>
      <xdr:rowOff>0</xdr:rowOff>
    </xdr:from>
    <xdr:to>
      <xdr:col>7</xdr:col>
      <xdr:colOff>412825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CDD8D36-BBBB-46E6-9BB6-563598B177D2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C248A15-028A-4466-894B-B563945FF5EA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6A99F10-49AC-47C5-8BE9-0243B93015D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73061-F227-42E3-A487-2C3130719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625598</xdr:colOff>
      <xdr:row>0</xdr:row>
      <xdr:rowOff>0</xdr:rowOff>
    </xdr:from>
    <xdr:to>
      <xdr:col>7</xdr:col>
      <xdr:colOff>1741933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F360B0B4-C67E-4327-BEBB-83B4DCC4B67E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DACB376-7A59-4F21-8160-0ACA51110F8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7BA955A-BC5B-445F-9CC7-75A62F6E426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177CD9-1F15-4CB6-8533-062015FD20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1953731</xdr:colOff>
      <xdr:row>0</xdr:row>
      <xdr:rowOff>0</xdr:rowOff>
    </xdr:from>
    <xdr:to>
      <xdr:col>8</xdr:col>
      <xdr:colOff>632643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62B16340-90BB-4436-B0AD-0EFB1EA99F1E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4DB4FB7-C8DE-4E01-93CC-9C0665D0C1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D064E657-6178-4BA0-894C-F6DF648EE4AC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867AB52-B038-452C-BA84-39B32E90DD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844431</xdr:colOff>
      <xdr:row>0</xdr:row>
      <xdr:rowOff>0</xdr:rowOff>
    </xdr:from>
    <xdr:to>
      <xdr:col>9</xdr:col>
      <xdr:colOff>850424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47CDFF0-C947-40EE-AA4F-CD517C78A7FC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7BFBD64F-8045-47BE-A7D1-8002BC9DDCB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010DB68-CB62-4EDE-BBB0-877531FBF21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894C8E-D91A-407F-90D9-E3BD9BA991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2516843</xdr:colOff>
      <xdr:row>0</xdr:row>
      <xdr:rowOff>0</xdr:rowOff>
    </xdr:from>
    <xdr:to>
      <xdr:col>2</xdr:col>
      <xdr:colOff>194269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D009FB2B-00D8-41EE-8DD6-53198C5D66F0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0F36262-736F-4CE0-95E8-14A8DF1C0916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500B6A-1441-4BB9-B976-1932C31A29F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C1FB97-E883-44CC-8013-C1F79017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1</xdr:col>
      <xdr:colOff>1230923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129BF311-22A7-453C-A633-B0223767E38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A34464-3690-4193-83C4-33239E6AF05B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0CB22EC-C48B-4929-BC42-55A08474E22A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E95C4BB-EF43-4479-9751-45C45905EC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36583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C34B4C6-4452-4F21-B7C5-B847FE7447EE}"/>
            </a:ext>
          </a:extLst>
        </xdr:cNvPr>
        <xdr:cNvGrpSpPr/>
      </xdr:nvGrpSpPr>
      <xdr:grpSpPr>
        <a:xfrm>
          <a:off x="1990723" y="0"/>
          <a:ext cx="1024587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409FB52A-CA09-422B-80FC-DB946F39413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A8934A-5739-4012-B8AD-CFDEBAC6C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80F1998-BCC6-4EE2-ABFC-C4089AA7F5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498748</xdr:colOff>
      <xdr:row>0</xdr:row>
      <xdr:rowOff>0</xdr:rowOff>
    </xdr:from>
    <xdr:to>
      <xdr:col>6</xdr:col>
      <xdr:colOff>36653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47D63D0-9BD6-4110-8836-9E1CF8AF688E}"/>
            </a:ext>
          </a:extLst>
        </xdr:cNvPr>
        <xdr:cNvGrpSpPr/>
      </xdr:nvGrpSpPr>
      <xdr:grpSpPr>
        <a:xfrm>
          <a:off x="4447293" y="0"/>
          <a:ext cx="1117324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6CDAB2-B097-47F5-A196-7FC2F8028B6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1A66EC3-3BD0-4280-AC01-90092F16B80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BFD277-5DE1-433F-BEFF-895E7D7DF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283752</xdr:colOff>
      <xdr:row>0</xdr:row>
      <xdr:rowOff>0</xdr:rowOff>
    </xdr:from>
    <xdr:to>
      <xdr:col>7</xdr:col>
      <xdr:colOff>695629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DA12DE6-FF64-42A3-A248-E90866D4D106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249421</xdr:colOff>
      <xdr:row>0</xdr:row>
      <xdr:rowOff>514894</xdr:rowOff>
    </xdr:from>
    <xdr:to>
      <xdr:col>7</xdr:col>
      <xdr:colOff>756156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6670679-604A-4F0E-9582-2299D4BBC5D7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588928</xdr:colOff>
      <xdr:row>0</xdr:row>
      <xdr:rowOff>91651</xdr:rowOff>
    </xdr:from>
    <xdr:to>
      <xdr:col>7</xdr:col>
      <xdr:colOff>390453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ADBBFF-160E-4E36-A38A-54F9024AB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968931</xdr:colOff>
      <xdr:row>0</xdr:row>
      <xdr:rowOff>0</xdr:rowOff>
    </xdr:from>
    <xdr:to>
      <xdr:col>8</xdr:col>
      <xdr:colOff>522671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20E110A-3922-4690-BA51-11FAE09717E7}"/>
            </a:ext>
          </a:extLst>
        </xdr:cNvPr>
        <xdr:cNvGrpSpPr/>
      </xdr:nvGrpSpPr>
      <xdr:grpSpPr>
        <a:xfrm>
          <a:off x="7106495" y="0"/>
          <a:ext cx="1119303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EE75A4E6-C171-4E87-886B-1D2126BBAA1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C8C9552-AEA6-495C-981C-78AA836C0D9A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4FB3FF7-81F4-4807-B7A8-12761F471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775956</xdr:colOff>
      <xdr:row>0</xdr:row>
      <xdr:rowOff>0</xdr:rowOff>
    </xdr:from>
    <xdr:to>
      <xdr:col>10</xdr:col>
      <xdr:colOff>12495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A880A2-1A1F-4225-A283-A7A2773707AB}"/>
            </a:ext>
          </a:extLst>
        </xdr:cNvPr>
        <xdr:cNvSpPr/>
      </xdr:nvSpPr>
      <xdr:spPr>
        <a:xfrm>
          <a:off x="8465228" y="0"/>
          <a:ext cx="1020808" cy="77288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741383</xdr:colOff>
      <xdr:row>0</xdr:row>
      <xdr:rowOff>509194</xdr:rowOff>
    </xdr:from>
    <xdr:to>
      <xdr:col>10</xdr:col>
      <xdr:colOff>73449</xdr:colOff>
      <xdr:row>0</xdr:row>
      <xdr:rowOff>760808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C60B2974-3330-4183-B321-5DC11BD3C8A5}"/>
            </a:ext>
          </a:extLst>
        </xdr:cNvPr>
        <xdr:cNvSpPr txBox="1"/>
      </xdr:nvSpPr>
      <xdr:spPr>
        <a:xfrm rot="10800000" flipH="1" flipV="1">
          <a:off x="84306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86055</xdr:colOff>
      <xdr:row>0</xdr:row>
      <xdr:rowOff>90636</xdr:rowOff>
    </xdr:from>
    <xdr:to>
      <xdr:col>9</xdr:col>
      <xdr:colOff>494576</xdr:colOff>
      <xdr:row>0</xdr:row>
      <xdr:rowOff>489026</xdr:rowOff>
    </xdr:to>
    <xdr:pic>
      <xdr:nvPicPr>
        <xdr:cNvPr id="23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8B32CC-4B19-4DF8-BCF0-3A17EBB5F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10</xdr:col>
      <xdr:colOff>285247</xdr:colOff>
      <xdr:row>0</xdr:row>
      <xdr:rowOff>0</xdr:rowOff>
    </xdr:from>
    <xdr:to>
      <xdr:col>12</xdr:col>
      <xdr:colOff>183359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3388C5-3548-4766-9E35-33EC186D7E16}"/>
            </a:ext>
          </a:extLst>
        </xdr:cNvPr>
        <xdr:cNvGrpSpPr/>
      </xdr:nvGrpSpPr>
      <xdr:grpSpPr>
        <a:xfrm>
          <a:off x="9775611" y="0"/>
          <a:ext cx="1117312" cy="775855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6363E7-B4D0-4B95-8CB0-59B555D30B3A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258382D-1E73-44E9-9C15-D9E480D1F05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D0CCE9-D882-4FC5-A406-27D9EEDC1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395147</xdr:colOff>
      <xdr:row>0</xdr:row>
      <xdr:rowOff>0</xdr:rowOff>
    </xdr:from>
    <xdr:to>
      <xdr:col>14</xdr:col>
      <xdr:colOff>292283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BBC806EF-E6C4-47A4-9A7F-1965986B1C8F}"/>
            </a:ext>
          </a:extLst>
        </xdr:cNvPr>
        <xdr:cNvGrpSpPr/>
      </xdr:nvGrpSpPr>
      <xdr:grpSpPr>
        <a:xfrm>
          <a:off x="11104711" y="0"/>
          <a:ext cx="1116336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FB26D0AE-7361-4003-AAFD-831B3FBD61A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E071703-BE60-495F-A689-AF1EC8E795F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6852645-0578-407E-9140-A311268B0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150685</xdr:colOff>
      <xdr:row>0</xdr:row>
      <xdr:rowOff>0</xdr:rowOff>
    </xdr:from>
    <xdr:to>
      <xdr:col>4</xdr:col>
      <xdr:colOff>299169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9E1EB65-CCA9-4660-BB8B-09278929D018}"/>
            </a:ext>
          </a:extLst>
        </xdr:cNvPr>
        <xdr:cNvGrpSpPr/>
      </xdr:nvGrpSpPr>
      <xdr:grpSpPr>
        <a:xfrm>
          <a:off x="3129412" y="0"/>
          <a:ext cx="1118302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0F35A71-37B0-4475-838E-63958EB6301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34E76145-F0B9-4A16-BDBB-27496977038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D9404C7-2AD1-48A2-8601-2F31DE85F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A3537E8-F3A2-4D6F-AA68-06A58F749D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14</xdr:col>
      <xdr:colOff>399801</xdr:colOff>
      <xdr:row>0</xdr:row>
      <xdr:rowOff>10885</xdr:rowOff>
    </xdr:from>
    <xdr:to>
      <xdr:col>16</xdr:col>
      <xdr:colOff>298917</xdr:colOff>
      <xdr:row>1</xdr:row>
      <xdr:rowOff>10885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BF6B4867-4CE5-4F80-9A92-B2666A9E1CD2}"/>
            </a:ext>
          </a:extLst>
        </xdr:cNvPr>
        <xdr:cNvGrpSpPr/>
      </xdr:nvGrpSpPr>
      <xdr:grpSpPr>
        <a:xfrm>
          <a:off x="12328565" y="10885"/>
          <a:ext cx="1118316" cy="775855"/>
          <a:chOff x="11105473" y="0"/>
          <a:chExt cx="1118289" cy="78153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DE830602-D687-4132-AFC2-698E46A0EF2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07DBDAC-3C76-4097-8E0C-CA705FD5E7E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40" name="Imagem 39" descr="Ícone do banco de dados (símbolo png) preto">
          <a:extLst>
            <a:ext uri="{FF2B5EF4-FFF2-40B4-BE49-F238E27FC236}">
              <a16:creationId xmlns:a16="http://schemas.microsoft.com/office/drawing/2014/main" id="{6F641C1A-7DDA-4D78-8BDC-BD8D1471C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33B2169B-E5B6-4D9A-8823-D1EAD262D507}"/>
            </a:ext>
          </a:extLst>
        </xdr:cNvPr>
        <xdr:cNvSpPr/>
      </xdr:nvSpPr>
      <xdr:spPr>
        <a:xfrm>
          <a:off x="609600" y="849088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73080</xdr:colOff>
      <xdr:row>1</xdr:row>
      <xdr:rowOff>76202</xdr:rowOff>
    </xdr:from>
    <xdr:to>
      <xdr:col>5</xdr:col>
      <xdr:colOff>47329</xdr:colOff>
      <xdr:row>1</xdr:row>
      <xdr:rowOff>504602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2B125009-837B-42B1-9AEB-AF8A92AC2003}"/>
            </a:ext>
          </a:extLst>
        </xdr:cNvPr>
        <xdr:cNvSpPr/>
      </xdr:nvSpPr>
      <xdr:spPr>
        <a:xfrm>
          <a:off x="3048838" y="849088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15</xdr:col>
      <xdr:colOff>113803</xdr:colOff>
      <xdr:row>0</xdr:row>
      <xdr:rowOff>87086</xdr:rowOff>
    </xdr:from>
    <xdr:to>
      <xdr:col>15</xdr:col>
      <xdr:colOff>548517</xdr:colOff>
      <xdr:row>0</xdr:row>
      <xdr:rowOff>519021</xdr:rowOff>
    </xdr:to>
    <xdr:pic>
      <xdr:nvPicPr>
        <xdr:cNvPr id="43" name="Imagem 42" descr="Ícone do banco de dados (símbolo png) preto">
          <a:extLst>
            <a:ext uri="{FF2B5EF4-FFF2-40B4-BE49-F238E27FC236}">
              <a16:creationId xmlns:a16="http://schemas.microsoft.com/office/drawing/2014/main" id="{01CEA08A-AF17-40EE-B295-0A44165C8C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2167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0</xdr:colOff>
      <xdr:row>1</xdr:row>
      <xdr:rowOff>69275</xdr:rowOff>
    </xdr:from>
    <xdr:to>
      <xdr:col>7</xdr:col>
      <xdr:colOff>1304286</xdr:colOff>
      <xdr:row>1</xdr:row>
      <xdr:rowOff>497675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B52ACEF2-3D69-43B2-AD4B-4BD5638746E1}"/>
            </a:ext>
          </a:extLst>
        </xdr:cNvPr>
        <xdr:cNvSpPr/>
      </xdr:nvSpPr>
      <xdr:spPr>
        <a:xfrm>
          <a:off x="5527964" y="845130"/>
          <a:ext cx="1913886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1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2556CFD-A6E1-4AAE-9375-DBBCFD7FCE02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AFD29AB7-0D37-47CE-B019-B255F130FD6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80753F9-AB0E-457B-AD78-8F27A7BE4F4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2</xdr:col>
      <xdr:colOff>1793141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D78EAE1-A37C-4F78-869D-1769A65B1961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958967F-01FE-4036-A65A-B894AC8111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DF31AA0-C9E4-47A7-97A3-B29F2B6C72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3564D6-08CF-45DB-97B9-F9452D002E4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1123191</xdr:colOff>
      <xdr:row>0</xdr:row>
      <xdr:rowOff>0</xdr:rowOff>
    </xdr:from>
    <xdr:to>
      <xdr:col>4</xdr:col>
      <xdr:colOff>775892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E00866A-9BAE-4B6E-8733-DE6EBCF5878F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864259D-86F7-41D2-B87F-16A2B253E75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D2A1A98-58D8-4001-8581-06A509E0A290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D48112-07CA-4585-9A78-42B7BF8EA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1017350</xdr:colOff>
      <xdr:row>0</xdr:row>
      <xdr:rowOff>0</xdr:rowOff>
    </xdr:from>
    <xdr:to>
      <xdr:col>5</xdr:col>
      <xdr:colOff>813393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28283C9B-8986-4303-8E50-49C67E454354}"/>
            </a:ext>
          </a:extLst>
        </xdr:cNvPr>
        <xdr:cNvSpPr/>
      </xdr:nvSpPr>
      <xdr:spPr>
        <a:xfrm>
          <a:off x="5801325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990639</xdr:colOff>
      <xdr:row>0</xdr:row>
      <xdr:rowOff>514894</xdr:rowOff>
    </xdr:from>
    <xdr:to>
      <xdr:col>5</xdr:col>
      <xdr:colOff>873920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B99C9B0-14FB-478D-B9E0-B6B3E4729A94}"/>
            </a:ext>
          </a:extLst>
        </xdr:cNvPr>
        <xdr:cNvSpPr txBox="1"/>
      </xdr:nvSpPr>
      <xdr:spPr>
        <a:xfrm rot="10800000" flipH="1" flipV="1">
          <a:off x="5766994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97092</xdr:colOff>
      <xdr:row>0</xdr:row>
      <xdr:rowOff>91651</xdr:rowOff>
    </xdr:from>
    <xdr:to>
      <xdr:col>5</xdr:col>
      <xdr:colOff>508217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7E07BB7-E2C0-4B65-99BE-85E9075BE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06501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1086695</xdr:colOff>
      <xdr:row>0</xdr:row>
      <xdr:rowOff>0</xdr:rowOff>
    </xdr:from>
    <xdr:to>
      <xdr:col>6</xdr:col>
      <xdr:colOff>23907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9094755-460F-456B-A0AA-355CAC906B44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8F5F58FB-3AC5-4528-9689-EF4AB9C482E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FA1BF0A-4E32-4D9A-8D12-3484E7963C68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E18416A-BCDA-48C8-ADBE-F43CB5CA62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271253</xdr:colOff>
      <xdr:row>0</xdr:row>
      <xdr:rowOff>0</xdr:rowOff>
    </xdr:from>
    <xdr:to>
      <xdr:col>7</xdr:col>
      <xdr:colOff>183698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5C507BF-93C0-4F39-936C-AA465856369B}"/>
            </a:ext>
          </a:extLst>
        </xdr:cNvPr>
        <xdr:cNvSpPr/>
      </xdr:nvSpPr>
      <xdr:spPr>
        <a:xfrm>
          <a:off x="8465228" y="0"/>
          <a:ext cx="1017542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236680</xdr:colOff>
      <xdr:row>0</xdr:row>
      <xdr:rowOff>509194</xdr:rowOff>
    </xdr:from>
    <xdr:to>
      <xdr:col>7</xdr:col>
      <xdr:colOff>244652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9C77938-AB83-4BBA-BEAB-0BC223352F8A}"/>
            </a:ext>
          </a:extLst>
        </xdr:cNvPr>
        <xdr:cNvSpPr txBox="1"/>
      </xdr:nvSpPr>
      <xdr:spPr>
        <a:xfrm rot="10800000" flipH="1" flipV="1">
          <a:off x="8430655" y="509194"/>
          <a:ext cx="1113069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578880</xdr:colOff>
      <xdr:row>0</xdr:row>
      <xdr:rowOff>90636</xdr:rowOff>
    </xdr:from>
    <xdr:to>
      <xdr:col>6</xdr:col>
      <xdr:colOff>984433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19DDB20-B693-48D5-912B-93077826C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2287" cy="398390"/>
        </a:xfrm>
        <a:prstGeom prst="rect">
          <a:avLst/>
        </a:prstGeom>
      </xdr:spPr>
    </xdr:pic>
    <xdr:clientData/>
  </xdr:twoCellAnchor>
  <xdr:twoCellAnchor editAs="absolute">
    <xdr:from>
      <xdr:col>7</xdr:col>
      <xdr:colOff>456450</xdr:colOff>
      <xdr:row>0</xdr:row>
      <xdr:rowOff>0</xdr:rowOff>
    </xdr:from>
    <xdr:to>
      <xdr:col>8</xdr:col>
      <xdr:colOff>659362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27B94B2-7E7F-4BCC-8E77-25D40CEB3298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1BACE91-168D-49A4-9F6E-985A9F5A77D2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E16DBDA-910C-489D-8CC3-9318E4B29EA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7FAA38-626C-4BD8-A106-90888DBA8D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871150</xdr:colOff>
      <xdr:row>0</xdr:row>
      <xdr:rowOff>0</xdr:rowOff>
    </xdr:from>
    <xdr:to>
      <xdr:col>8</xdr:col>
      <xdr:colOff>1987486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608FD5F4-253D-439B-8E00-DC8BC5834D02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A97310F-6CB4-4AEB-BAB0-A29C9DD8E1AC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84F06B1-B113-4D3E-9553-EC20CFD783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BF8036F-F2F4-4F22-B4B2-E7C6BEC7DB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1907243</xdr:colOff>
      <xdr:row>0</xdr:row>
      <xdr:rowOff>0</xdr:rowOff>
    </xdr:from>
    <xdr:to>
      <xdr:col>3</xdr:col>
      <xdr:colOff>923612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4FD79A9-FD26-4006-9DBE-334FFA392ECF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D56DF431-FC4C-4EAC-8BA2-7F2EB9B1772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E68DE93-7755-4475-8212-AF9C158482B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B143E4F-6B5C-4583-985F-DCD109E46E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6070693B-DA59-4FCB-A217-0906C5FA12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2095004</xdr:colOff>
      <xdr:row>0</xdr:row>
      <xdr:rowOff>10885</xdr:rowOff>
    </xdr:from>
    <xdr:to>
      <xdr:col>9</xdr:col>
      <xdr:colOff>999562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F6084BEE-8323-4902-BE96-67E5048AD165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D04627F3-29C0-4963-A39B-61B505D62EC1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CB68F890-79FC-41CD-8351-C6B2A3953B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07EEED7B-423C-461F-8FF2-CB230AD86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0002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91BED5-0A46-4E4C-BE0C-890A6C231F1F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1829638</xdr:colOff>
      <xdr:row>1</xdr:row>
      <xdr:rowOff>76202</xdr:rowOff>
    </xdr:from>
    <xdr:to>
      <xdr:col>4</xdr:col>
      <xdr:colOff>176968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E8A01A4-4C1C-4A7F-A2D4-2E314B899627}"/>
            </a:ext>
          </a:extLst>
        </xdr:cNvPr>
        <xdr:cNvSpPr/>
      </xdr:nvSpPr>
      <xdr:spPr>
        <a:xfrm>
          <a:off x="3045572" y="853442"/>
          <a:ext cx="1909730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42F4E2C9-813A-4BAB-91ED-4C7E71AEA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593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734288</xdr:colOff>
      <xdr:row>1</xdr:row>
      <xdr:rowOff>69275</xdr:rowOff>
    </xdr:from>
    <xdr:to>
      <xdr:col>5</xdr:col>
      <xdr:colOff>1395328</xdr:colOff>
      <xdr:row>1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E0DA416E-2068-4AAA-BB98-6EBC7772201C}"/>
            </a:ext>
          </a:extLst>
        </xdr:cNvPr>
        <xdr:cNvSpPr/>
      </xdr:nvSpPr>
      <xdr:spPr>
        <a:xfrm>
          <a:off x="5500252" y="845130"/>
          <a:ext cx="1894094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9</xdr:col>
      <xdr:colOff>221673</xdr:colOff>
      <xdr:row>0</xdr:row>
      <xdr:rowOff>83125</xdr:rowOff>
    </xdr:from>
    <xdr:to>
      <xdr:col>9</xdr:col>
      <xdr:colOff>656387</xdr:colOff>
      <xdr:row>0</xdr:row>
      <xdr:rowOff>515060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F30FCA73-E752-471F-B636-8E52FEB3F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5346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165ACFE2-EFEF-4B36-8D7F-1D494993C0CA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A5C675C-489D-481F-AEAE-2F4D3474EF33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95BCEB4-B825-4B5B-9D54-D4B87F2BCDA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366123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AA77C8-35A1-4E09-B31E-43D846C5DD13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9F3F657-C28A-44AD-AFE3-E429F97E054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8D7950E-37DB-4355-A63B-89EFEA6733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B699404-919C-4226-A08E-89271240142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1788209</xdr:colOff>
      <xdr:row>0</xdr:row>
      <xdr:rowOff>0</xdr:rowOff>
    </xdr:from>
    <xdr:to>
      <xdr:col>4</xdr:col>
      <xdr:colOff>969856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E52AA6-8347-4EF5-8CE8-A99D6D9D2F17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6E3818B-3CDD-4ECE-A8BF-20DC2C19F48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B1FC7AF-D591-4342-8ADC-E4D0E25922C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BF0484B-225F-49E4-8C7E-ED0BC4FC75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1211314</xdr:colOff>
      <xdr:row>0</xdr:row>
      <xdr:rowOff>0</xdr:rowOff>
    </xdr:from>
    <xdr:to>
      <xdr:col>5</xdr:col>
      <xdr:colOff>771829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95D28D28-EF44-48F1-893C-7E49E15F979C}"/>
            </a:ext>
          </a:extLst>
        </xdr:cNvPr>
        <xdr:cNvSpPr/>
      </xdr:nvSpPr>
      <xdr:spPr>
        <a:xfrm>
          <a:off x="5779850" y="0"/>
          <a:ext cx="1022863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1184603</xdr:colOff>
      <xdr:row>0</xdr:row>
      <xdr:rowOff>514894</xdr:rowOff>
    </xdr:from>
    <xdr:to>
      <xdr:col>5</xdr:col>
      <xdr:colOff>832356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2F0A443E-B985-4AE7-B6F8-F1EAD1F90016}"/>
            </a:ext>
          </a:extLst>
        </xdr:cNvPr>
        <xdr:cNvSpPr txBox="1"/>
      </xdr:nvSpPr>
      <xdr:spPr>
        <a:xfrm rot="10800000" flipH="1" flipV="1">
          <a:off x="5753139" y="514894"/>
          <a:ext cx="1110101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55528</xdr:colOff>
      <xdr:row>0</xdr:row>
      <xdr:rowOff>91651</xdr:rowOff>
    </xdr:from>
    <xdr:to>
      <xdr:col>5</xdr:col>
      <xdr:colOff>466653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0B1E9F0-5791-4026-8D81-4AD07790E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86412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1045131</xdr:colOff>
      <xdr:row>0</xdr:row>
      <xdr:rowOff>0</xdr:rowOff>
    </xdr:from>
    <xdr:to>
      <xdr:col>6</xdr:col>
      <xdr:colOff>37762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4F93D037-E412-4BA7-8A59-009DDBC5CD31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7ADD5720-A9B2-4E53-8268-E8BF4425D4E2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9DCB572-880B-4FA5-80DE-303FD65819D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BE3751-EF67-436B-9BA2-FCC62A7C1F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285108</xdr:colOff>
      <xdr:row>0</xdr:row>
      <xdr:rowOff>0</xdr:rowOff>
    </xdr:from>
    <xdr:to>
      <xdr:col>6</xdr:col>
      <xdr:colOff>1305916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A64798C-F729-485F-B779-7BCA9FC4C30C}"/>
            </a:ext>
          </a:extLst>
        </xdr:cNvPr>
        <xdr:cNvSpPr/>
      </xdr:nvSpPr>
      <xdr:spPr>
        <a:xfrm>
          <a:off x="8439893" y="0"/>
          <a:ext cx="1017345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250535</xdr:colOff>
      <xdr:row>0</xdr:row>
      <xdr:rowOff>509194</xdr:rowOff>
    </xdr:from>
    <xdr:to>
      <xdr:col>6</xdr:col>
      <xdr:colOff>1366870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21456E3-2841-4EC3-818F-020BAC694612}"/>
            </a:ext>
          </a:extLst>
        </xdr:cNvPr>
        <xdr:cNvSpPr txBox="1"/>
      </xdr:nvSpPr>
      <xdr:spPr>
        <a:xfrm rot="10800000" flipH="1" flipV="1">
          <a:off x="8405320" y="509194"/>
          <a:ext cx="1112872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592735</xdr:colOff>
      <xdr:row>0</xdr:row>
      <xdr:rowOff>90636</xdr:rowOff>
    </xdr:from>
    <xdr:to>
      <xdr:col>6</xdr:col>
      <xdr:colOff>998288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8CFFEA6-5C71-4041-84C8-E2EE8BE8B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47520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6</xdr:col>
      <xdr:colOff>1578668</xdr:colOff>
      <xdr:row>0</xdr:row>
      <xdr:rowOff>0</xdr:rowOff>
    </xdr:from>
    <xdr:to>
      <xdr:col>7</xdr:col>
      <xdr:colOff>451543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81E5FD4F-32C2-48A3-8C02-2E09BF8401BA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E68273F9-45CF-4738-9A23-D52545F374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C0A9A9A-E1C8-48BE-98FC-49F3CAEF94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0B5D8-1C9A-4A89-B379-E1D6E5180A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663331</xdr:colOff>
      <xdr:row>0</xdr:row>
      <xdr:rowOff>0</xdr:rowOff>
    </xdr:from>
    <xdr:to>
      <xdr:col>8</xdr:col>
      <xdr:colOff>130976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9694D5C-D4DC-4567-8D99-EB21645153AD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EC687E9-F555-4FE3-BDCE-2B95DC9D605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FEA5020-BD8D-4CD9-A8CB-CC8E71A077E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1AE3BFD-C9E1-4576-AC49-71B5B46BF1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480225</xdr:colOff>
      <xdr:row>0</xdr:row>
      <xdr:rowOff>0</xdr:rowOff>
    </xdr:from>
    <xdr:to>
      <xdr:col>3</xdr:col>
      <xdr:colOff>1588630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A308C093-0E75-4D1F-97BE-24FD1DA3967C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DE387B7-DAAA-4CCC-BBF5-A0A32D3CF54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4D4DBEF-0D02-4059-8A0A-45F2BB5965F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1DF8BA0-009F-42A0-AF40-E9E7DB6425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2B9AE6B7-293C-4A25-9F07-54944F8E1B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238494</xdr:colOff>
      <xdr:row>0</xdr:row>
      <xdr:rowOff>10885</xdr:rowOff>
    </xdr:from>
    <xdr:to>
      <xdr:col>8</xdr:col>
      <xdr:colOff>1359780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FEAE6B60-5D60-467F-9B31-CB8A71BCE4A7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9F933495-9F67-4E22-B5FE-444A3E6EB9A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E154F64B-E2BC-40A3-BCD3-0395EDE5979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7C570D9C-4331-4CAB-A193-56476DE383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221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D0A2D0C0-B44F-4158-A974-F23FC7B1CAB2}"/>
            </a:ext>
          </a:extLst>
        </xdr:cNvPr>
        <xdr:cNvSpPr/>
      </xdr:nvSpPr>
      <xdr:spPr>
        <a:xfrm>
          <a:off x="609600" y="852057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403112</xdr:colOff>
      <xdr:row>1</xdr:row>
      <xdr:rowOff>76202</xdr:rowOff>
    </xdr:from>
    <xdr:to>
      <xdr:col>4</xdr:col>
      <xdr:colOff>371424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FF1C84C-2EB2-45D3-AFA2-FF16DA7BC2D2}"/>
            </a:ext>
          </a:extLst>
        </xdr:cNvPr>
        <xdr:cNvSpPr/>
      </xdr:nvSpPr>
      <xdr:spPr>
        <a:xfrm>
          <a:off x="3049330" y="852057"/>
          <a:ext cx="1894094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40A67047-11E8-4E74-8457-9A547DDCA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6801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929087</xdr:colOff>
      <xdr:row>1</xdr:row>
      <xdr:rowOff>76202</xdr:rowOff>
    </xdr:from>
    <xdr:to>
      <xdr:col>5</xdr:col>
      <xdr:colOff>1354599</xdr:colOff>
      <xdr:row>1</xdr:row>
      <xdr:rowOff>504602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C537C7B6-2A25-44EC-9143-2CC811BB0C0A}"/>
            </a:ext>
          </a:extLst>
        </xdr:cNvPr>
        <xdr:cNvSpPr/>
      </xdr:nvSpPr>
      <xdr:spPr>
        <a:xfrm>
          <a:off x="5501087" y="852057"/>
          <a:ext cx="1894094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8</xdr:col>
      <xdr:colOff>581891</xdr:colOff>
      <xdr:row>0</xdr:row>
      <xdr:rowOff>83129</xdr:rowOff>
    </xdr:from>
    <xdr:to>
      <xdr:col>8</xdr:col>
      <xdr:colOff>1016605</xdr:colOff>
      <xdr:row>0</xdr:row>
      <xdr:rowOff>515064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9A30E067-7297-461B-AC71-D89CE49B3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5346" y="831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>
        <row r="23">
          <cell r="H23">
            <v>2</v>
          </cell>
        </row>
        <row r="25">
          <cell r="H25">
            <v>1</v>
          </cell>
        </row>
        <row r="27">
          <cell r="H27">
            <v>0</v>
          </cell>
        </row>
        <row r="29">
          <cell r="H29">
            <v>2</v>
          </cell>
        </row>
        <row r="31">
          <cell r="H31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8">
          <cell r="F8">
            <v>5000</v>
          </cell>
        </row>
        <row r="9">
          <cell r="F9">
            <v>3000</v>
          </cell>
        </row>
        <row r="10">
          <cell r="F10">
            <v>2000</v>
          </cell>
        </row>
        <row r="11">
          <cell r="F11">
            <v>5000</v>
          </cell>
        </row>
        <row r="12">
          <cell r="F12">
            <v>3000</v>
          </cell>
        </row>
        <row r="13">
          <cell r="F13">
            <v>2000</v>
          </cell>
          <cell r="K13">
            <v>0.27500000000000002</v>
          </cell>
          <cell r="L13">
            <v>896</v>
          </cell>
        </row>
        <row r="14">
          <cell r="F14">
            <v>5000</v>
          </cell>
        </row>
        <row r="15">
          <cell r="F15">
            <v>3000</v>
          </cell>
        </row>
        <row r="16">
          <cell r="F16">
            <v>5000</v>
          </cell>
        </row>
        <row r="17">
          <cell r="F17">
            <v>3000</v>
          </cell>
          <cell r="J17">
            <v>0.11</v>
          </cell>
        </row>
        <row r="18">
          <cell r="F18">
            <v>2000</v>
          </cell>
        </row>
        <row r="19">
          <cell r="F19">
            <v>5000</v>
          </cell>
          <cell r="J19">
            <v>1.4999999999999999E-2</v>
          </cell>
        </row>
        <row r="20">
          <cell r="F20">
            <v>3000</v>
          </cell>
        </row>
        <row r="21">
          <cell r="F21">
            <v>2000</v>
          </cell>
        </row>
        <row r="22">
          <cell r="F22">
            <v>5000</v>
          </cell>
        </row>
        <row r="23">
          <cell r="F23">
            <v>4000</v>
          </cell>
        </row>
        <row r="24">
          <cell r="F24">
            <v>3000</v>
          </cell>
        </row>
        <row r="25">
          <cell r="F25">
            <v>2000</v>
          </cell>
        </row>
        <row r="26">
          <cell r="F26">
            <v>5000</v>
          </cell>
        </row>
        <row r="27">
          <cell r="F27">
            <v>3000</v>
          </cell>
        </row>
        <row r="28">
          <cell r="F28">
            <v>2000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I13">
            <v>450</v>
          </cell>
        </row>
        <row r="14">
          <cell r="I14">
            <v>4500</v>
          </cell>
        </row>
        <row r="15">
          <cell r="I15">
            <v>37500</v>
          </cell>
        </row>
        <row r="19">
          <cell r="I19">
            <v>130</v>
          </cell>
        </row>
        <row r="20">
          <cell r="I20">
            <v>45000</v>
          </cell>
        </row>
        <row r="23">
          <cell r="I23">
            <v>2500</v>
          </cell>
        </row>
        <row r="24">
          <cell r="I24">
            <v>6000</v>
          </cell>
        </row>
      </sheetData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31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E52"/>
  <sheetViews>
    <sheetView showGridLines="0" topLeftCell="A2" zoomScale="55" zoomScaleNormal="55" workbookViewId="0">
      <selection activeCell="G31" sqref="G31"/>
    </sheetView>
  </sheetViews>
  <sheetFormatPr defaultColWidth="0" defaultRowHeight="14.4" zeroHeight="1" x14ac:dyDescent="0.3"/>
  <cols>
    <col min="1" max="31" width="8.88671875" customWidth="1"/>
    <col min="32" max="16384" width="8.88671875" hidden="1"/>
  </cols>
  <sheetData>
    <row r="1" spans="1:31" ht="61.5" customHeigh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</row>
    <row r="2" spans="1:31" ht="46.2" customHeight="1" x14ac:dyDescent="0.5">
      <c r="A2" s="440" t="s">
        <v>0</v>
      </c>
      <c r="B2" s="440"/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  <c r="Q2" s="440"/>
      <c r="R2" s="440"/>
      <c r="S2" s="440"/>
      <c r="T2" s="440"/>
      <c r="U2" s="440"/>
      <c r="V2" s="440"/>
      <c r="W2" s="440"/>
      <c r="X2" s="440"/>
      <c r="Y2" s="440"/>
      <c r="Z2" s="440"/>
      <c r="AA2" s="440"/>
      <c r="AB2" s="440"/>
      <c r="AC2" s="440"/>
      <c r="AD2" s="440"/>
      <c r="AE2" s="440"/>
    </row>
    <row r="3" spans="1:31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1:31" x14ac:dyDescent="0.3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1:31" x14ac:dyDescent="0.3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1:31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1:31" x14ac:dyDescent="0.3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1:31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1:31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1:31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1:31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1:31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1:31" x14ac:dyDescent="0.3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1:31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1:31" x14ac:dyDescent="0.3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1:31" x14ac:dyDescent="0.3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1:3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1:31" x14ac:dyDescent="0.3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1:3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1:31" x14ac:dyDescent="0.3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1:31" x14ac:dyDescent="0.3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1:31" x14ac:dyDescent="0.3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1:31" x14ac:dyDescent="0.3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1:3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1:31" x14ac:dyDescent="0.3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1:31" x14ac:dyDescent="0.3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1:31" x14ac:dyDescent="0.3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1:31" x14ac:dyDescent="0.3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1:31" x14ac:dyDescent="0.3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1:31" x14ac:dyDescent="0.3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1:31" x14ac:dyDescent="0.3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1:3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1:3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1:3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1:3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1:3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1:3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1:3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1:3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1:3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1:3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1:3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1:3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1:3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1:3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1:3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1:3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1:3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1:3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1:3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1:3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6B67-0173-4515-8DFA-8AC20FEA1596}">
  <sheetPr codeName="Planilha2">
    <tabColor rgb="FFFF0000"/>
  </sheetPr>
  <dimension ref="A1:AE52"/>
  <sheetViews>
    <sheetView showGridLines="0" zoomScale="40" zoomScaleNormal="40" workbookViewId="0">
      <selection activeCell="A5" sqref="A5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42"/>
      <c r="B2" s="442"/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  <c r="AE2" s="442"/>
    </row>
    <row r="3" spans="1:31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</row>
    <row r="4" spans="1:31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</row>
    <row r="5" spans="1:31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</row>
    <row r="6" spans="1:31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31" ht="14.4" customHeight="1" x14ac:dyDescent="0.3">
      <c r="A7" s="61"/>
      <c r="B7" s="61"/>
      <c r="C7" s="61"/>
      <c r="D7" s="61"/>
      <c r="E7" s="443"/>
      <c r="F7" s="443"/>
      <c r="G7" s="443"/>
      <c r="H7" s="443"/>
      <c r="I7" s="443"/>
      <c r="J7" s="443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</row>
    <row r="8" spans="1:31" ht="14.4" customHeight="1" x14ac:dyDescent="0.3">
      <c r="A8" s="61"/>
      <c r="B8" s="61"/>
      <c r="C8" s="61"/>
      <c r="D8" s="61"/>
      <c r="E8" s="443"/>
      <c r="F8" s="443"/>
      <c r="G8" s="443"/>
      <c r="H8" s="443"/>
      <c r="I8" s="443"/>
      <c r="J8" s="443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</row>
    <row r="9" spans="1:31" ht="25.2" customHeight="1" x14ac:dyDescent="0.3">
      <c r="A9" s="61"/>
      <c r="B9" s="61"/>
      <c r="C9" s="61"/>
      <c r="D9" s="61"/>
      <c r="E9" s="62"/>
      <c r="F9" s="62"/>
      <c r="G9" s="62"/>
      <c r="H9" s="62"/>
      <c r="I9" s="62"/>
      <c r="J9" s="62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</row>
    <row r="10" spans="1:31" ht="25.2" customHeight="1" x14ac:dyDescent="0.3">
      <c r="A10" s="61"/>
      <c r="B10" s="61"/>
      <c r="C10" s="61"/>
      <c r="D10" s="61"/>
      <c r="E10" s="62"/>
      <c r="F10" s="63"/>
      <c r="G10" s="63"/>
      <c r="H10" s="63"/>
      <c r="I10" s="63"/>
      <c r="J10" s="63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</row>
    <row r="11" spans="1:31" ht="25.2" customHeight="1" x14ac:dyDescent="0.3">
      <c r="A11" s="61"/>
      <c r="B11" s="61"/>
      <c r="C11" s="61"/>
      <c r="D11" s="61"/>
      <c r="E11" s="62"/>
      <c r="F11" s="63"/>
      <c r="G11" s="63"/>
      <c r="H11" s="63"/>
      <c r="I11" s="63"/>
      <c r="J11" s="63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</row>
    <row r="12" spans="1:31" ht="25.2" customHeight="1" x14ac:dyDescent="0.3">
      <c r="A12" s="61"/>
      <c r="B12" s="61"/>
      <c r="C12" s="61"/>
      <c r="D12" s="61"/>
      <c r="E12" s="62"/>
      <c r="F12" s="63"/>
      <c r="G12" s="63"/>
      <c r="H12" s="63"/>
      <c r="I12" s="63"/>
      <c r="J12" s="63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</row>
    <row r="13" spans="1:31" ht="25.2" customHeight="1" x14ac:dyDescent="0.3">
      <c r="A13" s="61"/>
      <c r="B13" s="61"/>
      <c r="C13" s="61"/>
      <c r="D13" s="61"/>
      <c r="E13" s="62"/>
      <c r="F13" s="63"/>
      <c r="G13" s="63"/>
      <c r="H13" s="63"/>
      <c r="I13" s="63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</row>
    <row r="14" spans="1:31" x14ac:dyDescent="0.3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</row>
    <row r="15" spans="1:31" x14ac:dyDescent="0.3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</row>
    <row r="16" spans="1:31" x14ac:dyDescent="0.3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</row>
    <row r="17" spans="1:31" x14ac:dyDescent="0.3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</row>
    <row r="18" spans="1:31" ht="14.4" customHeight="1" x14ac:dyDescent="0.3">
      <c r="A18" s="61"/>
      <c r="B18" s="61"/>
      <c r="C18" s="61"/>
      <c r="D18" s="61"/>
      <c r="E18" s="61"/>
      <c r="F18" s="444"/>
      <c r="G18" s="444"/>
      <c r="H18" s="444"/>
      <c r="I18" s="444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</row>
    <row r="19" spans="1:31" ht="14.4" customHeight="1" x14ac:dyDescent="0.3">
      <c r="A19" s="61"/>
      <c r="B19" s="61"/>
      <c r="C19" s="61"/>
      <c r="D19" s="61"/>
      <c r="E19" s="61"/>
      <c r="F19" s="444"/>
      <c r="G19" s="444"/>
      <c r="H19" s="444"/>
      <c r="I19" s="444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</row>
    <row r="20" spans="1:31" ht="14.4" customHeight="1" x14ac:dyDescent="0.3">
      <c r="A20" s="61"/>
      <c r="B20" s="61"/>
      <c r="C20" s="61"/>
      <c r="D20" s="61"/>
      <c r="E20" s="61"/>
      <c r="F20" s="445"/>
      <c r="G20" s="445"/>
      <c r="H20" s="446"/>
      <c r="I20" s="447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</row>
    <row r="21" spans="1:31" ht="14.4" customHeight="1" x14ac:dyDescent="0.3">
      <c r="A21" s="61"/>
      <c r="B21" s="61"/>
      <c r="C21" s="61"/>
      <c r="D21" s="61"/>
      <c r="E21" s="61"/>
      <c r="F21" s="445"/>
      <c r="G21" s="445"/>
      <c r="H21" s="446"/>
      <c r="I21" s="447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</row>
    <row r="22" spans="1:31" ht="17.399999999999999" customHeight="1" x14ac:dyDescent="0.3">
      <c r="A22" s="61"/>
      <c r="B22" s="61"/>
      <c r="C22" s="61"/>
      <c r="D22" s="61"/>
      <c r="E22" s="61"/>
      <c r="F22" s="64"/>
      <c r="G22" s="64"/>
      <c r="H22" s="65"/>
      <c r="I22" s="65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</row>
    <row r="23" spans="1:31" ht="17.399999999999999" x14ac:dyDescent="0.3">
      <c r="A23" s="61"/>
      <c r="B23" s="61"/>
      <c r="C23" s="61"/>
      <c r="D23" s="61"/>
      <c r="E23" s="61"/>
      <c r="F23" s="441"/>
      <c r="G23" s="441"/>
      <c r="H23" s="66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</row>
    <row r="24" spans="1:31" ht="28.8" x14ac:dyDescent="0.3">
      <c r="A24" s="61"/>
      <c r="B24" s="61"/>
      <c r="C24" s="61"/>
      <c r="D24" s="61"/>
      <c r="E24" s="61"/>
      <c r="F24" s="67"/>
      <c r="G24" s="68"/>
      <c r="H24" s="65"/>
      <c r="I24" s="65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</row>
    <row r="25" spans="1:31" ht="17.399999999999999" x14ac:dyDescent="0.3">
      <c r="A25" s="61"/>
      <c r="B25" s="61"/>
      <c r="C25" s="61"/>
      <c r="D25" s="61"/>
      <c r="E25" s="61"/>
      <c r="F25" s="441"/>
      <c r="G25" s="441"/>
      <c r="H25" s="66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</row>
    <row r="26" spans="1:31" ht="28.8" x14ac:dyDescent="0.3">
      <c r="A26" s="61"/>
      <c r="B26" s="61"/>
      <c r="C26" s="61"/>
      <c r="D26" s="61"/>
      <c r="E26" s="61"/>
      <c r="F26" s="69"/>
      <c r="G26" s="68"/>
      <c r="H26" s="65"/>
      <c r="I26" s="65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</row>
    <row r="27" spans="1:31" ht="17.399999999999999" x14ac:dyDescent="0.3">
      <c r="A27" s="61"/>
      <c r="B27" s="61"/>
      <c r="C27" s="61"/>
      <c r="D27" s="61"/>
      <c r="E27" s="61"/>
      <c r="F27" s="441"/>
      <c r="G27" s="441"/>
      <c r="H27" s="66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</row>
    <row r="28" spans="1:31" ht="28.8" x14ac:dyDescent="0.3">
      <c r="A28" s="61"/>
      <c r="B28" s="61"/>
      <c r="C28" s="61"/>
      <c r="D28" s="61"/>
      <c r="E28" s="61"/>
      <c r="F28" s="67"/>
      <c r="G28" s="68"/>
      <c r="H28" s="65"/>
      <c r="I28" s="65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</row>
    <row r="29" spans="1:31" ht="17.399999999999999" x14ac:dyDescent="0.3">
      <c r="A29" s="61"/>
      <c r="B29" s="61"/>
      <c r="C29" s="61"/>
      <c r="D29" s="61"/>
      <c r="E29" s="61"/>
      <c r="F29" s="441"/>
      <c r="G29" s="441"/>
      <c r="H29" s="66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</row>
    <row r="30" spans="1:31" ht="28.8" x14ac:dyDescent="0.3">
      <c r="A30" s="61"/>
      <c r="B30" s="61"/>
      <c r="C30" s="61"/>
      <c r="D30" s="61"/>
      <c r="E30" s="61"/>
      <c r="F30" s="69"/>
      <c r="G30" s="70"/>
      <c r="H30" s="71"/>
      <c r="I30" s="65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</row>
    <row r="31" spans="1:31" ht="17.399999999999999" x14ac:dyDescent="0.3">
      <c r="A31" s="61"/>
      <c r="B31" s="61"/>
      <c r="C31" s="61"/>
      <c r="D31" s="61"/>
      <c r="E31" s="61"/>
      <c r="F31" s="441"/>
      <c r="G31" s="441"/>
      <c r="H31" s="66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</row>
    <row r="32" spans="1:31" ht="28.8" x14ac:dyDescent="0.3">
      <c r="A32" s="61"/>
      <c r="B32" s="61"/>
      <c r="C32" s="61"/>
      <c r="D32" s="61"/>
      <c r="E32" s="61"/>
      <c r="F32" s="64"/>
      <c r="G32" s="72"/>
      <c r="H32" s="71"/>
      <c r="I32" s="73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</row>
    <row r="33" spans="1:31" ht="28.8" x14ac:dyDescent="0.3">
      <c r="A33" s="61"/>
      <c r="B33" s="61"/>
      <c r="C33" s="61"/>
      <c r="D33" s="61"/>
      <c r="E33" s="61"/>
      <c r="F33" s="64"/>
      <c r="G33" s="72"/>
      <c r="H33" s="71"/>
      <c r="I33" s="73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</row>
    <row r="34" spans="1:31" ht="28.8" x14ac:dyDescent="0.55000000000000004">
      <c r="A34" s="61"/>
      <c r="B34" s="61"/>
      <c r="C34" s="61"/>
      <c r="D34" s="61"/>
      <c r="E34" s="61"/>
      <c r="F34" s="64"/>
      <c r="G34" s="74"/>
      <c r="H34" s="74"/>
      <c r="I34" s="74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</row>
    <row r="35" spans="1:31" ht="28.8" x14ac:dyDescent="0.55000000000000004">
      <c r="A35" s="61"/>
      <c r="B35" s="61"/>
      <c r="C35" s="61"/>
      <c r="D35" s="61"/>
      <c r="E35" s="61"/>
      <c r="F35" s="64"/>
      <c r="G35" s="74"/>
      <c r="H35" s="74"/>
      <c r="I35" s="74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</row>
    <row r="36" spans="1:31" x14ac:dyDescent="0.3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</row>
    <row r="37" spans="1:31" x14ac:dyDescent="0.3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</row>
    <row r="38" spans="1:31" x14ac:dyDescent="0.3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</row>
    <row r="39" spans="1:31" x14ac:dyDescent="0.3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</row>
    <row r="40" spans="1:31" x14ac:dyDescent="0.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</row>
    <row r="41" spans="1:31" x14ac:dyDescent="0.3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</row>
    <row r="42" spans="1:31" x14ac:dyDescent="0.3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</row>
    <row r="43" spans="1:31" x14ac:dyDescent="0.3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</row>
    <row r="44" spans="1:31" x14ac:dyDescent="0.3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</row>
    <row r="45" spans="1:31" x14ac:dyDescent="0.3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</row>
    <row r="46" spans="1:31" x14ac:dyDescent="0.3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</row>
    <row r="47" spans="1:31" x14ac:dyDescent="0.3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</row>
    <row r="48" spans="1:31" x14ac:dyDescent="0.3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</row>
    <row r="49" spans="1:31" x14ac:dyDescent="0.3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</row>
    <row r="50" spans="1:31" x14ac:dyDescent="0.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</row>
    <row r="51" spans="1:31" x14ac:dyDescent="0.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</row>
    <row r="52" spans="1:31" x14ac:dyDescent="0.3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</row>
  </sheetData>
  <mergeCells count="11">
    <mergeCell ref="A2:AE2"/>
    <mergeCell ref="E7:J8"/>
    <mergeCell ref="F18:I19"/>
    <mergeCell ref="F20:G21"/>
    <mergeCell ref="H20:H21"/>
    <mergeCell ref="I20:I21"/>
    <mergeCell ref="F23:G23"/>
    <mergeCell ref="F25:G25"/>
    <mergeCell ref="F27:G27"/>
    <mergeCell ref="F29:G29"/>
    <mergeCell ref="F31:G31"/>
  </mergeCells>
  <dataValidations count="2">
    <dataValidation type="list" allowBlank="1" showInputMessage="1" showErrorMessage="1" sqref="F18" xr:uid="{2ADC0AF5-6479-4187-A93D-BEEA1B174786}">
      <formula1>$L$14:$L$17</formula1>
    </dataValidation>
    <dataValidation allowBlank="1" showInputMessage="1" showErrorMessage="1" sqref="E9" xr:uid="{01141500-46C1-41B9-8960-103829730A06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AE35"/>
  <sheetViews>
    <sheetView showGridLines="0" topLeftCell="E1" zoomScale="70" zoomScaleNormal="70" workbookViewId="0">
      <selection activeCell="M16" sqref="M16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42"/>
      <c r="B2" s="442"/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  <c r="R2" s="442"/>
      <c r="S2" s="442"/>
      <c r="T2" s="442"/>
      <c r="U2" s="442"/>
      <c r="V2" s="442"/>
      <c r="W2" s="442"/>
      <c r="X2" s="442"/>
      <c r="Y2" s="442"/>
      <c r="Z2" s="442"/>
      <c r="AA2" s="442"/>
      <c r="AB2" s="442"/>
      <c r="AC2" s="442"/>
      <c r="AD2" s="442"/>
      <c r="AE2" s="442"/>
    </row>
    <row r="6" spans="1:31" ht="15" thickBot="1" x14ac:dyDescent="0.35"/>
    <row r="7" spans="1:31" ht="14.4" customHeight="1" x14ac:dyDescent="0.3">
      <c r="E7" s="450" t="s">
        <v>1</v>
      </c>
      <c r="F7" s="451"/>
      <c r="G7" s="451"/>
      <c r="H7" s="451"/>
      <c r="I7" s="451"/>
      <c r="J7" s="452"/>
    </row>
    <row r="8" spans="1:31" ht="14.4" customHeight="1" x14ac:dyDescent="0.3">
      <c r="E8" s="453"/>
      <c r="F8" s="454"/>
      <c r="G8" s="454"/>
      <c r="H8" s="454"/>
      <c r="I8" s="454"/>
      <c r="J8" s="455"/>
    </row>
    <row r="9" spans="1:31" ht="25.2" customHeight="1" x14ac:dyDescent="0.3">
      <c r="E9" s="10" t="s">
        <v>2</v>
      </c>
      <c r="F9" s="3" t="s">
        <v>3</v>
      </c>
      <c r="G9" s="3" t="s">
        <v>4</v>
      </c>
      <c r="H9" s="3" t="s">
        <v>5</v>
      </c>
      <c r="I9" s="4" t="s">
        <v>6</v>
      </c>
      <c r="J9" s="11" t="s">
        <v>7</v>
      </c>
    </row>
    <row r="10" spans="1:31" ht="25.2" customHeight="1" x14ac:dyDescent="0.3">
      <c r="E10" s="12" t="s">
        <v>8</v>
      </c>
      <c r="F10" s="6">
        <v>2</v>
      </c>
      <c r="G10" s="7">
        <v>1</v>
      </c>
      <c r="H10" s="7">
        <v>0</v>
      </c>
      <c r="I10" s="7">
        <v>1</v>
      </c>
      <c r="J10" s="13">
        <v>2</v>
      </c>
    </row>
    <row r="11" spans="1:31" ht="25.2" customHeight="1" x14ac:dyDescent="0.3">
      <c r="E11" s="12" t="s">
        <v>9</v>
      </c>
      <c r="F11" s="8">
        <v>2</v>
      </c>
      <c r="G11" s="9">
        <v>1</v>
      </c>
      <c r="H11" s="9">
        <v>0</v>
      </c>
      <c r="I11" s="9">
        <v>2</v>
      </c>
      <c r="J11" s="14">
        <v>1</v>
      </c>
    </row>
    <row r="12" spans="1:31" ht="25.2" customHeight="1" x14ac:dyDescent="0.3">
      <c r="E12" s="12" t="s">
        <v>10</v>
      </c>
      <c r="F12" s="8">
        <v>1</v>
      </c>
      <c r="G12" s="9">
        <v>1</v>
      </c>
      <c r="H12" s="9">
        <v>5</v>
      </c>
      <c r="I12" s="9">
        <v>3</v>
      </c>
      <c r="J12" s="14">
        <v>2</v>
      </c>
    </row>
    <row r="13" spans="1:31" ht="25.2" customHeight="1" thickBot="1" x14ac:dyDescent="0.35">
      <c r="E13" s="15" t="s">
        <v>11</v>
      </c>
      <c r="F13" s="16">
        <v>4</v>
      </c>
      <c r="G13" s="17">
        <v>1</v>
      </c>
      <c r="H13" s="17">
        <v>0</v>
      </c>
      <c r="I13" s="17">
        <v>4</v>
      </c>
      <c r="J13" s="18">
        <v>1</v>
      </c>
    </row>
    <row r="17" spans="6:9" ht="15" thickBot="1" x14ac:dyDescent="0.35"/>
    <row r="18" spans="6:9" ht="14.4" customHeight="1" x14ac:dyDescent="0.3">
      <c r="F18" s="456" t="s">
        <v>9</v>
      </c>
      <c r="G18" s="457"/>
      <c r="H18" s="457"/>
      <c r="I18" s="458"/>
    </row>
    <row r="19" spans="6:9" ht="14.4" customHeight="1" x14ac:dyDescent="0.3">
      <c r="F19" s="459"/>
      <c r="G19" s="460"/>
      <c r="H19" s="460"/>
      <c r="I19" s="461"/>
    </row>
    <row r="20" spans="6:9" ht="14.4" customHeight="1" x14ac:dyDescent="0.3">
      <c r="F20" s="462" t="s">
        <v>12</v>
      </c>
      <c r="G20" s="463"/>
      <c r="H20" s="466">
        <v>1</v>
      </c>
      <c r="I20" s="468"/>
    </row>
    <row r="21" spans="6:9" ht="14.4" customHeight="1" x14ac:dyDescent="0.3">
      <c r="F21" s="464"/>
      <c r="G21" s="465"/>
      <c r="H21" s="467"/>
      <c r="I21" s="469"/>
    </row>
    <row r="22" spans="6:9" ht="17.399999999999999" customHeight="1" x14ac:dyDescent="0.3">
      <c r="F22" s="19"/>
      <c r="G22" s="20"/>
      <c r="H22" s="21" t="s">
        <v>13</v>
      </c>
      <c r="I22" s="22" t="s">
        <v>13</v>
      </c>
    </row>
    <row r="23" spans="6:9" ht="17.399999999999999" x14ac:dyDescent="0.3">
      <c r="F23" s="448" t="s">
        <v>3</v>
      </c>
      <c r="G23" s="449"/>
      <c r="H23" s="5">
        <f>VLOOKUP(F18,E10:J13,2,FALSE)*H20</f>
        <v>2</v>
      </c>
      <c r="I23" s="23"/>
    </row>
    <row r="24" spans="6:9" ht="28.8" x14ac:dyDescent="0.3">
      <c r="F24" s="24"/>
      <c r="G24" s="25" t="s">
        <v>13</v>
      </c>
      <c r="H24" s="21" t="s">
        <v>13</v>
      </c>
      <c r="I24" s="22" t="s">
        <v>13</v>
      </c>
    </row>
    <row r="25" spans="6:9" ht="17.399999999999999" x14ac:dyDescent="0.3">
      <c r="F25" s="448" t="s">
        <v>4</v>
      </c>
      <c r="G25" s="449"/>
      <c r="H25" s="5">
        <f>VLOOKUP(F18,E10:J13,3,FALSE)*H20</f>
        <v>1</v>
      </c>
      <c r="I25" s="23"/>
    </row>
    <row r="26" spans="6:9" ht="28.8" x14ac:dyDescent="0.3">
      <c r="F26" s="26"/>
      <c r="G26" s="25" t="s">
        <v>13</v>
      </c>
      <c r="H26" s="21" t="s">
        <v>13</v>
      </c>
      <c r="I26" s="22" t="s">
        <v>13</v>
      </c>
    </row>
    <row r="27" spans="6:9" ht="17.399999999999999" x14ac:dyDescent="0.3">
      <c r="F27" s="448" t="s">
        <v>5</v>
      </c>
      <c r="G27" s="449"/>
      <c r="H27" s="5">
        <f>VLOOKUP(F18,E10:J13,4,FALSE)*H20</f>
        <v>0</v>
      </c>
      <c r="I27" s="23"/>
    </row>
    <row r="28" spans="6:9" ht="28.8" x14ac:dyDescent="0.3">
      <c r="F28" s="24"/>
      <c r="G28" s="25" t="s">
        <v>13</v>
      </c>
      <c r="H28" s="21" t="s">
        <v>13</v>
      </c>
      <c r="I28" s="22" t="s">
        <v>13</v>
      </c>
    </row>
    <row r="29" spans="6:9" ht="17.399999999999999" x14ac:dyDescent="0.3">
      <c r="F29" s="448" t="s">
        <v>6</v>
      </c>
      <c r="G29" s="449"/>
      <c r="H29" s="5">
        <f>VLOOKUP(F18,E10:J13,5,FALSE)*H20</f>
        <v>2</v>
      </c>
      <c r="I29" s="23"/>
    </row>
    <row r="30" spans="6:9" ht="28.8" x14ac:dyDescent="0.3">
      <c r="F30" s="26"/>
      <c r="G30" s="27"/>
      <c r="H30" s="28"/>
      <c r="I30" s="22"/>
    </row>
    <row r="31" spans="6:9" ht="17.399999999999999" x14ac:dyDescent="0.3">
      <c r="F31" s="448" t="s">
        <v>7</v>
      </c>
      <c r="G31" s="449"/>
      <c r="H31" s="5">
        <f>VLOOKUP(F18,E10:J13,6,FALSE)*H20</f>
        <v>1</v>
      </c>
      <c r="I31" s="23"/>
    </row>
    <row r="32" spans="6:9" ht="28.8" x14ac:dyDescent="0.3">
      <c r="F32" s="19"/>
      <c r="G32" s="29"/>
      <c r="H32" s="28"/>
      <c r="I32" s="30"/>
    </row>
    <row r="33" spans="6:9" ht="28.8" x14ac:dyDescent="0.3">
      <c r="F33" s="19"/>
      <c r="G33" s="29"/>
      <c r="H33" s="28"/>
      <c r="I33" s="30"/>
    </row>
    <row r="34" spans="6:9" ht="28.8" x14ac:dyDescent="0.55000000000000004">
      <c r="F34" s="19"/>
      <c r="G34" s="31"/>
      <c r="H34" s="31"/>
      <c r="I34" s="32"/>
    </row>
    <row r="35" spans="6:9" ht="29.4" thickBot="1" x14ac:dyDescent="0.6">
      <c r="F35" s="33"/>
      <c r="G35" s="34"/>
      <c r="H35" s="34"/>
      <c r="I35" s="35"/>
    </row>
  </sheetData>
  <mergeCells count="11">
    <mergeCell ref="A2:AE2"/>
    <mergeCell ref="F25:G25"/>
    <mergeCell ref="F27:G27"/>
    <mergeCell ref="F29:G29"/>
    <mergeCell ref="F31:G31"/>
    <mergeCell ref="E7:J8"/>
    <mergeCell ref="F18:I19"/>
    <mergeCell ref="F20:G21"/>
    <mergeCell ref="H20:H21"/>
    <mergeCell ref="I20:I21"/>
    <mergeCell ref="F23:G23"/>
  </mergeCells>
  <dataValidations count="2">
    <dataValidation allowBlank="1" showInputMessage="1" showErrorMessage="1" sqref="E9" xr:uid="{2ED808E8-CF0C-4865-A80A-C3738C960E89}"/>
    <dataValidation type="list" allowBlank="1" showInputMessage="1" showErrorMessage="1" sqref="F18" xr:uid="{4D907D60-AC14-400B-B799-719DE7BCD636}">
      <formula1>$L$14:$L$17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AE54"/>
  <sheetViews>
    <sheetView showGridLines="0" zoomScale="55" zoomScaleNormal="55" workbookViewId="0">
      <selection activeCell="F20" sqref="F20"/>
    </sheetView>
  </sheetViews>
  <sheetFormatPr defaultRowHeight="14.4" x14ac:dyDescent="0.3"/>
  <cols>
    <col min="8" max="8" width="8.88671875" customWidth="1"/>
    <col min="10" max="10" width="35.6640625" customWidth="1"/>
    <col min="18" max="18" width="35.664062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3" spans="1:3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customHeight="1" thickBot="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470" t="s">
        <v>14</v>
      </c>
      <c r="K11" s="471"/>
      <c r="L11" s="471"/>
      <c r="M11" s="471"/>
      <c r="N11" s="471"/>
      <c r="O11" s="471"/>
      <c r="P11" s="471"/>
      <c r="Q11" s="472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473"/>
      <c r="K12" s="474"/>
      <c r="L12" s="474"/>
      <c r="M12" s="474"/>
      <c r="N12" s="474"/>
      <c r="O12" s="474"/>
      <c r="P12" s="474"/>
      <c r="Q12" s="475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476" t="s">
        <v>15</v>
      </c>
      <c r="K13" s="477"/>
      <c r="L13" s="477"/>
      <c r="M13" s="477"/>
      <c r="N13" s="477"/>
      <c r="O13" s="477"/>
      <c r="P13" s="477"/>
      <c r="Q13" s="478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5" thickBo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 s="1"/>
      <c r="B16" s="1"/>
      <c r="C16" s="1"/>
      <c r="D16" s="1"/>
      <c r="E16" s="479" t="s">
        <v>16</v>
      </c>
      <c r="F16" s="480"/>
      <c r="G16" s="480"/>
      <c r="H16" s="480"/>
      <c r="I16" s="480"/>
      <c r="J16" s="480"/>
      <c r="K16" s="481"/>
      <c r="L16" s="1"/>
      <c r="M16" s="479" t="s">
        <v>16</v>
      </c>
      <c r="N16" s="480"/>
      <c r="O16" s="480"/>
      <c r="P16" s="480"/>
      <c r="Q16" s="480"/>
      <c r="R16" s="480"/>
      <c r="S16" s="48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 s="1"/>
      <c r="B17" s="1"/>
      <c r="C17" s="1"/>
      <c r="D17" s="1"/>
      <c r="E17" s="482"/>
      <c r="F17" s="483"/>
      <c r="G17" s="483"/>
      <c r="H17" s="483"/>
      <c r="I17" s="483"/>
      <c r="J17" s="483"/>
      <c r="K17" s="484"/>
      <c r="L17" s="1"/>
      <c r="M17" s="482"/>
      <c r="N17" s="483"/>
      <c r="O17" s="483"/>
      <c r="P17" s="483"/>
      <c r="Q17" s="483"/>
      <c r="R17" s="483"/>
      <c r="S17" s="484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5" thickBot="1" x14ac:dyDescent="0.35">
      <c r="A18" s="1"/>
      <c r="B18" s="1"/>
      <c r="C18" s="1"/>
      <c r="D18" s="1"/>
      <c r="E18" s="485"/>
      <c r="F18" s="486"/>
      <c r="G18" s="486"/>
      <c r="H18" s="486"/>
      <c r="I18" s="486"/>
      <c r="J18" s="486"/>
      <c r="K18" s="487"/>
      <c r="L18" s="1"/>
      <c r="M18" s="485"/>
      <c r="N18" s="486"/>
      <c r="O18" s="486"/>
      <c r="P18" s="486"/>
      <c r="Q18" s="486"/>
      <c r="R18" s="486"/>
      <c r="S18" s="487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customHeight="1" x14ac:dyDescent="0.55000000000000004">
      <c r="A19" s="1"/>
      <c r="B19" s="1"/>
      <c r="C19" s="1"/>
      <c r="D19" s="1"/>
      <c r="E19" s="36" t="s">
        <v>13</v>
      </c>
      <c r="F19" s="38" t="s">
        <v>13</v>
      </c>
      <c r="G19" s="38" t="s">
        <v>13</v>
      </c>
      <c r="H19" s="38" t="s">
        <v>13</v>
      </c>
      <c r="I19" s="38" t="s">
        <v>13</v>
      </c>
      <c r="J19" s="31" t="s">
        <v>13</v>
      </c>
      <c r="K19" s="32" t="s">
        <v>13</v>
      </c>
      <c r="L19" s="1"/>
      <c r="M19" s="36" t="s">
        <v>13</v>
      </c>
      <c r="N19" s="38" t="s">
        <v>13</v>
      </c>
      <c r="O19" s="38" t="s">
        <v>13</v>
      </c>
      <c r="P19" s="38" t="s">
        <v>13</v>
      </c>
      <c r="Q19" s="38" t="s">
        <v>13</v>
      </c>
      <c r="R19" s="31" t="s">
        <v>13</v>
      </c>
      <c r="S19" s="32" t="s">
        <v>13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customHeight="1" x14ac:dyDescent="0.55000000000000004">
      <c r="A20" s="1"/>
      <c r="B20" s="1"/>
      <c r="C20" s="1"/>
      <c r="D20" s="1"/>
      <c r="E20" s="36" t="s">
        <v>13</v>
      </c>
      <c r="F20" s="28" t="s">
        <v>17</v>
      </c>
      <c r="G20" s="37"/>
      <c r="H20" s="38" t="s">
        <v>13</v>
      </c>
      <c r="I20" s="38" t="s">
        <v>13</v>
      </c>
      <c r="J20" s="41" t="s">
        <v>18</v>
      </c>
      <c r="K20" s="32" t="s">
        <v>13</v>
      </c>
      <c r="L20" s="1"/>
      <c r="M20" s="36" t="s">
        <v>13</v>
      </c>
      <c r="N20" s="28" t="s">
        <v>17</v>
      </c>
      <c r="O20" s="37"/>
      <c r="P20" s="38" t="s">
        <v>13</v>
      </c>
      <c r="Q20" s="38" t="s">
        <v>13</v>
      </c>
      <c r="R20" s="41" t="s">
        <v>19</v>
      </c>
      <c r="S20" s="32" t="s">
        <v>13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customHeight="1" x14ac:dyDescent="0.55000000000000004">
      <c r="A21" s="1"/>
      <c r="B21" s="1"/>
      <c r="C21" s="1"/>
      <c r="D21" s="1"/>
      <c r="E21" s="36" t="s">
        <v>13</v>
      </c>
      <c r="F21" s="38" t="s">
        <v>13</v>
      </c>
      <c r="G21" s="38" t="s">
        <v>13</v>
      </c>
      <c r="H21" s="38" t="s">
        <v>13</v>
      </c>
      <c r="I21" s="38" t="s">
        <v>13</v>
      </c>
      <c r="J21" s="31" t="s">
        <v>13</v>
      </c>
      <c r="K21" s="32" t="s">
        <v>13</v>
      </c>
      <c r="L21" s="1"/>
      <c r="M21" s="36" t="s">
        <v>13</v>
      </c>
      <c r="N21" s="38" t="s">
        <v>13</v>
      </c>
      <c r="O21" s="38" t="s">
        <v>13</v>
      </c>
      <c r="P21" s="38" t="s">
        <v>13</v>
      </c>
      <c r="Q21" s="38" t="s">
        <v>13</v>
      </c>
      <c r="R21" s="31" t="s">
        <v>13</v>
      </c>
      <c r="S21" s="32" t="s">
        <v>13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customHeight="1" x14ac:dyDescent="0.55000000000000004">
      <c r="A22" s="1"/>
      <c r="B22" s="1"/>
      <c r="C22" s="1"/>
      <c r="D22" s="1"/>
      <c r="E22" s="36" t="s">
        <v>13</v>
      </c>
      <c r="F22" s="28" t="s">
        <v>20</v>
      </c>
      <c r="G22" s="37"/>
      <c r="H22" s="38" t="s">
        <v>13</v>
      </c>
      <c r="I22" s="38" t="s">
        <v>13</v>
      </c>
      <c r="J22" s="41" t="s">
        <v>21</v>
      </c>
      <c r="K22" s="32" t="s">
        <v>13</v>
      </c>
      <c r="L22" s="1"/>
      <c r="M22" s="36" t="s">
        <v>13</v>
      </c>
      <c r="N22" s="28" t="s">
        <v>20</v>
      </c>
      <c r="O22" s="37"/>
      <c r="P22" s="38" t="s">
        <v>13</v>
      </c>
      <c r="Q22" s="38" t="s">
        <v>13</v>
      </c>
      <c r="R22" s="41" t="s">
        <v>22</v>
      </c>
      <c r="S22" s="32" t="s">
        <v>13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customHeight="1" x14ac:dyDescent="0.55000000000000004">
      <c r="A23" s="1"/>
      <c r="B23" s="1"/>
      <c r="C23" s="1"/>
      <c r="D23" s="1"/>
      <c r="E23" s="36" t="s">
        <v>13</v>
      </c>
      <c r="F23" s="38" t="s">
        <v>13</v>
      </c>
      <c r="G23" s="38" t="s">
        <v>13</v>
      </c>
      <c r="H23" s="38" t="s">
        <v>13</v>
      </c>
      <c r="I23" s="38" t="s">
        <v>13</v>
      </c>
      <c r="J23" s="31" t="s">
        <v>13</v>
      </c>
      <c r="K23" s="32" t="s">
        <v>13</v>
      </c>
      <c r="L23" s="1"/>
      <c r="M23" s="36" t="s">
        <v>13</v>
      </c>
      <c r="N23" s="38" t="s">
        <v>13</v>
      </c>
      <c r="O23" s="38" t="s">
        <v>13</v>
      </c>
      <c r="P23" s="38" t="s">
        <v>13</v>
      </c>
      <c r="Q23" s="38" t="s">
        <v>13</v>
      </c>
      <c r="R23" s="31" t="s">
        <v>13</v>
      </c>
      <c r="S23" s="32" t="s">
        <v>13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4.4" customHeight="1" thickBot="1" x14ac:dyDescent="0.6">
      <c r="A24" s="1"/>
      <c r="B24" s="1"/>
      <c r="C24" s="1"/>
      <c r="D24" s="1"/>
      <c r="E24" s="39" t="s">
        <v>13</v>
      </c>
      <c r="F24" s="40" t="s">
        <v>13</v>
      </c>
      <c r="G24" s="40" t="s">
        <v>13</v>
      </c>
      <c r="H24" s="40" t="s">
        <v>13</v>
      </c>
      <c r="I24" s="40" t="s">
        <v>13</v>
      </c>
      <c r="J24" s="34" t="s">
        <v>13</v>
      </c>
      <c r="K24" s="35" t="s">
        <v>13</v>
      </c>
      <c r="L24" s="1"/>
      <c r="M24" s="39" t="s">
        <v>13</v>
      </c>
      <c r="N24" s="40" t="s">
        <v>13</v>
      </c>
      <c r="O24" s="40" t="s">
        <v>13</v>
      </c>
      <c r="P24" s="40" t="s">
        <v>13</v>
      </c>
      <c r="Q24" s="40" t="s">
        <v>13</v>
      </c>
      <c r="R24" s="34" t="s">
        <v>13</v>
      </c>
      <c r="S24" s="35" t="s">
        <v>13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customHeight="1" thickBo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customHeight="1" x14ac:dyDescent="0.3">
      <c r="A27" s="1"/>
      <c r="B27" s="1"/>
      <c r="C27" s="1"/>
      <c r="D27" s="1"/>
      <c r="E27" s="479" t="s">
        <v>16</v>
      </c>
      <c r="F27" s="480"/>
      <c r="G27" s="480"/>
      <c r="H27" s="480"/>
      <c r="I27" s="480"/>
      <c r="J27" s="480"/>
      <c r="K27" s="481"/>
      <c r="L27" s="1"/>
      <c r="M27" s="479" t="s">
        <v>16</v>
      </c>
      <c r="N27" s="480"/>
      <c r="O27" s="480"/>
      <c r="P27" s="480"/>
      <c r="Q27" s="480"/>
      <c r="R27" s="480"/>
      <c r="S27" s="48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customHeight="1" x14ac:dyDescent="0.3">
      <c r="A28" s="1"/>
      <c r="B28" s="1"/>
      <c r="C28" s="1"/>
      <c r="D28" s="1"/>
      <c r="E28" s="482"/>
      <c r="F28" s="483"/>
      <c r="G28" s="483"/>
      <c r="H28" s="483"/>
      <c r="I28" s="483"/>
      <c r="J28" s="483"/>
      <c r="K28" s="484"/>
      <c r="L28" s="1"/>
      <c r="M28" s="482"/>
      <c r="N28" s="483"/>
      <c r="O28" s="483"/>
      <c r="P28" s="483"/>
      <c r="Q28" s="483"/>
      <c r="R28" s="483"/>
      <c r="S28" s="484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customHeight="1" thickBot="1" x14ac:dyDescent="0.35">
      <c r="A29" s="1"/>
      <c r="B29" s="1"/>
      <c r="C29" s="1"/>
      <c r="D29" s="1"/>
      <c r="E29" s="485"/>
      <c r="F29" s="486"/>
      <c r="G29" s="486"/>
      <c r="H29" s="486"/>
      <c r="I29" s="486"/>
      <c r="J29" s="486"/>
      <c r="K29" s="487"/>
      <c r="L29" s="1"/>
      <c r="M29" s="485"/>
      <c r="N29" s="486"/>
      <c r="O29" s="486"/>
      <c r="P29" s="486"/>
      <c r="Q29" s="486"/>
      <c r="R29" s="486"/>
      <c r="S29" s="487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customHeight="1" x14ac:dyDescent="0.55000000000000004">
      <c r="A30" s="1"/>
      <c r="B30" s="1"/>
      <c r="C30" s="1"/>
      <c r="D30" s="1"/>
      <c r="E30" s="36" t="s">
        <v>13</v>
      </c>
      <c r="F30" s="38" t="s">
        <v>13</v>
      </c>
      <c r="G30" s="38" t="s">
        <v>13</v>
      </c>
      <c r="H30" s="38" t="s">
        <v>13</v>
      </c>
      <c r="I30" s="38" t="s">
        <v>13</v>
      </c>
      <c r="J30" s="31" t="s">
        <v>13</v>
      </c>
      <c r="K30" s="32" t="s">
        <v>13</v>
      </c>
      <c r="L30" s="1"/>
      <c r="M30" s="36" t="s">
        <v>13</v>
      </c>
      <c r="N30" s="38" t="s">
        <v>13</v>
      </c>
      <c r="O30" s="38" t="s">
        <v>13</v>
      </c>
      <c r="P30" s="38" t="s">
        <v>13</v>
      </c>
      <c r="Q30" s="38" t="s">
        <v>13</v>
      </c>
      <c r="R30" s="31" t="s">
        <v>13</v>
      </c>
      <c r="S30" s="32" t="s">
        <v>13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customHeight="1" x14ac:dyDescent="0.55000000000000004">
      <c r="A31" s="1"/>
      <c r="B31" s="1"/>
      <c r="C31" s="1"/>
      <c r="D31" s="1"/>
      <c r="E31" s="36" t="s">
        <v>13</v>
      </c>
      <c r="F31" s="28" t="s">
        <v>17</v>
      </c>
      <c r="G31" s="37"/>
      <c r="H31" s="38" t="s">
        <v>13</v>
      </c>
      <c r="I31" s="38" t="s">
        <v>13</v>
      </c>
      <c r="J31" s="41" t="s">
        <v>23</v>
      </c>
      <c r="K31" s="32" t="s">
        <v>13</v>
      </c>
      <c r="L31" s="1"/>
      <c r="M31" s="36" t="s">
        <v>13</v>
      </c>
      <c r="N31" s="28" t="s">
        <v>17</v>
      </c>
      <c r="O31" s="37"/>
      <c r="P31" s="38" t="s">
        <v>13</v>
      </c>
      <c r="Q31" s="38" t="s">
        <v>13</v>
      </c>
      <c r="R31" s="41" t="s">
        <v>24</v>
      </c>
      <c r="S31" s="32" t="s">
        <v>13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ht="14.4" customHeight="1" x14ac:dyDescent="0.55000000000000004">
      <c r="A32" s="1"/>
      <c r="B32" s="1"/>
      <c r="C32" s="1"/>
      <c r="D32" s="1"/>
      <c r="E32" s="36" t="s">
        <v>13</v>
      </c>
      <c r="F32" s="38" t="s">
        <v>13</v>
      </c>
      <c r="G32" s="38" t="s">
        <v>13</v>
      </c>
      <c r="H32" s="38" t="s">
        <v>13</v>
      </c>
      <c r="I32" s="38" t="s">
        <v>13</v>
      </c>
      <c r="J32" s="31" t="s">
        <v>13</v>
      </c>
      <c r="K32" s="32" t="s">
        <v>13</v>
      </c>
      <c r="L32" s="1"/>
      <c r="M32" s="36" t="s">
        <v>13</v>
      </c>
      <c r="N32" s="38" t="s">
        <v>13</v>
      </c>
      <c r="O32" s="38" t="s">
        <v>13</v>
      </c>
      <c r="P32" s="38" t="s">
        <v>13</v>
      </c>
      <c r="Q32" s="38" t="s">
        <v>13</v>
      </c>
      <c r="R32" s="31" t="s">
        <v>13</v>
      </c>
      <c r="S32" s="32" t="s">
        <v>13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14.4" customHeight="1" x14ac:dyDescent="0.55000000000000004">
      <c r="A33" s="1"/>
      <c r="B33" s="1"/>
      <c r="C33" s="1"/>
      <c r="D33" s="1"/>
      <c r="E33" s="36" t="s">
        <v>13</v>
      </c>
      <c r="F33" s="28" t="s">
        <v>20</v>
      </c>
      <c r="G33" s="37"/>
      <c r="H33" s="38" t="s">
        <v>13</v>
      </c>
      <c r="I33" s="38" t="s">
        <v>13</v>
      </c>
      <c r="J33" s="41" t="s">
        <v>25</v>
      </c>
      <c r="K33" s="32" t="s">
        <v>13</v>
      </c>
      <c r="L33" s="1"/>
      <c r="M33" s="36" t="s">
        <v>13</v>
      </c>
      <c r="N33" s="28" t="s">
        <v>20</v>
      </c>
      <c r="O33" s="37"/>
      <c r="P33" s="38" t="s">
        <v>13</v>
      </c>
      <c r="Q33" s="38" t="s">
        <v>13</v>
      </c>
      <c r="R33" s="41" t="s">
        <v>26</v>
      </c>
      <c r="S33" s="32" t="s">
        <v>13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customHeight="1" x14ac:dyDescent="0.55000000000000004">
      <c r="A34" s="1"/>
      <c r="B34" s="1"/>
      <c r="C34" s="1"/>
      <c r="D34" s="1"/>
      <c r="E34" s="36" t="s">
        <v>13</v>
      </c>
      <c r="F34" s="38" t="s">
        <v>13</v>
      </c>
      <c r="G34" s="38" t="s">
        <v>13</v>
      </c>
      <c r="H34" s="38" t="s">
        <v>13</v>
      </c>
      <c r="I34" s="38" t="s">
        <v>13</v>
      </c>
      <c r="J34" s="31" t="s">
        <v>13</v>
      </c>
      <c r="K34" s="32" t="s">
        <v>13</v>
      </c>
      <c r="L34" s="1"/>
      <c r="M34" s="36" t="s">
        <v>13</v>
      </c>
      <c r="N34" s="38" t="s">
        <v>13</v>
      </c>
      <c r="O34" s="38" t="s">
        <v>13</v>
      </c>
      <c r="P34" s="38" t="s">
        <v>13</v>
      </c>
      <c r="Q34" s="38" t="s">
        <v>13</v>
      </c>
      <c r="R34" s="31" t="s">
        <v>13</v>
      </c>
      <c r="S34" s="32" t="s">
        <v>13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customHeight="1" thickBot="1" x14ac:dyDescent="0.6">
      <c r="A35" s="1"/>
      <c r="B35" s="1"/>
      <c r="C35" s="1"/>
      <c r="D35" s="1"/>
      <c r="E35" s="39" t="s">
        <v>13</v>
      </c>
      <c r="F35" s="40" t="s">
        <v>13</v>
      </c>
      <c r="G35" s="40" t="s">
        <v>13</v>
      </c>
      <c r="H35" s="40" t="s">
        <v>13</v>
      </c>
      <c r="I35" s="40" t="s">
        <v>13</v>
      </c>
      <c r="J35" s="34" t="s">
        <v>13</v>
      </c>
      <c r="K35" s="35" t="s">
        <v>13</v>
      </c>
      <c r="L35" s="1"/>
      <c r="M35" s="39" t="s">
        <v>13</v>
      </c>
      <c r="N35" s="40" t="s">
        <v>13</v>
      </c>
      <c r="O35" s="40" t="s">
        <v>13</v>
      </c>
      <c r="P35" s="40" t="s">
        <v>13</v>
      </c>
      <c r="Q35" s="40" t="s">
        <v>13</v>
      </c>
      <c r="R35" s="34" t="s">
        <v>13</v>
      </c>
      <c r="S35" s="35" t="s">
        <v>13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</sheetData>
  <mergeCells count="6">
    <mergeCell ref="J11:Q12"/>
    <mergeCell ref="J13:Q13"/>
    <mergeCell ref="E27:K29"/>
    <mergeCell ref="M16:S18"/>
    <mergeCell ref="M27:S29"/>
    <mergeCell ref="E16:K1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AE39"/>
  <sheetViews>
    <sheetView showGridLines="0" zoomScale="55" zoomScaleNormal="55" workbookViewId="0">
      <selection activeCell="S33" sqref="S33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6" spans="1:31" ht="15" customHeight="1" thickBot="1" x14ac:dyDescent="0.35"/>
    <row r="7" spans="1:31" ht="15" customHeight="1" x14ac:dyDescent="0.3">
      <c r="E7" s="479" t="s">
        <v>27</v>
      </c>
      <c r="F7" s="480"/>
      <c r="G7" s="480"/>
      <c r="H7" s="480"/>
      <c r="I7" s="480"/>
      <c r="J7" s="480"/>
      <c r="K7" s="481"/>
    </row>
    <row r="8" spans="1:31" ht="15" customHeight="1" x14ac:dyDescent="0.3">
      <c r="E8" s="482"/>
      <c r="F8" s="483"/>
      <c r="G8" s="483"/>
      <c r="H8" s="483"/>
      <c r="I8" s="483"/>
      <c r="J8" s="483"/>
      <c r="K8" s="484"/>
    </row>
    <row r="9" spans="1:31" ht="15" customHeight="1" thickBot="1" x14ac:dyDescent="0.35">
      <c r="E9" s="485"/>
      <c r="F9" s="486"/>
      <c r="G9" s="486"/>
      <c r="H9" s="486"/>
      <c r="I9" s="486"/>
      <c r="J9" s="486"/>
      <c r="K9" s="487"/>
    </row>
    <row r="10" spans="1:31" ht="15" customHeight="1" x14ac:dyDescent="0.55000000000000004">
      <c r="E10" s="36" t="s">
        <v>13</v>
      </c>
      <c r="F10" s="104" t="s">
        <v>13</v>
      </c>
      <c r="G10" s="104" t="s">
        <v>13</v>
      </c>
      <c r="H10" s="104" t="s">
        <v>13</v>
      </c>
      <c r="I10" s="104" t="s">
        <v>13</v>
      </c>
      <c r="J10" s="112" t="s">
        <v>13</v>
      </c>
      <c r="K10" s="32" t="s">
        <v>13</v>
      </c>
    </row>
    <row r="11" spans="1:31" ht="15" customHeight="1" x14ac:dyDescent="0.55000000000000004">
      <c r="E11" s="36" t="s">
        <v>13</v>
      </c>
      <c r="F11" s="107" t="s">
        <v>28</v>
      </c>
      <c r="G11" s="108"/>
      <c r="H11" s="104" t="s">
        <v>13</v>
      </c>
      <c r="I11" s="104" t="s">
        <v>13</v>
      </c>
      <c r="J11" s="125" t="s">
        <v>29</v>
      </c>
      <c r="K11" s="32" t="s">
        <v>13</v>
      </c>
    </row>
    <row r="12" spans="1:31" ht="15" customHeight="1" x14ac:dyDescent="0.55000000000000004">
      <c r="E12" s="36" t="s">
        <v>13</v>
      </c>
      <c r="F12" s="104" t="s">
        <v>13</v>
      </c>
      <c r="G12" s="104" t="s">
        <v>13</v>
      </c>
      <c r="H12" s="104" t="s">
        <v>13</v>
      </c>
      <c r="I12" s="104" t="s">
        <v>13</v>
      </c>
      <c r="J12" s="112" t="s">
        <v>13</v>
      </c>
      <c r="K12" s="32" t="s">
        <v>13</v>
      </c>
    </row>
    <row r="13" spans="1:31" ht="15" customHeight="1" x14ac:dyDescent="0.55000000000000004">
      <c r="E13" s="36" t="s">
        <v>13</v>
      </c>
      <c r="F13" s="107" t="s">
        <v>30</v>
      </c>
      <c r="G13" s="108"/>
      <c r="H13" s="104" t="s">
        <v>13</v>
      </c>
      <c r="I13" s="104" t="s">
        <v>13</v>
      </c>
      <c r="J13" s="125"/>
      <c r="K13" s="32" t="s">
        <v>13</v>
      </c>
    </row>
    <row r="14" spans="1:31" ht="15" customHeight="1" x14ac:dyDescent="0.55000000000000004">
      <c r="E14" s="36" t="s">
        <v>13</v>
      </c>
      <c r="F14" s="104" t="s">
        <v>13</v>
      </c>
      <c r="G14" s="104" t="s">
        <v>13</v>
      </c>
      <c r="H14" s="104" t="s">
        <v>13</v>
      </c>
      <c r="I14" s="104" t="s">
        <v>13</v>
      </c>
      <c r="J14" s="112" t="s">
        <v>13</v>
      </c>
      <c r="K14" s="32" t="s">
        <v>13</v>
      </c>
    </row>
    <row r="15" spans="1:31" ht="15" customHeight="1" x14ac:dyDescent="0.55000000000000004">
      <c r="E15" s="36" t="s">
        <v>13</v>
      </c>
      <c r="F15" s="104" t="s">
        <v>13</v>
      </c>
      <c r="G15" s="104" t="s">
        <v>13</v>
      </c>
      <c r="H15" s="104" t="s">
        <v>13</v>
      </c>
      <c r="I15" s="104" t="s">
        <v>13</v>
      </c>
      <c r="J15" s="112" t="s">
        <v>13</v>
      </c>
      <c r="K15" s="32" t="s">
        <v>13</v>
      </c>
    </row>
    <row r="16" spans="1:31" ht="15" customHeight="1" x14ac:dyDescent="0.55000000000000004">
      <c r="E16" s="113" t="s">
        <v>13</v>
      </c>
      <c r="F16" s="112" t="s">
        <v>13</v>
      </c>
      <c r="G16" s="112" t="s">
        <v>13</v>
      </c>
      <c r="H16" s="112" t="s">
        <v>13</v>
      </c>
      <c r="I16" s="112" t="s">
        <v>13</v>
      </c>
      <c r="J16" s="112" t="s">
        <v>13</v>
      </c>
      <c r="K16" s="32" t="s">
        <v>13</v>
      </c>
    </row>
    <row r="17" spans="5:11" ht="15" customHeight="1" x14ac:dyDescent="0.55000000000000004">
      <c r="E17" s="113" t="s">
        <v>13</v>
      </c>
      <c r="F17" s="112" t="s">
        <v>13</v>
      </c>
      <c r="G17" s="112" t="s">
        <v>13</v>
      </c>
      <c r="H17" s="112" t="s">
        <v>13</v>
      </c>
      <c r="I17" s="112" t="s">
        <v>13</v>
      </c>
      <c r="J17" s="112" t="s">
        <v>13</v>
      </c>
      <c r="K17" s="32" t="s">
        <v>13</v>
      </c>
    </row>
    <row r="18" spans="5:11" ht="15" customHeight="1" x14ac:dyDescent="0.55000000000000004">
      <c r="E18" s="113" t="s">
        <v>13</v>
      </c>
      <c r="F18" s="112" t="s">
        <v>13</v>
      </c>
      <c r="G18" s="112" t="s">
        <v>13</v>
      </c>
      <c r="H18" s="112" t="s">
        <v>13</v>
      </c>
      <c r="I18" s="112" t="s">
        <v>13</v>
      </c>
      <c r="J18" s="112" t="s">
        <v>13</v>
      </c>
      <c r="K18" s="32" t="s">
        <v>13</v>
      </c>
    </row>
    <row r="19" spans="5:11" ht="15" customHeight="1" thickBot="1" x14ac:dyDescent="0.6">
      <c r="E19" s="49" t="s">
        <v>13</v>
      </c>
      <c r="F19" s="34" t="s">
        <v>13</v>
      </c>
      <c r="G19" s="34" t="s">
        <v>13</v>
      </c>
      <c r="H19" s="34" t="s">
        <v>13</v>
      </c>
      <c r="I19" s="34" t="s">
        <v>13</v>
      </c>
      <c r="J19" s="34" t="s">
        <v>13</v>
      </c>
      <c r="K19" s="35" t="s">
        <v>13</v>
      </c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thickBot="1" x14ac:dyDescent="0.35"/>
    <row r="28" spans="5:11" ht="15" customHeight="1" x14ac:dyDescent="0.3">
      <c r="E28" s="488" t="s">
        <v>31</v>
      </c>
      <c r="F28" s="489"/>
      <c r="G28" s="489"/>
      <c r="H28" s="489"/>
      <c r="I28" s="489"/>
      <c r="J28" s="489"/>
      <c r="K28" s="490"/>
    </row>
    <row r="29" spans="5:11" ht="15" customHeight="1" x14ac:dyDescent="0.3">
      <c r="E29" s="491"/>
      <c r="F29" s="492"/>
      <c r="G29" s="492"/>
      <c r="H29" s="492"/>
      <c r="I29" s="492"/>
      <c r="J29" s="492"/>
      <c r="K29" s="493"/>
    </row>
    <row r="30" spans="5:11" ht="15" customHeight="1" x14ac:dyDescent="0.3">
      <c r="E30" s="491"/>
      <c r="F30" s="492"/>
      <c r="G30" s="492"/>
      <c r="H30" s="492"/>
      <c r="I30" s="492"/>
      <c r="J30" s="492"/>
      <c r="K30" s="493"/>
    </row>
    <row r="31" spans="5:11" ht="15" customHeight="1" x14ac:dyDescent="0.55000000000000004">
      <c r="E31" s="36" t="s">
        <v>13</v>
      </c>
      <c r="F31" s="38" t="s">
        <v>13</v>
      </c>
      <c r="G31" s="38" t="s">
        <v>13</v>
      </c>
      <c r="H31" s="38" t="s">
        <v>13</v>
      </c>
      <c r="I31" s="38" t="s">
        <v>13</v>
      </c>
      <c r="J31" s="31" t="s">
        <v>13</v>
      </c>
      <c r="K31" s="32" t="s">
        <v>13</v>
      </c>
    </row>
    <row r="32" spans="5:11" ht="15" customHeight="1" x14ac:dyDescent="0.55000000000000004">
      <c r="E32" s="36" t="s">
        <v>13</v>
      </c>
      <c r="F32" s="28" t="s">
        <v>28</v>
      </c>
      <c r="G32" s="37"/>
      <c r="H32" s="38" t="s">
        <v>13</v>
      </c>
      <c r="I32" s="38" t="s">
        <v>13</v>
      </c>
      <c r="J32" s="41" t="s">
        <v>29</v>
      </c>
      <c r="K32" s="32" t="s">
        <v>13</v>
      </c>
    </row>
    <row r="33" spans="5:11" ht="15" customHeight="1" x14ac:dyDescent="0.55000000000000004">
      <c r="E33" s="36" t="s">
        <v>13</v>
      </c>
      <c r="F33" s="38" t="s">
        <v>13</v>
      </c>
      <c r="G33" s="38" t="s">
        <v>13</v>
      </c>
      <c r="H33" s="38" t="s">
        <v>13</v>
      </c>
      <c r="I33" s="38" t="s">
        <v>13</v>
      </c>
      <c r="J33" s="31" t="s">
        <v>13</v>
      </c>
      <c r="K33" s="32" t="s">
        <v>13</v>
      </c>
    </row>
    <row r="34" spans="5:11" ht="15" customHeight="1" x14ac:dyDescent="0.55000000000000004">
      <c r="E34" s="36" t="s">
        <v>13</v>
      </c>
      <c r="F34" s="28" t="s">
        <v>12</v>
      </c>
      <c r="G34" s="37"/>
      <c r="H34" s="38" t="s">
        <v>13</v>
      </c>
      <c r="I34" s="38" t="s">
        <v>13</v>
      </c>
      <c r="J34" s="41"/>
      <c r="K34" s="32" t="s">
        <v>13</v>
      </c>
    </row>
    <row r="35" spans="5:11" ht="15" customHeight="1" x14ac:dyDescent="0.55000000000000004">
      <c r="E35" s="36" t="s">
        <v>13</v>
      </c>
      <c r="F35" s="38" t="s">
        <v>13</v>
      </c>
      <c r="G35" s="38" t="s">
        <v>13</v>
      </c>
      <c r="H35" s="38" t="s">
        <v>13</v>
      </c>
      <c r="I35" s="38" t="s">
        <v>13</v>
      </c>
      <c r="J35" s="31" t="s">
        <v>13</v>
      </c>
      <c r="K35" s="32" t="s">
        <v>13</v>
      </c>
    </row>
    <row r="36" spans="5:11" ht="15" customHeight="1" x14ac:dyDescent="0.55000000000000004">
      <c r="E36" s="36" t="s">
        <v>13</v>
      </c>
      <c r="F36" s="28" t="s">
        <v>32</v>
      </c>
      <c r="G36" s="38" t="s">
        <v>13</v>
      </c>
      <c r="H36" s="38" t="s">
        <v>13</v>
      </c>
      <c r="I36" s="38" t="s">
        <v>13</v>
      </c>
      <c r="J36" s="48" t="s">
        <v>13</v>
      </c>
      <c r="K36" s="32" t="s">
        <v>13</v>
      </c>
    </row>
    <row r="37" spans="5:11" ht="15" customHeight="1" x14ac:dyDescent="0.55000000000000004">
      <c r="E37" s="36" t="s">
        <v>13</v>
      </c>
      <c r="F37" s="38" t="s">
        <v>13</v>
      </c>
      <c r="G37" s="38" t="s">
        <v>13</v>
      </c>
      <c r="H37" s="38" t="s">
        <v>13</v>
      </c>
      <c r="I37" s="38" t="s">
        <v>13</v>
      </c>
      <c r="J37" s="31" t="s">
        <v>13</v>
      </c>
      <c r="K37" s="32" t="s">
        <v>13</v>
      </c>
    </row>
    <row r="38" spans="5:11" ht="15" customHeight="1" thickBot="1" x14ac:dyDescent="0.6">
      <c r="E38" s="39" t="s">
        <v>13</v>
      </c>
      <c r="F38" s="45"/>
      <c r="G38" s="46"/>
      <c r="H38" s="40" t="s">
        <v>13</v>
      </c>
      <c r="I38" s="40" t="s">
        <v>13</v>
      </c>
      <c r="J38" s="47"/>
      <c r="K38" s="35" t="s">
        <v>13</v>
      </c>
    </row>
    <row r="39" spans="5:11" ht="15" customHeight="1" x14ac:dyDescent="0.3"/>
  </sheetData>
  <mergeCells count="2">
    <mergeCell ref="E7:K9"/>
    <mergeCell ref="E28:K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AE39"/>
  <sheetViews>
    <sheetView showGridLines="0" zoomScale="55" zoomScaleNormal="55" workbookViewId="0">
      <selection activeCell="O42" sqref="O42"/>
    </sheetView>
  </sheetViews>
  <sheetFormatPr defaultRowHeight="14.4" x14ac:dyDescent="0.3"/>
  <cols>
    <col min="1" max="5" width="8.88671875" style="268"/>
    <col min="6" max="6" width="23.5546875" style="268" bestFit="1" customWidth="1"/>
    <col min="7" max="9" width="8.88671875" style="268"/>
    <col min="10" max="10" width="34.6640625" style="268" customWidth="1"/>
    <col min="11" max="11" width="8.88671875" style="268" customWidth="1"/>
    <col min="12" max="16384" width="8.88671875" style="268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6" spans="1:31" ht="15" customHeight="1" thickBot="1" x14ac:dyDescent="0.35"/>
    <row r="7" spans="1:31" ht="15" customHeight="1" x14ac:dyDescent="0.3">
      <c r="E7" s="494" t="s">
        <v>31</v>
      </c>
      <c r="F7" s="495"/>
      <c r="G7" s="495"/>
      <c r="H7" s="495"/>
      <c r="I7" s="495"/>
      <c r="J7" s="495"/>
      <c r="K7" s="496"/>
    </row>
    <row r="8" spans="1:31" ht="15" customHeight="1" x14ac:dyDescent="0.3">
      <c r="E8" s="497"/>
      <c r="F8" s="498"/>
      <c r="G8" s="498"/>
      <c r="H8" s="498"/>
      <c r="I8" s="498"/>
      <c r="J8" s="498"/>
      <c r="K8" s="499"/>
    </row>
    <row r="9" spans="1:31" ht="15" customHeight="1" x14ac:dyDescent="0.3">
      <c r="E9" s="497"/>
      <c r="F9" s="498"/>
      <c r="G9" s="498"/>
      <c r="H9" s="498"/>
      <c r="I9" s="498"/>
      <c r="J9" s="498"/>
      <c r="K9" s="499"/>
    </row>
    <row r="10" spans="1:31" ht="15" customHeight="1" x14ac:dyDescent="0.55000000000000004">
      <c r="E10" s="36" t="s">
        <v>13</v>
      </c>
      <c r="F10" s="38" t="s">
        <v>13</v>
      </c>
      <c r="G10" s="38" t="s">
        <v>13</v>
      </c>
      <c r="H10" s="38" t="s">
        <v>13</v>
      </c>
      <c r="I10" s="38" t="s">
        <v>13</v>
      </c>
      <c r="J10" s="31" t="s">
        <v>13</v>
      </c>
      <c r="K10" s="32" t="s">
        <v>13</v>
      </c>
    </row>
    <row r="11" spans="1:31" ht="15" customHeight="1" x14ac:dyDescent="0.55000000000000004">
      <c r="E11" s="36" t="s">
        <v>13</v>
      </c>
      <c r="F11" s="28" t="s">
        <v>28</v>
      </c>
      <c r="G11" s="37"/>
      <c r="H11" s="38" t="s">
        <v>13</v>
      </c>
      <c r="I11" s="38" t="s">
        <v>13</v>
      </c>
      <c r="J11" s="41" t="s">
        <v>29</v>
      </c>
      <c r="K11" s="32" t="s">
        <v>13</v>
      </c>
    </row>
    <row r="12" spans="1:31" ht="15" customHeight="1" x14ac:dyDescent="0.55000000000000004">
      <c r="E12" s="36" t="s">
        <v>13</v>
      </c>
      <c r="F12" s="38" t="s">
        <v>13</v>
      </c>
      <c r="G12" s="38" t="s">
        <v>13</v>
      </c>
      <c r="H12" s="38" t="s">
        <v>13</v>
      </c>
      <c r="I12" s="38" t="s">
        <v>13</v>
      </c>
      <c r="J12" s="31" t="s">
        <v>13</v>
      </c>
      <c r="K12" s="32" t="s">
        <v>13</v>
      </c>
    </row>
    <row r="13" spans="1:31" ht="15" customHeight="1" x14ac:dyDescent="0.55000000000000004">
      <c r="E13" s="36" t="s">
        <v>13</v>
      </c>
      <c r="F13" s="28" t="s">
        <v>12</v>
      </c>
      <c r="G13" s="37"/>
      <c r="H13" s="38" t="s">
        <v>13</v>
      </c>
      <c r="I13" s="38" t="s">
        <v>13</v>
      </c>
      <c r="J13" s="41"/>
      <c r="K13" s="32" t="s">
        <v>13</v>
      </c>
    </row>
    <row r="14" spans="1:31" ht="15" customHeight="1" x14ac:dyDescent="0.55000000000000004">
      <c r="E14" s="36" t="s">
        <v>13</v>
      </c>
      <c r="F14" s="38" t="s">
        <v>13</v>
      </c>
      <c r="G14" s="38" t="s">
        <v>13</v>
      </c>
      <c r="H14" s="38" t="s">
        <v>13</v>
      </c>
      <c r="I14" s="38" t="s">
        <v>13</v>
      </c>
      <c r="J14" s="31" t="s">
        <v>13</v>
      </c>
      <c r="K14" s="32" t="s">
        <v>13</v>
      </c>
    </row>
    <row r="15" spans="1:31" ht="15" customHeight="1" x14ac:dyDescent="0.55000000000000004">
      <c r="E15" s="36" t="s">
        <v>13</v>
      </c>
      <c r="F15" s="28" t="s">
        <v>32</v>
      </c>
      <c r="G15" s="38" t="s">
        <v>13</v>
      </c>
      <c r="H15" s="38" t="s">
        <v>13</v>
      </c>
      <c r="I15" s="38" t="s">
        <v>13</v>
      </c>
      <c r="J15" s="48" t="s">
        <v>13</v>
      </c>
      <c r="K15" s="32" t="s">
        <v>13</v>
      </c>
    </row>
    <row r="16" spans="1:31" ht="15" customHeight="1" x14ac:dyDescent="0.55000000000000004">
      <c r="E16" s="36" t="s">
        <v>13</v>
      </c>
      <c r="F16" s="38" t="s">
        <v>13</v>
      </c>
      <c r="G16" s="38" t="s">
        <v>13</v>
      </c>
      <c r="H16" s="38" t="s">
        <v>13</v>
      </c>
      <c r="I16" s="38" t="s">
        <v>13</v>
      </c>
      <c r="J16" s="31" t="s">
        <v>13</v>
      </c>
      <c r="K16" s="32" t="s">
        <v>13</v>
      </c>
    </row>
    <row r="17" spans="5:11" ht="15" customHeight="1" thickBot="1" x14ac:dyDescent="0.6">
      <c r="E17" s="39" t="s">
        <v>13</v>
      </c>
      <c r="F17" s="45"/>
      <c r="G17" s="46"/>
      <c r="H17" s="40" t="s">
        <v>13</v>
      </c>
      <c r="I17" s="40" t="s">
        <v>13</v>
      </c>
      <c r="J17" s="47"/>
      <c r="K17" s="35" t="s">
        <v>13</v>
      </c>
    </row>
    <row r="18" spans="5:11" ht="15" customHeight="1" x14ac:dyDescent="0.55000000000000004">
      <c r="E18" s="103"/>
      <c r="F18" s="103"/>
      <c r="G18" s="103"/>
      <c r="H18" s="103"/>
      <c r="I18" s="103"/>
      <c r="J18" s="103"/>
      <c r="K18" s="103"/>
    </row>
    <row r="19" spans="5:11" ht="15" customHeight="1" x14ac:dyDescent="0.55000000000000004">
      <c r="E19" s="103"/>
      <c r="F19" s="103"/>
      <c r="G19" s="103"/>
      <c r="H19" s="103"/>
      <c r="I19" s="103"/>
      <c r="J19" s="103"/>
      <c r="K19" s="103"/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x14ac:dyDescent="0.3"/>
    <row r="28" spans="5:11" ht="15" customHeight="1" x14ac:dyDescent="0.3"/>
    <row r="29" spans="5:11" ht="15" customHeight="1" x14ac:dyDescent="0.3"/>
    <row r="30" spans="5:11" ht="15" customHeight="1" x14ac:dyDescent="0.3"/>
    <row r="31" spans="5:11" ht="15" customHeight="1" x14ac:dyDescent="0.3"/>
    <row r="32" spans="5:11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</sheetData>
  <mergeCells count="1">
    <mergeCell ref="E7:K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E27"/>
  <sheetViews>
    <sheetView showGridLines="0" zoomScale="70" zoomScaleNormal="70" workbookViewId="0">
      <selection activeCell="F13" sqref="F13"/>
    </sheetView>
  </sheetViews>
  <sheetFormatPr defaultRowHeight="14.4" x14ac:dyDescent="0.3"/>
  <cols>
    <col min="5" max="5" width="4.5546875" bestFit="1" customWidth="1"/>
    <col min="6" max="6" width="21.88671875" bestFit="1" customWidth="1"/>
    <col min="7" max="7" width="26" bestFit="1" customWidth="1"/>
    <col min="8" max="8" width="19.44140625" bestFit="1" customWidth="1"/>
    <col min="9" max="9" width="12.109375" bestFit="1" customWidth="1"/>
    <col min="10" max="10" width="12.6640625" bestFit="1" customWidth="1"/>
    <col min="11" max="11" width="31.441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7.399999999999999" x14ac:dyDescent="0.3">
      <c r="E7" s="50" t="s">
        <v>33</v>
      </c>
      <c r="F7" s="50" t="s">
        <v>34</v>
      </c>
      <c r="G7" s="50" t="s">
        <v>35</v>
      </c>
      <c r="H7" s="50" t="s">
        <v>36</v>
      </c>
      <c r="I7" s="50" t="s">
        <v>37</v>
      </c>
      <c r="J7" s="50" t="s">
        <v>38</v>
      </c>
      <c r="K7" s="50" t="s">
        <v>39</v>
      </c>
    </row>
    <row r="8" spans="1:31" ht="14.4" customHeight="1" x14ac:dyDescent="0.3">
      <c r="E8" s="51">
        <v>1</v>
      </c>
      <c r="F8" s="51" t="s">
        <v>40</v>
      </c>
      <c r="G8" s="51" t="s">
        <v>41</v>
      </c>
      <c r="H8" s="51" t="s">
        <v>42</v>
      </c>
      <c r="I8" s="51" t="s">
        <v>43</v>
      </c>
      <c r="J8" s="51" t="s">
        <v>44</v>
      </c>
      <c r="K8" s="51" t="s">
        <v>45</v>
      </c>
    </row>
    <row r="9" spans="1:31" ht="14.4" customHeight="1" x14ac:dyDescent="0.3">
      <c r="E9" s="51">
        <f>E8+1</f>
        <v>2</v>
      </c>
      <c r="F9" s="51" t="s">
        <v>46</v>
      </c>
      <c r="G9" s="51" t="s">
        <v>47</v>
      </c>
      <c r="H9" s="51" t="s">
        <v>42</v>
      </c>
      <c r="I9" s="51" t="s">
        <v>48</v>
      </c>
      <c r="J9" s="51" t="s">
        <v>49</v>
      </c>
      <c r="K9" s="51" t="s">
        <v>50</v>
      </c>
    </row>
    <row r="10" spans="1:31" ht="14.4" customHeight="1" x14ac:dyDescent="0.3">
      <c r="E10" s="51">
        <f t="shared" ref="E10:E27" si="0">E9+1</f>
        <v>3</v>
      </c>
      <c r="F10" s="51" t="s">
        <v>51</v>
      </c>
      <c r="G10" s="51" t="s">
        <v>52</v>
      </c>
      <c r="H10" s="51" t="s">
        <v>53</v>
      </c>
      <c r="I10" s="51" t="s">
        <v>54</v>
      </c>
      <c r="J10" s="51" t="s">
        <v>55</v>
      </c>
      <c r="K10" s="51" t="s">
        <v>56</v>
      </c>
    </row>
    <row r="11" spans="1:31" ht="14.4" customHeight="1" x14ac:dyDescent="0.3">
      <c r="E11" s="51">
        <f t="shared" si="0"/>
        <v>4</v>
      </c>
      <c r="F11" s="51" t="s">
        <v>57</v>
      </c>
      <c r="G11" s="51" t="s">
        <v>58</v>
      </c>
      <c r="H11" s="51" t="s">
        <v>59</v>
      </c>
      <c r="I11" s="51" t="s">
        <v>60</v>
      </c>
      <c r="J11" s="51" t="s">
        <v>61</v>
      </c>
      <c r="K11" s="51" t="s">
        <v>62</v>
      </c>
    </row>
    <row r="12" spans="1:31" ht="14.4" customHeight="1" x14ac:dyDescent="0.3">
      <c r="E12" s="51">
        <f t="shared" si="0"/>
        <v>5</v>
      </c>
      <c r="F12" s="51" t="s">
        <v>63</v>
      </c>
      <c r="G12" s="51" t="s">
        <v>64</v>
      </c>
      <c r="H12" s="51" t="s">
        <v>65</v>
      </c>
      <c r="I12" s="51" t="s">
        <v>66</v>
      </c>
      <c r="J12" s="51" t="s">
        <v>67</v>
      </c>
      <c r="K12" s="51" t="s">
        <v>68</v>
      </c>
    </row>
    <row r="13" spans="1:31" ht="14.4" customHeight="1" x14ac:dyDescent="0.3">
      <c r="E13" s="51">
        <f t="shared" si="0"/>
        <v>6</v>
      </c>
      <c r="F13" s="51" t="s">
        <v>69</v>
      </c>
      <c r="G13" s="51" t="s">
        <v>70</v>
      </c>
      <c r="H13" s="51" t="s">
        <v>71</v>
      </c>
      <c r="I13" s="51" t="s">
        <v>72</v>
      </c>
      <c r="J13" s="51" t="s">
        <v>73</v>
      </c>
      <c r="K13" s="51" t="s">
        <v>74</v>
      </c>
    </row>
    <row r="14" spans="1:31" ht="14.4" customHeight="1" x14ac:dyDescent="0.3">
      <c r="E14" s="51">
        <f t="shared" si="0"/>
        <v>7</v>
      </c>
      <c r="F14" s="51" t="s">
        <v>75</v>
      </c>
      <c r="G14" s="51" t="s">
        <v>76</v>
      </c>
      <c r="H14" s="51" t="s">
        <v>77</v>
      </c>
      <c r="I14" s="51" t="s">
        <v>78</v>
      </c>
      <c r="J14" s="51" t="s">
        <v>79</v>
      </c>
      <c r="K14" s="51" t="s">
        <v>80</v>
      </c>
    </row>
    <row r="15" spans="1:31" ht="14.4" customHeight="1" x14ac:dyDescent="0.3">
      <c r="E15" s="51">
        <f t="shared" si="0"/>
        <v>8</v>
      </c>
      <c r="F15" s="51" t="s">
        <v>81</v>
      </c>
      <c r="G15" s="51" t="s">
        <v>82</v>
      </c>
      <c r="H15" s="51" t="s">
        <v>83</v>
      </c>
      <c r="I15" s="51" t="s">
        <v>84</v>
      </c>
      <c r="J15" s="51" t="s">
        <v>85</v>
      </c>
      <c r="K15" s="51" t="s">
        <v>86</v>
      </c>
    </row>
    <row r="16" spans="1:31" ht="14.4" customHeight="1" x14ac:dyDescent="0.3">
      <c r="E16" s="51">
        <f t="shared" si="0"/>
        <v>9</v>
      </c>
      <c r="F16" s="51" t="s">
        <v>87</v>
      </c>
      <c r="G16" s="51" t="s">
        <v>88</v>
      </c>
      <c r="H16" s="51" t="s">
        <v>89</v>
      </c>
      <c r="I16" s="51" t="s">
        <v>90</v>
      </c>
      <c r="J16" s="51" t="s">
        <v>91</v>
      </c>
      <c r="K16" s="51" t="s">
        <v>92</v>
      </c>
    </row>
    <row r="17" spans="5:11" ht="14.4" customHeight="1" x14ac:dyDescent="0.3">
      <c r="E17" s="51">
        <f t="shared" si="0"/>
        <v>10</v>
      </c>
      <c r="F17" s="51" t="s">
        <v>93</v>
      </c>
      <c r="G17" s="51" t="s">
        <v>94</v>
      </c>
      <c r="H17" s="51" t="s">
        <v>95</v>
      </c>
      <c r="I17" s="51" t="s">
        <v>96</v>
      </c>
      <c r="J17" s="51" t="s">
        <v>97</v>
      </c>
      <c r="K17" s="51" t="s">
        <v>98</v>
      </c>
    </row>
    <row r="18" spans="5:11" ht="14.4" customHeight="1" x14ac:dyDescent="0.3">
      <c r="E18" s="51">
        <f t="shared" si="0"/>
        <v>11</v>
      </c>
      <c r="F18" s="51" t="s">
        <v>99</v>
      </c>
      <c r="G18" s="51" t="s">
        <v>100</v>
      </c>
      <c r="H18" s="51" t="s">
        <v>101</v>
      </c>
      <c r="I18" s="51" t="s">
        <v>102</v>
      </c>
      <c r="J18" s="51" t="s">
        <v>103</v>
      </c>
      <c r="K18" s="51" t="s">
        <v>104</v>
      </c>
    </row>
    <row r="19" spans="5:11" ht="14.4" customHeight="1" x14ac:dyDescent="0.3">
      <c r="E19" s="51">
        <f t="shared" si="0"/>
        <v>12</v>
      </c>
      <c r="F19" s="51" t="s">
        <v>105</v>
      </c>
      <c r="G19" s="51" t="s">
        <v>106</v>
      </c>
      <c r="H19" s="51" t="s">
        <v>107</v>
      </c>
      <c r="I19" s="51" t="s">
        <v>108</v>
      </c>
      <c r="J19" s="51" t="s">
        <v>109</v>
      </c>
      <c r="K19" s="51" t="s">
        <v>110</v>
      </c>
    </row>
    <row r="20" spans="5:11" ht="14.4" customHeight="1" x14ac:dyDescent="0.3">
      <c r="E20" s="51">
        <f t="shared" si="0"/>
        <v>13</v>
      </c>
      <c r="F20" s="51" t="s">
        <v>111</v>
      </c>
      <c r="G20" s="51" t="s">
        <v>112</v>
      </c>
      <c r="H20" s="51" t="s">
        <v>113</v>
      </c>
      <c r="I20" s="51" t="s">
        <v>114</v>
      </c>
      <c r="J20" s="51" t="s">
        <v>115</v>
      </c>
      <c r="K20" s="51" t="s">
        <v>116</v>
      </c>
    </row>
    <row r="21" spans="5:11" ht="14.4" customHeight="1" x14ac:dyDescent="0.3">
      <c r="E21" s="51">
        <f t="shared" si="0"/>
        <v>14</v>
      </c>
      <c r="F21" s="51" t="s">
        <v>117</v>
      </c>
      <c r="G21" s="51" t="s">
        <v>118</v>
      </c>
      <c r="H21" s="51" t="s">
        <v>119</v>
      </c>
      <c r="I21" s="51" t="s">
        <v>120</v>
      </c>
      <c r="J21" s="51" t="s">
        <v>121</v>
      </c>
      <c r="K21" s="51" t="s">
        <v>122</v>
      </c>
    </row>
    <row r="22" spans="5:11" ht="14.4" customHeight="1" x14ac:dyDescent="0.3">
      <c r="E22" s="51">
        <f t="shared" si="0"/>
        <v>15</v>
      </c>
      <c r="F22" s="51" t="s">
        <v>123</v>
      </c>
      <c r="G22" s="51" t="s">
        <v>124</v>
      </c>
      <c r="H22" s="51" t="s">
        <v>125</v>
      </c>
      <c r="I22" s="51" t="s">
        <v>126</v>
      </c>
      <c r="J22" s="51" t="s">
        <v>127</v>
      </c>
      <c r="K22" s="51" t="s">
        <v>128</v>
      </c>
    </row>
    <row r="23" spans="5:11" ht="14.4" customHeight="1" x14ac:dyDescent="0.3">
      <c r="E23" s="51">
        <f t="shared" si="0"/>
        <v>16</v>
      </c>
      <c r="F23" s="51" t="s">
        <v>129</v>
      </c>
      <c r="G23" s="51" t="s">
        <v>130</v>
      </c>
      <c r="H23" s="51" t="s">
        <v>131</v>
      </c>
      <c r="I23" s="51" t="s">
        <v>132</v>
      </c>
      <c r="J23" s="51" t="s">
        <v>133</v>
      </c>
      <c r="K23" s="51" t="s">
        <v>104</v>
      </c>
    </row>
    <row r="24" spans="5:11" ht="14.4" customHeight="1" x14ac:dyDescent="0.3">
      <c r="E24" s="51">
        <f t="shared" si="0"/>
        <v>17</v>
      </c>
      <c r="F24" s="51" t="s">
        <v>134</v>
      </c>
      <c r="G24" s="51" t="s">
        <v>135</v>
      </c>
      <c r="H24" s="51" t="s">
        <v>136</v>
      </c>
      <c r="I24" s="51" t="s">
        <v>137</v>
      </c>
      <c r="J24" s="51" t="s">
        <v>138</v>
      </c>
      <c r="K24" s="51" t="s">
        <v>110</v>
      </c>
    </row>
    <row r="25" spans="5:11" ht="14.4" customHeight="1" x14ac:dyDescent="0.3">
      <c r="E25" s="51">
        <f t="shared" si="0"/>
        <v>18</v>
      </c>
      <c r="F25" s="51" t="s">
        <v>139</v>
      </c>
      <c r="G25" s="51" t="s">
        <v>140</v>
      </c>
      <c r="H25" s="51" t="s">
        <v>141</v>
      </c>
      <c r="I25" s="51" t="s">
        <v>142</v>
      </c>
      <c r="J25" s="51" t="s">
        <v>143</v>
      </c>
      <c r="K25" s="51" t="s">
        <v>144</v>
      </c>
    </row>
    <row r="26" spans="5:11" ht="14.4" customHeight="1" x14ac:dyDescent="0.3">
      <c r="E26" s="51">
        <f t="shared" si="0"/>
        <v>19</v>
      </c>
      <c r="F26" s="51" t="s">
        <v>145</v>
      </c>
      <c r="G26" s="51" t="s">
        <v>146</v>
      </c>
      <c r="H26" s="51" t="s">
        <v>147</v>
      </c>
      <c r="I26" s="51" t="s">
        <v>148</v>
      </c>
      <c r="J26" s="51" t="s">
        <v>149</v>
      </c>
      <c r="K26" s="51" t="s">
        <v>98</v>
      </c>
    </row>
    <row r="27" spans="5:11" ht="14.4" customHeight="1" x14ac:dyDescent="0.3">
      <c r="E27" s="51">
        <f t="shared" si="0"/>
        <v>20</v>
      </c>
      <c r="F27" s="51" t="s">
        <v>150</v>
      </c>
      <c r="G27" s="51" t="s">
        <v>151</v>
      </c>
      <c r="H27" s="51" t="s">
        <v>152</v>
      </c>
      <c r="I27" s="51" t="s">
        <v>153</v>
      </c>
      <c r="J27" s="51" t="s">
        <v>154</v>
      </c>
      <c r="K27" s="51" t="s">
        <v>80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C4987-873C-4730-BC77-A8F72440F983}">
  <sheetPr codeName="Planilha7">
    <tabColor rgb="FFFFC000"/>
  </sheetPr>
  <dimension ref="A1:AE27"/>
  <sheetViews>
    <sheetView showGridLines="0" zoomScale="70" zoomScaleNormal="70" workbookViewId="0">
      <selection activeCell="C36" sqref="C36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7.399999999999999" x14ac:dyDescent="0.3">
      <c r="E7" s="50" t="s">
        <v>33</v>
      </c>
      <c r="F7" s="54" t="s">
        <v>155</v>
      </c>
      <c r="G7" s="54" t="s">
        <v>156</v>
      </c>
      <c r="H7" s="55" t="s">
        <v>157</v>
      </c>
      <c r="I7" s="54" t="s">
        <v>158</v>
      </c>
      <c r="J7" s="54" t="s">
        <v>159</v>
      </c>
      <c r="K7" s="54" t="s">
        <v>160</v>
      </c>
      <c r="L7" s="54" t="s">
        <v>161</v>
      </c>
    </row>
    <row r="8" spans="1:31" ht="14.4" customHeight="1" x14ac:dyDescent="0.3">
      <c r="E8" s="51">
        <v>1</v>
      </c>
      <c r="F8" s="51" t="s">
        <v>162</v>
      </c>
      <c r="G8" s="51" t="s">
        <v>163</v>
      </c>
      <c r="H8" s="56">
        <v>10000</v>
      </c>
      <c r="I8" s="51" t="s">
        <v>164</v>
      </c>
      <c r="J8" s="51" t="s">
        <v>165</v>
      </c>
      <c r="K8" s="51" t="s">
        <v>43</v>
      </c>
      <c r="L8" s="51" t="s">
        <v>166</v>
      </c>
    </row>
    <row r="9" spans="1:31" ht="14.4" customHeight="1" x14ac:dyDescent="0.3">
      <c r="E9" s="51">
        <f>E8+1</f>
        <v>2</v>
      </c>
      <c r="F9" s="51" t="s">
        <v>167</v>
      </c>
      <c r="G9" s="51" t="s">
        <v>168</v>
      </c>
      <c r="H9" s="56">
        <v>2000</v>
      </c>
      <c r="I9" s="51" t="s">
        <v>169</v>
      </c>
      <c r="J9" s="51" t="s">
        <v>170</v>
      </c>
      <c r="K9" s="51" t="s">
        <v>171</v>
      </c>
      <c r="L9" s="51" t="s">
        <v>172</v>
      </c>
    </row>
    <row r="10" spans="1:31" ht="14.4" customHeight="1" x14ac:dyDescent="0.3">
      <c r="E10" s="51">
        <f t="shared" ref="E10:E27" si="0">E9+1</f>
        <v>3</v>
      </c>
      <c r="F10" s="51" t="s">
        <v>173</v>
      </c>
      <c r="G10" s="51" t="s">
        <v>163</v>
      </c>
      <c r="H10" s="56">
        <v>15000</v>
      </c>
      <c r="I10" s="51" t="s">
        <v>174</v>
      </c>
      <c r="J10" s="51" t="s">
        <v>175</v>
      </c>
      <c r="K10" s="51" t="s">
        <v>176</v>
      </c>
      <c r="L10" s="51" t="s">
        <v>177</v>
      </c>
    </row>
    <row r="11" spans="1:31" ht="14.4" customHeight="1" x14ac:dyDescent="0.3">
      <c r="E11" s="51">
        <f t="shared" si="0"/>
        <v>4</v>
      </c>
      <c r="F11" s="51" t="s">
        <v>178</v>
      </c>
      <c r="G11" s="51" t="s">
        <v>179</v>
      </c>
      <c r="H11" s="56">
        <v>1200</v>
      </c>
      <c r="I11" s="51" t="s">
        <v>180</v>
      </c>
      <c r="J11" s="51" t="s">
        <v>181</v>
      </c>
      <c r="K11" s="51" t="s">
        <v>60</v>
      </c>
      <c r="L11" s="51" t="s">
        <v>166</v>
      </c>
    </row>
    <row r="12" spans="1:31" ht="14.4" customHeight="1" x14ac:dyDescent="0.3">
      <c r="E12" s="51">
        <f t="shared" si="0"/>
        <v>5</v>
      </c>
      <c r="F12" s="51" t="s">
        <v>182</v>
      </c>
      <c r="G12" s="51" t="s">
        <v>163</v>
      </c>
      <c r="H12" s="56">
        <v>12500</v>
      </c>
      <c r="I12" s="51" t="s">
        <v>183</v>
      </c>
      <c r="J12" s="51" t="s">
        <v>63</v>
      </c>
      <c r="K12" s="51" t="s">
        <v>184</v>
      </c>
      <c r="L12" s="51" t="s">
        <v>166</v>
      </c>
    </row>
    <row r="13" spans="1:31" ht="14.4" customHeight="1" x14ac:dyDescent="0.3">
      <c r="E13" s="51">
        <f t="shared" si="0"/>
        <v>6</v>
      </c>
      <c r="F13" s="51" t="s">
        <v>185</v>
      </c>
      <c r="G13" s="51" t="s">
        <v>163</v>
      </c>
      <c r="H13" s="56">
        <v>8000</v>
      </c>
      <c r="I13" s="51" t="s">
        <v>186</v>
      </c>
      <c r="J13" s="51" t="s">
        <v>187</v>
      </c>
      <c r="K13" s="51" t="s">
        <v>188</v>
      </c>
      <c r="L13" s="51" t="s">
        <v>177</v>
      </c>
    </row>
    <row r="14" spans="1:31" ht="14.4" customHeight="1" x14ac:dyDescent="0.3">
      <c r="E14" s="51">
        <f t="shared" si="0"/>
        <v>7</v>
      </c>
      <c r="F14" s="51" t="s">
        <v>189</v>
      </c>
      <c r="G14" s="51" t="s">
        <v>168</v>
      </c>
      <c r="H14" s="56">
        <v>2500</v>
      </c>
      <c r="I14" s="51" t="s">
        <v>190</v>
      </c>
      <c r="J14" s="51" t="s">
        <v>191</v>
      </c>
      <c r="K14" s="51" t="s">
        <v>192</v>
      </c>
      <c r="L14" s="51" t="s">
        <v>172</v>
      </c>
    </row>
    <row r="15" spans="1:31" ht="14.4" customHeight="1" x14ac:dyDescent="0.3">
      <c r="E15" s="51">
        <f t="shared" si="0"/>
        <v>8</v>
      </c>
      <c r="F15" s="51" t="s">
        <v>193</v>
      </c>
      <c r="G15" s="51" t="s">
        <v>179</v>
      </c>
      <c r="H15" s="56">
        <v>1800</v>
      </c>
      <c r="I15" s="51" t="s">
        <v>194</v>
      </c>
      <c r="J15" s="51" t="s">
        <v>195</v>
      </c>
      <c r="K15" s="51" t="s">
        <v>84</v>
      </c>
      <c r="L15" s="51" t="s">
        <v>166</v>
      </c>
    </row>
    <row r="16" spans="1:31" ht="14.4" customHeight="1" x14ac:dyDescent="0.3">
      <c r="E16" s="51">
        <f t="shared" si="0"/>
        <v>9</v>
      </c>
      <c r="F16" s="51" t="s">
        <v>196</v>
      </c>
      <c r="G16" s="51" t="s">
        <v>163</v>
      </c>
      <c r="H16" s="56">
        <v>10500</v>
      </c>
      <c r="I16" s="51" t="s">
        <v>197</v>
      </c>
      <c r="J16" s="51" t="s">
        <v>87</v>
      </c>
      <c r="K16" s="51" t="s">
        <v>90</v>
      </c>
      <c r="L16" s="51" t="s">
        <v>166</v>
      </c>
    </row>
    <row r="17" spans="5:12" ht="14.4" customHeight="1" x14ac:dyDescent="0.3">
      <c r="E17" s="51">
        <f t="shared" si="0"/>
        <v>10</v>
      </c>
      <c r="F17" s="51" t="s">
        <v>198</v>
      </c>
      <c r="G17" s="51" t="s">
        <v>168</v>
      </c>
      <c r="H17" s="56">
        <v>2200</v>
      </c>
      <c r="I17" s="51" t="s">
        <v>199</v>
      </c>
      <c r="J17" s="51" t="s">
        <v>200</v>
      </c>
      <c r="K17" s="51" t="s">
        <v>96</v>
      </c>
      <c r="L17" s="51" t="s">
        <v>172</v>
      </c>
    </row>
    <row r="18" spans="5:12" ht="14.4" customHeight="1" x14ac:dyDescent="0.3">
      <c r="E18" s="51">
        <f t="shared" si="0"/>
        <v>11</v>
      </c>
      <c r="F18" s="51" t="s">
        <v>201</v>
      </c>
      <c r="G18" s="51" t="s">
        <v>163</v>
      </c>
      <c r="H18" s="56">
        <v>14000</v>
      </c>
      <c r="I18" s="51" t="s">
        <v>202</v>
      </c>
      <c r="J18" s="51" t="s">
        <v>99</v>
      </c>
      <c r="K18" s="51" t="s">
        <v>102</v>
      </c>
      <c r="L18" s="51" t="s">
        <v>166</v>
      </c>
    </row>
    <row r="19" spans="5:12" ht="14.4" customHeight="1" x14ac:dyDescent="0.3">
      <c r="E19" s="51">
        <f t="shared" si="0"/>
        <v>12</v>
      </c>
      <c r="F19" s="51" t="s">
        <v>203</v>
      </c>
      <c r="G19" s="51" t="s">
        <v>179</v>
      </c>
      <c r="H19" s="56">
        <v>1000</v>
      </c>
      <c r="I19" s="51" t="s">
        <v>204</v>
      </c>
      <c r="J19" s="51" t="s">
        <v>205</v>
      </c>
      <c r="K19" s="51" t="s">
        <v>108</v>
      </c>
      <c r="L19" s="51" t="s">
        <v>177</v>
      </c>
    </row>
    <row r="20" spans="5:12" ht="14.4" customHeight="1" x14ac:dyDescent="0.3">
      <c r="E20" s="51">
        <f t="shared" si="0"/>
        <v>13</v>
      </c>
      <c r="F20" s="51" t="s">
        <v>206</v>
      </c>
      <c r="G20" s="51" t="s">
        <v>163</v>
      </c>
      <c r="H20" s="56">
        <v>13000</v>
      </c>
      <c r="I20" s="51" t="s">
        <v>207</v>
      </c>
      <c r="J20" s="51" t="s">
        <v>111</v>
      </c>
      <c r="K20" s="51" t="s">
        <v>114</v>
      </c>
      <c r="L20" s="51" t="s">
        <v>166</v>
      </c>
    </row>
    <row r="21" spans="5:12" ht="14.4" customHeight="1" x14ac:dyDescent="0.3">
      <c r="E21" s="51">
        <f t="shared" si="0"/>
        <v>14</v>
      </c>
      <c r="F21" s="51" t="s">
        <v>208</v>
      </c>
      <c r="G21" s="51" t="s">
        <v>168</v>
      </c>
      <c r="H21" s="56">
        <v>1900</v>
      </c>
      <c r="I21" s="51" t="s">
        <v>209</v>
      </c>
      <c r="J21" s="51" t="s">
        <v>117</v>
      </c>
      <c r="K21" s="51" t="s">
        <v>120</v>
      </c>
      <c r="L21" s="51" t="s">
        <v>172</v>
      </c>
    </row>
    <row r="22" spans="5:12" ht="14.4" customHeight="1" x14ac:dyDescent="0.3">
      <c r="E22" s="51">
        <f t="shared" si="0"/>
        <v>15</v>
      </c>
      <c r="F22" s="51" t="s">
        <v>210</v>
      </c>
      <c r="G22" s="51" t="s">
        <v>163</v>
      </c>
      <c r="H22" s="56">
        <v>16000</v>
      </c>
      <c r="I22" s="51" t="s">
        <v>211</v>
      </c>
      <c r="J22" s="51" t="s">
        <v>123</v>
      </c>
      <c r="K22" s="51" t="s">
        <v>126</v>
      </c>
      <c r="L22" s="51" t="s">
        <v>166</v>
      </c>
    </row>
    <row r="23" spans="5:12" ht="14.4" customHeight="1" x14ac:dyDescent="0.3">
      <c r="E23" s="51">
        <f t="shared" si="0"/>
        <v>16</v>
      </c>
      <c r="F23" s="51" t="s">
        <v>212</v>
      </c>
      <c r="G23" s="51" t="s">
        <v>179</v>
      </c>
      <c r="H23" s="56">
        <v>1500</v>
      </c>
      <c r="I23" s="51" t="s">
        <v>213</v>
      </c>
      <c r="J23" s="51" t="s">
        <v>129</v>
      </c>
      <c r="K23" s="51" t="s">
        <v>132</v>
      </c>
      <c r="L23" s="51" t="s">
        <v>166</v>
      </c>
    </row>
    <row r="24" spans="5:12" ht="14.4" customHeight="1" x14ac:dyDescent="0.3">
      <c r="E24" s="51">
        <f t="shared" si="0"/>
        <v>17</v>
      </c>
      <c r="F24" s="51" t="s">
        <v>214</v>
      </c>
      <c r="G24" s="51" t="s">
        <v>168</v>
      </c>
      <c r="H24" s="56">
        <v>2300</v>
      </c>
      <c r="I24" s="51" t="s">
        <v>215</v>
      </c>
      <c r="J24" s="51" t="s">
        <v>134</v>
      </c>
      <c r="K24" s="51" t="s">
        <v>137</v>
      </c>
      <c r="L24" s="51" t="s">
        <v>177</v>
      </c>
    </row>
    <row r="25" spans="5:12" ht="14.4" customHeight="1" x14ac:dyDescent="0.3">
      <c r="E25" s="51">
        <f t="shared" si="0"/>
        <v>18</v>
      </c>
      <c r="F25" s="51" t="s">
        <v>216</v>
      </c>
      <c r="G25" s="51" t="s">
        <v>163</v>
      </c>
      <c r="H25" s="56">
        <v>11000</v>
      </c>
      <c r="I25" s="51" t="s">
        <v>217</v>
      </c>
      <c r="J25" s="51" t="s">
        <v>139</v>
      </c>
      <c r="K25" s="51" t="s">
        <v>142</v>
      </c>
      <c r="L25" s="51" t="s">
        <v>166</v>
      </c>
    </row>
    <row r="26" spans="5:12" ht="14.4" customHeight="1" x14ac:dyDescent="0.3">
      <c r="E26" s="51">
        <f t="shared" si="0"/>
        <v>19</v>
      </c>
      <c r="F26" s="51" t="s">
        <v>218</v>
      </c>
      <c r="G26" s="51" t="s">
        <v>168</v>
      </c>
      <c r="H26" s="56">
        <v>1700</v>
      </c>
      <c r="I26" s="51" t="s">
        <v>219</v>
      </c>
      <c r="J26" s="51" t="s">
        <v>145</v>
      </c>
      <c r="K26" s="51" t="s">
        <v>148</v>
      </c>
      <c r="L26" s="51" t="s">
        <v>172</v>
      </c>
    </row>
    <row r="27" spans="5:12" ht="14.4" customHeight="1" x14ac:dyDescent="0.3">
      <c r="E27" s="51">
        <f t="shared" si="0"/>
        <v>20</v>
      </c>
      <c r="F27" s="51" t="s">
        <v>220</v>
      </c>
      <c r="G27" s="51" t="s">
        <v>179</v>
      </c>
      <c r="H27" s="56">
        <v>1300</v>
      </c>
      <c r="I27" s="51" t="s">
        <v>221</v>
      </c>
      <c r="J27" s="51" t="s">
        <v>150</v>
      </c>
      <c r="K27" s="51" t="s">
        <v>153</v>
      </c>
      <c r="L27" s="51" t="s">
        <v>166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FE00B-E8CC-4959-A5D9-8DBA7613A3B0}">
  <sheetPr codeName="Planilha8">
    <tabColor rgb="FFFFC000"/>
  </sheetPr>
  <dimension ref="A1:AE27"/>
  <sheetViews>
    <sheetView showGridLines="0" zoomScale="70" zoomScaleNormal="70" workbookViewId="0">
      <selection activeCell="G11" sqref="G11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30.88671875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7.399999999999999" x14ac:dyDescent="0.3">
      <c r="E7" s="50" t="s">
        <v>222</v>
      </c>
      <c r="F7" s="50" t="s">
        <v>223</v>
      </c>
      <c r="G7" s="55" t="s">
        <v>224</v>
      </c>
      <c r="H7" s="50" t="s">
        <v>34</v>
      </c>
      <c r="I7" s="50" t="s">
        <v>225</v>
      </c>
      <c r="J7" s="50" t="s">
        <v>226</v>
      </c>
      <c r="K7" s="50" t="s">
        <v>227</v>
      </c>
      <c r="L7" s="50" t="s">
        <v>228</v>
      </c>
      <c r="M7" s="50" t="s">
        <v>229</v>
      </c>
    </row>
    <row r="8" spans="1:31" ht="14.4" customHeight="1" x14ac:dyDescent="0.3">
      <c r="E8" s="51">
        <v>1</v>
      </c>
      <c r="F8" s="57">
        <v>45604</v>
      </c>
      <c r="G8" s="58">
        <v>0.33333333333333331</v>
      </c>
      <c r="H8" s="51" t="s">
        <v>40</v>
      </c>
      <c r="I8" s="51" t="s">
        <v>230</v>
      </c>
      <c r="J8" s="51" t="s">
        <v>231</v>
      </c>
      <c r="K8" s="51">
        <v>10</v>
      </c>
      <c r="L8" s="51" t="s">
        <v>163</v>
      </c>
      <c r="M8" s="51" t="s">
        <v>232</v>
      </c>
    </row>
    <row r="9" spans="1:31" ht="14.4" customHeight="1" x14ac:dyDescent="0.3">
      <c r="E9" s="51">
        <f>E8+1</f>
        <v>2</v>
      </c>
      <c r="F9" s="57">
        <v>45604</v>
      </c>
      <c r="G9" s="58">
        <v>0.39583333333333331</v>
      </c>
      <c r="H9" s="51" t="s">
        <v>46</v>
      </c>
      <c r="I9" s="51" t="s">
        <v>233</v>
      </c>
      <c r="J9" s="51" t="s">
        <v>234</v>
      </c>
      <c r="K9" s="51">
        <v>2</v>
      </c>
      <c r="L9" s="51" t="s">
        <v>168</v>
      </c>
      <c r="M9" s="51" t="s">
        <v>235</v>
      </c>
    </row>
    <row r="10" spans="1:31" ht="14.4" customHeight="1" x14ac:dyDescent="0.3">
      <c r="E10" s="51">
        <f t="shared" ref="E10:E27" si="0">E9+1</f>
        <v>3</v>
      </c>
      <c r="F10" s="57">
        <v>45604</v>
      </c>
      <c r="G10" s="58">
        <v>0.32291666666666669</v>
      </c>
      <c r="H10" s="51" t="s">
        <v>51</v>
      </c>
      <c r="I10" s="51" t="s">
        <v>236</v>
      </c>
      <c r="J10" s="51" t="s">
        <v>237</v>
      </c>
      <c r="K10" s="51">
        <v>50</v>
      </c>
      <c r="L10" s="51" t="s">
        <v>179</v>
      </c>
      <c r="M10" s="51" t="s">
        <v>232</v>
      </c>
    </row>
    <row r="11" spans="1:31" ht="14.4" customHeight="1" x14ac:dyDescent="0.3">
      <c r="E11" s="51">
        <f t="shared" si="0"/>
        <v>4</v>
      </c>
      <c r="F11" s="57">
        <v>45604</v>
      </c>
      <c r="G11" s="58">
        <v>0.41666666666666669</v>
      </c>
      <c r="H11" s="51" t="s">
        <v>57</v>
      </c>
      <c r="I11" s="51" t="s">
        <v>238</v>
      </c>
      <c r="J11" s="51" t="s">
        <v>239</v>
      </c>
      <c r="K11" s="51">
        <v>15</v>
      </c>
      <c r="L11" s="51" t="s">
        <v>163</v>
      </c>
      <c r="M11" s="51" t="s">
        <v>232</v>
      </c>
    </row>
    <row r="12" spans="1:31" ht="14.4" customHeight="1" x14ac:dyDescent="0.3">
      <c r="E12" s="51">
        <f t="shared" si="0"/>
        <v>5</v>
      </c>
      <c r="F12" s="57">
        <v>45604</v>
      </c>
      <c r="G12" s="58">
        <v>0.34375</v>
      </c>
      <c r="H12" s="51" t="s">
        <v>63</v>
      </c>
      <c r="I12" s="51" t="s">
        <v>240</v>
      </c>
      <c r="J12" s="51" t="s">
        <v>231</v>
      </c>
      <c r="K12" s="51">
        <v>100</v>
      </c>
      <c r="L12" s="51" t="s">
        <v>163</v>
      </c>
      <c r="M12" s="51" t="s">
        <v>241</v>
      </c>
    </row>
    <row r="13" spans="1:31" ht="14.4" customHeight="1" x14ac:dyDescent="0.3">
      <c r="E13" s="51">
        <f t="shared" si="0"/>
        <v>6</v>
      </c>
      <c r="F13" s="57">
        <v>45604</v>
      </c>
      <c r="G13" s="58">
        <v>0.375</v>
      </c>
      <c r="H13" s="51" t="s">
        <v>69</v>
      </c>
      <c r="I13" s="51" t="s">
        <v>242</v>
      </c>
      <c r="J13" s="51" t="s">
        <v>234</v>
      </c>
      <c r="K13" s="51">
        <v>200</v>
      </c>
      <c r="L13" s="51" t="s">
        <v>168</v>
      </c>
      <c r="M13" s="51" t="s">
        <v>232</v>
      </c>
    </row>
    <row r="14" spans="1:31" ht="14.4" customHeight="1" x14ac:dyDescent="0.3">
      <c r="E14" s="51">
        <f t="shared" si="0"/>
        <v>7</v>
      </c>
      <c r="F14" s="57">
        <v>45604</v>
      </c>
      <c r="G14" s="58">
        <v>0.45833333333333331</v>
      </c>
      <c r="H14" s="51" t="s">
        <v>75</v>
      </c>
      <c r="I14" s="51" t="s">
        <v>243</v>
      </c>
      <c r="J14" s="51" t="s">
        <v>237</v>
      </c>
      <c r="K14" s="51">
        <v>30</v>
      </c>
      <c r="L14" s="51" t="s">
        <v>179</v>
      </c>
      <c r="M14" s="51" t="s">
        <v>235</v>
      </c>
    </row>
    <row r="15" spans="1:31" ht="14.4" customHeight="1" x14ac:dyDescent="0.3">
      <c r="E15" s="51">
        <f t="shared" si="0"/>
        <v>8</v>
      </c>
      <c r="F15" s="57">
        <v>45604</v>
      </c>
      <c r="G15" s="58">
        <v>0.3125</v>
      </c>
      <c r="H15" s="51" t="s">
        <v>81</v>
      </c>
      <c r="I15" s="51" t="s">
        <v>244</v>
      </c>
      <c r="J15" s="51" t="s">
        <v>239</v>
      </c>
      <c r="K15" s="51">
        <v>20</v>
      </c>
      <c r="L15" s="51" t="s">
        <v>163</v>
      </c>
      <c r="M15" s="51" t="s">
        <v>232</v>
      </c>
    </row>
    <row r="16" spans="1:31" ht="14.4" customHeight="1" x14ac:dyDescent="0.3">
      <c r="E16" s="51">
        <f t="shared" si="0"/>
        <v>9</v>
      </c>
      <c r="F16" s="57">
        <v>45604</v>
      </c>
      <c r="G16" s="58">
        <v>0.40625</v>
      </c>
      <c r="H16" s="51" t="s">
        <v>87</v>
      </c>
      <c r="I16" s="51" t="s">
        <v>245</v>
      </c>
      <c r="J16" s="51" t="s">
        <v>231</v>
      </c>
      <c r="K16" s="51">
        <v>500</v>
      </c>
      <c r="L16" s="51" t="s">
        <v>163</v>
      </c>
      <c r="M16" s="51" t="s">
        <v>232</v>
      </c>
    </row>
    <row r="17" spans="5:13" ht="14.4" customHeight="1" x14ac:dyDescent="0.3">
      <c r="E17" s="51">
        <f t="shared" si="0"/>
        <v>10</v>
      </c>
      <c r="F17" s="57">
        <v>45604</v>
      </c>
      <c r="G17" s="58">
        <v>0.42708333333333331</v>
      </c>
      <c r="H17" s="51" t="s">
        <v>93</v>
      </c>
      <c r="I17" s="51" t="s">
        <v>246</v>
      </c>
      <c r="J17" s="51" t="s">
        <v>234</v>
      </c>
      <c r="K17" s="51">
        <v>5</v>
      </c>
      <c r="L17" s="51" t="s">
        <v>168</v>
      </c>
      <c r="M17" s="51" t="s">
        <v>241</v>
      </c>
    </row>
    <row r="18" spans="5:13" ht="14.4" customHeight="1" x14ac:dyDescent="0.3">
      <c r="E18" s="51">
        <f t="shared" si="0"/>
        <v>11</v>
      </c>
      <c r="F18" s="57">
        <v>45604</v>
      </c>
      <c r="G18" s="58">
        <v>0.47916666666666669</v>
      </c>
      <c r="H18" s="51" t="s">
        <v>99</v>
      </c>
      <c r="I18" s="51" t="s">
        <v>247</v>
      </c>
      <c r="J18" s="51" t="s">
        <v>237</v>
      </c>
      <c r="K18" s="51">
        <v>40</v>
      </c>
      <c r="L18" s="51" t="s">
        <v>163</v>
      </c>
      <c r="M18" s="51" t="s">
        <v>232</v>
      </c>
    </row>
    <row r="19" spans="5:13" ht="14.4" customHeight="1" x14ac:dyDescent="0.3">
      <c r="E19" s="51">
        <f t="shared" si="0"/>
        <v>12</v>
      </c>
      <c r="F19" s="57">
        <v>45604</v>
      </c>
      <c r="G19" s="58">
        <v>0.36458333333333331</v>
      </c>
      <c r="H19" s="51" t="s">
        <v>105</v>
      </c>
      <c r="I19" s="51" t="s">
        <v>248</v>
      </c>
      <c r="J19" s="51" t="s">
        <v>239</v>
      </c>
      <c r="K19" s="51">
        <v>80</v>
      </c>
      <c r="L19" s="51" t="s">
        <v>179</v>
      </c>
      <c r="M19" s="51" t="s">
        <v>235</v>
      </c>
    </row>
    <row r="20" spans="5:13" ht="14.4" customHeight="1" x14ac:dyDescent="0.3">
      <c r="E20" s="51">
        <f t="shared" si="0"/>
        <v>13</v>
      </c>
      <c r="F20" s="57">
        <v>45604</v>
      </c>
      <c r="G20" s="58">
        <v>0.38541666666666669</v>
      </c>
      <c r="H20" s="51" t="s">
        <v>111</v>
      </c>
      <c r="I20" s="51" t="s">
        <v>249</v>
      </c>
      <c r="J20" s="51" t="s">
        <v>231</v>
      </c>
      <c r="K20" s="51">
        <v>20</v>
      </c>
      <c r="L20" s="51" t="s">
        <v>163</v>
      </c>
      <c r="M20" s="51" t="s">
        <v>232</v>
      </c>
    </row>
    <row r="21" spans="5:13" ht="14.4" customHeight="1" x14ac:dyDescent="0.3">
      <c r="E21" s="51">
        <f t="shared" si="0"/>
        <v>14</v>
      </c>
      <c r="F21" s="57">
        <v>45604</v>
      </c>
      <c r="G21" s="58">
        <v>0.29166666666666669</v>
      </c>
      <c r="H21" s="51" t="s">
        <v>117</v>
      </c>
      <c r="I21" s="51" t="s">
        <v>250</v>
      </c>
      <c r="J21" s="51" t="s">
        <v>234</v>
      </c>
      <c r="K21" s="51">
        <v>35</v>
      </c>
      <c r="L21" s="51" t="s">
        <v>168</v>
      </c>
      <c r="M21" s="51" t="s">
        <v>232</v>
      </c>
    </row>
    <row r="22" spans="5:13" ht="14.4" customHeight="1" x14ac:dyDescent="0.3">
      <c r="E22" s="51">
        <f t="shared" si="0"/>
        <v>15</v>
      </c>
      <c r="F22" s="57">
        <v>45604</v>
      </c>
      <c r="G22" s="58">
        <v>0.4375</v>
      </c>
      <c r="H22" s="51" t="s">
        <v>123</v>
      </c>
      <c r="I22" s="51" t="s">
        <v>251</v>
      </c>
      <c r="J22" s="51" t="s">
        <v>237</v>
      </c>
      <c r="K22" s="51">
        <v>300</v>
      </c>
      <c r="L22" s="51" t="s">
        <v>163</v>
      </c>
      <c r="M22" s="51" t="s">
        <v>241</v>
      </c>
    </row>
    <row r="23" spans="5:13" ht="14.4" customHeight="1" x14ac:dyDescent="0.3">
      <c r="E23" s="51">
        <f t="shared" si="0"/>
        <v>16</v>
      </c>
      <c r="F23" s="57">
        <v>45604</v>
      </c>
      <c r="G23" s="58">
        <v>0.40972222222222221</v>
      </c>
      <c r="H23" s="51" t="s">
        <v>129</v>
      </c>
      <c r="I23" s="51" t="s">
        <v>252</v>
      </c>
      <c r="J23" s="51" t="s">
        <v>239</v>
      </c>
      <c r="K23" s="51">
        <v>60</v>
      </c>
      <c r="L23" s="51" t="s">
        <v>179</v>
      </c>
      <c r="M23" s="51" t="s">
        <v>232</v>
      </c>
    </row>
    <row r="24" spans="5:13" ht="14.4" customHeight="1" x14ac:dyDescent="0.3">
      <c r="E24" s="51">
        <f t="shared" si="0"/>
        <v>17</v>
      </c>
      <c r="F24" s="57">
        <v>45604</v>
      </c>
      <c r="G24" s="58">
        <v>0.34722222222222221</v>
      </c>
      <c r="H24" s="51" t="s">
        <v>134</v>
      </c>
      <c r="I24" s="51" t="s">
        <v>253</v>
      </c>
      <c r="J24" s="51" t="s">
        <v>231</v>
      </c>
      <c r="K24" s="51">
        <v>15</v>
      </c>
      <c r="L24" s="51" t="s">
        <v>168</v>
      </c>
      <c r="M24" s="51" t="s">
        <v>235</v>
      </c>
    </row>
    <row r="25" spans="5:13" ht="14.4" customHeight="1" x14ac:dyDescent="0.3">
      <c r="E25" s="51">
        <f t="shared" si="0"/>
        <v>18</v>
      </c>
      <c r="F25" s="57">
        <v>45604</v>
      </c>
      <c r="G25" s="58">
        <v>0.48958333333333331</v>
      </c>
      <c r="H25" s="51" t="s">
        <v>139</v>
      </c>
      <c r="I25" s="51" t="s">
        <v>254</v>
      </c>
      <c r="J25" s="51" t="s">
        <v>234</v>
      </c>
      <c r="K25" s="51">
        <v>70</v>
      </c>
      <c r="L25" s="51" t="s">
        <v>163</v>
      </c>
      <c r="M25" s="51" t="s">
        <v>232</v>
      </c>
    </row>
    <row r="26" spans="5:13" ht="14.4" customHeight="1" x14ac:dyDescent="0.3">
      <c r="E26" s="51">
        <f t="shared" si="0"/>
        <v>19</v>
      </c>
      <c r="F26" s="57">
        <v>45604</v>
      </c>
      <c r="G26" s="58">
        <v>0.38194444444444442</v>
      </c>
      <c r="H26" s="51" t="s">
        <v>145</v>
      </c>
      <c r="I26" s="51" t="s">
        <v>255</v>
      </c>
      <c r="J26" s="51" t="s">
        <v>237</v>
      </c>
      <c r="K26" s="51">
        <v>120</v>
      </c>
      <c r="L26" s="51" t="s">
        <v>168</v>
      </c>
      <c r="M26" s="51" t="s">
        <v>232</v>
      </c>
    </row>
    <row r="27" spans="5:13" ht="14.4" customHeight="1" x14ac:dyDescent="0.3">
      <c r="E27" s="51">
        <f t="shared" si="0"/>
        <v>20</v>
      </c>
      <c r="F27" s="57">
        <v>45604</v>
      </c>
      <c r="G27" s="58">
        <v>0.44444444444444442</v>
      </c>
      <c r="H27" s="51" t="s">
        <v>150</v>
      </c>
      <c r="I27" s="51" t="s">
        <v>256</v>
      </c>
      <c r="J27" s="51" t="s">
        <v>239</v>
      </c>
      <c r="K27" s="51">
        <v>25</v>
      </c>
      <c r="L27" s="51" t="s">
        <v>179</v>
      </c>
      <c r="M27" s="51" t="s">
        <v>232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D56E-86BF-4E9D-8F10-43484EC0A76E}">
  <sheetPr codeName="Planilha9">
    <tabColor rgb="FFFFC000"/>
  </sheetPr>
  <dimension ref="A1:AE28"/>
  <sheetViews>
    <sheetView showGridLines="0" zoomScale="70" zoomScaleNormal="70" workbookViewId="0">
      <selection activeCell="A2" sqref="A2:AE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95F7-09C7-4486-AF7A-F2AF214F24F3}">
  <sheetPr codeName="Planilha10">
    <tabColor rgb="FFFFC000"/>
  </sheetPr>
  <dimension ref="A1:AE28"/>
  <sheetViews>
    <sheetView showGridLines="0" topLeftCell="XDJ2" zoomScale="70" zoomScaleNormal="70" workbookViewId="0">
      <selection activeCell="XDL32" sqref="XDL3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10AA-3FB3-4DBD-A4E4-E20EFADEDD8E}">
  <sheetPr codeName="Planilha11">
    <tabColor rgb="FFFFC000"/>
  </sheetPr>
  <dimension ref="A1:AE28"/>
  <sheetViews>
    <sheetView showGridLines="0" zoomScale="55" zoomScaleNormal="55" workbookViewId="0">
      <selection activeCell="C18" sqref="C18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B1E0-3910-4779-897F-2CFAF1F51E4B}">
  <sheetPr codeName="Planilha12">
    <tabColor rgb="FFFF0000"/>
  </sheetPr>
  <dimension ref="A1:AE24"/>
  <sheetViews>
    <sheetView showGridLines="0" zoomScale="78" zoomScaleNormal="100" workbookViewId="0">
      <selection activeCell="O13" sqref="O13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501" t="s">
        <v>282</v>
      </c>
      <c r="F7" s="502"/>
      <c r="G7" s="502"/>
      <c r="H7" s="502"/>
      <c r="I7" s="503"/>
      <c r="L7" s="501" t="s">
        <v>283</v>
      </c>
      <c r="M7" s="502"/>
      <c r="N7" s="502"/>
      <c r="O7" s="502"/>
      <c r="P7" s="503"/>
    </row>
    <row r="8" spans="1:31" ht="14.25" customHeight="1" x14ac:dyDescent="0.3">
      <c r="E8" s="504"/>
      <c r="F8" s="505"/>
      <c r="G8" s="505"/>
      <c r="H8" s="505"/>
      <c r="I8" s="506"/>
      <c r="L8" s="504"/>
      <c r="M8" s="505"/>
      <c r="N8" s="505"/>
      <c r="O8" s="505"/>
      <c r="P8" s="506"/>
    </row>
    <row r="9" spans="1:31" ht="14.25" customHeight="1" x14ac:dyDescent="0.3">
      <c r="E9" s="507"/>
      <c r="F9" s="508"/>
      <c r="G9" s="508"/>
      <c r="H9" s="508"/>
      <c r="I9" s="509"/>
      <c r="L9" s="504"/>
      <c r="M9" s="505"/>
      <c r="N9" s="505"/>
      <c r="O9" s="505"/>
      <c r="P9" s="506"/>
    </row>
    <row r="10" spans="1:31" ht="14.25" customHeight="1" x14ac:dyDescent="0.55000000000000004">
      <c r="E10" s="79" t="s">
        <v>13</v>
      </c>
      <c r="F10" s="75" t="s">
        <v>13</v>
      </c>
      <c r="G10" s="76" t="s">
        <v>13</v>
      </c>
      <c r="H10" s="76" t="s">
        <v>13</v>
      </c>
      <c r="I10" s="80" t="s">
        <v>13</v>
      </c>
      <c r="L10" s="79" t="s">
        <v>13</v>
      </c>
      <c r="M10" s="75" t="s">
        <v>13</v>
      </c>
      <c r="N10" s="76" t="s">
        <v>13</v>
      </c>
      <c r="O10" s="76" t="s">
        <v>13</v>
      </c>
      <c r="P10" s="80" t="s">
        <v>13</v>
      </c>
    </row>
    <row r="11" spans="1:31" ht="14.25" customHeight="1" x14ac:dyDescent="0.3">
      <c r="E11" s="79" t="s">
        <v>13</v>
      </c>
      <c r="F11" s="271" t="s">
        <v>3</v>
      </c>
      <c r="G11" s="77" t="s">
        <v>13</v>
      </c>
      <c r="H11" s="273" t="s">
        <v>284</v>
      </c>
      <c r="I11" s="81" t="s">
        <v>13</v>
      </c>
      <c r="L11" s="79" t="s">
        <v>13</v>
      </c>
      <c r="M11" s="272" t="s">
        <v>285</v>
      </c>
      <c r="N11" s="77"/>
      <c r="O11" s="397"/>
      <c r="P11" s="81" t="s">
        <v>13</v>
      </c>
    </row>
    <row r="12" spans="1:31" ht="14.25" customHeight="1" x14ac:dyDescent="0.55000000000000004">
      <c r="E12" s="79" t="s">
        <v>13</v>
      </c>
      <c r="F12" s="271" t="s">
        <v>13</v>
      </c>
      <c r="G12" s="76" t="s">
        <v>13</v>
      </c>
      <c r="H12" s="274" t="s">
        <v>13</v>
      </c>
      <c r="I12" s="80" t="s">
        <v>13</v>
      </c>
      <c r="L12" s="79" t="s">
        <v>13</v>
      </c>
      <c r="M12" s="272"/>
      <c r="N12" s="76"/>
      <c r="O12" s="76"/>
      <c r="P12" s="80" t="s">
        <v>13</v>
      </c>
    </row>
    <row r="13" spans="1:31" ht="14.25" customHeight="1" x14ac:dyDescent="0.3">
      <c r="E13" s="79" t="s">
        <v>13</v>
      </c>
      <c r="F13" s="271" t="s">
        <v>4</v>
      </c>
      <c r="G13" s="77" t="s">
        <v>13</v>
      </c>
      <c r="H13" s="273" t="s">
        <v>13</v>
      </c>
      <c r="I13" s="81" t="s">
        <v>13</v>
      </c>
      <c r="L13" s="79" t="s">
        <v>13</v>
      </c>
      <c r="M13" s="272" t="s">
        <v>286</v>
      </c>
      <c r="N13" s="77"/>
      <c r="O13" s="397"/>
      <c r="P13" s="81" t="s">
        <v>13</v>
      </c>
    </row>
    <row r="14" spans="1:31" ht="14.25" customHeight="1" x14ac:dyDescent="0.55000000000000004">
      <c r="E14" s="79" t="s">
        <v>13</v>
      </c>
      <c r="F14" s="271" t="s">
        <v>13</v>
      </c>
      <c r="G14" s="76" t="s">
        <v>13</v>
      </c>
      <c r="H14" s="274" t="s">
        <v>13</v>
      </c>
      <c r="I14" s="80" t="s">
        <v>13</v>
      </c>
      <c r="L14" s="79" t="s">
        <v>13</v>
      </c>
      <c r="M14" s="77"/>
      <c r="N14" s="76"/>
      <c r="O14" s="76"/>
      <c r="P14" s="80" t="s">
        <v>13</v>
      </c>
    </row>
    <row r="15" spans="1:31" ht="14.25" customHeight="1" x14ac:dyDescent="0.3">
      <c r="E15" s="79" t="s">
        <v>13</v>
      </c>
      <c r="F15" s="271" t="s">
        <v>5</v>
      </c>
      <c r="G15" s="77" t="s">
        <v>13</v>
      </c>
      <c r="H15" s="273" t="s">
        <v>13</v>
      </c>
      <c r="I15" s="81" t="s">
        <v>13</v>
      </c>
      <c r="L15" s="79" t="s">
        <v>13</v>
      </c>
      <c r="M15" s="77"/>
      <c r="N15" s="77"/>
      <c r="O15" s="77"/>
      <c r="P15" s="81" t="s">
        <v>13</v>
      </c>
    </row>
    <row r="16" spans="1:31" ht="14.25" customHeight="1" x14ac:dyDescent="0.55000000000000004">
      <c r="E16" s="79" t="s">
        <v>13</v>
      </c>
      <c r="F16" s="271" t="s">
        <v>13</v>
      </c>
      <c r="G16" s="76" t="s">
        <v>13</v>
      </c>
      <c r="H16" s="274" t="s">
        <v>13</v>
      </c>
      <c r="I16" s="80" t="s">
        <v>13</v>
      </c>
      <c r="L16" s="79" t="s">
        <v>13</v>
      </c>
      <c r="M16" s="77"/>
      <c r="N16" s="76"/>
      <c r="O16" s="76"/>
      <c r="P16" s="80" t="s">
        <v>13</v>
      </c>
    </row>
    <row r="17" spans="5:16" ht="14.25" customHeight="1" x14ac:dyDescent="0.55000000000000004">
      <c r="E17" s="79" t="s">
        <v>13</v>
      </c>
      <c r="F17" s="271" t="s">
        <v>6</v>
      </c>
      <c r="G17" s="77" t="s">
        <v>13</v>
      </c>
      <c r="H17" s="273" t="s">
        <v>13</v>
      </c>
      <c r="I17" s="80" t="s">
        <v>13</v>
      </c>
      <c r="L17" s="79" t="s">
        <v>13</v>
      </c>
      <c r="M17" s="77"/>
      <c r="N17" s="77"/>
      <c r="O17" s="77"/>
      <c r="P17" s="80" t="s">
        <v>13</v>
      </c>
    </row>
    <row r="18" spans="5:16" ht="14.25" customHeight="1" x14ac:dyDescent="0.55000000000000004">
      <c r="E18" s="79" t="s">
        <v>13</v>
      </c>
      <c r="F18" s="271" t="s">
        <v>13</v>
      </c>
      <c r="G18" s="77" t="s">
        <v>13</v>
      </c>
      <c r="H18" s="274" t="s">
        <v>13</v>
      </c>
      <c r="I18" s="80" t="s">
        <v>13</v>
      </c>
      <c r="L18" s="79" t="s">
        <v>13</v>
      </c>
      <c r="M18" s="77"/>
      <c r="N18" s="77"/>
      <c r="O18" s="76"/>
      <c r="P18" s="80" t="s">
        <v>13</v>
      </c>
    </row>
    <row r="19" spans="5:16" ht="14.25" customHeight="1" x14ac:dyDescent="0.55000000000000004">
      <c r="E19" s="79" t="s">
        <v>13</v>
      </c>
      <c r="F19" s="271" t="s">
        <v>7</v>
      </c>
      <c r="G19" s="77" t="s">
        <v>13</v>
      </c>
      <c r="H19" s="273" t="s">
        <v>13</v>
      </c>
      <c r="I19" s="80" t="s">
        <v>13</v>
      </c>
      <c r="L19" s="79" t="s">
        <v>13</v>
      </c>
      <c r="M19" s="77"/>
      <c r="N19" s="77"/>
      <c r="O19" s="77"/>
      <c r="P19" s="80" t="s">
        <v>13</v>
      </c>
    </row>
    <row r="20" spans="5:16" ht="14.25" customHeight="1" x14ac:dyDescent="0.55000000000000004">
      <c r="E20" s="79" t="s">
        <v>13</v>
      </c>
      <c r="F20" s="75" t="s">
        <v>13</v>
      </c>
      <c r="G20" s="77" t="s">
        <v>13</v>
      </c>
      <c r="H20" s="76" t="s">
        <v>13</v>
      </c>
      <c r="I20" s="80" t="s">
        <v>13</v>
      </c>
      <c r="L20" s="83" t="s">
        <v>13</v>
      </c>
      <c r="M20" s="91" t="s">
        <v>13</v>
      </c>
      <c r="N20" s="92" t="s">
        <v>13</v>
      </c>
      <c r="O20" s="84" t="s">
        <v>13</v>
      </c>
      <c r="P20" s="93" t="s">
        <v>13</v>
      </c>
    </row>
    <row r="21" spans="5:16" ht="14.25" customHeight="1" x14ac:dyDescent="0.55000000000000004">
      <c r="E21" s="79" t="s">
        <v>13</v>
      </c>
      <c r="F21" s="78" t="s">
        <v>13</v>
      </c>
      <c r="G21" s="77" t="s">
        <v>13</v>
      </c>
      <c r="H21" s="76" t="s">
        <v>13</v>
      </c>
      <c r="I21" s="80" t="s">
        <v>13</v>
      </c>
      <c r="L21" s="90" t="s">
        <v>13</v>
      </c>
      <c r="M21" s="87" t="s">
        <v>13</v>
      </c>
      <c r="N21" s="88" t="s">
        <v>13</v>
      </c>
      <c r="O21" s="89" t="s">
        <v>13</v>
      </c>
      <c r="P21" s="89" t="s">
        <v>13</v>
      </c>
    </row>
    <row r="22" spans="5:16" ht="14.25" customHeight="1" x14ac:dyDescent="0.55000000000000004">
      <c r="E22" s="79" t="s">
        <v>13</v>
      </c>
      <c r="F22" s="76" t="s">
        <v>13</v>
      </c>
      <c r="G22" s="76" t="s">
        <v>13</v>
      </c>
      <c r="H22" s="76" t="s">
        <v>13</v>
      </c>
      <c r="I22" s="82" t="s">
        <v>13</v>
      </c>
      <c r="L22" s="90" t="s">
        <v>13</v>
      </c>
      <c r="M22" s="89" t="s">
        <v>13</v>
      </c>
      <c r="N22" s="89" t="s">
        <v>13</v>
      </c>
      <c r="O22" s="89" t="s">
        <v>13</v>
      </c>
      <c r="P22" s="90" t="s">
        <v>13</v>
      </c>
    </row>
    <row r="23" spans="5:16" ht="14.25" customHeight="1" x14ac:dyDescent="0.55000000000000004">
      <c r="E23" s="79" t="s">
        <v>13</v>
      </c>
      <c r="F23" s="76" t="s">
        <v>13</v>
      </c>
      <c r="G23" s="76" t="s">
        <v>13</v>
      </c>
      <c r="H23" s="76" t="s">
        <v>13</v>
      </c>
      <c r="I23" s="82" t="s">
        <v>13</v>
      </c>
      <c r="L23" s="90" t="s">
        <v>13</v>
      </c>
      <c r="M23" s="89" t="s">
        <v>13</v>
      </c>
      <c r="N23" s="89" t="s">
        <v>13</v>
      </c>
      <c r="O23" s="89" t="s">
        <v>13</v>
      </c>
      <c r="P23" s="90" t="s">
        <v>13</v>
      </c>
    </row>
    <row r="24" spans="5:16" ht="28.8" x14ac:dyDescent="0.55000000000000004">
      <c r="E24" s="83" t="s">
        <v>13</v>
      </c>
      <c r="F24" s="84" t="s">
        <v>13</v>
      </c>
      <c r="G24" s="84" t="s">
        <v>13</v>
      </c>
      <c r="H24" s="84" t="s">
        <v>13</v>
      </c>
      <c r="I24" s="85" t="s">
        <v>13</v>
      </c>
      <c r="L24" s="90" t="s">
        <v>13</v>
      </c>
      <c r="M24" s="89" t="s">
        <v>13</v>
      </c>
      <c r="N24" s="89" t="s">
        <v>13</v>
      </c>
      <c r="O24" s="89" t="s">
        <v>13</v>
      </c>
      <c r="P24" s="90" t="s">
        <v>13</v>
      </c>
    </row>
  </sheetData>
  <mergeCells count="3">
    <mergeCell ref="A2:AE2"/>
    <mergeCell ref="E7:I9"/>
    <mergeCell ref="L7:P9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2E87-838C-47E0-A8FC-1CF32F680492}">
  <sheetPr codeName="Planilha13">
    <tabColor rgb="FFFF0000"/>
  </sheetPr>
  <dimension ref="A1:AE24"/>
  <sheetViews>
    <sheetView showGridLines="0" zoomScale="78" zoomScaleNormal="100" workbookViewId="0">
      <selection activeCell="L20" sqref="L20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501" t="s">
        <v>287</v>
      </c>
      <c r="F7" s="502"/>
      <c r="G7" s="502"/>
      <c r="H7" s="502"/>
      <c r="I7" s="503"/>
      <c r="L7" s="96"/>
      <c r="M7" s="96"/>
      <c r="N7" s="96"/>
      <c r="O7" s="96"/>
      <c r="P7" s="96"/>
    </row>
    <row r="8" spans="1:31" ht="14.25" customHeight="1" x14ac:dyDescent="0.3">
      <c r="E8" s="504"/>
      <c r="F8" s="505"/>
      <c r="G8" s="505"/>
      <c r="H8" s="505"/>
      <c r="I8" s="506"/>
      <c r="L8" s="96"/>
      <c r="M8" s="96"/>
      <c r="N8" s="96"/>
      <c r="O8" s="96"/>
      <c r="P8" s="96"/>
    </row>
    <row r="9" spans="1:31" ht="14.25" customHeight="1" x14ac:dyDescent="0.3">
      <c r="E9" s="507"/>
      <c r="F9" s="508"/>
      <c r="G9" s="508"/>
      <c r="H9" s="508"/>
      <c r="I9" s="509"/>
      <c r="L9" s="96"/>
      <c r="M9" s="96"/>
      <c r="N9" s="96"/>
      <c r="O9" s="96"/>
      <c r="P9" s="96"/>
    </row>
    <row r="10" spans="1:31" ht="14.25" customHeight="1" x14ac:dyDescent="0.55000000000000004">
      <c r="E10" s="79" t="s">
        <v>13</v>
      </c>
      <c r="F10" s="75" t="s">
        <v>13</v>
      </c>
      <c r="G10" s="76" t="s">
        <v>13</v>
      </c>
      <c r="H10" s="76" t="s">
        <v>13</v>
      </c>
      <c r="I10" s="80" t="s">
        <v>13</v>
      </c>
      <c r="L10" s="90"/>
      <c r="M10" s="94"/>
      <c r="N10" s="89"/>
      <c r="O10" s="89"/>
      <c r="P10" s="89"/>
    </row>
    <row r="11" spans="1:31" ht="14.25" customHeight="1" x14ac:dyDescent="0.3">
      <c r="E11" s="79" t="s">
        <v>13</v>
      </c>
      <c r="F11" s="272" t="s">
        <v>3</v>
      </c>
      <c r="G11" s="77" t="s">
        <v>13</v>
      </c>
      <c r="H11" s="86" t="s">
        <v>284</v>
      </c>
      <c r="I11" s="81" t="s">
        <v>13</v>
      </c>
      <c r="L11" s="90"/>
      <c r="M11" s="88"/>
      <c r="N11" s="88"/>
      <c r="O11" s="95"/>
      <c r="P11" s="88"/>
    </row>
    <row r="12" spans="1:31" ht="14.25" customHeight="1" x14ac:dyDescent="0.55000000000000004">
      <c r="E12" s="79" t="s">
        <v>13</v>
      </c>
      <c r="F12" s="272" t="s">
        <v>13</v>
      </c>
      <c r="G12" s="76" t="s">
        <v>13</v>
      </c>
      <c r="H12" s="275" t="s">
        <v>13</v>
      </c>
      <c r="I12" s="80" t="s">
        <v>13</v>
      </c>
      <c r="L12" s="90"/>
      <c r="M12" s="88"/>
      <c r="N12" s="89"/>
      <c r="O12" s="89"/>
      <c r="P12" s="89"/>
    </row>
    <row r="13" spans="1:31" ht="14.25" customHeight="1" x14ac:dyDescent="0.3">
      <c r="E13" s="79" t="s">
        <v>13</v>
      </c>
      <c r="F13" s="272" t="s">
        <v>4</v>
      </c>
      <c r="G13" s="77" t="s">
        <v>13</v>
      </c>
      <c r="H13" s="86" t="s">
        <v>13</v>
      </c>
      <c r="I13" s="81" t="s">
        <v>13</v>
      </c>
      <c r="L13" s="90"/>
      <c r="M13" s="88"/>
      <c r="N13" s="88"/>
      <c r="O13" s="95"/>
      <c r="P13" s="88"/>
    </row>
    <row r="14" spans="1:31" ht="14.25" customHeight="1" x14ac:dyDescent="0.55000000000000004">
      <c r="E14" s="79" t="s">
        <v>13</v>
      </c>
      <c r="F14" s="272" t="s">
        <v>13</v>
      </c>
      <c r="G14" s="76" t="s">
        <v>13</v>
      </c>
      <c r="H14" s="275" t="s">
        <v>13</v>
      </c>
      <c r="I14" s="80" t="s">
        <v>13</v>
      </c>
      <c r="L14" s="90"/>
      <c r="M14" s="88"/>
      <c r="N14" s="89"/>
      <c r="O14" s="89"/>
      <c r="P14" s="89"/>
    </row>
    <row r="15" spans="1:31" ht="14.25" customHeight="1" x14ac:dyDescent="0.3">
      <c r="E15" s="79" t="s">
        <v>13</v>
      </c>
      <c r="F15" s="272" t="s">
        <v>5</v>
      </c>
      <c r="G15" s="77" t="s">
        <v>13</v>
      </c>
      <c r="H15" s="86" t="s">
        <v>13</v>
      </c>
      <c r="I15" s="81" t="s">
        <v>13</v>
      </c>
      <c r="L15" s="90"/>
      <c r="M15" s="88"/>
      <c r="N15" s="88"/>
      <c r="O15" s="88"/>
      <c r="P15" s="88"/>
    </row>
    <row r="16" spans="1:31" ht="14.25" customHeight="1" x14ac:dyDescent="0.55000000000000004">
      <c r="E16" s="79" t="s">
        <v>13</v>
      </c>
      <c r="F16" s="272" t="s">
        <v>13</v>
      </c>
      <c r="G16" s="76" t="s">
        <v>13</v>
      </c>
      <c r="H16" s="275" t="s">
        <v>13</v>
      </c>
      <c r="I16" s="80" t="s">
        <v>13</v>
      </c>
      <c r="L16" s="90"/>
      <c r="M16" s="88"/>
      <c r="N16" s="89"/>
      <c r="O16" s="89"/>
      <c r="P16" s="89"/>
    </row>
    <row r="17" spans="5:16" ht="14.25" customHeight="1" x14ac:dyDescent="0.55000000000000004">
      <c r="E17" s="79" t="s">
        <v>13</v>
      </c>
      <c r="F17" s="271" t="s">
        <v>6</v>
      </c>
      <c r="G17" s="77" t="s">
        <v>13</v>
      </c>
      <c r="H17" s="86" t="s">
        <v>13</v>
      </c>
      <c r="I17" s="80" t="s">
        <v>13</v>
      </c>
      <c r="L17" s="90"/>
      <c r="M17" s="88"/>
      <c r="N17" s="88"/>
      <c r="O17" s="88"/>
      <c r="P17" s="89"/>
    </row>
    <row r="18" spans="5:16" ht="14.25" customHeight="1" x14ac:dyDescent="0.55000000000000004">
      <c r="E18" s="79" t="s">
        <v>13</v>
      </c>
      <c r="F18" s="272" t="s">
        <v>13</v>
      </c>
      <c r="G18" s="77" t="s">
        <v>13</v>
      </c>
      <c r="H18" s="275" t="s">
        <v>13</v>
      </c>
      <c r="I18" s="80" t="s">
        <v>13</v>
      </c>
      <c r="L18" s="90"/>
      <c r="M18" s="88"/>
      <c r="N18" s="88"/>
      <c r="O18" s="89"/>
      <c r="P18" s="89"/>
    </row>
    <row r="19" spans="5:16" ht="14.25" customHeight="1" x14ac:dyDescent="0.55000000000000004">
      <c r="E19" s="79" t="s">
        <v>13</v>
      </c>
      <c r="F19" s="271" t="s">
        <v>7</v>
      </c>
      <c r="G19" s="77" t="s">
        <v>13</v>
      </c>
      <c r="H19" s="86" t="s">
        <v>13</v>
      </c>
      <c r="I19" s="80" t="s">
        <v>13</v>
      </c>
      <c r="L19" s="90"/>
      <c r="M19" s="88"/>
      <c r="N19" s="88"/>
      <c r="O19" s="88"/>
      <c r="P19" s="89"/>
    </row>
    <row r="20" spans="5:16" ht="14.25" customHeight="1" x14ac:dyDescent="0.55000000000000004">
      <c r="E20" s="79" t="s">
        <v>13</v>
      </c>
      <c r="F20" s="75" t="s">
        <v>13</v>
      </c>
      <c r="G20" s="77" t="s">
        <v>13</v>
      </c>
      <c r="H20" s="275" t="s">
        <v>13</v>
      </c>
      <c r="I20" s="80" t="s">
        <v>13</v>
      </c>
      <c r="L20" s="90"/>
      <c r="M20" s="94"/>
      <c r="N20" s="88"/>
      <c r="O20" s="89"/>
      <c r="P20" s="89"/>
    </row>
    <row r="21" spans="5:16" ht="14.25" customHeight="1" x14ac:dyDescent="0.55000000000000004">
      <c r="E21" s="79" t="s">
        <v>13</v>
      </c>
      <c r="F21" s="78" t="s">
        <v>13</v>
      </c>
      <c r="G21" s="77" t="s">
        <v>13</v>
      </c>
      <c r="H21" s="76" t="s">
        <v>13</v>
      </c>
      <c r="I21" s="80" t="s">
        <v>13</v>
      </c>
      <c r="L21" s="90" t="s">
        <v>13</v>
      </c>
      <c r="M21" s="87" t="s">
        <v>13</v>
      </c>
      <c r="N21" s="88" t="s">
        <v>13</v>
      </c>
      <c r="O21" s="89" t="s">
        <v>13</v>
      </c>
      <c r="P21" s="89" t="s">
        <v>13</v>
      </c>
    </row>
    <row r="22" spans="5:16" ht="14.25" customHeight="1" x14ac:dyDescent="0.55000000000000004">
      <c r="E22" s="79" t="s">
        <v>13</v>
      </c>
      <c r="F22" s="76" t="s">
        <v>13</v>
      </c>
      <c r="G22" s="76" t="s">
        <v>13</v>
      </c>
      <c r="H22" s="76" t="s">
        <v>13</v>
      </c>
      <c r="I22" s="82" t="s">
        <v>13</v>
      </c>
      <c r="L22" s="90" t="s">
        <v>13</v>
      </c>
      <c r="M22" s="89" t="s">
        <v>13</v>
      </c>
      <c r="N22" s="89" t="s">
        <v>13</v>
      </c>
      <c r="O22" s="89" t="s">
        <v>13</v>
      </c>
      <c r="P22" s="90" t="s">
        <v>13</v>
      </c>
    </row>
    <row r="23" spans="5:16" ht="14.25" customHeight="1" x14ac:dyDescent="0.55000000000000004">
      <c r="E23" s="79" t="s">
        <v>13</v>
      </c>
      <c r="F23" s="76" t="s">
        <v>13</v>
      </c>
      <c r="G23" s="76" t="s">
        <v>13</v>
      </c>
      <c r="H23" s="76" t="s">
        <v>13</v>
      </c>
      <c r="I23" s="82" t="s">
        <v>13</v>
      </c>
      <c r="L23" s="90" t="s">
        <v>13</v>
      </c>
      <c r="M23" s="89" t="s">
        <v>13</v>
      </c>
      <c r="N23" s="89" t="s">
        <v>13</v>
      </c>
      <c r="O23" s="89" t="s">
        <v>13</v>
      </c>
      <c r="P23" s="90" t="s">
        <v>13</v>
      </c>
    </row>
    <row r="24" spans="5:16" ht="28.8" x14ac:dyDescent="0.55000000000000004">
      <c r="E24" s="83" t="s">
        <v>13</v>
      </c>
      <c r="F24" s="84" t="s">
        <v>13</v>
      </c>
      <c r="G24" s="84" t="s">
        <v>13</v>
      </c>
      <c r="H24" s="84" t="s">
        <v>13</v>
      </c>
      <c r="I24" s="85" t="s">
        <v>13</v>
      </c>
      <c r="L24" s="90" t="s">
        <v>13</v>
      </c>
      <c r="M24" s="89" t="s">
        <v>13</v>
      </c>
      <c r="N24" s="89" t="s">
        <v>13</v>
      </c>
      <c r="O24" s="89" t="s">
        <v>13</v>
      </c>
      <c r="P24" s="90" t="s">
        <v>13</v>
      </c>
    </row>
  </sheetData>
  <mergeCells count="2">
    <mergeCell ref="A2:AE2"/>
    <mergeCell ref="E7:I9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88803-C8BB-4817-B700-5F2BF2730A8E}">
  <sheetPr codeName="Planilha14">
    <tabColor rgb="FF00B050"/>
  </sheetPr>
  <dimension ref="A1:AE17"/>
  <sheetViews>
    <sheetView showGridLines="0" zoomScale="70" zoomScaleNormal="70" workbookViewId="0">
      <selection activeCell="H26" sqref="H26"/>
    </sheetView>
  </sheetViews>
  <sheetFormatPr defaultRowHeight="14.4" x14ac:dyDescent="0.3"/>
  <cols>
    <col min="6" max="6" width="66.77734375" customWidth="1"/>
    <col min="7" max="7" width="2.6640625" bestFit="1" customWidth="1"/>
    <col min="8" max="8" width="25.4414062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6" spans="1:31" ht="15" thickBot="1" x14ac:dyDescent="0.35"/>
    <row r="7" spans="1:31" ht="15" customHeight="1" x14ac:dyDescent="0.3">
      <c r="E7" s="488" t="s">
        <v>288</v>
      </c>
      <c r="F7" s="489"/>
      <c r="G7" s="489"/>
      <c r="H7" s="489"/>
      <c r="I7" s="489"/>
      <c r="J7" s="490"/>
      <c r="K7" s="102"/>
    </row>
    <row r="8" spans="1:31" ht="15" customHeight="1" x14ac:dyDescent="0.3">
      <c r="E8" s="491"/>
      <c r="F8" s="510"/>
      <c r="G8" s="510"/>
      <c r="H8" s="510"/>
      <c r="I8" s="510"/>
      <c r="J8" s="493"/>
      <c r="K8" s="102"/>
    </row>
    <row r="9" spans="1:31" ht="15" customHeight="1" thickBot="1" x14ac:dyDescent="0.35">
      <c r="E9" s="511"/>
      <c r="F9" s="512"/>
      <c r="G9" s="512"/>
      <c r="H9" s="512"/>
      <c r="I9" s="512"/>
      <c r="J9" s="513"/>
      <c r="K9" s="102"/>
    </row>
    <row r="10" spans="1:31" ht="15" customHeight="1" x14ac:dyDescent="0.55000000000000004">
      <c r="E10" s="36" t="s">
        <v>13</v>
      </c>
      <c r="F10" s="104" t="s">
        <v>13</v>
      </c>
      <c r="G10" s="104" t="s">
        <v>13</v>
      </c>
      <c r="H10" s="104" t="s">
        <v>13</v>
      </c>
      <c r="I10" s="104" t="s">
        <v>13</v>
      </c>
      <c r="J10" s="32" t="s">
        <v>13</v>
      </c>
      <c r="K10" s="103" t="s">
        <v>13</v>
      </c>
    </row>
    <row r="11" spans="1:31" ht="15" customHeight="1" x14ac:dyDescent="0.55000000000000004">
      <c r="E11" s="36" t="s">
        <v>13</v>
      </c>
      <c r="F11" s="105" t="s">
        <v>289</v>
      </c>
      <c r="G11" s="105"/>
      <c r="H11" s="111"/>
      <c r="I11" s="105"/>
      <c r="J11" s="106"/>
      <c r="K11" s="103" t="s">
        <v>13</v>
      </c>
    </row>
    <row r="12" spans="1:31" ht="15" customHeight="1" x14ac:dyDescent="0.55000000000000004">
      <c r="E12" s="36" t="s">
        <v>13</v>
      </c>
      <c r="F12" s="104" t="s">
        <v>13</v>
      </c>
      <c r="G12" s="104" t="s">
        <v>13</v>
      </c>
      <c r="H12" s="104" t="s">
        <v>13</v>
      </c>
      <c r="I12" s="104" t="s">
        <v>13</v>
      </c>
      <c r="J12" s="32" t="s">
        <v>13</v>
      </c>
      <c r="K12" s="103" t="s">
        <v>13</v>
      </c>
    </row>
    <row r="13" spans="1:31" ht="15" customHeight="1" x14ac:dyDescent="0.55000000000000004">
      <c r="E13" s="36" t="s">
        <v>13</v>
      </c>
      <c r="F13" s="107" t="s">
        <v>290</v>
      </c>
      <c r="G13" s="108"/>
      <c r="H13" s="110" t="s">
        <v>13</v>
      </c>
      <c r="I13" s="104" t="s">
        <v>13</v>
      </c>
      <c r="J13" s="106"/>
      <c r="K13" s="103" t="s">
        <v>13</v>
      </c>
    </row>
    <row r="14" spans="1:31" ht="15" customHeight="1" x14ac:dyDescent="0.55000000000000004">
      <c r="E14" s="36" t="s">
        <v>13</v>
      </c>
      <c r="F14" s="104" t="s">
        <v>13</v>
      </c>
      <c r="G14" s="104" t="s">
        <v>13</v>
      </c>
      <c r="H14" s="104" t="s">
        <v>13</v>
      </c>
      <c r="I14" s="104" t="s">
        <v>13</v>
      </c>
      <c r="J14" s="32" t="s">
        <v>13</v>
      </c>
      <c r="K14" s="103" t="s">
        <v>13</v>
      </c>
    </row>
    <row r="15" spans="1:31" ht="15" customHeight="1" x14ac:dyDescent="0.55000000000000004">
      <c r="E15" s="36" t="s">
        <v>13</v>
      </c>
      <c r="F15" s="104" t="s">
        <v>13</v>
      </c>
      <c r="G15" s="104" t="s">
        <v>13</v>
      </c>
      <c r="H15" s="104" t="s">
        <v>13</v>
      </c>
      <c r="I15" s="104" t="s">
        <v>13</v>
      </c>
      <c r="J15" s="32" t="s">
        <v>13</v>
      </c>
      <c r="K15" s="103" t="s">
        <v>13</v>
      </c>
    </row>
    <row r="16" spans="1:31" ht="28.8" x14ac:dyDescent="0.55000000000000004">
      <c r="E16" s="36" t="s">
        <v>13</v>
      </c>
      <c r="F16" s="104" t="s">
        <v>13</v>
      </c>
      <c r="G16" s="104" t="s">
        <v>13</v>
      </c>
      <c r="H16" s="104" t="s">
        <v>13</v>
      </c>
      <c r="I16" s="104" t="s">
        <v>13</v>
      </c>
      <c r="J16" s="32" t="s">
        <v>13</v>
      </c>
    </row>
    <row r="17" spans="5:10" ht="29.4" thickBot="1" x14ac:dyDescent="0.6">
      <c r="E17" s="39" t="s">
        <v>13</v>
      </c>
      <c r="F17" s="40" t="s">
        <v>13</v>
      </c>
      <c r="G17" s="40" t="s">
        <v>13</v>
      </c>
      <c r="H17" s="40" t="s">
        <v>13</v>
      </c>
      <c r="I17" s="40" t="s">
        <v>13</v>
      </c>
      <c r="J17" s="35" t="s">
        <v>13</v>
      </c>
    </row>
  </sheetData>
  <mergeCells count="2">
    <mergeCell ref="A2:AE2"/>
    <mergeCell ref="E7:J9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D8804-732A-49B3-9567-D1C463F62549}">
  <sheetPr codeName="Planilha15">
    <tabColor rgb="FF00B050"/>
  </sheetPr>
  <dimension ref="A1:AE40"/>
  <sheetViews>
    <sheetView showGridLines="0" topLeftCell="A7" zoomScale="70" zoomScaleNormal="70" workbookViewId="0">
      <selection activeCell="J30" sqref="J30"/>
    </sheetView>
  </sheetViews>
  <sheetFormatPr defaultRowHeight="14.4" x14ac:dyDescent="0.3"/>
  <cols>
    <col min="6" max="6" width="30.5546875" customWidth="1"/>
    <col min="7" max="7" width="8.88671875" customWidth="1"/>
    <col min="8" max="8" width="27.7773437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6" spans="1:31" ht="15" thickBot="1" x14ac:dyDescent="0.35"/>
    <row r="7" spans="1:31" ht="15" customHeight="1" x14ac:dyDescent="0.3">
      <c r="E7" s="514" t="s">
        <v>291</v>
      </c>
      <c r="F7" s="515"/>
      <c r="G7" s="515"/>
      <c r="H7" s="515"/>
      <c r="I7" s="516"/>
      <c r="J7" s="102"/>
      <c r="K7" s="102"/>
    </row>
    <row r="8" spans="1:31" ht="15" customHeight="1" x14ac:dyDescent="0.3">
      <c r="E8" s="517"/>
      <c r="F8" s="518"/>
      <c r="G8" s="518"/>
      <c r="H8" s="518"/>
      <c r="I8" s="519"/>
      <c r="J8" s="102"/>
      <c r="K8" s="102"/>
    </row>
    <row r="9" spans="1:31" ht="15" customHeight="1" thickBot="1" x14ac:dyDescent="0.35">
      <c r="E9" s="24"/>
      <c r="F9" s="117"/>
      <c r="G9" s="117"/>
      <c r="H9" s="117"/>
      <c r="I9" s="120"/>
      <c r="J9" s="102"/>
      <c r="K9" s="102"/>
    </row>
    <row r="10" spans="1:31" ht="15" customHeight="1" thickBot="1" x14ac:dyDescent="0.6">
      <c r="E10" s="24"/>
      <c r="F10" s="118" t="s">
        <v>292</v>
      </c>
      <c r="G10" s="117"/>
      <c r="H10" s="115"/>
      <c r="I10" s="120"/>
      <c r="J10" s="103"/>
      <c r="K10" s="103" t="s">
        <v>13</v>
      </c>
    </row>
    <row r="11" spans="1:31" ht="15" customHeight="1" thickBot="1" x14ac:dyDescent="0.6">
      <c r="E11" s="24"/>
      <c r="F11" s="118"/>
      <c r="G11" s="117"/>
      <c r="H11" s="117"/>
      <c r="I11" s="120"/>
      <c r="J11" s="114"/>
      <c r="K11" s="103" t="s">
        <v>13</v>
      </c>
    </row>
    <row r="12" spans="1:31" ht="15" customHeight="1" thickBot="1" x14ac:dyDescent="0.6">
      <c r="E12" s="24"/>
      <c r="F12" s="118" t="s">
        <v>293</v>
      </c>
      <c r="G12" s="117"/>
      <c r="H12" s="115"/>
      <c r="I12" s="120"/>
      <c r="J12" s="103"/>
      <c r="K12" s="103" t="s">
        <v>13</v>
      </c>
    </row>
    <row r="13" spans="1:31" ht="15" customHeight="1" thickBot="1" x14ac:dyDescent="0.6">
      <c r="E13" s="24"/>
      <c r="F13" s="118"/>
      <c r="G13" s="117"/>
      <c r="H13" s="117"/>
      <c r="I13" s="120"/>
      <c r="J13" s="114"/>
      <c r="K13" s="103" t="s">
        <v>13</v>
      </c>
    </row>
    <row r="14" spans="1:31" ht="15" customHeight="1" thickBot="1" x14ac:dyDescent="0.6">
      <c r="E14" s="24"/>
      <c r="F14" s="118" t="s">
        <v>294</v>
      </c>
      <c r="G14" s="117"/>
      <c r="H14" s="115"/>
      <c r="I14" s="120"/>
      <c r="J14" s="103"/>
      <c r="K14" s="103" t="s">
        <v>13</v>
      </c>
    </row>
    <row r="15" spans="1:31" ht="15" customHeight="1" thickBot="1" x14ac:dyDescent="0.6">
      <c r="E15" s="24"/>
      <c r="F15" s="118"/>
      <c r="G15" s="117"/>
      <c r="H15" s="117"/>
      <c r="I15" s="120"/>
      <c r="J15" s="103"/>
      <c r="K15" s="103" t="s">
        <v>13</v>
      </c>
    </row>
    <row r="16" spans="1:31" ht="15" customHeight="1" thickBot="1" x14ac:dyDescent="0.6">
      <c r="E16" s="24"/>
      <c r="F16" s="118" t="s">
        <v>295</v>
      </c>
      <c r="G16" s="117"/>
      <c r="H16" s="115"/>
      <c r="I16" s="120"/>
      <c r="J16" s="103"/>
    </row>
    <row r="17" spans="5:10" ht="15" customHeight="1" thickBot="1" x14ac:dyDescent="0.6">
      <c r="E17" s="24"/>
      <c r="F17" s="118"/>
      <c r="G17" s="117"/>
      <c r="H17" s="117"/>
      <c r="I17" s="120"/>
      <c r="J17" s="103"/>
    </row>
    <row r="18" spans="5:10" ht="15" customHeight="1" thickBot="1" x14ac:dyDescent="0.35">
      <c r="E18" s="24"/>
      <c r="F18" s="118" t="s">
        <v>296</v>
      </c>
      <c r="G18" s="117"/>
      <c r="H18" s="115"/>
      <c r="I18" s="120"/>
    </row>
    <row r="19" spans="5:10" ht="15" customHeight="1" thickBot="1" x14ac:dyDescent="0.35">
      <c r="E19" s="24"/>
      <c r="F19" s="118"/>
      <c r="G19" s="117"/>
      <c r="H19" s="117"/>
      <c r="I19" s="120"/>
    </row>
    <row r="20" spans="5:10" ht="15" customHeight="1" thickBot="1" x14ac:dyDescent="0.35">
      <c r="E20" s="24"/>
      <c r="F20" s="118" t="s">
        <v>297</v>
      </c>
      <c r="G20" s="117"/>
      <c r="H20" s="115"/>
      <c r="I20" s="120"/>
    </row>
    <row r="21" spans="5:10" ht="15" customHeight="1" thickBot="1" x14ac:dyDescent="0.35">
      <c r="E21" s="24"/>
      <c r="F21" s="118"/>
      <c r="G21" s="117"/>
      <c r="H21" s="117"/>
      <c r="I21" s="120"/>
    </row>
    <row r="22" spans="5:10" ht="15" customHeight="1" thickBot="1" x14ac:dyDescent="0.35">
      <c r="E22" s="24"/>
      <c r="F22" s="118" t="s">
        <v>298</v>
      </c>
      <c r="G22" s="117"/>
      <c r="H22" s="115"/>
      <c r="I22" s="120"/>
    </row>
    <row r="23" spans="5:10" ht="15" customHeight="1" thickBot="1" x14ac:dyDescent="0.35">
      <c r="E23" s="24"/>
      <c r="F23" s="118"/>
      <c r="G23" s="117"/>
      <c r="H23" s="117"/>
      <c r="I23" s="120"/>
    </row>
    <row r="24" spans="5:10" ht="15" customHeight="1" thickBot="1" x14ac:dyDescent="0.35">
      <c r="E24" s="24"/>
      <c r="F24" s="118" t="s">
        <v>299</v>
      </c>
      <c r="G24" s="117"/>
      <c r="H24" s="115"/>
      <c r="I24" s="120"/>
    </row>
    <row r="25" spans="5:10" ht="15" customHeight="1" thickBot="1" x14ac:dyDescent="0.35">
      <c r="E25" s="24"/>
      <c r="F25" s="118"/>
      <c r="G25" s="117"/>
      <c r="H25" s="117"/>
      <c r="I25" s="120"/>
    </row>
    <row r="26" spans="5:10" ht="15" customHeight="1" thickBot="1" x14ac:dyDescent="0.35">
      <c r="E26" s="24"/>
      <c r="F26" s="118" t="s">
        <v>300</v>
      </c>
      <c r="G26" s="117"/>
      <c r="H26" s="115"/>
      <c r="I26" s="120"/>
    </row>
    <row r="27" spans="5:10" ht="15" customHeight="1" thickBot="1" x14ac:dyDescent="0.35">
      <c r="E27" s="24"/>
      <c r="F27" s="119"/>
      <c r="G27" s="117"/>
      <c r="H27" s="117"/>
      <c r="I27" s="120"/>
    </row>
    <row r="28" spans="5:10" ht="15" customHeight="1" thickBot="1" x14ac:dyDescent="0.35">
      <c r="E28" s="24"/>
      <c r="F28" s="118" t="s">
        <v>301</v>
      </c>
      <c r="G28" s="117"/>
      <c r="H28" s="115"/>
      <c r="I28" s="120"/>
    </row>
    <row r="29" spans="5:10" ht="15" customHeight="1" thickBot="1" x14ac:dyDescent="0.35">
      <c r="E29" s="24"/>
      <c r="F29" s="119"/>
      <c r="G29" s="117"/>
      <c r="H29" s="117"/>
      <c r="I29" s="120"/>
    </row>
    <row r="30" spans="5:10" ht="15" customHeight="1" thickBot="1" x14ac:dyDescent="0.35">
      <c r="E30" s="24"/>
      <c r="F30" s="118" t="s">
        <v>302</v>
      </c>
      <c r="G30" s="117"/>
      <c r="H30" s="116"/>
      <c r="I30" s="120"/>
    </row>
    <row r="31" spans="5:10" ht="15" customHeight="1" thickBot="1" x14ac:dyDescent="0.35">
      <c r="E31" s="24"/>
      <c r="F31" s="119"/>
      <c r="G31" s="117"/>
      <c r="H31" s="117"/>
      <c r="I31" s="120"/>
    </row>
    <row r="32" spans="5:10" ht="15" customHeight="1" thickBot="1" x14ac:dyDescent="0.35">
      <c r="E32" s="24"/>
      <c r="F32" s="118" t="s">
        <v>303</v>
      </c>
      <c r="G32" s="117"/>
      <c r="H32" s="124" t="s">
        <v>305</v>
      </c>
      <c r="I32" s="120"/>
    </row>
    <row r="33" spans="5:9" ht="15" customHeight="1" thickBot="1" x14ac:dyDescent="0.35">
      <c r="E33" s="24"/>
      <c r="F33" s="119"/>
      <c r="G33" s="117"/>
      <c r="H33" s="117"/>
      <c r="I33" s="120"/>
    </row>
    <row r="34" spans="5:9" ht="15" customHeight="1" thickBot="1" x14ac:dyDescent="0.35">
      <c r="E34" s="24"/>
      <c r="F34" s="118" t="s">
        <v>304</v>
      </c>
      <c r="G34" s="117"/>
      <c r="H34" s="115"/>
      <c r="I34" s="120"/>
    </row>
    <row r="35" spans="5:9" ht="15" customHeight="1" x14ac:dyDescent="0.3">
      <c r="E35" s="24"/>
      <c r="F35" s="117"/>
      <c r="G35" s="117"/>
      <c r="H35" s="117"/>
      <c r="I35" s="120"/>
    </row>
    <row r="36" spans="5:9" ht="15" customHeight="1" x14ac:dyDescent="0.3">
      <c r="E36" s="24"/>
      <c r="F36" s="117"/>
      <c r="G36" s="117"/>
      <c r="H36" s="117"/>
      <c r="I36" s="120"/>
    </row>
    <row r="37" spans="5:9" x14ac:dyDescent="0.3">
      <c r="E37" s="24"/>
      <c r="F37" s="117"/>
      <c r="G37" s="117"/>
      <c r="H37" s="117"/>
      <c r="I37" s="120"/>
    </row>
    <row r="38" spans="5:9" x14ac:dyDescent="0.3">
      <c r="E38" s="24"/>
      <c r="F38" s="117"/>
      <c r="G38" s="117"/>
      <c r="H38" s="117"/>
      <c r="I38" s="120"/>
    </row>
    <row r="39" spans="5:9" x14ac:dyDescent="0.3">
      <c r="E39" s="24"/>
      <c r="F39" s="117"/>
      <c r="G39" s="117"/>
      <c r="H39" s="117"/>
      <c r="I39" s="120"/>
    </row>
    <row r="40" spans="5:9" ht="15" thickBot="1" x14ac:dyDescent="0.35">
      <c r="E40" s="121"/>
      <c r="F40" s="122"/>
      <c r="G40" s="122"/>
      <c r="H40" s="122"/>
      <c r="I40" s="123"/>
    </row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7C44C-4270-4719-B8C5-CD7E507969CD}">
  <sheetPr codeName="Planilha16">
    <tabColor rgb="FF00B050"/>
  </sheetPr>
  <dimension ref="A1:AE41"/>
  <sheetViews>
    <sheetView showGridLines="0" zoomScale="40" zoomScaleNormal="40" workbookViewId="0">
      <selection activeCell="G25" sqref="G25"/>
    </sheetView>
  </sheetViews>
  <sheetFormatPr defaultRowHeight="14.4" x14ac:dyDescent="0.3"/>
  <cols>
    <col min="5" max="5" width="8.88671875" customWidth="1"/>
    <col min="6" max="6" width="77.88671875" bestFit="1" customWidth="1"/>
    <col min="7" max="9" width="9.109375"/>
    <col min="10" max="10" width="27.5546875" customWidth="1"/>
    <col min="11" max="11" width="9.109375"/>
    <col min="12" max="12" width="81.6640625" bestFit="1" customWidth="1"/>
    <col min="13" max="14" width="9.109375"/>
    <col min="15" max="15" width="22.6640625" customWidth="1"/>
    <col min="16" max="16" width="29.109375" bestFit="1" customWidth="1"/>
    <col min="17" max="17" width="38.44140625" bestFit="1" customWidth="1"/>
    <col min="18" max="18" width="29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7" spans="1:31" ht="15" customHeight="1" thickBot="1" x14ac:dyDescent="0.35">
      <c r="E7" s="96"/>
      <c r="F7" s="96"/>
      <c r="G7" s="96"/>
      <c r="H7" s="96"/>
      <c r="I7" s="96"/>
      <c r="J7" s="102"/>
      <c r="K7" s="102"/>
    </row>
    <row r="8" spans="1:31" ht="15" customHeight="1" x14ac:dyDescent="0.3">
      <c r="E8" s="134"/>
      <c r="F8" s="135"/>
      <c r="G8" s="136"/>
      <c r="H8" s="132"/>
      <c r="I8" s="158"/>
      <c r="J8" s="159"/>
      <c r="K8" s="159"/>
      <c r="L8" s="159"/>
      <c r="M8" s="159"/>
      <c r="N8" s="159"/>
      <c r="O8" s="159"/>
      <c r="P8" s="159"/>
      <c r="Q8" s="160"/>
    </row>
    <row r="9" spans="1:31" ht="15" customHeight="1" x14ac:dyDescent="1.45">
      <c r="E9" s="137"/>
      <c r="F9" s="138" t="s">
        <v>306</v>
      </c>
      <c r="G9" s="139"/>
      <c r="H9" s="132"/>
      <c r="I9" s="161"/>
      <c r="J9" s="162" t="s">
        <v>311</v>
      </c>
      <c r="K9" s="163"/>
      <c r="L9" s="163"/>
      <c r="M9" s="163"/>
      <c r="N9" s="163"/>
      <c r="O9" s="164" t="s">
        <v>312</v>
      </c>
      <c r="P9" s="163"/>
      <c r="Q9" s="165"/>
    </row>
    <row r="10" spans="1:31" ht="15" customHeight="1" x14ac:dyDescent="1.45">
      <c r="E10" s="137"/>
      <c r="F10" s="138"/>
      <c r="G10" s="139"/>
      <c r="H10" s="132"/>
      <c r="I10" s="161"/>
      <c r="J10" s="163" t="s">
        <v>313</v>
      </c>
      <c r="K10" s="163"/>
      <c r="L10" s="163"/>
      <c r="M10" s="163"/>
      <c r="N10" s="163"/>
      <c r="O10" s="166" t="s">
        <v>314</v>
      </c>
      <c r="P10" s="163"/>
      <c r="Q10" s="165"/>
    </row>
    <row r="11" spans="1:31" ht="15" customHeight="1" x14ac:dyDescent="0.3">
      <c r="E11" s="150"/>
      <c r="F11" s="151"/>
      <c r="G11" s="152"/>
      <c r="H11" s="132"/>
      <c r="I11" s="161"/>
      <c r="J11" s="163" t="s">
        <v>315</v>
      </c>
      <c r="K11" s="163"/>
      <c r="L11" s="163"/>
      <c r="M11" s="163"/>
      <c r="N11" s="163"/>
      <c r="O11" s="167"/>
      <c r="P11" s="163"/>
      <c r="Q11" s="165"/>
    </row>
    <row r="12" spans="1:31" ht="15" customHeight="1" x14ac:dyDescent="0.3">
      <c r="E12" s="153"/>
      <c r="F12" s="157" t="s">
        <v>307</v>
      </c>
      <c r="G12" s="154"/>
      <c r="H12" s="132"/>
      <c r="I12" s="168"/>
      <c r="J12" s="169"/>
      <c r="K12" s="169"/>
      <c r="L12" s="169"/>
      <c r="M12" s="169"/>
      <c r="N12" s="169"/>
      <c r="O12" s="169"/>
      <c r="P12" s="169"/>
      <c r="Q12" s="170"/>
    </row>
    <row r="13" spans="1:31" ht="15" customHeight="1" thickBot="1" x14ac:dyDescent="0.35">
      <c r="E13" s="155"/>
      <c r="F13" s="156"/>
      <c r="G13" s="154"/>
      <c r="H13" s="132"/>
      <c r="I13" s="171"/>
      <c r="J13" s="172"/>
      <c r="K13" s="172"/>
      <c r="L13" s="172"/>
      <c r="M13" s="172"/>
      <c r="N13" s="172"/>
      <c r="O13" s="172"/>
      <c r="P13" s="172"/>
      <c r="Q13" s="173"/>
    </row>
    <row r="14" spans="1:31" ht="15" customHeight="1" thickBot="1" x14ac:dyDescent="0.35">
      <c r="E14" s="149"/>
      <c r="F14" s="97"/>
      <c r="G14" s="23"/>
      <c r="H14" s="1"/>
      <c r="I14" s="174"/>
      <c r="J14" s="175" t="s">
        <v>316</v>
      </c>
      <c r="K14" s="176"/>
      <c r="L14" s="176"/>
      <c r="M14" s="176"/>
      <c r="N14" s="176"/>
      <c r="O14" s="175" t="s">
        <v>317</v>
      </c>
      <c r="P14" s="176"/>
      <c r="Q14" s="177"/>
    </row>
    <row r="15" spans="1:31" ht="15" customHeight="1" x14ac:dyDescent="0.3">
      <c r="E15" s="149"/>
      <c r="F15" s="148"/>
      <c r="G15" s="23"/>
      <c r="H15" s="1"/>
      <c r="I15" s="174"/>
      <c r="J15" s="178"/>
      <c r="K15" s="176"/>
      <c r="L15" s="176"/>
      <c r="M15" s="176"/>
      <c r="N15" s="176"/>
      <c r="O15" s="178"/>
      <c r="P15" s="176"/>
      <c r="Q15" s="177"/>
    </row>
    <row r="16" spans="1:31" ht="15" customHeight="1" x14ac:dyDescent="0.3">
      <c r="E16" s="146"/>
      <c r="F16" s="157" t="s">
        <v>308</v>
      </c>
      <c r="G16" s="23"/>
      <c r="H16" s="1"/>
      <c r="I16" s="174"/>
      <c r="J16" s="179"/>
      <c r="K16" s="179"/>
      <c r="L16" s="179"/>
      <c r="M16" s="179"/>
      <c r="N16" s="179"/>
      <c r="O16" s="179"/>
      <c r="P16" s="179"/>
      <c r="Q16" s="180"/>
    </row>
    <row r="17" spans="5:17" ht="15" customHeight="1" thickBot="1" x14ac:dyDescent="0.35">
      <c r="E17" s="146"/>
      <c r="F17" s="148"/>
      <c r="G17" s="23"/>
      <c r="H17" s="1"/>
      <c r="I17" s="181"/>
      <c r="J17" s="182" t="s">
        <v>318</v>
      </c>
      <c r="K17" s="183"/>
      <c r="L17" s="183"/>
      <c r="M17" s="184" t="s">
        <v>319</v>
      </c>
      <c r="N17" s="184" t="s">
        <v>320</v>
      </c>
      <c r="O17" s="185"/>
      <c r="P17" s="182" t="s">
        <v>321</v>
      </c>
      <c r="Q17" s="185"/>
    </row>
    <row r="18" spans="5:17" ht="15" customHeight="1" thickBot="1" x14ac:dyDescent="0.35">
      <c r="E18" s="146"/>
      <c r="F18" s="98"/>
      <c r="G18" s="23"/>
      <c r="H18" s="1"/>
      <c r="I18" s="186"/>
      <c r="J18" s="187" t="s">
        <v>322</v>
      </c>
      <c r="K18" s="183"/>
      <c r="L18" s="183"/>
      <c r="M18" s="187"/>
      <c r="N18" s="187"/>
      <c r="O18" s="185"/>
      <c r="P18" s="183"/>
      <c r="Q18" s="185"/>
    </row>
    <row r="19" spans="5:17" ht="15" customHeight="1" x14ac:dyDescent="0.3">
      <c r="E19" s="146"/>
      <c r="F19" s="148"/>
      <c r="G19" s="23"/>
      <c r="H19" s="1"/>
      <c r="I19" s="186"/>
      <c r="J19" s="186" t="s">
        <v>323</v>
      </c>
      <c r="K19" s="188"/>
      <c r="L19" s="188"/>
      <c r="M19" s="186"/>
      <c r="N19" s="186"/>
      <c r="O19" s="189"/>
      <c r="P19" s="188"/>
      <c r="Q19" s="189"/>
    </row>
    <row r="20" spans="5:17" ht="15" customHeight="1" x14ac:dyDescent="0.3">
      <c r="E20" s="146"/>
      <c r="F20" s="157" t="s">
        <v>309</v>
      </c>
      <c r="G20" s="142"/>
      <c r="H20" s="133"/>
      <c r="I20" s="186"/>
      <c r="J20" s="187" t="s">
        <v>324</v>
      </c>
      <c r="K20" s="183"/>
      <c r="L20" s="183"/>
      <c r="M20" s="187"/>
      <c r="N20" s="187"/>
      <c r="O20" s="185"/>
      <c r="P20" s="183"/>
      <c r="Q20" s="185"/>
    </row>
    <row r="21" spans="5:17" ht="15" customHeight="1" thickBot="1" x14ac:dyDescent="0.35">
      <c r="E21" s="146"/>
      <c r="F21" s="147"/>
      <c r="G21" s="142"/>
      <c r="H21" s="133"/>
      <c r="I21" s="186"/>
      <c r="J21" s="186" t="s">
        <v>325</v>
      </c>
      <c r="K21" s="188"/>
      <c r="L21" s="188"/>
      <c r="M21" s="186"/>
      <c r="N21" s="186"/>
      <c r="O21" s="189"/>
      <c r="P21" s="188"/>
      <c r="Q21" s="189"/>
    </row>
    <row r="22" spans="5:17" ht="15" customHeight="1" thickBot="1" x14ac:dyDescent="0.35">
      <c r="E22" s="146"/>
      <c r="F22" s="131"/>
      <c r="G22" s="142"/>
      <c r="H22" s="133"/>
      <c r="I22" s="186"/>
      <c r="J22" s="187" t="s">
        <v>326</v>
      </c>
      <c r="K22" s="183"/>
      <c r="L22" s="183"/>
      <c r="M22" s="187"/>
      <c r="N22" s="187"/>
      <c r="O22" s="185"/>
      <c r="P22" s="183"/>
      <c r="Q22" s="185"/>
    </row>
    <row r="23" spans="5:17" ht="15" customHeight="1" x14ac:dyDescent="0.3">
      <c r="E23" s="146"/>
      <c r="F23" s="147"/>
      <c r="G23" s="142"/>
      <c r="H23" s="133"/>
      <c r="I23" s="190"/>
      <c r="J23" s="190"/>
      <c r="K23" s="191"/>
      <c r="L23" s="191"/>
      <c r="M23" s="190"/>
      <c r="N23" s="190"/>
      <c r="O23" s="192"/>
      <c r="P23" s="191"/>
      <c r="Q23" s="192"/>
    </row>
    <row r="24" spans="5:17" ht="15" customHeight="1" x14ac:dyDescent="0.3">
      <c r="E24" s="146"/>
      <c r="F24" s="157" t="s">
        <v>310</v>
      </c>
      <c r="G24" s="142"/>
      <c r="H24" s="133"/>
      <c r="I24" s="186"/>
      <c r="J24" s="193" t="s">
        <v>327</v>
      </c>
      <c r="K24" s="188"/>
      <c r="L24" s="188"/>
      <c r="M24" s="188"/>
      <c r="N24" s="193" t="s">
        <v>328</v>
      </c>
      <c r="O24" s="189"/>
      <c r="P24" s="194" t="s">
        <v>329</v>
      </c>
      <c r="Q24" s="189"/>
    </row>
    <row r="25" spans="5:17" ht="15" customHeight="1" thickBot="1" x14ac:dyDescent="0.35">
      <c r="E25" s="146"/>
      <c r="F25" s="147"/>
      <c r="G25" s="142"/>
      <c r="H25" s="133"/>
      <c r="I25" s="186"/>
      <c r="J25" s="186"/>
      <c r="K25" s="188"/>
      <c r="L25" s="188"/>
      <c r="M25" s="188"/>
      <c r="N25" s="186"/>
      <c r="O25" s="189"/>
      <c r="P25" s="188"/>
      <c r="Q25" s="189"/>
    </row>
    <row r="26" spans="5:17" ht="15" customHeight="1" thickBot="1" x14ac:dyDescent="0.35">
      <c r="E26" s="146"/>
      <c r="F26" s="131"/>
      <c r="G26" s="142"/>
      <c r="H26" s="133"/>
      <c r="I26" s="186"/>
      <c r="J26" s="186"/>
      <c r="K26" s="188"/>
      <c r="L26" s="188"/>
      <c r="M26" s="188"/>
      <c r="N26" s="186"/>
      <c r="O26" s="189"/>
      <c r="P26" s="188"/>
      <c r="Q26" s="189"/>
    </row>
    <row r="27" spans="5:17" ht="15" customHeight="1" x14ac:dyDescent="0.3">
      <c r="E27" s="140"/>
      <c r="F27" s="141"/>
      <c r="G27" s="142"/>
      <c r="H27" s="133"/>
      <c r="I27" s="186"/>
      <c r="J27" s="186"/>
      <c r="K27" s="188"/>
      <c r="L27" s="188"/>
      <c r="M27" s="188"/>
      <c r="N27" s="186"/>
      <c r="O27" s="189"/>
      <c r="P27" s="188"/>
      <c r="Q27" s="189"/>
    </row>
    <row r="28" spans="5:17" ht="15" customHeight="1" x14ac:dyDescent="0.3">
      <c r="E28" s="140"/>
      <c r="F28" s="141"/>
      <c r="G28" s="142"/>
      <c r="H28" s="133"/>
      <c r="I28" s="186"/>
      <c r="J28" s="190"/>
      <c r="K28" s="191"/>
      <c r="L28" s="191"/>
      <c r="M28" s="191"/>
      <c r="N28" s="186"/>
      <c r="O28" s="189"/>
      <c r="P28" s="188"/>
      <c r="Q28" s="189"/>
    </row>
    <row r="29" spans="5:17" ht="15" customHeight="1" x14ac:dyDescent="0.3">
      <c r="E29" s="140"/>
      <c r="F29" s="141"/>
      <c r="G29" s="142"/>
      <c r="H29" s="133"/>
      <c r="I29" s="171"/>
      <c r="J29" s="172"/>
      <c r="K29" s="172"/>
      <c r="L29" s="172"/>
      <c r="M29" s="172"/>
      <c r="N29" s="172"/>
      <c r="O29" s="172"/>
      <c r="P29" s="172"/>
      <c r="Q29" s="173"/>
    </row>
    <row r="30" spans="5:17" ht="15" customHeight="1" x14ac:dyDescent="0.3">
      <c r="E30" s="140"/>
      <c r="F30" s="141"/>
      <c r="G30" s="142"/>
      <c r="H30" s="126"/>
      <c r="I30" s="174"/>
      <c r="J30" s="195" t="s">
        <v>322</v>
      </c>
      <c r="K30" s="196"/>
      <c r="L30" s="197"/>
      <c r="M30" s="197"/>
      <c r="N30" s="197"/>
      <c r="O30" s="197"/>
      <c r="P30" s="198"/>
      <c r="Q30" s="177"/>
    </row>
    <row r="31" spans="5:17" ht="15" customHeight="1" x14ac:dyDescent="0.3">
      <c r="E31" s="140"/>
      <c r="F31" s="141"/>
      <c r="G31" s="142"/>
      <c r="H31" s="129"/>
      <c r="I31" s="174"/>
      <c r="J31" s="195" t="s">
        <v>330</v>
      </c>
      <c r="K31" s="196"/>
      <c r="L31" s="197"/>
      <c r="M31" s="197"/>
      <c r="N31" s="197"/>
      <c r="O31" s="197"/>
      <c r="P31" s="198"/>
      <c r="Q31" s="177"/>
    </row>
    <row r="32" spans="5:17" ht="15" customHeight="1" thickBot="1" x14ac:dyDescent="0.35">
      <c r="E32" s="143"/>
      <c r="F32" s="144"/>
      <c r="G32" s="145"/>
      <c r="H32" s="126"/>
      <c r="I32" s="174"/>
      <c r="J32" s="195" t="s">
        <v>331</v>
      </c>
      <c r="K32" s="196"/>
      <c r="L32" s="197"/>
      <c r="M32" s="197"/>
      <c r="N32" s="197"/>
      <c r="O32" s="197"/>
      <c r="P32" s="198"/>
      <c r="Q32" s="177"/>
    </row>
    <row r="33" spans="5:17" ht="15" customHeight="1" x14ac:dyDescent="0.3">
      <c r="E33" s="126"/>
      <c r="F33" s="127"/>
      <c r="G33" s="126"/>
      <c r="H33" s="130"/>
      <c r="I33" s="174"/>
      <c r="J33" s="195" t="s">
        <v>332</v>
      </c>
      <c r="K33" s="196"/>
      <c r="L33" s="197"/>
      <c r="M33" s="197"/>
      <c r="N33" s="197"/>
      <c r="O33" s="197"/>
      <c r="P33" s="198"/>
      <c r="Q33" s="177"/>
    </row>
    <row r="34" spans="5:17" ht="15" customHeight="1" x14ac:dyDescent="0.3">
      <c r="E34" s="126"/>
      <c r="F34" s="128"/>
      <c r="G34" s="126"/>
      <c r="H34" s="126"/>
      <c r="I34" s="199"/>
      <c r="J34" s="179"/>
      <c r="K34" s="179"/>
      <c r="L34" s="179"/>
      <c r="M34" s="179"/>
      <c r="N34" s="179"/>
      <c r="O34" s="179"/>
      <c r="P34" s="179"/>
      <c r="Q34" s="180"/>
    </row>
    <row r="35" spans="5:17" ht="15" customHeight="1" x14ac:dyDescent="0.3">
      <c r="E35" s="126"/>
      <c r="F35" s="127"/>
      <c r="G35" s="126"/>
      <c r="H35" s="126"/>
      <c r="I35" s="200"/>
      <c r="J35" s="201"/>
      <c r="K35" s="201"/>
      <c r="L35" s="201"/>
      <c r="M35" s="201"/>
      <c r="N35" s="201"/>
      <c r="O35" s="201"/>
      <c r="P35" s="201"/>
      <c r="Q35" s="202"/>
    </row>
    <row r="36" spans="5:17" ht="15" customHeight="1" x14ac:dyDescent="0.35">
      <c r="E36" s="126"/>
      <c r="F36" s="126"/>
      <c r="G36" s="126"/>
      <c r="H36" s="126"/>
      <c r="I36" s="186"/>
      <c r="J36" s="203" t="s">
        <v>333</v>
      </c>
      <c r="K36" s="188"/>
      <c r="L36" s="188"/>
      <c r="M36" s="188"/>
      <c r="N36" s="188"/>
      <c r="O36" s="188"/>
      <c r="P36" s="188"/>
      <c r="Q36" s="189"/>
    </row>
    <row r="37" spans="5:17" ht="15" customHeight="1" x14ac:dyDescent="0.3">
      <c r="E37" s="126"/>
      <c r="F37" s="126"/>
      <c r="G37" s="126"/>
      <c r="H37" s="126"/>
      <c r="I37" s="186"/>
      <c r="J37" s="188"/>
      <c r="K37" s="188"/>
      <c r="L37" s="188"/>
      <c r="M37" s="188"/>
      <c r="N37" s="188"/>
      <c r="O37" s="188"/>
      <c r="P37" s="188"/>
      <c r="Q37" s="189"/>
    </row>
    <row r="38" spans="5:17" x14ac:dyDescent="0.3">
      <c r="E38" s="126"/>
      <c r="F38" s="126"/>
      <c r="G38" s="126"/>
      <c r="H38" s="126"/>
      <c r="I38" s="186"/>
      <c r="J38" s="191"/>
      <c r="K38" s="191"/>
      <c r="L38" s="191"/>
      <c r="M38" s="188"/>
      <c r="N38" s="191"/>
      <c r="O38" s="191"/>
      <c r="P38" s="191"/>
      <c r="Q38" s="189"/>
    </row>
    <row r="39" spans="5:17" x14ac:dyDescent="0.3">
      <c r="E39" s="126"/>
      <c r="F39" s="126"/>
      <c r="G39" s="126"/>
      <c r="H39" s="126"/>
      <c r="I39" s="186"/>
      <c r="J39" s="194" t="s">
        <v>334</v>
      </c>
      <c r="K39" s="188"/>
      <c r="L39" s="188"/>
      <c r="M39" s="188"/>
      <c r="N39" s="188" t="s">
        <v>335</v>
      </c>
      <c r="O39" s="188"/>
      <c r="P39" s="188"/>
      <c r="Q39" s="189"/>
    </row>
    <row r="40" spans="5:17" x14ac:dyDescent="0.3">
      <c r="E40" s="126"/>
      <c r="F40" s="126"/>
      <c r="G40" s="126"/>
      <c r="H40" s="126"/>
      <c r="I40" s="190"/>
      <c r="J40" s="191"/>
      <c r="K40" s="191"/>
      <c r="L40" s="191"/>
      <c r="M40" s="191"/>
      <c r="N40" s="191"/>
      <c r="O40" s="191"/>
      <c r="P40" s="191"/>
      <c r="Q40" s="192"/>
    </row>
    <row r="41" spans="5:17" x14ac:dyDescent="0.3">
      <c r="E41" s="126"/>
      <c r="F41" s="126"/>
      <c r="G41" s="126"/>
      <c r="H41" s="126"/>
      <c r="I41" s="126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80E5-10FE-4FDF-B1C4-8F4C909F8B52}">
  <sheetPr codeName="Planilha17">
    <tabColor rgb="FF00B050"/>
  </sheetPr>
  <dimension ref="A1:AE40"/>
  <sheetViews>
    <sheetView showGridLines="0" zoomScale="70" zoomScaleNormal="70" workbookViewId="0">
      <selection activeCell="E7" sqref="E7"/>
    </sheetView>
  </sheetViews>
  <sheetFormatPr defaultRowHeight="14.4" x14ac:dyDescent="0.3"/>
  <cols>
    <col min="5" max="5" width="32.6640625" bestFit="1" customWidth="1"/>
    <col min="6" max="6" width="14.88671875" customWidth="1"/>
    <col min="7" max="8" width="8.88671875" customWidth="1"/>
    <col min="9" max="9" width="16.44140625" bestFit="1" customWidth="1"/>
    <col min="10" max="10" width="14.21875" bestFit="1" customWidth="1"/>
    <col min="11" max="11" width="16.44140625" bestFit="1" customWidth="1"/>
    <col min="12" max="12" width="20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6" spans="1:31" ht="15" thickBot="1" x14ac:dyDescent="0.35"/>
    <row r="7" spans="1:31" ht="15" customHeight="1" x14ac:dyDescent="0.3">
      <c r="E7" s="210" t="s">
        <v>336</v>
      </c>
      <c r="F7" s="211" t="s">
        <v>302</v>
      </c>
      <c r="G7" s="96"/>
      <c r="H7" s="96"/>
      <c r="I7" s="522" t="s">
        <v>357</v>
      </c>
      <c r="J7" s="523"/>
      <c r="K7" s="523"/>
      <c r="L7" s="524"/>
    </row>
    <row r="8" spans="1:31" ht="15" customHeight="1" x14ac:dyDescent="0.3">
      <c r="E8" s="212" t="s">
        <v>337</v>
      </c>
      <c r="F8" s="213">
        <v>5000</v>
      </c>
      <c r="G8" s="96"/>
      <c r="H8" s="96"/>
      <c r="I8" s="520" t="s">
        <v>358</v>
      </c>
      <c r="J8" s="521"/>
      <c r="K8" s="205" t="s">
        <v>359</v>
      </c>
      <c r="L8" s="216" t="s">
        <v>360</v>
      </c>
    </row>
    <row r="9" spans="1:31" ht="15" customHeight="1" x14ac:dyDescent="0.3">
      <c r="E9" s="212" t="s">
        <v>338</v>
      </c>
      <c r="F9" s="213">
        <v>3000</v>
      </c>
      <c r="G9" s="126"/>
      <c r="H9" s="126"/>
      <c r="I9" s="217" t="s">
        <v>361</v>
      </c>
      <c r="J9" s="206">
        <v>2259.1999999999998</v>
      </c>
      <c r="K9" s="207">
        <v>0</v>
      </c>
      <c r="L9" s="218">
        <v>0</v>
      </c>
    </row>
    <row r="10" spans="1:31" ht="15" customHeight="1" x14ac:dyDescent="0.3">
      <c r="E10" s="212" t="s">
        <v>339</v>
      </c>
      <c r="F10" s="213">
        <v>2000</v>
      </c>
      <c r="G10" s="126"/>
      <c r="H10" s="126"/>
      <c r="I10" s="219">
        <f>J9</f>
        <v>2259.1999999999998</v>
      </c>
      <c r="J10" s="206">
        <v>2826.65</v>
      </c>
      <c r="K10" s="208">
        <v>7.4999999999999997E-2</v>
      </c>
      <c r="L10" s="218">
        <v>164.44</v>
      </c>
    </row>
    <row r="11" spans="1:31" ht="15" customHeight="1" x14ac:dyDescent="0.3">
      <c r="E11" s="212" t="s">
        <v>340</v>
      </c>
      <c r="F11" s="213">
        <v>5000</v>
      </c>
      <c r="G11" s="126"/>
      <c r="H11" s="126"/>
      <c r="I11" s="219">
        <f>J10</f>
        <v>2826.65</v>
      </c>
      <c r="J11" s="206">
        <v>3751.05</v>
      </c>
      <c r="K11" s="208">
        <v>0.15</v>
      </c>
      <c r="L11" s="218">
        <v>381.44</v>
      </c>
    </row>
    <row r="12" spans="1:31" ht="15" customHeight="1" x14ac:dyDescent="0.3">
      <c r="E12" s="212" t="s">
        <v>341</v>
      </c>
      <c r="F12" s="213">
        <v>3000</v>
      </c>
      <c r="G12" s="126"/>
      <c r="H12" s="126"/>
      <c r="I12" s="219">
        <f>J11</f>
        <v>3751.05</v>
      </c>
      <c r="J12" s="206">
        <v>4664.68</v>
      </c>
      <c r="K12" s="208">
        <v>0.22500000000000001</v>
      </c>
      <c r="L12" s="218">
        <v>662.77</v>
      </c>
    </row>
    <row r="13" spans="1:31" ht="15" customHeight="1" thickBot="1" x14ac:dyDescent="0.35">
      <c r="E13" s="212" t="s">
        <v>342</v>
      </c>
      <c r="F13" s="213">
        <v>2000</v>
      </c>
      <c r="G13" s="126"/>
      <c r="H13" s="126"/>
      <c r="I13" s="220" t="s">
        <v>362</v>
      </c>
      <c r="J13" s="221">
        <f>J12</f>
        <v>4664.68</v>
      </c>
      <c r="K13" s="222">
        <v>0.27500000000000002</v>
      </c>
      <c r="L13" s="223">
        <v>896</v>
      </c>
    </row>
    <row r="14" spans="1:31" ht="15" customHeight="1" x14ac:dyDescent="0.55000000000000004">
      <c r="E14" s="212" t="s">
        <v>343</v>
      </c>
      <c r="F14" s="213">
        <v>5000</v>
      </c>
      <c r="G14" s="126"/>
      <c r="H14" s="126"/>
      <c r="I14" s="126"/>
      <c r="J14" s="103"/>
      <c r="K14" s="103" t="s">
        <v>13</v>
      </c>
    </row>
    <row r="15" spans="1:31" ht="15" customHeight="1" thickBot="1" x14ac:dyDescent="0.6">
      <c r="E15" s="212" t="s">
        <v>344</v>
      </c>
      <c r="F15" s="213">
        <v>3000</v>
      </c>
      <c r="G15" s="126"/>
      <c r="H15" s="126"/>
      <c r="I15" s="126"/>
      <c r="J15" s="103"/>
      <c r="K15" s="103" t="s">
        <v>13</v>
      </c>
    </row>
    <row r="16" spans="1:31" ht="15" customHeight="1" x14ac:dyDescent="0.3">
      <c r="E16" s="212" t="s">
        <v>14</v>
      </c>
      <c r="F16" s="213">
        <v>5000</v>
      </c>
      <c r="G16" s="126"/>
      <c r="H16" s="126"/>
      <c r="I16" s="525" t="s">
        <v>321</v>
      </c>
      <c r="J16" s="526"/>
      <c r="K16" s="526"/>
      <c r="L16" s="527"/>
    </row>
    <row r="17" spans="5:12" ht="15" customHeight="1" x14ac:dyDescent="0.3">
      <c r="E17" s="212" t="s">
        <v>345</v>
      </c>
      <c r="F17" s="213">
        <v>3000</v>
      </c>
      <c r="G17" s="126"/>
      <c r="H17" s="126"/>
      <c r="I17" s="212" t="s">
        <v>325</v>
      </c>
      <c r="J17" s="209">
        <v>0.11</v>
      </c>
      <c r="K17" s="204" t="s">
        <v>325</v>
      </c>
      <c r="L17" s="224">
        <v>0.11</v>
      </c>
    </row>
    <row r="18" spans="5:12" ht="15" customHeight="1" x14ac:dyDescent="0.3">
      <c r="E18" s="212" t="s">
        <v>346</v>
      </c>
      <c r="F18" s="213">
        <v>2000</v>
      </c>
      <c r="G18" s="126"/>
      <c r="H18" s="126"/>
      <c r="I18" s="212" t="s">
        <v>363</v>
      </c>
      <c r="J18" s="204" t="s">
        <v>364</v>
      </c>
      <c r="K18" s="204" t="s">
        <v>363</v>
      </c>
      <c r="L18" s="225" t="s">
        <v>364</v>
      </c>
    </row>
    <row r="19" spans="5:12" ht="15" customHeight="1" thickBot="1" x14ac:dyDescent="0.35">
      <c r="E19" s="212" t="s">
        <v>347</v>
      </c>
      <c r="F19" s="213">
        <v>5000</v>
      </c>
      <c r="G19" s="126"/>
      <c r="H19" s="126"/>
      <c r="I19" s="214" t="s">
        <v>365</v>
      </c>
      <c r="J19" s="226">
        <v>1.4999999999999999E-2</v>
      </c>
      <c r="K19" s="227" t="s">
        <v>365</v>
      </c>
      <c r="L19" s="228">
        <v>1.4999999999999999E-2</v>
      </c>
    </row>
    <row r="20" spans="5:12" ht="15" customHeight="1" x14ac:dyDescent="0.3">
      <c r="E20" s="212" t="s">
        <v>348</v>
      </c>
      <c r="F20" s="213">
        <v>3000</v>
      </c>
      <c r="G20" s="126"/>
      <c r="H20" s="126"/>
      <c r="I20" s="126"/>
    </row>
    <row r="21" spans="5:12" ht="15" customHeight="1" thickBot="1" x14ac:dyDescent="0.35">
      <c r="E21" s="212" t="s">
        <v>349</v>
      </c>
      <c r="F21" s="213">
        <v>2000</v>
      </c>
      <c r="G21" s="126"/>
      <c r="H21" s="126"/>
    </row>
    <row r="22" spans="5:12" ht="15" customHeight="1" x14ac:dyDescent="0.3">
      <c r="E22" s="212" t="s">
        <v>350</v>
      </c>
      <c r="F22" s="213">
        <v>5000</v>
      </c>
      <c r="G22" s="126"/>
      <c r="H22" s="126"/>
      <c r="I22" s="229" t="s">
        <v>366</v>
      </c>
    </row>
    <row r="23" spans="5:12" ht="15" customHeight="1" thickBot="1" x14ac:dyDescent="0.35">
      <c r="E23" s="212" t="s">
        <v>351</v>
      </c>
      <c r="F23" s="213">
        <v>4000</v>
      </c>
      <c r="G23" s="126"/>
      <c r="H23" s="126"/>
      <c r="I23" s="230">
        <v>0.08</v>
      </c>
    </row>
    <row r="24" spans="5:12" ht="15" customHeight="1" x14ac:dyDescent="0.3">
      <c r="E24" s="212" t="s">
        <v>352</v>
      </c>
      <c r="F24" s="213">
        <v>3000</v>
      </c>
      <c r="G24" s="126"/>
      <c r="H24" s="126"/>
      <c r="I24" s="126"/>
    </row>
    <row r="25" spans="5:12" ht="15" customHeight="1" x14ac:dyDescent="0.3">
      <c r="E25" s="212" t="s">
        <v>353</v>
      </c>
      <c r="F25" s="213">
        <v>2000</v>
      </c>
      <c r="G25" s="126"/>
      <c r="H25" s="126"/>
      <c r="I25" s="126"/>
    </row>
    <row r="26" spans="5:12" ht="15" customHeight="1" x14ac:dyDescent="0.3">
      <c r="E26" s="212" t="s">
        <v>354</v>
      </c>
      <c r="F26" s="213">
        <v>5000</v>
      </c>
      <c r="G26" s="126"/>
      <c r="H26" s="126"/>
      <c r="I26" s="126"/>
    </row>
    <row r="27" spans="5:12" ht="15" customHeight="1" x14ac:dyDescent="0.3">
      <c r="E27" s="212" t="s">
        <v>355</v>
      </c>
      <c r="F27" s="213">
        <v>3000</v>
      </c>
      <c r="G27" s="126"/>
      <c r="H27" s="126"/>
      <c r="I27" s="126"/>
    </row>
    <row r="28" spans="5:12" ht="15" customHeight="1" thickBot="1" x14ac:dyDescent="0.35">
      <c r="E28" s="214" t="s">
        <v>356</v>
      </c>
      <c r="F28" s="215">
        <v>2000</v>
      </c>
      <c r="G28" s="126"/>
      <c r="H28" s="126"/>
      <c r="I28" s="126"/>
    </row>
    <row r="29" spans="5:12" ht="15" customHeight="1" x14ac:dyDescent="0.3">
      <c r="E29" s="126"/>
      <c r="F29" s="128"/>
      <c r="G29" s="126"/>
      <c r="H29" s="126"/>
      <c r="I29" s="126"/>
    </row>
    <row r="30" spans="5:12" ht="15" customHeight="1" x14ac:dyDescent="0.3">
      <c r="E30" s="126"/>
      <c r="F30" s="127"/>
      <c r="G30" s="126"/>
      <c r="H30" s="129"/>
      <c r="I30" s="126"/>
    </row>
    <row r="31" spans="5:12" ht="15" customHeight="1" x14ac:dyDescent="0.3">
      <c r="E31" s="126"/>
      <c r="F31" s="128"/>
      <c r="G31" s="126"/>
      <c r="H31" s="126"/>
      <c r="I31" s="126"/>
    </row>
    <row r="32" spans="5:12" ht="15" customHeight="1" x14ac:dyDescent="0.3">
      <c r="E32" s="126"/>
      <c r="F32" s="127"/>
      <c r="G32" s="126"/>
      <c r="H32" s="130"/>
      <c r="I32" s="126"/>
    </row>
    <row r="33" spans="5:9" ht="15" customHeight="1" x14ac:dyDescent="0.3">
      <c r="E33" s="126"/>
      <c r="F33" s="128"/>
      <c r="G33" s="126"/>
      <c r="H33" s="126"/>
      <c r="I33" s="126"/>
    </row>
    <row r="34" spans="5:9" ht="15" customHeight="1" x14ac:dyDescent="0.3">
      <c r="E34" s="126"/>
      <c r="F34" s="127"/>
      <c r="G34" s="126"/>
      <c r="H34" s="126"/>
      <c r="I34" s="126"/>
    </row>
    <row r="35" spans="5:9" ht="15" customHeight="1" x14ac:dyDescent="0.3">
      <c r="E35" s="126"/>
      <c r="F35" s="126"/>
      <c r="G35" s="126"/>
      <c r="H35" s="126"/>
      <c r="I35" s="126"/>
    </row>
    <row r="36" spans="5:9" ht="15" customHeight="1" x14ac:dyDescent="0.3">
      <c r="E36" s="126"/>
      <c r="F36" s="126"/>
      <c r="G36" s="126"/>
      <c r="H36" s="126"/>
      <c r="I36" s="126"/>
    </row>
    <row r="37" spans="5:9" x14ac:dyDescent="0.3">
      <c r="E37" s="126"/>
      <c r="F37" s="126"/>
      <c r="G37" s="126"/>
      <c r="H37" s="126"/>
      <c r="I37" s="126"/>
    </row>
    <row r="38" spans="5:9" x14ac:dyDescent="0.3">
      <c r="E38" s="126"/>
      <c r="F38" s="126"/>
      <c r="G38" s="126"/>
      <c r="H38" s="126"/>
      <c r="I38" s="126"/>
    </row>
    <row r="39" spans="5:9" x14ac:dyDescent="0.3">
      <c r="E39" s="126"/>
      <c r="F39" s="126"/>
      <c r="G39" s="126"/>
      <c r="H39" s="126"/>
      <c r="I39" s="126"/>
    </row>
    <row r="40" spans="5:9" x14ac:dyDescent="0.3">
      <c r="E40" s="126"/>
      <c r="F40" s="126"/>
      <c r="G40" s="126"/>
      <c r="H40" s="126"/>
      <c r="I40" s="126"/>
    </row>
  </sheetData>
  <mergeCells count="4">
    <mergeCell ref="A2:AE2"/>
    <mergeCell ref="I8:J8"/>
    <mergeCell ref="I7:L7"/>
    <mergeCell ref="I16:L16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C71A-CE3C-4EB7-829D-B3DAF5CACC9B}">
  <sheetPr codeName="Planilha20">
    <tabColor rgb="FF7030A0"/>
  </sheetPr>
  <dimension ref="A1:AE27"/>
  <sheetViews>
    <sheetView showGridLines="0" zoomScale="70" zoomScaleNormal="70" workbookViewId="0">
      <selection activeCell="T28" sqref="T28"/>
    </sheetView>
  </sheetViews>
  <sheetFormatPr defaultRowHeight="14.4" x14ac:dyDescent="0.3"/>
  <cols>
    <col min="6" max="6" width="13.33203125" bestFit="1" customWidth="1"/>
    <col min="7" max="8" width="9.109375"/>
    <col min="9" max="9" width="39.77734375" customWidth="1"/>
    <col min="10" max="10" width="8.8867187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6" spans="1:31" ht="14.4" customHeight="1" thickBot="1" x14ac:dyDescent="0.35"/>
    <row r="7" spans="1:31" ht="14.4" customHeight="1" x14ac:dyDescent="0.3">
      <c r="E7" s="494" t="s">
        <v>374</v>
      </c>
      <c r="F7" s="495"/>
      <c r="G7" s="495"/>
      <c r="H7" s="495"/>
      <c r="I7" s="495"/>
      <c r="J7" s="496"/>
      <c r="K7" s="235"/>
      <c r="L7" s="132"/>
    </row>
    <row r="8" spans="1:31" ht="14.4" customHeight="1" x14ac:dyDescent="0.3">
      <c r="E8" s="497"/>
      <c r="F8" s="528"/>
      <c r="G8" s="528"/>
      <c r="H8" s="528"/>
      <c r="I8" s="528"/>
      <c r="J8" s="499"/>
      <c r="K8" s="235"/>
      <c r="L8" s="132"/>
    </row>
    <row r="9" spans="1:31" ht="14.4" customHeight="1" x14ac:dyDescent="0.55000000000000004">
      <c r="E9" s="113" t="s">
        <v>13</v>
      </c>
      <c r="F9" s="112" t="s">
        <v>13</v>
      </c>
      <c r="G9" s="112" t="s">
        <v>13</v>
      </c>
      <c r="H9" s="112" t="s">
        <v>13</v>
      </c>
      <c r="I9" s="112" t="s">
        <v>13</v>
      </c>
      <c r="J9" s="32" t="s">
        <v>13</v>
      </c>
      <c r="K9" s="232" t="s">
        <v>13</v>
      </c>
      <c r="L9" s="132"/>
    </row>
    <row r="10" spans="1:31" ht="14.4" customHeight="1" x14ac:dyDescent="0.55000000000000004">
      <c r="E10" s="113" t="s">
        <v>13</v>
      </c>
      <c r="F10" s="236" t="s">
        <v>367</v>
      </c>
      <c r="G10" s="237" t="s">
        <v>13</v>
      </c>
      <c r="H10" s="112" t="s">
        <v>13</v>
      </c>
      <c r="I10" s="234" t="s">
        <v>13</v>
      </c>
      <c r="J10" s="23"/>
      <c r="K10" s="232" t="s">
        <v>13</v>
      </c>
      <c r="L10" s="132"/>
    </row>
    <row r="11" spans="1:31" ht="14.4" customHeight="1" x14ac:dyDescent="0.55000000000000004">
      <c r="E11" s="113" t="s">
        <v>13</v>
      </c>
      <c r="F11" s="238" t="s">
        <v>13</v>
      </c>
      <c r="G11" s="112" t="s">
        <v>13</v>
      </c>
      <c r="H11" s="112" t="s">
        <v>13</v>
      </c>
      <c r="I11" s="112" t="s">
        <v>13</v>
      </c>
      <c r="J11" s="32" t="s">
        <v>13</v>
      </c>
      <c r="K11" s="232" t="s">
        <v>13</v>
      </c>
      <c r="L11" s="132"/>
    </row>
    <row r="12" spans="1:31" ht="14.4" customHeight="1" x14ac:dyDescent="0.55000000000000004">
      <c r="E12" s="113" t="s">
        <v>13</v>
      </c>
      <c r="F12" s="236" t="s">
        <v>368</v>
      </c>
      <c r="G12" s="237" t="s">
        <v>13</v>
      </c>
      <c r="H12" s="112" t="s">
        <v>13</v>
      </c>
      <c r="I12" s="234" t="s">
        <v>13</v>
      </c>
      <c r="J12" s="32" t="s">
        <v>13</v>
      </c>
      <c r="K12" s="232" t="s">
        <v>13</v>
      </c>
      <c r="L12" s="1"/>
    </row>
    <row r="13" spans="1:31" ht="14.4" customHeight="1" x14ac:dyDescent="0.55000000000000004">
      <c r="E13" s="113" t="s">
        <v>13</v>
      </c>
      <c r="F13" s="238" t="s">
        <v>13</v>
      </c>
      <c r="G13" s="112" t="s">
        <v>13</v>
      </c>
      <c r="H13" s="112" t="s">
        <v>13</v>
      </c>
      <c r="I13" s="112" t="s">
        <v>13</v>
      </c>
      <c r="J13" s="32" t="s">
        <v>13</v>
      </c>
      <c r="K13" s="232" t="s">
        <v>13</v>
      </c>
      <c r="L13" s="1"/>
    </row>
    <row r="14" spans="1:31" ht="14.4" customHeight="1" x14ac:dyDescent="0.55000000000000004">
      <c r="E14" s="113" t="s">
        <v>13</v>
      </c>
      <c r="F14" s="236" t="s">
        <v>369</v>
      </c>
      <c r="G14" s="239"/>
      <c r="H14" s="112" t="s">
        <v>13</v>
      </c>
      <c r="I14" s="234" t="s">
        <v>13</v>
      </c>
      <c r="J14" s="32" t="s">
        <v>13</v>
      </c>
      <c r="K14" s="232" t="s">
        <v>13</v>
      </c>
      <c r="L14" s="1"/>
    </row>
    <row r="15" spans="1:31" ht="14.4" customHeight="1" x14ac:dyDescent="0.55000000000000004">
      <c r="E15" s="113" t="s">
        <v>13</v>
      </c>
      <c r="F15" s="238" t="s">
        <v>13</v>
      </c>
      <c r="G15" s="112" t="s">
        <v>13</v>
      </c>
      <c r="H15" s="112" t="s">
        <v>13</v>
      </c>
      <c r="I15" s="112" t="s">
        <v>13</v>
      </c>
      <c r="J15" s="32" t="s">
        <v>13</v>
      </c>
      <c r="K15" s="232" t="s">
        <v>13</v>
      </c>
      <c r="L15" s="1"/>
    </row>
    <row r="16" spans="1:31" ht="14.4" customHeight="1" x14ac:dyDescent="0.55000000000000004">
      <c r="E16" s="113" t="s">
        <v>13</v>
      </c>
      <c r="F16" s="236" t="s">
        <v>370</v>
      </c>
      <c r="G16" s="237" t="s">
        <v>13</v>
      </c>
      <c r="H16" s="112" t="s">
        <v>13</v>
      </c>
      <c r="I16" s="234" t="s">
        <v>13</v>
      </c>
      <c r="J16" s="32" t="s">
        <v>13</v>
      </c>
      <c r="K16" s="232" t="s">
        <v>13</v>
      </c>
      <c r="L16" s="231"/>
    </row>
    <row r="17" spans="5:12" ht="14.4" customHeight="1" x14ac:dyDescent="0.55000000000000004">
      <c r="E17" s="113" t="s">
        <v>13</v>
      </c>
      <c r="F17" s="238" t="s">
        <v>13</v>
      </c>
      <c r="G17" s="112" t="s">
        <v>13</v>
      </c>
      <c r="H17" s="112" t="s">
        <v>13</v>
      </c>
      <c r="I17" s="112" t="s">
        <v>13</v>
      </c>
      <c r="J17" s="32" t="s">
        <v>13</v>
      </c>
      <c r="K17" s="232" t="s">
        <v>13</v>
      </c>
      <c r="L17" s="231"/>
    </row>
    <row r="18" spans="5:12" ht="14.4" customHeight="1" x14ac:dyDescent="0.55000000000000004">
      <c r="E18" s="113" t="s">
        <v>13</v>
      </c>
      <c r="F18" s="236" t="s">
        <v>371</v>
      </c>
      <c r="G18" s="237" t="s">
        <v>13</v>
      </c>
      <c r="H18" s="112" t="s">
        <v>13</v>
      </c>
      <c r="I18" s="234" t="s">
        <v>13</v>
      </c>
      <c r="J18" s="32" t="s">
        <v>13</v>
      </c>
      <c r="K18" s="232" t="s">
        <v>13</v>
      </c>
      <c r="L18" s="232"/>
    </row>
    <row r="19" spans="5:12" ht="14.4" customHeight="1" x14ac:dyDescent="0.55000000000000004">
      <c r="E19" s="113" t="s">
        <v>13</v>
      </c>
      <c r="F19" s="238" t="s">
        <v>13</v>
      </c>
      <c r="G19" s="112" t="s">
        <v>13</v>
      </c>
      <c r="H19" s="112" t="s">
        <v>13</v>
      </c>
      <c r="I19" s="112" t="s">
        <v>13</v>
      </c>
      <c r="J19" s="32" t="s">
        <v>13</v>
      </c>
      <c r="K19" s="232" t="s">
        <v>13</v>
      </c>
      <c r="L19" s="232"/>
    </row>
    <row r="20" spans="5:12" ht="14.4" customHeight="1" x14ac:dyDescent="0.55000000000000004">
      <c r="E20" s="113" t="s">
        <v>13</v>
      </c>
      <c r="F20" s="236" t="s">
        <v>372</v>
      </c>
      <c r="G20" s="239"/>
      <c r="H20" s="112" t="s">
        <v>13</v>
      </c>
      <c r="I20" s="234" t="s">
        <v>13</v>
      </c>
      <c r="J20" s="32" t="s">
        <v>13</v>
      </c>
      <c r="K20" s="232" t="s">
        <v>13</v>
      </c>
      <c r="L20" s="232"/>
    </row>
    <row r="21" spans="5:12" ht="14.4" customHeight="1" x14ac:dyDescent="0.55000000000000004">
      <c r="E21" s="113" t="s">
        <v>13</v>
      </c>
      <c r="F21" s="238" t="s">
        <v>13</v>
      </c>
      <c r="G21" s="237" t="s">
        <v>13</v>
      </c>
      <c r="H21" s="112" t="s">
        <v>13</v>
      </c>
      <c r="I21" s="112" t="s">
        <v>13</v>
      </c>
      <c r="J21" s="32" t="s">
        <v>13</v>
      </c>
      <c r="K21" s="232" t="s">
        <v>13</v>
      </c>
      <c r="L21" s="232"/>
    </row>
    <row r="22" spans="5:12" ht="14.4" customHeight="1" x14ac:dyDescent="0.55000000000000004">
      <c r="E22" s="146"/>
      <c r="F22" s="236" t="s">
        <v>373</v>
      </c>
      <c r="G22" s="239"/>
      <c r="H22" s="112" t="s">
        <v>13</v>
      </c>
      <c r="I22" s="234" t="s">
        <v>13</v>
      </c>
      <c r="J22" s="32" t="s">
        <v>13</v>
      </c>
      <c r="K22" s="232"/>
      <c r="L22" s="232"/>
    </row>
    <row r="23" spans="5:12" ht="14.4" customHeight="1" x14ac:dyDescent="0.55000000000000004">
      <c r="E23" s="146"/>
      <c r="F23" s="112"/>
      <c r="G23" s="237"/>
      <c r="H23" s="237"/>
      <c r="I23" s="112"/>
      <c r="J23" s="32"/>
      <c r="K23" s="232"/>
      <c r="L23" s="232"/>
    </row>
    <row r="24" spans="5:12" ht="14.4" customHeight="1" x14ac:dyDescent="0.3">
      <c r="E24" s="146"/>
      <c r="F24" s="233"/>
      <c r="G24" s="233"/>
      <c r="H24" s="233"/>
      <c r="I24" s="233"/>
      <c r="J24" s="23"/>
    </row>
    <row r="25" spans="5:12" ht="14.4" customHeight="1" x14ac:dyDescent="0.3">
      <c r="E25" s="146"/>
      <c r="F25" s="233"/>
      <c r="G25" s="233"/>
      <c r="H25" s="233"/>
      <c r="I25" s="233"/>
      <c r="J25" s="23"/>
    </row>
    <row r="26" spans="5:12" x14ac:dyDescent="0.3">
      <c r="E26" s="146"/>
      <c r="F26" s="233"/>
      <c r="G26" s="233"/>
      <c r="H26" s="233"/>
      <c r="I26" s="233"/>
      <c r="J26" s="23"/>
    </row>
    <row r="27" spans="5:12" ht="15" thickBot="1" x14ac:dyDescent="0.35">
      <c r="E27" s="240"/>
      <c r="F27" s="241"/>
      <c r="G27" s="241"/>
      <c r="H27" s="241"/>
      <c r="I27" s="241"/>
      <c r="J27" s="242"/>
    </row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4E7A-FB8B-4125-A9A9-9114866C163F}">
  <sheetPr codeName="Planilha21">
    <tabColor rgb="FF7030A0"/>
  </sheetPr>
  <dimension ref="A1:AE31"/>
  <sheetViews>
    <sheetView showGridLines="0" zoomScale="70" zoomScaleNormal="70" workbookViewId="0">
      <selection activeCell="F15" sqref="F15"/>
    </sheetView>
  </sheetViews>
  <sheetFormatPr defaultColWidth="9.109375" defaultRowHeight="14.4" x14ac:dyDescent="0.3"/>
  <cols>
    <col min="6" max="6" width="41.33203125" customWidth="1"/>
    <col min="8" max="8" width="30.44140625" customWidth="1"/>
    <col min="9" max="9" width="8.88671875" customWidth="1"/>
    <col min="10" max="10" width="3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4">
      <c r="E7" s="494" t="s">
        <v>381</v>
      </c>
      <c r="F7" s="495"/>
      <c r="G7" s="495"/>
      <c r="H7" s="495"/>
      <c r="I7" s="496"/>
      <c r="J7" s="243"/>
      <c r="K7" s="243"/>
      <c r="L7" s="244"/>
      <c r="M7" s="244"/>
    </row>
    <row r="8" spans="1:31" ht="14.4" customHeight="1" x14ac:dyDescent="0.4">
      <c r="E8" s="497"/>
      <c r="F8" s="528"/>
      <c r="G8" s="528"/>
      <c r="H8" s="528"/>
      <c r="I8" s="499"/>
      <c r="J8" s="243"/>
      <c r="K8" s="243"/>
      <c r="L8" s="244"/>
      <c r="M8" s="244"/>
    </row>
    <row r="9" spans="1:31" ht="14.4" customHeight="1" x14ac:dyDescent="0.55000000000000004">
      <c r="E9" s="100" t="s">
        <v>13</v>
      </c>
      <c r="F9" s="99" t="s">
        <v>13</v>
      </c>
      <c r="G9" s="99" t="s">
        <v>13</v>
      </c>
      <c r="H9" s="99" t="s">
        <v>13</v>
      </c>
      <c r="I9" s="101" t="s">
        <v>13</v>
      </c>
      <c r="J9" s="103" t="s">
        <v>13</v>
      </c>
      <c r="K9" s="103" t="s">
        <v>13</v>
      </c>
      <c r="L9" s="244"/>
      <c r="M9" s="244"/>
    </row>
    <row r="10" spans="1:31" ht="14.4" customHeight="1" x14ac:dyDescent="0.55000000000000004">
      <c r="E10" s="100" t="s">
        <v>13</v>
      </c>
      <c r="F10" s="265" t="s">
        <v>375</v>
      </c>
      <c r="G10" s="250" t="s">
        <v>13</v>
      </c>
      <c r="H10" s="248"/>
      <c r="I10" s="101" t="s">
        <v>13</v>
      </c>
      <c r="J10" s="245"/>
      <c r="K10" s="103" t="s">
        <v>13</v>
      </c>
      <c r="L10" s="244"/>
      <c r="M10" s="244"/>
    </row>
    <row r="11" spans="1:31" ht="14.4" customHeight="1" x14ac:dyDescent="0.55000000000000004">
      <c r="E11" s="100" t="s">
        <v>13</v>
      </c>
      <c r="F11" s="266" t="s">
        <v>13</v>
      </c>
      <c r="G11" s="99" t="s">
        <v>13</v>
      </c>
      <c r="H11" s="99" t="s">
        <v>13</v>
      </c>
      <c r="I11" s="101" t="s">
        <v>13</v>
      </c>
      <c r="J11" s="103" t="s">
        <v>13</v>
      </c>
      <c r="K11" s="103" t="s">
        <v>13</v>
      </c>
      <c r="L11" s="244"/>
      <c r="M11" s="244"/>
    </row>
    <row r="12" spans="1:31" ht="14.4" customHeight="1" x14ac:dyDescent="0.55000000000000004">
      <c r="E12" s="100" t="s">
        <v>13</v>
      </c>
      <c r="F12" s="265" t="s">
        <v>376</v>
      </c>
      <c r="G12" s="250" t="s">
        <v>13</v>
      </c>
      <c r="H12" s="248" t="s">
        <v>13</v>
      </c>
      <c r="I12" s="101" t="s">
        <v>13</v>
      </c>
      <c r="J12" s="245"/>
      <c r="K12" s="103" t="s">
        <v>13</v>
      </c>
      <c r="L12" s="245"/>
      <c r="M12" s="245"/>
    </row>
    <row r="13" spans="1:31" ht="14.4" customHeight="1" x14ac:dyDescent="0.55000000000000004">
      <c r="E13" s="100" t="s">
        <v>13</v>
      </c>
      <c r="F13" s="266" t="s">
        <v>13</v>
      </c>
      <c r="G13" s="99" t="s">
        <v>13</v>
      </c>
      <c r="H13" s="99" t="s">
        <v>13</v>
      </c>
      <c r="I13" s="101" t="s">
        <v>13</v>
      </c>
      <c r="J13" s="103" t="s">
        <v>13</v>
      </c>
      <c r="K13" s="103" t="s">
        <v>13</v>
      </c>
      <c r="L13" s="245"/>
      <c r="M13" s="245"/>
    </row>
    <row r="14" spans="1:31" ht="14.4" customHeight="1" x14ac:dyDescent="0.55000000000000004">
      <c r="E14" s="100" t="s">
        <v>13</v>
      </c>
      <c r="F14" s="265" t="s">
        <v>298</v>
      </c>
      <c r="G14" s="105"/>
      <c r="H14" s="248" t="s">
        <v>13</v>
      </c>
      <c r="I14" s="101" t="s">
        <v>13</v>
      </c>
      <c r="J14" s="249"/>
      <c r="K14" s="103" t="s">
        <v>13</v>
      </c>
      <c r="L14" s="245"/>
      <c r="M14" s="245"/>
    </row>
    <row r="15" spans="1:31" ht="14.4" customHeight="1" x14ac:dyDescent="0.55000000000000004">
      <c r="E15" s="100" t="s">
        <v>13</v>
      </c>
      <c r="F15" s="266" t="s">
        <v>13</v>
      </c>
      <c r="G15" s="99" t="s">
        <v>13</v>
      </c>
      <c r="H15" s="99" t="s">
        <v>13</v>
      </c>
      <c r="I15" s="101" t="s">
        <v>13</v>
      </c>
      <c r="J15" s="103" t="s">
        <v>13</v>
      </c>
      <c r="K15" s="103" t="s">
        <v>13</v>
      </c>
      <c r="L15" s="245"/>
      <c r="M15" s="245"/>
    </row>
    <row r="16" spans="1:31" ht="14.4" customHeight="1" x14ac:dyDescent="0.55000000000000004">
      <c r="E16" s="100" t="s">
        <v>13</v>
      </c>
      <c r="F16" s="265" t="s">
        <v>285</v>
      </c>
      <c r="G16" s="250" t="s">
        <v>13</v>
      </c>
      <c r="H16" s="248" t="s">
        <v>13</v>
      </c>
      <c r="I16" s="101" t="s">
        <v>13</v>
      </c>
      <c r="J16" s="245"/>
      <c r="K16" s="103" t="s">
        <v>13</v>
      </c>
      <c r="L16" s="246"/>
      <c r="M16" s="245"/>
    </row>
    <row r="17" spans="5:13" ht="14.4" customHeight="1" x14ac:dyDescent="0.55000000000000004">
      <c r="E17" s="100" t="s">
        <v>13</v>
      </c>
      <c r="F17" s="266" t="s">
        <v>13</v>
      </c>
      <c r="G17" s="99" t="s">
        <v>13</v>
      </c>
      <c r="H17" s="99" t="s">
        <v>13</v>
      </c>
      <c r="I17" s="101" t="s">
        <v>13</v>
      </c>
      <c r="J17" s="103" t="s">
        <v>13</v>
      </c>
      <c r="K17" s="103" t="s">
        <v>13</v>
      </c>
      <c r="L17" s="246"/>
      <c r="M17" s="245"/>
    </row>
    <row r="18" spans="5:13" ht="14.4" customHeight="1" x14ac:dyDescent="0.55000000000000004">
      <c r="E18" s="100" t="s">
        <v>13</v>
      </c>
      <c r="F18" s="265" t="s">
        <v>286</v>
      </c>
      <c r="G18" s="250" t="s">
        <v>13</v>
      </c>
      <c r="H18" s="248" t="s">
        <v>13</v>
      </c>
      <c r="I18" s="101" t="s">
        <v>13</v>
      </c>
      <c r="J18" s="245"/>
      <c r="K18" s="103" t="s">
        <v>13</v>
      </c>
      <c r="L18" s="103"/>
      <c r="M18" s="247"/>
    </row>
    <row r="19" spans="5:13" ht="14.4" customHeight="1" x14ac:dyDescent="0.55000000000000004">
      <c r="E19" s="100" t="s">
        <v>13</v>
      </c>
      <c r="F19" s="266" t="s">
        <v>13</v>
      </c>
      <c r="G19" s="99" t="s">
        <v>13</v>
      </c>
      <c r="H19" s="99" t="s">
        <v>13</v>
      </c>
      <c r="I19" s="101" t="s">
        <v>13</v>
      </c>
      <c r="J19" s="103" t="s">
        <v>13</v>
      </c>
      <c r="K19" s="103" t="s">
        <v>13</v>
      </c>
      <c r="L19" s="103"/>
      <c r="M19" s="247"/>
    </row>
    <row r="20" spans="5:13" ht="14.4" customHeight="1" x14ac:dyDescent="0.55000000000000004">
      <c r="E20" s="100" t="s">
        <v>13</v>
      </c>
      <c r="F20" s="265" t="s">
        <v>377</v>
      </c>
      <c r="G20" s="105"/>
      <c r="H20" s="248" t="s">
        <v>13</v>
      </c>
      <c r="I20" s="101" t="s">
        <v>13</v>
      </c>
      <c r="J20" s="245"/>
      <c r="K20" s="103" t="s">
        <v>13</v>
      </c>
      <c r="L20" s="103"/>
      <c r="M20" s="247"/>
    </row>
    <row r="21" spans="5:13" ht="14.4" customHeight="1" x14ac:dyDescent="0.55000000000000004">
      <c r="E21" s="100" t="s">
        <v>13</v>
      </c>
      <c r="F21" s="266" t="s">
        <v>13</v>
      </c>
      <c r="G21" s="250" t="s">
        <v>13</v>
      </c>
      <c r="H21" s="99" t="s">
        <v>13</v>
      </c>
      <c r="I21" s="101" t="s">
        <v>13</v>
      </c>
      <c r="J21" s="103" t="s">
        <v>13</v>
      </c>
      <c r="K21" s="103" t="s">
        <v>13</v>
      </c>
      <c r="L21" s="103"/>
      <c r="M21" s="247"/>
    </row>
    <row r="22" spans="5:13" ht="14.4" customHeight="1" x14ac:dyDescent="0.55000000000000004">
      <c r="E22" s="251"/>
      <c r="F22" s="265" t="s">
        <v>378</v>
      </c>
      <c r="G22" s="105"/>
      <c r="H22" s="248" t="s">
        <v>13</v>
      </c>
      <c r="I22" s="101" t="s">
        <v>13</v>
      </c>
      <c r="J22" s="245"/>
      <c r="K22" s="103"/>
      <c r="L22" s="103"/>
      <c r="M22" s="247"/>
    </row>
    <row r="23" spans="5:13" ht="14.4" customHeight="1" x14ac:dyDescent="0.55000000000000004">
      <c r="E23" s="251"/>
      <c r="F23" s="266"/>
      <c r="G23" s="250"/>
      <c r="H23" s="250"/>
      <c r="I23" s="101"/>
      <c r="J23" s="103"/>
      <c r="K23" s="103"/>
      <c r="L23" s="103"/>
      <c r="M23" s="247"/>
    </row>
    <row r="24" spans="5:13" ht="14.4" customHeight="1" x14ac:dyDescent="0.55000000000000004">
      <c r="E24" s="251"/>
      <c r="F24" s="265" t="s">
        <v>379</v>
      </c>
      <c r="G24" s="105"/>
      <c r="H24" s="248" t="s">
        <v>13</v>
      </c>
      <c r="I24" s="101" t="s">
        <v>13</v>
      </c>
      <c r="J24" s="245"/>
      <c r="K24" s="103"/>
      <c r="L24" s="103"/>
      <c r="M24" s="247"/>
    </row>
    <row r="25" spans="5:13" ht="14.4" customHeight="1" x14ac:dyDescent="0.55000000000000004">
      <c r="E25" s="251"/>
      <c r="F25" s="266"/>
      <c r="G25" s="99"/>
      <c r="H25" s="99"/>
      <c r="I25" s="101"/>
      <c r="J25" s="103"/>
      <c r="K25" s="103"/>
      <c r="L25" s="103"/>
      <c r="M25" s="247"/>
    </row>
    <row r="26" spans="5:13" ht="14.4" customHeight="1" x14ac:dyDescent="0.3">
      <c r="E26" s="251"/>
      <c r="F26" s="265" t="s">
        <v>380</v>
      </c>
      <c r="G26" s="105"/>
      <c r="H26" s="248" t="s">
        <v>13</v>
      </c>
      <c r="I26" s="101" t="s">
        <v>13</v>
      </c>
      <c r="J26" s="245"/>
      <c r="K26" s="247"/>
      <c r="L26" s="247"/>
      <c r="M26" s="247"/>
    </row>
    <row r="27" spans="5:13" ht="14.4" customHeight="1" x14ac:dyDescent="0.3">
      <c r="E27" s="251"/>
      <c r="F27" s="141"/>
      <c r="G27" s="141"/>
      <c r="H27" s="141"/>
      <c r="I27" s="142"/>
      <c r="J27" s="247"/>
      <c r="K27" s="247"/>
      <c r="L27" s="247"/>
      <c r="M27" s="247"/>
    </row>
    <row r="28" spans="5:13" ht="14.4" customHeight="1" x14ac:dyDescent="0.3">
      <c r="E28" s="251"/>
      <c r="F28" s="141"/>
      <c r="G28" s="141"/>
      <c r="H28" s="141"/>
      <c r="I28" s="142"/>
    </row>
    <row r="29" spans="5:13" ht="14.4" customHeight="1" x14ac:dyDescent="0.3">
      <c r="E29" s="251"/>
      <c r="F29" s="141"/>
      <c r="G29" s="141"/>
      <c r="H29" s="141"/>
      <c r="I29" s="142"/>
    </row>
    <row r="30" spans="5:13" ht="14.4" customHeight="1" thickBot="1" x14ac:dyDescent="0.35">
      <c r="E30" s="252"/>
      <c r="F30" s="144"/>
      <c r="G30" s="144"/>
      <c r="H30" s="144"/>
      <c r="I30" s="145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3BF4-EA17-4C6B-A97B-2B517A8D602F}">
  <sheetPr codeName="Planilha22">
    <tabColor rgb="FF7030A0"/>
  </sheetPr>
  <dimension ref="A1:AE31"/>
  <sheetViews>
    <sheetView showGridLines="0" zoomScale="70" zoomScaleNormal="70" workbookViewId="0">
      <selection activeCell="H28" sqref="H28"/>
    </sheetView>
  </sheetViews>
  <sheetFormatPr defaultColWidth="9.109375" defaultRowHeight="14.4" x14ac:dyDescent="0.3"/>
  <cols>
    <col min="6" max="6" width="28.5546875" bestFit="1" customWidth="1"/>
    <col min="8" max="8" width="24.21875" customWidth="1"/>
    <col min="9" max="10" width="9.109375" customWidth="1"/>
    <col min="11" max="11" width="27.44140625" bestFit="1" customWidth="1"/>
    <col min="12" max="12" width="14.5546875" bestFit="1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3">
      <c r="E7" s="494" t="s">
        <v>382</v>
      </c>
      <c r="F7" s="495"/>
      <c r="G7" s="495"/>
      <c r="H7" s="495"/>
      <c r="I7" s="496"/>
      <c r="J7" s="256"/>
      <c r="K7" s="267" t="s">
        <v>384</v>
      </c>
      <c r="L7" s="267" t="s">
        <v>286</v>
      </c>
      <c r="M7" s="244"/>
    </row>
    <row r="8" spans="1:31" ht="14.4" customHeight="1" x14ac:dyDescent="0.3">
      <c r="E8" s="497"/>
      <c r="F8" s="528"/>
      <c r="G8" s="528"/>
      <c r="H8" s="528"/>
      <c r="I8" s="499"/>
      <c r="J8" s="256"/>
      <c r="K8" s="269" t="s">
        <v>231</v>
      </c>
      <c r="L8" s="270">
        <v>130</v>
      </c>
      <c r="M8" s="244"/>
    </row>
    <row r="9" spans="1:31" ht="14.4" customHeight="1" x14ac:dyDescent="0.3">
      <c r="E9" s="259" t="s">
        <v>13</v>
      </c>
      <c r="F9" s="260" t="s">
        <v>13</v>
      </c>
      <c r="G9" s="260" t="s">
        <v>13</v>
      </c>
      <c r="H9" s="260" t="s">
        <v>13</v>
      </c>
      <c r="I9" s="261" t="s">
        <v>13</v>
      </c>
      <c r="J9" s="257" t="s">
        <v>13</v>
      </c>
      <c r="K9" s="269" t="s">
        <v>386</v>
      </c>
      <c r="L9" s="270">
        <v>130</v>
      </c>
      <c r="M9" s="244"/>
    </row>
    <row r="10" spans="1:31" ht="14.4" customHeight="1" x14ac:dyDescent="0.3">
      <c r="E10" s="259" t="s">
        <v>13</v>
      </c>
      <c r="F10" s="260" t="s">
        <v>385</v>
      </c>
      <c r="G10" s="260" t="s">
        <v>13</v>
      </c>
      <c r="H10" s="258" t="s">
        <v>13</v>
      </c>
      <c r="I10" s="261" t="s">
        <v>13</v>
      </c>
      <c r="J10" s="1"/>
      <c r="K10" s="269" t="s">
        <v>234</v>
      </c>
      <c r="L10" s="270">
        <v>130</v>
      </c>
      <c r="M10" s="244"/>
    </row>
    <row r="11" spans="1:31" ht="14.4" customHeight="1" x14ac:dyDescent="0.3">
      <c r="E11" s="259" t="s">
        <v>13</v>
      </c>
      <c r="F11" s="260" t="s">
        <v>13</v>
      </c>
      <c r="G11" s="260" t="s">
        <v>13</v>
      </c>
      <c r="H11" s="260" t="s">
        <v>13</v>
      </c>
      <c r="I11" s="261" t="s">
        <v>13</v>
      </c>
      <c r="J11" s="257" t="s">
        <v>13</v>
      </c>
      <c r="K11" s="269" t="s">
        <v>387</v>
      </c>
      <c r="L11" s="270">
        <v>130</v>
      </c>
      <c r="M11" s="244"/>
    </row>
    <row r="12" spans="1:31" ht="14.4" customHeight="1" x14ac:dyDescent="0.3">
      <c r="E12" s="259" t="s">
        <v>13</v>
      </c>
      <c r="F12" s="260" t="s">
        <v>285</v>
      </c>
      <c r="G12" s="260" t="s">
        <v>13</v>
      </c>
      <c r="H12" s="258" t="s">
        <v>13</v>
      </c>
      <c r="I12" s="261" t="s">
        <v>13</v>
      </c>
      <c r="J12" s="1"/>
      <c r="K12" s="257" t="s">
        <v>13</v>
      </c>
      <c r="L12" s="245"/>
      <c r="M12" s="245"/>
    </row>
    <row r="13" spans="1:31" ht="14.4" customHeight="1" x14ac:dyDescent="0.3">
      <c r="E13" s="259" t="s">
        <v>13</v>
      </c>
      <c r="F13" s="260" t="s">
        <v>13</v>
      </c>
      <c r="G13" s="260" t="s">
        <v>13</v>
      </c>
      <c r="H13" s="260" t="s">
        <v>13</v>
      </c>
      <c r="I13" s="261" t="s">
        <v>13</v>
      </c>
      <c r="J13" s="257" t="s">
        <v>13</v>
      </c>
      <c r="K13" s="257" t="s">
        <v>13</v>
      </c>
      <c r="L13" s="245"/>
      <c r="M13" s="245"/>
    </row>
    <row r="14" spans="1:31" ht="14.4" customHeight="1" x14ac:dyDescent="0.3">
      <c r="E14" s="259" t="s">
        <v>13</v>
      </c>
      <c r="F14" s="260" t="s">
        <v>384</v>
      </c>
      <c r="G14" s="260"/>
      <c r="H14" s="258" t="s">
        <v>13</v>
      </c>
      <c r="I14" s="261" t="s">
        <v>13</v>
      </c>
      <c r="J14" s="1"/>
      <c r="K14" s="257" t="s">
        <v>13</v>
      </c>
      <c r="L14" s="245"/>
      <c r="M14" s="245"/>
    </row>
    <row r="15" spans="1:31" ht="14.4" customHeight="1" x14ac:dyDescent="0.3">
      <c r="E15" s="259" t="s">
        <v>13</v>
      </c>
      <c r="F15" s="260" t="s">
        <v>13</v>
      </c>
      <c r="G15" s="260" t="s">
        <v>13</v>
      </c>
      <c r="H15" s="260" t="s">
        <v>13</v>
      </c>
      <c r="I15" s="261" t="s">
        <v>13</v>
      </c>
      <c r="J15" s="257" t="s">
        <v>13</v>
      </c>
      <c r="K15" s="257" t="s">
        <v>13</v>
      </c>
      <c r="L15" s="245"/>
      <c r="M15" s="245"/>
    </row>
    <row r="16" spans="1:31" ht="14.4" customHeight="1" x14ac:dyDescent="0.3">
      <c r="E16" s="259" t="s">
        <v>13</v>
      </c>
      <c r="F16" s="260" t="s">
        <v>383</v>
      </c>
      <c r="G16" s="260" t="s">
        <v>13</v>
      </c>
      <c r="H16" s="258" t="s">
        <v>13</v>
      </c>
      <c r="I16" s="261" t="s">
        <v>13</v>
      </c>
      <c r="J16" s="1"/>
      <c r="K16" s="257" t="s">
        <v>13</v>
      </c>
      <c r="L16" s="246"/>
      <c r="M16" s="245"/>
    </row>
    <row r="17" spans="5:13" ht="14.4" customHeight="1" x14ac:dyDescent="0.3">
      <c r="E17" s="259" t="s">
        <v>13</v>
      </c>
      <c r="F17" s="260" t="s">
        <v>13</v>
      </c>
      <c r="G17" s="260" t="s">
        <v>13</v>
      </c>
      <c r="H17" s="260" t="s">
        <v>13</v>
      </c>
      <c r="I17" s="261" t="s">
        <v>13</v>
      </c>
      <c r="J17" s="257" t="s">
        <v>13</v>
      </c>
      <c r="K17" s="257" t="s">
        <v>13</v>
      </c>
      <c r="L17" s="246"/>
      <c r="M17" s="245"/>
    </row>
    <row r="18" spans="5:13" ht="14.4" customHeight="1" x14ac:dyDescent="0.55000000000000004">
      <c r="E18" s="259" t="s">
        <v>13</v>
      </c>
      <c r="F18" s="260" t="s">
        <v>13</v>
      </c>
      <c r="G18" s="260" t="s">
        <v>13</v>
      </c>
      <c r="H18" s="260" t="s">
        <v>13</v>
      </c>
      <c r="I18" s="261" t="s">
        <v>13</v>
      </c>
      <c r="J18" s="257" t="s">
        <v>13</v>
      </c>
      <c r="K18" s="257" t="s">
        <v>13</v>
      </c>
      <c r="L18" s="103"/>
      <c r="M18" s="247"/>
    </row>
    <row r="19" spans="5:13" ht="14.4" customHeight="1" x14ac:dyDescent="0.55000000000000004">
      <c r="E19" s="259" t="s">
        <v>13</v>
      </c>
      <c r="F19" s="260" t="s">
        <v>13</v>
      </c>
      <c r="G19" s="260" t="s">
        <v>13</v>
      </c>
      <c r="H19" s="260" t="s">
        <v>13</v>
      </c>
      <c r="I19" s="261" t="s">
        <v>13</v>
      </c>
      <c r="J19" s="257" t="s">
        <v>13</v>
      </c>
      <c r="K19" s="257" t="s">
        <v>13</v>
      </c>
      <c r="L19" s="103"/>
      <c r="M19" s="247"/>
    </row>
    <row r="20" spans="5:13" ht="14.4" customHeight="1" x14ac:dyDescent="0.55000000000000004">
      <c r="E20" s="259" t="s">
        <v>13</v>
      </c>
      <c r="F20" s="260" t="s">
        <v>13</v>
      </c>
      <c r="G20" s="260" t="s">
        <v>13</v>
      </c>
      <c r="H20" s="260" t="s">
        <v>13</v>
      </c>
      <c r="I20" s="261" t="s">
        <v>13</v>
      </c>
      <c r="J20" s="257" t="s">
        <v>13</v>
      </c>
      <c r="K20" s="257" t="s">
        <v>13</v>
      </c>
      <c r="L20" s="103"/>
      <c r="M20" s="247"/>
    </row>
    <row r="21" spans="5:13" ht="14.4" customHeight="1" x14ac:dyDescent="0.55000000000000004">
      <c r="E21" s="259" t="s">
        <v>13</v>
      </c>
      <c r="F21" s="260" t="s">
        <v>13</v>
      </c>
      <c r="G21" s="260" t="s">
        <v>13</v>
      </c>
      <c r="H21" s="260" t="s">
        <v>13</v>
      </c>
      <c r="I21" s="261" t="s">
        <v>13</v>
      </c>
      <c r="J21" s="103" t="s">
        <v>13</v>
      </c>
      <c r="K21" s="103" t="s">
        <v>13</v>
      </c>
      <c r="L21" s="103"/>
      <c r="M21" s="247"/>
    </row>
    <row r="22" spans="5:13" ht="14.4" customHeight="1" thickBot="1" x14ac:dyDescent="0.6">
      <c r="E22" s="262" t="s">
        <v>13</v>
      </c>
      <c r="F22" s="263" t="s">
        <v>13</v>
      </c>
      <c r="G22" s="263" t="s">
        <v>13</v>
      </c>
      <c r="H22" s="263" t="s">
        <v>13</v>
      </c>
      <c r="I22" s="264" t="s">
        <v>13</v>
      </c>
      <c r="J22" s="245"/>
      <c r="K22" s="103"/>
      <c r="L22" s="103"/>
      <c r="M22" s="247"/>
    </row>
    <row r="23" spans="5:13" ht="14.4" customHeight="1" x14ac:dyDescent="0.55000000000000004">
      <c r="E23" s="255"/>
      <c r="F23" s="253"/>
      <c r="G23" s="254"/>
      <c r="H23" s="254"/>
      <c r="I23" s="253"/>
      <c r="J23" s="103"/>
      <c r="K23" s="103"/>
      <c r="L23" s="103"/>
      <c r="M23" s="247"/>
    </row>
    <row r="24" spans="5:13" ht="14.4" customHeight="1" x14ac:dyDescent="0.55000000000000004">
      <c r="E24" s="255"/>
      <c r="F24" s="109"/>
      <c r="G24" s="109"/>
      <c r="H24" s="253"/>
      <c r="I24" s="253"/>
      <c r="J24" s="245"/>
      <c r="K24" s="103"/>
      <c r="L24" s="103"/>
      <c r="M24" s="247"/>
    </row>
    <row r="25" spans="5:13" ht="14.4" customHeight="1" x14ac:dyDescent="0.55000000000000004">
      <c r="E25" s="255"/>
      <c r="F25" s="253"/>
      <c r="G25" s="253"/>
      <c r="H25" s="253"/>
      <c r="I25" s="253"/>
      <c r="J25" s="103"/>
      <c r="K25" s="103"/>
      <c r="L25" s="103"/>
      <c r="M25" s="247"/>
    </row>
    <row r="26" spans="5:13" ht="14.4" customHeight="1" x14ac:dyDescent="0.3">
      <c r="E26" s="255"/>
      <c r="F26" s="109"/>
      <c r="G26" s="109"/>
      <c r="H26" s="253"/>
      <c r="I26" s="253"/>
      <c r="J26" s="245"/>
      <c r="K26" s="247"/>
      <c r="L26" s="247"/>
      <c r="M26" s="247"/>
    </row>
    <row r="27" spans="5:13" ht="14.4" customHeight="1" x14ac:dyDescent="0.3">
      <c r="E27" s="255"/>
      <c r="F27" s="247"/>
      <c r="G27" s="247"/>
      <c r="H27" s="247"/>
      <c r="I27" s="247"/>
      <c r="J27" s="247"/>
      <c r="K27" s="247"/>
      <c r="L27" s="247"/>
      <c r="M27" s="247"/>
    </row>
    <row r="28" spans="5:13" ht="14.4" customHeight="1" x14ac:dyDescent="0.3">
      <c r="E28" s="255"/>
      <c r="F28" s="247"/>
      <c r="G28" s="247"/>
      <c r="H28" s="247"/>
      <c r="I28" s="247"/>
    </row>
    <row r="29" spans="5:13" ht="14.4" customHeight="1" x14ac:dyDescent="0.3">
      <c r="E29" s="255"/>
      <c r="F29" s="247"/>
      <c r="G29" s="247"/>
      <c r="H29" s="247"/>
      <c r="I29" s="247"/>
    </row>
    <row r="30" spans="5:13" ht="14.4" customHeight="1" x14ac:dyDescent="0.3">
      <c r="E30" s="255"/>
      <c r="F30" s="247"/>
      <c r="G30" s="247"/>
      <c r="H30" s="247"/>
      <c r="I30" s="247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F519-E410-4819-BE8F-4C29F73E20E3}">
  <sheetPr codeName="Planilha19">
    <tabColor rgb="FFFF0000"/>
  </sheetPr>
  <dimension ref="A1:AE38"/>
  <sheetViews>
    <sheetView showGridLines="0" topLeftCell="A2" zoomScale="70" zoomScaleNormal="70" workbookViewId="0">
      <selection activeCell="R33" sqref="R33:S36"/>
    </sheetView>
  </sheetViews>
  <sheetFormatPr defaultRowHeight="14.4" x14ac:dyDescent="0.3"/>
  <cols>
    <col min="6" max="6" width="33.77734375" bestFit="1" customWidth="1"/>
    <col min="7" max="7" width="8.88671875" customWidth="1"/>
    <col min="9" max="9" width="41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514" t="s">
        <v>402</v>
      </c>
      <c r="F7" s="515"/>
      <c r="G7" s="515"/>
      <c r="H7" s="515"/>
      <c r="I7" s="515"/>
      <c r="J7" s="516"/>
    </row>
    <row r="8" spans="1:31" s="276" customFormat="1" ht="14.4" customHeight="1" x14ac:dyDescent="0.3">
      <c r="E8" s="517"/>
      <c r="F8" s="518"/>
      <c r="G8" s="518"/>
      <c r="H8" s="518"/>
      <c r="I8" s="518"/>
      <c r="J8" s="519"/>
    </row>
    <row r="9" spans="1:31" ht="14.4" customHeight="1" x14ac:dyDescent="0.3">
      <c r="E9" s="301"/>
      <c r="F9" s="290"/>
      <c r="G9" s="290"/>
      <c r="H9" s="290"/>
      <c r="I9" s="290"/>
      <c r="J9" s="302"/>
    </row>
    <row r="10" spans="1:31" ht="14.4" customHeight="1" x14ac:dyDescent="0.3">
      <c r="E10" s="303"/>
      <c r="F10" s="289" t="s">
        <v>388</v>
      </c>
      <c r="G10" s="291"/>
      <c r="H10" s="291"/>
      <c r="I10" s="292"/>
      <c r="J10" s="304"/>
    </row>
    <row r="11" spans="1:31" ht="14.4" customHeight="1" x14ac:dyDescent="0.3">
      <c r="E11" s="303"/>
      <c r="F11" s="291"/>
      <c r="G11" s="291"/>
      <c r="H11" s="291"/>
      <c r="I11" s="293"/>
      <c r="J11" s="304"/>
    </row>
    <row r="12" spans="1:31" ht="14.4" customHeight="1" x14ac:dyDescent="0.3">
      <c r="E12" s="305"/>
      <c r="F12" s="294" t="s">
        <v>390</v>
      </c>
      <c r="G12" s="294"/>
      <c r="H12" s="295"/>
      <c r="I12" s="296"/>
      <c r="J12" s="306"/>
    </row>
    <row r="13" spans="1:31" ht="14.4" customHeight="1" x14ac:dyDescent="0.3">
      <c r="E13" s="305"/>
      <c r="F13" s="294"/>
      <c r="G13" s="294"/>
      <c r="H13" s="295"/>
      <c r="I13" s="295"/>
      <c r="J13" s="306"/>
    </row>
    <row r="14" spans="1:31" ht="14.4" customHeight="1" x14ac:dyDescent="0.3">
      <c r="E14" s="305"/>
      <c r="F14" s="294" t="s">
        <v>375</v>
      </c>
      <c r="G14" s="294"/>
      <c r="H14" s="295"/>
      <c r="I14" s="297"/>
      <c r="J14" s="306"/>
    </row>
    <row r="15" spans="1:31" ht="14.4" customHeight="1" x14ac:dyDescent="0.3">
      <c r="E15" s="305"/>
      <c r="F15" s="295"/>
      <c r="G15" s="295"/>
      <c r="H15" s="295"/>
      <c r="I15" s="295"/>
      <c r="J15" s="306"/>
    </row>
    <row r="16" spans="1:31" ht="14.4" customHeight="1" x14ac:dyDescent="0.3">
      <c r="E16" s="305"/>
      <c r="F16" s="294" t="s">
        <v>38</v>
      </c>
      <c r="G16" s="295"/>
      <c r="H16" s="295"/>
      <c r="I16" s="298"/>
      <c r="J16" s="306"/>
    </row>
    <row r="17" spans="5:10" ht="14.4" customHeight="1" x14ac:dyDescent="0.3">
      <c r="E17" s="305"/>
      <c r="F17" s="295"/>
      <c r="G17" s="295"/>
      <c r="H17" s="295"/>
      <c r="I17" s="295"/>
      <c r="J17" s="306"/>
    </row>
    <row r="18" spans="5:10" ht="14.4" customHeight="1" x14ac:dyDescent="0.3">
      <c r="E18" s="305"/>
      <c r="F18" s="294" t="s">
        <v>37</v>
      </c>
      <c r="G18" s="295"/>
      <c r="H18" s="295"/>
      <c r="I18" s="296"/>
      <c r="J18" s="306"/>
    </row>
    <row r="19" spans="5:10" ht="14.4" customHeight="1" x14ac:dyDescent="0.3">
      <c r="E19" s="305"/>
      <c r="F19" s="295"/>
      <c r="G19" s="295"/>
      <c r="H19" s="295"/>
      <c r="I19" s="295"/>
      <c r="J19" s="306"/>
    </row>
    <row r="20" spans="5:10" ht="14.4" customHeight="1" x14ac:dyDescent="0.3">
      <c r="E20" s="305"/>
      <c r="F20" s="294" t="s">
        <v>395</v>
      </c>
      <c r="G20" s="295"/>
      <c r="H20" s="295"/>
      <c r="I20" s="296"/>
      <c r="J20" s="306"/>
    </row>
    <row r="21" spans="5:10" ht="14.4" customHeight="1" x14ac:dyDescent="0.3">
      <c r="E21" s="305"/>
      <c r="F21" s="295"/>
      <c r="G21" s="295"/>
      <c r="H21" s="299"/>
      <c r="I21" s="299"/>
      <c r="J21" s="307"/>
    </row>
    <row r="22" spans="5:10" ht="14.4" customHeight="1" x14ac:dyDescent="0.3">
      <c r="E22" s="305"/>
      <c r="F22" s="294" t="s">
        <v>397</v>
      </c>
      <c r="G22" s="295"/>
      <c r="H22" s="299"/>
      <c r="I22" s="300"/>
      <c r="J22" s="307"/>
    </row>
    <row r="23" spans="5:10" ht="14.4" customHeight="1" x14ac:dyDescent="0.3">
      <c r="E23" s="303"/>
      <c r="F23" s="291"/>
      <c r="G23" s="291"/>
      <c r="H23" s="291"/>
      <c r="I23" s="293"/>
      <c r="J23" s="304"/>
    </row>
    <row r="24" spans="5:10" ht="14.4" customHeight="1" x14ac:dyDescent="0.3">
      <c r="E24" s="305"/>
      <c r="F24" s="294" t="s">
        <v>399</v>
      </c>
      <c r="G24" s="295"/>
      <c r="H24" s="299"/>
      <c r="I24" s="300"/>
      <c r="J24" s="307"/>
    </row>
    <row r="25" spans="5:10" ht="14.4" customHeight="1" x14ac:dyDescent="0.3">
      <c r="E25" s="305"/>
      <c r="F25" s="295"/>
      <c r="G25" s="295"/>
      <c r="H25" s="299"/>
      <c r="I25" s="299"/>
      <c r="J25" s="307"/>
    </row>
    <row r="26" spans="5:10" ht="14.4" customHeight="1" x14ac:dyDescent="0.3">
      <c r="E26" s="305"/>
      <c r="F26" s="294" t="s">
        <v>401</v>
      </c>
      <c r="G26" s="295"/>
      <c r="H26" s="299"/>
      <c r="I26" s="312"/>
      <c r="J26" s="307"/>
    </row>
    <row r="27" spans="5:10" ht="14.4" customHeight="1" x14ac:dyDescent="0.3">
      <c r="E27" s="305"/>
      <c r="F27" s="295"/>
      <c r="G27" s="295"/>
      <c r="H27" s="299"/>
      <c r="I27" s="299"/>
      <c r="J27" s="307"/>
    </row>
    <row r="28" spans="5:10" ht="14.4" customHeight="1" x14ac:dyDescent="0.3">
      <c r="E28" s="305"/>
      <c r="F28" s="295"/>
      <c r="G28" s="295"/>
      <c r="H28" s="299"/>
      <c r="I28" s="299"/>
      <c r="J28" s="307"/>
    </row>
    <row r="29" spans="5:10" ht="14.4" customHeight="1" x14ac:dyDescent="0.3">
      <c r="E29" s="305"/>
      <c r="F29" s="295"/>
      <c r="G29" s="295"/>
      <c r="H29" s="299"/>
      <c r="I29" s="299"/>
      <c r="J29" s="307"/>
    </row>
    <row r="30" spans="5:10" ht="14.4" customHeight="1" x14ac:dyDescent="0.3">
      <c r="E30" s="305"/>
      <c r="F30" s="295"/>
      <c r="G30" s="295"/>
      <c r="H30" s="299"/>
      <c r="I30" s="299"/>
      <c r="J30" s="307"/>
    </row>
    <row r="31" spans="5:10" ht="14.4" customHeight="1" thickBot="1" x14ac:dyDescent="0.35">
      <c r="E31" s="308"/>
      <c r="F31" s="309"/>
      <c r="G31" s="309"/>
      <c r="H31" s="310"/>
      <c r="I31" s="310"/>
      <c r="J31" s="311"/>
    </row>
    <row r="32" spans="5:10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CA9A-CFF6-4DA6-B23B-2BC2AFAE32E6}">
  <sheetPr codeName="Planilha25">
    <tabColor rgb="FFFF0000"/>
  </sheetPr>
  <dimension ref="A1:AE39"/>
  <sheetViews>
    <sheetView showGridLines="0" zoomScale="70" zoomScaleNormal="70" workbookViewId="0">
      <selection activeCell="O33" sqref="O33"/>
    </sheetView>
  </sheetViews>
  <sheetFormatPr defaultRowHeight="14.4" x14ac:dyDescent="0.3"/>
  <cols>
    <col min="1" max="5" width="8.88671875" style="319"/>
    <col min="6" max="6" width="33.77734375" style="319" bestFit="1" customWidth="1"/>
    <col min="7" max="7" width="8.88671875" style="319" customWidth="1"/>
    <col min="8" max="8" width="8.88671875" style="319"/>
    <col min="9" max="9" width="41.109375" style="319" bestFit="1" customWidth="1"/>
    <col min="10" max="16384" width="8.88671875" style="319"/>
  </cols>
  <sheetData>
    <row r="1" spans="1:31" ht="61.5" customHeight="1" x14ac:dyDescent="0.3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529" t="s">
        <v>402</v>
      </c>
      <c r="F7" s="530"/>
      <c r="G7" s="530"/>
      <c r="H7" s="530"/>
      <c r="I7" s="530"/>
      <c r="J7" s="531"/>
    </row>
    <row r="8" spans="1:31" s="330" customFormat="1" ht="14.4" customHeight="1" x14ac:dyDescent="0.3">
      <c r="E8" s="532"/>
      <c r="F8" s="533"/>
      <c r="G8" s="533"/>
      <c r="H8" s="533"/>
      <c r="I8" s="533"/>
      <c r="J8" s="534"/>
    </row>
    <row r="9" spans="1:31" ht="14.4" customHeight="1" x14ac:dyDescent="0.3">
      <c r="E9" s="333"/>
      <c r="F9" s="279"/>
      <c r="G9" s="279"/>
      <c r="H9" s="280"/>
      <c r="I9" s="280"/>
      <c r="J9" s="334"/>
    </row>
    <row r="10" spans="1:31" ht="14.4" customHeight="1" x14ac:dyDescent="0.3">
      <c r="E10" s="335"/>
      <c r="F10" s="281" t="s">
        <v>388</v>
      </c>
      <c r="G10" s="282"/>
      <c r="H10" s="282"/>
      <c r="I10" s="332" t="s">
        <v>389</v>
      </c>
      <c r="J10" s="336"/>
    </row>
    <row r="11" spans="1:31" ht="14.4" customHeight="1" x14ac:dyDescent="0.3">
      <c r="E11" s="335"/>
      <c r="F11" s="282"/>
      <c r="G11" s="282"/>
      <c r="H11" s="282"/>
      <c r="I11" s="278"/>
      <c r="J11" s="336"/>
    </row>
    <row r="12" spans="1:31" ht="14.4" customHeight="1" x14ac:dyDescent="0.3">
      <c r="E12" s="333"/>
      <c r="F12" s="279" t="s">
        <v>390</v>
      </c>
      <c r="G12" s="279"/>
      <c r="H12" s="280"/>
      <c r="I12" s="284" t="s">
        <v>391</v>
      </c>
      <c r="J12" s="334"/>
    </row>
    <row r="13" spans="1:31" ht="14.4" customHeight="1" x14ac:dyDescent="0.3">
      <c r="E13" s="333"/>
      <c r="F13" s="279"/>
      <c r="G13" s="279"/>
      <c r="H13" s="280"/>
      <c r="I13" s="280"/>
      <c r="J13" s="334"/>
    </row>
    <row r="14" spans="1:31" ht="14.4" customHeight="1" x14ac:dyDescent="0.3">
      <c r="E14" s="333"/>
      <c r="F14" s="279" t="s">
        <v>375</v>
      </c>
      <c r="G14" s="279"/>
      <c r="H14" s="280"/>
      <c r="I14" s="285" t="s">
        <v>392</v>
      </c>
      <c r="J14" s="334"/>
    </row>
    <row r="15" spans="1:31" ht="14.4" customHeight="1" x14ac:dyDescent="0.3">
      <c r="E15" s="333"/>
      <c r="F15" s="280"/>
      <c r="G15" s="280"/>
      <c r="H15" s="280"/>
      <c r="I15" s="280"/>
      <c r="J15" s="334"/>
    </row>
    <row r="16" spans="1:31" ht="14.4" customHeight="1" x14ac:dyDescent="0.3">
      <c r="E16" s="333"/>
      <c r="F16" s="279" t="s">
        <v>38</v>
      </c>
      <c r="G16" s="280"/>
      <c r="H16" s="280"/>
      <c r="I16" s="286" t="s">
        <v>393</v>
      </c>
      <c r="J16" s="334"/>
    </row>
    <row r="17" spans="5:10" ht="14.4" customHeight="1" x14ac:dyDescent="0.3">
      <c r="E17" s="333"/>
      <c r="F17" s="280"/>
      <c r="G17" s="280"/>
      <c r="H17" s="280"/>
      <c r="I17" s="280"/>
      <c r="J17" s="334"/>
    </row>
    <row r="18" spans="5:10" ht="14.4" customHeight="1" x14ac:dyDescent="0.3">
      <c r="E18" s="333"/>
      <c r="F18" s="279" t="s">
        <v>37</v>
      </c>
      <c r="G18" s="280"/>
      <c r="H18" s="280"/>
      <c r="I18" s="284" t="s">
        <v>394</v>
      </c>
      <c r="J18" s="334"/>
    </row>
    <row r="19" spans="5:10" ht="14.4" customHeight="1" x14ac:dyDescent="0.3">
      <c r="E19" s="333"/>
      <c r="F19" s="280"/>
      <c r="G19" s="280"/>
      <c r="H19" s="280"/>
      <c r="I19" s="280"/>
      <c r="J19" s="334"/>
    </row>
    <row r="20" spans="5:10" ht="14.4" customHeight="1" x14ac:dyDescent="0.3">
      <c r="E20" s="333"/>
      <c r="F20" s="279" t="s">
        <v>395</v>
      </c>
      <c r="G20" s="280"/>
      <c r="H20" s="280"/>
      <c r="I20" s="284" t="s">
        <v>396</v>
      </c>
      <c r="J20" s="334"/>
    </row>
    <row r="21" spans="5:10" ht="14.4" customHeight="1" x14ac:dyDescent="0.3">
      <c r="E21" s="333"/>
      <c r="F21" s="280"/>
      <c r="G21" s="280"/>
      <c r="H21" s="283"/>
      <c r="I21" s="283"/>
      <c r="J21" s="337"/>
    </row>
    <row r="22" spans="5:10" ht="14.4" customHeight="1" x14ac:dyDescent="0.3">
      <c r="E22" s="333"/>
      <c r="F22" s="279" t="s">
        <v>397</v>
      </c>
      <c r="G22" s="280"/>
      <c r="H22" s="283"/>
      <c r="I22" s="287" t="s">
        <v>398</v>
      </c>
      <c r="J22" s="337"/>
    </row>
    <row r="23" spans="5:10" ht="14.4" customHeight="1" x14ac:dyDescent="0.3">
      <c r="E23" s="335"/>
      <c r="F23" s="282"/>
      <c r="G23" s="282"/>
      <c r="H23" s="282"/>
      <c r="I23" s="278"/>
      <c r="J23" s="336"/>
    </row>
    <row r="24" spans="5:10" ht="14.4" customHeight="1" x14ac:dyDescent="0.3">
      <c r="E24" s="333"/>
      <c r="F24" s="279" t="s">
        <v>399</v>
      </c>
      <c r="G24" s="280"/>
      <c r="H24" s="283"/>
      <c r="I24" s="287" t="s">
        <v>400</v>
      </c>
      <c r="J24" s="337"/>
    </row>
    <row r="25" spans="5:10" ht="14.4" customHeight="1" x14ac:dyDescent="0.3">
      <c r="E25" s="333"/>
      <c r="F25" s="280"/>
      <c r="G25" s="280"/>
      <c r="H25" s="283"/>
      <c r="I25" s="283"/>
      <c r="J25" s="337"/>
    </row>
    <row r="26" spans="5:10" ht="14.4" customHeight="1" x14ac:dyDescent="0.3">
      <c r="E26" s="333"/>
      <c r="F26" s="279" t="s">
        <v>401</v>
      </c>
      <c r="G26" s="280"/>
      <c r="H26" s="283"/>
      <c r="I26" s="288">
        <v>4.5</v>
      </c>
      <c r="J26" s="337"/>
    </row>
    <row r="27" spans="5:10" ht="14.4" customHeight="1" thickBot="1" x14ac:dyDescent="0.35">
      <c r="E27" s="338"/>
      <c r="F27" s="339"/>
      <c r="G27" s="339"/>
      <c r="H27" s="340"/>
      <c r="I27" s="340"/>
      <c r="J27" s="341"/>
    </row>
    <row r="28" spans="5:10" ht="14.4" customHeight="1" x14ac:dyDescent="0.3">
      <c r="E28" s="316"/>
      <c r="F28" s="316"/>
      <c r="G28" s="316"/>
      <c r="H28" s="317"/>
      <c r="I28" s="317"/>
      <c r="J28" s="317"/>
    </row>
    <row r="29" spans="5:10" ht="14.4" customHeight="1" x14ac:dyDescent="0.3">
      <c r="E29" s="316"/>
      <c r="F29" s="316"/>
      <c r="G29" s="316"/>
      <c r="H29" s="317"/>
      <c r="I29" s="317"/>
      <c r="J29" s="317"/>
    </row>
    <row r="30" spans="5:10" ht="14.4" customHeight="1" x14ac:dyDescent="0.3">
      <c r="E30" s="316"/>
      <c r="F30" s="316"/>
      <c r="G30" s="316"/>
      <c r="H30" s="317"/>
      <c r="I30" s="317"/>
      <c r="J30" s="317"/>
    </row>
    <row r="31" spans="5:10" ht="14.4" customHeight="1" x14ac:dyDescent="0.3">
      <c r="E31" s="316"/>
      <c r="F31" s="316"/>
      <c r="G31" s="316"/>
      <c r="H31" s="317"/>
      <c r="I31" s="317"/>
      <c r="J31" s="317"/>
    </row>
    <row r="32" spans="5:10" ht="14.4" customHeight="1" x14ac:dyDescent="0.3">
      <c r="E32" s="316"/>
      <c r="F32" s="316"/>
      <c r="G32" s="316"/>
      <c r="H32" s="317"/>
      <c r="I32" s="317"/>
      <c r="J32" s="317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4EE17-9B84-4FD7-92B8-355A1DBEAE58}">
  <sheetPr codeName="Planilha24">
    <tabColor rgb="FFFF0000"/>
  </sheetPr>
  <dimension ref="A1:AE39"/>
  <sheetViews>
    <sheetView showGridLines="0" zoomScale="70" zoomScaleNormal="70" workbookViewId="0">
      <selection activeCell="O22" sqref="O22"/>
    </sheetView>
  </sheetViews>
  <sheetFormatPr defaultRowHeight="14.4" x14ac:dyDescent="0.3"/>
  <cols>
    <col min="1" max="5" width="8.88671875" style="276"/>
    <col min="6" max="6" width="33.77734375" style="276" bestFit="1" customWidth="1"/>
    <col min="7" max="7" width="8.88671875" style="276" customWidth="1"/>
    <col min="8" max="8" width="32" style="276" customWidth="1"/>
    <col min="9" max="9" width="8.88671875" style="276" customWidth="1"/>
    <col min="10" max="16384" width="8.88671875" style="276"/>
  </cols>
  <sheetData>
    <row r="1" spans="1:31" ht="61.5" customHeight="1" x14ac:dyDescent="0.3">
      <c r="A1" s="277"/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  <c r="AB1" s="277"/>
      <c r="AC1" s="277"/>
      <c r="AD1" s="277"/>
      <c r="AE1" s="277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5" spans="1:31" ht="14.4" customHeight="1" x14ac:dyDescent="0.3"/>
    <row r="6" spans="1:31" ht="14.4" customHeight="1" thickBot="1" x14ac:dyDescent="0.35"/>
    <row r="7" spans="1:31" ht="14.4" customHeight="1" x14ac:dyDescent="0.4">
      <c r="E7" s="535" t="s">
        <v>403</v>
      </c>
      <c r="F7" s="536"/>
      <c r="G7" s="536"/>
      <c r="H7" s="536"/>
      <c r="I7" s="537"/>
      <c r="J7" s="323"/>
      <c r="K7" s="323"/>
    </row>
    <row r="8" spans="1:31" s="319" customFormat="1" ht="14.4" customHeight="1" x14ac:dyDescent="0.4">
      <c r="E8" s="538"/>
      <c r="F8" s="505"/>
      <c r="G8" s="505"/>
      <c r="H8" s="505"/>
      <c r="I8" s="539"/>
      <c r="J8" s="323"/>
      <c r="K8" s="323"/>
    </row>
    <row r="9" spans="1:31" ht="14.4" customHeight="1" x14ac:dyDescent="0.3">
      <c r="E9" s="325"/>
      <c r="F9" s="278"/>
      <c r="G9" s="278"/>
      <c r="H9" s="278"/>
      <c r="I9" s="326"/>
      <c r="J9" s="324"/>
      <c r="K9" s="324"/>
    </row>
    <row r="10" spans="1:31" ht="14.4" customHeight="1" x14ac:dyDescent="0.3">
      <c r="E10" s="325"/>
      <c r="F10" s="281" t="s">
        <v>404</v>
      </c>
      <c r="G10" s="278"/>
      <c r="H10" s="321"/>
      <c r="I10" s="326"/>
      <c r="J10" s="245"/>
      <c r="K10" s="324"/>
    </row>
    <row r="11" spans="1:31" ht="14.4" customHeight="1" x14ac:dyDescent="0.3">
      <c r="E11" s="325"/>
      <c r="F11" s="281"/>
      <c r="G11" s="278"/>
      <c r="H11" s="278"/>
      <c r="I11" s="326"/>
      <c r="J11" s="324"/>
      <c r="K11" s="324"/>
    </row>
    <row r="12" spans="1:31" ht="14.4" customHeight="1" x14ac:dyDescent="0.3">
      <c r="E12" s="325"/>
      <c r="F12" s="281" t="s">
        <v>405</v>
      </c>
      <c r="G12" s="278"/>
      <c r="H12" s="321"/>
      <c r="I12" s="326"/>
      <c r="J12" s="245"/>
      <c r="K12" s="324"/>
    </row>
    <row r="13" spans="1:31" ht="14.4" customHeight="1" x14ac:dyDescent="0.3">
      <c r="E13" s="325"/>
      <c r="F13" s="281"/>
      <c r="G13" s="278"/>
      <c r="H13" s="278"/>
      <c r="I13" s="326"/>
      <c r="J13" s="324"/>
      <c r="K13" s="324"/>
    </row>
    <row r="14" spans="1:31" ht="14.4" customHeight="1" x14ac:dyDescent="0.3">
      <c r="E14" s="325"/>
      <c r="F14" s="281" t="s">
        <v>406</v>
      </c>
      <c r="G14" s="278"/>
      <c r="H14" s="321"/>
      <c r="I14" s="326"/>
      <c r="J14" s="245"/>
      <c r="K14" s="324"/>
    </row>
    <row r="15" spans="1:31" ht="14.4" customHeight="1" x14ac:dyDescent="0.3">
      <c r="E15" s="325"/>
      <c r="F15" s="281"/>
      <c r="G15" s="278"/>
      <c r="H15" s="278"/>
      <c r="I15" s="326"/>
      <c r="J15" s="324"/>
      <c r="K15" s="324"/>
    </row>
    <row r="16" spans="1:31" ht="14.4" customHeight="1" x14ac:dyDescent="0.3">
      <c r="E16" s="325"/>
      <c r="F16" s="281" t="s">
        <v>407</v>
      </c>
      <c r="G16" s="278"/>
      <c r="H16" s="322"/>
      <c r="I16" s="326"/>
      <c r="J16" s="245"/>
      <c r="K16" s="324"/>
    </row>
    <row r="17" spans="5:11" ht="14.4" customHeight="1" x14ac:dyDescent="0.3">
      <c r="E17" s="325"/>
      <c r="F17" s="278"/>
      <c r="G17" s="278"/>
      <c r="H17" s="278"/>
      <c r="I17" s="326"/>
      <c r="J17" s="324"/>
      <c r="K17" s="324"/>
    </row>
    <row r="18" spans="5:11" ht="14.4" customHeight="1" x14ac:dyDescent="0.3">
      <c r="E18" s="325"/>
      <c r="F18" s="281" t="s">
        <v>408</v>
      </c>
      <c r="G18" s="278"/>
      <c r="H18" s="322"/>
      <c r="I18" s="326"/>
      <c r="J18" s="245"/>
      <c r="K18" s="324"/>
    </row>
    <row r="19" spans="5:11" ht="14.4" customHeight="1" x14ac:dyDescent="0.3">
      <c r="E19" s="325"/>
      <c r="F19" s="278"/>
      <c r="G19" s="278"/>
      <c r="H19" s="278"/>
      <c r="I19" s="326"/>
      <c r="J19" s="324"/>
      <c r="K19" s="324"/>
    </row>
    <row r="20" spans="5:11" ht="14.4" customHeight="1" x14ac:dyDescent="0.3">
      <c r="E20" s="325"/>
      <c r="F20" s="278"/>
      <c r="G20" s="278"/>
      <c r="H20" s="278"/>
      <c r="I20" s="326"/>
      <c r="J20" s="316"/>
    </row>
    <row r="21" spans="5:11" ht="14.4" customHeight="1" x14ac:dyDescent="0.3">
      <c r="E21" s="325"/>
      <c r="F21" s="278"/>
      <c r="G21" s="278"/>
      <c r="H21" s="278"/>
      <c r="I21" s="326"/>
      <c r="J21" s="316"/>
    </row>
    <row r="22" spans="5:11" ht="14.4" customHeight="1" x14ac:dyDescent="0.3">
      <c r="E22" s="325"/>
      <c r="F22" s="278"/>
      <c r="G22" s="278"/>
      <c r="H22" s="278"/>
      <c r="I22" s="326"/>
      <c r="J22" s="317"/>
    </row>
    <row r="23" spans="5:11" ht="14.4" customHeight="1" thickBot="1" x14ac:dyDescent="0.35">
      <c r="E23" s="327"/>
      <c r="F23" s="328"/>
      <c r="G23" s="328"/>
      <c r="H23" s="328"/>
      <c r="I23" s="329"/>
      <c r="J23" s="317"/>
    </row>
    <row r="24" spans="5:11" ht="14.4" customHeight="1" x14ac:dyDescent="0.3">
      <c r="E24" s="313"/>
      <c r="F24" s="313"/>
      <c r="G24" s="313"/>
      <c r="H24" s="313"/>
      <c r="I24" s="314"/>
      <c r="J24" s="313"/>
    </row>
    <row r="25" spans="5:11" ht="14.4" customHeight="1" x14ac:dyDescent="0.3">
      <c r="E25" s="316"/>
      <c r="F25" s="315"/>
      <c r="G25" s="316"/>
      <c r="H25" s="317"/>
      <c r="I25" s="317"/>
      <c r="J25" s="317"/>
    </row>
    <row r="26" spans="5:11" ht="14.4" customHeight="1" x14ac:dyDescent="0.3">
      <c r="E26" s="316"/>
      <c r="F26" s="316"/>
      <c r="G26" s="316"/>
      <c r="H26" s="317"/>
      <c r="I26" s="317"/>
      <c r="J26" s="317"/>
    </row>
    <row r="27" spans="5:11" ht="14.4" customHeight="1" x14ac:dyDescent="0.3">
      <c r="E27" s="316"/>
      <c r="F27" s="315"/>
      <c r="G27" s="316"/>
      <c r="H27" s="317"/>
      <c r="I27" s="318"/>
      <c r="J27" s="317"/>
    </row>
    <row r="28" spans="5:11" ht="14.4" customHeight="1" x14ac:dyDescent="0.3">
      <c r="E28" s="316"/>
      <c r="F28" s="316"/>
      <c r="G28" s="316"/>
      <c r="H28" s="317"/>
      <c r="I28" s="317"/>
      <c r="J28" s="317"/>
    </row>
    <row r="29" spans="5:11" ht="14.4" customHeight="1" x14ac:dyDescent="0.3">
      <c r="E29" s="316"/>
      <c r="F29" s="316"/>
      <c r="G29" s="316"/>
      <c r="H29" s="317"/>
      <c r="I29" s="317"/>
      <c r="J29" s="317"/>
    </row>
    <row r="30" spans="5:11" ht="14.4" customHeight="1" x14ac:dyDescent="0.3">
      <c r="E30" s="316"/>
      <c r="F30" s="316"/>
      <c r="G30" s="316"/>
      <c r="H30" s="317"/>
      <c r="I30" s="317"/>
      <c r="J30" s="317"/>
    </row>
    <row r="31" spans="5:11" ht="14.4" customHeight="1" x14ac:dyDescent="0.3">
      <c r="E31" s="316"/>
      <c r="F31" s="316"/>
      <c r="G31" s="316"/>
      <c r="H31" s="317"/>
      <c r="I31" s="317"/>
      <c r="J31" s="317"/>
    </row>
    <row r="32" spans="5:11" ht="14.4" customHeight="1" x14ac:dyDescent="0.3">
      <c r="E32" s="316"/>
      <c r="F32" s="316"/>
      <c r="G32" s="316"/>
      <c r="H32" s="317"/>
      <c r="I32" s="317"/>
      <c r="J32" s="317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0CDE-D6C6-4343-9392-C855A4232612}">
  <sheetPr codeName="Planilha26">
    <tabColor rgb="FFFF0000"/>
  </sheetPr>
  <dimension ref="A1:AE40"/>
  <sheetViews>
    <sheetView showGridLines="0" zoomScale="70" zoomScaleNormal="70" workbookViewId="0">
      <selection activeCell="L27" sqref="L27"/>
    </sheetView>
  </sheetViews>
  <sheetFormatPr defaultRowHeight="14.4" x14ac:dyDescent="0.3"/>
  <cols>
    <col min="1" max="5" width="8.88671875" style="330"/>
    <col min="6" max="6" width="33.77734375" style="330" bestFit="1" customWidth="1"/>
    <col min="7" max="7" width="25.21875" style="330" customWidth="1"/>
    <col min="8" max="8" width="8.88671875" style="330"/>
    <col min="9" max="9" width="41.109375" style="330" bestFit="1" customWidth="1"/>
    <col min="10" max="16384" width="8.88671875" style="330"/>
  </cols>
  <sheetData>
    <row r="1" spans="1:31" ht="61.5" customHeight="1" x14ac:dyDescent="0.3">
      <c r="A1" s="331"/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1"/>
      <c r="Z1" s="331"/>
      <c r="AA1" s="331"/>
      <c r="AB1" s="331"/>
      <c r="AC1" s="331"/>
      <c r="AD1" s="331"/>
      <c r="AE1" s="331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345"/>
      <c r="F7" s="345"/>
      <c r="G7" s="345"/>
      <c r="H7" s="345"/>
      <c r="I7" s="345"/>
      <c r="J7" s="345"/>
    </row>
    <row r="8" spans="1:31" ht="14.4" customHeight="1" x14ac:dyDescent="0.3">
      <c r="E8" s="514" t="s">
        <v>411</v>
      </c>
      <c r="F8" s="515"/>
      <c r="G8" s="515"/>
      <c r="H8" s="516"/>
      <c r="I8" s="350"/>
      <c r="J8" s="350"/>
      <c r="K8" s="350"/>
      <c r="L8" s="350"/>
    </row>
    <row r="9" spans="1:31" s="348" customFormat="1" ht="14.4" customHeight="1" x14ac:dyDescent="0.3">
      <c r="E9" s="517"/>
      <c r="F9" s="518"/>
      <c r="G9" s="518"/>
      <c r="H9" s="519"/>
      <c r="I9" s="350"/>
      <c r="J9" s="350"/>
      <c r="K9" s="350"/>
      <c r="L9" s="350"/>
    </row>
    <row r="10" spans="1:31" ht="14.4" customHeight="1" x14ac:dyDescent="0.3">
      <c r="E10" s="371"/>
      <c r="F10" s="366"/>
      <c r="G10" s="366"/>
      <c r="H10" s="372"/>
      <c r="I10" s="351"/>
      <c r="J10" s="351"/>
      <c r="K10" s="351"/>
      <c r="L10" s="351"/>
    </row>
    <row r="11" spans="1:31" ht="14.4" customHeight="1" x14ac:dyDescent="0.3">
      <c r="E11" s="371"/>
      <c r="F11" s="368" t="s">
        <v>409</v>
      </c>
      <c r="G11" s="355"/>
      <c r="H11" s="372"/>
      <c r="I11" s="351"/>
      <c r="J11" s="352"/>
      <c r="K11" s="351"/>
      <c r="L11" s="351"/>
    </row>
    <row r="12" spans="1:31" ht="14.4" customHeight="1" x14ac:dyDescent="0.3">
      <c r="E12" s="371"/>
      <c r="F12" s="366"/>
      <c r="G12" s="366"/>
      <c r="H12" s="372"/>
      <c r="I12" s="351"/>
      <c r="J12" s="351"/>
      <c r="K12" s="351"/>
      <c r="L12" s="351"/>
    </row>
    <row r="13" spans="1:31" ht="14.4" customHeight="1" x14ac:dyDescent="0.3">
      <c r="E13" s="371"/>
      <c r="F13" s="368" t="s">
        <v>410</v>
      </c>
      <c r="G13" s="355"/>
      <c r="H13" s="372"/>
      <c r="I13" s="351"/>
      <c r="J13" s="352"/>
      <c r="K13" s="351"/>
      <c r="L13" s="351"/>
    </row>
    <row r="14" spans="1:31" ht="14.4" customHeight="1" x14ac:dyDescent="0.3">
      <c r="E14" s="371"/>
      <c r="F14" s="367"/>
      <c r="G14" s="367"/>
      <c r="H14" s="373"/>
      <c r="I14" s="353"/>
      <c r="J14" s="353"/>
      <c r="K14" s="353"/>
      <c r="L14" s="353"/>
    </row>
    <row r="15" spans="1:31" ht="14.4" customHeight="1" x14ac:dyDescent="0.3">
      <c r="E15" s="371"/>
      <c r="F15" s="368" t="s">
        <v>399</v>
      </c>
      <c r="G15" s="355"/>
      <c r="H15" s="373"/>
      <c r="I15" s="353"/>
      <c r="J15" s="352"/>
      <c r="K15" s="353"/>
      <c r="L15" s="353"/>
    </row>
    <row r="16" spans="1:31" ht="14.4" customHeight="1" x14ac:dyDescent="0.3">
      <c r="E16" s="371"/>
      <c r="F16" s="367"/>
      <c r="G16" s="367"/>
      <c r="H16" s="373"/>
      <c r="I16" s="353"/>
      <c r="J16" s="353"/>
      <c r="K16" s="353"/>
      <c r="L16" s="353"/>
    </row>
    <row r="17" spans="5:12" ht="14.4" customHeight="1" x14ac:dyDescent="0.3">
      <c r="E17" s="371"/>
      <c r="F17" s="368" t="s">
        <v>227</v>
      </c>
      <c r="G17" s="355"/>
      <c r="H17" s="373"/>
      <c r="I17" s="353"/>
      <c r="J17" s="352"/>
      <c r="K17" s="353"/>
      <c r="L17" s="353"/>
    </row>
    <row r="18" spans="5:12" ht="14.4" customHeight="1" x14ac:dyDescent="0.3">
      <c r="E18" s="371"/>
      <c r="F18" s="367"/>
      <c r="G18" s="367"/>
      <c r="H18" s="374"/>
      <c r="I18" s="354"/>
      <c r="J18" s="354"/>
      <c r="K18" s="354"/>
      <c r="L18" s="354"/>
    </row>
    <row r="19" spans="5:12" ht="14.4" customHeight="1" x14ac:dyDescent="0.3">
      <c r="E19" s="371"/>
      <c r="F19" s="367"/>
      <c r="G19" s="367"/>
      <c r="H19" s="374"/>
      <c r="I19" s="342"/>
      <c r="J19" s="342"/>
    </row>
    <row r="20" spans="5:12" ht="14.4" customHeight="1" x14ac:dyDescent="0.3">
      <c r="E20" s="371"/>
      <c r="F20" s="367"/>
      <c r="G20" s="367"/>
      <c r="H20" s="374"/>
      <c r="I20" s="342"/>
      <c r="J20" s="342"/>
    </row>
    <row r="21" spans="5:12" ht="14.4" customHeight="1" x14ac:dyDescent="0.3">
      <c r="E21" s="371"/>
      <c r="F21" s="367"/>
      <c r="G21" s="367"/>
      <c r="H21" s="374"/>
      <c r="I21" s="342"/>
      <c r="J21" s="342"/>
    </row>
    <row r="22" spans="5:12" ht="14.4" customHeight="1" thickBot="1" x14ac:dyDescent="0.35">
      <c r="E22" s="375"/>
      <c r="F22" s="376"/>
      <c r="G22" s="376"/>
      <c r="H22" s="377"/>
      <c r="I22" s="343"/>
      <c r="J22" s="343"/>
    </row>
    <row r="23" spans="5:12" ht="14.4" customHeight="1" x14ac:dyDescent="0.3">
      <c r="E23" s="342"/>
      <c r="F23" s="346"/>
      <c r="G23" s="342"/>
      <c r="H23" s="343"/>
      <c r="I23" s="343"/>
      <c r="J23" s="343"/>
    </row>
    <row r="24" spans="5:12" ht="14.4" customHeight="1" x14ac:dyDescent="0.3">
      <c r="E24" s="347"/>
      <c r="F24" s="347"/>
      <c r="G24" s="347"/>
      <c r="H24" s="347"/>
      <c r="I24" s="324"/>
      <c r="J24" s="347"/>
    </row>
    <row r="25" spans="5:12" ht="14.4" customHeight="1" x14ac:dyDescent="0.3">
      <c r="E25" s="342"/>
      <c r="F25" s="346"/>
      <c r="G25" s="342"/>
      <c r="H25" s="343"/>
      <c r="I25" s="343"/>
      <c r="J25" s="343"/>
    </row>
    <row r="26" spans="5:12" ht="14.4" customHeight="1" x14ac:dyDescent="0.3">
      <c r="E26" s="342"/>
      <c r="F26" s="342"/>
      <c r="G26" s="342"/>
      <c r="H26" s="343"/>
      <c r="I26" s="343"/>
      <c r="J26" s="343"/>
    </row>
    <row r="27" spans="5:12" ht="14.4" customHeight="1" x14ac:dyDescent="0.3">
      <c r="E27" s="342"/>
      <c r="F27" s="346"/>
      <c r="G27" s="342"/>
      <c r="H27" s="343"/>
      <c r="I27" s="344"/>
      <c r="J27" s="343"/>
    </row>
    <row r="28" spans="5:12" ht="14.4" customHeight="1" x14ac:dyDescent="0.3">
      <c r="E28" s="342"/>
      <c r="F28" s="342"/>
      <c r="G28" s="342"/>
      <c r="H28" s="343"/>
      <c r="I28" s="343"/>
      <c r="J28" s="343"/>
    </row>
    <row r="29" spans="5:12" ht="14.4" customHeight="1" x14ac:dyDescent="0.3">
      <c r="E29" s="316"/>
      <c r="F29" s="316"/>
      <c r="G29" s="316"/>
      <c r="H29" s="317"/>
      <c r="I29" s="317"/>
      <c r="J29" s="317"/>
    </row>
    <row r="30" spans="5:12" ht="14.4" customHeight="1" x14ac:dyDescent="0.3">
      <c r="E30" s="316"/>
      <c r="F30" s="316"/>
      <c r="G30" s="316"/>
      <c r="H30" s="317"/>
      <c r="I30" s="317"/>
      <c r="J30" s="317"/>
    </row>
    <row r="31" spans="5:12" ht="14.4" customHeight="1" x14ac:dyDescent="0.3">
      <c r="E31" s="316"/>
      <c r="F31" s="316"/>
      <c r="G31" s="316"/>
      <c r="H31" s="317"/>
      <c r="I31" s="317"/>
      <c r="J31" s="317"/>
    </row>
    <row r="32" spans="5:12" ht="14.4" customHeight="1" x14ac:dyDescent="0.3">
      <c r="E32" s="316"/>
      <c r="F32" s="316"/>
      <c r="G32" s="316"/>
      <c r="H32" s="317"/>
      <c r="I32" s="317"/>
      <c r="J32" s="317"/>
    </row>
    <row r="33" spans="5:10" ht="14.4" customHeight="1" x14ac:dyDescent="0.3">
      <c r="E33" s="316"/>
      <c r="F33" s="316"/>
      <c r="G33" s="316"/>
      <c r="H33" s="317"/>
      <c r="I33" s="317"/>
      <c r="J33" s="317"/>
    </row>
    <row r="34" spans="5:10" ht="14.4" customHeight="1" x14ac:dyDescent="0.3"/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E116-2DA3-4024-8836-2A9DF352A106}">
  <sheetPr codeName="Planilha27">
    <tabColor rgb="FFFF0000"/>
  </sheetPr>
  <dimension ref="A1:AE41"/>
  <sheetViews>
    <sheetView showGridLines="0" zoomScale="55" zoomScaleNormal="55" workbookViewId="0">
      <selection activeCell="F19" sqref="F19"/>
    </sheetView>
  </sheetViews>
  <sheetFormatPr defaultRowHeight="14.4" x14ac:dyDescent="0.3"/>
  <cols>
    <col min="1" max="5" width="8.88671875" style="348"/>
    <col min="6" max="6" width="33.77734375" style="348" bestFit="1" customWidth="1"/>
    <col min="7" max="7" width="22.77734375" style="348" customWidth="1"/>
    <col min="8" max="8" width="8.88671875" style="348"/>
    <col min="9" max="9" width="8.77734375" style="348" customWidth="1"/>
    <col min="10" max="16384" width="8.88671875" style="348"/>
  </cols>
  <sheetData>
    <row r="1" spans="1:31" ht="61.5" customHeight="1" x14ac:dyDescent="0.3">
      <c r="A1" s="349"/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349"/>
      <c r="AA1" s="349"/>
      <c r="AB1" s="349"/>
      <c r="AC1" s="349"/>
      <c r="AD1" s="349"/>
      <c r="AE1" s="349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345"/>
      <c r="F7" s="345"/>
      <c r="G7" s="345"/>
      <c r="H7" s="345"/>
      <c r="I7" s="345"/>
      <c r="J7" s="345"/>
    </row>
    <row r="8" spans="1:31" ht="14.4" customHeight="1" x14ac:dyDescent="0.3">
      <c r="E8" s="514" t="s">
        <v>416</v>
      </c>
      <c r="F8" s="515"/>
      <c r="G8" s="515"/>
      <c r="H8" s="516"/>
      <c r="I8" s="361"/>
      <c r="J8" s="361"/>
      <c r="K8" s="361"/>
      <c r="L8" s="361"/>
    </row>
    <row r="9" spans="1:31" s="356" customFormat="1" ht="14.4" customHeight="1" x14ac:dyDescent="0.3">
      <c r="E9" s="540"/>
      <c r="F9" s="541"/>
      <c r="G9" s="541"/>
      <c r="H9" s="542"/>
      <c r="I9" s="361"/>
      <c r="J9" s="361"/>
      <c r="K9" s="361"/>
      <c r="L9" s="361"/>
    </row>
    <row r="10" spans="1:31" ht="14.4" customHeight="1" x14ac:dyDescent="0.3">
      <c r="E10" s="378"/>
      <c r="F10" s="370"/>
      <c r="G10" s="370"/>
      <c r="H10" s="379"/>
      <c r="I10" s="393"/>
      <c r="J10" s="351"/>
      <c r="K10" s="351"/>
      <c r="L10" s="351"/>
    </row>
    <row r="11" spans="1:31" ht="14.4" customHeight="1" x14ac:dyDescent="0.3">
      <c r="E11" s="380"/>
      <c r="F11" s="368" t="s">
        <v>412</v>
      </c>
      <c r="G11" s="358"/>
      <c r="H11" s="336"/>
      <c r="I11" s="393"/>
      <c r="J11" s="351"/>
      <c r="K11" s="351"/>
      <c r="L11" s="351"/>
    </row>
    <row r="12" spans="1:31" ht="14.4" customHeight="1" x14ac:dyDescent="0.3">
      <c r="E12" s="380"/>
      <c r="F12" s="368"/>
      <c r="G12" s="368"/>
      <c r="H12" s="381"/>
      <c r="I12" s="393"/>
      <c r="J12" s="351"/>
      <c r="K12" s="351"/>
      <c r="L12" s="351"/>
    </row>
    <row r="13" spans="1:31" ht="14.4" customHeight="1" x14ac:dyDescent="0.3">
      <c r="E13" s="380"/>
      <c r="F13" s="368" t="s">
        <v>388</v>
      </c>
      <c r="G13" s="357"/>
      <c r="H13" s="336"/>
      <c r="I13" s="393"/>
      <c r="J13" s="351"/>
      <c r="K13" s="351"/>
      <c r="L13" s="351"/>
    </row>
    <row r="14" spans="1:31" ht="14.4" customHeight="1" x14ac:dyDescent="0.3">
      <c r="E14" s="380"/>
      <c r="F14" s="368"/>
      <c r="G14" s="368"/>
      <c r="H14" s="382"/>
      <c r="I14" s="394"/>
      <c r="J14" s="353"/>
      <c r="K14" s="353"/>
      <c r="L14" s="353"/>
    </row>
    <row r="15" spans="1:31" ht="14.4" customHeight="1" x14ac:dyDescent="0.3">
      <c r="E15" s="380"/>
      <c r="F15" s="368" t="s">
        <v>413</v>
      </c>
      <c r="G15" s="357"/>
      <c r="H15" s="336"/>
      <c r="I15" s="394"/>
      <c r="J15" s="353"/>
      <c r="K15" s="353"/>
      <c r="L15" s="353"/>
    </row>
    <row r="16" spans="1:31" ht="14.4" customHeight="1" x14ac:dyDescent="0.3">
      <c r="E16" s="380"/>
      <c r="F16" s="368"/>
      <c r="G16" s="368"/>
      <c r="H16" s="382"/>
      <c r="I16" s="394"/>
      <c r="J16" s="353"/>
      <c r="K16" s="353"/>
      <c r="L16" s="353"/>
    </row>
    <row r="17" spans="5:12" ht="14.4" customHeight="1" x14ac:dyDescent="0.3">
      <c r="E17" s="380"/>
      <c r="F17" s="368" t="s">
        <v>37</v>
      </c>
      <c r="G17" s="357"/>
      <c r="H17" s="336"/>
      <c r="I17" s="394"/>
      <c r="J17" s="353"/>
      <c r="K17" s="353"/>
      <c r="L17" s="353"/>
    </row>
    <row r="18" spans="5:12" ht="14.4" customHeight="1" x14ac:dyDescent="0.3">
      <c r="E18" s="380"/>
      <c r="F18" s="368"/>
      <c r="G18" s="368"/>
      <c r="H18" s="381"/>
      <c r="I18" s="393"/>
      <c r="J18" s="351"/>
      <c r="K18" s="351"/>
      <c r="L18" s="351"/>
    </row>
    <row r="19" spans="5:12" ht="14.4" customHeight="1" x14ac:dyDescent="0.3">
      <c r="E19" s="380"/>
      <c r="F19" s="368" t="s">
        <v>399</v>
      </c>
      <c r="G19" s="357"/>
      <c r="H19" s="336"/>
      <c r="I19" s="394"/>
      <c r="J19" s="353"/>
      <c r="K19" s="353"/>
      <c r="L19" s="353"/>
    </row>
    <row r="20" spans="5:12" ht="14.4" customHeight="1" x14ac:dyDescent="0.3">
      <c r="E20" s="383"/>
      <c r="F20" s="384"/>
      <c r="G20" s="384"/>
      <c r="H20" s="385"/>
      <c r="I20" s="395"/>
      <c r="J20" s="364"/>
      <c r="K20" s="364"/>
      <c r="L20" s="364"/>
    </row>
    <row r="21" spans="5:12" ht="14.4" customHeight="1" x14ac:dyDescent="0.3">
      <c r="E21" s="383"/>
      <c r="F21" s="368" t="s">
        <v>414</v>
      </c>
      <c r="G21" s="363"/>
      <c r="H21" s="336"/>
      <c r="I21" s="395"/>
      <c r="J21" s="364"/>
      <c r="K21" s="364"/>
      <c r="L21" s="364"/>
    </row>
    <row r="22" spans="5:12" ht="14.4" customHeight="1" x14ac:dyDescent="0.3">
      <c r="E22" s="380"/>
      <c r="F22" s="368"/>
      <c r="G22" s="368"/>
      <c r="H22" s="382"/>
      <c r="I22" s="394"/>
      <c r="J22" s="353"/>
      <c r="K22" s="353"/>
      <c r="L22" s="353"/>
    </row>
    <row r="23" spans="5:12" ht="14.4" customHeight="1" x14ac:dyDescent="0.3">
      <c r="E23" s="380"/>
      <c r="F23" s="368" t="s">
        <v>227</v>
      </c>
      <c r="G23" s="359"/>
      <c r="H23" s="336"/>
      <c r="I23" s="394"/>
      <c r="J23" s="353"/>
      <c r="K23" s="353"/>
      <c r="L23" s="353"/>
    </row>
    <row r="24" spans="5:12" ht="14.4" customHeight="1" x14ac:dyDescent="0.3">
      <c r="E24" s="380"/>
      <c r="F24" s="368"/>
      <c r="G24" s="368"/>
      <c r="H24" s="382"/>
      <c r="I24" s="394"/>
      <c r="J24" s="353"/>
      <c r="K24" s="353"/>
      <c r="L24" s="353"/>
    </row>
    <row r="25" spans="5:12" ht="14.4" customHeight="1" x14ac:dyDescent="0.3">
      <c r="E25" s="380"/>
      <c r="F25" s="368" t="s">
        <v>415</v>
      </c>
      <c r="G25" s="362"/>
      <c r="H25" s="336"/>
      <c r="I25" s="396"/>
      <c r="J25" s="354"/>
      <c r="K25" s="354"/>
      <c r="L25" s="354"/>
    </row>
    <row r="26" spans="5:12" ht="14.4" customHeight="1" x14ac:dyDescent="0.3">
      <c r="E26" s="392"/>
      <c r="F26" s="391"/>
      <c r="G26" s="369"/>
      <c r="H26" s="386"/>
      <c r="I26" s="396"/>
      <c r="J26" s="365"/>
      <c r="K26" s="365"/>
      <c r="L26" s="365"/>
    </row>
    <row r="27" spans="5:12" ht="14.4" customHeight="1" x14ac:dyDescent="0.3">
      <c r="E27" s="392"/>
      <c r="F27" s="391"/>
      <c r="G27" s="369"/>
      <c r="H27" s="386"/>
      <c r="I27" s="396"/>
      <c r="J27" s="343"/>
    </row>
    <row r="28" spans="5:12" ht="14.4" customHeight="1" x14ac:dyDescent="0.3">
      <c r="E28" s="392"/>
      <c r="F28" s="391"/>
      <c r="G28" s="369"/>
      <c r="H28" s="386"/>
      <c r="I28" s="396"/>
      <c r="J28" s="343"/>
    </row>
    <row r="29" spans="5:12" ht="14.4" customHeight="1" x14ac:dyDescent="0.3">
      <c r="E29" s="392"/>
      <c r="F29" s="391"/>
      <c r="G29" s="369"/>
      <c r="H29" s="386"/>
      <c r="I29" s="396"/>
      <c r="J29" s="343"/>
    </row>
    <row r="30" spans="5:12" ht="14.4" customHeight="1" x14ac:dyDescent="0.3">
      <c r="E30" s="392"/>
      <c r="F30" s="391"/>
      <c r="G30" s="369"/>
      <c r="H30" s="386"/>
      <c r="I30" s="396"/>
      <c r="J30" s="317"/>
    </row>
    <row r="31" spans="5:12" ht="14.4" customHeight="1" thickBot="1" x14ac:dyDescent="0.35">
      <c r="E31" s="387"/>
      <c r="F31" s="388"/>
      <c r="G31" s="389"/>
      <c r="H31" s="390"/>
      <c r="I31" s="396"/>
      <c r="J31" s="317"/>
    </row>
    <row r="32" spans="5:12" ht="14.4" customHeight="1" x14ac:dyDescent="0.3">
      <c r="E32" s="316"/>
      <c r="F32" s="316"/>
      <c r="G32" s="316"/>
      <c r="H32" s="317"/>
      <c r="I32" s="317"/>
      <c r="J32" s="317"/>
    </row>
    <row r="33" spans="5:10" ht="14.4" customHeight="1" x14ac:dyDescent="0.3">
      <c r="E33" s="316"/>
      <c r="F33" s="316"/>
      <c r="G33" s="316"/>
      <c r="H33" s="317"/>
      <c r="I33" s="317"/>
      <c r="J33" s="317"/>
    </row>
    <row r="34" spans="5:10" ht="14.4" customHeight="1" x14ac:dyDescent="0.3">
      <c r="E34" s="316"/>
      <c r="F34" s="316"/>
      <c r="G34" s="316"/>
      <c r="H34" s="317"/>
      <c r="I34" s="317"/>
      <c r="J34" s="317"/>
    </row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  <row r="41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C80B-EDFA-476B-BD1E-0D2843D274A0}">
  <sheetPr codeName="Planilha29">
    <tabColor rgb="FFFF0000"/>
  </sheetPr>
  <dimension ref="A1:AE47"/>
  <sheetViews>
    <sheetView showGridLines="0" zoomScale="70" zoomScaleNormal="70" workbookViewId="0">
      <selection activeCell="D8" sqref="D8"/>
    </sheetView>
  </sheetViews>
  <sheetFormatPr defaultRowHeight="14.4" x14ac:dyDescent="0.3"/>
  <cols>
    <col min="1" max="4" width="8.88671875" style="356"/>
    <col min="5" max="5" width="16.44140625" style="356" bestFit="1" customWidth="1"/>
    <col min="6" max="6" width="8.88671875" style="356"/>
    <col min="7" max="7" width="17.109375" style="356" bestFit="1" customWidth="1"/>
    <col min="8" max="9" width="13.77734375" style="356" bestFit="1" customWidth="1"/>
    <col min="10" max="10" width="15.5546875" style="356" customWidth="1"/>
    <col min="11" max="11" width="13.44140625" style="356" bestFit="1" customWidth="1"/>
    <col min="12" max="17" width="8.88671875" style="356"/>
    <col min="18" max="18" width="13.44140625" style="356" bestFit="1" customWidth="1"/>
    <col min="19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11" spans="1:31" x14ac:dyDescent="0.3">
      <c r="E11" s="545" t="s">
        <v>417</v>
      </c>
      <c r="F11" s="546"/>
      <c r="G11" s="546"/>
      <c r="H11" s="546"/>
      <c r="I11" s="547"/>
      <c r="L11" s="548" t="s">
        <v>418</v>
      </c>
      <c r="M11" s="548"/>
      <c r="N11" s="548"/>
      <c r="O11" s="548"/>
      <c r="P11" s="548"/>
      <c r="Q11" s="548"/>
      <c r="R11" s="548"/>
      <c r="S11" s="548"/>
    </row>
    <row r="12" spans="1:31" x14ac:dyDescent="0.3">
      <c r="E12" s="549" t="s">
        <v>419</v>
      </c>
      <c r="F12" s="549"/>
      <c r="G12" s="549"/>
      <c r="H12" s="549"/>
      <c r="I12" s="398" t="s">
        <v>420</v>
      </c>
      <c r="L12" s="543" t="s">
        <v>421</v>
      </c>
      <c r="M12" s="543"/>
      <c r="N12" s="543"/>
      <c r="O12" s="543"/>
      <c r="P12" s="543"/>
      <c r="Q12" s="543"/>
      <c r="R12" s="550"/>
      <c r="S12" s="551"/>
    </row>
    <row r="13" spans="1:31" x14ac:dyDescent="0.3">
      <c r="E13" s="543" t="s">
        <v>422</v>
      </c>
      <c r="F13" s="543"/>
      <c r="G13" s="543"/>
      <c r="H13" s="543"/>
      <c r="I13" s="399">
        <v>450</v>
      </c>
      <c r="L13" s="543" t="s">
        <v>423</v>
      </c>
      <c r="M13" s="543"/>
      <c r="N13" s="543"/>
      <c r="O13" s="543"/>
      <c r="P13" s="543"/>
      <c r="Q13" s="543"/>
      <c r="R13" s="544">
        <f>(F30*G30)+(F31*G31)+(F32*G32)</f>
        <v>24103.599999999999</v>
      </c>
      <c r="S13" s="544"/>
    </row>
    <row r="14" spans="1:31" x14ac:dyDescent="0.3">
      <c r="E14" s="543" t="s">
        <v>424</v>
      </c>
      <c r="F14" s="543"/>
      <c r="G14" s="543"/>
      <c r="H14" s="543"/>
      <c r="I14" s="399">
        <v>4500</v>
      </c>
      <c r="L14" s="543" t="s">
        <v>425</v>
      </c>
      <c r="M14" s="543"/>
      <c r="N14" s="543"/>
      <c r="O14" s="543"/>
      <c r="P14" s="543"/>
      <c r="Q14" s="543"/>
      <c r="R14" s="544"/>
      <c r="S14" s="544"/>
    </row>
    <row r="15" spans="1:31" x14ac:dyDescent="0.3">
      <c r="E15" s="543" t="s">
        <v>426</v>
      </c>
      <c r="F15" s="543"/>
      <c r="G15" s="543"/>
      <c r="H15" s="543"/>
      <c r="I15" s="399">
        <v>37500</v>
      </c>
      <c r="L15" s="543" t="s">
        <v>427</v>
      </c>
      <c r="M15" s="543"/>
      <c r="N15" s="543"/>
      <c r="O15" s="543"/>
      <c r="P15" s="543"/>
      <c r="Q15" s="543"/>
      <c r="R15" s="544"/>
      <c r="S15" s="544"/>
    </row>
    <row r="16" spans="1:31" x14ac:dyDescent="0.3">
      <c r="E16" s="543" t="s">
        <v>428</v>
      </c>
      <c r="F16" s="543"/>
      <c r="G16" s="543"/>
      <c r="H16" s="543"/>
      <c r="I16" s="399"/>
    </row>
    <row r="17" spans="5:18" x14ac:dyDescent="0.3">
      <c r="E17" s="543" t="s">
        <v>429</v>
      </c>
      <c r="F17" s="543"/>
      <c r="G17" s="543"/>
      <c r="H17" s="543"/>
      <c r="I17" s="399"/>
    </row>
    <row r="18" spans="5:18" x14ac:dyDescent="0.3">
      <c r="E18" s="543" t="s">
        <v>300</v>
      </c>
      <c r="F18" s="543"/>
      <c r="G18" s="543"/>
      <c r="H18" s="543"/>
      <c r="I18" s="399"/>
    </row>
    <row r="19" spans="5:18" x14ac:dyDescent="0.3">
      <c r="E19" s="543" t="s">
        <v>430</v>
      </c>
      <c r="F19" s="543"/>
      <c r="G19" s="543"/>
      <c r="H19" s="543"/>
      <c r="I19" s="399">
        <v>130</v>
      </c>
    </row>
    <row r="20" spans="5:18" x14ac:dyDescent="0.3">
      <c r="E20" s="543" t="s">
        <v>431</v>
      </c>
      <c r="F20" s="543"/>
      <c r="G20" s="543"/>
      <c r="H20" s="543"/>
      <c r="I20" s="399">
        <v>45000</v>
      </c>
    </row>
    <row r="21" spans="5:18" x14ac:dyDescent="0.3">
      <c r="E21" s="543" t="s">
        <v>432</v>
      </c>
      <c r="F21" s="543"/>
      <c r="G21" s="543"/>
      <c r="H21" s="543"/>
      <c r="I21" s="399"/>
    </row>
    <row r="22" spans="5:18" x14ac:dyDescent="0.3">
      <c r="E22" s="543" t="s">
        <v>433</v>
      </c>
      <c r="F22" s="543"/>
      <c r="G22" s="543"/>
      <c r="H22" s="543"/>
      <c r="I22" s="399"/>
    </row>
    <row r="23" spans="5:18" x14ac:dyDescent="0.3">
      <c r="E23" s="543" t="s">
        <v>434</v>
      </c>
      <c r="F23" s="543"/>
      <c r="G23" s="543"/>
      <c r="H23" s="543"/>
      <c r="I23" s="399">
        <v>2500</v>
      </c>
    </row>
    <row r="24" spans="5:18" x14ac:dyDescent="0.3">
      <c r="E24" s="543" t="s">
        <v>435</v>
      </c>
      <c r="F24" s="543"/>
      <c r="G24" s="543"/>
      <c r="H24" s="543"/>
      <c r="I24" s="399">
        <v>6000</v>
      </c>
    </row>
    <row r="25" spans="5:18" x14ac:dyDescent="0.3">
      <c r="E25" s="543" t="s">
        <v>436</v>
      </c>
      <c r="F25" s="543"/>
      <c r="G25" s="543"/>
      <c r="H25" s="543"/>
      <c r="I25" s="399"/>
    </row>
    <row r="26" spans="5:18" x14ac:dyDescent="0.3">
      <c r="E26" s="543" t="s">
        <v>437</v>
      </c>
      <c r="F26" s="543"/>
      <c r="G26" s="543"/>
      <c r="H26" s="543"/>
      <c r="I26" s="399"/>
    </row>
    <row r="29" spans="5:18" ht="17.399999999999999" x14ac:dyDescent="0.3">
      <c r="E29" s="400" t="s">
        <v>438</v>
      </c>
      <c r="F29" s="401" t="s">
        <v>439</v>
      </c>
      <c r="G29" s="401" t="s">
        <v>440</v>
      </c>
      <c r="I29" s="402" t="s">
        <v>441</v>
      </c>
      <c r="J29" s="402" t="s">
        <v>439</v>
      </c>
      <c r="K29" s="401" t="s">
        <v>440</v>
      </c>
      <c r="L29" s="403"/>
      <c r="M29" s="404"/>
      <c r="P29" s="405"/>
      <c r="R29" s="406"/>
    </row>
    <row r="30" spans="5:18" x14ac:dyDescent="0.3">
      <c r="E30" s="407" t="s">
        <v>442</v>
      </c>
      <c r="F30" s="408">
        <v>1</v>
      </c>
      <c r="G30" s="409">
        <f>('[2]N_RHREF '!F16-'[2]N_RHREF '!K13-'[2]N_RHREF '!L13-'[2]N_RHREF '!J17-'[2]N_RHREF '!J19)</f>
        <v>4103.6000000000004</v>
      </c>
      <c r="I30" s="410" t="s">
        <v>442</v>
      </c>
      <c r="J30" s="410"/>
      <c r="K30" s="411">
        <f>'[2]N_RHREF '!F14</f>
        <v>5000</v>
      </c>
      <c r="L30" s="412"/>
      <c r="M30" s="413"/>
      <c r="P30" s="405"/>
      <c r="R30" s="414"/>
    </row>
    <row r="31" spans="5:18" x14ac:dyDescent="0.3">
      <c r="E31" s="407" t="s">
        <v>443</v>
      </c>
      <c r="F31" s="408">
        <v>4</v>
      </c>
      <c r="G31" s="409">
        <f>'[2]N_RHREF '!F17</f>
        <v>3000</v>
      </c>
      <c r="H31" s="415"/>
      <c r="I31" s="410" t="s">
        <v>441</v>
      </c>
      <c r="J31" s="410"/>
      <c r="K31" s="411">
        <f>'[2]N_RHREF '!F15</f>
        <v>3000</v>
      </c>
      <c r="L31" s="412"/>
      <c r="M31" s="413"/>
      <c r="P31" s="405"/>
    </row>
    <row r="32" spans="5:18" x14ac:dyDescent="0.3">
      <c r="E32" s="407" t="s">
        <v>444</v>
      </c>
      <c r="F32" s="408">
        <v>4</v>
      </c>
      <c r="G32" s="409">
        <f>'[2]N_RHREF '!F18</f>
        <v>2000</v>
      </c>
      <c r="L32" s="412"/>
      <c r="M32" s="413"/>
      <c r="P32" s="405"/>
    </row>
    <row r="33" spans="5:16" ht="17.399999999999999" x14ac:dyDescent="0.3">
      <c r="F33" s="413"/>
      <c r="G33" s="412"/>
      <c r="H33" s="413"/>
      <c r="I33" s="400" t="s">
        <v>445</v>
      </c>
      <c r="J33" s="401" t="s">
        <v>439</v>
      </c>
      <c r="K33" s="401" t="s">
        <v>440</v>
      </c>
      <c r="L33" s="412"/>
      <c r="M33" s="413"/>
      <c r="P33" s="405"/>
    </row>
    <row r="34" spans="5:16" ht="17.399999999999999" x14ac:dyDescent="0.3">
      <c r="E34" s="402" t="s">
        <v>446</v>
      </c>
      <c r="F34" s="402" t="s">
        <v>439</v>
      </c>
      <c r="G34" s="401" t="s">
        <v>440</v>
      </c>
      <c r="H34" s="413"/>
      <c r="I34" s="407" t="s">
        <v>442</v>
      </c>
      <c r="J34" s="408"/>
      <c r="K34" s="409">
        <f>'[2]N_RHREF '!F19</f>
        <v>5000</v>
      </c>
      <c r="L34" s="412"/>
      <c r="M34" s="413"/>
      <c r="P34" s="405"/>
    </row>
    <row r="35" spans="5:16" x14ac:dyDescent="0.3">
      <c r="E35" s="410" t="s">
        <v>442</v>
      </c>
      <c r="F35" s="410"/>
      <c r="G35" s="411">
        <f>'[2]N_RHREF '!F8</f>
        <v>5000</v>
      </c>
      <c r="H35" s="416"/>
      <c r="I35" s="407" t="s">
        <v>447</v>
      </c>
      <c r="J35" s="408"/>
      <c r="K35" s="409">
        <f>'[2]N_RHREF '!F20</f>
        <v>3000</v>
      </c>
      <c r="L35" s="417"/>
      <c r="M35" s="416"/>
    </row>
    <row r="36" spans="5:16" x14ac:dyDescent="0.3">
      <c r="E36" s="410" t="s">
        <v>447</v>
      </c>
      <c r="F36" s="410"/>
      <c r="G36" s="411">
        <f>'[2]N_RHREF '!F9</f>
        <v>3000</v>
      </c>
      <c r="H36" s="416"/>
      <c r="I36" s="407" t="s">
        <v>444</v>
      </c>
      <c r="J36" s="408"/>
      <c r="K36" s="409">
        <f>'[2]N_RHREF '!F21</f>
        <v>2000</v>
      </c>
      <c r="L36" s="417"/>
      <c r="M36" s="416"/>
    </row>
    <row r="37" spans="5:16" x14ac:dyDescent="0.3">
      <c r="E37" s="410" t="s">
        <v>448</v>
      </c>
      <c r="F37" s="410"/>
      <c r="G37" s="411">
        <f>'[2]N_RHREF '!F10</f>
        <v>2000</v>
      </c>
      <c r="H37" s="418"/>
      <c r="L37" s="417"/>
      <c r="M37" s="418"/>
    </row>
    <row r="38" spans="5:16" ht="17.399999999999999" x14ac:dyDescent="0.3">
      <c r="F38" s="419"/>
      <c r="G38" s="417"/>
      <c r="H38" s="418"/>
      <c r="I38" s="400" t="s">
        <v>449</v>
      </c>
      <c r="J38" s="401" t="s">
        <v>439</v>
      </c>
      <c r="K38" s="401" t="s">
        <v>440</v>
      </c>
      <c r="L38" s="417"/>
      <c r="M38" s="418"/>
    </row>
    <row r="39" spans="5:16" ht="17.399999999999999" x14ac:dyDescent="0.3">
      <c r="E39" s="402" t="s">
        <v>450</v>
      </c>
      <c r="F39" s="402" t="s">
        <v>439</v>
      </c>
      <c r="G39" s="401" t="s">
        <v>440</v>
      </c>
      <c r="H39" s="418"/>
      <c r="I39" s="407" t="s">
        <v>442</v>
      </c>
      <c r="J39" s="408"/>
      <c r="K39" s="409">
        <f>'[2]N_RHREF '!F22</f>
        <v>5000</v>
      </c>
      <c r="L39" s="417"/>
      <c r="M39" s="418"/>
    </row>
    <row r="40" spans="5:16" x14ac:dyDescent="0.3">
      <c r="E40" s="410" t="s">
        <v>442</v>
      </c>
      <c r="F40" s="410"/>
      <c r="G40" s="411">
        <f>'[2]N_RHREF '!F11</f>
        <v>5000</v>
      </c>
      <c r="I40" s="407" t="s">
        <v>451</v>
      </c>
      <c r="J40" s="408"/>
      <c r="K40" s="409">
        <f>'[2]N_RHREF '!F23</f>
        <v>4000</v>
      </c>
    </row>
    <row r="41" spans="5:16" x14ac:dyDescent="0.3">
      <c r="E41" s="410" t="s">
        <v>447</v>
      </c>
      <c r="F41" s="410"/>
      <c r="G41" s="411">
        <f>'[2]N_RHREF '!F12</f>
        <v>3000</v>
      </c>
      <c r="I41" s="407" t="s">
        <v>447</v>
      </c>
      <c r="J41" s="408"/>
      <c r="K41" s="409">
        <f>'[2]N_RHREF '!F24</f>
        <v>3000</v>
      </c>
    </row>
    <row r="42" spans="5:16" x14ac:dyDescent="0.3">
      <c r="E42" s="410" t="s">
        <v>448</v>
      </c>
      <c r="F42" s="410"/>
      <c r="G42" s="411">
        <f>'[2]N_RHREF '!F13</f>
        <v>2000</v>
      </c>
      <c r="I42" s="410" t="s">
        <v>448</v>
      </c>
      <c r="J42" s="420"/>
      <c r="K42" s="206">
        <f>'[2]N_RHREF '!F25</f>
        <v>2000</v>
      </c>
    </row>
    <row r="44" spans="5:16" ht="17.399999999999999" x14ac:dyDescent="0.3">
      <c r="I44" s="400" t="s">
        <v>452</v>
      </c>
      <c r="J44" s="401" t="s">
        <v>439</v>
      </c>
      <c r="K44" s="401" t="s">
        <v>440</v>
      </c>
    </row>
    <row r="45" spans="5:16" x14ac:dyDescent="0.3">
      <c r="I45" s="407" t="s">
        <v>442</v>
      </c>
      <c r="J45" s="408"/>
      <c r="K45" s="409">
        <f>'[2]N_RHREF '!F26</f>
        <v>5000</v>
      </c>
    </row>
    <row r="46" spans="5:16" x14ac:dyDescent="0.3">
      <c r="I46" s="407" t="s">
        <v>451</v>
      </c>
      <c r="J46" s="408"/>
      <c r="K46" s="409">
        <f>'[2]N_RHREF '!F27</f>
        <v>3000</v>
      </c>
    </row>
    <row r="47" spans="5:16" x14ac:dyDescent="0.3">
      <c r="I47" s="407" t="s">
        <v>444</v>
      </c>
      <c r="J47" s="408"/>
      <c r="K47" s="409">
        <f>'[2]N_RHREF '!F28</f>
        <v>2000</v>
      </c>
    </row>
  </sheetData>
  <mergeCells count="26">
    <mergeCell ref="A2:AE2"/>
    <mergeCell ref="E11:I11"/>
    <mergeCell ref="L11:S11"/>
    <mergeCell ref="E12:H12"/>
    <mergeCell ref="L12:Q12"/>
    <mergeCell ref="R12:S12"/>
    <mergeCell ref="E18:H18"/>
    <mergeCell ref="E13:H13"/>
    <mergeCell ref="L13:Q13"/>
    <mergeCell ref="R13:S13"/>
    <mergeCell ref="E14:H14"/>
    <mergeCell ref="L14:Q14"/>
    <mergeCell ref="R14:S14"/>
    <mergeCell ref="E15:H15"/>
    <mergeCell ref="L15:Q15"/>
    <mergeCell ref="R15:S15"/>
    <mergeCell ref="E16:H16"/>
    <mergeCell ref="E17:H17"/>
    <mergeCell ref="E25:H25"/>
    <mergeCell ref="E26:H26"/>
    <mergeCell ref="E19:H19"/>
    <mergeCell ref="E20:H20"/>
    <mergeCell ref="E21:H21"/>
    <mergeCell ref="E22:H22"/>
    <mergeCell ref="E23:H23"/>
    <mergeCell ref="E24:H24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2A121-67F1-4D52-AFF9-6200CE3C9D35}">
  <sheetPr codeName="Planilha18">
    <tabColor rgb="FFFF0000"/>
  </sheetPr>
  <dimension ref="A1:AE32"/>
  <sheetViews>
    <sheetView showGridLines="0" zoomScale="70" zoomScaleNormal="70" workbookViewId="0">
      <selection activeCell="G18" sqref="G18"/>
    </sheetView>
  </sheetViews>
  <sheetFormatPr defaultRowHeight="14.4" x14ac:dyDescent="0.3"/>
  <cols>
    <col min="1" max="1" width="8.88671875" style="356"/>
    <col min="2" max="2" width="50.21875" style="356" bestFit="1" customWidth="1"/>
    <col min="3" max="3" width="14.6640625" style="356" bestFit="1" customWidth="1"/>
    <col min="4" max="4" width="13.44140625" style="356" bestFit="1" customWidth="1"/>
    <col min="5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3" spans="1:31" ht="17.399999999999999" x14ac:dyDescent="0.3">
      <c r="B3" s="400" t="s">
        <v>453</v>
      </c>
      <c r="C3" s="421" t="s">
        <v>454</v>
      </c>
      <c r="D3" s="421" t="s">
        <v>455</v>
      </c>
    </row>
    <row r="4" spans="1:31" x14ac:dyDescent="0.3">
      <c r="B4" s="410"/>
      <c r="C4" s="422"/>
      <c r="D4" s="399"/>
    </row>
    <row r="5" spans="1:31" x14ac:dyDescent="0.3">
      <c r="B5" s="423" t="s">
        <v>456</v>
      </c>
      <c r="C5" s="424"/>
      <c r="D5" s="425"/>
    </row>
    <row r="6" spans="1:31" x14ac:dyDescent="0.3">
      <c r="B6" s="426"/>
      <c r="C6" s="427"/>
      <c r="D6" s="428"/>
    </row>
    <row r="7" spans="1:31" x14ac:dyDescent="0.3">
      <c r="B7" s="429"/>
      <c r="C7" s="430"/>
      <c r="D7" s="431"/>
    </row>
    <row r="8" spans="1:31" x14ac:dyDescent="0.3">
      <c r="B8" s="410" t="s">
        <v>457</v>
      </c>
      <c r="C8" s="422"/>
      <c r="D8" s="399"/>
    </row>
    <row r="9" spans="1:31" x14ac:dyDescent="0.3">
      <c r="B9" s="410" t="s">
        <v>458</v>
      </c>
      <c r="C9" s="422"/>
      <c r="D9" s="399"/>
    </row>
    <row r="10" spans="1:31" ht="15.6" x14ac:dyDescent="0.3">
      <c r="B10" s="432" t="s">
        <v>459</v>
      </c>
      <c r="C10" s="433"/>
      <c r="D10" s="434"/>
    </row>
    <row r="11" spans="1:31" x14ac:dyDescent="0.3">
      <c r="B11" s="435"/>
      <c r="C11" s="436"/>
      <c r="D11" s="437"/>
    </row>
    <row r="12" spans="1:31" ht="17.399999999999999" x14ac:dyDescent="0.3">
      <c r="B12" s="552" t="s">
        <v>460</v>
      </c>
      <c r="C12" s="553"/>
      <c r="D12" s="554"/>
    </row>
    <row r="13" spans="1:31" x14ac:dyDescent="0.3">
      <c r="B13" s="410" t="s">
        <v>461</v>
      </c>
      <c r="C13" s="422">
        <f>[2]N_CUSTOFIXOEVARIAVEL!I13</f>
        <v>450</v>
      </c>
      <c r="D13" s="422"/>
    </row>
    <row r="14" spans="1:31" x14ac:dyDescent="0.3">
      <c r="B14" s="410" t="s">
        <v>462</v>
      </c>
      <c r="C14" s="422">
        <f>[2]N_CUSTOFIXOEVARIAVEL!I14</f>
        <v>4500</v>
      </c>
      <c r="D14" s="422"/>
    </row>
    <row r="15" spans="1:31" x14ac:dyDescent="0.3">
      <c r="B15" s="410" t="s">
        <v>426</v>
      </c>
      <c r="C15" s="422">
        <f>[2]N_CUSTOFIXOEVARIAVEL!I15</f>
        <v>37500</v>
      </c>
      <c r="D15" s="399"/>
    </row>
    <row r="16" spans="1:31" x14ac:dyDescent="0.3">
      <c r="B16" s="410" t="s">
        <v>463</v>
      </c>
      <c r="C16" s="422"/>
      <c r="D16" s="399"/>
    </row>
    <row r="17" spans="2:4" x14ac:dyDescent="0.3">
      <c r="B17" s="410" t="s">
        <v>464</v>
      </c>
      <c r="C17" s="422"/>
      <c r="D17" s="399"/>
    </row>
    <row r="18" spans="2:4" x14ac:dyDescent="0.3">
      <c r="B18" s="410" t="s">
        <v>465</v>
      </c>
      <c r="C18" s="422"/>
      <c r="D18" s="422"/>
    </row>
    <row r="19" spans="2:4" x14ac:dyDescent="0.3">
      <c r="B19" s="410" t="s">
        <v>466</v>
      </c>
      <c r="C19" s="438">
        <f>[2]N_CUSTOFIXOEVARIAVEL!I19</f>
        <v>130</v>
      </c>
      <c r="D19" s="422"/>
    </row>
    <row r="20" spans="2:4" x14ac:dyDescent="0.3">
      <c r="B20" s="410" t="s">
        <v>467</v>
      </c>
      <c r="C20" s="422">
        <f>[2]N_CUSTOFIXOEVARIAVEL!I20</f>
        <v>45000</v>
      </c>
      <c r="D20" s="422"/>
    </row>
    <row r="21" spans="2:4" x14ac:dyDescent="0.3">
      <c r="B21" s="410" t="s">
        <v>468</v>
      </c>
      <c r="C21" s="422"/>
      <c r="D21" s="422"/>
    </row>
    <row r="22" spans="2:4" x14ac:dyDescent="0.3">
      <c r="B22" s="410" t="s">
        <v>469</v>
      </c>
      <c r="C22" s="422"/>
      <c r="D22" s="422"/>
    </row>
    <row r="23" spans="2:4" x14ac:dyDescent="0.3">
      <c r="B23" s="410" t="s">
        <v>470</v>
      </c>
      <c r="C23" s="422">
        <f>[2]N_CUSTOFIXOEVARIAVEL!I23</f>
        <v>2500</v>
      </c>
      <c r="D23" s="422"/>
    </row>
    <row r="24" spans="2:4" x14ac:dyDescent="0.3">
      <c r="B24" s="410" t="s">
        <v>471</v>
      </c>
      <c r="C24" s="422">
        <f>[2]N_CUSTOFIXOEVARIAVEL!I24</f>
        <v>6000</v>
      </c>
      <c r="D24" s="422"/>
    </row>
    <row r="25" spans="2:4" x14ac:dyDescent="0.3">
      <c r="B25" s="410" t="s">
        <v>472</v>
      </c>
      <c r="C25" s="422"/>
      <c r="D25" s="422"/>
    </row>
    <row r="26" spans="2:4" x14ac:dyDescent="0.3">
      <c r="B26" s="410" t="s">
        <v>473</v>
      </c>
      <c r="C26" s="422"/>
      <c r="D26" s="422"/>
    </row>
    <row r="27" spans="2:4" x14ac:dyDescent="0.3">
      <c r="B27" s="410" t="s">
        <v>474</v>
      </c>
      <c r="C27" s="422"/>
      <c r="D27" s="422"/>
    </row>
    <row r="28" spans="2:4" x14ac:dyDescent="0.3">
      <c r="B28" s="410" t="s">
        <v>475</v>
      </c>
      <c r="C28" s="422"/>
      <c r="D28" s="422"/>
    </row>
    <row r="29" spans="2:4" x14ac:dyDescent="0.3">
      <c r="B29" s="410" t="s">
        <v>476</v>
      </c>
      <c r="C29" s="422"/>
      <c r="D29" s="422"/>
    </row>
    <row r="30" spans="2:4" x14ac:dyDescent="0.3">
      <c r="B30" s="410" t="s">
        <v>477</v>
      </c>
      <c r="C30" s="422"/>
      <c r="D30" s="422"/>
    </row>
    <row r="31" spans="2:4" x14ac:dyDescent="0.3">
      <c r="B31" s="410" t="s">
        <v>478</v>
      </c>
      <c r="C31" s="422"/>
      <c r="D31" s="422"/>
    </row>
    <row r="32" spans="2:4" x14ac:dyDescent="0.3">
      <c r="B32" s="410" t="s">
        <v>479</v>
      </c>
      <c r="C32" s="422"/>
      <c r="D32" s="422"/>
    </row>
  </sheetData>
  <mergeCells count="2">
    <mergeCell ref="A2:AE2"/>
    <mergeCell ref="B12:D12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6C04-5A53-479D-9FE2-95BD8364EC90}">
  <sheetPr codeName="Planilha30">
    <tabColor rgb="FFFF0000"/>
  </sheetPr>
  <dimension ref="A1:AE16"/>
  <sheetViews>
    <sheetView showGridLines="0" zoomScale="70" zoomScaleNormal="70" workbookViewId="0">
      <selection activeCell="I6" sqref="I6"/>
    </sheetView>
  </sheetViews>
  <sheetFormatPr defaultRowHeight="14.4" x14ac:dyDescent="0.3"/>
  <cols>
    <col min="1" max="1" width="8.88671875" style="356"/>
    <col min="2" max="2" width="50.21875" style="356" bestFit="1" customWidth="1"/>
    <col min="3" max="3" width="14.6640625" style="356" bestFit="1" customWidth="1"/>
    <col min="4" max="4" width="13.44140625" style="356" bestFit="1" customWidth="1"/>
    <col min="5" max="7" width="8.88671875" style="356"/>
    <col min="8" max="8" width="35.5546875" style="356" customWidth="1"/>
    <col min="9" max="9" width="16.109375" style="356" customWidth="1"/>
    <col min="10" max="10" width="17.88671875" style="356" customWidth="1"/>
    <col min="11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3" spans="1:31" ht="17.399999999999999" x14ac:dyDescent="0.3">
      <c r="B3" s="400" t="s">
        <v>9</v>
      </c>
      <c r="C3" s="401" t="s">
        <v>439</v>
      </c>
      <c r="D3" s="402" t="s">
        <v>480</v>
      </c>
      <c r="H3" s="400" t="s">
        <v>11</v>
      </c>
      <c r="I3" s="401" t="s">
        <v>439</v>
      </c>
      <c r="J3" s="402" t="s">
        <v>480</v>
      </c>
    </row>
    <row r="4" spans="1:31" x14ac:dyDescent="0.3">
      <c r="B4" s="410" t="s">
        <v>3</v>
      </c>
      <c r="C4" s="439">
        <f>[2]N_PRODREQ!H23</f>
        <v>2</v>
      </c>
      <c r="D4" s="422"/>
      <c r="H4" s="410" t="s">
        <v>3</v>
      </c>
      <c r="I4" s="439"/>
      <c r="J4" s="422"/>
    </row>
    <row r="5" spans="1:31" x14ac:dyDescent="0.3">
      <c r="B5" s="410" t="s">
        <v>4</v>
      </c>
      <c r="C5" s="439">
        <f>[2]N_PRODREQ!H25</f>
        <v>1</v>
      </c>
      <c r="D5" s="422"/>
      <c r="H5" s="410" t="s">
        <v>4</v>
      </c>
      <c r="I5" s="439"/>
      <c r="J5" s="422"/>
    </row>
    <row r="6" spans="1:31" x14ac:dyDescent="0.3">
      <c r="B6" s="410" t="s">
        <v>481</v>
      </c>
      <c r="C6" s="439">
        <f>[2]N_PRODREQ!H27</f>
        <v>0</v>
      </c>
      <c r="D6" s="399"/>
      <c r="H6" s="410" t="s">
        <v>481</v>
      </c>
      <c r="I6" s="439"/>
      <c r="J6" s="399"/>
    </row>
    <row r="7" spans="1:31" x14ac:dyDescent="0.3">
      <c r="B7" s="410" t="s">
        <v>482</v>
      </c>
      <c r="C7" s="439">
        <f>[2]N_PRODREQ!H29</f>
        <v>2</v>
      </c>
      <c r="D7" s="399"/>
      <c r="H7" s="410" t="s">
        <v>482</v>
      </c>
      <c r="I7" s="439"/>
      <c r="J7" s="399"/>
    </row>
    <row r="8" spans="1:31" x14ac:dyDescent="0.3">
      <c r="B8" s="410" t="s">
        <v>483</v>
      </c>
      <c r="C8" s="439">
        <f>[2]N_PRODREQ!H31</f>
        <v>1</v>
      </c>
      <c r="D8" s="399"/>
      <c r="H8" s="410" t="s">
        <v>483</v>
      </c>
      <c r="I8" s="439"/>
      <c r="J8" s="399"/>
    </row>
    <row r="11" spans="1:31" ht="17.399999999999999" x14ac:dyDescent="0.3">
      <c r="B11" s="400" t="s">
        <v>484</v>
      </c>
      <c r="C11" s="401" t="s">
        <v>439</v>
      </c>
      <c r="D11" s="402" t="s">
        <v>480</v>
      </c>
      <c r="H11" s="400" t="s">
        <v>10</v>
      </c>
      <c r="I11" s="401" t="s">
        <v>439</v>
      </c>
      <c r="J11" s="402" t="s">
        <v>480</v>
      </c>
    </row>
    <row r="12" spans="1:31" x14ac:dyDescent="0.3">
      <c r="B12" s="410" t="s">
        <v>3</v>
      </c>
      <c r="C12" s="439"/>
      <c r="D12" s="422"/>
      <c r="H12" s="410" t="s">
        <v>3</v>
      </c>
      <c r="I12" s="439"/>
      <c r="J12" s="422"/>
    </row>
    <row r="13" spans="1:31" x14ac:dyDescent="0.3">
      <c r="B13" s="410" t="s">
        <v>4</v>
      </c>
      <c r="C13" s="439"/>
      <c r="D13" s="422"/>
      <c r="H13" s="410" t="s">
        <v>4</v>
      </c>
      <c r="I13" s="439"/>
      <c r="J13" s="422"/>
    </row>
    <row r="14" spans="1:31" x14ac:dyDescent="0.3">
      <c r="B14" s="410" t="s">
        <v>481</v>
      </c>
      <c r="C14" s="439"/>
      <c r="D14" s="399"/>
      <c r="H14" s="410" t="s">
        <v>481</v>
      </c>
      <c r="I14" s="439"/>
      <c r="J14" s="399"/>
    </row>
    <row r="15" spans="1:31" x14ac:dyDescent="0.3">
      <c r="B15" s="410" t="s">
        <v>482</v>
      </c>
      <c r="C15" s="439"/>
      <c r="D15" s="399"/>
      <c r="H15" s="410" t="s">
        <v>482</v>
      </c>
      <c r="I15" s="439"/>
      <c r="J15" s="399"/>
    </row>
    <row r="16" spans="1:31" x14ac:dyDescent="0.3">
      <c r="B16" s="410" t="s">
        <v>483</v>
      </c>
      <c r="C16" s="439"/>
      <c r="D16" s="399"/>
      <c r="H16" s="410" t="s">
        <v>483</v>
      </c>
      <c r="I16" s="439"/>
      <c r="J16" s="399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7F5E-02EB-455A-BA13-D6AE10E0BD61}">
  <sheetPr codeName="Planilha28">
    <tabColor rgb="FFFF0000"/>
  </sheetPr>
  <dimension ref="A1:AE20"/>
  <sheetViews>
    <sheetView showGridLines="0" zoomScale="55" zoomScaleNormal="55" workbookViewId="0">
      <selection activeCell="V20" sqref="V20"/>
    </sheetView>
  </sheetViews>
  <sheetFormatPr defaultRowHeight="14.4" x14ac:dyDescent="0.3"/>
  <cols>
    <col min="1" max="2" width="8.88671875" style="356"/>
    <col min="3" max="3" width="25.5546875" style="356" bestFit="1" customWidth="1"/>
    <col min="4" max="5" width="14.109375" style="356" bestFit="1" customWidth="1"/>
    <col min="6" max="7" width="8.88671875" style="356"/>
    <col min="8" max="8" width="22.77734375" style="356" bestFit="1" customWidth="1"/>
    <col min="9" max="9" width="14.44140625" style="356" bestFit="1" customWidth="1"/>
    <col min="10" max="10" width="11.44140625" style="356" bestFit="1" customWidth="1"/>
    <col min="11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5" spans="1:31" ht="17.399999999999999" x14ac:dyDescent="0.3">
      <c r="C5" s="556"/>
      <c r="D5" s="541" t="s">
        <v>286</v>
      </c>
      <c r="E5" s="541"/>
      <c r="H5" s="556"/>
      <c r="I5" s="541" t="s">
        <v>286</v>
      </c>
      <c r="J5" s="541"/>
    </row>
    <row r="6" spans="1:31" ht="17.399999999999999" x14ac:dyDescent="0.3">
      <c r="C6" s="50" t="s">
        <v>285</v>
      </c>
      <c r="D6" s="558" t="s">
        <v>485</v>
      </c>
      <c r="E6" s="558" t="s">
        <v>486</v>
      </c>
      <c r="H6" s="50" t="s">
        <v>487</v>
      </c>
      <c r="I6" s="558" t="s">
        <v>485</v>
      </c>
      <c r="J6" s="558" t="s">
        <v>486</v>
      </c>
    </row>
    <row r="7" spans="1:31" x14ac:dyDescent="0.3">
      <c r="C7" s="557" t="s">
        <v>484</v>
      </c>
      <c r="D7" s="556"/>
      <c r="E7" s="556"/>
      <c r="H7" s="557" t="s">
        <v>3</v>
      </c>
      <c r="I7" s="556"/>
      <c r="J7" s="556"/>
    </row>
    <row r="8" spans="1:31" x14ac:dyDescent="0.3">
      <c r="C8" s="557" t="s">
        <v>9</v>
      </c>
      <c r="D8" s="556"/>
      <c r="E8" s="556"/>
      <c r="H8" s="557" t="s">
        <v>4</v>
      </c>
      <c r="I8" s="556"/>
      <c r="J8" s="556"/>
    </row>
    <row r="9" spans="1:31" x14ac:dyDescent="0.3">
      <c r="C9" s="557" t="s">
        <v>10</v>
      </c>
      <c r="D9" s="556"/>
      <c r="E9" s="556"/>
      <c r="H9" s="557" t="s">
        <v>5</v>
      </c>
      <c r="I9" s="556"/>
      <c r="J9" s="556"/>
    </row>
    <row r="10" spans="1:31" x14ac:dyDescent="0.3">
      <c r="C10" s="557" t="s">
        <v>11</v>
      </c>
      <c r="D10" s="556"/>
      <c r="E10" s="556"/>
      <c r="H10" s="557" t="s">
        <v>6</v>
      </c>
      <c r="I10" s="556"/>
      <c r="J10" s="556"/>
    </row>
    <row r="11" spans="1:31" x14ac:dyDescent="0.3">
      <c r="H11" s="557" t="s">
        <v>7</v>
      </c>
    </row>
    <row r="20" spans="7:12" x14ac:dyDescent="0.3">
      <c r="G20" s="559"/>
      <c r="H20" s="559"/>
      <c r="I20" s="559"/>
      <c r="J20" s="559"/>
      <c r="K20" s="559"/>
      <c r="L20" s="245"/>
    </row>
  </sheetData>
  <mergeCells count="3">
    <mergeCell ref="A2:AE2"/>
    <mergeCell ref="D5:E5"/>
    <mergeCell ref="I5:J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9860-079B-497F-9097-3CCE3BD6B72C}">
  <sheetPr codeName="Planilha31">
    <tabColor rgb="FFFF0000"/>
  </sheetPr>
  <dimension ref="A1:AE37"/>
  <sheetViews>
    <sheetView showGridLines="0" tabSelected="1" zoomScale="55" zoomScaleNormal="55" workbookViewId="0">
      <selection activeCell="N44" sqref="N44"/>
    </sheetView>
  </sheetViews>
  <sheetFormatPr defaultRowHeight="14.4" x14ac:dyDescent="0.3"/>
  <cols>
    <col min="1" max="2" width="8.88671875" style="555"/>
    <col min="3" max="3" width="30.5546875" style="555" bestFit="1" customWidth="1"/>
    <col min="4" max="4" width="21.109375" style="555" bestFit="1" customWidth="1"/>
    <col min="5" max="5" width="17.88671875" style="555" bestFit="1" customWidth="1"/>
    <col min="6" max="6" width="31.77734375" style="555" bestFit="1" customWidth="1"/>
    <col min="7" max="7" width="16.109375" style="555" bestFit="1" customWidth="1"/>
    <col min="8" max="8" width="13.33203125" style="555" bestFit="1" customWidth="1"/>
    <col min="9" max="9" width="32.21875" style="555" bestFit="1" customWidth="1"/>
    <col min="10" max="10" width="19.33203125" style="555" customWidth="1"/>
    <col min="11" max="11" width="29.5546875" style="555" bestFit="1" customWidth="1"/>
    <col min="12" max="12" width="28" style="555" bestFit="1" customWidth="1"/>
    <col min="13" max="13" width="21.33203125" style="555" bestFit="1" customWidth="1"/>
    <col min="14" max="14" width="31" style="555" bestFit="1" customWidth="1"/>
    <col min="15" max="16384" width="8.88671875" style="555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4" spans="1:31" x14ac:dyDescent="0.3">
      <c r="B4" s="245"/>
      <c r="C4" s="245"/>
      <c r="D4" s="245"/>
      <c r="E4" s="245"/>
      <c r="F4" s="245"/>
      <c r="G4" s="245"/>
      <c r="H4" s="245"/>
      <c r="I4" s="245"/>
      <c r="J4" s="245"/>
      <c r="K4" s="245"/>
    </row>
    <row r="5" spans="1:31" ht="18" thickBot="1" x14ac:dyDescent="0.35">
      <c r="B5" s="245"/>
      <c r="C5" s="560"/>
      <c r="D5" s="561"/>
      <c r="E5" s="561"/>
      <c r="F5" s="245"/>
      <c r="G5" s="245"/>
      <c r="H5" s="560"/>
      <c r="I5" s="561"/>
      <c r="J5" s="561"/>
      <c r="K5" s="245"/>
    </row>
    <row r="6" spans="1:31" ht="18" thickBot="1" x14ac:dyDescent="0.35">
      <c r="B6" s="245"/>
      <c r="C6" s="569" t="s">
        <v>374</v>
      </c>
      <c r="D6" s="567"/>
      <c r="E6" s="567"/>
      <c r="F6" s="567"/>
      <c r="G6" s="567"/>
      <c r="H6" s="567"/>
      <c r="I6" s="568"/>
      <c r="J6" s="563"/>
      <c r="K6" s="626" t="s">
        <v>660</v>
      </c>
      <c r="L6" s="627"/>
      <c r="M6" s="627"/>
      <c r="N6" s="628"/>
      <c r="O6" s="584"/>
    </row>
    <row r="7" spans="1:31" x14ac:dyDescent="0.3">
      <c r="B7" s="245"/>
      <c r="C7" s="564" t="s">
        <v>292</v>
      </c>
      <c r="D7" s="565" t="s">
        <v>375</v>
      </c>
      <c r="E7" s="565" t="s">
        <v>488</v>
      </c>
      <c r="F7" s="565" t="s">
        <v>298</v>
      </c>
      <c r="G7" s="565" t="s">
        <v>489</v>
      </c>
      <c r="H7" s="565" t="s">
        <v>490</v>
      </c>
      <c r="I7" s="566" t="s">
        <v>491</v>
      </c>
      <c r="J7" s="560"/>
      <c r="K7" s="629" t="s">
        <v>659</v>
      </c>
      <c r="L7" s="571" t="s">
        <v>375</v>
      </c>
      <c r="M7" s="571" t="s">
        <v>299</v>
      </c>
      <c r="N7" s="630" t="s">
        <v>488</v>
      </c>
      <c r="O7" s="585"/>
    </row>
    <row r="8" spans="1:31" x14ac:dyDescent="0.3">
      <c r="B8" s="245"/>
      <c r="C8" s="586" t="s">
        <v>492</v>
      </c>
      <c r="D8" s="587" t="s">
        <v>493</v>
      </c>
      <c r="E8" s="587" t="s">
        <v>494</v>
      </c>
      <c r="F8" s="588" t="s">
        <v>495</v>
      </c>
      <c r="G8" s="587" t="s">
        <v>496</v>
      </c>
      <c r="H8" s="587" t="s">
        <v>497</v>
      </c>
      <c r="I8" s="589" t="s">
        <v>498</v>
      </c>
      <c r="J8" s="560"/>
      <c r="K8" s="618"/>
      <c r="L8" s="622"/>
      <c r="M8" s="622"/>
      <c r="N8" s="617"/>
      <c r="O8" s="585"/>
    </row>
    <row r="9" spans="1:31" x14ac:dyDescent="0.3">
      <c r="B9" s="245"/>
      <c r="C9" s="586" t="s">
        <v>499</v>
      </c>
      <c r="D9" s="587" t="s">
        <v>500</v>
      </c>
      <c r="E9" s="587" t="s">
        <v>501</v>
      </c>
      <c r="F9" s="588" t="s">
        <v>502</v>
      </c>
      <c r="G9" s="587" t="s">
        <v>503</v>
      </c>
      <c r="H9" s="587" t="s">
        <v>497</v>
      </c>
      <c r="I9" s="590" t="s">
        <v>504</v>
      </c>
      <c r="J9" s="560"/>
      <c r="K9" s="618"/>
      <c r="L9" s="622"/>
      <c r="M9" s="622"/>
      <c r="N9" s="617"/>
      <c r="O9" s="585"/>
    </row>
    <row r="10" spans="1:31" x14ac:dyDescent="0.3">
      <c r="B10" s="245"/>
      <c r="C10" s="586" t="s">
        <v>505</v>
      </c>
      <c r="D10" s="587" t="s">
        <v>506</v>
      </c>
      <c r="E10" s="587" t="s">
        <v>507</v>
      </c>
      <c r="F10" s="588" t="s">
        <v>508</v>
      </c>
      <c r="G10" s="587" t="s">
        <v>509</v>
      </c>
      <c r="H10" s="587" t="s">
        <v>497</v>
      </c>
      <c r="I10" s="589" t="s">
        <v>510</v>
      </c>
      <c r="J10" s="560"/>
      <c r="K10" s="618"/>
      <c r="L10" s="622"/>
      <c r="M10" s="622"/>
      <c r="N10" s="617"/>
      <c r="O10" s="585"/>
    </row>
    <row r="11" spans="1:31" x14ac:dyDescent="0.3">
      <c r="B11" s="245"/>
      <c r="C11" s="586" t="s">
        <v>511</v>
      </c>
      <c r="D11" s="587" t="s">
        <v>512</v>
      </c>
      <c r="E11" s="587" t="s">
        <v>513</v>
      </c>
      <c r="F11" s="588" t="s">
        <v>514</v>
      </c>
      <c r="G11" s="587" t="s">
        <v>497</v>
      </c>
      <c r="H11" s="587" t="s">
        <v>497</v>
      </c>
      <c r="I11" s="591" t="s">
        <v>515</v>
      </c>
      <c r="J11" s="245"/>
      <c r="K11" s="618"/>
      <c r="L11" s="622"/>
      <c r="M11" s="622"/>
      <c r="N11" s="617"/>
      <c r="O11" s="585"/>
    </row>
    <row r="12" spans="1:31" x14ac:dyDescent="0.3">
      <c r="B12" s="245"/>
      <c r="C12" s="586" t="s">
        <v>516</v>
      </c>
      <c r="D12" s="587" t="s">
        <v>517</v>
      </c>
      <c r="E12" s="587" t="s">
        <v>518</v>
      </c>
      <c r="F12" s="588" t="s">
        <v>519</v>
      </c>
      <c r="G12" s="587" t="s">
        <v>520</v>
      </c>
      <c r="H12" s="587" t="s">
        <v>497</v>
      </c>
      <c r="I12" s="590" t="s">
        <v>521</v>
      </c>
      <c r="J12" s="245"/>
      <c r="K12" s="618"/>
      <c r="L12" s="622"/>
      <c r="M12" s="622"/>
      <c r="N12" s="617"/>
      <c r="O12" s="585"/>
    </row>
    <row r="13" spans="1:31" x14ac:dyDescent="0.3">
      <c r="B13" s="245"/>
      <c r="C13" s="586" t="s">
        <v>522</v>
      </c>
      <c r="D13" s="587" t="s">
        <v>523</v>
      </c>
      <c r="E13" s="587" t="s">
        <v>524</v>
      </c>
      <c r="F13" s="588" t="s">
        <v>525</v>
      </c>
      <c r="G13" s="587" t="s">
        <v>526</v>
      </c>
      <c r="H13" s="587" t="s">
        <v>497</v>
      </c>
      <c r="I13" s="589" t="s">
        <v>527</v>
      </c>
      <c r="J13" s="245"/>
      <c r="K13" s="618"/>
      <c r="L13" s="622"/>
      <c r="M13" s="622"/>
      <c r="N13" s="617"/>
      <c r="O13" s="585"/>
    </row>
    <row r="14" spans="1:31" x14ac:dyDescent="0.3">
      <c r="C14" s="586" t="s">
        <v>528</v>
      </c>
      <c r="D14" s="587" t="s">
        <v>529</v>
      </c>
      <c r="E14" s="587" t="s">
        <v>530</v>
      </c>
      <c r="F14" s="588" t="s">
        <v>531</v>
      </c>
      <c r="G14" s="587" t="s">
        <v>532</v>
      </c>
      <c r="H14" s="587" t="s">
        <v>497</v>
      </c>
      <c r="I14" s="589" t="s">
        <v>533</v>
      </c>
      <c r="K14" s="618"/>
      <c r="L14" s="622"/>
      <c r="M14" s="622"/>
      <c r="N14" s="617"/>
      <c r="O14" s="585"/>
    </row>
    <row r="15" spans="1:31" x14ac:dyDescent="0.3">
      <c r="C15" s="586" t="s">
        <v>534</v>
      </c>
      <c r="D15" s="587" t="s">
        <v>535</v>
      </c>
      <c r="E15" s="587" t="s">
        <v>536</v>
      </c>
      <c r="F15" s="588" t="s">
        <v>537</v>
      </c>
      <c r="G15" s="587" t="s">
        <v>538</v>
      </c>
      <c r="H15" s="587" t="s">
        <v>497</v>
      </c>
      <c r="I15" s="592" t="s">
        <v>539</v>
      </c>
      <c r="K15" s="618"/>
      <c r="L15" s="622"/>
      <c r="M15" s="622"/>
      <c r="N15" s="617"/>
      <c r="O15" s="585"/>
    </row>
    <row r="16" spans="1:31" x14ac:dyDescent="0.3">
      <c r="C16" s="586" t="s">
        <v>540</v>
      </c>
      <c r="D16" s="587" t="s">
        <v>541</v>
      </c>
      <c r="E16" s="587" t="s">
        <v>542</v>
      </c>
      <c r="F16" s="588" t="s">
        <v>543</v>
      </c>
      <c r="G16" s="587" t="s">
        <v>544</v>
      </c>
      <c r="H16" s="587" t="s">
        <v>545</v>
      </c>
      <c r="I16" s="589" t="s">
        <v>546</v>
      </c>
      <c r="K16" s="618"/>
      <c r="L16" s="622"/>
      <c r="M16" s="622"/>
      <c r="N16" s="617"/>
      <c r="O16" s="585"/>
    </row>
    <row r="17" spans="3:19" x14ac:dyDescent="0.3">
      <c r="C17" s="586" t="s">
        <v>547</v>
      </c>
      <c r="D17" s="587" t="s">
        <v>548</v>
      </c>
      <c r="E17" s="587" t="s">
        <v>549</v>
      </c>
      <c r="F17" s="588" t="s">
        <v>550</v>
      </c>
      <c r="G17" s="587" t="s">
        <v>551</v>
      </c>
      <c r="H17" s="587" t="s">
        <v>545</v>
      </c>
      <c r="I17" s="590" t="s">
        <v>552</v>
      </c>
      <c r="K17" s="618"/>
      <c r="L17" s="622"/>
      <c r="M17" s="622"/>
      <c r="N17" s="617"/>
      <c r="O17" s="585"/>
    </row>
    <row r="18" spans="3:19" x14ac:dyDescent="0.3">
      <c r="C18" s="586" t="s">
        <v>553</v>
      </c>
      <c r="D18" s="587" t="s">
        <v>554</v>
      </c>
      <c r="E18" s="587" t="s">
        <v>555</v>
      </c>
      <c r="F18" s="588" t="s">
        <v>556</v>
      </c>
      <c r="G18" s="587" t="s">
        <v>557</v>
      </c>
      <c r="H18" s="587" t="s">
        <v>545</v>
      </c>
      <c r="I18" s="590" t="s">
        <v>558</v>
      </c>
      <c r="K18" s="618"/>
      <c r="L18" s="622"/>
      <c r="M18" s="622"/>
      <c r="N18" s="617"/>
      <c r="O18" s="585"/>
    </row>
    <row r="19" spans="3:19" x14ac:dyDescent="0.3">
      <c r="C19" s="586" t="s">
        <v>559</v>
      </c>
      <c r="D19" s="587" t="s">
        <v>560</v>
      </c>
      <c r="E19" s="587" t="s">
        <v>561</v>
      </c>
      <c r="F19" s="588" t="s">
        <v>562</v>
      </c>
      <c r="G19" s="587" t="s">
        <v>563</v>
      </c>
      <c r="H19" s="587" t="s">
        <v>545</v>
      </c>
      <c r="I19" s="593" t="s">
        <v>564</v>
      </c>
      <c r="K19" s="618"/>
      <c r="L19" s="622"/>
      <c r="M19" s="622"/>
      <c r="N19" s="617"/>
      <c r="O19" s="585"/>
    </row>
    <row r="20" spans="3:19" ht="15" thickBot="1" x14ac:dyDescent="0.35">
      <c r="C20" s="586" t="s">
        <v>565</v>
      </c>
      <c r="D20" s="587" t="s">
        <v>566</v>
      </c>
      <c r="E20" s="587" t="s">
        <v>567</v>
      </c>
      <c r="F20" s="588" t="s">
        <v>568</v>
      </c>
      <c r="G20" s="587" t="s">
        <v>551</v>
      </c>
      <c r="H20" s="587" t="s">
        <v>545</v>
      </c>
      <c r="I20" s="589" t="s">
        <v>569</v>
      </c>
      <c r="J20" s="559"/>
      <c r="K20" s="619"/>
      <c r="L20" s="620"/>
      <c r="M20" s="620"/>
      <c r="N20" s="621"/>
    </row>
    <row r="21" spans="3:19" x14ac:dyDescent="0.3">
      <c r="C21" s="586" t="s">
        <v>570</v>
      </c>
      <c r="D21" s="587" t="s">
        <v>571</v>
      </c>
      <c r="E21" s="587" t="s">
        <v>572</v>
      </c>
      <c r="F21" s="588" t="s">
        <v>573</v>
      </c>
      <c r="G21" s="587" t="s">
        <v>574</v>
      </c>
      <c r="H21" s="587" t="s">
        <v>545</v>
      </c>
      <c r="I21" s="589" t="s">
        <v>575</v>
      </c>
    </row>
    <row r="22" spans="3:19" x14ac:dyDescent="0.3">
      <c r="C22" s="586" t="s">
        <v>576</v>
      </c>
      <c r="D22" s="587" t="s">
        <v>577</v>
      </c>
      <c r="E22" s="587" t="s">
        <v>578</v>
      </c>
      <c r="F22" s="588" t="s">
        <v>579</v>
      </c>
      <c r="G22" s="587" t="s">
        <v>580</v>
      </c>
      <c r="H22" s="587" t="s">
        <v>545</v>
      </c>
      <c r="I22" s="591" t="s">
        <v>581</v>
      </c>
    </row>
    <row r="23" spans="3:19" x14ac:dyDescent="0.3">
      <c r="C23" s="586" t="s">
        <v>582</v>
      </c>
      <c r="D23" s="587" t="s">
        <v>583</v>
      </c>
      <c r="E23" s="587" t="s">
        <v>584</v>
      </c>
      <c r="F23" s="588" t="s">
        <v>585</v>
      </c>
      <c r="G23" s="587" t="s">
        <v>586</v>
      </c>
      <c r="H23" s="587" t="s">
        <v>545</v>
      </c>
      <c r="I23" s="589" t="s">
        <v>587</v>
      </c>
    </row>
    <row r="24" spans="3:19" x14ac:dyDescent="0.3">
      <c r="C24" s="586" t="s">
        <v>588</v>
      </c>
      <c r="D24" s="587" t="s">
        <v>589</v>
      </c>
      <c r="E24" s="587" t="s">
        <v>590</v>
      </c>
      <c r="F24" s="588" t="s">
        <v>591</v>
      </c>
      <c r="G24" s="587" t="s">
        <v>592</v>
      </c>
      <c r="H24" s="587" t="s">
        <v>593</v>
      </c>
      <c r="I24" s="589" t="s">
        <v>594</v>
      </c>
    </row>
    <row r="25" spans="3:19" x14ac:dyDescent="0.3">
      <c r="C25" s="586" t="s">
        <v>595</v>
      </c>
      <c r="D25" s="587" t="s">
        <v>596</v>
      </c>
      <c r="E25" s="587" t="s">
        <v>597</v>
      </c>
      <c r="F25" s="588" t="s">
        <v>598</v>
      </c>
      <c r="G25" s="587" t="s">
        <v>599</v>
      </c>
      <c r="H25" s="587" t="s">
        <v>593</v>
      </c>
      <c r="I25" s="589" t="s">
        <v>600</v>
      </c>
    </row>
    <row r="26" spans="3:19" x14ac:dyDescent="0.3">
      <c r="C26" s="586" t="s">
        <v>601</v>
      </c>
      <c r="D26" s="587" t="s">
        <v>602</v>
      </c>
      <c r="E26" s="587" t="s">
        <v>603</v>
      </c>
      <c r="F26" s="588" t="s">
        <v>604</v>
      </c>
      <c r="G26" s="587" t="s">
        <v>605</v>
      </c>
      <c r="H26" s="587" t="s">
        <v>593</v>
      </c>
      <c r="I26" s="589" t="s">
        <v>606</v>
      </c>
    </row>
    <row r="27" spans="3:19" x14ac:dyDescent="0.3">
      <c r="C27" s="586" t="s">
        <v>607</v>
      </c>
      <c r="D27" s="587" t="s">
        <v>608</v>
      </c>
      <c r="E27" s="587" t="s">
        <v>609</v>
      </c>
      <c r="F27" s="588" t="s">
        <v>610</v>
      </c>
      <c r="G27" s="587" t="s">
        <v>611</v>
      </c>
      <c r="H27" s="587" t="s">
        <v>593</v>
      </c>
      <c r="I27" s="589" t="s">
        <v>612</v>
      </c>
    </row>
    <row r="28" spans="3:19" ht="15" thickBot="1" x14ac:dyDescent="0.35">
      <c r="C28" s="594" t="s">
        <v>613</v>
      </c>
      <c r="D28" s="595" t="s">
        <v>614</v>
      </c>
      <c r="E28" s="595" t="s">
        <v>615</v>
      </c>
      <c r="F28" s="596" t="s">
        <v>616</v>
      </c>
      <c r="G28" s="595" t="s">
        <v>617</v>
      </c>
      <c r="H28" s="595" t="s">
        <v>593</v>
      </c>
      <c r="I28" s="597" t="s">
        <v>618</v>
      </c>
    </row>
    <row r="30" spans="3:19" s="572" customFormat="1" ht="15" thickBot="1" x14ac:dyDescent="0.35"/>
    <row r="31" spans="3:19" ht="15" thickBot="1" x14ac:dyDescent="0.35">
      <c r="C31" s="574" t="s">
        <v>647</v>
      </c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6"/>
    </row>
    <row r="32" spans="3:19" x14ac:dyDescent="0.3">
      <c r="C32" s="631" t="s">
        <v>292</v>
      </c>
      <c r="D32" s="570" t="s">
        <v>293</v>
      </c>
      <c r="E32" s="570" t="s">
        <v>294</v>
      </c>
      <c r="F32" s="570" t="s">
        <v>295</v>
      </c>
      <c r="G32" s="570" t="s">
        <v>296</v>
      </c>
      <c r="H32" s="570" t="s">
        <v>297</v>
      </c>
      <c r="I32" s="570" t="s">
        <v>298</v>
      </c>
      <c r="J32" s="570" t="s">
        <v>299</v>
      </c>
      <c r="K32" s="570" t="s">
        <v>300</v>
      </c>
      <c r="L32" s="570" t="s">
        <v>317</v>
      </c>
      <c r="M32" s="573" t="s">
        <v>619</v>
      </c>
      <c r="N32" s="573" t="s">
        <v>620</v>
      </c>
      <c r="O32" s="573" t="s">
        <v>621</v>
      </c>
      <c r="P32" s="573" t="s">
        <v>366</v>
      </c>
      <c r="Q32" s="573" t="s">
        <v>622</v>
      </c>
      <c r="R32" s="573" t="s">
        <v>623</v>
      </c>
      <c r="S32" s="632" t="s">
        <v>325</v>
      </c>
    </row>
    <row r="33" spans="3:19" x14ac:dyDescent="0.3">
      <c r="C33" s="633" t="s">
        <v>624</v>
      </c>
      <c r="D33" s="622" t="s">
        <v>625</v>
      </c>
      <c r="E33" s="622" t="s">
        <v>626</v>
      </c>
      <c r="F33" s="622" t="s">
        <v>627</v>
      </c>
      <c r="G33" s="622">
        <v>3336859865</v>
      </c>
      <c r="H33" s="622" t="s">
        <v>628</v>
      </c>
      <c r="I33" s="623" t="s">
        <v>525</v>
      </c>
      <c r="J33" s="624" t="s">
        <v>629</v>
      </c>
      <c r="K33" s="622" t="s">
        <v>630</v>
      </c>
      <c r="L33" s="622" t="s">
        <v>631</v>
      </c>
      <c r="M33" s="625">
        <v>3000</v>
      </c>
      <c r="N33" s="625"/>
      <c r="O33" s="625"/>
      <c r="P33" s="625"/>
      <c r="Q33" s="625"/>
      <c r="R33" s="625"/>
      <c r="S33" s="634"/>
    </row>
    <row r="34" spans="3:19" x14ac:dyDescent="0.3">
      <c r="C34" s="633" t="s">
        <v>632</v>
      </c>
      <c r="D34" s="622" t="s">
        <v>625</v>
      </c>
      <c r="E34" s="622" t="s">
        <v>633</v>
      </c>
      <c r="F34" s="622" t="s">
        <v>634</v>
      </c>
      <c r="G34" s="622">
        <v>3336859865</v>
      </c>
      <c r="H34" s="622" t="s">
        <v>635</v>
      </c>
      <c r="I34" s="623" t="s">
        <v>531</v>
      </c>
      <c r="J34" s="624" t="s">
        <v>636</v>
      </c>
      <c r="K34" s="622" t="s">
        <v>637</v>
      </c>
      <c r="L34" s="622" t="s">
        <v>631</v>
      </c>
      <c r="M34" s="625">
        <v>3000</v>
      </c>
      <c r="N34" s="625"/>
      <c r="O34" s="625"/>
      <c r="P34" s="625"/>
      <c r="Q34" s="625"/>
      <c r="R34" s="625"/>
      <c r="S34" s="634"/>
    </row>
    <row r="35" spans="3:19" x14ac:dyDescent="0.3">
      <c r="C35" s="633" t="s">
        <v>638</v>
      </c>
      <c r="D35" s="622" t="s">
        <v>625</v>
      </c>
      <c r="E35" s="622" t="s">
        <v>626</v>
      </c>
      <c r="F35" s="622" t="s">
        <v>627</v>
      </c>
      <c r="G35" s="622">
        <v>3336859865</v>
      </c>
      <c r="H35" s="622" t="s">
        <v>639</v>
      </c>
      <c r="I35" s="623" t="s">
        <v>537</v>
      </c>
      <c r="J35" s="624" t="s">
        <v>640</v>
      </c>
      <c r="K35" s="622" t="s">
        <v>641</v>
      </c>
      <c r="L35" s="622" t="s">
        <v>631</v>
      </c>
      <c r="M35" s="625">
        <v>3000</v>
      </c>
      <c r="N35" s="625"/>
      <c r="O35" s="625"/>
      <c r="P35" s="625"/>
      <c r="Q35" s="625"/>
      <c r="R35" s="625"/>
      <c r="S35" s="634"/>
    </row>
    <row r="36" spans="3:19" x14ac:dyDescent="0.3">
      <c r="C36" s="633" t="s">
        <v>642</v>
      </c>
      <c r="D36" s="622" t="s">
        <v>625</v>
      </c>
      <c r="E36" s="622" t="s">
        <v>643</v>
      </c>
      <c r="F36" s="622" t="s">
        <v>634</v>
      </c>
      <c r="G36" s="622">
        <v>3336859865</v>
      </c>
      <c r="H36" s="622" t="s">
        <v>644</v>
      </c>
      <c r="I36" s="623" t="s">
        <v>543</v>
      </c>
      <c r="J36" s="624" t="s">
        <v>645</v>
      </c>
      <c r="K36" s="622" t="s">
        <v>646</v>
      </c>
      <c r="L36" s="622" t="s">
        <v>631</v>
      </c>
      <c r="M36" s="625">
        <v>3000</v>
      </c>
      <c r="N36" s="625"/>
      <c r="O36" s="625"/>
      <c r="P36" s="625"/>
      <c r="Q36" s="625"/>
      <c r="R36" s="625"/>
      <c r="S36" s="634"/>
    </row>
    <row r="37" spans="3:19" ht="15" thickBot="1" x14ac:dyDescent="0.35">
      <c r="C37" s="619"/>
      <c r="D37" s="620"/>
      <c r="E37" s="620"/>
      <c r="F37" s="620"/>
      <c r="G37" s="620"/>
      <c r="H37" s="620"/>
      <c r="I37" s="620"/>
      <c r="J37" s="620"/>
      <c r="K37" s="620"/>
      <c r="L37" s="620"/>
      <c r="M37" s="620"/>
      <c r="N37" s="620"/>
      <c r="O37" s="620"/>
      <c r="P37" s="620"/>
      <c r="Q37" s="620"/>
      <c r="R37" s="620"/>
      <c r="S37" s="621"/>
    </row>
  </sheetData>
  <mergeCells count="6">
    <mergeCell ref="A2:AE2"/>
    <mergeCell ref="D5:E5"/>
    <mergeCell ref="I5:J5"/>
    <mergeCell ref="C6:I6"/>
    <mergeCell ref="C31:S31"/>
    <mergeCell ref="K6:N6"/>
  </mergeCells>
  <hyperlinks>
    <hyperlink ref="K24" r:id="rId1" display="andréa.melo29@email.com" xr:uid="{00000000-0004-0000-0300-000005000000}"/>
    <hyperlink ref="I11" r:id="rId2" xr:uid="{00000000-0004-0000-0300-000004000000}"/>
    <hyperlink ref="I22" r:id="rId3" xr:uid="{00000000-0004-0000-0300-000005000000}"/>
    <hyperlink ref="I15" r:id="rId4" xr:uid="{00000000-0004-0000-0300-000006000000}"/>
    <hyperlink ref="J33" r:id="rId5" xr:uid="{00000000-0004-0000-0300-000000000000}"/>
    <hyperlink ref="J34" r:id="rId6" xr:uid="{00000000-0004-0000-0300-000001000000}"/>
    <hyperlink ref="J35" r:id="rId7" xr:uid="{00000000-0004-0000-0300-000002000000}"/>
    <hyperlink ref="J36" r:id="rId8" xr:uid="{00000000-0004-0000-0300-000003000000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F36A3-E8FE-484D-A9BF-56F26CA0A013}">
  <sheetPr codeName="Planilha32">
    <tabColor rgb="FFFF0000"/>
  </sheetPr>
  <dimension ref="A1:AE37"/>
  <sheetViews>
    <sheetView showGridLines="0" zoomScale="55" zoomScaleNormal="55" workbookViewId="0">
      <selection activeCell="H11" sqref="H11"/>
    </sheetView>
  </sheetViews>
  <sheetFormatPr defaultRowHeight="14.4" x14ac:dyDescent="0.3"/>
  <cols>
    <col min="1" max="2" width="8.88671875" style="577"/>
    <col min="3" max="3" width="20.88671875" style="577" customWidth="1"/>
    <col min="4" max="4" width="28" style="577" bestFit="1" customWidth="1"/>
    <col min="5" max="5" width="21.33203125" style="577" customWidth="1"/>
    <col min="6" max="6" width="31" style="577" customWidth="1"/>
    <col min="7" max="7" width="32.6640625" style="577" bestFit="1" customWidth="1"/>
    <col min="8" max="8" width="24" style="577" bestFit="1" customWidth="1"/>
    <col min="9" max="10" width="24.5546875" style="577" bestFit="1" customWidth="1"/>
    <col min="11" max="11" width="17.88671875" style="577" bestFit="1" customWidth="1"/>
    <col min="12" max="12" width="28" style="577" bestFit="1" customWidth="1"/>
    <col min="13" max="13" width="21.33203125" style="577" bestFit="1" customWidth="1"/>
    <col min="14" max="14" width="31" style="577" bestFit="1" customWidth="1"/>
    <col min="15" max="16384" width="8.88671875" style="577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500"/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500"/>
      <c r="P2" s="500"/>
      <c r="Q2" s="500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</row>
    <row r="4" spans="1:31" x14ac:dyDescent="0.3">
      <c r="B4" s="245"/>
      <c r="C4" s="245"/>
      <c r="D4" s="245"/>
      <c r="E4" s="245"/>
      <c r="F4" s="245"/>
      <c r="G4" s="245"/>
      <c r="H4" s="245"/>
      <c r="I4" s="245"/>
      <c r="J4" s="245"/>
      <c r="K4" s="245"/>
    </row>
    <row r="5" spans="1:31" ht="17.399999999999999" x14ac:dyDescent="0.3">
      <c r="B5" s="245"/>
      <c r="C5" s="560"/>
      <c r="D5" s="561"/>
      <c r="E5" s="561"/>
      <c r="F5" s="245"/>
      <c r="G5" s="245"/>
      <c r="H5" s="560"/>
      <c r="I5" s="561"/>
      <c r="J5" s="561"/>
      <c r="K5" s="245"/>
    </row>
    <row r="6" spans="1:31" ht="17.399999999999999" x14ac:dyDescent="0.3">
      <c r="B6" s="245"/>
      <c r="C6" s="607" t="s">
        <v>651</v>
      </c>
      <c r="D6" s="607"/>
      <c r="E6" s="607"/>
      <c r="F6" s="607"/>
      <c r="G6" s="607"/>
      <c r="H6" s="361"/>
      <c r="I6" s="361"/>
      <c r="J6" s="563"/>
    </row>
    <row r="7" spans="1:31" x14ac:dyDescent="0.3">
      <c r="B7" s="245"/>
      <c r="C7" s="578" t="s">
        <v>285</v>
      </c>
      <c r="D7" s="578" t="s">
        <v>648</v>
      </c>
      <c r="E7" s="579" t="s">
        <v>377</v>
      </c>
      <c r="F7" s="578" t="s">
        <v>378</v>
      </c>
      <c r="G7" s="578" t="s">
        <v>649</v>
      </c>
      <c r="H7" s="598"/>
      <c r="I7" s="598"/>
      <c r="J7" s="560"/>
    </row>
    <row r="8" spans="1:31" x14ac:dyDescent="0.3">
      <c r="B8" s="245"/>
      <c r="C8" s="580"/>
      <c r="D8" s="580"/>
      <c r="E8" s="581">
        <v>20</v>
      </c>
      <c r="F8" s="580"/>
      <c r="G8" s="580" t="s">
        <v>650</v>
      </c>
      <c r="H8" s="599"/>
      <c r="I8" s="128"/>
      <c r="J8" s="560"/>
    </row>
    <row r="9" spans="1:31" x14ac:dyDescent="0.3">
      <c r="B9" s="245"/>
      <c r="C9" s="580"/>
      <c r="D9" s="582"/>
      <c r="E9" s="583">
        <v>30</v>
      </c>
      <c r="F9" s="580"/>
      <c r="G9" s="580" t="s">
        <v>650</v>
      </c>
      <c r="H9" s="599"/>
      <c r="I9" s="585"/>
      <c r="J9" s="560"/>
    </row>
    <row r="10" spans="1:31" x14ac:dyDescent="0.3">
      <c r="B10" s="245"/>
      <c r="C10" s="580"/>
      <c r="D10" s="580"/>
      <c r="E10" s="583">
        <v>23</v>
      </c>
      <c r="F10" s="580"/>
      <c r="G10" s="580" t="s">
        <v>650</v>
      </c>
      <c r="H10" s="599"/>
      <c r="I10" s="128"/>
      <c r="J10" s="560"/>
    </row>
    <row r="11" spans="1:31" x14ac:dyDescent="0.3">
      <c r="B11" s="245"/>
      <c r="C11" s="580"/>
      <c r="D11" s="580"/>
      <c r="E11" s="583">
        <v>50</v>
      </c>
      <c r="F11" s="580"/>
      <c r="G11" s="580" t="s">
        <v>650</v>
      </c>
      <c r="H11" s="599"/>
      <c r="I11" s="600"/>
      <c r="J11" s="245"/>
    </row>
    <row r="12" spans="1:31" x14ac:dyDescent="0.3">
      <c r="B12" s="245"/>
      <c r="C12" s="580"/>
      <c r="D12" s="580"/>
      <c r="E12" s="583">
        <v>77</v>
      </c>
      <c r="F12" s="580"/>
      <c r="G12" s="580" t="s">
        <v>650</v>
      </c>
      <c r="H12" s="599"/>
      <c r="I12" s="585"/>
      <c r="J12" s="245"/>
    </row>
    <row r="13" spans="1:31" x14ac:dyDescent="0.3">
      <c r="B13" s="245"/>
      <c r="C13" s="580"/>
      <c r="D13" s="580"/>
      <c r="E13" s="583">
        <v>55</v>
      </c>
      <c r="F13" s="580"/>
      <c r="G13" s="580" t="s">
        <v>650</v>
      </c>
      <c r="H13" s="599"/>
      <c r="I13" s="128"/>
      <c r="J13" s="245"/>
    </row>
    <row r="14" spans="1:31" x14ac:dyDescent="0.3">
      <c r="C14" s="580"/>
      <c r="D14" s="580"/>
      <c r="E14" s="583">
        <v>130</v>
      </c>
      <c r="F14" s="580"/>
      <c r="G14" s="580" t="s">
        <v>650</v>
      </c>
      <c r="H14" s="599"/>
      <c r="I14" s="128"/>
    </row>
    <row r="15" spans="1:31" x14ac:dyDescent="0.3">
      <c r="C15" s="580"/>
      <c r="D15" s="580"/>
      <c r="E15" s="583">
        <v>62</v>
      </c>
      <c r="F15" s="580"/>
      <c r="G15" s="580" t="s">
        <v>650</v>
      </c>
      <c r="H15" s="599"/>
      <c r="I15" s="601"/>
    </row>
    <row r="16" spans="1:31" x14ac:dyDescent="0.3">
      <c r="C16" s="580"/>
      <c r="D16" s="580"/>
      <c r="E16" s="583">
        <v>8</v>
      </c>
      <c r="F16" s="580"/>
      <c r="G16" s="580" t="s">
        <v>650</v>
      </c>
      <c r="H16" s="599"/>
      <c r="I16" s="128"/>
    </row>
    <row r="17" spans="3:19" x14ac:dyDescent="0.3">
      <c r="C17" s="580"/>
      <c r="D17" s="580"/>
      <c r="E17" s="583">
        <v>54</v>
      </c>
      <c r="F17" s="580"/>
      <c r="G17" s="580" t="s">
        <v>650</v>
      </c>
      <c r="H17" s="599"/>
      <c r="I17" s="585"/>
    </row>
    <row r="18" spans="3:19" x14ac:dyDescent="0.3">
      <c r="C18" s="580"/>
      <c r="D18" s="580"/>
      <c r="E18" s="583">
        <v>4</v>
      </c>
      <c r="F18" s="580"/>
      <c r="G18" s="580" t="s">
        <v>650</v>
      </c>
      <c r="H18" s="599"/>
      <c r="I18" s="585"/>
    </row>
    <row r="19" spans="3:19" x14ac:dyDescent="0.3">
      <c r="C19" s="580"/>
      <c r="D19" s="580"/>
      <c r="E19" s="583">
        <v>64</v>
      </c>
      <c r="F19" s="580"/>
      <c r="G19" s="580" t="s">
        <v>650</v>
      </c>
      <c r="H19" s="599"/>
      <c r="I19" s="126"/>
    </row>
    <row r="20" spans="3:19" x14ac:dyDescent="0.3">
      <c r="C20" s="580"/>
      <c r="D20" s="580"/>
      <c r="E20" s="583">
        <v>78</v>
      </c>
      <c r="F20" s="580"/>
      <c r="G20" s="580" t="s">
        <v>650</v>
      </c>
      <c r="H20" s="599"/>
      <c r="I20" s="128"/>
      <c r="J20" s="559"/>
      <c r="K20" s="559"/>
      <c r="L20" s="245"/>
    </row>
    <row r="21" spans="3:19" ht="15" thickBot="1" x14ac:dyDescent="0.35">
      <c r="C21" s="599"/>
      <c r="D21" s="599"/>
      <c r="E21" s="599"/>
      <c r="F21" s="128"/>
      <c r="G21" s="599"/>
      <c r="H21" s="599"/>
      <c r="I21" s="128"/>
    </row>
    <row r="22" spans="3:19" ht="17.399999999999999" x14ac:dyDescent="0.3">
      <c r="C22" s="611" t="s">
        <v>652</v>
      </c>
      <c r="D22" s="612"/>
      <c r="E22" s="612"/>
      <c r="F22" s="612"/>
      <c r="G22" s="612"/>
      <c r="H22" s="612"/>
      <c r="I22" s="612"/>
      <c r="J22" s="613"/>
      <c r="K22" s="610"/>
    </row>
    <row r="23" spans="3:19" ht="17.399999999999999" x14ac:dyDescent="0.3">
      <c r="C23" s="614" t="s">
        <v>222</v>
      </c>
      <c r="D23" s="50" t="s">
        <v>653</v>
      </c>
      <c r="E23" s="50" t="s">
        <v>436</v>
      </c>
      <c r="F23" s="50" t="s">
        <v>654</v>
      </c>
      <c r="G23" s="50" t="s">
        <v>655</v>
      </c>
      <c r="H23" s="50" t="s">
        <v>656</v>
      </c>
      <c r="I23" s="50" t="s">
        <v>657</v>
      </c>
      <c r="J23" s="615" t="s">
        <v>658</v>
      </c>
      <c r="K23" s="562" t="s">
        <v>261</v>
      </c>
    </row>
    <row r="24" spans="3:19" ht="18" x14ac:dyDescent="0.3">
      <c r="C24" s="616"/>
      <c r="D24" s="609"/>
      <c r="E24" s="609"/>
      <c r="F24" s="609"/>
      <c r="G24" s="609"/>
      <c r="H24" s="608"/>
      <c r="I24" s="608"/>
      <c r="J24" s="617"/>
      <c r="K24" s="245"/>
    </row>
    <row r="25" spans="3:19" ht="18" x14ac:dyDescent="0.3">
      <c r="C25" s="616"/>
      <c r="D25" s="609"/>
      <c r="E25" s="609"/>
      <c r="F25" s="609"/>
      <c r="G25" s="609"/>
      <c r="H25" s="608"/>
      <c r="I25" s="608"/>
      <c r="J25" s="617"/>
      <c r="K25" s="245"/>
    </row>
    <row r="26" spans="3:19" x14ac:dyDescent="0.3">
      <c r="C26" s="618"/>
      <c r="D26" s="608"/>
      <c r="E26" s="608"/>
      <c r="F26" s="608"/>
      <c r="G26" s="608"/>
      <c r="H26" s="608"/>
      <c r="I26" s="608"/>
      <c r="J26" s="617"/>
      <c r="K26" s="245"/>
    </row>
    <row r="27" spans="3:19" x14ac:dyDescent="0.3">
      <c r="C27" s="618"/>
      <c r="D27" s="608"/>
      <c r="E27" s="608"/>
      <c r="F27" s="608"/>
      <c r="G27" s="608"/>
      <c r="H27" s="608"/>
      <c r="I27" s="608"/>
      <c r="J27" s="617"/>
      <c r="K27" s="245"/>
    </row>
    <row r="28" spans="3:19" x14ac:dyDescent="0.3">
      <c r="C28" s="618"/>
      <c r="D28" s="608"/>
      <c r="E28" s="608"/>
      <c r="F28" s="608"/>
      <c r="G28" s="608"/>
      <c r="H28" s="608"/>
      <c r="I28" s="608"/>
      <c r="J28" s="617"/>
      <c r="K28" s="245"/>
    </row>
    <row r="29" spans="3:19" ht="15" thickBot="1" x14ac:dyDescent="0.35">
      <c r="C29" s="619"/>
      <c r="D29" s="620"/>
      <c r="E29" s="620"/>
      <c r="F29" s="620"/>
      <c r="G29" s="620"/>
      <c r="H29" s="620"/>
      <c r="I29" s="620"/>
      <c r="J29" s="621"/>
      <c r="K29" s="245"/>
    </row>
    <row r="31" spans="3:19" x14ac:dyDescent="0.3">
      <c r="C31" s="602"/>
      <c r="D31" s="602"/>
      <c r="E31" s="602"/>
      <c r="F31" s="602"/>
      <c r="G31" s="602"/>
      <c r="H31" s="602"/>
      <c r="I31" s="602"/>
      <c r="J31" s="602"/>
      <c r="K31" s="602"/>
      <c r="L31" s="602"/>
      <c r="M31" s="602"/>
      <c r="N31" s="602"/>
      <c r="O31" s="602"/>
      <c r="P31" s="602"/>
      <c r="Q31" s="602"/>
      <c r="R31" s="602"/>
      <c r="S31" s="602"/>
    </row>
    <row r="32" spans="3:19" x14ac:dyDescent="0.3">
      <c r="C32" s="603"/>
      <c r="D32" s="603"/>
      <c r="E32" s="603"/>
      <c r="F32" s="603"/>
      <c r="G32" s="603"/>
      <c r="H32" s="603"/>
      <c r="I32" s="603"/>
      <c r="J32" s="603"/>
      <c r="K32" s="603"/>
      <c r="L32" s="603"/>
      <c r="M32" s="604"/>
      <c r="N32" s="604"/>
      <c r="O32" s="604"/>
      <c r="P32" s="604"/>
      <c r="Q32" s="604"/>
      <c r="R32" s="604"/>
      <c r="S32" s="604"/>
    </row>
    <row r="33" spans="3:19" x14ac:dyDescent="0.3">
      <c r="C33" s="560"/>
      <c r="D33" s="245"/>
      <c r="E33" s="245"/>
      <c r="F33" s="245"/>
      <c r="G33" s="245"/>
      <c r="H33" s="245"/>
      <c r="I33" s="128"/>
      <c r="J33" s="605"/>
      <c r="K33" s="245"/>
      <c r="L33" s="245"/>
      <c r="M33" s="606"/>
      <c r="N33" s="606"/>
      <c r="O33" s="606"/>
      <c r="P33" s="606"/>
      <c r="Q33" s="606"/>
      <c r="R33" s="606"/>
      <c r="S33" s="606"/>
    </row>
    <row r="34" spans="3:19" x14ac:dyDescent="0.3">
      <c r="C34" s="560"/>
      <c r="D34" s="245"/>
      <c r="E34" s="245"/>
      <c r="F34" s="245"/>
      <c r="G34" s="245"/>
      <c r="H34" s="245"/>
      <c r="I34" s="128"/>
      <c r="J34" s="605"/>
      <c r="K34" s="245"/>
      <c r="L34" s="245"/>
      <c r="M34" s="606"/>
      <c r="N34" s="606"/>
      <c r="O34" s="606"/>
      <c r="P34" s="606"/>
      <c r="Q34" s="606"/>
      <c r="R34" s="606"/>
      <c r="S34" s="606"/>
    </row>
    <row r="35" spans="3:19" x14ac:dyDescent="0.3">
      <c r="C35" s="560"/>
      <c r="D35" s="245"/>
      <c r="E35" s="245"/>
      <c r="F35" s="245"/>
      <c r="G35" s="245"/>
      <c r="H35" s="245"/>
      <c r="I35" s="128"/>
      <c r="J35" s="605"/>
      <c r="K35" s="245"/>
      <c r="L35" s="245"/>
      <c r="M35" s="606"/>
      <c r="N35" s="606"/>
      <c r="O35" s="606"/>
      <c r="P35" s="606"/>
      <c r="Q35" s="606"/>
      <c r="R35" s="606"/>
      <c r="S35" s="606"/>
    </row>
    <row r="36" spans="3:19" x14ac:dyDescent="0.3">
      <c r="C36" s="560"/>
      <c r="D36" s="245"/>
      <c r="E36" s="245"/>
      <c r="F36" s="245"/>
      <c r="G36" s="245"/>
      <c r="H36" s="245"/>
      <c r="I36" s="128"/>
      <c r="J36" s="605"/>
      <c r="K36" s="245"/>
      <c r="L36" s="245"/>
      <c r="M36" s="606"/>
      <c r="N36" s="606"/>
      <c r="O36" s="606"/>
      <c r="P36" s="606"/>
      <c r="Q36" s="606"/>
      <c r="R36" s="606"/>
      <c r="S36" s="606"/>
    </row>
    <row r="37" spans="3:19" x14ac:dyDescent="0.3"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</row>
  </sheetData>
  <mergeCells count="5">
    <mergeCell ref="C22:J22"/>
    <mergeCell ref="A2:AE2"/>
    <mergeCell ref="D5:E5"/>
    <mergeCell ref="I5:J5"/>
    <mergeCell ref="C6:G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N_LOGRASTR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N_VCONTROLE</vt:lpstr>
      <vt:lpstr>N_VMETAS</vt:lpstr>
      <vt:lpstr>N_CCADASTROF</vt:lpstr>
      <vt:lpstr>N_PROCFOR</vt:lpstr>
      <vt:lpstr>N_CMP</vt:lpstr>
      <vt:lpstr>N_CSOLICITAR</vt:lpstr>
      <vt:lpstr>N_CREALIZARP</vt:lpstr>
      <vt:lpstr>N_CUSTOFIXOEVARIAVEL</vt:lpstr>
      <vt:lpstr>N_DRE</vt:lpstr>
      <vt:lpstr>N_VALORESPRODUTOS</vt:lpstr>
      <vt:lpstr>BANCO DE DADOS</vt:lpstr>
      <vt:lpstr>BD_CADAS</vt:lpstr>
      <vt:lpstr>BD_CADAS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2024-11-14T00:01:43Z</dcterms:modified>
  <cp:category/>
  <cp:contentStatus/>
</cp:coreProperties>
</file>