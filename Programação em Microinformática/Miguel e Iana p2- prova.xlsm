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INDICE_CORRESP1" sheetId="1" r:id="rId5"/>
    <sheet state="visible" name="INDICE_CORRESP2" sheetId="2" r:id="rId6"/>
    <sheet state="visible" name="FORMULARIO_DADOS1" sheetId="3" r:id="rId7"/>
    <sheet state="visible" name="BASE_DADOS_1" sheetId="4" r:id="rId8"/>
    <sheet state="visible" name="FILTRO E MACRO" sheetId="5" r:id="rId9"/>
    <sheet state="visible" name="MACRO CALCULOS" sheetId="6" r:id="rId10"/>
  </sheets>
  <definedNames/>
  <calcPr/>
  <extLst>
    <ext uri="GoogleSheetsCustomDataVersion2">
      <go:sheetsCustomData xmlns:go="http://customooxmlschemas.google.com/" r:id="rId11" roundtripDataChecksum="xza0gRwZKRJFDullwanfTWmU8ebEe6bq3PXeh3pVjGo="/>
    </ext>
  </extLst>
</workbook>
</file>

<file path=xl/sharedStrings.xml><?xml version="1.0" encoding="utf-8"?>
<sst xmlns="http://schemas.openxmlformats.org/spreadsheetml/2006/main" count="181" uniqueCount="80">
  <si>
    <t>TABELA DE PRE-AGENDAMENTO DE PROVAS - VESTIBULAR 2018 - POR CURSO</t>
  </si>
  <si>
    <t>PROFESSOR RESPONSAVEL</t>
  </si>
  <si>
    <t>AREA DO CURSO</t>
  </si>
  <si>
    <t>HORARIO DA PROVA</t>
  </si>
  <si>
    <t>DIA DA PROVA</t>
  </si>
  <si>
    <t>PATRICIA CAMPOS</t>
  </si>
  <si>
    <t>MATEMÁTICA</t>
  </si>
  <si>
    <t>08h AS 16h</t>
  </si>
  <si>
    <t>segunda</t>
  </si>
  <si>
    <t>KLEBER MATHIAS</t>
  </si>
  <si>
    <t>FISICA</t>
  </si>
  <si>
    <t>08h as 17h</t>
  </si>
  <si>
    <t>terça</t>
  </si>
  <si>
    <t>THAIS OLIVEIRA</t>
  </si>
  <si>
    <t>LOGISTICA</t>
  </si>
  <si>
    <t>09h as 18h</t>
  </si>
  <si>
    <t>GABRIEL RIBEIRO</t>
  </si>
  <si>
    <t>HISTORIA</t>
  </si>
  <si>
    <t>09h as 17h30</t>
  </si>
  <si>
    <t>quarta</t>
  </si>
  <si>
    <t>EVERTON CASTRO</t>
  </si>
  <si>
    <t>FILOSOFIA</t>
  </si>
  <si>
    <t>08h as 18h</t>
  </si>
  <si>
    <t>JESSICA NUNES</t>
  </si>
  <si>
    <t>GEOGRAFIA</t>
  </si>
  <si>
    <t>quinta</t>
  </si>
  <si>
    <t>RITA BRANDÃO</t>
  </si>
  <si>
    <t>QUIMICA</t>
  </si>
  <si>
    <t>SUELI BUENO</t>
  </si>
  <si>
    <t>ENGENHARIA</t>
  </si>
  <si>
    <t>VICTOR SALLES</t>
  </si>
  <si>
    <t>ARQUITETURA</t>
  </si>
  <si>
    <t>VERA VEIGA</t>
  </si>
  <si>
    <t>ODONTOLOGIA</t>
  </si>
  <si>
    <t>FABIO REZENDE</t>
  </si>
  <si>
    <t>PSICOLOGIA</t>
  </si>
  <si>
    <t>sexta</t>
  </si>
  <si>
    <t>LUIZ RAMOS</t>
  </si>
  <si>
    <t>ADMINISTRAÇAO</t>
  </si>
  <si>
    <t>CARLOS FERREIRA</t>
  </si>
  <si>
    <t>CIENCIAS CONTÁBEIS</t>
  </si>
  <si>
    <t>KATIA VERBER</t>
  </si>
  <si>
    <t>CIENCIAS DA COMPUTAÇAO</t>
  </si>
  <si>
    <t>AGENDA ALUNOS DE ACORDO COM O CURSO</t>
  </si>
  <si>
    <t>N</t>
  </si>
  <si>
    <t>NOME DO CANDIDATO</t>
  </si>
  <si>
    <t>PROFESSOR</t>
  </si>
  <si>
    <t>HORARIO</t>
  </si>
  <si>
    <t xml:space="preserve">DIA </t>
  </si>
  <si>
    <t>Miguel</t>
  </si>
  <si>
    <t>Iana</t>
  </si>
  <si>
    <t>Benjamin</t>
  </si>
  <si>
    <t>Evelyn</t>
  </si>
  <si>
    <t>Felipe</t>
  </si>
  <si>
    <t>Julia</t>
  </si>
  <si>
    <t>Marcos</t>
  </si>
  <si>
    <t>Rafael</t>
  </si>
  <si>
    <t>Murilo</t>
  </si>
  <si>
    <t>CRIE UMA FUNÇAO USANDO INDICE E CORRESP PARA PRENCHER A TABELA ACIMA, ONDE DEVERÁ SER DIGITADO O NOME DO CANDIDATO E ÁREA DO CURSO, E A PARTIR DAI SURGIRA O RESULTADO COM O NOME DO PROFESSOR, O HORARIO E O DIA DA SEMANA</t>
  </si>
  <si>
    <t>FAÇA COM QUE A ABA DA ÁREA DO CURSO FIQUE OS DADOS APARECENDO AUTOMATICAMENTE, ATRAVÉS VALIDAÇÃO DE DADOS DA TABELA ANTERIOR</t>
  </si>
  <si>
    <t>AREA DE ATUAÇAO</t>
  </si>
  <si>
    <t>SALARIO BRUTO</t>
  </si>
  <si>
    <t>INSS (11%)</t>
  </si>
  <si>
    <t>IR (12,5%)</t>
  </si>
  <si>
    <t>SALARIO LIQUIDO</t>
  </si>
  <si>
    <t>CALCULE OS INSS, IR E SALARIO LIQUIDO NO FORMULÁRUI ACIMA, CRIANDO 3 FUNÇOES  EM VBA</t>
  </si>
  <si>
    <t>CRIE UMA MACRO QUE LANCE OS DADOS AQUI INSERIDOS PARA A PLANIHA BASE_DADOS_1</t>
  </si>
  <si>
    <t>CRIE OUTRA MACRO QUE PERMITA A GRAVAÇAO DO ARQUIVO COM OUTRO NOME ( a macro devera mostrar a abertura do menu - ARQUIVO - SALVAR COMO)</t>
  </si>
  <si>
    <t>NOME</t>
  </si>
  <si>
    <t>INSS</t>
  </si>
  <si>
    <t>IR</t>
  </si>
  <si>
    <t>,</t>
  </si>
  <si>
    <t>CRIE UM FILTRO NA TABELA AO LADO</t>
  </si>
  <si>
    <t>CRIE BOTOES COM TODOS OS DIAS DA SEMANA</t>
  </si>
  <si>
    <t>ATRIBUA MACROS A CADA UM DOS BOTOES DE FORMA QUE AO SEREM CLICADOS APAREÇAM APENAS OS PROFESSORES, AREA DE ATUAÇAO E HORARIO, DAQUELE DIA</t>
  </si>
  <si>
    <t>RESULTADO</t>
  </si>
  <si>
    <t>ABRA ABA DENTRO DESTE ARQUIVO CONTENDO VALORES ACIMA:</t>
  </si>
  <si>
    <t>CRIE UM PROGRAMA EM VBA QUE FAÇA A SOMA DAS COLUNA ACIMAS E EM SEGUIDA SUBTRAIA O RESULTADO DA PRIMEIRA COM A SEGUNDA COLUNA E MULTIPLIQUE COM O RESULTADO DA TERCEIRA</t>
  </si>
  <si>
    <t>CRIE UM BOTAO PARA APLICAR O RESULTADO DO CALCULO A SER FEITO</t>
  </si>
  <si>
    <t>O RESULTADO DEVERA SER APRESENTADO NA CELULA F1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</si>
</sst>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_-&quot;R$&quot;\ * #,##0.00_-;\-&quot;R$&quot;\ * #,##0.00_-;_-&quot;R$&quot;\ * &quot;-&quot;??_-;_-@"/>
    <numFmt numFmtId="165" formatCode="&quot;R$&quot;\ #,##0.00;\-&quot;R$&quot;\ #,##0.00"/>
  </numFmts>
  <fonts count="6">
    <font>
      <sz val="11.0"/>
      <color theme="1"/>
      <name val="Calibri"/>
      <scheme val="minor"/>
    </font>
    <font>
      <sz val="11.0"/>
      <color theme="1"/>
      <name val="Calibri"/>
    </font>
    <font/>
    <font>
      <sz val="11.0"/>
      <color theme="0"/>
      <name val="Aharoni"/>
    </font>
    <font>
      <color theme="1"/>
      <name val="Calibri"/>
      <scheme val="minor"/>
    </font>
    <font>
      <b/>
      <sz val="11.0"/>
      <color theme="0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2F5496"/>
        <bgColor rgb="FF2F5496"/>
      </patternFill>
    </fill>
    <fill>
      <patternFill patternType="solid">
        <fgColor rgb="FFADB9CA"/>
        <bgColor rgb="FFADB9CA"/>
      </patternFill>
    </fill>
  </fills>
  <borders count="26">
    <border/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right/>
      <top/>
      <bottom/>
    </border>
    <border>
      <left/>
      <top/>
      <bottom/>
    </border>
    <border>
      <right/>
      <top/>
      <bottom/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0" fontId="2" numFmtId="0" xfId="0" applyBorder="1" applyFont="1"/>
    <xf borderId="3" fillId="0" fontId="2" numFmtId="0" xfId="0" applyBorder="1" applyFont="1"/>
    <xf borderId="4" fillId="0" fontId="1" numFmtId="0" xfId="0" applyBorder="1" applyFont="1"/>
    <xf borderId="5" fillId="2" fontId="1" numFmtId="0" xfId="0" applyAlignment="1" applyBorder="1" applyFont="1">
      <alignment horizontal="center"/>
    </xf>
    <xf borderId="6" fillId="0" fontId="2" numFmtId="0" xfId="0" applyBorder="1" applyFont="1"/>
    <xf borderId="7" fillId="0" fontId="2" numFmtId="0" xfId="0" applyBorder="1" applyFont="1"/>
    <xf borderId="4" fillId="2" fontId="1" numFmtId="0" xfId="0" applyBorder="1" applyFont="1"/>
    <xf borderId="4" fillId="3" fontId="1" numFmtId="0" xfId="0" applyBorder="1" applyFill="1" applyFont="1"/>
    <xf borderId="8" fillId="4" fontId="1" numFmtId="0" xfId="0" applyAlignment="1" applyBorder="1" applyFill="1" applyFont="1">
      <alignment horizontal="left" shrinkToFit="0" vertical="center" wrapText="1"/>
    </xf>
    <xf borderId="9" fillId="0" fontId="2" numFmtId="0" xfId="0" applyBorder="1" applyFont="1"/>
    <xf borderId="10" fillId="0" fontId="2" numFmtId="0" xfId="0" applyBorder="1" applyFont="1"/>
    <xf borderId="11" fillId="0" fontId="2" numFmtId="0" xfId="0" applyBorder="1" applyFont="1"/>
    <xf borderId="12" fillId="0" fontId="2" numFmtId="0" xfId="0" applyBorder="1" applyFont="1"/>
    <xf borderId="13" fillId="0" fontId="2" numFmtId="0" xfId="0" applyBorder="1" applyFont="1"/>
    <xf borderId="8" fillId="4" fontId="1" numFmtId="0" xfId="0" applyAlignment="1" applyBorder="1" applyFont="1">
      <alignment shrinkToFit="0" wrapText="1"/>
    </xf>
    <xf borderId="14" fillId="5" fontId="1" numFmtId="0" xfId="0" applyBorder="1" applyFill="1" applyFont="1"/>
    <xf borderId="14" fillId="6" fontId="1" numFmtId="0" xfId="0" applyBorder="1" applyFill="1" applyFont="1"/>
    <xf borderId="15" fillId="6" fontId="3" numFmtId="0" xfId="0" applyAlignment="1" applyBorder="1" applyFont="1">
      <alignment horizontal="left"/>
    </xf>
    <xf borderId="16" fillId="0" fontId="2" numFmtId="0" xfId="0" applyBorder="1" applyFont="1"/>
    <xf borderId="14" fillId="6" fontId="1" numFmtId="0" xfId="0" applyAlignment="1" applyBorder="1" applyFont="1">
      <alignment horizontal="left"/>
    </xf>
    <xf borderId="0" fillId="0" fontId="4" numFmtId="0" xfId="0" applyAlignment="1" applyFont="1">
      <alignment readingOrder="0"/>
    </xf>
    <xf borderId="4" fillId="3" fontId="1" numFmtId="164" xfId="0" applyBorder="1" applyFont="1" applyNumberFormat="1"/>
    <xf borderId="4" fillId="3" fontId="1" numFmtId="165" xfId="0" applyBorder="1" applyFont="1" applyNumberFormat="1"/>
    <xf borderId="14" fillId="6" fontId="1" numFmtId="164" xfId="0" applyBorder="1" applyFont="1" applyNumberFormat="1"/>
    <xf borderId="0" fillId="0" fontId="4" numFmtId="0" xfId="0" applyFont="1"/>
    <xf borderId="0" fillId="0" fontId="1" numFmtId="0" xfId="0" applyAlignment="1" applyFont="1">
      <alignment horizontal="left" shrinkToFit="0" vertical="center" wrapText="1"/>
    </xf>
    <xf borderId="4" fillId="5" fontId="5" numFmtId="0" xfId="0" applyBorder="1" applyFont="1"/>
    <xf borderId="0" fillId="0" fontId="1" numFmtId="0" xfId="0" applyAlignment="1" applyFont="1">
      <alignment horizontal="left"/>
    </xf>
    <xf borderId="17" fillId="3" fontId="1" numFmtId="0" xfId="0" applyBorder="1" applyFont="1"/>
    <xf borderId="18" fillId="3" fontId="1" numFmtId="0" xfId="0" applyBorder="1" applyFont="1"/>
    <xf borderId="19" fillId="3" fontId="1" numFmtId="0" xfId="0" applyBorder="1" applyFont="1"/>
    <xf borderId="20" fillId="3" fontId="1" numFmtId="0" xfId="0" applyBorder="1" applyFont="1"/>
    <xf borderId="4" fillId="3" fontId="1" numFmtId="0" xfId="0" applyBorder="1" applyFont="1"/>
    <xf borderId="21" fillId="3" fontId="1" numFmtId="0" xfId="0" applyBorder="1" applyFont="1"/>
    <xf borderId="22" fillId="0" fontId="1" numFmtId="0" xfId="0" applyAlignment="1" applyBorder="1" applyFont="1">
      <alignment horizontal="left"/>
    </xf>
    <xf borderId="22" fillId="0" fontId="1" numFmtId="0" xfId="0" applyAlignment="1" applyBorder="1" applyFont="1">
      <alignment shrinkToFit="0" wrapText="1"/>
    </xf>
    <xf borderId="22" fillId="0" fontId="2" numFmtId="0" xfId="0" applyBorder="1" applyFont="1"/>
    <xf borderId="23" fillId="3" fontId="1" numFmtId="0" xfId="0" applyBorder="1" applyFont="1"/>
    <xf borderId="24" fillId="3" fontId="1" numFmtId="0" xfId="0" applyBorder="1" applyFont="1"/>
    <xf borderId="25" fillId="3" fontId="1" numFmtId="0" xfId="0" applyBorder="1" applyFont="1"/>
    <xf borderId="4" fillId="4" fontId="1" numFmtId="0" xfId="0" applyBorder="1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1">
    <tableStyle count="3" pivot="0" name="FILTRO E MACRO-style">
      <tableStyleElement dxfId="1" type="headerRow"/>
      <tableStyleElement dxfId="2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200025</xdr:colOff>
      <xdr:row>15</xdr:row>
      <xdr:rowOff>19050</xdr:rowOff>
    </xdr:from>
    <xdr:ext cx="942975" cy="276225"/>
    <xdr:sp>
      <xdr:nvSpPr>
        <xdr:cNvPr id="3" name="Shape 3"/>
        <xdr:cNvSpPr/>
      </xdr:nvSpPr>
      <xdr:spPr>
        <a:xfrm>
          <a:off x="4879275" y="3646650"/>
          <a:ext cx="933450" cy="266700"/>
        </a:xfrm>
        <a:prstGeom prst="rect">
          <a:avLst/>
        </a:prstGeom>
        <a:solidFill>
          <a:srgbClr val="2F5496"/>
        </a:solidFill>
        <a:ln cap="flat" cmpd="sng" w="12700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CADASTRAR</a:t>
          </a:r>
          <a:endParaRPr sz="1400"/>
        </a:p>
      </xdr:txBody>
    </xdr:sp>
    <xdr:clientData fLocksWithSheet="0"/>
  </xdr:oneCellAnchor>
  <xdr:oneCellAnchor>
    <xdr:from>
      <xdr:col>8</xdr:col>
      <xdr:colOff>1047750</xdr:colOff>
      <xdr:row>15</xdr:row>
      <xdr:rowOff>9525</xdr:rowOff>
    </xdr:from>
    <xdr:ext cx="1333500" cy="276225"/>
    <xdr:sp>
      <xdr:nvSpPr>
        <xdr:cNvPr id="4" name="Shape 4"/>
        <xdr:cNvSpPr/>
      </xdr:nvSpPr>
      <xdr:spPr>
        <a:xfrm>
          <a:off x="4684013" y="3646650"/>
          <a:ext cx="1323975" cy="266700"/>
        </a:xfrm>
        <a:prstGeom prst="rect">
          <a:avLst/>
        </a:prstGeom>
        <a:solidFill>
          <a:srgbClr val="2F5496"/>
        </a:solidFill>
        <a:ln cap="flat" cmpd="sng" w="12700">
          <a:solidFill>
            <a:schemeClr val="dk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SALVAR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ARQUIVOS</a:t>
          </a:r>
          <a:endParaRPr b="1" sz="11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2:D16" displayName="Table_1" name="Table_1" id="1">
  <tableColumns count="4">
    <tableColumn name="PROFESSOR RESPONSAVEL" id="1"/>
    <tableColumn name="AREA DO CURSO" id="2"/>
    <tableColumn name="HORARIO DA PROVA" id="3"/>
    <tableColumn name="DIA DA PROVA" id="4"/>
  </tableColumns>
  <tableStyleInfo name="FILTRO E MACR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workbookViewId="0"/>
  </sheetViews>
  <sheetFormatPr customHeight="1" defaultColWidth="14.43" defaultRowHeight="15.0"/>
  <cols>
    <col customWidth="1" min="1" max="1" width="27.14"/>
    <col customWidth="1" min="2" max="2" width="22.71"/>
    <col customWidth="1" min="3" max="3" width="22.14"/>
    <col customWidth="1" min="4" max="4" width="30.14"/>
    <col customWidth="1" min="5" max="26" width="8.71"/>
  </cols>
  <sheetData>
    <row r="1">
      <c r="A1" s="1" t="s">
        <v>0</v>
      </c>
      <c r="B1" s="2"/>
      <c r="C1" s="2"/>
      <c r="D1" s="3"/>
    </row>
    <row r="2">
      <c r="A2" s="4" t="s">
        <v>1</v>
      </c>
      <c r="B2" s="4" t="s">
        <v>2</v>
      </c>
      <c r="C2" s="4" t="s">
        <v>3</v>
      </c>
      <c r="D2" s="4" t="s">
        <v>4</v>
      </c>
    </row>
    <row r="3">
      <c r="A3" s="4" t="s">
        <v>5</v>
      </c>
      <c r="B3" s="4" t="s">
        <v>6</v>
      </c>
      <c r="C3" s="4" t="s">
        <v>7</v>
      </c>
      <c r="D3" s="4" t="s">
        <v>8</v>
      </c>
    </row>
    <row r="4">
      <c r="A4" s="4" t="s">
        <v>9</v>
      </c>
      <c r="B4" s="4" t="s">
        <v>10</v>
      </c>
      <c r="C4" s="4" t="s">
        <v>11</v>
      </c>
      <c r="D4" s="4" t="s">
        <v>12</v>
      </c>
    </row>
    <row r="5">
      <c r="A5" s="4" t="s">
        <v>13</v>
      </c>
      <c r="B5" s="4" t="s">
        <v>14</v>
      </c>
      <c r="C5" s="4" t="s">
        <v>15</v>
      </c>
      <c r="D5" s="4" t="s">
        <v>8</v>
      </c>
    </row>
    <row r="6">
      <c r="A6" s="4" t="s">
        <v>16</v>
      </c>
      <c r="B6" s="4" t="s">
        <v>17</v>
      </c>
      <c r="C6" s="4" t="s">
        <v>18</v>
      </c>
      <c r="D6" s="4" t="s">
        <v>19</v>
      </c>
    </row>
    <row r="7">
      <c r="A7" s="4" t="s">
        <v>20</v>
      </c>
      <c r="B7" s="4" t="s">
        <v>21</v>
      </c>
      <c r="C7" s="4" t="s">
        <v>22</v>
      </c>
      <c r="D7" s="4" t="s">
        <v>8</v>
      </c>
    </row>
    <row r="8">
      <c r="A8" s="4" t="s">
        <v>23</v>
      </c>
      <c r="B8" s="4" t="s">
        <v>24</v>
      </c>
      <c r="C8" s="4" t="s">
        <v>7</v>
      </c>
      <c r="D8" s="4" t="s">
        <v>25</v>
      </c>
    </row>
    <row r="9">
      <c r="A9" s="4" t="s">
        <v>26</v>
      </c>
      <c r="B9" s="4" t="s">
        <v>27</v>
      </c>
      <c r="C9" s="4" t="s">
        <v>11</v>
      </c>
      <c r="D9" s="4" t="s">
        <v>8</v>
      </c>
    </row>
    <row r="10">
      <c r="A10" s="4" t="s">
        <v>28</v>
      </c>
      <c r="B10" s="4" t="s">
        <v>29</v>
      </c>
      <c r="C10" s="4" t="s">
        <v>15</v>
      </c>
      <c r="D10" s="4" t="s">
        <v>12</v>
      </c>
    </row>
    <row r="11">
      <c r="A11" s="4" t="s">
        <v>30</v>
      </c>
      <c r="B11" s="4" t="s">
        <v>31</v>
      </c>
      <c r="C11" s="4" t="s">
        <v>18</v>
      </c>
      <c r="D11" s="4" t="s">
        <v>19</v>
      </c>
    </row>
    <row r="12">
      <c r="A12" s="4" t="s">
        <v>32</v>
      </c>
      <c r="B12" s="4" t="s">
        <v>33</v>
      </c>
      <c r="C12" s="4" t="s">
        <v>22</v>
      </c>
      <c r="D12" s="4" t="s">
        <v>25</v>
      </c>
    </row>
    <row r="13">
      <c r="A13" s="4" t="s">
        <v>34</v>
      </c>
      <c r="B13" s="4" t="s">
        <v>35</v>
      </c>
      <c r="C13" s="4" t="s">
        <v>7</v>
      </c>
      <c r="D13" s="4" t="s">
        <v>36</v>
      </c>
    </row>
    <row r="14">
      <c r="A14" s="4" t="s">
        <v>37</v>
      </c>
      <c r="B14" s="4" t="s">
        <v>38</v>
      </c>
      <c r="C14" s="4" t="s">
        <v>11</v>
      </c>
      <c r="D14" s="4" t="s">
        <v>36</v>
      </c>
    </row>
    <row r="15">
      <c r="A15" s="4" t="s">
        <v>39</v>
      </c>
      <c r="B15" s="4" t="s">
        <v>40</v>
      </c>
      <c r="C15" s="4" t="s">
        <v>15</v>
      </c>
      <c r="D15" s="4" t="s">
        <v>8</v>
      </c>
    </row>
    <row r="16">
      <c r="A16" s="4" t="s">
        <v>41</v>
      </c>
      <c r="B16" s="4" t="s">
        <v>42</v>
      </c>
      <c r="C16" s="4" t="s">
        <v>18</v>
      </c>
      <c r="D16" s="4" t="s">
        <v>12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/>
  </sheetPr>
  <sheetViews>
    <sheetView workbookViewId="0"/>
  </sheetViews>
  <sheetFormatPr customHeight="1" defaultColWidth="14.43" defaultRowHeight="15.0"/>
  <cols>
    <col customWidth="1" min="1" max="1" width="6.14"/>
    <col customWidth="1" min="2" max="2" width="30.57"/>
    <col customWidth="1" min="3" max="3" width="25.29"/>
    <col customWidth="1" min="4" max="4" width="19.71"/>
    <col customWidth="1" min="5" max="5" width="22.14"/>
    <col customWidth="1" min="6" max="6" width="22.29"/>
    <col customWidth="1" min="7" max="26" width="8.71"/>
  </cols>
  <sheetData>
    <row r="1">
      <c r="A1" s="5" t="s">
        <v>43</v>
      </c>
      <c r="B1" s="6"/>
      <c r="C1" s="6"/>
      <c r="D1" s="6"/>
      <c r="E1" s="6"/>
      <c r="F1" s="7"/>
    </row>
    <row r="2">
      <c r="A2" s="8" t="s">
        <v>44</v>
      </c>
      <c r="B2" s="8" t="s">
        <v>45</v>
      </c>
      <c r="C2" s="8" t="s">
        <v>2</v>
      </c>
      <c r="D2" s="8" t="s">
        <v>46</v>
      </c>
      <c r="E2" s="8" t="s">
        <v>47</v>
      </c>
      <c r="F2" s="8" t="s">
        <v>48</v>
      </c>
    </row>
    <row r="3">
      <c r="A3" s="4">
        <v>1.0</v>
      </c>
      <c r="B3" s="9" t="s">
        <v>49</v>
      </c>
      <c r="C3" s="4" t="s">
        <v>6</v>
      </c>
      <c r="D3" s="4" t="str">
        <f t="array" ref="D3">INDEX(INDICE_CORRESP1!$A$2:$D$16,MATCH(INDICE_CORRESP2!C3,INDICE_CORRESP1!$B$2:$B$16,0),1)</f>
        <v>PATRICIA CAMPOS</v>
      </c>
      <c r="E3" s="4" t="str">
        <f t="array" ref="E3">INDEX(INDICE_CORRESP1!$A$2:$D$16,MATCH(INDICE_CORRESP2!C3,INDICE_CORRESP1!$B$2:$B$16,0),3)</f>
        <v>08h AS 16h</v>
      </c>
      <c r="F3" s="4" t="str">
        <f t="array" ref="F3">INDEX(INDICE_CORRESP1!$A$2:$D$16,MATCH(INDICE_CORRESP2!C3,INDICE_CORRESP1!$B$2:$B$16,0),4)</f>
        <v>segunda</v>
      </c>
    </row>
    <row r="4">
      <c r="A4" s="4">
        <v>2.0</v>
      </c>
      <c r="B4" s="9" t="s">
        <v>50</v>
      </c>
      <c r="C4" s="4" t="s">
        <v>10</v>
      </c>
      <c r="D4" s="4" t="str">
        <f t="array" ref="D4">INDEX(INDICE_CORRESP1!$A$2:$D$16,MATCH(INDICE_CORRESP2!C4,INDICE_CORRESP1!$B$2:$B$16,0),1)</f>
        <v>KLEBER MATHIAS</v>
      </c>
      <c r="E4" s="4" t="str">
        <f t="array" ref="E4">INDEX(INDICE_CORRESP1!$A$2:$D$16,MATCH(INDICE_CORRESP2!C4,INDICE_CORRESP1!$B$2:$B$16,0),3)</f>
        <v>08h as 17h</v>
      </c>
      <c r="F4" s="4" t="str">
        <f t="array" ref="F4">INDEX(INDICE_CORRESP1!$A$2:$D$16,MATCH(INDICE_CORRESP2!C4,INDICE_CORRESP1!$B$2:$B$16,0),4)</f>
        <v>terça</v>
      </c>
    </row>
    <row r="5">
      <c r="A5" s="4">
        <v>3.0</v>
      </c>
      <c r="B5" s="9" t="s">
        <v>51</v>
      </c>
      <c r="C5" s="4" t="s">
        <v>14</v>
      </c>
      <c r="D5" s="4" t="str">
        <f t="array" ref="D5">INDEX(INDICE_CORRESP1!$A$2:$D$16,MATCH(INDICE_CORRESP2!C5,INDICE_CORRESP1!$B$2:$B$16,0),1)</f>
        <v>THAIS OLIVEIRA</v>
      </c>
      <c r="E5" s="4" t="str">
        <f t="array" ref="E5">INDEX(INDICE_CORRESP1!$A$2:$D$16,MATCH(INDICE_CORRESP2!C5,INDICE_CORRESP1!$B$2:$B$16,0),3)</f>
        <v>09h as 18h</v>
      </c>
      <c r="F5" s="4" t="str">
        <f t="array" ref="F5">INDEX(INDICE_CORRESP1!$A$2:$D$16,MATCH(INDICE_CORRESP2!C5,INDICE_CORRESP1!$B$2:$B$16,0),4)</f>
        <v>segunda</v>
      </c>
    </row>
    <row r="6">
      <c r="A6" s="4">
        <v>4.0</v>
      </c>
      <c r="B6" s="9" t="s">
        <v>52</v>
      </c>
      <c r="C6" s="4" t="s">
        <v>17</v>
      </c>
      <c r="D6" s="4" t="str">
        <f t="array" ref="D6">INDEX(INDICE_CORRESP1!$A$2:$D$16,MATCH(INDICE_CORRESP2!C6,INDICE_CORRESP1!$B$2:$B$16,0),1)</f>
        <v>GABRIEL RIBEIRO</v>
      </c>
      <c r="E6" s="4" t="str">
        <f t="array" ref="E6">INDEX(INDICE_CORRESP1!$A$2:$D$16,MATCH(INDICE_CORRESP2!C6,INDICE_CORRESP1!$B$2:$B$16,0),3)</f>
        <v>09h as 17h30</v>
      </c>
      <c r="F6" s="4" t="str">
        <f t="array" ref="F6">INDEX(INDICE_CORRESP1!$A$2:$D$16,MATCH(INDICE_CORRESP2!C6,INDICE_CORRESP1!$B$2:$B$16,0),4)</f>
        <v>quarta</v>
      </c>
    </row>
    <row r="7">
      <c r="A7" s="4">
        <v>5.0</v>
      </c>
      <c r="B7" s="9" t="s">
        <v>53</v>
      </c>
      <c r="C7" s="4" t="s">
        <v>21</v>
      </c>
      <c r="D7" s="4" t="str">
        <f t="array" ref="D7">INDEX(INDICE_CORRESP1!$A$2:$D$16,MATCH(INDICE_CORRESP2!C7,INDICE_CORRESP1!$B$2:$B$16,0),1)</f>
        <v>EVERTON CASTRO</v>
      </c>
      <c r="E7" s="4" t="str">
        <f t="array" ref="E7">INDEX(INDICE_CORRESP1!$A$2:$D$16,MATCH(INDICE_CORRESP2!C7,INDICE_CORRESP1!$B$2:$B$16,0),3)</f>
        <v>08h as 18h</v>
      </c>
      <c r="F7" s="4" t="str">
        <f t="array" ref="F7">INDEX(INDICE_CORRESP1!$A$2:$D$16,MATCH(INDICE_CORRESP2!C7,INDICE_CORRESP1!$B$2:$B$16,0),4)</f>
        <v>segunda</v>
      </c>
    </row>
    <row r="8">
      <c r="A8" s="4">
        <v>6.0</v>
      </c>
      <c r="B8" s="9" t="s">
        <v>54</v>
      </c>
      <c r="C8" s="4" t="s">
        <v>24</v>
      </c>
      <c r="D8" s="4" t="str">
        <f t="array" ref="D8">INDEX(INDICE_CORRESP1!$A$2:$D$16,MATCH(INDICE_CORRESP2!C8,INDICE_CORRESP1!$B$2:$B$16,0),1)</f>
        <v>JESSICA NUNES</v>
      </c>
      <c r="E8" s="4" t="str">
        <f t="array" ref="E8">INDEX(INDICE_CORRESP1!$A$2:$D$16,MATCH(INDICE_CORRESP2!C8,INDICE_CORRESP1!$B$2:$B$16,0),3)</f>
        <v>08h AS 16h</v>
      </c>
      <c r="F8" s="4" t="str">
        <f t="array" ref="F8">INDEX(INDICE_CORRESP1!$A$2:$D$16,MATCH(INDICE_CORRESP2!C8,INDICE_CORRESP1!$B$2:$B$16,0),4)</f>
        <v>quinta</v>
      </c>
    </row>
    <row r="9">
      <c r="A9" s="4">
        <v>7.0</v>
      </c>
      <c r="B9" s="9" t="s">
        <v>55</v>
      </c>
      <c r="C9" s="4" t="s">
        <v>27</v>
      </c>
      <c r="D9" s="4" t="str">
        <f t="array" ref="D9">INDEX(INDICE_CORRESP1!$A$2:$D$16,MATCH(INDICE_CORRESP2!C9,INDICE_CORRESP1!$B$2:$B$16,0),1)</f>
        <v>RITA BRANDÃO</v>
      </c>
      <c r="E9" s="4" t="str">
        <f t="array" ref="E9">INDEX(INDICE_CORRESP1!$A$2:$D$16,MATCH(INDICE_CORRESP2!C9,INDICE_CORRESP1!$B$2:$B$16,0),3)</f>
        <v>08h as 17h</v>
      </c>
      <c r="F9" s="4" t="str">
        <f t="array" ref="F9">INDEX(INDICE_CORRESP1!$A$2:$D$16,MATCH(INDICE_CORRESP2!C9,INDICE_CORRESP1!$B$2:$B$16,0),4)</f>
        <v>segunda</v>
      </c>
    </row>
    <row r="10">
      <c r="A10" s="4">
        <v>8.0</v>
      </c>
      <c r="B10" s="9" t="s">
        <v>56</v>
      </c>
      <c r="C10" s="4" t="s">
        <v>29</v>
      </c>
      <c r="D10" s="4" t="str">
        <f t="array" ref="D10">INDEX(INDICE_CORRESP1!$A$2:$D$16,MATCH(INDICE_CORRESP2!C10,INDICE_CORRESP1!$B$2:$B$16,0),1)</f>
        <v>SUELI BUENO</v>
      </c>
      <c r="E10" s="4" t="str">
        <f t="array" ref="E10">INDEX(INDICE_CORRESP1!$A$2:$D$16,MATCH(INDICE_CORRESP2!C10,INDICE_CORRESP1!$B$2:$B$16,0),3)</f>
        <v>09h as 18h</v>
      </c>
      <c r="F10" s="4" t="str">
        <f t="array" ref="F10">INDEX(INDICE_CORRESP1!$A$2:$D$16,MATCH(INDICE_CORRESP2!C10,INDICE_CORRESP1!$B$2:$B$16,0),4)</f>
        <v>terça</v>
      </c>
    </row>
    <row r="11">
      <c r="A11" s="4">
        <v>9.0</v>
      </c>
      <c r="B11" s="9" t="s">
        <v>57</v>
      </c>
      <c r="C11" s="4" t="s">
        <v>31</v>
      </c>
      <c r="D11" s="4" t="str">
        <f t="array" ref="D11">INDEX(INDICE_CORRESP1!$A$2:$D$16,MATCH(INDICE_CORRESP2!C11,INDICE_CORRESP1!$B$2:$B$16,0),1)</f>
        <v>VICTOR SALLES</v>
      </c>
      <c r="E11" s="4" t="str">
        <f t="array" ref="E11">INDEX(INDICE_CORRESP1!$A$2:$D$16,MATCH(INDICE_CORRESP2!C11,INDICE_CORRESP1!$B$2:$B$16,0),3)</f>
        <v>09h as 17h30</v>
      </c>
      <c r="F11" s="4" t="str">
        <f t="array" ref="F11">INDEX(INDICE_CORRESP1!$A$2:$D$16,MATCH(INDICE_CORRESP2!C11,INDICE_CORRESP1!$B$2:$B$16,0),4)</f>
        <v>quarta</v>
      </c>
    </row>
    <row r="13">
      <c r="A13" s="10" t="s">
        <v>58</v>
      </c>
      <c r="B13" s="11"/>
      <c r="C13" s="11"/>
      <c r="D13" s="11"/>
      <c r="E13" s="11"/>
      <c r="F13" s="12"/>
    </row>
    <row r="14">
      <c r="A14" s="13"/>
      <c r="B14" s="14"/>
      <c r="C14" s="14"/>
      <c r="D14" s="14"/>
      <c r="E14" s="14"/>
      <c r="F14" s="15"/>
    </row>
    <row r="16">
      <c r="A16" s="16" t="s">
        <v>59</v>
      </c>
      <c r="B16" s="11"/>
      <c r="C16" s="11"/>
      <c r="D16" s="11"/>
      <c r="E16" s="11"/>
      <c r="F16" s="12"/>
    </row>
    <row r="17">
      <c r="A17" s="13"/>
      <c r="B17" s="14"/>
      <c r="C17" s="14"/>
      <c r="D17" s="14"/>
      <c r="E17" s="14"/>
      <c r="F17" s="15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F1"/>
    <mergeCell ref="A13:F14"/>
    <mergeCell ref="A16:F17"/>
  </mergeCells>
  <dataValidations>
    <dataValidation type="list" allowBlank="1" showErrorMessage="1" sqref="C3:C11">
      <formula1>INDICE_CORRESP1!$B$3:$B$16</formula1>
    </dataValidation>
  </dataValidations>
  <printOptions/>
  <pageMargins bottom="0.787401575" footer="0.0" header="0.0" left="0.511811024" right="0.511811024" top="0.7874015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showGridLines="0" workbookViewId="0"/>
  </sheetViews>
  <sheetFormatPr customHeight="1" defaultColWidth="14.43" defaultRowHeight="15.0"/>
  <cols>
    <col customWidth="1" min="1" max="6" width="8.71"/>
    <col customWidth="1" min="7" max="7" width="10.86"/>
    <col customWidth="1" min="8" max="8" width="4.43"/>
    <col customWidth="1" min="9" max="9" width="27.86"/>
    <col customWidth="1" min="10" max="26" width="8.71"/>
  </cols>
  <sheetData>
    <row r="2">
      <c r="E2" s="17"/>
      <c r="F2" s="17"/>
      <c r="G2" s="17"/>
      <c r="H2" s="17"/>
      <c r="I2" s="17"/>
      <c r="J2" s="17"/>
    </row>
    <row r="3">
      <c r="E3" s="18"/>
      <c r="F3" s="18"/>
      <c r="G3" s="18"/>
      <c r="H3" s="18"/>
      <c r="I3" s="18"/>
      <c r="J3" s="18"/>
    </row>
    <row r="4">
      <c r="E4" s="18"/>
      <c r="F4" s="19" t="s">
        <v>46</v>
      </c>
      <c r="G4" s="20"/>
      <c r="H4" s="18"/>
      <c r="I4" s="9" t="s">
        <v>28</v>
      </c>
      <c r="J4" s="18"/>
    </row>
    <row r="5">
      <c r="E5" s="18"/>
      <c r="F5" s="21"/>
      <c r="G5" s="21"/>
      <c r="H5" s="18"/>
      <c r="I5" s="18"/>
      <c r="J5" s="18"/>
    </row>
    <row r="6">
      <c r="E6" s="18"/>
      <c r="F6" s="19" t="s">
        <v>60</v>
      </c>
      <c r="G6" s="20"/>
      <c r="H6" s="18"/>
      <c r="I6" s="22" t="s">
        <v>10</v>
      </c>
      <c r="J6" s="18"/>
    </row>
    <row r="7">
      <c r="E7" s="18"/>
      <c r="F7" s="21"/>
      <c r="G7" s="21"/>
      <c r="H7" s="18"/>
      <c r="I7" s="18"/>
      <c r="J7" s="18"/>
    </row>
    <row r="8">
      <c r="E8" s="18"/>
      <c r="F8" s="19" t="s">
        <v>61</v>
      </c>
      <c r="G8" s="20"/>
      <c r="H8" s="18"/>
      <c r="I8" s="23"/>
      <c r="J8" s="18"/>
    </row>
    <row r="9">
      <c r="E9" s="18"/>
      <c r="F9" s="21"/>
      <c r="G9" s="21"/>
      <c r="H9" s="18"/>
      <c r="I9" s="18"/>
      <c r="J9" s="18"/>
    </row>
    <row r="10">
      <c r="E10" s="18"/>
      <c r="F10" s="19" t="s">
        <v>62</v>
      </c>
      <c r="G10" s="20"/>
      <c r="H10" s="18"/>
      <c r="I10" s="24"/>
      <c r="J10" s="18"/>
    </row>
    <row r="11">
      <c r="E11" s="18"/>
      <c r="F11" s="21"/>
      <c r="G11" s="21"/>
      <c r="H11" s="18"/>
      <c r="I11" s="25"/>
      <c r="J11" s="18"/>
    </row>
    <row r="12">
      <c r="E12" s="18"/>
      <c r="F12" s="19" t="s">
        <v>63</v>
      </c>
      <c r="G12" s="20"/>
      <c r="H12" s="18"/>
      <c r="I12" s="23"/>
      <c r="J12" s="18"/>
    </row>
    <row r="13">
      <c r="E13" s="18"/>
      <c r="F13" s="21"/>
      <c r="G13" s="21"/>
      <c r="H13" s="18"/>
      <c r="I13" s="25"/>
      <c r="J13" s="18"/>
    </row>
    <row r="14">
      <c r="E14" s="18"/>
      <c r="F14" s="19" t="s">
        <v>64</v>
      </c>
      <c r="G14" s="20"/>
      <c r="H14" s="18"/>
      <c r="I14" s="24"/>
      <c r="J14" s="18"/>
    </row>
    <row r="15">
      <c r="E15" s="18"/>
      <c r="F15" s="21"/>
      <c r="G15" s="21"/>
      <c r="H15" s="18"/>
      <c r="I15" s="18"/>
      <c r="J15" s="18"/>
    </row>
    <row r="16">
      <c r="E16" s="18"/>
      <c r="F16" s="21"/>
      <c r="G16" s="21"/>
      <c r="H16" s="18"/>
      <c r="I16" s="18"/>
      <c r="J16" s="18"/>
    </row>
    <row r="17">
      <c r="E17" s="18"/>
      <c r="F17" s="21"/>
      <c r="G17" s="21"/>
      <c r="H17" s="18"/>
      <c r="I17" s="18"/>
      <c r="J17" s="18"/>
    </row>
    <row r="18">
      <c r="E18" s="17"/>
      <c r="F18" s="17"/>
      <c r="G18" s="17"/>
      <c r="H18" s="17"/>
      <c r="I18" s="17"/>
      <c r="J18" s="17"/>
    </row>
    <row r="19">
      <c r="A19" s="26" t="s">
        <v>65</v>
      </c>
    </row>
    <row r="20">
      <c r="A20" s="26" t="s">
        <v>66</v>
      </c>
    </row>
    <row r="21" ht="15.75" customHeight="1">
      <c r="A21" s="27" t="s">
        <v>67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F4:G4"/>
    <mergeCell ref="F6:G6"/>
    <mergeCell ref="F8:G8"/>
    <mergeCell ref="F10:G10"/>
    <mergeCell ref="F12:G12"/>
    <mergeCell ref="F14:G14"/>
    <mergeCell ref="A21:I22"/>
  </mergeCells>
  <dataValidations>
    <dataValidation type="list" allowBlank="1" showErrorMessage="1" sqref="I6">
      <formula1>INDICE_CORRESP2!$C$3:$C$11</formula1>
    </dataValidation>
    <dataValidation type="list" allowBlank="1" showErrorMessage="1" sqref="I4">
      <formula1>INDICE_CORRESP1!$A$3:$A$16</formula1>
    </dataValidation>
  </dataValidations>
  <printOptions/>
  <pageMargins bottom="0.787401575" footer="0.0" header="0.0" left="0.511811024" right="0.511811024" top="0.7874015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18.29"/>
    <col customWidth="1" min="3" max="3" width="18.57"/>
    <col customWidth="1" min="4" max="4" width="13.71"/>
    <col customWidth="1" min="5" max="5" width="13.57"/>
    <col customWidth="1" min="6" max="6" width="16.43"/>
    <col customWidth="1" min="7" max="26" width="8.71"/>
  </cols>
  <sheetData>
    <row r="1">
      <c r="A1" s="28" t="s">
        <v>68</v>
      </c>
      <c r="B1" s="28" t="s">
        <v>60</v>
      </c>
      <c r="C1" s="28" t="s">
        <v>61</v>
      </c>
      <c r="D1" s="28" t="s">
        <v>69</v>
      </c>
      <c r="E1" s="28" t="s">
        <v>70</v>
      </c>
      <c r="F1" s="28" t="s">
        <v>64</v>
      </c>
    </row>
    <row r="2">
      <c r="A2" s="9" t="s">
        <v>23</v>
      </c>
      <c r="B2" s="26" t="s">
        <v>14</v>
      </c>
      <c r="C2" s="23">
        <v>2525.0</v>
      </c>
      <c r="D2" s="24">
        <v>277.75</v>
      </c>
      <c r="E2" s="23">
        <v>315.625</v>
      </c>
      <c r="F2" s="24">
        <v>1931.63</v>
      </c>
    </row>
    <row r="3">
      <c r="A3" s="9" t="s">
        <v>9</v>
      </c>
      <c r="B3" s="9" t="s">
        <v>10</v>
      </c>
      <c r="C3" s="23">
        <v>2000.0</v>
      </c>
      <c r="D3" s="24">
        <v>220.0</v>
      </c>
      <c r="E3" s="23">
        <v>250.0</v>
      </c>
      <c r="F3" s="24">
        <v>1530.0</v>
      </c>
    </row>
    <row r="4">
      <c r="A4" s="9" t="s">
        <v>5</v>
      </c>
      <c r="B4" s="9" t="s">
        <v>6</v>
      </c>
      <c r="C4" s="23">
        <v>2500.0</v>
      </c>
      <c r="D4" s="24">
        <v>275.0</v>
      </c>
      <c r="E4" s="23">
        <v>312.5</v>
      </c>
      <c r="F4" s="24">
        <v>1912.5</v>
      </c>
    </row>
    <row r="5">
      <c r="A5" s="9"/>
      <c r="B5" s="9"/>
      <c r="C5" s="23"/>
      <c r="D5" s="24"/>
      <c r="E5" s="23"/>
      <c r="F5" s="24"/>
    </row>
    <row r="6">
      <c r="A6" s="9"/>
      <c r="B6" s="9"/>
      <c r="C6" s="23"/>
      <c r="D6" s="23"/>
      <c r="E6" s="23"/>
      <c r="F6" s="23"/>
    </row>
    <row r="7">
      <c r="A7" s="9"/>
      <c r="B7" s="9"/>
      <c r="C7" s="23"/>
      <c r="D7" s="23"/>
      <c r="E7" s="23"/>
      <c r="F7" s="23"/>
    </row>
    <row r="8">
      <c r="A8" s="9"/>
      <c r="B8" s="9"/>
      <c r="C8" s="23"/>
      <c r="D8" s="23"/>
      <c r="E8" s="23"/>
      <c r="F8" s="23"/>
    </row>
    <row r="9">
      <c r="A9" s="9"/>
      <c r="B9" s="9"/>
      <c r="C9" s="23"/>
      <c r="D9" s="23"/>
      <c r="E9" s="23"/>
      <c r="F9" s="23"/>
    </row>
    <row r="10">
      <c r="A10" s="9"/>
      <c r="B10" s="9"/>
      <c r="C10" s="23"/>
      <c r="D10" s="23"/>
      <c r="E10" s="23"/>
      <c r="F10" s="23"/>
    </row>
    <row r="11">
      <c r="A11" s="9"/>
      <c r="B11" s="9"/>
      <c r="C11" s="23"/>
      <c r="D11" s="23"/>
      <c r="E11" s="23"/>
      <c r="F11" s="23"/>
    </row>
    <row r="12">
      <c r="A12" s="9"/>
      <c r="B12" s="9"/>
      <c r="C12" s="23"/>
      <c r="D12" s="23"/>
      <c r="E12" s="23"/>
      <c r="F12" s="23"/>
    </row>
    <row r="13">
      <c r="B13" s="9"/>
      <c r="C13" s="23"/>
      <c r="D13" s="23"/>
      <c r="E13" s="23"/>
      <c r="F13" s="23"/>
    </row>
    <row r="14">
      <c r="B14" s="9"/>
      <c r="C14" s="23"/>
      <c r="D14" s="23"/>
      <c r="E14" s="23"/>
      <c r="F14" s="23"/>
    </row>
    <row r="15">
      <c r="A15" s="23"/>
      <c r="B15" s="9"/>
      <c r="C15" s="23"/>
      <c r="D15" s="23"/>
      <c r="E15" s="23"/>
      <c r="F15" s="23"/>
    </row>
    <row r="16">
      <c r="A16" s="23"/>
      <c r="B16" s="9"/>
      <c r="C16" s="23"/>
      <c r="D16" s="23"/>
      <c r="E16" s="23"/>
      <c r="F16" s="23"/>
    </row>
    <row r="17">
      <c r="A17" s="9"/>
      <c r="B17" s="9"/>
      <c r="C17" s="23"/>
      <c r="D17" s="23"/>
      <c r="E17" s="23"/>
      <c r="F17" s="23"/>
    </row>
    <row r="18">
      <c r="A18" s="23"/>
      <c r="B18" s="9"/>
      <c r="C18" s="23"/>
      <c r="D18" s="23"/>
      <c r="E18" s="23"/>
      <c r="F18" s="23"/>
    </row>
    <row r="19">
      <c r="A19" s="23"/>
      <c r="B19" s="9"/>
      <c r="C19" s="23"/>
      <c r="D19" s="23"/>
      <c r="E19" s="23"/>
      <c r="F19" s="23"/>
    </row>
    <row r="20">
      <c r="A20" s="9"/>
      <c r="B20" s="9"/>
      <c r="C20" s="23"/>
      <c r="D20" s="23"/>
      <c r="E20" s="23"/>
      <c r="F20" s="23"/>
    </row>
    <row r="21" ht="15.75" customHeight="1">
      <c r="A21" s="23"/>
      <c r="B21" s="9"/>
      <c r="C21" s="23"/>
      <c r="D21" s="23"/>
      <c r="E21" s="23"/>
      <c r="F21" s="23"/>
    </row>
    <row r="22" ht="15.75" customHeight="1">
      <c r="A22" s="9"/>
      <c r="B22" s="9"/>
      <c r="C22" s="23"/>
      <c r="D22" s="23"/>
      <c r="E22" s="23"/>
      <c r="F22" s="23"/>
    </row>
    <row r="23" ht="15.75" customHeight="1">
      <c r="A23" s="9"/>
      <c r="B23" s="9"/>
      <c r="C23" s="23"/>
      <c r="D23" s="23"/>
      <c r="E23" s="23"/>
      <c r="F23" s="23"/>
    </row>
    <row r="24" ht="15.75" customHeight="1">
      <c r="A24" s="9"/>
      <c r="B24" s="9"/>
      <c r="C24" s="23"/>
      <c r="D24" s="23"/>
      <c r="E24" s="23"/>
      <c r="F24" s="9"/>
    </row>
    <row r="25" ht="15.75" customHeight="1">
      <c r="A25" s="9"/>
      <c r="B25" s="9"/>
      <c r="C25" s="23"/>
      <c r="D25" s="23"/>
      <c r="E25" s="23"/>
      <c r="F25" s="23"/>
    </row>
    <row r="26" ht="15.75" customHeight="1">
      <c r="A26" s="4"/>
      <c r="B26" s="9"/>
      <c r="C26" s="23"/>
      <c r="D26" s="23"/>
      <c r="E26" s="23"/>
      <c r="F26" s="9"/>
    </row>
    <row r="27" ht="15.75" customHeight="1">
      <c r="A27" s="4"/>
      <c r="B27" s="9"/>
      <c r="C27" s="23"/>
      <c r="D27" s="23"/>
      <c r="E27" s="23"/>
      <c r="F27" s="23"/>
    </row>
    <row r="28" ht="15.75" customHeight="1">
      <c r="A28" s="4"/>
      <c r="B28" s="4"/>
      <c r="C28" s="4"/>
      <c r="D28" s="4"/>
      <c r="E28" s="4"/>
      <c r="F28" s="23"/>
    </row>
    <row r="29" ht="15.75" customHeight="1">
      <c r="A29" s="4"/>
      <c r="B29" s="4"/>
      <c r="C29" s="4"/>
      <c r="D29" s="4"/>
      <c r="E29" s="4"/>
      <c r="F29" s="23"/>
    </row>
    <row r="30" ht="15.75" customHeight="1">
      <c r="A30" s="4"/>
      <c r="B30" s="4"/>
      <c r="C30" s="4"/>
      <c r="D30" s="4"/>
      <c r="E30" s="4"/>
      <c r="F30" s="4"/>
    </row>
    <row r="31" ht="15.75" customHeight="1">
      <c r="A31" s="4"/>
      <c r="B31" s="4"/>
      <c r="C31" s="4"/>
      <c r="D31" s="4"/>
      <c r="E31" s="4"/>
      <c r="F31" s="4"/>
    </row>
    <row r="32" ht="15.75" customHeight="1">
      <c r="A32" s="4"/>
      <c r="B32" s="4"/>
      <c r="C32" s="4"/>
      <c r="D32" s="4"/>
      <c r="E32" s="4"/>
      <c r="F32" s="4"/>
    </row>
    <row r="33" ht="15.75" customHeight="1">
      <c r="A33" s="4"/>
      <c r="B33" s="4"/>
      <c r="C33" s="4"/>
      <c r="D33" s="4"/>
      <c r="E33" s="4"/>
      <c r="F33" s="4"/>
    </row>
    <row r="34" ht="15.75" customHeight="1">
      <c r="A34" s="4"/>
      <c r="B34" s="4"/>
      <c r="C34" s="4"/>
      <c r="D34" s="4"/>
      <c r="E34" s="4"/>
      <c r="F34" s="4"/>
    </row>
    <row r="35" ht="15.75" customHeight="1">
      <c r="A35" s="4"/>
      <c r="B35" s="4"/>
      <c r="C35" s="4"/>
      <c r="D35" s="4"/>
      <c r="E35" s="4"/>
      <c r="F35" s="4"/>
    </row>
    <row r="36" ht="15.75" customHeight="1">
      <c r="A36" s="9"/>
      <c r="B36" s="4"/>
      <c r="C36" s="4"/>
      <c r="D36" s="4"/>
      <c r="E36" s="4"/>
      <c r="F36" s="4"/>
    </row>
    <row r="37" ht="15.75" customHeight="1">
      <c r="A37" s="4"/>
      <c r="B37" s="4"/>
      <c r="C37" s="4"/>
      <c r="D37" s="4"/>
      <c r="E37" s="4"/>
      <c r="F37" s="4"/>
    </row>
    <row r="38" ht="15.75" customHeight="1">
      <c r="A38" s="4"/>
      <c r="B38" s="4"/>
      <c r="C38" s="4"/>
      <c r="D38" s="4"/>
      <c r="E38" s="4"/>
      <c r="F38" s="4"/>
    </row>
    <row r="39" ht="15.75" customHeight="1">
      <c r="A39" s="4"/>
      <c r="B39" s="4"/>
      <c r="C39" s="4"/>
      <c r="D39" s="4"/>
      <c r="E39" s="4"/>
      <c r="F39" s="4"/>
    </row>
    <row r="40" ht="15.75" customHeight="1">
      <c r="A40" s="4"/>
      <c r="B40" s="4"/>
      <c r="C40" s="4"/>
      <c r="D40" s="4"/>
      <c r="E40" s="4"/>
      <c r="F40" s="4"/>
    </row>
    <row r="41" ht="15.75" customHeight="1">
      <c r="A41" s="4"/>
      <c r="B41" s="9"/>
      <c r="C41" s="23"/>
      <c r="D41" s="23"/>
      <c r="E41" s="23"/>
      <c r="F41" s="23"/>
    </row>
    <row r="42" ht="15.75" customHeight="1">
      <c r="A42" s="4"/>
      <c r="B42" s="9"/>
      <c r="C42" s="23"/>
      <c r="D42" s="23"/>
      <c r="E42" s="23"/>
      <c r="F42" s="23"/>
    </row>
    <row r="43" ht="15.75" customHeight="1">
      <c r="A43" s="4"/>
      <c r="B43" s="9"/>
      <c r="C43" s="9"/>
      <c r="D43" s="9"/>
      <c r="E43" s="9"/>
      <c r="F43" s="4"/>
    </row>
    <row r="44" ht="15.75" customHeight="1">
      <c r="A44" s="4"/>
      <c r="B44" s="9"/>
      <c r="C44" s="9"/>
      <c r="D44" s="9"/>
      <c r="E44" s="9"/>
      <c r="F44" s="4"/>
    </row>
    <row r="45" ht="15.75" customHeight="1">
      <c r="A45" s="4"/>
      <c r="B45" s="4"/>
      <c r="C45" s="4"/>
      <c r="D45" s="4"/>
      <c r="E45" s="4"/>
      <c r="F45" s="23"/>
    </row>
    <row r="46" ht="15.75" customHeight="1">
      <c r="A46" s="4"/>
      <c r="B46" s="4"/>
      <c r="C46" s="4"/>
      <c r="D46" s="4"/>
      <c r="E46" s="4"/>
      <c r="F46" s="23"/>
    </row>
    <row r="47" ht="15.75" customHeight="1">
      <c r="A47" s="4"/>
      <c r="B47" s="4"/>
      <c r="C47" s="4"/>
      <c r="D47" s="4"/>
      <c r="E47" s="9"/>
      <c r="F47" s="23"/>
    </row>
    <row r="48" ht="15.75" customHeight="1">
      <c r="B48" s="4"/>
      <c r="C48" s="4"/>
      <c r="D48" s="4"/>
      <c r="E48" s="9"/>
      <c r="F48" s="9"/>
    </row>
    <row r="49" ht="15.75" customHeight="1">
      <c r="B49" s="4"/>
      <c r="C49" s="4"/>
      <c r="D49" s="4"/>
      <c r="E49" s="4"/>
      <c r="F49" s="9"/>
    </row>
    <row r="50" ht="15.75" customHeight="1">
      <c r="B50" s="4"/>
      <c r="C50" s="4"/>
      <c r="D50" s="4"/>
      <c r="E50" s="4"/>
      <c r="F50" s="4"/>
    </row>
    <row r="51" ht="15.75" customHeight="1">
      <c r="B51" s="4"/>
      <c r="C51" s="4"/>
      <c r="D51" s="4"/>
      <c r="E51" s="4"/>
      <c r="F51" s="4"/>
    </row>
    <row r="52" ht="15.75" customHeight="1">
      <c r="B52" s="4"/>
      <c r="C52" s="4"/>
      <c r="D52" s="4"/>
      <c r="E52" s="4"/>
      <c r="F52" s="4"/>
    </row>
    <row r="53" ht="15.75" customHeight="1">
      <c r="B53" s="4" t="s">
        <v>71</v>
      </c>
      <c r="C53" s="4"/>
      <c r="D53" s="4"/>
      <c r="E53" s="4"/>
      <c r="F53" s="4"/>
    </row>
    <row r="54" ht="15.75" customHeight="1">
      <c r="B54" s="4"/>
      <c r="C54" s="4"/>
      <c r="D54" s="4"/>
      <c r="E54" s="4"/>
      <c r="F54" s="4"/>
    </row>
    <row r="55" ht="15.75" customHeight="1">
      <c r="B55" s="4"/>
      <c r="C55" s="4"/>
      <c r="D55" s="4"/>
      <c r="E55" s="4"/>
      <c r="F55" s="4"/>
    </row>
    <row r="56" ht="15.75" customHeight="1">
      <c r="B56" s="4"/>
      <c r="C56" s="4"/>
      <c r="D56" s="4"/>
      <c r="E56" s="4"/>
      <c r="F56" s="4"/>
    </row>
    <row r="57" ht="15.75" customHeight="1">
      <c r="E57" s="4"/>
      <c r="F57" s="4"/>
    </row>
    <row r="58" ht="15.75" customHeight="1">
      <c r="E58" s="4"/>
      <c r="F58" s="4"/>
    </row>
    <row r="59" ht="15.75" customHeight="1">
      <c r="F59" s="4"/>
    </row>
    <row r="60" ht="15.75" customHeight="1">
      <c r="F60" s="4"/>
    </row>
    <row r="61" ht="15.75" customHeight="1">
      <c r="F61" s="4"/>
    </row>
    <row r="62" ht="15.75" customHeight="1">
      <c r="F62" s="4"/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ErrorMessage="1" sqref="B2">
      <formula1>INDICE_CORRESP2!$C$3:$C$11</formula1>
    </dataValidation>
    <dataValidation type="list" allowBlank="1" showErrorMessage="1" sqref="B3:B27 B41:B42">
      <formula1>INDICE_CORRESP1!$B$3:$B$16</formula1>
    </dataValidation>
    <dataValidation type="list" allowBlank="1" showErrorMessage="1" sqref="A2:A12 A17 E48">
      <formula1>INDICE_CORRESP1!$A$3:$A$16</formula1>
    </dataValidation>
  </dataValidations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6">
    <pageSetUpPr/>
  </sheetPr>
  <sheetViews>
    <sheetView workbookViewId="0"/>
  </sheetViews>
  <sheetFormatPr customHeight="1" defaultColWidth="14.43" defaultRowHeight="15.0"/>
  <cols>
    <col customWidth="1" min="1" max="1" width="27.14"/>
    <col customWidth="1" min="2" max="2" width="24.0"/>
    <col customWidth="1" min="3" max="3" width="22.14"/>
    <col customWidth="1" min="4" max="4" width="30.14"/>
    <col customWidth="1" min="5" max="5" width="13.14"/>
    <col customWidth="1" min="6" max="6" width="12.43"/>
    <col customWidth="1" min="7" max="7" width="8.71"/>
    <col customWidth="1" min="8" max="8" width="16.43"/>
    <col customWidth="1" min="9" max="26" width="8.71"/>
  </cols>
  <sheetData>
    <row r="1">
      <c r="A1" s="1" t="s">
        <v>0</v>
      </c>
      <c r="B1" s="2"/>
      <c r="C1" s="2"/>
      <c r="D1" s="3"/>
      <c r="E1" s="29" t="s">
        <v>72</v>
      </c>
    </row>
    <row r="2">
      <c r="A2" s="30" t="s">
        <v>1</v>
      </c>
      <c r="B2" s="31" t="s">
        <v>2</v>
      </c>
      <c r="C2" s="31" t="s">
        <v>3</v>
      </c>
      <c r="D2" s="32" t="s">
        <v>4</v>
      </c>
    </row>
    <row r="3">
      <c r="A3" s="33" t="s">
        <v>5</v>
      </c>
      <c r="B3" s="34" t="s">
        <v>6</v>
      </c>
      <c r="C3" s="34" t="s">
        <v>7</v>
      </c>
      <c r="D3" s="35" t="s">
        <v>8</v>
      </c>
      <c r="E3" s="36" t="s">
        <v>73</v>
      </c>
    </row>
    <row r="4">
      <c r="A4" s="33" t="s">
        <v>9</v>
      </c>
      <c r="B4" s="34" t="s">
        <v>10</v>
      </c>
      <c r="C4" s="34" t="s">
        <v>11</v>
      </c>
      <c r="D4" s="35" t="s">
        <v>12</v>
      </c>
    </row>
    <row r="5">
      <c r="A5" s="33" t="s">
        <v>13</v>
      </c>
      <c r="B5" s="34" t="s">
        <v>14</v>
      </c>
      <c r="C5" s="34" t="s">
        <v>15</v>
      </c>
      <c r="D5" s="35" t="s">
        <v>8</v>
      </c>
      <c r="E5" s="37" t="s">
        <v>74</v>
      </c>
    </row>
    <row r="6">
      <c r="A6" s="33" t="s">
        <v>16</v>
      </c>
      <c r="B6" s="34" t="s">
        <v>17</v>
      </c>
      <c r="C6" s="34" t="s">
        <v>18</v>
      </c>
      <c r="D6" s="35" t="s">
        <v>19</v>
      </c>
      <c r="E6" s="38"/>
    </row>
    <row r="7">
      <c r="A7" s="33" t="s">
        <v>20</v>
      </c>
      <c r="B7" s="34" t="s">
        <v>21</v>
      </c>
      <c r="C7" s="34" t="s">
        <v>22</v>
      </c>
      <c r="D7" s="35" t="s">
        <v>8</v>
      </c>
      <c r="E7" s="38"/>
    </row>
    <row r="8">
      <c r="A8" s="33" t="s">
        <v>23</v>
      </c>
      <c r="B8" s="34" t="s">
        <v>24</v>
      </c>
      <c r="C8" s="34" t="s">
        <v>7</v>
      </c>
      <c r="D8" s="35" t="s">
        <v>25</v>
      </c>
    </row>
    <row r="9">
      <c r="A9" s="33" t="s">
        <v>26</v>
      </c>
      <c r="B9" s="34" t="s">
        <v>27</v>
      </c>
      <c r="C9" s="34" t="s">
        <v>11</v>
      </c>
      <c r="D9" s="35" t="s">
        <v>8</v>
      </c>
    </row>
    <row r="10">
      <c r="A10" s="33" t="s">
        <v>28</v>
      </c>
      <c r="B10" s="34" t="s">
        <v>29</v>
      </c>
      <c r="C10" s="34" t="s">
        <v>15</v>
      </c>
      <c r="D10" s="35" t="s">
        <v>12</v>
      </c>
    </row>
    <row r="11">
      <c r="A11" s="33" t="s">
        <v>30</v>
      </c>
      <c r="B11" s="34" t="s">
        <v>31</v>
      </c>
      <c r="C11" s="34" t="s">
        <v>18</v>
      </c>
      <c r="D11" s="35" t="s">
        <v>19</v>
      </c>
    </row>
    <row r="12">
      <c r="A12" s="33" t="s">
        <v>32</v>
      </c>
      <c r="B12" s="34" t="s">
        <v>33</v>
      </c>
      <c r="C12" s="34" t="s">
        <v>22</v>
      </c>
      <c r="D12" s="35" t="s">
        <v>25</v>
      </c>
    </row>
    <row r="13">
      <c r="A13" s="33" t="s">
        <v>34</v>
      </c>
      <c r="B13" s="34" t="s">
        <v>35</v>
      </c>
      <c r="C13" s="34" t="s">
        <v>7</v>
      </c>
      <c r="D13" s="35" t="s">
        <v>36</v>
      </c>
    </row>
    <row r="14">
      <c r="A14" s="33" t="s">
        <v>37</v>
      </c>
      <c r="B14" s="34" t="s">
        <v>38</v>
      </c>
      <c r="C14" s="34" t="s">
        <v>11</v>
      </c>
      <c r="D14" s="35" t="s">
        <v>36</v>
      </c>
    </row>
    <row r="15">
      <c r="A15" s="33" t="s">
        <v>39</v>
      </c>
      <c r="B15" s="34" t="s">
        <v>40</v>
      </c>
      <c r="C15" s="34" t="s">
        <v>15</v>
      </c>
      <c r="D15" s="35" t="s">
        <v>8</v>
      </c>
    </row>
    <row r="16">
      <c r="A16" s="39" t="s">
        <v>41</v>
      </c>
      <c r="B16" s="40" t="s">
        <v>42</v>
      </c>
      <c r="C16" s="40" t="s">
        <v>18</v>
      </c>
      <c r="D16" s="41" t="s">
        <v>12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D1"/>
    <mergeCell ref="E1:G1"/>
    <mergeCell ref="E3:H3"/>
    <mergeCell ref="E5:H7"/>
  </mergeCells>
  <printOptions/>
  <pageMargins bottom="0.787401575" footer="0.0" header="0.0" left="0.511811024" right="0.511811024" top="0.787401575"/>
  <pageSetup orientation="portrait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7">
    <pageSetUpPr/>
  </sheetPr>
  <sheetViews>
    <sheetView workbookViewId="0"/>
  </sheetViews>
  <sheetFormatPr customHeight="1" defaultColWidth="14.43" defaultRowHeight="15.0"/>
  <cols>
    <col customWidth="1" min="1" max="2" width="8.71"/>
    <col customWidth="1" min="3" max="3" width="9.14"/>
    <col customWidth="1" min="4" max="4" width="8.71"/>
    <col customWidth="1" min="5" max="5" width="12.43"/>
    <col customWidth="1" min="6" max="6" width="10.0"/>
    <col customWidth="1" min="7" max="26" width="8.71"/>
  </cols>
  <sheetData>
    <row r="1">
      <c r="A1" s="26">
        <v>1000.0</v>
      </c>
      <c r="B1" s="26">
        <v>150.0</v>
      </c>
      <c r="C1" s="26">
        <v>10.0</v>
      </c>
      <c r="E1" s="4" t="s">
        <v>75</v>
      </c>
      <c r="F1" s="42">
        <v>2.57125E7</v>
      </c>
    </row>
    <row r="2">
      <c r="A2" s="26">
        <v>2000.0</v>
      </c>
      <c r="B2" s="26">
        <v>300.0</v>
      </c>
      <c r="C2" s="26">
        <v>20.0</v>
      </c>
    </row>
    <row r="3">
      <c r="A3" s="26">
        <v>3000.0</v>
      </c>
      <c r="B3" s="26">
        <v>450.0</v>
      </c>
      <c r="C3" s="26">
        <v>30.0</v>
      </c>
    </row>
    <row r="4">
      <c r="A4" s="26">
        <v>4000.0</v>
      </c>
      <c r="B4" s="26">
        <v>600.0</v>
      </c>
      <c r="C4" s="26">
        <v>40.0</v>
      </c>
    </row>
    <row r="5">
      <c r="A5" s="26">
        <v>5000.0</v>
      </c>
      <c r="B5" s="26">
        <v>750.0</v>
      </c>
      <c r="C5" s="26">
        <v>50.0</v>
      </c>
    </row>
    <row r="6">
      <c r="A6" s="26">
        <v>6000.0</v>
      </c>
      <c r="B6" s="26">
        <v>900.0</v>
      </c>
      <c r="C6" s="26">
        <v>60.0</v>
      </c>
    </row>
    <row r="7">
      <c r="A7" s="26">
        <v>7000.0</v>
      </c>
      <c r="B7" s="26">
        <v>1050.0</v>
      </c>
      <c r="C7" s="26">
        <v>70.0</v>
      </c>
    </row>
    <row r="8">
      <c r="A8" s="26">
        <v>8000.0</v>
      </c>
      <c r="B8" s="26">
        <v>1200.0</v>
      </c>
      <c r="C8" s="26">
        <v>80.0</v>
      </c>
    </row>
    <row r="9">
      <c r="A9" s="26">
        <v>9000.0</v>
      </c>
      <c r="B9" s="26">
        <v>1350.0</v>
      </c>
      <c r="C9" s="26">
        <v>90.0</v>
      </c>
    </row>
    <row r="10">
      <c r="A10" s="26">
        <v>10000.0</v>
      </c>
      <c r="B10" s="26">
        <v>1500.0</v>
      </c>
      <c r="C10" s="26">
        <v>100.0</v>
      </c>
    </row>
    <row r="11">
      <c r="A11" s="26">
        <f t="shared" ref="A11:C11" si="1">SUM(A1:A10)</f>
        <v>55000</v>
      </c>
      <c r="B11" s="26">
        <f t="shared" si="1"/>
        <v>8250</v>
      </c>
      <c r="C11" s="26">
        <f t="shared" si="1"/>
        <v>550</v>
      </c>
    </row>
    <row r="17">
      <c r="A17" s="26" t="s">
        <v>76</v>
      </c>
    </row>
    <row r="18">
      <c r="A18" s="26" t="s">
        <v>77</v>
      </c>
    </row>
    <row r="19">
      <c r="A19" s="26" t="s">
        <v>78</v>
      </c>
    </row>
    <row r="20">
      <c r="A20" s="26" t="s">
        <v>79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2018-06-19T22:20:45Z</dcterms:created>
  <dc:creator>Patricia Campos</dc:creator>
</cp:coreProperties>
</file>