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13_ncr:1_{F1C3F01C-5CE1-4679-A5A3-165D2E9A32F3}" xr6:coauthVersionLast="47" xr6:coauthVersionMax="47" xr10:uidLastSave="{00000000-0000-0000-0000-000000000000}"/>
  <bookViews>
    <workbookView xWindow="-108" yWindow="-108" windowWidth="23256" windowHeight="12456" tabRatio="902" firstSheet="31" activeTab="42" xr2:uid="{D62A3A3B-6FA0-4DAA-89BC-434730893DC8}"/>
  </bookViews>
  <sheets>
    <sheet name="HOME" sheetId="64" r:id="rId1"/>
    <sheet name="PROD_HOME" sheetId="124" r:id="rId2"/>
    <sheet name="PRODUÇÃO_REQUISIÇÕES" sheetId="65" r:id="rId3"/>
    <sheet name="PRODUÇÃO_EQUIPES" sheetId="74" r:id="rId4"/>
    <sheet name="PRODUÇÃO_LANÇAMENTOS" sheetId="73" r:id="rId5"/>
    <sheet name="PRODUÇÃO_CONSULTA" sheetId="87" r:id="rId6"/>
    <sheet name="HOME_LOGISTICA" sheetId="125" r:id="rId7"/>
    <sheet name="N_LOGCLIENTES" sheetId="66" r:id="rId8"/>
    <sheet name="N_LOGVEIC" sheetId="93" r:id="rId9"/>
    <sheet name="N_LOGCRON" sheetId="94" r:id="rId10"/>
    <sheet name="N_LOGFRETE" sheetId="95" r:id="rId11"/>
    <sheet name="N_LOGRELAT" sheetId="96" r:id="rId12"/>
    <sheet name="N_LOGRAST" sheetId="97" r:id="rId13"/>
    <sheet name="N_LOGCAD" sheetId="98" r:id="rId14"/>
    <sheet name="HOME_ESTOQUE" sheetId="126" r:id="rId15"/>
    <sheet name="N_ESTQSAÍDAS" sheetId="99" r:id="rId16"/>
    <sheet name="N_ESTQENTRAD" sheetId="100" r:id="rId17"/>
    <sheet name="HOME_RH" sheetId="127" r:id="rId18"/>
    <sheet name="N_RHCONTRATAÇÃO" sheetId="101" r:id="rId19"/>
    <sheet name="N_CADASTRAR" sheetId="102" r:id="rId20"/>
    <sheet name="N_RHFOLHA" sheetId="103" r:id="rId21"/>
    <sheet name="N_RHREF " sheetId="104" r:id="rId22"/>
    <sheet name="HOME_VENDAS" sheetId="128" r:id="rId23"/>
    <sheet name="N_VCLIENTES" sheetId="144" r:id="rId24"/>
    <sheet name="N_VCINTRL" sheetId="145" r:id="rId25"/>
    <sheet name="N_VMETAS" sheetId="146" r:id="rId26"/>
    <sheet name="N_VRELCOM" sheetId="147" r:id="rId27"/>
    <sheet name="N_VRELMET" sheetId="148" r:id="rId28"/>
    <sheet name="HOME_COMPRAS" sheetId="129" r:id="rId29"/>
    <sheet name="N_CCADASTROF" sheetId="132" r:id="rId30"/>
    <sheet name="N_PROCFOR" sheetId="133" r:id="rId31"/>
    <sheet name="N_CSOLICITAR" sheetId="134" r:id="rId32"/>
    <sheet name="N_CMP" sheetId="135" r:id="rId33"/>
    <sheet name="SOLICITAÇÕES" sheetId="136" r:id="rId34"/>
    <sheet name="N_CREALIZARP" sheetId="137" r:id="rId35"/>
    <sheet name="HOME_FINANCAS" sheetId="130" r:id="rId36"/>
    <sheet name="N_FINANÇAS" sheetId="118" r:id="rId37"/>
    <sheet name="N_FINANÇAS (2)" sheetId="119" r:id="rId38"/>
    <sheet name="N_FINANÇAS (3)" sheetId="120" r:id="rId39"/>
    <sheet name="HOME_BD" sheetId="131" r:id="rId40"/>
    <sheet name="B1" sheetId="121" r:id="rId41"/>
    <sheet name="BD_CADAS" sheetId="143" r:id="rId42"/>
    <sheet name="B2" sheetId="122" r:id="rId43"/>
    <sheet name="B3" sheetId="123" r:id="rId44"/>
  </sheets>
  <externalReferences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30" hidden="1">N_PROCFOR!$G$12:$O$26</definedName>
    <definedName name="QUEIJOS" localSheetId="41">#REF!</definedName>
    <definedName name="QUEIJOS">#REF!</definedName>
    <definedName name="QUEIJOS_OFC" localSheetId="41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" i="146" l="1"/>
  <c r="K15" i="146"/>
  <c r="K19" i="146" s="1"/>
  <c r="K25" i="145"/>
  <c r="K27" i="145" s="1"/>
  <c r="K19" i="145"/>
  <c r="K17" i="145"/>
  <c r="I16" i="120" l="1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<sst xmlns="http://schemas.openxmlformats.org/spreadsheetml/2006/main" count="1925" uniqueCount="768">
  <si>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</si>
  <si>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</si>
  <si>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</si>
  <si>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</si>
  <si>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</si>
  <si>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</si>
  <si>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</si>
  <si>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</si>
  <si>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</si>
  <si>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</si>
  <si>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</si>
  <si>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</si>
  <si>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</si>
  <si>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</si>
  <si>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</si>
  <si>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</si>
  <si>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</si>
  <si>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</si>
  <si>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</si>
  <si>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</si>
  <si>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</si>
  <si>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</si>
  <si>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</si>
  <si>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</si>
  <si>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</si>
  <si>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</si>
  <si>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</si>
  <si>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</si>
  <si>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</si>
  <si>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</si>
  <si>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</si>
  <si>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</si>
  <si>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</si>
  <si>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</si>
  <si>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</si>
  <si>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</si>
  <si>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</si>
  <si>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</si>
  <si>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</si>
  <si>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</si>
  <si>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</si>
  <si>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</si>
  <si>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</si>
  <si>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</si>
  <si>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</si>
  <si>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</si>
  <si>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</si>
  <si>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</si>
  <si>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</si>
  <si>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</si>
  <si>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</si>
  <si>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</si>
  <si>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</si>
  <si>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</si>
  <si>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</si>
  <si>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</si>
  <si>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</si>
  <si>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</si>
  <si>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</si>
  <si>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</si>
  <si>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</si>
  <si>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</si>
  <si>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</si>
  <si>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</si>
  <si>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</si>
  <si>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</si>
  <si>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</si>
  <si>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</si>
  <si>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</si>
  <si>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</si>
  <si>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</si>
  <si>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</si>
  <si>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</si>
  <si>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</si>
  <si>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</si>
  <si>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</si>
  <si>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</si>
  <si>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</si>
  <si>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</si>
  <si>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</si>
  <si>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</si>
  <si>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</si>
  <si>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</si>
  <si>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</si>
  <si>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</si>
  <si>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</si>
  <si>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</si>
  <si>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</si>
  <si>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</si>
  <si>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</si>
  <si>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</si>
  <si>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</si>
  <si>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</si>
  <si>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</si>
  <si>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</si>
  <si>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</si>
  <si>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</si>
  <si>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</si>
  <si>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</si>
  <si>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</si>
  <si>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</si>
  <si>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</si>
  <si>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</si>
  <si>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</si>
  <si>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</si>
  <si>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</si>
  <si>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</si>
  <si>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</si>
  <si>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</si>
  <si>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</si>
  <si>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</si>
  <si>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</si>
  <si>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</si>
  <si>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</si>
  <si>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</si>
  <si>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</si>
  <si>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</si>
  <si>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</si>
  <si>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</si>
  <si>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</si>
  <si>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</si>
  <si>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</si>
  <si>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</si>
  <si>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</si>
  <si>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</si>
  <si>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</si>
  <si>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</si>
  <si>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</si>
  <si>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</si>
  <si>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</si>
  <si>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</si>
  <si>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</si>
  <si>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</si>
  <si>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</si>
  <si>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</si>
  <si>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</si>
  <si>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</si>
  <si>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</si>
  <si>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</si>
  <si>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</si>
  <si>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</si>
  <si>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</si>
  <si>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</si>
  <si>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</si>
  <si>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</si>
  <si>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</si>
  <si>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</si>
  <si>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</si>
  <si>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</si>
  <si>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</si>
  <si>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</si>
  <si>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</si>
  <si>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</si>
  <si>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</si>
  <si>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</si>
  <si>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</si>
  <si>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</si>
  <si>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</si>
  <si>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</si>
  <si>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</si>
  <si>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</si>
  <si>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</si>
  <si>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</si>
  <si>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</si>
  <si>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</si>
  <si>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</si>
  <si>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</si>
  <si>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</si>
  <si>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</si>
  <si>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</si>
  <si>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</si>
  <si>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</si>
  <si>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</si>
  <si>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</si>
  <si>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</si>
  <si>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</si>
  <si>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</si>
  <si>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</si>
  <si>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</si>
  <si>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</si>
  <si>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</si>
  <si>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</si>
  <si>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</si>
  <si>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</si>
  <si>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</si>
  <si>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</si>
  <si>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</si>
  <si>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</si>
  <si>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</si>
  <si>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</si>
  <si>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</si>
  <si>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</si>
  <si>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</si>
  <si>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</si>
  <si>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</si>
  <si>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</si>
  <si>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</si>
  <si>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</si>
  <si>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</si>
  <si>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</si>
  <si>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</si>
  <si>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</si>
  <si>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</si>
  <si>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</si>
  <si>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</si>
  <si>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</si>
  <si>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</si>
  <si>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</si>
  <si>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</si>
  <si>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</si>
  <si>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</si>
  <si>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</si>
  <si>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</si>
  <si>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</si>
  <si>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</si>
  <si>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</si>
  <si>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</si>
  <si>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</si>
  <si>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</si>
  <si>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</si>
  <si>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</si>
  <si>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</si>
  <si>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</si>
  <si>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</si>
  <si>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</si>
  <si>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</si>
  <si>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</si>
  <si>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</si>
  <si>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</si>
  <si>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</si>
  <si>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</si>
  <si>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</si>
  <si>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</si>
  <si>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</si>
  <si>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</si>
  <si>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</si>
  <si>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</si>
  <si>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</si>
  <si>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</si>
  <si>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</si>
  <si>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</si>
  <si>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</si>
  <si>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</si>
  <si>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</si>
  <si>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</si>
  <si>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</si>
  <si>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</si>
  <si>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</si>
  <si>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</si>
  <si>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</si>
  <si>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</si>
  <si>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</si>
  <si>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</si>
  <si>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</si>
  <si>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</si>
  <si>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</si>
  <si>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</si>
  <si>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</si>
  <si>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</si>
  <si>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</si>
  <si>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</si>
  <si>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</si>
  <si>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</si>
  <si>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</si>
  <si>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</si>
  <si>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</si>
  <si>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</si>
  <si>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</si>
  <si>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</si>
  <si>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</si>
  <si>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</si>
  <si>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</si>
  <si>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</si>
  <si>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</si>
  <si>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</si>
  <si>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</si>
  <si>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</si>
  <si>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</si>
  <si>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</si>
  <si>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</si>
  <si>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</si>
  <si>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</si>
  <si>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</si>
  <si>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</si>
  <si>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</si>
  <si>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</si>
  <si>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</si>
  <si>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</si>
  <si>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</si>
  <si>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</si>
  <si>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</si>
  <si>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</si>
  <si>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</si>
  <si>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</si>
  <si>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</si>
  <si>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</si>
  <si>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</si>
  <si>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</si>
  <si>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</si>
  <si>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</si>
  <si>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</si>
  <si>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</si>
  <si>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</si>
  <si>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</si>
  <si>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</si>
  <si>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</si>
  <si>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</si>
  <si>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</si>
  <si>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</si>
  <si>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</si>
  <si>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</si>
  <si>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</si>
  <si>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</si>
  <si>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</si>
  <si>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</si>
  <si>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</si>
  <si>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</si>
  <si>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</si>
  <si>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</si>
  <si>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</si>
  <si>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</si>
  <si>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</si>
  <si>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</si>
  <si>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</si>
  <si>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</si>
  <si>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</si>
  <si>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</si>
  <si>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</si>
  <si>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</si>
  <si>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</si>
  <si>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</si>
  <si>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</si>
  <si>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</si>
  <si>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</si>
  <si>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</si>
  <si>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</si>
  <si>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</si>
  <si>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</si>
  <si>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</si>
  <si>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</si>
  <si>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</si>
  <si>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</si>
  <si>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</si>
  <si>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</si>
  <si>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</si>
  <si>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</si>
  <si>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</si>
  <si>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</si>
  <si>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</si>
  <si>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</si>
  <si>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</si>
  <si>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</si>
  <si>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</si>
  <si>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</si>
  <si>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</si>
  <si>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</si>
  <si>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</si>
  <si>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</si>
  <si>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</si>
  <si>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</si>
  <si>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</si>
  <si>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</si>
  <si>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</si>
  <si>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</si>
  <si>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</si>
  <si>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</si>
  <si>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</si>
  <si>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</si>
  <si>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</si>
  <si>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</si>
  <si>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META DE VENDA MENSAL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</si>
  <si>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</si>
  <si>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</si>
  <si>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</si>
  <si>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</si>
  <si>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</si>
  <si>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</si>
  <si>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</si>
  <si>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</si>
  <si>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</si>
  <si>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</si>
  <si>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</si>
  <si>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</si>
  <si>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</si>
  <si>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</si>
  <si>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</si>
  <si>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</si>
  <si>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</si>
  <si>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</si>
  <si>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</si>
  <si>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</si>
  <si>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</si>
  <si>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</si>
  <si>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</si>
  <si>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</si>
  <si>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</si>
  <si>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</si>
  <si>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</si>
  <si>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</si>
  <si>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</si>
  <si>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</si>
  <si>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</si>
  <si>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</si>
  <si>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</si>
  <si>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</si>
  <si>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PREÇOS UNITARIO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</si>
  <si>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</si>
  <si>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</si>
  <si>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</si>
  <si>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</si>
  <si>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</si>
  <si>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</si>
  <si>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</si>
  <si>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</si>
  <si>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</si>
  <si>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</si>
  <si>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</si>
  <si>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</si>
  <si>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</si>
  <si>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</si>
  <si>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</si>
  <si>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</si>
  <si>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</si>
  <si>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</si>
  <si>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</si>
  <si>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</si>
  <si>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</si>
  <si>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</si>
  <si>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</si>
  <si>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</si>
  <si>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</si>
  <si>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</si>
  <si>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</si>
  <si>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</si>
  <si>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</si>
  <si>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</si>
  <si>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</si>
  <si>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</si>
  <si>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</si>
  <si>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</si>
  <si>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</si>
  <si>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</si>
  <si>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</si>
  <si>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</si>
  <si>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</si>
  <si>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</si>
  <si>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</si>
  <si>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</si>
  <si>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</si>
  <si>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</si>
  <si>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</si>
  <si>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</si>
  <si>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</si>
  <si>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</si>
  <si>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</si>
  <si>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</si>
  <si>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</si>
  <si>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</si>
  <si>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</si>
  <si>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</si>
  <si>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</si>
  <si>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</si>
  <si>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</si>
  <si>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</si>
  <si>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</si>
  <si>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</si>
  <si>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</si>
  <si>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</si>
  <si>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</si>
  <si>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</si>
  <si>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</si>
  <si>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</si>
  <si>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</si>
  <si>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</si>
  <si>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</si>
  <si>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</si>
  <si>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</si>
  <si>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</si>
  <si>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</si>
  <si>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</si>
  <si>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</si>
  <si>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</si>
  <si>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</si>
  <si>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</si>
  <si>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</si>
  <si>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</si>
  <si>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</si>
  <si>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</si>
  <si>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</si>
  <si>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</si>
  <si>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</si>
  <si>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</si>
  <si>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</si>
  <si>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</si>
  <si>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</si>
  <si>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</si>
  <si>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</si>
  <si>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</si>
  <si>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</si>
  <si>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</si>
  <si>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</si>
  <si>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</si>
  <si>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</si>
  <si>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</si>
  <si>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</si>
  <si>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</si>
  <si>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</si>
  <si>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</si>
  <si>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</si>
  <si>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</si>
  <si>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</si>
  <si>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</si>
  <si>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</si>
  <si>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</si>
  <si>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</si>
  <si>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</si>
  <si>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</si>
  <si>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</si>
  <si>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</si>
  <si>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</si>
  <si>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</si>
  <si>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</si>
  <si>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</si>
  <si>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</si>
  <si>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</si>
  <si>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</si>
  <si>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</si>
  <si>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</si>
  <si>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</si>
  <si>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</si>
  <si>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</si>
  <si>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</si>
  <si>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</si>
  <si>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</si>
  <si>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</si>
  <si>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</si>
  <si>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</si>
  <si>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</si>
  <si>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</si>
  <si>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</si>
  <si>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</si>
  <si>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</si>
  <si>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</si>
  <si>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</si>
  <si>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</si>
  <si>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</si>
  <si>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</si>
  <si>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</si>
  <si>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</si>
  <si>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</si>
  <si>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</si>
  <si>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</si>
  <si>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</si>
  <si>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</si>
  <si>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</si>
  <si>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</si>
  <si>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</si>
  <si>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</si>
  <si>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</si>
  <si>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</si>
  <si>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</si>
  <si>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</si>
  <si>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</si>
  <si>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</si>
  <si>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</si>
  <si>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</si>
  <si>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</si>
  <si>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</si>
  <si>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</si>
  <si>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</si>
  <si>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</si>
  <si>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</si>
  <si>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</si>
  <si>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</si>
  <si>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</si>
  <si>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</si>
  <si>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</si>
  <si>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</si>
  <si>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</si>
  <si>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</si>
  <si>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</si>
  <si>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</si>
  <si>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</si>
  <si>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</si>
  <si>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</si>
  <si>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</si>
  <si>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</si>
  <si>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</si>
  <si>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</si>
  <si>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</si>
  <si>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</si>
  <si>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</si>
  <si>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</si>
  <si>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</si>
  <si>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</si>
  <si>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</si>
  <si>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</si>
  <si>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</si>
  <si>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</si>
  <si>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</si>
  <si>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</si>
  <si>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</si>
  <si>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</si>
  <si>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</si>
  <si>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</si>
  <si>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</si>
  <si>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</si>
  <si>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</si>
  <si>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</si>
  <si>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</si>
  <si>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</si>
  <si>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</si>
  <si>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</si>
  <si>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</si>
  <si>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</si>
  <si>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</si>
  <si>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</si>
  <si>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</si>
  <si>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</si>
  <si>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</si>
  <si>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</si>
  <si>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</si>
  <si>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</si>
  <si>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</si>
  <si>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</si>
  <si>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</si>
  <si>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</si>
  <si>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</si>
  <si>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</si>
  <si>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</si>
  <si>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</si>
  <si>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</si>
  <si>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</si>
  <si>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</si>
  <si>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</si>
  <si>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</si>
  <si>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</si>
  <si>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</si>
  <si>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</si>
  <si>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</si>
  <si>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</si>
  <si>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</si>
  <si>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</si>
  <si>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</si>
  <si>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</si>
  <si>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</si>
  <si>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</si>
  <si>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</si>
  <si>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</si>
  <si>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</si>
  <si>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</si>
  <si>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DEMISSÃO</t>
  </si>
  <si>
    <t>CPF DO COLABORADOR A SER DEMITIDO</t>
  </si>
  <si>
    <t>CPF DO SOLICITANTE</t>
  </si>
  <si>
    <t>SOLICITAR CONTRATAÇÃO</t>
  </si>
  <si>
    <t xml:space="preserve"> </t>
  </si>
  <si>
    <t xml:space="preserve">NOME </t>
  </si>
  <si>
    <t>PAGAMENTO</t>
  </si>
  <si>
    <t xml:space="preserve">PREÇO </t>
  </si>
  <si>
    <t>F004</t>
  </si>
  <si>
    <t>Sal Mineral Importação</t>
  </si>
  <si>
    <t>45.678.901/0001-45</t>
  </si>
  <si>
    <t>vendas@salmineral.com</t>
  </si>
  <si>
    <t>(51) 4567-8901</t>
  </si>
  <si>
    <t>Av. do Comércio, 321, Porto Alegre</t>
  </si>
  <si>
    <t>A prazo</t>
  </si>
  <si>
    <t>Sal</t>
  </si>
  <si>
    <t>F008</t>
  </si>
  <si>
    <t>Sal e Cia</t>
  </si>
  <si>
    <t>90.123.456/0001-23</t>
  </si>
  <si>
    <t>vendas@salecia.com</t>
  </si>
  <si>
    <t>(51) 7890-1234</t>
  </si>
  <si>
    <t>Av. do Comércio, 987, Porto Alegre</t>
  </si>
  <si>
    <t>F011</t>
  </si>
  <si>
    <t>Vinagres do Brasil</t>
  </si>
  <si>
    <t>34.456.789/0001-56</t>
  </si>
  <si>
    <t>contato@vinagresdobrasil.com</t>
  </si>
  <si>
    <t>(21) 8765-6789</t>
  </si>
  <si>
    <t>Av. da Prata, 111, Niterói</t>
  </si>
  <si>
    <t>Vinagre</t>
  </si>
  <si>
    <t>F013</t>
  </si>
  <si>
    <t>Importadora de Sal Rosa</t>
  </si>
  <si>
    <t>56.678.901/0001-78</t>
  </si>
  <si>
    <t>vendas@salrosa.com</t>
  </si>
  <si>
    <t>(51) 7890-5678</t>
  </si>
  <si>
    <t>Av. da Exportação, 654, Canoas</t>
  </si>
  <si>
    <t>F002</t>
  </si>
  <si>
    <t>Vinagres Brasil Distribuidora</t>
  </si>
  <si>
    <t>23.456.789/0001-12</t>
  </si>
  <si>
    <t>contato@vinagresbrasil.com.br</t>
  </si>
  <si>
    <t>(21) 2345-6789</t>
  </si>
  <si>
    <t>Av. do Vinagre, 456, Rio de Janeiro</t>
  </si>
  <si>
    <t>F006</t>
  </si>
  <si>
    <t>Distribuidora Vinagre Silva</t>
  </si>
  <si>
    <t>78.901.234/0001-01</t>
  </si>
  <si>
    <t>vendas@vinagresilva.com.br</t>
  </si>
  <si>
    <t>(21) 6543-2100</t>
  </si>
  <si>
    <t>Av. dos Vinhos, 32, Rio de Janeiro</t>
  </si>
  <si>
    <t>F005</t>
  </si>
  <si>
    <t>Laticínios da Serra</t>
  </si>
  <si>
    <t>67.890.123/0001-90</t>
  </si>
  <si>
    <t>contato@laticiniosserra.com.br</t>
  </si>
  <si>
    <t>(11) 4321-8765</t>
  </si>
  <si>
    <t>Rua do Queijo, 100, Campinas</t>
  </si>
  <si>
    <t>F010</t>
  </si>
  <si>
    <t>Laticínios Mineiros</t>
  </si>
  <si>
    <t>23.345.678/0001-45</t>
  </si>
  <si>
    <t>vendas@mineiros.com</t>
  </si>
  <si>
    <t>(11) 5678-4321</t>
  </si>
  <si>
    <t>Rua do Queijo, 456, Belo Horizonte</t>
  </si>
  <si>
    <t>F007</t>
  </si>
  <si>
    <t>Coagulação BR Ltda.</t>
  </si>
  <si>
    <t>89.012.345/0001-12</t>
  </si>
  <si>
    <t>contato@coagulacao.com.br</t>
  </si>
  <si>
    <t>(41) 8765-4321</t>
  </si>
  <si>
    <t>Rua da Enzima, 55, Curitiba</t>
  </si>
  <si>
    <t>Coalho</t>
  </si>
  <si>
    <t>F012</t>
  </si>
  <si>
    <t>Coagulação Central Ltda.</t>
  </si>
  <si>
    <t>45.567.890/0001-67</t>
  </si>
  <si>
    <t>atendimento@coagulacaocentral.com</t>
  </si>
  <si>
    <t>(41) 6543-1234</t>
  </si>
  <si>
    <t>Rua da Cultura, 789, Londrina</t>
  </si>
  <si>
    <t>F003</t>
  </si>
  <si>
    <t>Coagulação Química Ltda.</t>
  </si>
  <si>
    <t>34.567.890/0001-34</t>
  </si>
  <si>
    <t>atendimento@coagulacaoltda.com</t>
  </si>
  <si>
    <t>(41) 3456-7890</t>
  </si>
  <si>
    <t>Rua dos Processos, 789, Curitiba</t>
  </si>
  <si>
    <t>F014</t>
  </si>
  <si>
    <t>Fermentos Genuínos</t>
  </si>
  <si>
    <t>67.789.012/0001-89</t>
  </si>
  <si>
    <t>pedidos@fermentosgenuinos.com</t>
  </si>
  <si>
    <t>(61) 8901-6789</t>
  </si>
  <si>
    <t>Av. das Tradições, 123, Goiânia</t>
  </si>
  <si>
    <t>Fermento</t>
  </si>
  <si>
    <t>F009</t>
  </si>
  <si>
    <t>Fermentos Santa Luzia</t>
  </si>
  <si>
    <t>12.234.567/0001-34</t>
  </si>
  <si>
    <t>contato@fermentossantaluzia.com</t>
  </si>
  <si>
    <t>(61) 8901-2345</t>
  </si>
  <si>
    <t>Av. das Culturas, 890, Brasília</t>
  </si>
  <si>
    <t>TESTE</t>
  </si>
  <si>
    <t>z</t>
  </si>
  <si>
    <t>Ana</t>
  </si>
  <si>
    <t>Queijos</t>
  </si>
  <si>
    <t>TOTAL DA VENDAS</t>
  </si>
  <si>
    <t>META</t>
  </si>
  <si>
    <t>META ATINGIDA</t>
  </si>
  <si>
    <t>TIPO DE QUEIJOS</t>
  </si>
  <si>
    <t xml:space="preserve">Queijo Meia Cura </t>
  </si>
  <si>
    <t>Carlos</t>
  </si>
  <si>
    <t>TOTAL DAS VENDAS</t>
  </si>
  <si>
    <t>META NÃO ATINGIDA</t>
  </si>
  <si>
    <t>CONTROLE DE PRODUÇÃO</t>
  </si>
  <si>
    <t>Beatriz</t>
  </si>
  <si>
    <t>João</t>
  </si>
  <si>
    <t>joquimsilva@email.com</t>
  </si>
  <si>
    <t>19 98572-4578</t>
  </si>
  <si>
    <t>SP</t>
  </si>
  <si>
    <t>campinas</t>
  </si>
  <si>
    <t>rua da mbaixadas</t>
  </si>
  <si>
    <t>joaquim</t>
  </si>
  <si>
    <t>09.091.029/0001-07</t>
  </si>
  <si>
    <t>19 98475-9876</t>
  </si>
  <si>
    <t>Hortolândia</t>
  </si>
  <si>
    <t>Rua dos Sertoes</t>
  </si>
  <si>
    <t>12950745/0111-01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</si>
</sst>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Arial"/>
      <family val="2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name val="Arial"/>
      <family val="2"/>
    </font>
    <font>
      <u/>
      <sz val="18"/>
      <color theme="1"/>
      <name val="Arial"/>
      <family val="2"/>
    </font>
    <font>
      <u/>
      <sz val="16"/>
      <color theme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560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8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12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1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1" fillId="13" borderId="46" xfId="0" applyFont="1" applyFill="1" applyBorder="1" applyAlignment="1"/>
    <xf numFmtId="0" fontId="2" fillId="13" borderId="47" xfId="0" applyFont="1" applyFill="1" applyBorder="1" applyAlignment="1"/>
    <xf numFmtId="0" fontId="12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9" fillId="3" borderId="0" xfId="0" applyFont="1" applyFill="1" applyBorder="1" applyAlignment="1">
      <alignment horizontal="center" vertical="center"/>
    </xf>
    <xf numFmtId="0" fontId="8" fillId="2" borderId="52" xfId="0" applyFont="1" applyFill="1" applyBorder="1"/>
    <xf numFmtId="0" fontId="8" fillId="2" borderId="52" xfId="0" applyFont="1" applyFill="1" applyBorder="1" applyAlignment="1">
      <alignment horizontal="center"/>
    </xf>
    <xf numFmtId="0" fontId="8" fillId="10" borderId="0" xfId="0" applyFont="1" applyFill="1" applyBorder="1"/>
    <xf numFmtId="0" fontId="8" fillId="10" borderId="8" xfId="0" applyFont="1" applyFill="1" applyBorder="1"/>
    <xf numFmtId="0" fontId="8" fillId="10" borderId="9" xfId="0" applyFont="1" applyFill="1" applyBorder="1"/>
    <xf numFmtId="0" fontId="8" fillId="10" borderId="10" xfId="0" applyFont="1" applyFill="1" applyBorder="1"/>
    <xf numFmtId="0" fontId="8" fillId="10" borderId="11" xfId="0" applyFont="1" applyFill="1" applyBorder="1"/>
    <xf numFmtId="0" fontId="17" fillId="2" borderId="52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vertical="center"/>
    </xf>
    <xf numFmtId="0" fontId="17" fillId="10" borderId="8" xfId="0" applyFont="1" applyFill="1" applyBorder="1" applyAlignment="1">
      <alignment vertical="center"/>
    </xf>
    <xf numFmtId="0" fontId="17" fillId="10" borderId="9" xfId="0" applyFont="1" applyFill="1" applyBorder="1" applyAlignment="1">
      <alignment horizontal="left" vertical="center"/>
    </xf>
    <xf numFmtId="0" fontId="17" fillId="10" borderId="10" xfId="0" applyFont="1" applyFill="1" applyBorder="1" applyAlignment="1">
      <alignment vertical="center"/>
    </xf>
    <xf numFmtId="0" fontId="17" fillId="10" borderId="11" xfId="0" applyFont="1" applyFill="1" applyBorder="1" applyAlignment="1">
      <alignment vertical="center"/>
    </xf>
    <xf numFmtId="0" fontId="0" fillId="10" borderId="7" xfId="0" applyFill="1" applyBorder="1"/>
    <xf numFmtId="0" fontId="17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18" fillId="10" borderId="7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26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3" fillId="3" borderId="0" xfId="0" applyFont="1" applyFill="1"/>
    <xf numFmtId="0" fontId="0" fillId="0" borderId="0" xfId="0"/>
    <xf numFmtId="0" fontId="27" fillId="13" borderId="0" xfId="0" applyFont="1" applyFill="1" applyBorder="1" applyAlignment="1"/>
    <xf numFmtId="0" fontId="22" fillId="2" borderId="1" xfId="0" applyFont="1" applyFill="1" applyBorder="1"/>
    <xf numFmtId="0" fontId="22" fillId="2" borderId="1" xfId="0" applyFont="1" applyFill="1" applyBorder="1" applyAlignment="1">
      <alignment horizontal="left"/>
    </xf>
    <xf numFmtId="0" fontId="31" fillId="2" borderId="1" xfId="2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3" fillId="10" borderId="7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30" fillId="10" borderId="7" xfId="0" applyFont="1" applyFill="1" applyBorder="1"/>
    <xf numFmtId="0" fontId="30" fillId="10" borderId="8" xfId="0" applyFont="1" applyFill="1" applyBorder="1"/>
    <xf numFmtId="0" fontId="22" fillId="10" borderId="7" xfId="0" applyFont="1" applyFill="1" applyBorder="1" applyAlignment="1">
      <alignment horizontal="left"/>
    </xf>
    <xf numFmtId="0" fontId="22" fillId="10" borderId="8" xfId="0" applyFont="1" applyFill="1" applyBorder="1" applyAlignment="1">
      <alignment horizontal="left"/>
    </xf>
    <xf numFmtId="0" fontId="22" fillId="11" borderId="8" xfId="0" applyFont="1" applyFill="1" applyBorder="1" applyAlignment="1">
      <alignment horizontal="left"/>
    </xf>
    <xf numFmtId="0" fontId="22" fillId="10" borderId="9" xfId="0" applyFont="1" applyFill="1" applyBorder="1" applyAlignment="1">
      <alignment horizontal="left"/>
    </xf>
    <xf numFmtId="0" fontId="22" fillId="10" borderId="10" xfId="0" applyFont="1" applyFill="1" applyBorder="1" applyAlignment="1">
      <alignment horizontal="left"/>
    </xf>
    <xf numFmtId="0" fontId="22" fillId="11" borderId="10" xfId="0" applyFont="1" applyFill="1" applyBorder="1" applyAlignment="1">
      <alignment horizontal="left"/>
    </xf>
    <xf numFmtId="0" fontId="22" fillId="11" borderId="11" xfId="0" applyFont="1" applyFill="1" applyBorder="1" applyAlignment="1">
      <alignment horizontal="left"/>
    </xf>
    <xf numFmtId="0" fontId="16" fillId="2" borderId="0" xfId="0" applyFont="1" applyFill="1" applyBorder="1" applyAlignment="1">
      <alignment vertical="center"/>
    </xf>
    <xf numFmtId="0" fontId="0" fillId="0" borderId="0" xfId="0"/>
    <xf numFmtId="0" fontId="0" fillId="7" borderId="0" xfId="0" applyFill="1"/>
    <xf numFmtId="0" fontId="27" fillId="2" borderId="12" xfId="0" applyFont="1" applyFill="1" applyBorder="1" applyAlignment="1"/>
    <xf numFmtId="0" fontId="16" fillId="8" borderId="23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/>
    </xf>
    <xf numFmtId="0" fontId="16" fillId="8" borderId="24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19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0" fontId="32" fillId="2" borderId="18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26" xfId="0" applyFont="1" applyFill="1" applyBorder="1" applyAlignment="1">
      <alignment horizontal="center" vertical="center"/>
    </xf>
    <xf numFmtId="0" fontId="32" fillId="2" borderId="28" xfId="0" applyFont="1" applyFill="1" applyBorder="1" applyAlignment="1">
      <alignment horizontal="center" vertical="center"/>
    </xf>
    <xf numFmtId="0" fontId="32" fillId="2" borderId="29" xfId="0" applyFont="1" applyFill="1" applyBorder="1" applyAlignment="1">
      <alignment horizontal="center" vertical="center"/>
    </xf>
    <xf numFmtId="0" fontId="32" fillId="2" borderId="30" xfId="0" applyFont="1" applyFill="1" applyBorder="1" applyAlignment="1">
      <alignment horizontal="center" vertical="center"/>
    </xf>
    <xf numFmtId="0" fontId="16" fillId="8" borderId="25" xfId="0" applyFont="1" applyFill="1" applyBorder="1" applyAlignment="1">
      <alignment horizontal="center" vertical="center"/>
    </xf>
    <xf numFmtId="0" fontId="16" fillId="8" borderId="2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3" fillId="10" borderId="7" xfId="0" applyFont="1" applyFill="1" applyBorder="1"/>
    <xf numFmtId="0" fontId="34" fillId="10" borderId="0" xfId="0" applyFont="1" applyFill="1" applyAlignment="1">
      <alignment horizontal="center" vertical="center"/>
    </xf>
    <xf numFmtId="0" fontId="34" fillId="10" borderId="7" xfId="0" applyFont="1" applyFill="1" applyBorder="1" applyAlignment="1">
      <alignment vertical="center"/>
    </xf>
    <xf numFmtId="0" fontId="5" fillId="11" borderId="0" xfId="0" applyFont="1" applyFill="1" applyAlignment="1">
      <alignment horizontal="left" vertical="center"/>
    </xf>
    <xf numFmtId="0" fontId="26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5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25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5" fillId="11" borderId="0" xfId="0" applyFont="1" applyFill="1" applyBorder="1" applyAlignment="1">
      <alignment horizontal="left" vertical="center"/>
    </xf>
    <xf numFmtId="0" fontId="25" fillId="11" borderId="0" xfId="0" applyFont="1" applyFill="1" applyBorder="1" applyAlignment="1">
      <alignment vertical="center"/>
    </xf>
    <xf numFmtId="0" fontId="28" fillId="3" borderId="0" xfId="0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5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5" fillId="3" borderId="0" xfId="0" applyFont="1" applyFill="1" applyBorder="1" applyAlignment="1">
      <alignment vertical="center"/>
    </xf>
    <xf numFmtId="0" fontId="26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36" fillId="11" borderId="0" xfId="0" applyFont="1" applyFill="1" applyBorder="1" applyAlignment="1">
      <alignment horizontal="left" vertical="center"/>
    </xf>
    <xf numFmtId="0" fontId="0" fillId="16" borderId="0" xfId="0" applyFill="1" applyAlignment="1"/>
    <xf numFmtId="0" fontId="37" fillId="17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 vertical="center" wrapText="1"/>
    </xf>
    <xf numFmtId="3" fontId="32" fillId="13" borderId="1" xfId="0" applyNumberFormat="1" applyFont="1" applyFill="1" applyBorder="1" applyAlignment="1">
      <alignment horizontal="left" vertical="center" wrapText="1"/>
    </xf>
    <xf numFmtId="0" fontId="37" fillId="17" borderId="1" xfId="0" applyFont="1" applyFill="1" applyBorder="1" applyAlignment="1">
      <alignment horizontal="left" vertical="center"/>
    </xf>
    <xf numFmtId="0" fontId="37" fillId="17" borderId="1" xfId="0" applyFont="1" applyFill="1" applyBorder="1" applyAlignment="1">
      <alignment horizontal="right" vertical="center"/>
    </xf>
    <xf numFmtId="14" fontId="32" fillId="13" borderId="1" xfId="0" applyNumberFormat="1" applyFont="1" applyFill="1" applyBorder="1" applyAlignment="1">
      <alignment horizontal="left" vertical="center" wrapText="1"/>
    </xf>
    <xf numFmtId="20" fontId="32" fillId="13" borderId="1" xfId="0" applyNumberFormat="1" applyFont="1" applyFill="1" applyBorder="1" applyAlignment="1">
      <alignment horizontal="left" vertical="center" wrapText="1"/>
    </xf>
    <xf numFmtId="2" fontId="32" fillId="13" borderId="1" xfId="0" applyNumberFormat="1" applyFont="1" applyFill="1" applyBorder="1" applyAlignment="1">
      <alignment horizontal="left" vertical="center" wrapText="1"/>
    </xf>
    <xf numFmtId="8" fontId="32" fillId="13" borderId="1" xfId="0" applyNumberFormat="1" applyFont="1" applyFill="1" applyBorder="1" applyAlignment="1">
      <alignment horizontal="left" vertical="center" wrapText="1"/>
    </xf>
    <xf numFmtId="0" fontId="25" fillId="10" borderId="0" xfId="0" applyFont="1" applyFill="1" applyBorder="1" applyAlignment="1">
      <alignment vertical="center"/>
    </xf>
    <xf numFmtId="0" fontId="21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5" fillId="13" borderId="0" xfId="0" applyFont="1" applyFill="1" applyBorder="1" applyAlignment="1"/>
    <xf numFmtId="0" fontId="26" fillId="3" borderId="1" xfId="0" applyFont="1" applyFill="1" applyBorder="1" applyAlignment="1">
      <alignment horizontal="center" vertical="center"/>
    </xf>
    <xf numFmtId="0" fontId="36" fillId="10" borderId="0" xfId="0" applyFont="1" applyFill="1" applyBorder="1" applyAlignment="1">
      <alignment horizontal="left" vertical="center"/>
    </xf>
    <xf numFmtId="0" fontId="32" fillId="10" borderId="0" xfId="0" applyFont="1" applyFill="1" applyBorder="1" applyAlignment="1">
      <alignment horizontal="left" vertical="center"/>
    </xf>
    <xf numFmtId="0" fontId="36" fillId="18" borderId="52" xfId="0" applyFont="1" applyFill="1" applyBorder="1" applyAlignment="1">
      <alignment horizontal="center"/>
    </xf>
    <xf numFmtId="0" fontId="36" fillId="10" borderId="0" xfId="0" applyFont="1" applyFill="1" applyBorder="1" applyAlignment="1">
      <alignment horizontal="center" vertical="center"/>
    </xf>
    <xf numFmtId="0" fontId="39" fillId="19" borderId="0" xfId="0" applyFont="1" applyFill="1" applyAlignment="1">
      <alignment vertical="center"/>
    </xf>
    <xf numFmtId="0" fontId="7" fillId="20" borderId="0" xfId="0" applyFont="1" applyFill="1"/>
    <xf numFmtId="0" fontId="10" fillId="19" borderId="0" xfId="0" applyFont="1" applyFill="1"/>
    <xf numFmtId="0" fontId="8" fillId="19" borderId="49" xfId="0" applyFont="1" applyFill="1" applyBorder="1"/>
    <xf numFmtId="0" fontId="8" fillId="19" borderId="50" xfId="0" applyFont="1" applyFill="1" applyBorder="1"/>
    <xf numFmtId="0" fontId="8" fillId="19" borderId="15" xfId="0" applyFont="1" applyFill="1" applyBorder="1"/>
    <xf numFmtId="0" fontId="8" fillId="19" borderId="51" xfId="0" applyFont="1" applyFill="1" applyBorder="1"/>
    <xf numFmtId="0" fontId="8" fillId="19" borderId="0" xfId="0" applyFont="1" applyFill="1"/>
    <xf numFmtId="0" fontId="10" fillId="19" borderId="0" xfId="0" applyFont="1" applyFill="1" applyAlignment="1">
      <alignment horizontal="left" vertical="center"/>
    </xf>
    <xf numFmtId="0" fontId="8" fillId="19" borderId="20" xfId="0" applyFont="1" applyFill="1" applyBorder="1"/>
    <xf numFmtId="0" fontId="32" fillId="19" borderId="0" xfId="0" applyFont="1" applyFill="1"/>
    <xf numFmtId="0" fontId="40" fillId="2" borderId="1" xfId="0" applyFont="1" applyFill="1" applyBorder="1"/>
    <xf numFmtId="0" fontId="8" fillId="19" borderId="53" xfId="0" applyFont="1" applyFill="1" applyBorder="1"/>
    <xf numFmtId="0" fontId="8" fillId="19" borderId="14" xfId="0" applyFont="1" applyFill="1" applyBorder="1"/>
    <xf numFmtId="0" fontId="8" fillId="19" borderId="3" xfId="0" applyFont="1" applyFill="1" applyBorder="1"/>
    <xf numFmtId="0" fontId="8" fillId="20" borderId="49" xfId="0" applyFont="1" applyFill="1" applyBorder="1"/>
    <xf numFmtId="0" fontId="8" fillId="20" borderId="50" xfId="0" applyFont="1" applyFill="1" applyBorder="1"/>
    <xf numFmtId="0" fontId="8" fillId="20" borderId="15" xfId="0" applyFont="1" applyFill="1" applyBorder="1"/>
    <xf numFmtId="0" fontId="8" fillId="20" borderId="51" xfId="0" applyFont="1" applyFill="1" applyBorder="1"/>
    <xf numFmtId="0" fontId="8" fillId="20" borderId="0" xfId="0" applyFont="1" applyFill="1"/>
    <xf numFmtId="0" fontId="8" fillId="20" borderId="20" xfId="0" applyFont="1" applyFill="1" applyBorder="1"/>
    <xf numFmtId="0" fontId="8" fillId="2" borderId="1" xfId="0" applyFont="1" applyFill="1" applyBorder="1"/>
    <xf numFmtId="0" fontId="8" fillId="20" borderId="14" xfId="0" applyFont="1" applyFill="1" applyBorder="1"/>
    <xf numFmtId="0" fontId="8" fillId="20" borderId="3" xfId="0" applyFont="1" applyFill="1" applyBorder="1"/>
    <xf numFmtId="0" fontId="8" fillId="21" borderId="13" xfId="0" applyFont="1" applyFill="1" applyBorder="1"/>
    <xf numFmtId="0" fontId="8" fillId="21" borderId="54" xfId="0" applyFont="1" applyFill="1" applyBorder="1"/>
    <xf numFmtId="0" fontId="8" fillId="21" borderId="56" xfId="0" applyFont="1" applyFill="1" applyBorder="1"/>
    <xf numFmtId="0" fontId="8" fillId="21" borderId="51" xfId="0" applyFont="1" applyFill="1" applyBorder="1"/>
    <xf numFmtId="0" fontId="8" fillId="21" borderId="55" xfId="0" applyFont="1" applyFill="1" applyBorder="1"/>
    <xf numFmtId="0" fontId="8" fillId="21" borderId="0" xfId="0" applyFont="1" applyFill="1"/>
    <xf numFmtId="0" fontId="8" fillId="21" borderId="20" xfId="0" applyFont="1" applyFill="1" applyBorder="1"/>
    <xf numFmtId="0" fontId="8" fillId="21" borderId="53" xfId="0" applyFont="1" applyFill="1" applyBorder="1"/>
    <xf numFmtId="0" fontId="8" fillId="21" borderId="14" xfId="0" applyFont="1" applyFill="1" applyBorder="1"/>
    <xf numFmtId="0" fontId="8" fillId="21" borderId="3" xfId="0" applyFont="1" applyFill="1" applyBorder="1"/>
    <xf numFmtId="0" fontId="8" fillId="20" borderId="55" xfId="0" applyFont="1" applyFill="1" applyBorder="1"/>
    <xf numFmtId="0" fontId="8" fillId="20" borderId="54" xfId="0" applyFont="1" applyFill="1" applyBorder="1"/>
    <xf numFmtId="0" fontId="8" fillId="20" borderId="56" xfId="0" applyFont="1" applyFill="1" applyBorder="1"/>
    <xf numFmtId="0" fontId="8" fillId="20" borderId="53" xfId="0" applyFont="1" applyFill="1" applyBorder="1"/>
    <xf numFmtId="0" fontId="8" fillId="21" borderId="49" xfId="0" applyFont="1" applyFill="1" applyBorder="1"/>
    <xf numFmtId="0" fontId="8" fillId="21" borderId="50" xfId="0" applyFont="1" applyFill="1" applyBorder="1"/>
    <xf numFmtId="0" fontId="8" fillId="21" borderId="15" xfId="0" applyFont="1" applyFill="1" applyBorder="1"/>
    <xf numFmtId="0" fontId="10" fillId="20" borderId="0" xfId="0" applyFont="1" applyFill="1"/>
    <xf numFmtId="0" fontId="38" fillId="21" borderId="54" xfId="0" applyFont="1" applyFill="1" applyBorder="1"/>
    <xf numFmtId="0" fontId="29" fillId="21" borderId="55" xfId="0" applyFont="1" applyFill="1" applyBorder="1"/>
    <xf numFmtId="0" fontId="29" fillId="21" borderId="51" xfId="0" applyFont="1" applyFill="1" applyBorder="1"/>
    <xf numFmtId="0" fontId="38" fillId="21" borderId="55" xfId="0" applyFont="1" applyFill="1" applyBorder="1"/>
    <xf numFmtId="0" fontId="38" fillId="21" borderId="51" xfId="0" applyFont="1" applyFill="1" applyBorder="1"/>
    <xf numFmtId="0" fontId="36" fillId="21" borderId="0" xfId="0" applyFont="1" applyFill="1"/>
    <xf numFmtId="0" fontId="35" fillId="21" borderId="0" xfId="0" applyFont="1" applyFill="1"/>
    <xf numFmtId="0" fontId="38" fillId="21" borderId="0" xfId="0" applyFont="1" applyFill="1"/>
    <xf numFmtId="0" fontId="36" fillId="20" borderId="1" xfId="0" applyFont="1" applyFill="1" applyBorder="1"/>
    <xf numFmtId="0" fontId="32" fillId="21" borderId="0" xfId="0" applyFont="1" applyFill="1"/>
    <xf numFmtId="0" fontId="32" fillId="10" borderId="36" xfId="0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 vertical="center"/>
    </xf>
    <xf numFmtId="0" fontId="37" fillId="17" borderId="34" xfId="0" applyFont="1" applyFill="1" applyBorder="1" applyAlignment="1">
      <alignment horizontal="center"/>
    </xf>
    <xf numFmtId="0" fontId="37" fillId="17" borderId="35" xfId="0" applyFont="1" applyFill="1" applyBorder="1" applyAlignment="1">
      <alignment horizontal="center"/>
    </xf>
    <xf numFmtId="44" fontId="32" fillId="10" borderId="37" xfId="0" applyNumberFormat="1" applyFont="1" applyFill="1" applyBorder="1" applyAlignment="1">
      <alignment horizontal="left" vertical="center"/>
    </xf>
    <xf numFmtId="44" fontId="32" fillId="10" borderId="40" xfId="0" applyNumberFormat="1" applyFont="1" applyFill="1" applyBorder="1" applyAlignment="1">
      <alignment horizontal="left" vertical="center"/>
    </xf>
    <xf numFmtId="0" fontId="36" fillId="18" borderId="1" xfId="0" applyFont="1" applyFill="1" applyBorder="1" applyAlignment="1">
      <alignment horizontal="center" vertical="center"/>
    </xf>
    <xf numFmtId="0" fontId="36" fillId="18" borderId="37" xfId="0" applyFont="1" applyFill="1" applyBorder="1" applyAlignment="1">
      <alignment vertical="center"/>
    </xf>
    <xf numFmtId="44" fontId="32" fillId="10" borderId="1" xfId="0" applyNumberFormat="1" applyFont="1" applyFill="1" applyBorder="1" applyAlignment="1">
      <alignment horizontal="left"/>
    </xf>
    <xf numFmtId="0" fontId="32" fillId="10" borderId="36" xfId="0" applyFont="1" applyFill="1" applyBorder="1" applyAlignment="1">
      <alignment horizontal="left"/>
    </xf>
    <xf numFmtId="9" fontId="32" fillId="10" borderId="1" xfId="0" applyNumberFormat="1" applyFont="1" applyFill="1" applyBorder="1" applyAlignment="1">
      <alignment horizontal="left" vertical="center"/>
    </xf>
    <xf numFmtId="164" fontId="32" fillId="10" borderId="37" xfId="0" applyNumberFormat="1" applyFont="1" applyFill="1" applyBorder="1" applyAlignment="1">
      <alignment horizontal="left" vertical="center"/>
    </xf>
    <xf numFmtId="44" fontId="32" fillId="10" borderId="36" xfId="0" applyNumberFormat="1" applyFont="1" applyFill="1" applyBorder="1" applyAlignment="1">
      <alignment horizontal="left"/>
    </xf>
    <xf numFmtId="10" fontId="32" fillId="10" borderId="1" xfId="0" applyNumberFormat="1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/>
    </xf>
    <xf numFmtId="44" fontId="32" fillId="10" borderId="39" xfId="0" applyNumberFormat="1" applyFont="1" applyFill="1" applyBorder="1" applyAlignment="1">
      <alignment horizontal="left"/>
    </xf>
    <xf numFmtId="10" fontId="32" fillId="10" borderId="39" xfId="0" applyNumberFormat="1" applyFont="1" applyFill="1" applyBorder="1" applyAlignment="1">
      <alignment horizontal="left" vertical="center"/>
    </xf>
    <xf numFmtId="164" fontId="32" fillId="10" borderId="40" xfId="0" applyNumberFormat="1" applyFont="1" applyFill="1" applyBorder="1" applyAlignment="1">
      <alignment horizontal="left" vertical="center"/>
    </xf>
    <xf numFmtId="0" fontId="32" fillId="10" borderId="1" xfId="0" applyFont="1" applyFill="1" applyBorder="1" applyAlignment="1">
      <alignment horizontal="left" vertical="center"/>
    </xf>
    <xf numFmtId="9" fontId="32" fillId="10" borderId="37" xfId="0" applyNumberFormat="1" applyFont="1" applyFill="1" applyBorder="1" applyAlignment="1">
      <alignment horizontal="left" vertical="center"/>
    </xf>
    <xf numFmtId="0" fontId="32" fillId="10" borderId="37" xfId="0" applyFont="1" applyFill="1" applyBorder="1" applyAlignment="1">
      <alignment horizontal="left" vertical="center"/>
    </xf>
    <xf numFmtId="0" fontId="32" fillId="10" borderId="39" xfId="0" applyFont="1" applyFill="1" applyBorder="1" applyAlignment="1">
      <alignment horizontal="left" vertical="center"/>
    </xf>
    <xf numFmtId="10" fontId="32" fillId="10" borderId="40" xfId="0" applyNumberFormat="1" applyFont="1" applyFill="1" applyBorder="1" applyAlignment="1">
      <alignment horizontal="left" vertical="center"/>
    </xf>
    <xf numFmtId="0" fontId="41" fillId="17" borderId="60" xfId="0" applyFont="1" applyFill="1" applyBorder="1"/>
    <xf numFmtId="9" fontId="32" fillId="10" borderId="61" xfId="0" applyNumberFormat="1" applyFont="1" applyFill="1" applyBorder="1" applyAlignment="1">
      <alignment horizontal="left"/>
    </xf>
    <xf numFmtId="0" fontId="10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35" fillId="10" borderId="7" xfId="0" applyFont="1" applyFill="1" applyBorder="1" applyAlignment="1">
      <alignment horizontal="center" vertical="center"/>
    </xf>
    <xf numFmtId="0" fontId="35" fillId="10" borderId="20" xfId="0" applyFont="1" applyFill="1" applyBorder="1" applyAlignment="1">
      <alignment horizontal="center" vertical="center"/>
    </xf>
    <xf numFmtId="0" fontId="25" fillId="9" borderId="31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3" xfId="0" applyFont="1" applyFill="1" applyBorder="1" applyAlignment="1">
      <alignment horizontal="center" vertical="center"/>
    </xf>
    <xf numFmtId="0" fontId="34" fillId="3" borderId="13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28" fillId="5" borderId="4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/>
    </xf>
    <xf numFmtId="0" fontId="28" fillId="5" borderId="21" xfId="0" applyFont="1" applyFill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0" fontId="28" fillId="5" borderId="22" xfId="0" applyFont="1" applyFill="1" applyBorder="1" applyAlignment="1">
      <alignment horizontal="center" vertical="center"/>
    </xf>
    <xf numFmtId="0" fontId="28" fillId="4" borderId="4" xfId="0" applyFont="1" applyFill="1" applyBorder="1" applyAlignment="1">
      <alignment horizontal="center" vertical="center"/>
    </xf>
    <xf numFmtId="0" fontId="28" fillId="4" borderId="5" xfId="0" applyFont="1" applyFill="1" applyBorder="1" applyAlignment="1">
      <alignment horizontal="center" vertical="center"/>
    </xf>
    <xf numFmtId="0" fontId="28" fillId="4" borderId="6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5" xfId="0" applyFont="1" applyFill="1" applyBorder="1" applyAlignment="1">
      <alignment horizontal="center" vertical="center"/>
    </xf>
    <xf numFmtId="0" fontId="19" fillId="12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12" borderId="8" xfId="0" applyFont="1" applyFill="1" applyBorder="1" applyAlignment="1">
      <alignment horizontal="center" vertical="center"/>
    </xf>
    <xf numFmtId="0" fontId="19" fillId="12" borderId="9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11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19" fillId="6" borderId="5" xfId="0" applyFont="1" applyFill="1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9" fillId="6" borderId="22" xfId="0" applyFont="1" applyFill="1" applyBorder="1" applyAlignment="1">
      <alignment horizontal="center" vertical="center"/>
    </xf>
    <xf numFmtId="0" fontId="16" fillId="8" borderId="31" xfId="0" applyFont="1" applyFill="1" applyBorder="1" applyAlignment="1">
      <alignment horizontal="center" vertical="center"/>
    </xf>
    <xf numFmtId="0" fontId="16" fillId="8" borderId="50" xfId="0" applyFont="1" applyFill="1" applyBorder="1" applyAlignment="1">
      <alignment horizontal="center" vertical="center"/>
    </xf>
    <xf numFmtId="0" fontId="16" fillId="8" borderId="63" xfId="0" applyFont="1" applyFill="1" applyBorder="1" applyAlignment="1">
      <alignment horizontal="center" vertical="center"/>
    </xf>
    <xf numFmtId="0" fontId="16" fillId="8" borderId="9" xfId="0" applyFont="1" applyFill="1" applyBorder="1" applyAlignment="1">
      <alignment horizontal="center" vertical="center"/>
    </xf>
    <xf numFmtId="0" fontId="16" fillId="8" borderId="10" xfId="0" applyFont="1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8" fillId="17" borderId="41" xfId="0" applyFont="1" applyFill="1" applyBorder="1" applyAlignment="1">
      <alignment horizontal="center" vertical="center"/>
    </xf>
    <xf numFmtId="0" fontId="28" fillId="17" borderId="42" xfId="0" applyFont="1" applyFill="1" applyBorder="1" applyAlignment="1">
      <alignment horizontal="center" vertical="center"/>
    </xf>
    <xf numFmtId="0" fontId="28" fillId="17" borderId="43" xfId="0" applyFont="1" applyFill="1" applyBorder="1" applyAlignment="1">
      <alignment horizontal="center" vertical="center"/>
    </xf>
    <xf numFmtId="0" fontId="28" fillId="17" borderId="44" xfId="0" applyFont="1" applyFill="1" applyBorder="1" applyAlignment="1">
      <alignment horizontal="center" vertical="center"/>
    </xf>
    <xf numFmtId="0" fontId="28" fillId="17" borderId="0" xfId="0" applyFont="1" applyFill="1" applyBorder="1" applyAlignment="1">
      <alignment horizontal="center" vertical="center"/>
    </xf>
    <xf numFmtId="0" fontId="28" fillId="17" borderId="45" xfId="0" applyFont="1" applyFill="1" applyBorder="1" applyAlignment="1">
      <alignment horizontal="center" vertical="center"/>
    </xf>
    <xf numFmtId="0" fontId="19" fillId="17" borderId="4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 vertical="center"/>
    </xf>
    <xf numFmtId="0" fontId="19" fillId="17" borderId="6" xfId="0" applyFont="1" applyFill="1" applyBorder="1" applyAlignment="1">
      <alignment horizontal="center" vertical="center"/>
    </xf>
    <xf numFmtId="0" fontId="19" fillId="17" borderId="9" xfId="0" applyFont="1" applyFill="1" applyBorder="1" applyAlignment="1">
      <alignment horizontal="center" vertical="center"/>
    </xf>
    <xf numFmtId="0" fontId="19" fillId="17" borderId="10" xfId="0" applyFont="1" applyFill="1" applyBorder="1" applyAlignment="1">
      <alignment horizontal="center" vertical="center"/>
    </xf>
    <xf numFmtId="0" fontId="19" fillId="17" borderId="11" xfId="0" applyFont="1" applyFill="1" applyBorder="1" applyAlignment="1">
      <alignment horizontal="center" vertical="center"/>
    </xf>
    <xf numFmtId="0" fontId="19" fillId="17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8" xfId="0" applyFont="1" applyFill="1" applyBorder="1" applyAlignment="1">
      <alignment horizontal="center" vertical="center"/>
    </xf>
    <xf numFmtId="0" fontId="37" fillId="17" borderId="57" xfId="0" applyFont="1" applyFill="1" applyBorder="1" applyAlignment="1">
      <alignment horizontal="center" vertical="center"/>
    </xf>
    <xf numFmtId="0" fontId="37" fillId="17" borderId="58" xfId="0" applyFont="1" applyFill="1" applyBorder="1" applyAlignment="1">
      <alignment horizontal="center" vertical="center"/>
    </xf>
    <xf numFmtId="0" fontId="37" fillId="17" borderId="59" xfId="0" applyFont="1" applyFill="1" applyBorder="1" applyAlignment="1">
      <alignment horizontal="center" vertical="center"/>
    </xf>
    <xf numFmtId="0" fontId="36" fillId="18" borderId="36" xfId="0" applyFont="1" applyFill="1" applyBorder="1" applyAlignment="1">
      <alignment horizontal="center" vertical="center"/>
    </xf>
    <xf numFmtId="0" fontId="36" fillId="18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0" borderId="0" xfId="0" applyFill="1"/>
    <xf numFmtId="0" fontId="8" fillId="13" borderId="10" xfId="0" applyFont="1" applyFill="1" applyBorder="1"/>
    <xf numFmtId="0" fontId="19" fillId="17" borderId="1" xfId="0" applyFont="1" applyFill="1" applyBorder="1"/>
    <xf numFmtId="0" fontId="32" fillId="10" borderId="62" xfId="0" applyFont="1" applyFill="1" applyBorder="1" applyAlignment="1">
      <alignment horizontal="left"/>
    </xf>
    <xf numFmtId="0" fontId="32" fillId="10" borderId="1" xfId="0" applyFont="1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0" fillId="0" borderId="1" xfId="0" applyBorder="1"/>
    <xf numFmtId="0" fontId="7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36" xfId="0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6" fillId="2" borderId="0" xfId="0" applyFont="1" applyFill="1" applyAlignment="1">
      <alignment vertical="center"/>
    </xf>
    <xf numFmtId="0" fontId="24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8" fillId="2" borderId="0" xfId="0" applyFont="1" applyFill="1"/>
    <xf numFmtId="0" fontId="23" fillId="10" borderId="0" xfId="0" applyFont="1" applyFill="1" applyAlignment="1">
      <alignment vertical="center"/>
    </xf>
    <xf numFmtId="0" fontId="30" fillId="10" borderId="0" xfId="0" applyFont="1" applyFill="1"/>
    <xf numFmtId="0" fontId="22" fillId="10" borderId="0" xfId="0" applyFont="1" applyFill="1"/>
    <xf numFmtId="0" fontId="20" fillId="10" borderId="0" xfId="0" applyFont="1" applyFill="1" applyAlignment="1">
      <alignment horizontal="left"/>
    </xf>
    <xf numFmtId="0" fontId="22" fillId="10" borderId="0" xfId="0" applyFont="1" applyFill="1" applyAlignment="1">
      <alignment horizontal="left"/>
    </xf>
    <xf numFmtId="0" fontId="22" fillId="11" borderId="0" xfId="0" applyFont="1" applyFill="1" applyAlignment="1">
      <alignment horizontal="left"/>
    </xf>
    <xf numFmtId="0" fontId="30" fillId="10" borderId="9" xfId="0" applyFont="1" applyFill="1" applyBorder="1"/>
    <xf numFmtId="0" fontId="43" fillId="10" borderId="10" xfId="0" applyFont="1" applyFill="1" applyBorder="1"/>
    <xf numFmtId="0" fontId="30" fillId="10" borderId="10" xfId="0" applyFont="1" applyFill="1" applyBorder="1"/>
    <xf numFmtId="0" fontId="22" fillId="10" borderId="10" xfId="0" applyFont="1" applyFill="1" applyBorder="1"/>
    <xf numFmtId="0" fontId="30" fillId="10" borderId="11" xfId="0" applyFont="1" applyFill="1" applyBorder="1"/>
    <xf numFmtId="0" fontId="36" fillId="10" borderId="10" xfId="0" applyFont="1" applyFill="1" applyBorder="1" applyAlignment="1">
      <alignment horizontal="left"/>
    </xf>
    <xf numFmtId="0" fontId="32" fillId="10" borderId="10" xfId="0" applyFont="1" applyFill="1" applyBorder="1" applyAlignment="1">
      <alignment horizontal="left"/>
    </xf>
    <xf numFmtId="44" fontId="0" fillId="13" borderId="1" xfId="4" applyFont="1" applyFill="1" applyBorder="1"/>
    <xf numFmtId="0" fontId="29" fillId="13" borderId="1" xfId="0" applyFont="1" applyFill="1" applyBorder="1" applyAlignment="1">
      <alignment horizontal="left"/>
    </xf>
    <xf numFmtId="44" fontId="42" fillId="13" borderId="1" xfId="4" applyFont="1" applyFill="1" applyBorder="1"/>
    <xf numFmtId="0" fontId="21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2" fillId="13" borderId="55" xfId="0" applyFont="1" applyFill="1" applyBorder="1"/>
    <xf numFmtId="0" fontId="32" fillId="13" borderId="1" xfId="0" applyFont="1" applyFill="1" applyBorder="1" applyAlignment="1">
      <alignment horizontal="center"/>
    </xf>
    <xf numFmtId="44" fontId="32" fillId="13" borderId="1" xfId="4" applyFont="1" applyFill="1" applyBorder="1" applyAlignment="1"/>
    <xf numFmtId="0" fontId="28" fillId="17" borderId="1" xfId="0" applyFont="1" applyFill="1" applyBorder="1" applyAlignment="1">
      <alignment horizontal="center" vertical="center"/>
    </xf>
    <xf numFmtId="0" fontId="28" fillId="17" borderId="55" xfId="0" applyFont="1" applyFill="1" applyBorder="1" applyAlignment="1">
      <alignment horizontal="center" vertical="center"/>
    </xf>
    <xf numFmtId="0" fontId="28" fillId="17" borderId="54" xfId="0" applyFont="1" applyFill="1" applyBorder="1" applyAlignment="1">
      <alignment horizontal="center" vertical="center"/>
    </xf>
    <xf numFmtId="0" fontId="28" fillId="17" borderId="56" xfId="0" applyFont="1" applyFill="1" applyBorder="1" applyAlignment="1">
      <alignment horizontal="center" vertical="center"/>
    </xf>
    <xf numFmtId="0" fontId="37" fillId="17" borderId="55" xfId="0" applyFont="1" applyFill="1" applyBorder="1" applyAlignment="1">
      <alignment vertical="center"/>
    </xf>
    <xf numFmtId="0" fontId="37" fillId="17" borderId="1" xfId="0" applyFont="1" applyFill="1" applyBorder="1" applyAlignment="1">
      <alignment vertical="center"/>
    </xf>
    <xf numFmtId="0" fontId="32" fillId="13" borderId="1" xfId="0" applyFont="1" applyFill="1" applyBorder="1"/>
    <xf numFmtId="44" fontId="32" fillId="13" borderId="1" xfId="4" applyFont="1" applyFill="1" applyBorder="1" applyAlignment="1">
      <alignment horizontal="center"/>
    </xf>
    <xf numFmtId="0" fontId="32" fillId="10" borderId="1" xfId="0" applyFont="1" applyFill="1" applyBorder="1"/>
    <xf numFmtId="44" fontId="32" fillId="10" borderId="1" xfId="0" applyNumberFormat="1" applyFont="1" applyFill="1" applyBorder="1"/>
    <xf numFmtId="0" fontId="37" fillId="17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/>
    </xf>
    <xf numFmtId="0" fontId="43" fillId="13" borderId="55" xfId="0" applyFont="1" applyFill="1" applyBorder="1" applyAlignment="1">
      <alignment horizontal="center"/>
    </xf>
    <xf numFmtId="0" fontId="43" fillId="13" borderId="56" xfId="0" applyFont="1" applyFill="1" applyBorder="1" applyAlignment="1">
      <alignment horizontal="center"/>
    </xf>
    <xf numFmtId="44" fontId="32" fillId="13" borderId="1" xfId="4" applyFont="1" applyFill="1" applyBorder="1" applyAlignment="1">
      <alignment horizontal="center"/>
    </xf>
    <xf numFmtId="44" fontId="8" fillId="13" borderId="1" xfId="4" applyFont="1" applyFill="1" applyBorder="1"/>
    <xf numFmtId="0" fontId="8" fillId="0" borderId="50" xfId="0" applyFont="1" applyBorder="1"/>
    <xf numFmtId="44" fontId="8" fillId="0" borderId="50" xfId="4" applyFont="1" applyBorder="1"/>
    <xf numFmtId="44" fontId="0" fillId="0" borderId="50" xfId="4" applyFont="1" applyBorder="1"/>
    <xf numFmtId="0" fontId="8" fillId="0" borderId="0" xfId="0" applyFont="1"/>
    <xf numFmtId="44" fontId="8" fillId="0" borderId="0" xfId="4" applyFont="1" applyBorder="1"/>
    <xf numFmtId="44" fontId="0" fillId="0" borderId="0" xfId="4" applyFont="1" applyBorder="1"/>
    <xf numFmtId="44" fontId="8" fillId="17" borderId="13" xfId="4" applyFont="1" applyFill="1" applyBorder="1"/>
    <xf numFmtId="44" fontId="0" fillId="17" borderId="13" xfId="4" applyFont="1" applyFill="1" applyBorder="1"/>
    <xf numFmtId="0" fontId="8" fillId="0" borderId="54" xfId="0" applyFont="1" applyBorder="1"/>
    <xf numFmtId="44" fontId="8" fillId="0" borderId="54" xfId="4" applyFont="1" applyBorder="1"/>
    <xf numFmtId="44" fontId="0" fillId="0" borderId="54" xfId="4" applyFont="1" applyBorder="1"/>
    <xf numFmtId="44" fontId="32" fillId="13" borderId="1" xfId="4" applyFont="1" applyFill="1" applyBorder="1"/>
    <xf numFmtId="44" fontId="43" fillId="13" borderId="1" xfId="4" applyFont="1" applyFill="1" applyBorder="1"/>
    <xf numFmtId="0" fontId="32" fillId="13" borderId="13" xfId="0" applyFont="1" applyFill="1" applyBorder="1"/>
    <xf numFmtId="44" fontId="32" fillId="13" borderId="13" xfId="4" applyFont="1" applyFill="1" applyBorder="1"/>
    <xf numFmtId="44" fontId="43" fillId="13" borderId="13" xfId="4" applyFont="1" applyFill="1" applyBorder="1"/>
    <xf numFmtId="0" fontId="33" fillId="13" borderId="1" xfId="0" applyFont="1" applyFill="1" applyBorder="1"/>
    <xf numFmtId="0" fontId="37" fillId="17" borderId="13" xfId="0" applyFont="1" applyFill="1" applyBorder="1"/>
    <xf numFmtId="0" fontId="37" fillId="17" borderId="55" xfId="0" applyFont="1" applyFill="1" applyBorder="1" applyAlignment="1">
      <alignment horizontal="center" vertical="center"/>
    </xf>
    <xf numFmtId="0" fontId="37" fillId="17" borderId="54" xfId="0" applyFont="1" applyFill="1" applyBorder="1" applyAlignment="1">
      <alignment horizontal="center" vertical="center"/>
    </xf>
    <xf numFmtId="0" fontId="37" fillId="17" borderId="56" xfId="0" applyFont="1" applyFill="1" applyBorder="1" applyAlignment="1">
      <alignment horizontal="center" vertical="center"/>
    </xf>
    <xf numFmtId="44" fontId="32" fillId="13" borderId="0" xfId="4" applyFont="1" applyFill="1"/>
    <xf numFmtId="0" fontId="28" fillId="17" borderId="1" xfId="0" applyFont="1" applyFill="1" applyBorder="1" applyAlignment="1">
      <alignment horizontal="center"/>
    </xf>
    <xf numFmtId="0" fontId="45" fillId="0" borderId="0" xfId="0" applyFont="1" applyAlignment="1">
      <alignment vertical="center"/>
    </xf>
    <xf numFmtId="0" fontId="43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6" fillId="10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28" fillId="22" borderId="57" xfId="0" applyFont="1" applyFill="1" applyBorder="1" applyAlignment="1">
      <alignment horizontal="center"/>
    </xf>
    <xf numFmtId="0" fontId="28" fillId="22" borderId="58" xfId="0" applyFont="1" applyFill="1" applyBorder="1" applyAlignment="1">
      <alignment horizontal="center"/>
    </xf>
    <xf numFmtId="0" fontId="28" fillId="22" borderId="59" xfId="0" applyFont="1" applyFill="1" applyBorder="1" applyAlignment="1">
      <alignment horizontal="center"/>
    </xf>
    <xf numFmtId="0" fontId="37" fillId="7" borderId="64" xfId="0" applyFont="1" applyFill="1" applyBorder="1" applyAlignment="1">
      <alignment horizontal="center" vertical="center"/>
    </xf>
    <xf numFmtId="0" fontId="37" fillId="7" borderId="65" xfId="0" applyFont="1" applyFill="1" applyBorder="1" applyAlignment="1">
      <alignment horizontal="center" vertical="center"/>
    </xf>
    <xf numFmtId="0" fontId="37" fillId="7" borderId="66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37" fillId="22" borderId="57" xfId="0" applyFont="1" applyFill="1" applyBorder="1" applyAlignment="1">
      <alignment horizontal="center"/>
    </xf>
    <xf numFmtId="0" fontId="37" fillId="22" borderId="58" xfId="0" applyFont="1" applyFill="1" applyBorder="1" applyAlignment="1">
      <alignment horizontal="center"/>
    </xf>
    <xf numFmtId="0" fontId="37" fillId="22" borderId="59" xfId="0" applyFont="1" applyFill="1" applyBorder="1" applyAlignment="1">
      <alignment horizontal="center"/>
    </xf>
    <xf numFmtId="0" fontId="28" fillId="12" borderId="34" xfId="0" applyFont="1" applyFill="1" applyBorder="1" applyAlignment="1">
      <alignment horizontal="center" vertical="center"/>
    </xf>
    <xf numFmtId="0" fontId="28" fillId="12" borderId="67" xfId="0" applyFont="1" applyFill="1" applyBorder="1" applyAlignment="1">
      <alignment horizontal="center" vertical="center"/>
    </xf>
    <xf numFmtId="0" fontId="28" fillId="12" borderId="59" xfId="0" applyFont="1" applyFill="1" applyBorder="1" applyAlignment="1">
      <alignment horizontal="center" vertical="center"/>
    </xf>
    <xf numFmtId="0" fontId="5" fillId="3" borderId="68" xfId="0" applyFont="1" applyFill="1" applyBorder="1"/>
    <xf numFmtId="0" fontId="5" fillId="3" borderId="3" xfId="0" applyFont="1" applyFill="1" applyBorder="1"/>
    <xf numFmtId="0" fontId="32" fillId="2" borderId="1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/>
    </xf>
    <xf numFmtId="0" fontId="46" fillId="2" borderId="37" xfId="2" applyFont="1" applyFill="1" applyBorder="1" applyAlignment="1">
      <alignment horizontal="left" vertical="center"/>
    </xf>
    <xf numFmtId="0" fontId="46" fillId="2" borderId="37" xfId="2" applyFont="1" applyFill="1" applyBorder="1" applyAlignment="1">
      <alignment horizontal="left"/>
    </xf>
    <xf numFmtId="0" fontId="32" fillId="2" borderId="37" xfId="0" applyFont="1" applyFill="1" applyBorder="1"/>
    <xf numFmtId="0" fontId="5" fillId="3" borderId="69" xfId="0" applyFont="1" applyFill="1" applyBorder="1"/>
    <xf numFmtId="0" fontId="5" fillId="3" borderId="70" xfId="0" applyFont="1" applyFill="1" applyBorder="1"/>
    <xf numFmtId="0" fontId="32" fillId="2" borderId="39" xfId="0" applyFont="1" applyFill="1" applyBorder="1" applyAlignment="1">
      <alignment horizontal="left" vertical="center"/>
    </xf>
    <xf numFmtId="0" fontId="32" fillId="2" borderId="40" xfId="0" applyFont="1" applyFill="1" applyBorder="1" applyAlignment="1">
      <alignment horizontal="left" vertical="center"/>
    </xf>
    <xf numFmtId="0" fontId="28" fillId="17" borderId="36" xfId="0" applyFont="1" applyFill="1" applyBorder="1" applyAlignment="1">
      <alignment horizontal="center"/>
    </xf>
    <xf numFmtId="0" fontId="28" fillId="17" borderId="37" xfId="0" applyFont="1" applyFill="1" applyBorder="1" applyAlignment="1">
      <alignment horizontal="center"/>
    </xf>
    <xf numFmtId="0" fontId="43" fillId="0" borderId="36" xfId="0" applyFont="1" applyBorder="1"/>
    <xf numFmtId="0" fontId="43" fillId="0" borderId="1" xfId="0" applyFont="1" applyBorder="1"/>
    <xf numFmtId="0" fontId="43" fillId="0" borderId="37" xfId="0" applyFont="1" applyBorder="1"/>
    <xf numFmtId="0" fontId="43" fillId="0" borderId="38" xfId="0" applyFont="1" applyBorder="1"/>
    <xf numFmtId="0" fontId="43" fillId="0" borderId="39" xfId="0" applyFont="1" applyBorder="1"/>
    <xf numFmtId="0" fontId="43" fillId="0" borderId="40" xfId="0" applyFont="1" applyBorder="1"/>
    <xf numFmtId="0" fontId="47" fillId="7" borderId="64" xfId="0" applyFont="1" applyFill="1" applyBorder="1" applyAlignment="1">
      <alignment horizontal="center"/>
    </xf>
    <xf numFmtId="0" fontId="47" fillId="7" borderId="65" xfId="0" applyFont="1" applyFill="1" applyBorder="1" applyAlignment="1">
      <alignment horizontal="center"/>
    </xf>
    <xf numFmtId="0" fontId="47" fillId="7" borderId="66" xfId="0" applyFont="1" applyFill="1" applyBorder="1" applyAlignment="1">
      <alignment horizontal="center"/>
    </xf>
    <xf numFmtId="0" fontId="28" fillId="17" borderId="68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 vertical="center"/>
    </xf>
    <xf numFmtId="0" fontId="28" fillId="17" borderId="33" xfId="0" applyFont="1" applyFill="1" applyBorder="1" applyAlignment="1">
      <alignment horizontal="center" vertical="center"/>
    </xf>
    <xf numFmtId="0" fontId="37" fillId="7" borderId="14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/>
    </xf>
    <xf numFmtId="0" fontId="28" fillId="12" borderId="56" xfId="0" applyFont="1" applyFill="1" applyBorder="1" applyAlignment="1">
      <alignment horizontal="center"/>
    </xf>
    <xf numFmtId="0" fontId="32" fillId="2" borderId="1" xfId="0" applyFont="1" applyFill="1" applyBorder="1" applyAlignment="1">
      <alignment horizontal="left"/>
    </xf>
    <xf numFmtId="0" fontId="36" fillId="2" borderId="18" xfId="0" applyFont="1" applyFill="1" applyBorder="1" applyAlignment="1">
      <alignment horizontal="left"/>
    </xf>
    <xf numFmtId="0" fontId="48" fillId="2" borderId="1" xfId="0" applyFont="1" applyFill="1" applyBorder="1" applyAlignment="1">
      <alignment horizontal="left"/>
    </xf>
    <xf numFmtId="0" fontId="32" fillId="2" borderId="18" xfId="0" applyFont="1" applyFill="1" applyBorder="1" applyAlignment="1">
      <alignment horizontal="left"/>
    </xf>
    <xf numFmtId="0" fontId="28" fillId="17" borderId="36" xfId="0" applyFont="1" applyFill="1" applyBorder="1" applyAlignment="1">
      <alignment horizontal="center" vertical="center"/>
    </xf>
    <xf numFmtId="0" fontId="28" fillId="17" borderId="37" xfId="0" applyFont="1" applyFill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21" fillId="10" borderId="0" xfId="0" applyFont="1" applyFill="1"/>
    <xf numFmtId="0" fontId="0" fillId="16" borderId="0" xfId="0" applyFill="1"/>
    <xf numFmtId="0" fontId="19" fillId="17" borderId="0" xfId="0" applyFont="1" applyFill="1" applyAlignment="1">
      <alignment horizontal="center" vertical="center"/>
    </xf>
    <xf numFmtId="0" fontId="36" fillId="10" borderId="0" xfId="0" applyFont="1" applyFill="1"/>
    <xf numFmtId="0" fontId="33" fillId="2" borderId="1" xfId="0" applyFont="1" applyFill="1" applyBorder="1"/>
    <xf numFmtId="0" fontId="43" fillId="10" borderId="0" xfId="0" applyFont="1" applyFill="1"/>
    <xf numFmtId="0" fontId="36" fillId="10" borderId="0" xfId="0" applyFont="1" applyFill="1" applyAlignment="1">
      <alignment horizontal="left"/>
    </xf>
    <xf numFmtId="0" fontId="33" fillId="2" borderId="1" xfId="0" applyFont="1" applyFill="1" applyBorder="1" applyAlignment="1">
      <alignment horizontal="left"/>
    </xf>
    <xf numFmtId="0" fontId="32" fillId="10" borderId="0" xfId="0" applyFont="1" applyFill="1" applyAlignment="1">
      <alignment horizontal="left"/>
    </xf>
    <xf numFmtId="0" fontId="49" fillId="2" borderId="1" xfId="2" applyFont="1" applyFill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165" fontId="33" fillId="3" borderId="1" xfId="0" applyNumberFormat="1" applyFont="1" applyFill="1" applyBorder="1" applyAlignment="1">
      <alignment horizontal="left"/>
    </xf>
    <xf numFmtId="0" fontId="50" fillId="17" borderId="1" xfId="0" applyFont="1" applyFill="1" applyBorder="1" applyAlignment="1">
      <alignment horizontal="left" vertical="center"/>
    </xf>
    <xf numFmtId="0" fontId="33" fillId="13" borderId="1" xfId="0" applyFont="1" applyFill="1" applyBorder="1" applyAlignment="1">
      <alignment horizontal="left" vertical="center"/>
    </xf>
    <xf numFmtId="44" fontId="33" fillId="13" borderId="1" xfId="4" applyFont="1" applyFill="1" applyBorder="1" applyAlignment="1">
      <alignment horizontal="left" vertical="center"/>
    </xf>
    <xf numFmtId="0" fontId="51" fillId="13" borderId="1" xfId="0" applyFont="1" applyFill="1" applyBorder="1" applyAlignment="1">
      <alignment horizontal="left" vertical="center" wrapText="1"/>
    </xf>
    <xf numFmtId="44" fontId="51" fillId="13" borderId="1" xfId="4" applyFont="1" applyFill="1" applyBorder="1" applyAlignment="1">
      <alignment horizontal="left" vertical="center" wrapText="1"/>
    </xf>
    <xf numFmtId="0" fontId="51" fillId="13" borderId="13" xfId="0" applyFont="1" applyFill="1" applyBorder="1" applyAlignment="1">
      <alignment horizontal="left" vertical="center" wrapText="1"/>
    </xf>
    <xf numFmtId="44" fontId="51" fillId="13" borderId="13" xfId="4" applyFont="1" applyFill="1" applyBorder="1" applyAlignment="1">
      <alignment horizontal="left" vertical="center" wrapText="1"/>
    </xf>
    <xf numFmtId="0" fontId="35" fillId="10" borderId="0" xfId="0" applyFont="1" applyFill="1" applyAlignment="1">
      <alignment horizontal="left" vertical="center"/>
    </xf>
    <xf numFmtId="0" fontId="37" fillId="10" borderId="0" xfId="0" applyFont="1" applyFill="1" applyAlignment="1">
      <alignment horizontal="left" vertical="center"/>
    </xf>
    <xf numFmtId="0" fontId="41" fillId="10" borderId="0" xfId="0" applyFont="1" applyFill="1" applyAlignment="1">
      <alignment horizontal="left" vertical="center"/>
    </xf>
    <xf numFmtId="0" fontId="52" fillId="2" borderId="1" xfId="2" applyFont="1" applyFill="1" applyBorder="1" applyAlignment="1">
      <alignment horizontal="left"/>
    </xf>
    <xf numFmtId="0" fontId="32" fillId="10" borderId="0" xfId="0" applyFont="1" applyFill="1"/>
    <xf numFmtId="0" fontId="30" fillId="2" borderId="0" xfId="0" applyFont="1" applyFill="1"/>
    <xf numFmtId="0" fontId="43" fillId="2" borderId="0" xfId="0" applyFont="1" applyFill="1"/>
    <xf numFmtId="0" fontId="22" fillId="2" borderId="0" xfId="0" applyFont="1" applyFill="1"/>
    <xf numFmtId="0" fontId="36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left" vertical="center"/>
    </xf>
    <xf numFmtId="165" fontId="22" fillId="11" borderId="0" xfId="0" applyNumberFormat="1" applyFont="1" applyFill="1" applyAlignment="1">
      <alignment horizontal="left"/>
    </xf>
    <xf numFmtId="0" fontId="22" fillId="2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8" fillId="10" borderId="0" xfId="0" applyFont="1" applyFill="1"/>
    <xf numFmtId="0" fontId="8" fillId="10" borderId="0" xfId="0" applyFont="1" applyFill="1" applyAlignment="1">
      <alignment horizontal="left"/>
    </xf>
    <xf numFmtId="0" fontId="32" fillId="2" borderId="52" xfId="0" applyFont="1" applyFill="1" applyBorder="1" applyAlignment="1">
      <alignment horizontal="left"/>
    </xf>
    <xf numFmtId="0" fontId="1" fillId="2" borderId="52" xfId="2" applyFill="1" applyBorder="1" applyAlignment="1">
      <alignment horizontal="left"/>
    </xf>
    <xf numFmtId="0" fontId="5" fillId="11" borderId="0" xfId="0" applyFont="1" applyFill="1" applyAlignment="1">
      <alignment vertical="center"/>
    </xf>
    <xf numFmtId="164" fontId="32" fillId="2" borderId="52" xfId="0" applyNumberFormat="1" applyFont="1" applyFill="1" applyBorder="1" applyAlignment="1">
      <alignment horizontal="left"/>
    </xf>
    <xf numFmtId="14" fontId="32" fillId="2" borderId="52" xfId="0" applyNumberFormat="1" applyFont="1" applyFill="1" applyBorder="1" applyAlignment="1">
      <alignment horizontal="left"/>
    </xf>
    <xf numFmtId="0" fontId="17" fillId="10" borderId="0" xfId="0" applyFont="1" applyFill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0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center" vertical="center"/>
    </xf>
    <xf numFmtId="0" fontId="36" fillId="8" borderId="25" xfId="0" applyFont="1" applyFill="1" applyBorder="1" applyAlignment="1">
      <alignment horizontal="center" vertical="center"/>
    </xf>
    <xf numFmtId="164" fontId="5" fillId="11" borderId="1" xfId="0" applyNumberFormat="1" applyFont="1" applyFill="1" applyBorder="1" applyAlignment="1">
      <alignment horizontal="left"/>
    </xf>
    <xf numFmtId="0" fontId="36" fillId="8" borderId="27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32" fillId="0" borderId="1" xfId="0" applyFont="1" applyBorder="1"/>
    <xf numFmtId="0" fontId="32" fillId="2" borderId="0" xfId="0" applyFont="1" applyFill="1" applyAlignment="1">
      <alignment horizontal="left"/>
    </xf>
    <xf numFmtId="0" fontId="5" fillId="11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43" fillId="8" borderId="1" xfId="0" applyFont="1" applyFill="1" applyBorder="1" applyAlignment="1">
      <alignment horizontal="center" vertical="center"/>
    </xf>
    <xf numFmtId="0" fontId="32" fillId="0" borderId="0" xfId="0" applyFont="1"/>
    <xf numFmtId="0" fontId="32" fillId="0" borderId="71" xfId="0" applyFont="1" applyBorder="1"/>
    <xf numFmtId="0" fontId="32" fillId="0" borderId="39" xfId="0" applyFont="1" applyBorder="1"/>
    <xf numFmtId="0" fontId="32" fillId="0" borderId="38" xfId="0" applyFont="1" applyBorder="1"/>
    <xf numFmtId="0" fontId="32" fillId="2" borderId="0" xfId="0" applyFont="1" applyFill="1"/>
    <xf numFmtId="0" fontId="32" fillId="0" borderId="1" xfId="0" applyFont="1" applyBorder="1" applyAlignment="1">
      <alignment horizontal="left" vertical="center"/>
    </xf>
    <xf numFmtId="0" fontId="32" fillId="0" borderId="55" xfId="0" applyFont="1" applyBorder="1"/>
    <xf numFmtId="0" fontId="32" fillId="0" borderId="36" xfId="0" applyFont="1" applyBorder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0" fontId="32" fillId="0" borderId="40" xfId="0" applyFont="1" applyBorder="1"/>
    <xf numFmtId="0" fontId="32" fillId="0" borderId="72" xfId="0" applyFont="1" applyBorder="1"/>
    <xf numFmtId="44" fontId="32" fillId="0" borderId="37" xfId="5" applyFont="1" applyBorder="1"/>
    <xf numFmtId="44" fontId="32" fillId="0" borderId="1" xfId="5" applyFont="1" applyBorder="1"/>
    <xf numFmtId="0" fontId="32" fillId="0" borderId="56" xfId="0" applyFont="1" applyBorder="1"/>
    <xf numFmtId="0" fontId="53" fillId="0" borderId="1" xfId="2" applyFont="1" applyBorder="1"/>
    <xf numFmtId="0" fontId="28" fillId="17" borderId="53" xfId="0" applyFont="1" applyFill="1" applyBorder="1" applyAlignment="1">
      <alignment horizontal="center"/>
    </xf>
    <xf numFmtId="0" fontId="28" fillId="2" borderId="0" xfId="0" applyFont="1" applyFill="1" applyAlignment="1">
      <alignment horizontal="center"/>
    </xf>
    <xf numFmtId="0" fontId="44" fillId="7" borderId="1" xfId="0" applyFont="1" applyFill="1" applyBorder="1" applyAlignment="1">
      <alignment horizontal="center"/>
    </xf>
    <xf numFmtId="0" fontId="44" fillId="7" borderId="65" xfId="0" applyFont="1" applyFill="1" applyBorder="1" applyAlignment="1">
      <alignment horizontal="center"/>
    </xf>
    <xf numFmtId="0" fontId="44" fillId="7" borderId="64" xfId="0" applyFont="1" applyFill="1" applyBorder="1" applyAlignment="1">
      <alignment horizontal="center"/>
    </xf>
    <xf numFmtId="0" fontId="44" fillId="2" borderId="0" xfId="0" applyFont="1" applyFill="1" applyAlignment="1">
      <alignment horizontal="center"/>
    </xf>
    <xf numFmtId="0" fontId="28" fillId="17" borderId="3" xfId="0" applyFont="1" applyFill="1" applyBorder="1" applyAlignment="1">
      <alignment horizontal="center"/>
    </xf>
    <xf numFmtId="0" fontId="44" fillId="7" borderId="66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3" fillId="2" borderId="37" xfId="2" applyFont="1" applyFill="1" applyBorder="1" applyAlignment="1">
      <alignment horizontal="left" vertical="center"/>
    </xf>
    <xf numFmtId="0" fontId="53" fillId="2" borderId="0" xfId="2" applyFont="1" applyFill="1" applyBorder="1" applyAlignment="1">
      <alignment horizontal="left" vertical="center"/>
    </xf>
    <xf numFmtId="0" fontId="32" fillId="0" borderId="37" xfId="0" applyFont="1" applyBorder="1"/>
    <xf numFmtId="0" fontId="32" fillId="0" borderId="36" xfId="0" applyFont="1" applyBorder="1"/>
    <xf numFmtId="0" fontId="53" fillId="2" borderId="37" xfId="2" applyFont="1" applyFill="1" applyBorder="1" applyAlignment="1">
      <alignment horizontal="left"/>
    </xf>
    <xf numFmtId="0" fontId="53" fillId="2" borderId="0" xfId="2" applyFont="1" applyFill="1" applyBorder="1" applyAlignment="1">
      <alignment horizontal="left"/>
    </xf>
    <xf numFmtId="0" fontId="32" fillId="2" borderId="33" xfId="0" applyFont="1" applyFill="1" applyBorder="1" applyAlignment="1">
      <alignment horizontal="left" vertical="center"/>
    </xf>
    <xf numFmtId="0" fontId="32" fillId="2" borderId="2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/>
    </xf>
    <xf numFmtId="0" fontId="46" fillId="2" borderId="1" xfId="2" applyFont="1" applyFill="1" applyBorder="1" applyAlignment="1">
      <alignment horizontal="left"/>
    </xf>
    <xf numFmtId="0" fontId="28" fillId="3" borderId="0" xfId="0" applyFont="1" applyFill="1" applyAlignment="1">
      <alignment horizontal="center" vertical="center"/>
    </xf>
    <xf numFmtId="0" fontId="28" fillId="12" borderId="1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28" fillId="7" borderId="1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</cellXfs>
  <cellStyles count="6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Moeda 3" xfId="5" xr:uid="{C8563BB4-4771-4099-B082-45013E377669}"/>
    <cellStyle name="Normal" xfId="0" builtinId="0"/>
  </cellStyles>
  <dxfs count="0"/>
  <tableStyles count="0" defaultTableStyle="TableStyleMedium2" defaultPivotStyle="PivotStyleLight16"/>
  <colors>
    <mruColors>
      <color rgb="FF3D5B7A"/>
      <color rgb="FF171717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1895984"/>
        <c:axId val="871898480"/>
      </c:barChart>
      <c:catAx>
        <c:axId val="87189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8480"/>
        <c:crosses val="autoZero"/>
        <c:auto val="1"/>
        <c:lblAlgn val="ctr"/>
        <c:lblOffset val="100"/>
        <c:noMultiLvlLbl val="0"/>
      </c:catAx>
      <c:valAx>
        <c:axId val="8718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5984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HOME_VENDAS!A1"/><Relationship Id="rId3" Type="http://schemas.openxmlformats.org/officeDocument/2006/relationships/hyperlink" Target="#PROD_HOME!A1"/><Relationship Id="rId7" Type="http://schemas.openxmlformats.org/officeDocument/2006/relationships/hyperlink" Target="#HOME_RH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HOME_COMPRAS!A1"/><Relationship Id="rId5" Type="http://schemas.openxmlformats.org/officeDocument/2006/relationships/hyperlink" Target="#HOME_ESTOQUE!A1"/><Relationship Id="rId4" Type="http://schemas.openxmlformats.org/officeDocument/2006/relationships/hyperlink" Target="#HOME_LOGISTICA!A1"/><Relationship Id="rId9" Type="http://schemas.openxmlformats.org/officeDocument/2006/relationships/hyperlink" Target="#HOME_FINANCAS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png"/><Relationship Id="rId18" Type="http://schemas.openxmlformats.org/officeDocument/2006/relationships/hyperlink" Target="#HOME_RH!A1"/><Relationship Id="rId26" Type="http://schemas.microsoft.com/office/2007/relationships/hdphoto" Target="../media/hdphoto7.wdp"/><Relationship Id="rId3" Type="http://schemas.openxmlformats.org/officeDocument/2006/relationships/hyperlink" Target="#PRODU&#199;&#195;O_EQUIPES!A1"/><Relationship Id="rId21" Type="http://schemas.openxmlformats.org/officeDocument/2006/relationships/hyperlink" Target="#HOME_FINANCAS!A1"/><Relationship Id="rId34" Type="http://schemas.openxmlformats.org/officeDocument/2006/relationships/image" Target="../media/image13.png"/><Relationship Id="rId7" Type="http://schemas.openxmlformats.org/officeDocument/2006/relationships/image" Target="../media/image4.png"/><Relationship Id="rId12" Type="http://schemas.openxmlformats.org/officeDocument/2006/relationships/hyperlink" Target="#HOME_LOGISTICA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33" Type="http://schemas.openxmlformats.org/officeDocument/2006/relationships/hyperlink" Target="#PRODU&#199;&#195;O_CONSULTA!A1"/><Relationship Id="rId2" Type="http://schemas.openxmlformats.org/officeDocument/2006/relationships/hyperlink" Target="#PRODU&#199;&#195;O_LAN&#199;AMENTOS!A1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199;&#195;O_REQUISI&#199;&#213;ES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COMPRAS!A1"/><Relationship Id="rId32" Type="http://schemas.microsoft.com/office/2007/relationships/hdphoto" Target="../media/hdphoto9.wdp"/><Relationship Id="rId5" Type="http://schemas.openxmlformats.org/officeDocument/2006/relationships/hyperlink" Target="#NOVO!A1"/><Relationship Id="rId15" Type="http://schemas.openxmlformats.org/officeDocument/2006/relationships/hyperlink" Target="#HOME_ESTOQU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microsoft.com/office/2007/relationships/hdphoto" Target="../media/hdphoto3.wdp"/><Relationship Id="rId22" Type="http://schemas.openxmlformats.org/officeDocument/2006/relationships/image" Target="../media/image9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10.wdp"/><Relationship Id="rId8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7.png"/><Relationship Id="rId26" Type="http://schemas.openxmlformats.org/officeDocument/2006/relationships/hyperlink" Target="#HOME_COMPRAS!A1"/><Relationship Id="rId3" Type="http://schemas.openxmlformats.org/officeDocument/2006/relationships/hyperlink" Target="#PRODU&#199;&#195;O_REQUISI&#199;&#213;ES!A1"/><Relationship Id="rId21" Type="http://schemas.openxmlformats.org/officeDocument/2006/relationships/image" Target="../media/image8.png"/><Relationship Id="rId34" Type="http://schemas.microsoft.com/office/2007/relationships/hdphoto" Target="../media/hdphoto9.wdp"/><Relationship Id="rId7" Type="http://schemas.openxmlformats.org/officeDocument/2006/relationships/hyperlink" Target="#NOVO!A1"/><Relationship Id="rId12" Type="http://schemas.openxmlformats.org/officeDocument/2006/relationships/image" Target="../media/image5.png"/><Relationship Id="rId17" Type="http://schemas.openxmlformats.org/officeDocument/2006/relationships/hyperlink" Target="#HOME_ESTOQUE!A1"/><Relationship Id="rId25" Type="http://schemas.microsoft.com/office/2007/relationships/hdphoto" Target="../media/hdphoto6.wdp"/><Relationship Id="rId33" Type="http://schemas.openxmlformats.org/officeDocument/2006/relationships/image" Target="../media/image12.png"/><Relationship Id="rId2" Type="http://schemas.openxmlformats.org/officeDocument/2006/relationships/image" Target="../media/image3.png"/><Relationship Id="rId16" Type="http://schemas.microsoft.com/office/2007/relationships/hdphoto" Target="../media/hdphoto3.wdp"/><Relationship Id="rId20" Type="http://schemas.openxmlformats.org/officeDocument/2006/relationships/hyperlink" Target="#HOME_RH!A1"/><Relationship Id="rId29" Type="http://schemas.openxmlformats.org/officeDocument/2006/relationships/hyperlink" Target="#HOME_VENDAS!A1"/><Relationship Id="rId1" Type="http://schemas.openxmlformats.org/officeDocument/2006/relationships/chart" Target="../charts/chart1.xml"/><Relationship Id="rId6" Type="http://schemas.openxmlformats.org/officeDocument/2006/relationships/hyperlink" Target="#PRODU&#199;&#195;O_CONSULTA!A1"/><Relationship Id="rId11" Type="http://schemas.openxmlformats.org/officeDocument/2006/relationships/hyperlink" Target="#PROD_HOME!A1"/><Relationship Id="rId24" Type="http://schemas.openxmlformats.org/officeDocument/2006/relationships/image" Target="../media/image9.png"/><Relationship Id="rId32" Type="http://schemas.openxmlformats.org/officeDocument/2006/relationships/hyperlink" Target="#HOME_BD!A1"/><Relationship Id="rId5" Type="http://schemas.openxmlformats.org/officeDocument/2006/relationships/hyperlink" Target="#PRODU&#199;&#195;O_EQUIPES!A1"/><Relationship Id="rId15" Type="http://schemas.openxmlformats.org/officeDocument/2006/relationships/image" Target="../media/image6.png"/><Relationship Id="rId23" Type="http://schemas.openxmlformats.org/officeDocument/2006/relationships/hyperlink" Target="#HOME_FINANCAS!A1"/><Relationship Id="rId28" Type="http://schemas.microsoft.com/office/2007/relationships/hdphoto" Target="../media/hdphoto7.wdp"/><Relationship Id="rId10" Type="http://schemas.microsoft.com/office/2007/relationships/hdphoto" Target="../media/hdphoto1.wdp"/><Relationship Id="rId19" Type="http://schemas.microsoft.com/office/2007/relationships/hdphoto" Target="../media/hdphoto4.wdp"/><Relationship Id="rId31" Type="http://schemas.microsoft.com/office/2007/relationships/hdphoto" Target="../media/hdphoto8.wdp"/><Relationship Id="rId4" Type="http://schemas.openxmlformats.org/officeDocument/2006/relationships/hyperlink" Target="#PRODU&#199;&#195;O_LAN&#199;AMENTOS!A1"/><Relationship Id="rId9" Type="http://schemas.openxmlformats.org/officeDocument/2006/relationships/image" Target="../media/image4.png"/><Relationship Id="rId14" Type="http://schemas.openxmlformats.org/officeDocument/2006/relationships/hyperlink" Target="#HOME_LOGISTICA!A1"/><Relationship Id="rId22" Type="http://schemas.microsoft.com/office/2007/relationships/hdphoto" Target="../media/hdphoto5.wdp"/><Relationship Id="rId27" Type="http://schemas.openxmlformats.org/officeDocument/2006/relationships/image" Target="../media/image10.png"/><Relationship Id="rId30" Type="http://schemas.openxmlformats.org/officeDocument/2006/relationships/image" Target="../media/image11.png"/><Relationship Id="rId8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SOLICITA&#199;&#213;ES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N_CSOLICITAR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2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28" Type="http://schemas.microsoft.com/office/2007/relationships/hdphoto" Target="../media/hdphoto10.wdp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Relationship Id="rId27" Type="http://schemas.openxmlformats.org/officeDocument/2006/relationships/image" Target="../media/image13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2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2.xml.rels><?xml version="1.0" encoding="UTF-8" standalone="yes"?>
<Relationships xmlns="http://schemas.openxmlformats.org/package/2006/relationships"><Relationship Id="rId8" Type="http://schemas.microsoft.com/office/2007/relationships/hdphoto" Target="../media/hdphoto13.wdp"/><Relationship Id="rId13" Type="http://schemas.openxmlformats.org/officeDocument/2006/relationships/image" Target="../media/image27.png"/><Relationship Id="rId18" Type="http://schemas.openxmlformats.org/officeDocument/2006/relationships/image" Target="../media/image30.png"/><Relationship Id="rId3" Type="http://schemas.openxmlformats.org/officeDocument/2006/relationships/hyperlink" Target="#Home!A1"/><Relationship Id="rId21" Type="http://schemas.openxmlformats.org/officeDocument/2006/relationships/image" Target="../media/image32.png"/><Relationship Id="rId7" Type="http://schemas.openxmlformats.org/officeDocument/2006/relationships/image" Target="../media/image24.png"/><Relationship Id="rId12" Type="http://schemas.microsoft.com/office/2007/relationships/hdphoto" Target="../media/hdphoto15.wdp"/><Relationship Id="rId17" Type="http://schemas.microsoft.com/office/2007/relationships/hdphoto" Target="../media/hdphoto17.wdp"/><Relationship Id="rId2" Type="http://schemas.microsoft.com/office/2007/relationships/hdphoto" Target="../media/hdphoto12.wdp"/><Relationship Id="rId16" Type="http://schemas.openxmlformats.org/officeDocument/2006/relationships/image" Target="../media/image29.png"/><Relationship Id="rId20" Type="http://schemas.openxmlformats.org/officeDocument/2006/relationships/image" Target="../media/image31.png"/><Relationship Id="rId1" Type="http://schemas.openxmlformats.org/officeDocument/2006/relationships/image" Target="../media/image23.png"/><Relationship Id="rId6" Type="http://schemas.openxmlformats.org/officeDocument/2006/relationships/hyperlink" Target="#Produ&#231;&#227;o!A1"/><Relationship Id="rId11" Type="http://schemas.openxmlformats.org/officeDocument/2006/relationships/image" Target="../media/image26.png"/><Relationship Id="rId5" Type="http://schemas.microsoft.com/office/2007/relationships/hdphoto" Target="../media/hdphoto1.wdp"/><Relationship Id="rId15" Type="http://schemas.openxmlformats.org/officeDocument/2006/relationships/image" Target="../media/image28.png"/><Relationship Id="rId10" Type="http://schemas.microsoft.com/office/2007/relationships/hdphoto" Target="../media/hdphoto14.wdp"/><Relationship Id="rId19" Type="http://schemas.openxmlformats.org/officeDocument/2006/relationships/image" Target="../media/image3.png"/><Relationship Id="rId4" Type="http://schemas.openxmlformats.org/officeDocument/2006/relationships/image" Target="../media/image4.png"/><Relationship Id="rId9" Type="http://schemas.openxmlformats.org/officeDocument/2006/relationships/image" Target="../media/image25.png"/><Relationship Id="rId14" Type="http://schemas.microsoft.com/office/2007/relationships/hdphoto" Target="../media/hdphoto16.wdp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2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2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778240" y="691749"/>
          <a:ext cx="18836057" cy="17319931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1</xdr:col>
      <xdr:colOff>131620</xdr:colOff>
      <xdr:row>0</xdr:row>
      <xdr:rowOff>226870</xdr:rowOff>
    </xdr:from>
    <xdr:to>
      <xdr:col>2</xdr:col>
      <xdr:colOff>533400</xdr:colOff>
      <xdr:row>1</xdr:row>
      <xdr:rowOff>476250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741220" y="22687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ED53B5-C183-41B7-BA06-5BE376667DEA}"/>
            </a:ext>
          </a:extLst>
        </xdr:cNvPr>
        <xdr:cNvSpPr/>
      </xdr:nvSpPr>
      <xdr:spPr>
        <a:xfrm>
          <a:off x="285750" y="132568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67F52C2-48CF-4196-809B-4AE5DB20EA0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44150"/>
          <a:ext cx="341364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F89333-0539-4CA4-88F2-E7EEF6CC4FF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5970" y="1344150"/>
          <a:ext cx="340983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91782F4-EB70-4DBA-8CC1-4C0769B2A28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1303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>
    <xdr:from>
      <xdr:col>4</xdr:col>
      <xdr:colOff>28572</xdr:colOff>
      <xdr:row>0</xdr:row>
      <xdr:rowOff>0</xdr:rowOff>
    </xdr:from>
    <xdr:to>
      <xdr:col>38</xdr:col>
      <xdr:colOff>1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16D287D3-4807-4A0F-984C-BB16708EF0E8}"/>
            </a:ext>
          </a:extLst>
        </xdr:cNvPr>
        <xdr:cNvGrpSpPr/>
      </xdr:nvGrpSpPr>
      <xdr:grpSpPr>
        <a:xfrm>
          <a:off x="2466972" y="0"/>
          <a:ext cx="30546679" cy="1162050"/>
          <a:chOff x="2466972" y="0"/>
          <a:chExt cx="30546679" cy="1162050"/>
        </a:xfrm>
      </xdr:grpSpPr>
      <xdr:grpSp>
        <xdr:nvGrpSpPr>
          <xdr:cNvPr id="7" name="Agrupar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26A7F4E-F530-414A-9273-C0FDFC6DCC15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id="{207A8015-998C-4FEA-843D-55B4B608E98A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" name="Imagem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9AFE44F8-489A-4CE1-A152-AF1EBC7F4E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E426D7F3-2B26-4441-A417-F50BAAD0D766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B172B695-19DD-498D-BAAB-21310DBDEB28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97D5B4D5-3363-4E37-BA46-39C3DE1D9B2F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3C1136C4-A9E9-40AF-8916-13637D787547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4" name="Imagem 1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A929A630-52E2-41BF-B754-2CE7ECD802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B84FFBE2-2D3D-4B8A-AF60-1A6BA4956774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6" name="Retângulo 15">
              <a:extLst>
                <a:ext uri="{FF2B5EF4-FFF2-40B4-BE49-F238E27FC236}">
                  <a16:creationId xmlns:a16="http://schemas.microsoft.com/office/drawing/2014/main" id="{5D47FB20-02D7-4AF8-8FA7-8AD925CE6A54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6FE199B4-3C58-4457-A36E-F2B6ED8AABF7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8" name="Imagem 1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6671D3E8-9D9A-4487-94A4-199B2826D5B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BEBA8EAE-BF5A-486C-A8C5-ECC9F3942E4B}">
                  <a14:imgProps xmlns:a14="http://schemas.microsoft.com/office/drawing/2010/main">
                    <a14:imgLayer r:embed="rId1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5D93BFE9-4B6F-4FB6-A745-909FB0783BA8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F3191B70-A22D-4609-B65C-83DE2A405C3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54C4D125-7C8F-4B69-A607-E51111259829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22" name="Imagem 1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DF942C0D-2238-495D-9291-F8703AE3AD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E95D69B2-057D-49FE-AF96-F8BDA7E38C7D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F423B0B0-12CC-4AE4-8574-1678DD41A3C1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C3521594-A2B8-4731-9733-A3EF4935A566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26" name="Imagem 1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5E6986DB-A350-4067-89B3-BD5264423F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BEBA8EAE-BF5A-486C-A8C5-ECC9F3942E4B}">
                  <a14:imgProps xmlns:a14="http://schemas.microsoft.com/office/drawing/2010/main">
                    <a14:imgLayer r:embed="rId2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9182FCB3-0B69-4253-AEE0-881090F99BFB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B6F6AEC5-17B9-4ABE-9C98-73EF754BDF98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E02F5C7C-69FE-47EC-AED0-C6790785590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5D17CD25-78B0-43ED-B656-2E56BC75187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C17925A5-E917-40B8-BE60-2B16F9DBEA4D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07D8D865-40A6-4E5C-B13A-4F9455E26A67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71DA0D94-E380-4D04-A249-746CAC0394EA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4" name="Imagem 17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743019B0-36EA-4B63-9511-1547A6B0A8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BEBA8EAE-BF5A-486C-A8C5-ECC9F3942E4B}">
                  <a14:imgProps xmlns:a14="http://schemas.microsoft.com/office/drawing/2010/main">
                    <a14:imgLayer r:embed="rId2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DBEFDCAC-84FB-4493-BDC3-B6570AD7872E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C27471FA-D743-4505-A0DB-A8E35D30293E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7A9E31A4-7BB2-4CF5-BB6B-11079C967F19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38" name="Imagem 17">
              <a:hlinkClick xmlns:r="http://schemas.openxmlformats.org/officeDocument/2006/relationships" r:id="rId27"/>
              <a:extLst>
                <a:ext uri="{FF2B5EF4-FFF2-40B4-BE49-F238E27FC236}">
                  <a16:creationId xmlns:a16="http://schemas.microsoft.com/office/drawing/2014/main" id="{E3521283-844B-4585-B052-A7A9AD9501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BEBA8EAE-BF5A-486C-A8C5-ECC9F3942E4B}">
                  <a14:imgProps xmlns:a14="http://schemas.microsoft.com/office/drawing/2010/main">
                    <a14:imgLayer r:embed="rId2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EB756DCD-A276-4D36-98BA-39C99C878673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913CDF5-F23E-4402-9832-E17141C8B349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0AC7DA7-BD6E-4514-9052-C3A1537B6404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2" name="Imagem 41" descr="Ícone do banco de dados (símbolo png) preto">
              <a:hlinkClick xmlns:r="http://schemas.openxmlformats.org/officeDocument/2006/relationships" r:id="rId30"/>
              <a:extLst>
                <a:ext uri="{FF2B5EF4-FFF2-40B4-BE49-F238E27FC236}">
                  <a16:creationId xmlns:a16="http://schemas.microsoft.com/office/drawing/2014/main" id="{F647CF7E-4060-4E42-95D6-CF60EB37FE2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1" cstate="print">
              <a:extLst>
                <a:ext uri="{BEBA8EAE-BF5A-486C-A8C5-ECC9F3942E4B}">
                  <a14:imgProps xmlns:a14="http://schemas.microsoft.com/office/drawing/2010/main">
                    <a14:imgLayer r:embed="rId3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4" name="Retângulo 4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20E6C6F-EC20-4CF1-A3A9-1F60DDD279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9643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11</xdr:col>
      <xdr:colOff>190500</xdr:colOff>
      <xdr:row>12</xdr:row>
      <xdr:rowOff>190500</xdr:rowOff>
    </xdr:from>
    <xdr:to>
      <xdr:col>26</xdr:col>
      <xdr:colOff>361950</xdr:colOff>
      <xdr:row>65</xdr:row>
      <xdr:rowOff>160822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9DAAC046-4365-4D70-9D22-ACBD393646C5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alphaModFix amt="23000"/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610850" y="3733800"/>
          <a:ext cx="15449550" cy="139530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0]!REQTO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4</xdr:col>
      <xdr:colOff>1245042</xdr:colOff>
      <xdr:row>5</xdr:row>
      <xdr:rowOff>179849</xdr:rowOff>
    </xdr:to>
    <xdr:sp macro="" textlink="">
      <xdr:nvSpPr>
        <xdr:cNvPr id="74" name="Retângulo 7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A11772-7B3E-49EF-9DDA-F58CAB4A2E3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209550</xdr:rowOff>
    </xdr:from>
    <xdr:to>
      <xdr:col>16</xdr:col>
      <xdr:colOff>190500</xdr:colOff>
      <xdr:row>6</xdr:row>
      <xdr:rowOff>8400</xdr:rowOff>
    </xdr:to>
    <xdr:sp macro="" textlink="">
      <xdr:nvSpPr>
        <xdr:cNvPr id="75" name="Retângulo 7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2B69BB-D8D0-4B66-8E83-BEFC08A315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209550</xdr:rowOff>
    </xdr:from>
    <xdr:to>
      <xdr:col>9</xdr:col>
      <xdr:colOff>1074300</xdr:colOff>
      <xdr:row>6</xdr:row>
      <xdr:rowOff>8400</xdr:rowOff>
    </xdr:to>
    <xdr:sp macro="" textlink="">
      <xdr:nvSpPr>
        <xdr:cNvPr id="76" name="Retângulo 7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93B34E-644D-4A72-8B05-7CF85F9C2B5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16</xdr:col>
      <xdr:colOff>1878450</xdr:colOff>
      <xdr:row>3</xdr:row>
      <xdr:rowOff>190500</xdr:rowOff>
    </xdr:from>
    <xdr:to>
      <xdr:col>19</xdr:col>
      <xdr:colOff>438150</xdr:colOff>
      <xdr:row>5</xdr:row>
      <xdr:rowOff>179850</xdr:rowOff>
    </xdr:to>
    <xdr:sp macro="" textlink="">
      <xdr:nvSpPr>
        <xdr:cNvPr id="77" name="Retângulo 7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F365E5-3773-41C5-9622-5912D2D3D27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37</xdr:col>
      <xdr:colOff>581029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69C37D11-1918-4489-92D8-BE537B525F1B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79" name="Agrupar 7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949DA68-9C3D-428F-BD5C-1AFDADB9BEB0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7D7C959A-463E-4921-99CA-A3B769D4176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13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D3310A7-1671-429C-94FE-580929DA50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14" name="CaixaDeTexto 113">
              <a:extLst>
                <a:ext uri="{FF2B5EF4-FFF2-40B4-BE49-F238E27FC236}">
                  <a16:creationId xmlns:a16="http://schemas.microsoft.com/office/drawing/2014/main" id="{D0BFDF53-39F1-4860-A8EC-3CFA5721BB8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id="{1D195B3D-C7DA-458C-90A6-A4736215750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7A24234-FAF6-42BD-B886-93C3FACCBA33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ACB9DC01-4501-411C-9526-47FAF57FD49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E1114F01-8E59-4D4A-8221-0F4A9A29CFC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50B11AC7-5ED8-46F9-AC0B-7E8CA47A654E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1E3E4F3-E09A-4FC7-975E-DC162696173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0A876542-DC74-401B-9B18-DC9B9FAA8C4F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08" name="Imagem 10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1BCE424-8678-440F-9DE2-BD06461EBC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929640AB-8AA1-473C-ACDA-2A4D636462E3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F883C91D-18A0-46ED-B500-EABEF0BA30D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44F47F77-7CBF-4170-A66E-99B58B3232C2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EA92BBF-D689-4EA9-AE8B-B0258D693F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id="{81D630AA-B065-4259-A412-C08B6BF5EE09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8EB67026-0E6D-49EC-A309-99953CCAD5CF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FCD59C17-EC2F-4D07-909E-1A35E0308AD4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2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5B5AE5B4-E050-4E42-AE9F-624CDAE8F2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2D2840F1-5A0D-4BCD-BD1E-9C288A905B69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id="{36E62163-21DC-4337-96F0-29856FC83CF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8" name="CaixaDeTexto 97">
              <a:extLst>
                <a:ext uri="{FF2B5EF4-FFF2-40B4-BE49-F238E27FC236}">
                  <a16:creationId xmlns:a16="http://schemas.microsoft.com/office/drawing/2014/main" id="{54208E3B-34D1-4D5E-8278-8FFA25FAC31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99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28613B27-25B9-482B-9A5E-4677F57D4C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id="{70120646-1865-4B38-A78A-113621047779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94" name="Retângulo 93">
              <a:extLst>
                <a:ext uri="{FF2B5EF4-FFF2-40B4-BE49-F238E27FC236}">
                  <a16:creationId xmlns:a16="http://schemas.microsoft.com/office/drawing/2014/main" id="{B9A3BF0E-F807-4C9F-BCAD-D09F221B2865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extLst>
                <a:ext uri="{FF2B5EF4-FFF2-40B4-BE49-F238E27FC236}">
                  <a16:creationId xmlns:a16="http://schemas.microsoft.com/office/drawing/2014/main" id="{059544F6-D653-489D-9D07-EC5FE355C5DE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96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0369CBF-E8F4-4F8A-9E44-180398E560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E618CD7E-AE3A-4552-8500-9BD357DEC4C9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id="{A737769E-E6D0-4D5A-937F-D9ACA8ABC2CC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3E49F32B-CA86-430F-ADDB-9EF5D19981F0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17CF5B09-3C7F-4603-9CCC-F6F4CA7DA0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87" name="Agrupar 86">
            <a:extLst>
              <a:ext uri="{FF2B5EF4-FFF2-40B4-BE49-F238E27FC236}">
                <a16:creationId xmlns:a16="http://schemas.microsoft.com/office/drawing/2014/main" id="{0659C500-AD1A-443A-B00E-BCE1FF9FBB5A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FB919FE8-AB95-4A05-B3E1-E0D28D1F4918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id="{9A058E81-812F-4690-99CB-34B6F7B9AA5A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90" name="Imagem 89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D590DE44-C6BF-4F93-9E02-C4F51517E27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6B9085FD-6DBC-43D7-9686-6C53E958877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DB25D4EA-B2B7-492C-9C81-6A37759D5B1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ED9435-1324-498D-9FE9-B350CFD762A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13F0E146-F0FE-4F12-9F3D-F635CF3A63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172032</xdr:rowOff>
    </xdr:from>
    <xdr:to>
      <xdr:col>6</xdr:col>
      <xdr:colOff>25842</xdr:colOff>
      <xdr:row>5</xdr:row>
      <xdr:rowOff>160799</xdr:rowOff>
    </xdr:to>
    <xdr:sp macro="" textlink="">
      <xdr:nvSpPr>
        <xdr:cNvPr id="45" name="Retângulo 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B9CA70-0F75-409B-B0EE-14FFCA1A810A}"/>
            </a:ext>
          </a:extLst>
        </xdr:cNvPr>
        <xdr:cNvSpPr/>
      </xdr:nvSpPr>
      <xdr:spPr>
        <a:xfrm>
          <a:off x="285750" y="133408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190500</xdr:rowOff>
    </xdr:from>
    <xdr:to>
      <xdr:col>17</xdr:col>
      <xdr:colOff>1104900</xdr:colOff>
      <xdr:row>5</xdr:row>
      <xdr:rowOff>179850</xdr:rowOff>
    </xdr:to>
    <xdr:sp macro="" textlink="">
      <xdr:nvSpPr>
        <xdr:cNvPr id="46" name="Retângulo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D7EF1C-B103-40EA-B6C4-4192331CED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190500</xdr:rowOff>
    </xdr:from>
    <xdr:to>
      <xdr:col>12</xdr:col>
      <xdr:colOff>102750</xdr:colOff>
      <xdr:row>5</xdr:row>
      <xdr:rowOff>179850</xdr:rowOff>
    </xdr:to>
    <xdr:sp macro="" textlink="">
      <xdr:nvSpPr>
        <xdr:cNvPr id="47" name="Retângulo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2263CB-8144-4D29-AD6F-CE2257763DD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17</xdr:col>
      <xdr:colOff>2792850</xdr:colOff>
      <xdr:row>3</xdr:row>
      <xdr:rowOff>171450</xdr:rowOff>
    </xdr:from>
    <xdr:to>
      <xdr:col>22</xdr:col>
      <xdr:colOff>495300</xdr:colOff>
      <xdr:row>5</xdr:row>
      <xdr:rowOff>160800</xdr:rowOff>
    </xdr:to>
    <xdr:sp macro="" textlink="">
      <xdr:nvSpPr>
        <xdr:cNvPr id="48" name="Retângulo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15832B-6E6D-4D2A-BC1A-91F0D2A099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32</xdr:col>
      <xdr:colOff>1990729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3BB20D42-B832-4C4B-88B2-8406203801D8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50" name="Agrupar 4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95F13E-97B4-4988-A2C1-07E115C63B8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3" name="Retângulo 122">
              <a:extLst>
                <a:ext uri="{FF2B5EF4-FFF2-40B4-BE49-F238E27FC236}">
                  <a16:creationId xmlns:a16="http://schemas.microsoft.com/office/drawing/2014/main" id="{7C2AE7FB-DBE7-4EA2-9A50-B458DE893DD6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4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9022DBD-6052-49B7-9CA9-A7EA309083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5" name="CaixaDeTexto 124">
              <a:extLst>
                <a:ext uri="{FF2B5EF4-FFF2-40B4-BE49-F238E27FC236}">
                  <a16:creationId xmlns:a16="http://schemas.microsoft.com/office/drawing/2014/main" id="{0075C0C6-0AD1-454A-97B0-35DC34DB5398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3B559A3A-3B63-4E79-A9D7-A043B5DF567B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0" name="Retângulo 119">
              <a:extLst>
                <a:ext uri="{FF2B5EF4-FFF2-40B4-BE49-F238E27FC236}">
                  <a16:creationId xmlns:a16="http://schemas.microsoft.com/office/drawing/2014/main" id="{A9A5E404-9F2E-4A82-B50D-27F03B164A3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1" name="CaixaDeTexto 120">
              <a:extLst>
                <a:ext uri="{FF2B5EF4-FFF2-40B4-BE49-F238E27FC236}">
                  <a16:creationId xmlns:a16="http://schemas.microsoft.com/office/drawing/2014/main" id="{CD33D963-2C0F-4A5C-B47D-88B1A7406AB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2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F3012B9D-F1A1-45A7-BA01-E2968B3F1D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0EDA2FEF-C064-4752-9305-D140472B605D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77" name="Retângulo 76">
              <a:extLst>
                <a:ext uri="{FF2B5EF4-FFF2-40B4-BE49-F238E27FC236}">
                  <a16:creationId xmlns:a16="http://schemas.microsoft.com/office/drawing/2014/main" id="{CE7D064C-814D-41FC-8909-DDA2A3DC5C2A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8" name="CaixaDeTexto 117">
              <a:extLst>
                <a:ext uri="{FF2B5EF4-FFF2-40B4-BE49-F238E27FC236}">
                  <a16:creationId xmlns:a16="http://schemas.microsoft.com/office/drawing/2014/main" id="{72238F4D-123B-4C2E-9250-E9D6345157B0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19" name="Imagem 118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CF13DEB6-CF7D-4ECB-84B5-28C4EEEFB4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F05BA8DD-D328-4DBF-931B-248BF2D6F9A6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74" name="Retângulo 73">
              <a:extLst>
                <a:ext uri="{FF2B5EF4-FFF2-40B4-BE49-F238E27FC236}">
                  <a16:creationId xmlns:a16="http://schemas.microsoft.com/office/drawing/2014/main" id="{5E5914E8-4081-4B72-9BC6-947901703315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5" name="CaixaDeTexto 74">
              <a:extLst>
                <a:ext uri="{FF2B5EF4-FFF2-40B4-BE49-F238E27FC236}">
                  <a16:creationId xmlns:a16="http://schemas.microsoft.com/office/drawing/2014/main" id="{B8E2AECE-060B-4C3E-85CA-C74A75331BC8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6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806690FF-2D07-434D-9062-B21ABA62C6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7EA791A8-38BC-4D65-850E-781C73D3CA3C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id="{DFCE6D8A-F035-4861-B797-B26C3B57119E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A761038E-C258-4406-AF6F-B6D08BA7FE78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3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12B0BEBA-82B5-4147-BF6F-EC4D64B56AE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FDE422F6-FAE2-4EF7-9F38-7402D9F8B040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7CB1399D-3CEB-4E0B-9DA8-AD9579680DEB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C56B0819-8E14-4A19-89B4-A45C3A110A1C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70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F7EE0461-BE7B-4FC6-BF4C-1E887ABFB8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BA9EE820-86B4-41B7-94AB-604835F22FBF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65" name="Retângulo 64">
              <a:extLst>
                <a:ext uri="{FF2B5EF4-FFF2-40B4-BE49-F238E27FC236}">
                  <a16:creationId xmlns:a16="http://schemas.microsoft.com/office/drawing/2014/main" id="{0AC661D9-7CED-4464-BBBE-0AAA554D8146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CA1A0E86-3B72-4DC1-9D8E-238214C76CCF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7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84D5D20-D828-41DF-8AEA-3A04D02673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57" name="Agrupar 56">
            <a:extLst>
              <a:ext uri="{FF2B5EF4-FFF2-40B4-BE49-F238E27FC236}">
                <a16:creationId xmlns:a16="http://schemas.microsoft.com/office/drawing/2014/main" id="{D88679D8-7566-45FC-B4F7-58537F3E1B21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62" name="Retângulo 61">
              <a:extLst>
                <a:ext uri="{FF2B5EF4-FFF2-40B4-BE49-F238E27FC236}">
                  <a16:creationId xmlns:a16="http://schemas.microsoft.com/office/drawing/2014/main" id="{66ACB10B-4269-4975-A685-ECC4CFC67B25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" name="CaixaDeTexto 62">
              <a:extLst>
                <a:ext uri="{FF2B5EF4-FFF2-40B4-BE49-F238E27FC236}">
                  <a16:creationId xmlns:a16="http://schemas.microsoft.com/office/drawing/2014/main" id="{F9D391BB-CE8D-4491-8D48-07726E10BC85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4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459164D9-3E9E-40F0-8E5A-5BCFC7ADC3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EE62A363-C46A-429A-AF6B-B9CFFFD55383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59" name="Retângulo 58">
              <a:extLst>
                <a:ext uri="{FF2B5EF4-FFF2-40B4-BE49-F238E27FC236}">
                  <a16:creationId xmlns:a16="http://schemas.microsoft.com/office/drawing/2014/main" id="{6A220D63-15E4-489C-9A88-D60C603F940B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" name="CaixaDeTexto 59">
              <a:extLst>
                <a:ext uri="{FF2B5EF4-FFF2-40B4-BE49-F238E27FC236}">
                  <a16:creationId xmlns:a16="http://schemas.microsoft.com/office/drawing/2014/main" id="{2071CCE8-4CF1-4CC2-AADE-0C6E8F9E1A67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61" name="Imagem 60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192837CA-FC55-40DC-BFFD-DFA75F5F451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98F6044-3435-4A9B-94D6-20C32595DB4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EB0024F-8E8A-418A-BE9D-A8C972EE36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BC8D0F71-272B-4B75-BDD1-17351949F8B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1AAD696-6C11-4688-BA7C-749C83AE846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C8E728-0AD2-4B4F-A608-E7FF0D44A570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18</xdr:col>
      <xdr:colOff>704850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6A88D9-DB68-4D64-8735-15FD1356311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7496021-B371-43CB-8642-C47CFDC6A81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2392800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8488F9-9981-4D2A-9F01-DC7E26D2D32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ABCC02B1-A50A-48F8-A79C-3441A7A848ED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BBF6EFC-E490-4D2A-840F-79377E72CF3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746A78-9B18-4A56-B9FB-8FDAA8BCD1EC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2FE118-628D-427A-A615-F1D16F51AF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6E3F6070-A7CF-4408-816E-7039D9D4B17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6F2C2758-00E5-4D67-B817-894642B218D2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56B8AEA3-409A-4CC4-AF71-70FEE0C5A540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101BDED6-1722-452D-AD0A-458767F516DB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2086F362-B3F9-456A-A3E5-F986234F30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EF96C8B1-F810-4567-AB5A-CF7976A4BF28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1D5CA7AD-6A0F-4167-B5FD-81F89553C44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E7852B7F-A494-4FED-8E46-9231B5379DD8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187C7F25-3835-44D5-8084-5C250712EC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E18A090F-BCDA-460A-8DEF-FB96C94F4BBA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7E0AADAB-6898-4A87-BC59-BC31392CA890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A72F8687-195C-43E1-84E9-25B8775B8DD6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C4841CD5-5009-48B1-92F7-21E84433E7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E14D25BC-B016-4B50-92B3-98EA77447068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8616B51D-CBD3-4B18-BCED-B418BF08F09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AB00E12E-DFB2-4B44-A757-069087C5D2D9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768A9F03-1DCB-4C4B-A2E6-567CD142E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66C74D71-C8F2-4DF1-8B3B-B186EECFD49E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19E9854-391D-4D3A-9111-69BF99E41C6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073B76B0-F984-4C3F-AF92-50D463E7EBA6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9BD943AE-3B4F-4357-9764-968E01398B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CF334CEE-5347-4D9D-8C93-3917BACF777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EBF2710C-BC4B-4E10-A17F-A8BB9EA7D520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96AEAE9B-DBCB-4D8F-8C4A-581B2D564C4C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6099BE66-9FB9-4354-B79F-DACA490185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FE1237C5-4957-43CE-9A21-E17B153C200C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0F9D32CA-2067-4923-889B-27C8A2EBC9C8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243427D-3AE2-44CC-9257-D2C9C128CF31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8224384B-3123-4EE3-8D88-EF4232DA821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6A7C032D-7F56-4BF3-A1A9-C7B91AEA29CE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A705836F-41C6-4270-9C4A-938CE41B2B7E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B5F0BEDC-1E6D-494B-9A3E-A27450DA376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C1B8DF4C-C102-4719-816D-4EAD6B25138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400EBBFF-35F4-4E32-9C51-DA483560A0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D2E29B54-56DE-4F60-8A80-287F197976A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690ED7EE-2CDB-4692-A564-2EF9ED92BAE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854D1A0-20CD-4B5D-B30B-00FAC2E6D6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10C417-B8F8-4F45-9186-BDEF6683736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19</xdr:col>
      <xdr:colOff>95250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317582-EF18-4A46-8403-6A19E9D1B05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7371E3-3366-46CA-BB76-3E5106C37E6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19</xdr:col>
      <xdr:colOff>1783200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BA9A26B-439C-4B0D-99A5-61A8C787609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8CF4FBA7-2CF5-4240-9185-3EE5675BA1E7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BDBC924-189A-462D-A590-533780CA0E33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304988-047E-450C-A73F-01B2FBCDF6B2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6A76BC9B-4A72-4386-A565-2316F070E3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172779FF-967F-49D4-B836-3754026E41AF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9FF9374E-C7C4-479B-8031-A72DBF869BD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A5E62A66-C4C3-4F2D-8194-990C1CE1012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2CE20422-B173-4D08-B285-70AB1D986853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01B2C74-FCA1-4286-BCD1-2C105CA791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CFABA9E3-2887-4431-B438-0BE56CC76797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215C1089-F316-434E-A8A0-97F5507323CD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1AA71733-2C25-4F98-8336-703C028B19E3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11A6160-97CF-4B24-9A24-BEC27D73065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BEBA8EAE-BF5A-486C-A8C5-ECC9F3942E4B}">
                  <a14:imgProps xmlns:a14="http://schemas.microsoft.com/office/drawing/2010/main">
                    <a14:imgLayer r:embed="rId1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7B24E35B-5997-4C6F-ADA3-CEF35EDC450E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CA16EB78-CD0F-4DFA-B595-A43CB16669AD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B43C7746-142E-4C31-AE8F-7A24A7BB0605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89553F73-FF60-4009-A3E2-1AFF00A6A8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312B812A-7EF9-401F-A90E-360F7BDBE6CF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0029F15A-233B-4528-BDA9-15EAB85067E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6450ED86-49D1-46FC-AD40-E080216E72E2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E427D45E-DCE8-4F7D-AD7E-19680B5C9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BEBA8EAE-BF5A-486C-A8C5-ECC9F3942E4B}">
                  <a14:imgProps xmlns:a14="http://schemas.microsoft.com/office/drawing/2010/main">
                    <a14:imgLayer r:embed="rId2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DFC55B25-59E0-42F5-8B2B-2CD6233812B5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5C284D7D-97A6-4277-B7A7-464902F0791F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35C5298B-8D19-49DD-A710-7434A894DF35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1F06AA8A-57B3-4156-9B0F-5736720E54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BEBA8EAE-BF5A-486C-A8C5-ECC9F3942E4B}">
                  <a14:imgProps xmlns:a14="http://schemas.microsoft.com/office/drawing/2010/main">
                    <a14:imgLayer r:embed="rId2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105DC37A-E3A6-40F1-A735-F62B26CC9C5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E1229AA-4C7E-463F-88E6-D1F3272EE69A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213539F2-BA3E-4498-8EE5-D989F7DC24DD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6"/>
              <a:extLst>
                <a:ext uri="{FF2B5EF4-FFF2-40B4-BE49-F238E27FC236}">
                  <a16:creationId xmlns:a16="http://schemas.microsoft.com/office/drawing/2014/main" id="{ED05FEE3-C1F2-4999-B8AF-1FD66D3A91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 cstate="print">
              <a:extLst>
                <a:ext uri="{BEBA8EAE-BF5A-486C-A8C5-ECC9F3942E4B}">
                  <a14:imgProps xmlns:a14="http://schemas.microsoft.com/office/drawing/2010/main">
                    <a14:imgLayer r:embed="rId2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A800111E-3E94-4E53-AD1B-3C740953AAE8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21DE07B6-AB50-461B-BBC3-CEC4EE95BE19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E35BAE4-021E-46AD-A335-90CE7194E964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E3E47686-9EEF-444D-84FB-46285D6BE1C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BEBA8EAE-BF5A-486C-A8C5-ECC9F3942E4B}">
                  <a14:imgProps xmlns:a14="http://schemas.microsoft.com/office/drawing/2010/main">
                    <a14:imgLayer r:embed="rId3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569827A0-8920-4DBD-A859-3348D009440D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9E200730-B25E-4E10-AD50-1D3FA73D01E7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0F7CD73A-634C-470B-AEFA-E7743E2623F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2"/>
              <a:extLst>
                <a:ext uri="{FF2B5EF4-FFF2-40B4-BE49-F238E27FC236}">
                  <a16:creationId xmlns:a16="http://schemas.microsoft.com/office/drawing/2014/main" id="{C8837DB9-8463-4099-BD31-B5CED41CAC8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3" cstate="print">
              <a:extLst>
                <a:ext uri="{BEBA8EAE-BF5A-486C-A8C5-ECC9F3942E4B}">
                  <a14:imgProps xmlns:a14="http://schemas.microsoft.com/office/drawing/2010/main">
                    <a14:imgLayer r:embed="rId3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40D80F-8623-40D2-B006-8301A98EA268}"/>
            </a:ext>
          </a:extLst>
        </xdr:cNvPr>
        <xdr:cNvSpPr txBox="1"/>
      </xdr:nvSpPr>
      <xdr:spPr>
        <a:xfrm rot="10800000" flipH="1" flipV="1">
          <a:off x="4442790" y="499654"/>
          <a:ext cx="110871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A5A95-5FA9-4FD2-8C5F-B58DEEE7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9615" y="91651"/>
          <a:ext cx="40961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5DF1727-A9D7-4A1B-8222-8660498A2F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2D5A2DB-FEAD-456F-B2C5-A072ED17D0CE}"/>
            </a:ext>
          </a:extLst>
        </xdr:cNvPr>
        <xdr:cNvSpPr/>
      </xdr:nvSpPr>
      <xdr:spPr>
        <a:xfrm>
          <a:off x="5829300" y="13335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2706F00-EC02-4920-A70F-2D9617D44465}"/>
            </a:ext>
          </a:extLst>
        </xdr:cNvPr>
        <xdr:cNvSpPr/>
      </xdr:nvSpPr>
      <xdr:spPr>
        <a:xfrm>
          <a:off x="11026260" y="1352552"/>
          <a:ext cx="338697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8230C9D-C04C-4778-93C0-5978337F9EA0}"/>
            </a:ext>
          </a:extLst>
        </xdr:cNvPr>
        <xdr:cNvSpPr/>
      </xdr:nvSpPr>
      <xdr:spPr>
        <a:xfrm>
          <a:off x="1607058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425B81-E6F6-4470-BFA9-1B9AE0E9ADAA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1549FAA-084C-4A68-9C75-F91A3732FF34}"/>
            </a:ext>
          </a:extLst>
        </xdr:cNvPr>
        <xdr:cNvSpPr/>
      </xdr:nvSpPr>
      <xdr:spPr>
        <a:xfrm>
          <a:off x="26115373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7DC65D8-67F8-4A16-9A19-BC18DAC1AB9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946BFAA-14F0-4861-8F74-CDAFBD150886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FC30387-1AB2-44F8-9294-C2C36E6366B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FD9D7BE-EFF0-4A7E-99AC-0B6809AE5DE6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65DD4A60-5392-40CD-86FC-29F3723E4D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9824625-7B04-4ADD-98C5-FF9826DBE2E6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D13AFEEC-6576-4571-A67F-E3B5CC31AA21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48FBCA97-6A12-4AC6-964A-AE14AF5F014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18E46A36-9EC1-4EFA-A349-E568BD9BE5B9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70F64F0-7CC9-4470-9891-E445B78E19A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4DEDE5C8-206D-47A9-95BC-8C96889AE0D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7B0E7B4D-653E-4B67-B67D-AD40B3C4300B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DFE56BB2-CFDF-4B60-979B-50D43CFDB7D6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B01CD2-52F8-49DF-99C6-A6EF9932E74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A280B614-6718-4928-ADD1-C987417321B5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20F231-0588-494B-B150-860795D3DCAD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4DE99279-21E7-49E6-8F46-09897AE19E5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3BD097F-C419-41F0-9752-5F51033A524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F005D9A-03BB-4D39-BA45-64BF68B04EF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3B124877-7F0C-4968-B27D-5B0DFC53134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70C0B48B-DA27-4FB5-AB16-A1E9707892C1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126312-886A-46D0-A0AF-1EDEE030186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2B593E4-18ED-4A83-8192-B27E13F033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7F0671F4-9A33-41D0-A147-BD5CC0CA9BD0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8D22336D-34B7-42EC-9753-BE074B9961C4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20FCA0-1CE4-4FA0-A8A2-1239DDE8E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1B09E2A5-2870-41F2-8138-95CA5E30B93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BD4241E9-9770-4805-96E9-70D937CBCEAD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B52F05B-7620-488E-BE87-EAC627115AA6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28B1526-4AD7-464A-96A1-7C818C4398A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8A16F50A-4A8C-40AB-9839-1A5D9AA091EA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A09FAEC9-CB78-4BC1-BBFE-ABAAB34890D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63B741C-A2E4-48D4-BD7F-AD1E5295628C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283E3D-3A1D-4C18-A5F4-9BC9C18D6A2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7DDD5977-7698-4409-B3DD-13E53538A5EE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806AFE6B-D1F2-4AF2-965C-C6570AF18844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975D43F-0CC3-4357-BDC0-A3BB30FFED08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897682EF-742A-431D-A5BE-A5AD1EE5A4CA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8</xdr:col>
      <xdr:colOff>628650</xdr:colOff>
      <xdr:row>12</xdr:row>
      <xdr:rowOff>19050</xdr:rowOff>
    </xdr:from>
    <xdr:to>
      <xdr:col>14</xdr:col>
      <xdr:colOff>2495550</xdr:colOff>
      <xdr:row>50</xdr:row>
      <xdr:rowOff>217972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C99F2DEE-ED7B-4320-8567-3464A132890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1029950" y="4152900"/>
          <a:ext cx="15449550" cy="139530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1AB7B0DD-FB06-421F-9690-CCA1966000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59F94F6-A5B8-4FBB-B18B-D5CC30C0D270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DBC0329D-72D4-45E8-84B5-79585B9A3B47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:a16="http://schemas.microsoft.com/office/drawing/2014/main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:a16="http://schemas.microsoft.com/office/drawing/2014/main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971550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2628900</xdr:colOff>
      <xdr:row>3</xdr:row>
      <xdr:rowOff>171452</xdr:rowOff>
    </xdr:from>
    <xdr:to>
      <xdr:col>15</xdr:col>
      <xdr:colOff>998100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374196</xdr:colOff>
      <xdr:row>3</xdr:row>
      <xdr:rowOff>171452</xdr:rowOff>
    </xdr:from>
    <xdr:to>
      <xdr:col>17</xdr:col>
      <xdr:colOff>1219896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138793</xdr:colOff>
      <xdr:row>3</xdr:row>
      <xdr:rowOff>171452</xdr:rowOff>
    </xdr:from>
    <xdr:to>
      <xdr:col>24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AD41383-AA64-401B-BB1B-06A4009578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30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FEAE5E1-3821-46BA-9F11-820456CC4E54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A73073F-0647-46C6-8FB8-E5680BCBA716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BA03EB-AE50-47AB-ACF6-26E3E4FD945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759A86-849A-492E-BD16-5E8D3DE6A437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5FD128C-4E46-46E8-AAD4-98B01DD983EB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04748B-E3EB-441F-A033-723B7AC0034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59B1FA3-27E3-4FA5-AA45-3E8143D02F4A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EC2640C8-7D25-4007-B084-723EE408EFD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917B22-0931-49D4-B3D7-6C8208BF96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B333A1E-1BFC-4A0A-BE1B-00F62D3C1FDD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8456B89-A500-4F07-865D-47BBC305F32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C161C9F-5DDC-4636-9D4C-4729F934095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3B81898-56EF-4889-B28E-17BBECAA34AE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7EC7D8C2-40B7-4E94-B3BF-C57ADF7925D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5A6ABF-F122-4BF1-88DF-641AFC9A49B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A1FAA3E-C9E7-4B7B-A709-7830B084BAD1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1BE500F5-1A0D-4796-9C08-8E44D1E41E29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D0518CC4-0496-44F6-8D67-0D262158F6B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D5A19C7-1001-436A-BA8D-DE7C0A488C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3E0D13BD-169F-4A33-9A11-C41271ABF9E4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CF633B45-696B-477C-87BB-6B5068106CA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0CDF32F-A78D-4349-B5C7-9C4F3F30D7E3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87DFE145-8D40-41BF-AED1-EDD1BE12856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4966CE-6D04-428C-AB33-5794901DB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9305E3B6-E1C9-4F42-A98D-C5340039FC0F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4AAE57E6-8297-488D-ADBA-CA01AE27BBF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5826F2C-AC0A-418C-A951-F21B3D83DE32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676A07E-8328-4103-9627-5B75C2E3E6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4B25F83B-7BA5-40F9-9652-7C8D6C21AE8D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DC296931-7859-46C4-9A40-D228279D1F83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041C7928-DAEF-4414-B518-AF24D347EEE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13546B-28D2-4EDA-B99C-86807D692F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240D81AF-0AEC-47AC-B9EF-883EEEBEB2C6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64BE674D-79B8-4EDF-A5BF-4C3D85E6E4EA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4DDC4A8-11A9-4AB5-B8FF-3FB9ACC17B6F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B8BF06-1CA3-4504-983C-027533E1D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69A7C7FE-1A37-4D43-B78A-99665B3283E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41B11160-3E25-47F6-9251-DA6F7D1636C1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7EE2FF-8228-4D00-B378-06383719BCB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2EC9289-A4EA-49A8-AFE3-EF33BCADF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6FBB366F-AC77-4F5C-A481-91FFFA103559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382B7D9B-E823-4339-A4CA-ABDAFEADD89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C73EF69D-9FCE-4429-BB96-1C40B3D6C5D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1BF4D750-7FDD-4B27-B23B-17493388E5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B19DEFE1-6B71-4737-A7D3-0C9C31B4A0D4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DB3635A-5DF0-4541-A571-6106199E8087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41FCF268-BA30-45E8-938F-EE2D4C4DA77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AC5E608-C8E8-4E60-9DB3-EB61038259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67707D75-8C7D-4133-B63C-ADF2AF5655FB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BCC29E6-8D39-4045-8DF8-CDCC2A237C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64A2A74D-917B-4085-8E9E-8E9CA64A13F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8F2B3C61-C79A-4E71-9274-CC5FDCCA79E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168F214-87F0-4F3E-AB0E-B93AC0EB511B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0286A3-CCE9-40CD-BB5A-CBCC7B468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D903BF-2CB0-4864-93DF-AFEFB47DB6F0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0F67476-BBE7-4C14-BFBD-558381FB2CEF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C6B5881-0F4A-4880-9F67-7761EFE77DB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FFCBB4D0-F71B-4CA9-A5CD-C517CB4C122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BC64A780-2B8A-418B-B9DF-E472D817A1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094D6DD-E681-4F3B-BC4A-1E5810B585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5E4A0CE-1223-41E4-93E1-56670EF4FD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B48B437-397C-4525-AB52-9F47CA6997A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DD3041E-4866-4763-A9B3-2BE946EFBFF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EE247972-EE6B-4A4B-9337-3CE69C63564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EC92161-DBC1-4823-9A2E-7DC4E5D94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EE2312D-0CF8-4AFC-8E63-A08CD1B16246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F643E4-2CC8-4AAB-9259-DEA9005DB329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6829D7-D262-4B4E-9F73-8099DEE2A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9CE8F61-B981-4EF8-B5D3-63C2036C851C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1D771491-7546-4AE5-8501-22A6D5786081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82B89D2C-E41A-4A7D-BECF-0840569239C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28AB116-3953-4980-A928-FBD7BDC765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26F6444-EB54-44C2-9499-4035EE105BF6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616C020D-D294-47F6-BD75-994B6390C98E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494B93B-34DE-41EA-9BEE-3B6D275E614E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708A3DB-943A-4DC6-8E88-CF99C7CBC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2DCAEAE-9E32-498A-A92E-0EE7DFE26C78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7FBAF80-71CF-4ED3-A98A-E0622B66D6C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C3FD430-8FCB-4D14-BFC4-AA6BF7F5CCC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CF1F8D-01DE-4EDF-8E44-A90E74816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AC74F398-A5C1-4E8B-88B3-33CCF8E5A5D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622DF0D-4CD4-4C43-B575-25313FAA2BE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5CE72061-0A4D-425C-9897-5154EA04D60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9A4D0A3-478E-4D63-B87A-98CBBC53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8B8A4BA2-A43F-4BC8-9411-E47FF32876D4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BEFBEDA-6A68-432D-BDED-0358C6BEECA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FE1A22E-40D1-4EF6-A651-6B8A85098D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C95C591-D276-4B0F-A372-796842991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C2B9454-FD76-4E6A-BDA4-F7D300DEE349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81AE58E8-C55A-43F2-AE46-122CAEC4B60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0636194-5295-42DB-8A57-0E8D32D12D5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FDBB6F53-C912-4555-9456-F4E6DD1569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1047750</xdr:colOff>
      <xdr:row>10</xdr:row>
      <xdr:rowOff>228600</xdr:rowOff>
    </xdr:from>
    <xdr:to>
      <xdr:col>25</xdr:col>
      <xdr:colOff>247650</xdr:colOff>
      <xdr:row>49</xdr:row>
      <xdr:rowOff>65572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CF635739-29E6-4302-8535-F415E6EBFE7D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394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5702D68-D5C8-4CDF-BF80-7431A8BA48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7C2BB46-B7A5-4596-90A4-DA16D21C1A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049E32E-938D-4F64-BEC1-D545D54104D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5116B9A8-30A6-42FA-8BCA-C3A4230EC2C9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478F035-99C1-489C-B559-573865D7BBA0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8C6B52A1-752E-400C-84E4-EB0E5EE70C2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9F4BEFE-D8D1-4B33-A392-4C5F7C3AB0B5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D7031A8-DC00-4F59-AB81-0A7FEB4CD1D2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11BAAE-8FAF-42D4-B390-3B069A4514F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PEDIR PRODUTOS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D96927-86EB-45BF-9DBA-0313C3937F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1D5657A-233D-4DC6-8445-AD410B6AED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3BBA8A0-F37F-4747-9F16-40DE3BEC4DC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BADB8EFE-B12B-41F6-BEC7-E6FC797CB696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A71F4D7-BC66-464E-9708-67D4758ACD44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80CEB3-DAFB-4EB3-A05A-860D81AD002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048D900-ED2C-4405-A0E4-5DD68F87160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21CF932-7849-48D2-8113-B34AB4E29CC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D32D7F0-130A-4D6F-8E9B-BD65AAD462F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2705100</xdr:colOff>
      <xdr:row>27</xdr:row>
      <xdr:rowOff>76200</xdr:rowOff>
    </xdr:from>
    <xdr:to>
      <xdr:col>16</xdr:col>
      <xdr:colOff>1219200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58305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C71F1F2-42FC-4323-B018-E85D7F763B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512EF9-5A09-4D24-8B47-139CAFD44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93E36D-8419-40F3-8865-478A6BA7DB0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EE2CD9B3-273E-4667-A8A1-7AD4D645FF4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1EDE200-6609-4923-A2C3-74C7F63EE37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83762A-C1CC-4DD4-91E2-B3BD143731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89CDBC5F-AB2B-4D38-942B-01EAD06BD8E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C8C6F6C-A81F-4F26-90B9-D9668568AAF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598562F-4D86-489C-BC71-69188302207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17E1134-3242-4D78-A029-67ED53E1D5B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98C16D7-8822-4400-A9C5-B46457920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8F0B7622-8580-4A13-AD8C-0F2275472BA9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0283CFA-BB93-41F8-8BBC-457CCA2FF93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657889-DBFE-48D5-A794-764C3F2A1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D682A373-0058-45A4-9AA3-901C62B44731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2041F00E-0BB8-4CB0-9EDB-65EB142B5798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CD1ECB-1429-4E20-931F-1AA8DAA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B591F60-349E-4DA3-887D-26B4E9166E66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CF10132-7344-4563-93D4-946754F57B52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610A66-F315-45D0-86CF-DA83BF2F2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DF502EB-C6C4-48A1-90D9-BB53DA865B28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4F9304F-63CE-4519-9804-816AE2C63E1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13341ABB-9FAB-47BC-BA3F-1310B3237C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99EFD71-3963-4B82-9890-1C5C824006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A0FE77F-D33F-47D9-A1CB-A6B6C6A6B4C3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599FBD9C-F87E-4EA9-97C5-EAE0DDE525B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D9A18E7-8166-4D98-A40D-F71E0D30B12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9FDC37-AC96-4932-9847-DAEBBFBF69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201F466-65DE-4DFE-9D81-478A5C78946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08477B7-ABF8-4FE6-A279-59D6171A3E5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1B0E8B6-D8A1-4163-98F1-EB967F3F70DE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D8C0502-12D0-4CB8-A740-FE0E1CF25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BE39405-971B-4C24-9BFC-1491362B6831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6801DDF7-A12C-4EFA-A452-AA8BF735355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8402D20-7A4B-47DB-96F6-5B4CB90FFCC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6FD48C7C-1F29-4BF5-803A-71FC368B56F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2ACAED2-8130-406B-902E-DFB23543B31F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9A948C2-5B94-419C-BD06-19ADE06F527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AF04686-1401-4432-A0E1-370885B9937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880BCDDD-2F28-4077-9064-45FEA71810F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11</xdr:col>
      <xdr:colOff>1371600</xdr:colOff>
      <xdr:row>12</xdr:row>
      <xdr:rowOff>19050</xdr:rowOff>
    </xdr:from>
    <xdr:to>
      <xdr:col>19</xdr:col>
      <xdr:colOff>438150</xdr:colOff>
      <xdr:row>50</xdr:row>
      <xdr:rowOff>217972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25DC03B8-3CF3-48D2-89FA-EFE2A74107A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763250" y="4152900"/>
          <a:ext cx="15449550" cy="13953022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757FF52-3B75-4219-98FF-294F5476A70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861FDE9-1928-4C2D-A02B-E531484DE39C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DC9312A-A584-4995-B0D2-162B9163CF4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7850A42-372B-4048-AB6E-E630F3A11BAE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D3EB33B1-6D51-44FF-80A0-5724EE6CF573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27AD3C6-1B40-4741-BA9F-A51A263294E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36</xdr:row>
      <xdr:rowOff>238125</xdr:rowOff>
    </xdr:from>
    <xdr:to>
      <xdr:col>15</xdr:col>
      <xdr:colOff>357187</xdr:colOff>
      <xdr:row>39</xdr:row>
      <xdr:rowOff>279626</xdr:rowOff>
    </xdr:to>
    <xdr:sp macro="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74388647-0594-438F-952D-450E34D10CF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352770" y="12757785"/>
          <a:ext cx="1930717" cy="1138781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5CF85BF-C7EB-4DE5-8FE5-87898D0975E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5ADD9BD-6FF1-436C-9B9D-A0F2A213E41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2B4A6E6-BFED-45F6-A39A-7687BAA780D6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428A26-59BF-4ABD-BD8D-D6F7F7887A9F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5160F03-ED0C-46D3-927D-C273CCB8A585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DC8FFC0-99F5-4CD7-BCD2-E526F582629F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14B7D30-9DED-4A0B-8B0A-5444D019733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FCDAE7E-49EF-48D0-9C10-F9201F89982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4090020-FF03-4E40-AFC2-EC0F5E4D7D4E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755DF7-EEA5-4D41-B887-33E58CC010DC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A012808-C9D7-440A-B8CE-0269F10B5DB0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1A301D0D-CA68-42B5-9B81-1B1BE87EF755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15</xdr:col>
      <xdr:colOff>742950</xdr:colOff>
      <xdr:row>42</xdr:row>
      <xdr:rowOff>247650</xdr:rowOff>
    </xdr:from>
    <xdr:to>
      <xdr:col>15</xdr:col>
      <xdr:colOff>3600450</xdr:colOff>
      <xdr:row>46</xdr:row>
      <xdr:rowOff>171450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67FFF683-4937-4198-888C-93419B40E7E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9394150" y="15240000"/>
          <a:ext cx="2857500" cy="137160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78CF45A-CED6-4FEF-B9C7-B5884D300F0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53CE4BE-6C1B-4516-A7FE-A8D4526D126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DD6EF55-777B-4EE1-B873-4A8BA838655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20C324A-DD0A-4650-9171-EC72B10BAFB7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6AF4077-8FB5-40AF-AD4F-BE2CC5618E49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73BC4571-A299-4C32-9B21-33153CED9B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465C5C58-B922-4713-94C7-CD91855076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6FA71C7-2B13-4EAB-B4B5-58828886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F28844F-14CF-42A2-B6D7-279E620C8F3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853C2B9-A005-47C4-95A7-2973E6BD38B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89359E-25BC-4745-8E2E-616DF91E6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528AAB-0662-4300-8FE5-C188315D935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CB7FAB36-F7FC-42D8-A40D-BDDE7FCA02C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FA0A32B-E4A3-4454-938F-9D0640F27A4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357D252-C1E3-4A10-94BD-225761466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B1F5D71-897D-4465-9868-74DD10F7C97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E3B20B4-162C-4DC1-A215-3DC5D5CDC8C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99D0537-2360-49D7-B7B9-15556180B42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B4B22F8-8233-45A4-9320-70150EAD212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7CF286-FC83-4B54-9708-36EEA571E4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BC8FCCC-235C-4781-98A1-045CF690DD31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DF4B3964-DC30-4560-B4D9-1E26010A7810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A34A52-BEC7-430F-B626-BB3AED80A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29F19953-24B1-4DC5-A968-DBA02B513D9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539493A5-D564-4DB8-BB7B-31525028A809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5EFDE3-97F4-4C76-AAAA-663FC67AC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65190E2-39D0-435E-A165-367C1FDFC5F0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987B95D-1E16-4828-9022-63A289F8FFF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BF4659-3CD6-49F5-BF5B-F29DB5814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C6C495F-2803-407A-BFF8-32B438FD0FE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96175DB-EEDB-423A-A78A-BFECB01735B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2B58EC1-806E-4DAB-B1DA-907538D3FD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9E22F8-6855-4C25-B9AE-0BFED69AB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D911652-DD39-46DE-BA4E-13F74C44F35B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C26FA004-4446-4F49-8E41-A89BC089C6F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95BD5B2-3600-4848-B7D5-116B160AC07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0D2437-1BE8-4768-8827-BD7EB5575D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5C63D4B9-7F7A-4CC6-8856-DA1E88D02C7E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FD6D5BA0-100C-447B-8454-8187F30D19DE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94876-AC9D-4993-AC4D-89C088B5C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D60FCCA-4F1B-480D-A390-5FF39E76D11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5E18D26-292C-47B9-9007-D388AC755DF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1EB4955C-82D8-41A2-8B53-FB35D9057B1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BC915DA-434D-4599-B33A-203A43A8E02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1179D41-1685-47FD-9454-A0F2E0282C3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585051E-FF9C-47BF-B7BF-506CCF7E7D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67E99C8-4A5B-428B-9AA0-03AF38D4F98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4E62-937E-4A7C-8450-CEBBE7707F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0E61361-B4FB-45F6-B826-E50DDD5F89D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1600200</xdr:colOff>
      <xdr:row>10</xdr:row>
      <xdr:rowOff>228600</xdr:rowOff>
    </xdr:from>
    <xdr:to>
      <xdr:col>14</xdr:col>
      <xdr:colOff>514350</xdr:colOff>
      <xdr:row>49</xdr:row>
      <xdr:rowOff>65572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BA13621A-61E6-48E6-AF7B-D50777ED5B4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5918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1B43528-F9AD-49F0-9508-D2A0A26D917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567A84-FA24-4BE8-9978-637DF59FF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5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321360F-203F-47CE-9135-501C2E2D7549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977C954-05CD-4B26-BE12-224CB46903D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874E3E9-EDBE-4B44-94CB-8F3E71636AEF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E797995-C7BE-4565-9F79-4CC86B219C0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06DDDCA-A09F-43A8-8FF6-4A468CE107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D8296C6B-2002-4CD5-805C-0738D7A2F9F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5C3DBCB-88EF-4357-B7E9-21686792248B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12DAE44A-94B6-40C5-A443-C44D06344A4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97C85D8-63E5-45CC-8C90-AF191B5294A1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04A3DE6-2DB1-4A49-B6DB-EEB330161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C8B13264-AC93-4DAB-9215-1D9A0449F2C5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7E416A98-C78D-4C74-80E2-493933B4B605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DEC335-9993-4297-A573-52C488993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38A5E59-AA35-40EB-A736-674EE3FFCB8A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DAD36D9-1CCA-46BF-808C-5BF8E9AED294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5BE156-ABDC-45D6-B2D9-B48AA5440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B2D9501D-C1C3-458C-A2A8-4BAAE49F33A2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2139DBF-6654-4E05-B42E-88EA1B8976FC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7E8AC6-8CC7-4810-9219-EAD9F18A5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507A104-25E4-4F3A-83DA-7EBD00CDCF73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2A2DC10-D3D6-41ED-AB77-8C6BBBFB3FD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D33434A-3976-4F76-BB49-41A6F419B1D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067A9E1-5E3E-42C5-838D-2B89A122A9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3BAD891-5B2C-4C2B-A677-F27DC62CC986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E6F1C34-2349-4A24-9D50-FBF46F44838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AB5B0A1-1F90-4560-A60A-6FBAFB44E89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CC4D8D-3777-4DA5-BD06-B91D0884A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D6AB1FAC-E734-4393-B1D2-73889FAFB55C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02E4E0A-F2BB-47D1-97CA-4B449EE8817E}"/>
            </a:ext>
          </a:extLst>
        </xdr:cNvPr>
        <xdr:cNvSpPr txBox="1"/>
      </xdr:nvSpPr>
      <xdr:spPr>
        <a:xfrm rot="10800000" flipH="1" flipV="1">
          <a:off x="27765438" y="750343"/>
          <a:ext cx="159816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644327-9514-4EF7-B23B-617407BEF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F9295F4-DB45-4D78-9517-D6AB6BE563CB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11A7B01C-5BF1-4FA2-88D7-C1DDE7AF1C7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746C6BFE-4F96-4435-AE05-7EF9F262E55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47AF535F-0EB2-46F1-ABBA-431F0EED98D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68B9A075-68E8-4879-A49B-7A5EA7ED9F3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C00C0E6-68D2-4BFE-9D09-707C66FAC4E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B146BF0-C4BF-4916-BA3E-AC17B633620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DE48FCA-52C1-4031-8822-568BCC35FCF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41ECE56-B29F-46D2-9930-F37B709102CF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08688EFA-8ABA-4C87-A893-4FF8B983B6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[5]!cadastro_cliente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9A0A41C8-9FDA-4773-802F-415316DCB15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1038225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1A2F05A-3B61-4FEF-A478-77A2737D13D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F80844-F3B1-4769-AC9C-CFB6E85E8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1762125</xdr:colOff>
      <xdr:row>3</xdr:row>
      <xdr:rowOff>247650</xdr:rowOff>
    </xdr:from>
    <xdr:to>
      <xdr:col>13</xdr:col>
      <xdr:colOff>2133600</xdr:colOff>
      <xdr:row>4</xdr:row>
      <xdr:rowOff>125186</xdr:rowOff>
    </xdr:to>
    <xdr:sp macro="[5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D70A59E5-DFB7-47BE-A234-C19D7277B85F}"/>
            </a:ext>
          </a:extLst>
        </xdr:cNvPr>
        <xdr:cNvSpPr/>
      </xdr:nvSpPr>
      <xdr:spPr>
        <a:xfrm>
          <a:off x="25269825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9E70D87-A1B8-445C-8A70-0384E2A9E53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B96BE99-8B51-478F-B976-5092CDA7854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97D669C0-9E76-4C15-B350-EB5D0367303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2E75B2A-F5FD-4CDD-A770-DB0CF79C1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4B718BDF-1F33-4D3E-97AA-FEFE917303E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B2D796C3-0154-4725-A4E8-76472637CEE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32E38E0-035D-4FC7-BE6F-49D9C5AA7A8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2E8AAA5A-6C21-42E1-9FCC-A5BC9C89B3E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4E826A-1EBC-4B53-A4C4-DB135A96B8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71F1F73-167C-43AC-82B2-FE4BC1902FD4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144FCA0-C92C-4517-B721-A1A52255D41F}"/>
            </a:ext>
          </a:extLst>
        </xdr:cNvPr>
        <xdr:cNvSpPr txBox="1"/>
      </xdr:nvSpPr>
      <xdr:spPr>
        <a:xfrm rot="10800000" flipH="1" flipV="1">
          <a:off x="957416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FE9092-692C-4C45-8C67-80DC2566D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B70191A-CB86-45D8-8970-CD5C98BD3FD3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44EB5A8-9F33-4ECF-9C67-39B1F4E22AB5}"/>
            </a:ext>
          </a:extLst>
        </xdr:cNvPr>
        <xdr:cNvSpPr txBox="1"/>
      </xdr:nvSpPr>
      <xdr:spPr>
        <a:xfrm rot="10800000" flipH="1" flipV="1">
          <a:off x="1321087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207FDA-E5B0-4194-B13B-C9E274B02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395829E5-01A1-48A0-8725-8F70DCCA3072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3ED2FEF4-F1EE-4743-8617-3BEFA82CFDCE}"/>
            </a:ext>
          </a:extLst>
        </xdr:cNvPr>
        <xdr:cNvSpPr txBox="1"/>
      </xdr:nvSpPr>
      <xdr:spPr>
        <a:xfrm rot="10800000" flipH="1" flipV="1">
          <a:off x="1685575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9F52E5-2523-42FE-8DFF-CA714485C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714182</xdr:colOff>
      <xdr:row>0</xdr:row>
      <xdr:rowOff>0</xdr:rowOff>
    </xdr:from>
    <xdr:to>
      <xdr:col>12</xdr:col>
      <xdr:colOff>616005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F6E7A58-B91A-4908-8490-A491D599BC14}"/>
            </a:ext>
          </a:extLst>
        </xdr:cNvPr>
        <xdr:cNvGrpSpPr/>
      </xdr:nvGrpSpPr>
      <xdr:grpSpPr>
        <a:xfrm>
          <a:off x="20469032" y="0"/>
          <a:ext cx="1654423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D6FBCEC-E95A-414C-8333-ADB4FA2C165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6854ED1-6A00-4631-849F-C94630FADA8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9B1847-11A6-4057-B023-375EC7D08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673348</xdr:colOff>
      <xdr:row>0</xdr:row>
      <xdr:rowOff>0</xdr:rowOff>
    </xdr:from>
    <xdr:to>
      <xdr:col>13</xdr:col>
      <xdr:colOff>2177284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12C14D27-B3B7-4465-8AFD-9C33D6C8DA5B}"/>
            </a:ext>
          </a:extLst>
        </xdr:cNvPr>
        <xdr:cNvGrpSpPr/>
      </xdr:nvGrpSpPr>
      <xdr:grpSpPr>
        <a:xfrm>
          <a:off x="24161998" y="0"/>
          <a:ext cx="1503936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4A3BA37C-1F07-47BF-8309-C1E2D397007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F070F36-D7D8-478E-A9F9-24B114A1753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2BD5260-642A-4CD9-B0A0-977A2C9D00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1007774</xdr:colOff>
      <xdr:row>0</xdr:row>
      <xdr:rowOff>0</xdr:rowOff>
    </xdr:from>
    <xdr:to>
      <xdr:col>15</xdr:col>
      <xdr:colOff>516560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BF1BF85-6A09-40DE-941B-942EC91C6F51}"/>
            </a:ext>
          </a:extLst>
        </xdr:cNvPr>
        <xdr:cNvSpPr/>
      </xdr:nvSpPr>
      <xdr:spPr>
        <a:xfrm>
          <a:off x="27799694" y="0"/>
          <a:ext cx="152046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958278</xdr:colOff>
      <xdr:row>2</xdr:row>
      <xdr:rowOff>384583</xdr:rowOff>
    </xdr:from>
    <xdr:to>
      <xdr:col>15</xdr:col>
      <xdr:colOff>603822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E2180C9-D61C-41B9-A46E-2E8E0B40D9C0}"/>
            </a:ext>
          </a:extLst>
        </xdr:cNvPr>
        <xdr:cNvSpPr txBox="1"/>
      </xdr:nvSpPr>
      <xdr:spPr>
        <a:xfrm rot="10800000" flipH="1" flipV="1">
          <a:off x="27750198" y="750343"/>
          <a:ext cx="165722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1450618</xdr:colOff>
      <xdr:row>0</xdr:row>
      <xdr:rowOff>136274</xdr:rowOff>
    </xdr:from>
    <xdr:to>
      <xdr:col>15</xdr:col>
      <xdr:colOff>73712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6B2274-F897-4F7D-A626-B391BC513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42538" y="136274"/>
          <a:ext cx="634774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2642364</xdr:colOff>
      <xdr:row>0</xdr:row>
      <xdr:rowOff>0</xdr:rowOff>
    </xdr:from>
    <xdr:to>
      <xdr:col>15</xdr:col>
      <xdr:colOff>4104802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44B78B2-CE0D-431A-A505-8167FFF1B28A}"/>
            </a:ext>
          </a:extLst>
        </xdr:cNvPr>
        <xdr:cNvGrpSpPr/>
      </xdr:nvGrpSpPr>
      <xdr:grpSpPr>
        <a:xfrm>
          <a:off x="31426914" y="0"/>
          <a:ext cx="1462438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951C03F3-AEF8-470B-A2E2-E624F907BB5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DD652C70-CBAD-4DF1-9535-3AA4BAD0FAC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26D72047-74BE-48DB-A9BE-22E1588EAAD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4E4E27E-1A0F-4163-8194-09D1934777BB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CDC1D25-4069-4057-A0BB-C474E973C9E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A24D736-D377-4403-A442-B465F290E87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10</xdr:col>
      <xdr:colOff>3450788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0F3DC27-A6A5-4374-AFAD-2B58D6EB0D3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3648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11</xdr:col>
      <xdr:colOff>1174774</xdr:colOff>
      <xdr:row>3</xdr:row>
      <xdr:rowOff>133350</xdr:rowOff>
    </xdr:from>
    <xdr:to>
      <xdr:col>13</xdr:col>
      <xdr:colOff>901287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3F6FD8C-382E-4699-AE8C-61364687D837}"/>
            </a:ext>
          </a:extLst>
        </xdr:cNvPr>
        <xdr:cNvSpPr/>
      </xdr:nvSpPr>
      <xdr:spPr>
        <a:xfrm>
          <a:off x="20948674" y="1276350"/>
          <a:ext cx="3460313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E331176-9587-4A3F-97E9-69F286C872D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50770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1428750</xdr:colOff>
      <xdr:row>33</xdr:row>
      <xdr:rowOff>57150</xdr:rowOff>
    </xdr:from>
    <xdr:to>
      <xdr:col>10</xdr:col>
      <xdr:colOff>1034686</xdr:colOff>
      <xdr:row>37</xdr:row>
      <xdr:rowOff>41569</xdr:rowOff>
    </xdr:to>
    <xdr:sp macro="[5]!Controle_Venda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5D9695B1-7EB5-4CEB-9A73-D973E82B528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971270" y="1184529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51D2CA7-80E5-496F-8F21-2B46BFE32F9D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4153A3-6D37-48F5-8492-15F6CB2B4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2571750</xdr:colOff>
      <xdr:row>3</xdr:row>
      <xdr:rowOff>247650</xdr:rowOff>
    </xdr:from>
    <xdr:to>
      <xdr:col>13</xdr:col>
      <xdr:colOff>2943225</xdr:colOff>
      <xdr:row>4</xdr:row>
      <xdr:rowOff>125186</xdr:rowOff>
    </xdr:to>
    <xdr:sp macro="[5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5BDC9EDD-D4D5-49F6-8F29-87B810FE26A6}"/>
            </a:ext>
          </a:extLst>
        </xdr:cNvPr>
        <xdr:cNvSpPr/>
      </xdr:nvSpPr>
      <xdr:spPr>
        <a:xfrm>
          <a:off x="2524125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128125C-0428-4625-B986-FE83D5D710C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3B01CAF-E9BB-4B8E-8FAE-9C0CBBA3251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78E2C35C-73CB-4480-B6E5-DBB27AAE8D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2321A99-10B9-4674-B313-18E2A87F7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604C29A-5CCA-4FA4-B432-EC729DB48D3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A60F8F3-9538-41D2-8B8E-431B4D45DE3A}"/>
            </a:ext>
          </a:extLst>
        </xdr:cNvPr>
        <xdr:cNvGrpSpPr/>
      </xdr:nvGrpSpPr>
      <xdr:grpSpPr>
        <a:xfrm>
          <a:off x="5936923" y="0"/>
          <a:ext cx="1598697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5298AE1-21A2-4FB5-B942-8D65A5D2A909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CAB9FCF-81F5-4F0C-8689-07B18ADAF55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A15EB39-5D19-4EE5-AFD5-25C5685B2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04D370E-DA97-4E11-91C5-8AAD522C9253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DBFBC2E-5E4D-4899-8172-A0619D80B70A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D71CF4-2A1A-4021-971D-2D038177D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EB7A7D5C-6F25-46F7-84C9-A22603F6CB9C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2D93ED7F-971D-457A-8EFD-CD72B5DD71B1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3BBA4F-977C-4545-8377-CC2D731AF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21BDA7D-266C-46BE-8D49-3C65C0769C34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B65800B2-B3A7-413C-9003-0248DB5E30B2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139B93-76A8-4DE8-8231-2241B7404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1526453</xdr:colOff>
      <xdr:row>0</xdr:row>
      <xdr:rowOff>0</xdr:rowOff>
    </xdr:from>
    <xdr:to>
      <xdr:col>12</xdr:col>
      <xdr:colOff>1425630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886CAE5B-BE59-42B2-B0E9-9CE6C7050939}"/>
            </a:ext>
          </a:extLst>
        </xdr:cNvPr>
        <xdr:cNvGrpSpPr/>
      </xdr:nvGrpSpPr>
      <xdr:grpSpPr>
        <a:xfrm>
          <a:off x="20462153" y="0"/>
          <a:ext cx="1644157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BE36325-FAF1-4077-B089-4C7CD925242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D26BE41-148F-4EF1-9EE7-FAD7947E9E5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009BEF4-22BD-41D3-AF77-7542492A3D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1482973</xdr:colOff>
      <xdr:row>0</xdr:row>
      <xdr:rowOff>0</xdr:rowOff>
    </xdr:from>
    <xdr:to>
      <xdr:col>13</xdr:col>
      <xdr:colOff>2986909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2CC3917-2026-43A2-91F9-F567CF4E7BE5}"/>
            </a:ext>
          </a:extLst>
        </xdr:cNvPr>
        <xdr:cNvGrpSpPr/>
      </xdr:nvGrpSpPr>
      <xdr:grpSpPr>
        <a:xfrm>
          <a:off x="24152473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049960C-C247-495D-A922-68096AC83E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E388CBF-4FF7-416C-8621-7B1EC5D8CDE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D4338DE-DC15-4CD5-AD5D-049763837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1603087</xdr:colOff>
      <xdr:row>0</xdr:row>
      <xdr:rowOff>0</xdr:rowOff>
    </xdr:from>
    <xdr:to>
      <xdr:col>15</xdr:col>
      <xdr:colOff>230810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8DCA761-837D-4BA1-90AD-AC9EEA5E5FA5}"/>
            </a:ext>
          </a:extLst>
        </xdr:cNvPr>
        <xdr:cNvSpPr/>
      </xdr:nvSpPr>
      <xdr:spPr>
        <a:xfrm>
          <a:off x="27777787" y="0"/>
          <a:ext cx="1546183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1553591</xdr:colOff>
      <xdr:row>2</xdr:row>
      <xdr:rowOff>384583</xdr:rowOff>
    </xdr:from>
    <xdr:to>
      <xdr:col>15</xdr:col>
      <xdr:colOff>318072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8C619A31-E136-4FDF-9677-450822751B8B}"/>
            </a:ext>
          </a:extLst>
        </xdr:cNvPr>
        <xdr:cNvSpPr txBox="1"/>
      </xdr:nvSpPr>
      <xdr:spPr>
        <a:xfrm rot="10800000" flipH="1" flipV="1">
          <a:off x="27728291" y="750343"/>
          <a:ext cx="168294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2045931</xdr:colOff>
      <xdr:row>0</xdr:row>
      <xdr:rowOff>136274</xdr:rowOff>
    </xdr:from>
    <xdr:to>
      <xdr:col>14</xdr:col>
      <xdr:colOff>2624296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5D74AE-A28B-424A-A906-E431F38E3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20631" y="136274"/>
          <a:ext cx="578365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2356614</xdr:colOff>
      <xdr:row>0</xdr:row>
      <xdr:rowOff>0</xdr:rowOff>
    </xdr:from>
    <xdr:to>
      <xdr:col>15</xdr:col>
      <xdr:colOff>3830958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8A579C7-7443-4740-98E2-E0D145EC9E79}"/>
            </a:ext>
          </a:extLst>
        </xdr:cNvPr>
        <xdr:cNvGrpSpPr/>
      </xdr:nvGrpSpPr>
      <xdr:grpSpPr>
        <a:xfrm>
          <a:off x="31449774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29F216F-0F6D-43E9-A7E3-5664FAD89BA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55E5E6D1-569A-4452-9262-9E350F8A9E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7DD303B-F289-49EC-9D72-EF22E8FC5C7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483423B6-B624-4F7E-BC5E-53ADF5836B2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57E4C0D-2DC7-4A0B-BDAE-F26EF97A3B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D13E0CCE-93AE-4E98-997D-D9F6F81F246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617100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224F0652-D404-4421-83F2-2141E29D568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293712</xdr:colOff>
      <xdr:row>3</xdr:row>
      <xdr:rowOff>133350</xdr:rowOff>
    </xdr:from>
    <xdr:to>
      <xdr:col>13</xdr:col>
      <xdr:colOff>1710912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B9485A-81E6-446A-ACFB-24080583AC6A}"/>
            </a:ext>
          </a:extLst>
        </xdr:cNvPr>
        <xdr:cNvSpPr/>
      </xdr:nvSpPr>
      <xdr:spPr>
        <a:xfrm>
          <a:off x="2097439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29</xdr:row>
      <xdr:rowOff>65315</xdr:rowOff>
    </xdr:from>
    <xdr:to>
      <xdr:col>13</xdr:col>
      <xdr:colOff>0</xdr:colOff>
      <xdr:row>32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8DDE76E1-0D85-483B-A39F-C393DDB16F9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669500" y="1039041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20</xdr:row>
      <xdr:rowOff>95250</xdr:rowOff>
    </xdr:from>
    <xdr:to>
      <xdr:col>10</xdr:col>
      <xdr:colOff>1148986</xdr:colOff>
      <xdr:row>24</xdr:row>
      <xdr:rowOff>79669</xdr:rowOff>
    </xdr:to>
    <xdr:sp macro="[5]!meta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71BF4E26-109E-404C-8D19-EC4CB80D8A7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712851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1615770</xdr:colOff>
      <xdr:row>2</xdr:row>
      <xdr:rowOff>133894</xdr:rowOff>
    </xdr:from>
    <xdr:to>
      <xdr:col>3</xdr:col>
      <xdr:colOff>207980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9074656-E109-40C5-BC18-EB2BF08B782D}"/>
            </a:ext>
          </a:extLst>
        </xdr:cNvPr>
        <xdr:cNvSpPr txBox="1"/>
      </xdr:nvSpPr>
      <xdr:spPr>
        <a:xfrm rot="10800000" flipH="1" flipV="1">
          <a:off x="4450410" y="499654"/>
          <a:ext cx="119063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1952595</xdr:colOff>
      <xdr:row>0</xdr:row>
      <xdr:rowOff>91651</xdr:rowOff>
    </xdr:from>
    <xdr:to>
      <xdr:col>2</xdr:col>
      <xdr:colOff>2369831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AB7064-EB0E-4B4B-9E70-F93492044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9</xdr:col>
      <xdr:colOff>476250</xdr:colOff>
      <xdr:row>3</xdr:row>
      <xdr:rowOff>247650</xdr:rowOff>
    </xdr:from>
    <xdr:to>
      <xdr:col>9</xdr:col>
      <xdr:colOff>847725</xdr:colOff>
      <xdr:row>4</xdr:row>
      <xdr:rowOff>125186</xdr:rowOff>
    </xdr:to>
    <xdr:sp macro="[5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613F1E82-CB11-4BB6-956B-574004B2EACD}"/>
            </a:ext>
          </a:extLst>
        </xdr:cNvPr>
        <xdr:cNvSpPr/>
      </xdr:nvSpPr>
      <xdr:spPr>
        <a:xfrm>
          <a:off x="25286970" y="1390650"/>
          <a:ext cx="371475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B42E7FF-E11B-4D78-B5DC-42A8FB686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1078980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BEDB255-BA89-4086-BF57-C80FE398D86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95537" y="0"/>
          <a:ext cx="1518083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3C367525-EF0D-4CFB-B335-952EA4CBAAD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9714028-AAFE-4516-B7AC-48FAF97AA0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A40E6E3-CF33-414B-BE86-1E11DB19939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593398</xdr:colOff>
      <xdr:row>0</xdr:row>
      <xdr:rowOff>0</xdr:rowOff>
    </xdr:from>
    <xdr:to>
      <xdr:col>3</xdr:col>
      <xdr:colOff>2041600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F6E0785-95DB-4F44-BA31-07FF06139551}"/>
            </a:ext>
          </a:extLst>
        </xdr:cNvPr>
        <xdr:cNvGrpSpPr/>
      </xdr:nvGrpSpPr>
      <xdr:grpSpPr>
        <a:xfrm>
          <a:off x="6026458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91D3B0E-8CBF-4A00-B64C-6FB56F5E80A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3CE3B24-33E5-424F-BD7F-0178C6714D0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B138EB-98F2-48D0-B8FB-998CAB5BA7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1124502</xdr:colOff>
      <xdr:row>0</xdr:row>
      <xdr:rowOff>0</xdr:rowOff>
    </xdr:from>
    <xdr:to>
      <xdr:col>4</xdr:col>
      <xdr:colOff>2533523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85E8286F-A857-4F98-BAD7-B320BC685BA5}"/>
            </a:ext>
          </a:extLst>
        </xdr:cNvPr>
        <xdr:cNvSpPr/>
      </xdr:nvSpPr>
      <xdr:spPr>
        <a:xfrm>
          <a:off x="9597942" y="0"/>
          <a:ext cx="140902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1075006</xdr:colOff>
      <xdr:row>2</xdr:row>
      <xdr:rowOff>384583</xdr:rowOff>
    </xdr:from>
    <xdr:to>
      <xdr:col>4</xdr:col>
      <xdr:colOff>2620785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BE216D0-F6C5-4BAB-8009-0E1677DC2620}"/>
            </a:ext>
          </a:extLst>
        </xdr:cNvPr>
        <xdr:cNvSpPr txBox="1"/>
      </xdr:nvSpPr>
      <xdr:spPr>
        <a:xfrm rot="10800000" flipH="1" flipV="1">
          <a:off x="9548446" y="750343"/>
          <a:ext cx="154577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1556369</xdr:colOff>
      <xdr:row>0</xdr:row>
      <xdr:rowOff>136274</xdr:rowOff>
    </xdr:from>
    <xdr:to>
      <xdr:col>4</xdr:col>
      <xdr:colOff>2154045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2A964E-9656-4745-BCBB-2A655E8FA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29809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5</xdr:col>
      <xdr:colOff>1360568</xdr:colOff>
      <xdr:row>0</xdr:row>
      <xdr:rowOff>0</xdr:rowOff>
    </xdr:from>
    <xdr:to>
      <xdr:col>5</xdr:col>
      <xdr:colOff>2777409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B9C46248-5E1C-416F-805E-8E9E5F1C9D5D}"/>
            </a:ext>
          </a:extLst>
        </xdr:cNvPr>
        <xdr:cNvSpPr/>
      </xdr:nvSpPr>
      <xdr:spPr>
        <a:xfrm>
          <a:off x="13232528" y="0"/>
          <a:ext cx="14168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1311291</xdr:colOff>
      <xdr:row>2</xdr:row>
      <xdr:rowOff>384583</xdr:rowOff>
    </xdr:from>
    <xdr:to>
      <xdr:col>5</xdr:col>
      <xdr:colOff>2864285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8D4C1010-1257-4DF1-965E-79AA5D8FB69E}"/>
            </a:ext>
          </a:extLst>
        </xdr:cNvPr>
        <xdr:cNvSpPr txBox="1"/>
      </xdr:nvSpPr>
      <xdr:spPr>
        <a:xfrm rot="10800000" flipH="1" flipV="1">
          <a:off x="13183251" y="750343"/>
          <a:ext cx="155299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1792988</xdr:colOff>
      <xdr:row>0</xdr:row>
      <xdr:rowOff>136274</xdr:rowOff>
    </xdr:from>
    <xdr:to>
      <xdr:col>5</xdr:col>
      <xdr:colOff>2344989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85D726-19B5-4AEA-9C05-39916397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4948" y="136274"/>
          <a:ext cx="552001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1071312</xdr:colOff>
      <xdr:row>0</xdr:row>
      <xdr:rowOff>0</xdr:rowOff>
    </xdr:from>
    <xdr:to>
      <xdr:col>6</xdr:col>
      <xdr:colOff>2545266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96656C2B-1C17-4C1D-A21D-361CE90091D9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1021391</xdr:colOff>
      <xdr:row>2</xdr:row>
      <xdr:rowOff>384583</xdr:rowOff>
    </xdr:from>
    <xdr:to>
      <xdr:col>6</xdr:col>
      <xdr:colOff>2633277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1F20486C-423B-4C35-A6F2-6AC872FD6838}"/>
            </a:ext>
          </a:extLst>
        </xdr:cNvPr>
        <xdr:cNvSpPr txBox="1"/>
      </xdr:nvSpPr>
      <xdr:spPr>
        <a:xfrm rot="10800000" flipH="1" flipV="1">
          <a:off x="1684051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6</xdr:col>
      <xdr:colOff>1510576</xdr:colOff>
      <xdr:row>0</xdr:row>
      <xdr:rowOff>136274</xdr:rowOff>
    </xdr:from>
    <xdr:to>
      <xdr:col>6</xdr:col>
      <xdr:colOff>2106000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D0F0E3-CF96-4038-BE81-A840EA1C0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1880995</xdr:colOff>
      <xdr:row>0</xdr:row>
      <xdr:rowOff>0</xdr:rowOff>
    </xdr:from>
    <xdr:to>
      <xdr:col>8</xdr:col>
      <xdr:colOff>282630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512C577-2A56-4BEC-97E3-F9DFC53FB2E0}"/>
            </a:ext>
          </a:extLst>
        </xdr:cNvPr>
        <xdr:cNvGrpSpPr/>
      </xdr:nvGrpSpPr>
      <xdr:grpSpPr>
        <a:xfrm>
          <a:off x="20435695" y="0"/>
          <a:ext cx="1685855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E8710F5-9A47-4301-BF98-D050C4AC86E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81EC089-FFA8-495B-9268-FE6B67898B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5AF28A-0960-4211-9E8C-863493237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2268786</xdr:colOff>
      <xdr:row>0</xdr:row>
      <xdr:rowOff>0</xdr:rowOff>
    </xdr:from>
    <xdr:to>
      <xdr:col>9</xdr:col>
      <xdr:colOff>891409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798EC85-6967-4098-841E-14CD2407A57C}"/>
            </a:ext>
          </a:extLst>
        </xdr:cNvPr>
        <xdr:cNvGrpSpPr/>
      </xdr:nvGrpSpPr>
      <xdr:grpSpPr>
        <a:xfrm>
          <a:off x="24107706" y="0"/>
          <a:ext cx="1594423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F9E0CFF0-5F31-48E9-8C1A-CAFC842ACED2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F9C4D46-9F56-461D-8CC3-AB2C120F8D6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2A84EDB-BCFA-4998-A3BA-6BA03B5EB9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2912774</xdr:colOff>
      <xdr:row>0</xdr:row>
      <xdr:rowOff>0</xdr:rowOff>
    </xdr:from>
    <xdr:to>
      <xdr:col>10</xdr:col>
      <xdr:colOff>1183310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A0DDAAB0-77EC-43FC-B570-4DA231B4A6DF}"/>
            </a:ext>
          </a:extLst>
        </xdr:cNvPr>
        <xdr:cNvSpPr/>
      </xdr:nvSpPr>
      <xdr:spPr>
        <a:xfrm>
          <a:off x="27723494" y="0"/>
          <a:ext cx="155475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2863278</xdr:colOff>
      <xdr:row>2</xdr:row>
      <xdr:rowOff>384583</xdr:rowOff>
    </xdr:from>
    <xdr:to>
      <xdr:col>10</xdr:col>
      <xdr:colOff>1270572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6753BDEC-CC0F-4178-A88B-5D38683D5411}"/>
            </a:ext>
          </a:extLst>
        </xdr:cNvPr>
        <xdr:cNvSpPr txBox="1"/>
      </xdr:nvSpPr>
      <xdr:spPr>
        <a:xfrm rot="10800000" flipH="1" flipV="1">
          <a:off x="27673998" y="750343"/>
          <a:ext cx="16915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10</xdr:col>
      <xdr:colOff>164743</xdr:colOff>
      <xdr:row>0</xdr:row>
      <xdr:rowOff>136274</xdr:rowOff>
    </xdr:from>
    <xdr:to>
      <xdr:col>10</xdr:col>
      <xdr:colOff>740462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5090E1-C21B-45D4-8814-B791C4CD4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9683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1356489</xdr:colOff>
      <xdr:row>0</xdr:row>
      <xdr:rowOff>0</xdr:rowOff>
    </xdr:from>
    <xdr:to>
      <xdr:col>11</xdr:col>
      <xdr:colOff>2821308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11535D89-B3FF-4640-92A1-E8E99C2FE73B}"/>
            </a:ext>
          </a:extLst>
        </xdr:cNvPr>
        <xdr:cNvGrpSpPr/>
      </xdr:nvGrpSpPr>
      <xdr:grpSpPr>
        <a:xfrm>
          <a:off x="31463109" y="0"/>
          <a:ext cx="1464819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56C5881E-4C25-458B-A2DA-FC5D3F4EAF78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422858C9-F350-4F90-A5B5-04C81E6EC7A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E4FBEE6F-84C8-456D-9A66-4474323579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844992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7B0165-AEBD-461A-8BFB-1372A1D3B521}"/>
            </a:ext>
          </a:extLst>
        </xdr:cNvPr>
        <xdr:cNvSpPr/>
      </xdr:nvSpPr>
      <xdr:spPr>
        <a:xfrm>
          <a:off x="266700" y="1306632"/>
          <a:ext cx="341293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2497575</xdr:colOff>
      <xdr:row>3</xdr:row>
      <xdr:rowOff>182100</xdr:rowOff>
    </xdr:from>
    <xdr:to>
      <xdr:col>5</xdr:col>
      <xdr:colOff>2509837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15AC9C3-8BC3-4B92-BA67-13AFF60437E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0971015" y="1325100"/>
          <a:ext cx="341078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485775</xdr:colOff>
      <xdr:row>3</xdr:row>
      <xdr:rowOff>182100</xdr:rowOff>
    </xdr:from>
    <xdr:to>
      <xdr:col>4</xdr:col>
      <xdr:colOff>736163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B139AE0-09BE-4E97-A8C0-420B147CEF5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918835" y="1325100"/>
          <a:ext cx="32907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304800</xdr:colOff>
      <xdr:row>3</xdr:row>
      <xdr:rowOff>152400</xdr:rowOff>
    </xdr:from>
    <xdr:to>
      <xdr:col>7</xdr:col>
      <xdr:colOff>974288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F2640E36-C810-4589-A4FD-80C910EDDFD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405068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en-US" sz="20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CONTROLE DE VENDAS</a:t>
          </a:r>
          <a:endParaRPr lang="en-US" sz="2000" b="1" i="0" u="none" strike="noStrike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2341587</xdr:colOff>
      <xdr:row>3</xdr:row>
      <xdr:rowOff>133350</xdr:rowOff>
    </xdr:from>
    <xdr:to>
      <xdr:col>8</xdr:col>
      <xdr:colOff>2496725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994F9BA-AFAB-4B0D-9380-5ADE69856731}"/>
            </a:ext>
          </a:extLst>
        </xdr:cNvPr>
        <xdr:cNvSpPr/>
      </xdr:nvSpPr>
      <xdr:spPr>
        <a:xfrm>
          <a:off x="20896287" y="1276350"/>
          <a:ext cx="3439358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48</xdr:row>
      <xdr:rowOff>65315</xdr:rowOff>
    </xdr:from>
    <xdr:to>
      <xdr:col>9</xdr:col>
      <xdr:colOff>0</xdr:colOff>
      <xdr:row>51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DDFE2EDE-B11B-4AAF-98CE-2B39B1B319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4810720" y="173398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1251778</xdr:colOff>
      <xdr:row>2</xdr:row>
      <xdr:rowOff>133894</xdr:rowOff>
    </xdr:from>
    <xdr:to>
      <xdr:col>2</xdr:col>
      <xdr:colOff>2368113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46A18DE-D145-4419-A094-E6DBE4170650}"/>
            </a:ext>
          </a:extLst>
        </xdr:cNvPr>
        <xdr:cNvSpPr txBox="1"/>
      </xdr:nvSpPr>
      <xdr:spPr>
        <a:xfrm rot="10800000" flipH="1" flipV="1">
          <a:off x="4459798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1588603</xdr:colOff>
      <xdr:row>0</xdr:row>
      <xdr:rowOff>91651</xdr:rowOff>
    </xdr:from>
    <xdr:to>
      <xdr:col>2</xdr:col>
      <xdr:colOff>2005839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4127B2-9F85-4EA2-9800-27ACD53EE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96623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37420</xdr:colOff>
      <xdr:row>3</xdr:row>
      <xdr:rowOff>247650</xdr:rowOff>
    </xdr:from>
    <xdr:to>
      <xdr:col>20</xdr:col>
      <xdr:colOff>415699</xdr:colOff>
      <xdr:row>4</xdr:row>
      <xdr:rowOff>125186</xdr:rowOff>
    </xdr:to>
    <xdr:sp macro="[5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934F6A51-DEFB-4179-BC2E-89D034200EDE}"/>
            </a:ext>
          </a:extLst>
        </xdr:cNvPr>
        <xdr:cNvSpPr/>
      </xdr:nvSpPr>
      <xdr:spPr>
        <a:xfrm>
          <a:off x="25404400" y="1390650"/>
          <a:ext cx="378279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BD6FAC7-7FB8-4BE1-8CAE-58518C8103D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714988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46C29DAD-58A2-400F-A8B7-5F32C0345C7F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95537" y="0"/>
          <a:ext cx="1527471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3EC4ABA-E93B-435E-8232-5F1C35B2CBC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676D29-B3BD-47A3-9DEE-4C943843EA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2C9B80B-24CC-4ECD-8FB1-3B5A623008F1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59317</xdr:colOff>
      <xdr:row>0</xdr:row>
      <xdr:rowOff>0</xdr:rowOff>
    </xdr:from>
    <xdr:to>
      <xdr:col>3</xdr:col>
      <xdr:colOff>1514323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B922E203-711F-4616-B300-83865ED6769B}"/>
            </a:ext>
          </a:extLst>
        </xdr:cNvPr>
        <xdr:cNvGrpSpPr/>
      </xdr:nvGrpSpPr>
      <xdr:grpSpPr>
        <a:xfrm>
          <a:off x="6041017" y="0"/>
          <a:ext cx="1455006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87F3001-91BF-4193-81A8-99BD52307D55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556A270-3B1B-4648-9ED8-B59D9BC36FF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52ED034-F412-4417-BD7B-3E4EE1B296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1536118</xdr:colOff>
      <xdr:row>0</xdr:row>
      <xdr:rowOff>0</xdr:rowOff>
    </xdr:from>
    <xdr:to>
      <xdr:col>5</xdr:col>
      <xdr:colOff>1217032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6AF8E72-9FD7-44DE-8B91-AE7C18B27171}"/>
            </a:ext>
          </a:extLst>
        </xdr:cNvPr>
        <xdr:cNvSpPr/>
      </xdr:nvSpPr>
      <xdr:spPr>
        <a:xfrm>
          <a:off x="9582838" y="0"/>
          <a:ext cx="146399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1486622</xdr:colOff>
      <xdr:row>2</xdr:row>
      <xdr:rowOff>384583</xdr:rowOff>
    </xdr:from>
    <xdr:to>
      <xdr:col>5</xdr:col>
      <xdr:colOff>1304294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57908C7-21DB-4609-8ACD-23130BAAF07E}"/>
            </a:ext>
          </a:extLst>
        </xdr:cNvPr>
        <xdr:cNvSpPr txBox="1"/>
      </xdr:nvSpPr>
      <xdr:spPr>
        <a:xfrm rot="10800000" flipH="1" flipV="1">
          <a:off x="9533342" y="750343"/>
          <a:ext cx="160075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239878</xdr:colOff>
      <xdr:row>0</xdr:row>
      <xdr:rowOff>136274</xdr:rowOff>
    </xdr:from>
    <xdr:to>
      <xdr:col>5</xdr:col>
      <xdr:colOff>837554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DC0291-7566-417E-8BFF-F0B77F442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69678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367246</xdr:colOff>
      <xdr:row>0</xdr:row>
      <xdr:rowOff>0</xdr:rowOff>
    </xdr:from>
    <xdr:to>
      <xdr:col>8</xdr:col>
      <xdr:colOff>164837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EB65EA5-AD7E-4F35-9AE9-CAB2153C7CFF}"/>
            </a:ext>
          </a:extLst>
        </xdr:cNvPr>
        <xdr:cNvSpPr/>
      </xdr:nvSpPr>
      <xdr:spPr>
        <a:xfrm>
          <a:off x="13275526" y="0"/>
          <a:ext cx="147399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317969</xdr:colOff>
      <xdr:row>2</xdr:row>
      <xdr:rowOff>384583</xdr:rowOff>
    </xdr:from>
    <xdr:to>
      <xdr:col>8</xdr:col>
      <xdr:colOff>251713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A33163B9-4118-4486-94B9-7EB9FA680724}"/>
            </a:ext>
          </a:extLst>
        </xdr:cNvPr>
        <xdr:cNvSpPr txBox="1"/>
      </xdr:nvSpPr>
      <xdr:spPr>
        <a:xfrm rot="10800000" flipH="1" flipV="1">
          <a:off x="13226249" y="750343"/>
          <a:ext cx="161014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799666</xdr:colOff>
      <xdr:row>0</xdr:row>
      <xdr:rowOff>136274</xdr:rowOff>
    </xdr:from>
    <xdr:to>
      <xdr:col>7</xdr:col>
      <xdr:colOff>317524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C3758C-B4F6-44CE-BA12-BBCD9107A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07946" y="136274"/>
          <a:ext cx="584658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537231</xdr:colOff>
      <xdr:row>0</xdr:row>
      <xdr:rowOff>0</xdr:rowOff>
    </xdr:from>
    <xdr:to>
      <xdr:col>13</xdr:col>
      <xdr:colOff>279677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265B16AD-132D-4C38-97E9-CB407E0B4483}"/>
            </a:ext>
          </a:extLst>
        </xdr:cNvPr>
        <xdr:cNvSpPr/>
      </xdr:nvSpPr>
      <xdr:spPr>
        <a:xfrm>
          <a:off x="16950711" y="0"/>
          <a:ext cx="15331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487310</xdr:colOff>
      <xdr:row>2</xdr:row>
      <xdr:rowOff>384583</xdr:rowOff>
    </xdr:from>
    <xdr:to>
      <xdr:col>13</xdr:col>
      <xdr:colOff>367688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CADDC46-DAC2-4227-93D1-CFF0709D3F89}"/>
            </a:ext>
          </a:extLst>
        </xdr:cNvPr>
        <xdr:cNvSpPr txBox="1"/>
      </xdr:nvSpPr>
      <xdr:spPr>
        <a:xfrm rot="10800000" flipH="1" flipV="1">
          <a:off x="16900790" y="750343"/>
          <a:ext cx="1671078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11</xdr:col>
      <xdr:colOff>986701</xdr:colOff>
      <xdr:row>0</xdr:row>
      <xdr:rowOff>136274</xdr:rowOff>
    </xdr:from>
    <xdr:to>
      <xdr:col>12</xdr:col>
      <xdr:colOff>17303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F0B578-6A19-4088-B684-F60CEB333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400181" y="136274"/>
          <a:ext cx="638422" cy="583748"/>
        </a:xfrm>
        <a:prstGeom prst="rect">
          <a:avLst/>
        </a:prstGeom>
        <a:noFill/>
      </xdr:spPr>
    </xdr:pic>
    <xdr:clientData/>
  </xdr:twoCellAnchor>
  <xdr:twoCellAnchor editAs="absolute">
    <xdr:from>
      <xdr:col>13</xdr:col>
      <xdr:colOff>2282406</xdr:colOff>
      <xdr:row>0</xdr:row>
      <xdr:rowOff>0</xdr:rowOff>
    </xdr:from>
    <xdr:to>
      <xdr:col>14</xdr:col>
      <xdr:colOff>459523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74DE91A-4455-4A17-8783-8D9F8569D190}"/>
            </a:ext>
          </a:extLst>
        </xdr:cNvPr>
        <xdr:cNvGrpSpPr/>
      </xdr:nvGrpSpPr>
      <xdr:grpSpPr>
        <a:xfrm>
          <a:off x="20486586" y="0"/>
          <a:ext cx="1682317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0A5D0FA-858B-42E5-93E7-195508FBEFF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0E42609-B647-4C15-9071-4210C5CB578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B5ABBC-2ED4-4826-AF83-DE9185B97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118857</xdr:colOff>
      <xdr:row>0</xdr:row>
      <xdr:rowOff>0</xdr:rowOff>
    </xdr:from>
    <xdr:to>
      <xdr:col>20</xdr:col>
      <xdr:colOff>459383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3EC552D-A1BA-4D3C-B25A-77F86BC7A531}"/>
            </a:ext>
          </a:extLst>
        </xdr:cNvPr>
        <xdr:cNvGrpSpPr/>
      </xdr:nvGrpSpPr>
      <xdr:grpSpPr>
        <a:xfrm>
          <a:off x="24266637" y="0"/>
          <a:ext cx="155972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4A4178F-2388-4F8A-BC43-B3B36752184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ABD1DE3-FC89-4F7F-AC67-F1C922004552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5868C7-7C64-45E0-A2BC-0A6CCA4D5E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140319</xdr:colOff>
      <xdr:row>0</xdr:row>
      <xdr:rowOff>0</xdr:rowOff>
    </xdr:from>
    <xdr:to>
      <xdr:col>26</xdr:col>
      <xdr:colOff>434917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65937A7-358D-4373-A351-10A0B11EBAA2}"/>
            </a:ext>
          </a:extLst>
        </xdr:cNvPr>
        <xdr:cNvSpPr/>
      </xdr:nvSpPr>
      <xdr:spPr>
        <a:xfrm>
          <a:off x="27945699" y="0"/>
          <a:ext cx="1513798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24</xdr:col>
      <xdr:colOff>90823</xdr:colOff>
      <xdr:row>2</xdr:row>
      <xdr:rowOff>384583</xdr:rowOff>
    </xdr:from>
    <xdr:to>
      <xdr:col>26</xdr:col>
      <xdr:colOff>522179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4944D15D-DB49-451E-995C-727FB8F2ED2E}"/>
            </a:ext>
          </a:extLst>
        </xdr:cNvPr>
        <xdr:cNvSpPr txBox="1"/>
      </xdr:nvSpPr>
      <xdr:spPr>
        <a:xfrm rot="10800000" flipH="1" flipV="1">
          <a:off x="27896203" y="750343"/>
          <a:ext cx="165055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25</xdr:col>
      <xdr:colOff>1457</xdr:colOff>
      <xdr:row>0</xdr:row>
      <xdr:rowOff>136274</xdr:rowOff>
    </xdr:from>
    <xdr:to>
      <xdr:col>25</xdr:col>
      <xdr:colOff>577176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B72EAC-1C80-4556-BD36-588FA83D1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416437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30</xdr:col>
      <xdr:colOff>233899</xdr:colOff>
      <xdr:row>0</xdr:row>
      <xdr:rowOff>0</xdr:rowOff>
    </xdr:from>
    <xdr:to>
      <xdr:col>32</xdr:col>
      <xdr:colOff>527824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4D20B97E-64CF-4BFB-AA29-D546239DCFAD}"/>
            </a:ext>
          </a:extLst>
        </xdr:cNvPr>
        <xdr:cNvGrpSpPr/>
      </xdr:nvGrpSpPr>
      <xdr:grpSpPr>
        <a:xfrm>
          <a:off x="31696879" y="0"/>
          <a:ext cx="1513125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DAE8672-BD38-486E-BB9D-2E5BD85812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5525F558-4F94-4CB9-92FA-4A53AFF9D0D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9B4D7458-C446-44C0-A120-234B9A9EEA2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481000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CA06473-5145-464E-99EE-3897761A937F}"/>
            </a:ext>
          </a:extLst>
        </xdr:cNvPr>
        <xdr:cNvSpPr/>
      </xdr:nvSpPr>
      <xdr:spPr>
        <a:xfrm>
          <a:off x="266700" y="1306632"/>
          <a:ext cx="3422320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1181084</xdr:colOff>
      <xdr:row>3</xdr:row>
      <xdr:rowOff>182100</xdr:rowOff>
    </xdr:from>
    <xdr:to>
      <xdr:col>7</xdr:col>
      <xdr:colOff>482372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299F8039-F6E2-4C8B-A314-14668DAE2D2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10884" y="1325100"/>
          <a:ext cx="34465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2645908</xdr:colOff>
      <xdr:row>3</xdr:row>
      <xdr:rowOff>182100</xdr:rowOff>
    </xdr:from>
    <xdr:to>
      <xdr:col>4</xdr:col>
      <xdr:colOff>1147779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DDDF37B-DFB8-44E8-A818-283542BB6AE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3928" y="1325100"/>
          <a:ext cx="3340571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355826</xdr:colOff>
      <xdr:row>3</xdr:row>
      <xdr:rowOff>152400</xdr:rowOff>
    </xdr:from>
    <xdr:to>
      <xdr:col>13</xdr:col>
      <xdr:colOff>1375699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D0DB4D05-4465-41BE-B43A-8920A37533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59706" y="1295400"/>
          <a:ext cx="342017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13</xdr:col>
      <xdr:colOff>2742998</xdr:colOff>
      <xdr:row>3</xdr:row>
      <xdr:rowOff>133350</xdr:rowOff>
    </xdr:from>
    <xdr:to>
      <xdr:col>18</xdr:col>
      <xdr:colOff>346796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B048BD-F207-4AB4-9B18-A78337D79038}"/>
            </a:ext>
          </a:extLst>
        </xdr:cNvPr>
        <xdr:cNvSpPr/>
      </xdr:nvSpPr>
      <xdr:spPr>
        <a:xfrm>
          <a:off x="20947178" y="1276350"/>
          <a:ext cx="3547398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ABBBEF2-1B58-443F-8576-61F39CC1599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BFC158-3EED-4A67-BE64-37D42A83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2B15F83-15A7-4C48-97B7-59195C5664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57A05CF-7B40-4821-874B-67F3048DFF7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E8E5DF8-5990-41F5-96BE-59F38554DC9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D19E2C7-2FAB-40FF-A34E-CF4230366A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44DB1CB-8B7A-48DC-BD39-2C37DF31748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4A65915-D753-4195-AA58-1FAA8EE4B117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77BEC7F-B84D-4616-ABBF-2FE2E09CCD8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5130CB73-7CB1-4A92-89B5-D246F61322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5E8CF82-3EC3-4A1C-AC10-D522F6E889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E5BB574-E329-435D-A4F0-74B7CB93DF2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F56ACFB5-D050-4A21-B0CB-6387474C63E2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B36C216-2FE5-437C-A2B3-2E635286611A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5D3D41-68FC-4005-BB08-484B08E2C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033FD16-E930-4BF9-BE46-B1E6302C4F46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C952D8B-7C8A-4232-B8AC-B50E6E81571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FF35378-75FD-4174-8970-0712F2D97573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815A45-0C62-4789-9074-FA96D7EEF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F2F2125-DFF3-4380-A4CF-D760848D4B40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3F63B15-BA65-4083-B9AB-E266074B815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A1DAF88-D56F-441E-843C-1CAE5A0B097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A7D733-EAF8-4CC5-B59E-64294D68C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40F052C-E3EC-4ECD-B71F-ECF75474CF06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A078A7D-97DD-4B1A-B779-3222E0A6BE9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BAE5E03-E6CD-40D0-BF7A-51010665676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FAC914-2630-4BE3-8898-708569F3B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2F63A7BF-D9BE-4BF0-8DEB-12BEFA65CB2D}"/>
            </a:ext>
          </a:extLst>
        </xdr:cNvPr>
        <xdr:cNvGrpSpPr/>
      </xdr:nvGrpSpPr>
      <xdr:grpSpPr>
        <a:xfrm>
          <a:off x="20445220" y="0"/>
          <a:ext cx="159251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490CA0B-AD87-453F-910C-B6CA027076A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34775F37-6327-493A-8FDC-4C6E081364F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0AB5AB-191F-426D-96AE-8173996B2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37DFE93D-2A47-4B7E-B6FD-37445D6BE0A4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7B8FA49-1E15-4B71-A6CE-B6E951261D02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F42E6-0D6A-4B7C-9C0B-CC18D9A0F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FBA535-F8C0-4CFA-844B-96C95D2E75C3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4BA07CAC-DE4C-46A9-AD0F-CB0C106EA83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257622-B45E-4F16-9076-EF2ACDE2DD2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E45C1A5-2539-4D67-A45E-9A863880A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4FC01CAC-88CC-46E1-9CAB-0E19162D3075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2B98FCD2-21D2-401F-B712-EC35ECBCEE4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AC07692E-C12A-4355-A95F-9E0AE0209B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DC7A300B-7C6D-4512-AEC5-28C9FA2BEA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1257300</xdr:colOff>
      <xdr:row>10</xdr:row>
      <xdr:rowOff>152400</xdr:rowOff>
    </xdr:from>
    <xdr:to>
      <xdr:col>14</xdr:col>
      <xdr:colOff>781050</xdr:colOff>
      <xdr:row>48</xdr:row>
      <xdr:rowOff>351322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D955D960-7290-4092-A296-1C5779A71F1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248900" y="3562350"/>
          <a:ext cx="15449550" cy="1395302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D9B888-E40D-4E39-A3C6-AF383DC3152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908F9-0C82-426F-B27E-C64DCB8F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FE36323-3B0A-4619-8BFC-BF157A2E5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EDEB5DB2-1DF9-41B6-B4EB-F14EDF92503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A50D3C5-2056-4615-9C90-E354DE6173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49CAAFB-08C5-41F5-A38F-D3A257DCC8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AE4387B-25FB-42E4-86A5-CFA9FF55C7A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D6C2407-8032-4783-9759-B614C8FAB780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BAEEB1AC-F54C-4E2A-AC35-0491B58A5C0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2C00CF96-F69C-4CFB-B68E-EA5C2816606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46E750-0121-4F6C-B6E3-0CD157561CC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D6C59BC-409D-4D0D-8456-64F6DD50F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E5F68BE-52E3-4DFF-B7FE-366F633E77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5FC8DB3-61D5-418B-828B-66B48CE2C91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D7E87DCD-AB9E-4E09-9CDB-5E74E4A3F5FC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E67D2F-1030-4819-80A3-29F106A92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122864C-47D4-41AC-9877-2176DD006F3E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CFF071-75BB-4108-A785-81C262B592A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15F9FF9-8944-4CAC-BFF7-9C34D97B78DB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683C47-CCCB-4581-8C87-5299DDCB4A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67FCEE7-B83E-40CC-8033-635F44FFA62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D472E35-0322-434A-BAD6-583B18EF6B8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946920D-AF54-46C9-A3F8-D0C21A8C5786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C63EE59-0A6E-453D-8146-A94BC32136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49E514-1394-44D8-AC4B-C1C5BBDF5ABD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0A17C05-0E68-4E21-AF3C-A11EE30AEA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AADB612-533C-4BA7-AB3A-A56E89AB794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A415D2C-AA7D-451B-BEB1-35BD7E196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890B27A4-80BB-43FD-AD3C-0EA880EE5843}"/>
            </a:ext>
          </a:extLst>
        </xdr:cNvPr>
        <xdr:cNvGrpSpPr/>
      </xdr:nvGrpSpPr>
      <xdr:grpSpPr>
        <a:xfrm>
          <a:off x="2042617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EAF4DB-62A1-47F6-BD2E-AE60A6FF2F6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3EFFC2E-6C63-4E37-919F-2CB3659D3A2A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A45D8A-8F4A-43D6-85CF-7AEF3E0605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3F35492-FFD0-442B-B25E-568B58B7E56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303DC4A5-E058-4001-8CA0-348D1BC38924}"/>
            </a:ext>
          </a:extLst>
        </xdr:cNvPr>
        <xdr:cNvSpPr txBox="1"/>
      </xdr:nvSpPr>
      <xdr:spPr>
        <a:xfrm rot="10800000" flipH="1" flipV="1">
          <a:off x="2409913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34B59D-6DDA-4345-B3AB-2F615AE6A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01D6369-7863-48D4-B67F-41F559FC91E2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876C235-4650-466E-9854-5F964DA07D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26C33E76-4026-483B-A93F-C10931BB4C6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0C154DC-9A6E-4C62-86C5-1851A7C4B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D4C716EF-93B1-42D8-AD52-DCC61558EE59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A8BFBECF-B09A-476A-8BA8-95ACD8938FA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67F9333-A85A-477C-86B4-679E01E5152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79DC6F1-6E8C-4F1B-871C-4331170F62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[4]!CadastroFornCert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97BF772-CB63-4FE8-8F97-878C564D72A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50834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3297487-55EF-4E65-90DD-98D7E65429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B43FC-1998-4DE0-B19E-2C56B17D5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51CF235-EA3D-47A7-8CEE-FA22D69514D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08776F5-157C-48E6-8B22-94F3F19DD5D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214313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047BE89-8946-40CD-B9A5-BDB89181CCF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2221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95270D0-A745-4A99-9420-7E8E8A1D12B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1843088</xdr:colOff>
      <xdr:row>3</xdr:row>
      <xdr:rowOff>152400</xdr:rowOff>
    </xdr:from>
    <xdr:to>
      <xdr:col>9</xdr:col>
      <xdr:colOff>2626875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B2B67B3-2C62-49E1-8ACB-7875D3A2B2A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2488" y="1295400"/>
          <a:ext cx="3435547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9</xdr:col>
      <xdr:colOff>3965600</xdr:colOff>
      <xdr:row>3</xdr:row>
      <xdr:rowOff>133350</xdr:rowOff>
    </xdr:from>
    <xdr:to>
      <xdr:col>11</xdr:col>
      <xdr:colOff>715550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FFA1CC6-7E60-49F3-8A63-8A7EC928E1B3}"/>
            </a:ext>
          </a:extLst>
        </xdr:cNvPr>
        <xdr:cNvSpPr/>
      </xdr:nvSpPr>
      <xdr:spPr>
        <a:xfrm>
          <a:off x="20866760" y="1276350"/>
          <a:ext cx="35546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027C1E24-C40A-4771-AF92-A00C1D5CE0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041142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C7F9D6E-D88A-4DD0-A90B-30A35151901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74158421-89B1-49D5-AD89-4640DEE89E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63AB3A4-6C42-4593-A628-F37A12CB5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56D72CD-2501-4609-B151-BC8C0CF7EC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2250983C-13F0-4B6D-B1AF-CF3EC126D2E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9F822E1-A075-4B8A-BA79-5BD3B443D924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E05F1-B743-4149-908C-585A2B798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7C27F721-CB52-4ABB-ACE6-BCD9CAA81B41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B9CBE5C-3109-4453-931B-5E1B82DB9A9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894D1A03-556F-412B-AC87-94299DF9386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41FE21-4D4F-4CC0-BEB1-BEBDD06E7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2359042</xdr:colOff>
      <xdr:row>0</xdr:row>
      <xdr:rowOff>0</xdr:rowOff>
    </xdr:from>
    <xdr:to>
      <xdr:col>8</xdr:col>
      <xdr:colOff>530661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85D8A21-4C93-4B48-BC87-2EF04100F007}"/>
            </a:ext>
          </a:extLst>
        </xdr:cNvPr>
        <xdr:cNvGrpSpPr/>
      </xdr:nvGrpSpPr>
      <xdr:grpSpPr>
        <a:xfrm>
          <a:off x="13141342" y="0"/>
          <a:ext cx="1638719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365A4336-C9FD-4A5C-B3CF-ED9310AA772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01DF942-BBFE-402E-B1B4-7B5263EFDFD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6AAE0C-8DA8-43A6-93FD-D5D299C7B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2521579</xdr:colOff>
      <xdr:row>0</xdr:row>
      <xdr:rowOff>0</xdr:rowOff>
    </xdr:from>
    <xdr:to>
      <xdr:col>9</xdr:col>
      <xdr:colOff>1518852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6F02E98-CF04-462C-8759-E1B337D29526}"/>
            </a:ext>
          </a:extLst>
        </xdr:cNvPr>
        <xdr:cNvGrpSpPr/>
      </xdr:nvGrpSpPr>
      <xdr:grpSpPr>
        <a:xfrm>
          <a:off x="16770979" y="0"/>
          <a:ext cx="1645223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94660DC-D82D-4BD5-B2FF-79A5A04707B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052F3B2-9A45-4923-93AE-D729BA6D685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263EA1E-C395-4969-BDFF-9756DDE47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3466908</xdr:colOff>
      <xdr:row>0</xdr:row>
      <xdr:rowOff>0</xdr:rowOff>
    </xdr:from>
    <xdr:to>
      <xdr:col>10</xdr:col>
      <xdr:colOff>315968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E172ADA-05E2-408D-87C1-7442A6137332}"/>
            </a:ext>
          </a:extLst>
        </xdr:cNvPr>
        <xdr:cNvGrpSpPr/>
      </xdr:nvGrpSpPr>
      <xdr:grpSpPr>
        <a:xfrm>
          <a:off x="20364258" y="0"/>
          <a:ext cx="16877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33A91DF2-BA41-402D-A7E8-1F12864E7CD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AA8AF18-8E21-4E9C-8FBC-262B57515F9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8B0BDF-8C25-435B-9277-69124D169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498744</xdr:colOff>
      <xdr:row>0</xdr:row>
      <xdr:rowOff>0</xdr:rowOff>
    </xdr:from>
    <xdr:to>
      <xdr:col>11</xdr:col>
      <xdr:colOff>1866650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5046D25C-76A5-468F-A283-75C453C03D31}"/>
            </a:ext>
          </a:extLst>
        </xdr:cNvPr>
        <xdr:cNvSpPr/>
      </xdr:nvSpPr>
      <xdr:spPr>
        <a:xfrm>
          <a:off x="24204564" y="0"/>
          <a:ext cx="136790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449511</xdr:colOff>
      <xdr:row>2</xdr:row>
      <xdr:rowOff>384583</xdr:rowOff>
    </xdr:from>
    <xdr:to>
      <xdr:col>11</xdr:col>
      <xdr:colOff>1953447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CE28964F-8CC5-4118-85D8-EF40DF2BD7D2}"/>
            </a:ext>
          </a:extLst>
        </xdr:cNvPr>
        <xdr:cNvSpPr txBox="1"/>
      </xdr:nvSpPr>
      <xdr:spPr>
        <a:xfrm rot="10800000" flipH="1" flipV="1">
          <a:off x="24155331" y="750343"/>
          <a:ext cx="150393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936804</xdr:colOff>
      <xdr:row>0</xdr:row>
      <xdr:rowOff>136274</xdr:rowOff>
    </xdr:from>
    <xdr:to>
      <xdr:col>11</xdr:col>
      <xdr:colOff>1428587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B4917A-5D1D-433D-B14E-50CF0EA1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42624" y="136274"/>
          <a:ext cx="49178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3925316</xdr:colOff>
      <xdr:row>0</xdr:row>
      <xdr:rowOff>0</xdr:rowOff>
    </xdr:from>
    <xdr:to>
      <xdr:col>12</xdr:col>
      <xdr:colOff>1284860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9772C4FE-C4E9-4B72-8127-3C84886F8480}"/>
            </a:ext>
          </a:extLst>
        </xdr:cNvPr>
        <xdr:cNvGrpSpPr/>
      </xdr:nvGrpSpPr>
      <xdr:grpSpPr>
        <a:xfrm>
          <a:off x="27623516" y="0"/>
          <a:ext cx="1702944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62FFABA3-D681-455A-9CAE-270BF69CB20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A1C5EE8A-F020-4CCB-8BF8-DCDD5E10249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A4AB2-2E36-4CBF-B836-020303CA6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1037402</xdr:colOff>
      <xdr:row>0</xdr:row>
      <xdr:rowOff>0</xdr:rowOff>
    </xdr:from>
    <xdr:to>
      <xdr:col>14</xdr:col>
      <xdr:colOff>587696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8F01DAA6-D9F7-4D14-8B19-2F87835F9B4D}"/>
            </a:ext>
          </a:extLst>
        </xdr:cNvPr>
        <xdr:cNvGrpSpPr/>
      </xdr:nvGrpSpPr>
      <xdr:grpSpPr>
        <a:xfrm>
          <a:off x="31441202" y="0"/>
          <a:ext cx="1512444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19711E3E-E95E-4E87-9A62-32D39C4C94A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E218793-8030-463E-8E70-631029E01D0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590113F-92FF-4193-9A31-37830A3D42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7</xdr:col>
      <xdr:colOff>2886075</xdr:colOff>
      <xdr:row>9</xdr:row>
      <xdr:rowOff>111919</xdr:rowOff>
    </xdr:from>
    <xdr:to>
      <xdr:col>8</xdr:col>
      <xdr:colOff>1243012</xdr:colOff>
      <xdr:row>10</xdr:row>
      <xdr:rowOff>230981</xdr:rowOff>
    </xdr:to>
    <xdr:sp macro="[4]!COALH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0A418E84-38B5-4E47-A3B3-A3F297AAD69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668375" y="3121819"/>
          <a:ext cx="18240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COALHO</a:t>
          </a:r>
        </a:p>
      </xdr:txBody>
    </xdr:sp>
    <xdr:clientData/>
  </xdr:twoCellAnchor>
  <xdr:twoCellAnchor editAs="absolute">
    <xdr:from>
      <xdr:col>6</xdr:col>
      <xdr:colOff>23813</xdr:colOff>
      <xdr:row>9</xdr:row>
      <xdr:rowOff>111919</xdr:rowOff>
    </xdr:from>
    <xdr:to>
      <xdr:col>7</xdr:col>
      <xdr:colOff>23813</xdr:colOff>
      <xdr:row>10</xdr:row>
      <xdr:rowOff>230981</xdr:rowOff>
    </xdr:to>
    <xdr:sp macro="[4]!SAL" textlink="">
      <xdr:nvSpPr>
        <xdr:cNvPr id="47" name="Retângulo Arredondado 11">
          <a:extLst>
            <a:ext uri="{FF2B5EF4-FFF2-40B4-BE49-F238E27FC236}">
              <a16:creationId xmlns:a16="http://schemas.microsoft.com/office/drawing/2014/main" id="{4DCCC58B-66BF-47DC-9CFE-6CC696E6B0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9023033" y="3121819"/>
          <a:ext cx="1783080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SAL</a:t>
          </a:r>
        </a:p>
      </xdr:txBody>
    </xdr:sp>
    <xdr:clientData/>
  </xdr:twoCellAnchor>
  <xdr:twoCellAnchor editAs="absolute">
    <xdr:from>
      <xdr:col>8</xdr:col>
      <xdr:colOff>1804987</xdr:colOff>
      <xdr:row>9</xdr:row>
      <xdr:rowOff>111919</xdr:rowOff>
    </xdr:from>
    <xdr:to>
      <xdr:col>9</xdr:col>
      <xdr:colOff>971549</xdr:colOff>
      <xdr:row>10</xdr:row>
      <xdr:rowOff>230981</xdr:rowOff>
    </xdr:to>
    <xdr:sp macro="[4]!VINAGRE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4C2AF72C-BB24-4E10-A374-79B2D1DD16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054387" y="3121819"/>
          <a:ext cx="181832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VINAGRE</a:t>
          </a:r>
        </a:p>
      </xdr:txBody>
    </xdr:sp>
    <xdr:clientData/>
  </xdr:twoCellAnchor>
  <xdr:twoCellAnchor editAs="absolute">
    <xdr:from>
      <xdr:col>7</xdr:col>
      <xdr:colOff>585788</xdr:colOff>
      <xdr:row>9</xdr:row>
      <xdr:rowOff>111919</xdr:rowOff>
    </xdr:from>
    <xdr:to>
      <xdr:col>7</xdr:col>
      <xdr:colOff>2324100</xdr:colOff>
      <xdr:row>10</xdr:row>
      <xdr:rowOff>230981</xdr:rowOff>
    </xdr:to>
    <xdr:sp macro="[4]!LEITE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230A1DF-8775-4218-BB88-81D692D9593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1368088" y="3121819"/>
          <a:ext cx="173831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LEITE</a:t>
          </a:r>
        </a:p>
      </xdr:txBody>
    </xdr:sp>
    <xdr:clientData/>
  </xdr:twoCellAnchor>
  <xdr:twoCellAnchor editAs="absolute">
    <xdr:from>
      <xdr:col>9</xdr:col>
      <xdr:colOff>3833813</xdr:colOff>
      <xdr:row>9</xdr:row>
      <xdr:rowOff>111919</xdr:rowOff>
    </xdr:from>
    <xdr:to>
      <xdr:col>10</xdr:col>
      <xdr:colOff>857250</xdr:colOff>
      <xdr:row>10</xdr:row>
      <xdr:rowOff>230981</xdr:rowOff>
    </xdr:to>
    <xdr:sp macro="[4]!TODOSFORN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FA7327A6-ECE0-4DF5-BB84-DE41DEF1927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0734973" y="3121819"/>
          <a:ext cx="18621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TODOS</a:t>
          </a:r>
        </a:p>
      </xdr:txBody>
    </xdr:sp>
    <xdr:clientData/>
  </xdr:twoCellAnchor>
  <xdr:twoCellAnchor editAs="absolute">
    <xdr:from>
      <xdr:col>9</xdr:col>
      <xdr:colOff>1319212</xdr:colOff>
      <xdr:row>9</xdr:row>
      <xdr:rowOff>119062</xdr:rowOff>
    </xdr:from>
    <xdr:to>
      <xdr:col>9</xdr:col>
      <xdr:colOff>3357561</xdr:colOff>
      <xdr:row>10</xdr:row>
      <xdr:rowOff>240506</xdr:rowOff>
    </xdr:to>
    <xdr:sp macro="[4]!FERMENTO" textlink="">
      <xdr:nvSpPr>
        <xdr:cNvPr id="51" name="Retângulo Arredondado 11">
          <a:extLst>
            <a:ext uri="{FF2B5EF4-FFF2-40B4-BE49-F238E27FC236}">
              <a16:creationId xmlns:a16="http://schemas.microsoft.com/office/drawing/2014/main" id="{6B241BEA-B152-441F-AF0D-FEF22B3BD1A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220372" y="3128962"/>
          <a:ext cx="2038349" cy="48720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FERMENTO</a:t>
          </a:r>
        </a:p>
      </xdr:txBody>
    </xdr:sp>
    <xdr:clientData/>
  </xdr:twoCellAnchor>
  <xdr:twoCellAnchor editAs="absolute">
    <xdr:from>
      <xdr:col>14</xdr:col>
      <xdr:colOff>142874</xdr:colOff>
      <xdr:row>9</xdr:row>
      <xdr:rowOff>47624</xdr:rowOff>
    </xdr:from>
    <xdr:to>
      <xdr:col>14</xdr:col>
      <xdr:colOff>904874</xdr:colOff>
      <xdr:row>10</xdr:row>
      <xdr:rowOff>285749</xdr:rowOff>
    </xdr:to>
    <xdr:sp macro="[4]!MenoPMaiorPreço" textlink="">
      <xdr:nvSpPr>
        <xdr:cNvPr id="52" name="Retângulo Arredondado 11">
          <a:extLst>
            <a:ext uri="{FF2B5EF4-FFF2-40B4-BE49-F238E27FC236}">
              <a16:creationId xmlns:a16="http://schemas.microsoft.com/office/drawing/2014/main" id="{D9C677DC-460B-4B1B-8D0A-A97E57CE735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2512634" y="3057524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1047749</xdr:colOff>
      <xdr:row>9</xdr:row>
      <xdr:rowOff>47626</xdr:rowOff>
    </xdr:from>
    <xdr:to>
      <xdr:col>14</xdr:col>
      <xdr:colOff>1809749</xdr:colOff>
      <xdr:row>10</xdr:row>
      <xdr:rowOff>285751</xdr:rowOff>
    </xdr:to>
    <xdr:sp macro="[4]!MaiorPmenorPreço" textlink="">
      <xdr:nvSpPr>
        <xdr:cNvPr id="53" name="Retângulo Arredondado 11">
          <a:extLst>
            <a:ext uri="{FF2B5EF4-FFF2-40B4-BE49-F238E27FC236}">
              <a16:creationId xmlns:a16="http://schemas.microsoft.com/office/drawing/2014/main" id="{43EBAC8A-9565-4052-845F-B560AFF9D73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3417509" y="3057526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309563</xdr:colOff>
      <xdr:row>9</xdr:row>
      <xdr:rowOff>47625</xdr:rowOff>
    </xdr:from>
    <xdr:to>
      <xdr:col>14</xdr:col>
      <xdr:colOff>714375</xdr:colOff>
      <xdr:row>10</xdr:row>
      <xdr:rowOff>214312</xdr:rowOff>
    </xdr:to>
    <xdr:sp macro="[4]!MenoPMaiorPreço" textlink="">
      <xdr:nvSpPr>
        <xdr:cNvPr id="54" name="Arrow: Up 65">
          <a:extLst>
            <a:ext uri="{FF2B5EF4-FFF2-40B4-BE49-F238E27FC236}">
              <a16:creationId xmlns:a16="http://schemas.microsoft.com/office/drawing/2014/main" id="{F251BF18-3C6E-47A0-8D76-AF623E995AB6}"/>
            </a:ext>
          </a:extLst>
        </xdr:cNvPr>
        <xdr:cNvSpPr/>
      </xdr:nvSpPr>
      <xdr:spPr>
        <a:xfrm>
          <a:off x="32679323" y="3057525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1238251</xdr:colOff>
      <xdr:row>9</xdr:row>
      <xdr:rowOff>95251</xdr:rowOff>
    </xdr:from>
    <xdr:to>
      <xdr:col>14</xdr:col>
      <xdr:colOff>1643063</xdr:colOff>
      <xdr:row>10</xdr:row>
      <xdr:rowOff>261938</xdr:rowOff>
    </xdr:to>
    <xdr:sp macro="[4]!MaiorPmenorPreço" textlink="">
      <xdr:nvSpPr>
        <xdr:cNvPr id="55" name="Arrow: Up 66">
          <a:extLst>
            <a:ext uri="{FF2B5EF4-FFF2-40B4-BE49-F238E27FC236}">
              <a16:creationId xmlns:a16="http://schemas.microsoft.com/office/drawing/2014/main" id="{DC03A8DD-5FC5-470B-A5D3-CC4FF365877F}"/>
            </a:ext>
          </a:extLst>
        </xdr:cNvPr>
        <xdr:cNvSpPr/>
      </xdr:nvSpPr>
      <xdr:spPr>
        <a:xfrm rot="10800000">
          <a:off x="33608011" y="3105151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6C2718-6C52-4606-A6EC-B0D42AD24BE4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D49B4-5A85-4135-A11C-A63CF76CB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8F23E4-8617-471E-84F6-9DAD57A52C8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896CCC8-8CE4-4F4F-A942-E9DF67209C6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9574D1D-D3E1-4B53-9F05-8326EC85FB9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BAE707C-B1B6-40B7-AB94-CA8D9B2A201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96BC9A9-506A-41AE-9BC6-6CA517CEA33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A413A0B-4064-4B96-A21B-89A6CD08271D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98FDB453-CA63-4DED-89C8-A24C6D38FB6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2432605-FEC2-45C4-9E46-77B396FC3AB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A090A2D9-C15B-4A92-BA7A-118A0AFE7F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A60834A-8C8A-43A3-BC5E-B38A157B9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BF042E33-5964-4835-AB0A-BA27FD630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BCF4BF4-21AA-4923-BCFB-BF6925AB71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5C84FB6-0121-4207-B70C-E5C1FE461A26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228C3-6CE1-417D-8C82-19CC862AD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D7258144-6157-4041-943B-E71D6FA0D8FA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FFE881BD-7F43-4727-B987-E326467959B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1EB51DD2-72D5-4A0F-B83E-7E596DE45A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891C4-973D-4B77-8D3B-F5EBC072EE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5C363B2-852A-4076-83F6-34D9E026EC7E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1493698-80D6-4607-8E73-FD43C0A06902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D73C8B2-4CD6-4CC2-90D7-233E9044012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927E5-BE15-43E9-906B-DD4601805F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2189DD1-2884-42A5-BFBC-E44959BFE4FE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F267656-CA31-402B-8FD7-23DC3D04F25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D970A07-5740-41D1-9DEE-B922B5191069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B1A1F7A-5C85-409C-995A-E8B6D6B07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28DC884-1401-42B2-8C29-570D7FAD7F5B}"/>
            </a:ext>
          </a:extLst>
        </xdr:cNvPr>
        <xdr:cNvGrpSpPr/>
      </xdr:nvGrpSpPr>
      <xdr:grpSpPr>
        <a:xfrm>
          <a:off x="2044522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7E2CE00-48F8-4A44-BDDD-518FA66E569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67D713CC-3B86-4182-B868-70216D3F752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A64618-F28E-4D3A-823C-23A23C525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FCCAEE6-BB24-415A-B946-E1118E6DF0AC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61B843F5-B759-4D04-8B82-134EB9EAE302}"/>
            </a:ext>
          </a:extLst>
        </xdr:cNvPr>
        <xdr:cNvSpPr txBox="1"/>
      </xdr:nvSpPr>
      <xdr:spPr>
        <a:xfrm rot="10800000" flipH="1" flipV="1">
          <a:off x="2410675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F712CE-859E-4DBE-96C4-217BE8D00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0C328F-FC53-4F62-B6FB-296C5A6BF928}"/>
            </a:ext>
          </a:extLst>
        </xdr:cNvPr>
        <xdr:cNvGrpSpPr/>
      </xdr:nvGrpSpPr>
      <xdr:grpSpPr>
        <a:xfrm>
          <a:off x="2772352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7B5CA3BA-B909-4487-ACA5-16501DA076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3D59AEF7-D634-4E5D-97FD-91433DAD9F0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B936E2-C8DB-4585-A09B-847F7BD28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C7BF5F9-0196-4E29-BE01-05244D35317C}"/>
            </a:ext>
          </a:extLst>
        </xdr:cNvPr>
        <xdr:cNvGrpSpPr/>
      </xdr:nvGrpSpPr>
      <xdr:grpSpPr>
        <a:xfrm>
          <a:off x="3136023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CE34DFE9-CB6E-48E5-80A7-F74090BF55A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506176F0-59AA-41E7-AF25-4A8EC989028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AC622704-8915-4A65-96B5-FA532D6FB7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[4]!EnviarSolicitações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9904BF21-F5DE-4A76-BB7F-79D9CC9116C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108430" y="8187690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13</xdr:col>
      <xdr:colOff>857250</xdr:colOff>
      <xdr:row>18</xdr:row>
      <xdr:rowOff>142875</xdr:rowOff>
    </xdr:from>
    <xdr:to>
      <xdr:col>14</xdr:col>
      <xdr:colOff>357187</xdr:colOff>
      <xdr:row>22</xdr:row>
      <xdr:rowOff>214313</xdr:rowOff>
    </xdr:to>
    <xdr:sp macro="" textlink="">
      <xdr:nvSpPr>
        <xdr:cNvPr id="47" name="Arrow: Right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775AB679-FD5F-4B7A-9B3B-283EBFE17674}"/>
            </a:ext>
          </a:extLst>
        </xdr:cNvPr>
        <xdr:cNvSpPr/>
      </xdr:nvSpPr>
      <xdr:spPr>
        <a:xfrm>
          <a:off x="22299930" y="6444615"/>
          <a:ext cx="2784157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SOLICITAÇÔES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EF4C97B-FC84-4F29-BF05-203EB516145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A78D5-25BF-48DE-893E-2C115876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8DD2120-B817-4E0F-8FCE-92A651C4AA1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D888486-5ADC-4A55-92A6-BA4B9527E990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9C3084F-AFF6-4DCB-BE7F-BDFDD4CB53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36C71F7-D8EC-4E14-9D36-1B082531DB5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9F49EC12-CAAB-46EE-9A16-833B00270E1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D3BE76D-3400-4E37-95CA-70BFEECD1519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FBCDAA74-81BC-48CE-9C4D-B221CB1E74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9CC5649-9F17-4441-80ED-BBBA98D9263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27103D3-6069-4E5E-88D3-C979064459B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BFBE395-DB06-4BA3-A93C-B8AC28C09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2835E5CA-15A6-442A-80A1-BA723492475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5DAC72F8-1018-4124-80A5-46D035D9C96A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66F63D-A9F0-4D99-8A40-E24615D296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8EFC45-2248-460D-B75D-5251A5EFD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E8E6E7E4-4C74-4770-B1A5-AAD2846CFB35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D097893-9154-4BD5-B2EB-E7A92248EF3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5A12340-2DA5-42D0-96C3-DCF2AA022E8F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70E6F-4F2C-432D-9131-98CE1B1FD8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C2D7B5C-083F-4515-B473-3D5793DB688E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F0A65FD-08A2-4667-9BDC-C9B94F1A93F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D0C7C1A-92DD-4FEE-A4CF-0D0BE0B669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8FAF6E-7DF1-4C9C-9C12-9C96249AD5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9C9566-077F-4763-BFDB-90A7D4423C46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9DE8F79-59B2-4F85-B99B-5D33694F7D6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CA1BD02-C5CD-4052-BB5F-0FA4D1CCBCAB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21B5F5-813A-4629-AD8D-7749574B39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99B53B8-5143-4745-A2D1-D0F463BAA9CE}"/>
            </a:ext>
          </a:extLst>
        </xdr:cNvPr>
        <xdr:cNvGrpSpPr/>
      </xdr:nvGrpSpPr>
      <xdr:grpSpPr>
        <a:xfrm>
          <a:off x="2044522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CA74B16D-1510-4496-BC6B-922411C742E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B1BA3E4-011D-495D-A37B-06416F34C32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E03A4C2-E195-4756-A0FE-31776D0BFE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AEF45D5D-5E1E-4D3D-91CB-9C29802C088E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FC52D60C-F3C9-4B01-9CFB-3355FE3869C6}"/>
            </a:ext>
          </a:extLst>
        </xdr:cNvPr>
        <xdr:cNvSpPr txBox="1"/>
      </xdr:nvSpPr>
      <xdr:spPr>
        <a:xfrm rot="10800000" flipH="1" flipV="1">
          <a:off x="241067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6CD6DA-B488-4604-8F77-3B13EFE92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650135CC-676F-4330-9C39-D637264942FF}"/>
            </a:ext>
          </a:extLst>
        </xdr:cNvPr>
        <xdr:cNvGrpSpPr/>
      </xdr:nvGrpSpPr>
      <xdr:grpSpPr>
        <a:xfrm>
          <a:off x="2772352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33A55235-2ED3-4BDF-9D43-66C2E39E651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1DFCF0E0-DE53-48D0-B767-F50AFFF62F2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6521B1-81BE-4CFE-BE47-272684657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31EDF51E-31A6-4BB6-A483-A7CBD7848DB9}"/>
            </a:ext>
          </a:extLst>
        </xdr:cNvPr>
        <xdr:cNvGrpSpPr/>
      </xdr:nvGrpSpPr>
      <xdr:grpSpPr>
        <a:xfrm>
          <a:off x="3136023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92BFCA1-3F6A-4446-A89D-1ED56297AB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41CF2156-CD18-4160-885F-A9741726409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FC8F3214-FF60-4AD1-B85F-8333FA4B87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5</xdr:col>
      <xdr:colOff>165118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B74794D-4EE7-48F9-9FA1-6CE0DBA761F8}"/>
            </a:ext>
          </a:extLst>
        </xdr:cNvPr>
        <xdr:cNvSpPr txBox="1"/>
      </xdr:nvSpPr>
      <xdr:spPr>
        <a:xfrm rot="10800000" flipH="1" flipV="1">
          <a:off x="4435170" y="499654"/>
          <a:ext cx="1117288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2276445</xdr:colOff>
      <xdr:row>0</xdr:row>
      <xdr:rowOff>91651</xdr:rowOff>
    </xdr:from>
    <xdr:to>
      <xdr:col>4</xdr:col>
      <xdr:colOff>2693681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255F8B-21E7-47F0-BB54-94FEC6E71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1484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ACDEEEF-1DF5-41C6-96D6-906CD3A7B3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B0E192E-91CA-4567-9208-E34087FC4C1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8</xdr:col>
      <xdr:colOff>1478400</xdr:colOff>
      <xdr:row>3</xdr:row>
      <xdr:rowOff>182100</xdr:rowOff>
    </xdr:from>
    <xdr:to>
      <xdr:col>10</xdr:col>
      <xdr:colOff>1595438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265B9D8-9536-4A30-BCD3-65DEC25992B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125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5</xdr:col>
      <xdr:colOff>442913</xdr:colOff>
      <xdr:row>3</xdr:row>
      <xdr:rowOff>182100</xdr:rowOff>
    </xdr:from>
    <xdr:to>
      <xdr:col>7</xdr:col>
      <xdr:colOff>1560075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7423FDA-10F8-44D0-B75E-9065DB760ED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0253" y="1325100"/>
          <a:ext cx="336506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11</xdr:col>
      <xdr:colOff>323850</xdr:colOff>
      <xdr:row>3</xdr:row>
      <xdr:rowOff>152400</xdr:rowOff>
    </xdr:from>
    <xdr:to>
      <xdr:col>12</xdr:col>
      <xdr:colOff>1002862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482CB4F-486A-4911-B85C-8F91AABC1D6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2490" y="1295400"/>
          <a:ext cx="3452692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13</xdr:col>
      <xdr:colOff>1060474</xdr:colOff>
      <xdr:row>3</xdr:row>
      <xdr:rowOff>133350</xdr:rowOff>
    </xdr:from>
    <xdr:to>
      <xdr:col>14</xdr:col>
      <xdr:colOff>1201324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EB248216-9163-469C-BE62-53D7FA8D913A}"/>
            </a:ext>
          </a:extLst>
        </xdr:cNvPr>
        <xdr:cNvSpPr/>
      </xdr:nvSpPr>
      <xdr:spPr>
        <a:xfrm>
          <a:off x="20948674" y="1276350"/>
          <a:ext cx="342507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A549FCF-0619-432C-A28F-26FB5E72A35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988820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960A4B1-5D5A-408C-93CA-0E6548BB0C9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C482E92-19D6-4077-9887-39F5FB0F0F4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70A70F-F1A5-4A04-B8AF-7E083D962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1AC38AC-D8AB-45CC-8D1D-6AFEFC814F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579087</xdr:colOff>
      <xdr:row>0</xdr:row>
      <xdr:rowOff>0</xdr:rowOff>
    </xdr:from>
    <xdr:to>
      <xdr:col>6</xdr:col>
      <xdr:colOff>1091038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9E72FDC7-F48F-44D6-8384-EE5807EFDCED}"/>
            </a:ext>
          </a:extLst>
        </xdr:cNvPr>
        <xdr:cNvSpPr/>
      </xdr:nvSpPr>
      <xdr:spPr>
        <a:xfrm>
          <a:off x="5966427" y="0"/>
          <a:ext cx="14492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512436</xdr:colOff>
      <xdr:row>2</xdr:row>
      <xdr:rowOff>384583</xdr:rowOff>
    </xdr:from>
    <xdr:to>
      <xdr:col>6</xdr:col>
      <xdr:colOff>1160538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1D6F436-0848-40D7-9EDE-D38C4A98D6E3}"/>
            </a:ext>
          </a:extLst>
        </xdr:cNvPr>
        <xdr:cNvSpPr txBox="1"/>
      </xdr:nvSpPr>
      <xdr:spPr>
        <a:xfrm rot="10800000" flipH="1" flipV="1">
          <a:off x="5899776" y="750343"/>
          <a:ext cx="158536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6</xdr:col>
      <xdr:colOff>75588</xdr:colOff>
      <xdr:row>0</xdr:row>
      <xdr:rowOff>126203</xdr:rowOff>
    </xdr:from>
    <xdr:to>
      <xdr:col>6</xdr:col>
      <xdr:colOff>661087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181F33-8F8B-4159-A39F-6B55F361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188" y="126203"/>
          <a:ext cx="585499" cy="603889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1822718</xdr:colOff>
      <xdr:row>0</xdr:row>
      <xdr:rowOff>0</xdr:rowOff>
    </xdr:from>
    <xdr:to>
      <xdr:col>9</xdr:col>
      <xdr:colOff>39510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A176A13-9684-4D43-B3B6-A184F10D3130}"/>
            </a:ext>
          </a:extLst>
        </xdr:cNvPr>
        <xdr:cNvGrpSpPr/>
      </xdr:nvGrpSpPr>
      <xdr:grpSpPr>
        <a:xfrm>
          <a:off x="9461768" y="0"/>
          <a:ext cx="1702942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99F2C1F-8595-4B27-880B-0C8F2F30BB7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74E5373B-E7E4-4FB8-B2C1-FD37011952C6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5C6A73-07AD-49A7-9F2C-C247A1FB0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363554</xdr:colOff>
      <xdr:row>0</xdr:row>
      <xdr:rowOff>0</xdr:rowOff>
    </xdr:from>
    <xdr:to>
      <xdr:col>10</xdr:col>
      <xdr:colOff>1911786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62F3DF24-2A5E-4E63-9AAE-79E9793510FE}"/>
            </a:ext>
          </a:extLst>
        </xdr:cNvPr>
        <xdr:cNvGrpSpPr/>
      </xdr:nvGrpSpPr>
      <xdr:grpSpPr>
        <a:xfrm>
          <a:off x="13203254" y="0"/>
          <a:ext cx="1548232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E9A0F90-AE73-4EB0-8400-C14AEB0DE173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6C77833-D743-451F-8DDD-84D82BC6DE7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350253-89CF-4985-B88C-2E3B522E7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1002341</xdr:colOff>
      <xdr:row>0</xdr:row>
      <xdr:rowOff>0</xdr:rowOff>
    </xdr:from>
    <xdr:to>
      <xdr:col>11</xdr:col>
      <xdr:colOff>2585652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4FE67A8-50DF-4681-8914-4200FBBA9117}"/>
            </a:ext>
          </a:extLst>
        </xdr:cNvPr>
        <xdr:cNvGrpSpPr/>
      </xdr:nvGrpSpPr>
      <xdr:grpSpPr>
        <a:xfrm>
          <a:off x="16794791" y="0"/>
          <a:ext cx="1583311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F0EF29BE-A50C-4D26-BBC4-8C4D8A6C49A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C667568-1591-4307-9F05-DFFA781F6FC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5AC58B0-163E-4EB6-89BD-9BE19037A3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647507</xdr:colOff>
      <xdr:row>0</xdr:row>
      <xdr:rowOff>0</xdr:rowOff>
    </xdr:from>
    <xdr:to>
      <xdr:col>13</xdr:col>
      <xdr:colOff>2154292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5F48E13-33A3-4D76-BB98-6CDC07E84EA9}"/>
            </a:ext>
          </a:extLst>
        </xdr:cNvPr>
        <xdr:cNvGrpSpPr/>
      </xdr:nvGrpSpPr>
      <xdr:grpSpPr>
        <a:xfrm>
          <a:off x="20554757" y="0"/>
          <a:ext cx="1506785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5C40359-6D53-46FA-A3DD-C0CF1F70BB8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0F579E-0B27-4A0D-88E7-28F23E616A7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B2B4CA-A332-46BE-B8AD-0E328B02C3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984518</xdr:colOff>
      <xdr:row>0</xdr:row>
      <xdr:rowOff>0</xdr:rowOff>
    </xdr:from>
    <xdr:to>
      <xdr:col>15</xdr:col>
      <xdr:colOff>485524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8FD7E9AB-CF82-41CB-9220-106831E1566A}"/>
            </a:ext>
          </a:extLst>
        </xdr:cNvPr>
        <xdr:cNvSpPr/>
      </xdr:nvSpPr>
      <xdr:spPr>
        <a:xfrm>
          <a:off x="24156938" y="0"/>
          <a:ext cx="151268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935285</xdr:colOff>
      <xdr:row>2</xdr:row>
      <xdr:rowOff>384583</xdr:rowOff>
    </xdr:from>
    <xdr:to>
      <xdr:col>15</xdr:col>
      <xdr:colOff>572321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8BD3703-31E6-4B03-8C54-AA11A8D73FAF}"/>
            </a:ext>
          </a:extLst>
        </xdr:cNvPr>
        <xdr:cNvSpPr txBox="1"/>
      </xdr:nvSpPr>
      <xdr:spPr>
        <a:xfrm rot="10800000" flipH="1" flipV="1">
          <a:off x="24107705" y="750343"/>
          <a:ext cx="164871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1422578</xdr:colOff>
      <xdr:row>0</xdr:row>
      <xdr:rowOff>136274</xdr:rowOff>
    </xdr:from>
    <xdr:to>
      <xdr:col>15</xdr:col>
      <xdr:colOff>47461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FB3D1C-77A1-4CC9-B1B1-AEECFB989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998" y="136274"/>
          <a:ext cx="63656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2487040</xdr:colOff>
      <xdr:row>0</xdr:row>
      <xdr:rowOff>0</xdr:rowOff>
    </xdr:from>
    <xdr:to>
      <xdr:col>15</xdr:col>
      <xdr:colOff>4066159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BDD53BF-E92E-43B0-A150-D6CFE72B28A6}"/>
            </a:ext>
          </a:extLst>
        </xdr:cNvPr>
        <xdr:cNvGrpSpPr/>
      </xdr:nvGrpSpPr>
      <xdr:grpSpPr>
        <a:xfrm>
          <a:off x="27690190" y="0"/>
          <a:ext cx="157911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C9489BCA-BF00-4019-97B3-D06CD274D0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96460177-A0CF-42BD-9E76-6606761B07D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FA6FD7A-BEB8-40A3-B342-01599264F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94426</xdr:colOff>
      <xdr:row>0</xdr:row>
      <xdr:rowOff>0</xdr:rowOff>
    </xdr:from>
    <xdr:to>
      <xdr:col>19</xdr:col>
      <xdr:colOff>473395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C99BB3BE-16D0-4627-AE1C-C74AC3358DCA}"/>
            </a:ext>
          </a:extLst>
        </xdr:cNvPr>
        <xdr:cNvGrpSpPr/>
      </xdr:nvGrpSpPr>
      <xdr:grpSpPr>
        <a:xfrm>
          <a:off x="31393576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B916B9A-1E96-4BD0-8745-F8D27EDCCA8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A6B8D12-61CD-4D23-8D23-EE89A621816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3F03B5EB-DB6B-41D7-B577-1AD5739E05D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571500</xdr:colOff>
      <xdr:row>20</xdr:row>
      <xdr:rowOff>0</xdr:rowOff>
    </xdr:from>
    <xdr:to>
      <xdr:col>8</xdr:col>
      <xdr:colOff>0</xdr:colOff>
      <xdr:row>24</xdr:row>
      <xdr:rowOff>71438</xdr:rowOff>
    </xdr:to>
    <xdr:sp macro="" textlink="">
      <xdr:nvSpPr>
        <xdr:cNvPr id="46" name="Arrow: Right 4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94444D6-C8A8-4DD9-A71F-E72031817E2D}"/>
            </a:ext>
          </a:extLst>
        </xdr:cNvPr>
        <xdr:cNvSpPr/>
      </xdr:nvSpPr>
      <xdr:spPr>
        <a:xfrm flipH="1">
          <a:off x="6896100" y="7033260"/>
          <a:ext cx="2659380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399145-B7D3-4312-9484-39D65257AFA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D287B-3257-4C18-B0DB-8B298A25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FD38A48-7A78-49CA-A200-FB28401925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C7C628C-6C5B-43D1-A347-1973FDDCBC0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BC33700-11F4-4B9D-9B99-C6CF4AC99A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93634E-F5A0-4E96-8FC8-359E1EB9BCD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D027E10D-62AB-4FBD-ACEB-F267046BFBD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0E7254D-34C5-476F-AF15-1EFE253AB152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A992E602-4A64-4F82-9C44-51ACC4935D2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3254A76-DF30-4BB2-A209-E106BD201B5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82792303-CDE1-45D4-BC89-38D2345EA73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B98CF9-F677-4245-B05A-E41B43088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A1418A0-3387-48FC-8765-2886D7E35AA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7A3D9FD-CACC-4DDE-A40D-ECC363CDA58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41C1384-5691-49B9-990A-2C1849C861F9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EC9BFC-1ADF-4270-BFD0-96F24590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8A6CF18-BD19-4CB8-BEFA-53C446E57752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4261F5-56D3-4AE1-BC5E-CBDA750DF4B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C9BA9E8-E830-49E2-9D3F-72854AC20F3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359ADD7-5E84-4BEF-A609-66E278893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A6E72EE5-564E-4431-A052-6EB14326FE3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793C9B8-4853-4CA5-8E79-46A296A1F3D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66BCFCF7-A625-4752-A65C-669796F6399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4B41479-3CEA-478F-A50D-0B4C8B8C52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111B9C9-EE23-495E-BD5D-4E9C15CB844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4C60129A-87CA-4A09-8A92-B1519C4C793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F40D98B-11E3-41F4-BC7F-524494094A0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5610B77-B9DA-4528-AC1A-E8416411D8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EB07E71-69AD-4E1D-BE70-12137F01F57F}"/>
            </a:ext>
          </a:extLst>
        </xdr:cNvPr>
        <xdr:cNvGrpSpPr/>
      </xdr:nvGrpSpPr>
      <xdr:grpSpPr>
        <a:xfrm>
          <a:off x="2042617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5D9F1E59-6E7F-444E-8285-06C7FE25B0A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F48F9589-C6CA-44D9-B4FC-5F6333828FA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4A3F71-3E23-474C-903E-E1DFB329EA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1C51FCD1-78AC-488C-B2CA-D4B5386220B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DCDDF5F-A4C3-4622-B400-1BB6BEC38BEA}"/>
            </a:ext>
          </a:extLst>
        </xdr:cNvPr>
        <xdr:cNvSpPr txBox="1"/>
      </xdr:nvSpPr>
      <xdr:spPr>
        <a:xfrm rot="10800000" flipH="1" flipV="1">
          <a:off x="2409913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775064-DECD-49A8-B7F5-4995B43EF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2ABE12DC-BBC0-4A94-BE4F-56A46CAFCC48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54D10E89-DB85-4B1E-9C92-90927FAD209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C9B3A22D-8982-4D3E-AF0D-A050DC4F629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107A97-9EF0-4454-BC88-81C1AE723A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7D34ED13-4F37-427E-921E-D5EDD4E1C316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E902FAB-4EB1-4742-8DCD-006C0E36DD4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2545F155-DA10-42AB-8199-B6573D2F424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C753B3CE-6D40-48F2-ACA3-D631A3844A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[4]!RealizarPedid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336EB450-8D88-4C72-B223-4ACE1002886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00542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E8A88E9-CAF9-48B2-BDB7-658DB731806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BC365-A2EC-4FD9-8C6E-FE38D8FC7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53CC731-03EF-4F17-AD07-03D33768AB0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E358B9F-BCAF-45CC-A42D-47BACEFD6AF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1179918-4558-4657-B48B-C40BEE871F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AA3732E-B8DD-4622-BBDC-16EE9C8C42B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0</xdr:col>
      <xdr:colOff>0</xdr:colOff>
      <xdr:row>31</xdr:row>
      <xdr:rowOff>65315</xdr:rowOff>
    </xdr:from>
    <xdr:to>
      <xdr:col>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90B9CF0F-ECFF-4DC6-A2CC-6640936385A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834E01D-E2DB-4C99-95D5-2847CF1C311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4F90988-21F3-4C1A-ADEA-CF6C66839ED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46E46A4-3C8B-4DDA-889F-C6FC396000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B6CDB6BD-EAE9-465F-B98A-782D92ECEF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0C89B50-6B10-486E-AB00-3049237EBE6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047240F-DDDB-454D-A864-8C8DF090ED3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C3E61C-357A-4770-99C2-59A9AA2FC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3884C30-36E5-40B7-B602-F0475AAC0C8D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1EF63FC-FA2B-466E-8AB3-C62567AD5E84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7940C582-0F63-4984-9E45-F174BC1AF68A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F9F955-93DA-4B7B-8CA6-9C9180CDF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F7D76F7-DC03-4244-98C4-97666FF8AAB3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2E69ED-CBE3-486D-8276-BF9C3E7114E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23153655-0D48-4A1B-BDE7-D0BF79CDED8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6287B19-97DC-40B9-8936-37CACEF9E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126041</xdr:colOff>
      <xdr:row>0</xdr:row>
      <xdr:rowOff>0</xdr:rowOff>
    </xdr:from>
    <xdr:to>
      <xdr:col>13</xdr:col>
      <xdr:colOff>290127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FC77F513-CB84-41A3-AC4C-BFEF6BA5166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2DF2A64-5EE3-4137-AFA8-7E9FB83F53AD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66DC67B-E864-45E8-817A-7F69E7FB78E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8FB404-E988-4713-AFE8-A1A8957C4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244391</xdr:colOff>
      <xdr:row>0</xdr:row>
      <xdr:rowOff>0</xdr:rowOff>
    </xdr:from>
    <xdr:to>
      <xdr:col>15</xdr:col>
      <xdr:colOff>1700627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F4877AE-2545-4977-AC78-800C0A72BB96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195070</xdr:colOff>
      <xdr:row>2</xdr:row>
      <xdr:rowOff>384583</xdr:rowOff>
    </xdr:from>
    <xdr:to>
      <xdr:col>16</xdr:col>
      <xdr:colOff>73080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8219D730-482A-4E5D-9BA5-300589A1ABE6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683236</xdr:colOff>
      <xdr:row>0</xdr:row>
      <xdr:rowOff>136274</xdr:rowOff>
    </xdr:from>
    <xdr:to>
      <xdr:col>15</xdr:col>
      <xdr:colOff>1261779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222E42-D2BE-4684-9F70-946627D27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18</xdr:col>
      <xdr:colOff>484456</xdr:colOff>
      <xdr:row>0</xdr:row>
      <xdr:rowOff>0</xdr:rowOff>
    </xdr:from>
    <xdr:to>
      <xdr:col>21</xdr:col>
      <xdr:colOff>109287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B3330805-1912-4F11-AFF6-7AA660872D28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435223</xdr:colOff>
      <xdr:row>2</xdr:row>
      <xdr:rowOff>384583</xdr:rowOff>
    </xdr:from>
    <xdr:to>
      <xdr:col>21</xdr:col>
      <xdr:colOff>196084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579AF2A1-C9B7-482E-9D89-5D7090DEF6F6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312916</xdr:colOff>
      <xdr:row>0</xdr:row>
      <xdr:rowOff>136274</xdr:rowOff>
    </xdr:from>
    <xdr:to>
      <xdr:col>20</xdr:col>
      <xdr:colOff>280824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1A55EB-A489-4C4D-BE10-34FE38961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443928</xdr:colOff>
      <xdr:row>0</xdr:row>
      <xdr:rowOff>0</xdr:rowOff>
    </xdr:from>
    <xdr:to>
      <xdr:col>23</xdr:col>
      <xdr:colOff>2042097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F76E259-59EE-449A-81B9-F5F8046465FE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07F0D300-280D-42DE-A966-17C966CB8CC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178919A-5DA7-4676-9305-00F00244F0E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9BC28-A749-4258-9315-A60A31210D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575439</xdr:colOff>
      <xdr:row>0</xdr:row>
      <xdr:rowOff>0</xdr:rowOff>
    </xdr:from>
    <xdr:to>
      <xdr:col>27</xdr:col>
      <xdr:colOff>344808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9B780B22-7872-4DE1-8EEB-4558A49F4FF6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5119F51-85F9-4378-8005-3B1B64D6528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3D672DA5-8838-4872-A06B-D7A98AC8245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B1F702EF-4D23-4255-8FFA-6A11B30BCF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1409700</xdr:colOff>
      <xdr:row>10</xdr:row>
      <xdr:rowOff>228600</xdr:rowOff>
    </xdr:from>
    <xdr:to>
      <xdr:col>21</xdr:col>
      <xdr:colOff>381000</xdr:colOff>
      <xdr:row>49</xdr:row>
      <xdr:rowOff>65572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A0AE90BF-58A8-42D8-BDEE-C5FF9F2EE04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013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46D822-3678-44C6-96D2-0378B2BECE2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517E42C-7970-4155-84CF-C21BE9EF84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9D2BF39-A6AA-479B-A77F-4797A76E9B3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4045E74-C9DA-4AC4-B8A8-A8B52EE1FE0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CDBAC92-CD02-476D-AF4A-707D3E0EFA1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6308F832-CE85-495C-A885-EFE23FF7A0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E19AD1-2000-42DB-AFED-BAEB5F1F6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56FD34C-5B89-4338-9108-D837E8FB3D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AEE41E9-9BD3-4BC5-906D-2F6EACDF3C6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57EB052-0F02-40EF-B61B-FFC0B70384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51CA8D-06C6-48BC-A868-453CBB6A3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CA9DA564-2490-47CB-BFE1-676A8539F8BE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84047F41-6F12-4328-B11B-939B7A60381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DCC25F4A-7FCD-44B4-8EEE-241899FA06B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400D7B4-01CD-4E68-927A-49F7310F9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E99E84F-3481-4E6D-B3EE-9D05F5B9F5BB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844FDB0-EB86-4D2A-B743-A2F4249181D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4FD03D5-F824-4D26-A224-6CC61D0AD75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F538F05-A436-4F07-98F7-F5156A1F2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640391</xdr:colOff>
      <xdr:row>0</xdr:row>
      <xdr:rowOff>0</xdr:rowOff>
    </xdr:from>
    <xdr:to>
      <xdr:col>14</xdr:col>
      <xdr:colOff>118677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B18ABC3-E00E-4459-869F-A3048C8354B1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3386D9F-FF8C-4E62-A9D4-C8A705C34F5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5164EDB-78E5-4DA6-9CE3-1B6B3C53F74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DB22C0-62DD-4FE7-8508-EF4EB92B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758741</xdr:colOff>
      <xdr:row>0</xdr:row>
      <xdr:rowOff>0</xdr:rowOff>
    </xdr:from>
    <xdr:to>
      <xdr:col>16</xdr:col>
      <xdr:colOff>500477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483AC975-9837-4576-BE12-F7662E279646}"/>
            </a:ext>
          </a:extLst>
        </xdr:cNvPr>
        <xdr:cNvSpPr/>
      </xdr:nvSpPr>
      <xdr:spPr>
        <a:xfrm>
          <a:off x="20494541" y="0"/>
          <a:ext cx="1456236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709420</xdr:colOff>
      <xdr:row>2</xdr:row>
      <xdr:rowOff>384583</xdr:rowOff>
    </xdr:from>
    <xdr:to>
      <xdr:col>16</xdr:col>
      <xdr:colOff>587430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74B9A4CF-4083-4784-A064-6E8155DCB5E8}"/>
            </a:ext>
          </a:extLst>
        </xdr:cNvPr>
        <xdr:cNvSpPr txBox="1"/>
      </xdr:nvSpPr>
      <xdr:spPr>
        <a:xfrm rot="10800000" flipH="1" flipV="1">
          <a:off x="20445220" y="76558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1197586</xdr:colOff>
      <xdr:row>0</xdr:row>
      <xdr:rowOff>136274</xdr:rowOff>
    </xdr:from>
    <xdr:to>
      <xdr:col>16</xdr:col>
      <xdr:colOff>61629</xdr:colOff>
      <xdr:row>2</xdr:row>
      <xdr:rowOff>354262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94EEB5-644C-4877-911F-16B391A39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78543" cy="598988"/>
        </a:xfrm>
        <a:prstGeom prst="rect">
          <a:avLst/>
        </a:prstGeom>
      </xdr:spPr>
    </xdr:pic>
    <xdr:clientData/>
  </xdr:twoCellAnchor>
  <xdr:twoCellAnchor editAs="absolute">
    <xdr:from>
      <xdr:col>19</xdr:col>
      <xdr:colOff>389206</xdr:colOff>
      <xdr:row>0</xdr:row>
      <xdr:rowOff>0</xdr:rowOff>
    </xdr:from>
    <xdr:to>
      <xdr:col>21</xdr:col>
      <xdr:colOff>623637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B9BEABA-BA7B-45DF-89EA-B273C8D0B0C2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19</xdr:col>
      <xdr:colOff>339973</xdr:colOff>
      <xdr:row>2</xdr:row>
      <xdr:rowOff>384583</xdr:rowOff>
    </xdr:from>
    <xdr:to>
      <xdr:col>21</xdr:col>
      <xdr:colOff>710434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0C6B9BE-C511-452E-BD11-D7E01CBB1DF8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20</xdr:col>
      <xdr:colOff>217666</xdr:colOff>
      <xdr:row>0</xdr:row>
      <xdr:rowOff>136274</xdr:rowOff>
    </xdr:from>
    <xdr:to>
      <xdr:col>21</xdr:col>
      <xdr:colOff>185574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BD277-8379-4813-A8A0-A3633ED4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958278</xdr:colOff>
      <xdr:row>0</xdr:row>
      <xdr:rowOff>0</xdr:rowOff>
    </xdr:from>
    <xdr:to>
      <xdr:col>23</xdr:col>
      <xdr:colOff>2556447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B95BB79-4D76-48D2-9637-01E4F99EFF68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3FE50BE-F8E8-4333-B6D4-142F9DD6B1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F412F39D-470C-4646-831F-ACDBC12896A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58D0578-C599-4C28-9C39-90D6BB9310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480189</xdr:colOff>
      <xdr:row>0</xdr:row>
      <xdr:rowOff>0</xdr:rowOff>
    </xdr:from>
    <xdr:to>
      <xdr:col>28</xdr:col>
      <xdr:colOff>249558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674E7D38-3B66-4BE4-9A3B-4CDBAA03316B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80F82B2-03C8-4C8B-8701-F630D8120E4C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BFB5E0DF-691B-4811-9789-EBD8A0C1C08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BDAAF352-995D-4B07-953E-0FCDCF530F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372B8EC-D030-462E-AEA2-C0CE9E590A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F608D35-DC21-418D-A104-4422523EE29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9CFFE4D5-75D3-418E-B32D-42C09A9670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0208FD1-E0D4-4D59-93C2-0FDB8DF4DB9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4CCCB25-E24B-48CB-8393-8F2A43D2214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988CFF9-92DC-4955-973F-D8671A701E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914A323-390A-48EF-9F17-410AAE82F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4D31C25-A2D5-45EB-B384-15D1D34892D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48248C5-9BC4-4602-B93B-08668F8BC4F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F8AE54B-741B-4753-A4F9-37B69AB8C2CC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9464A-9946-419D-A819-4D1C0094E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0C680BA-D1B1-4979-A174-1050AFD8AA54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C36C19F-8733-439D-AD5E-CD7E4A4E39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584AD04-B494-4689-A3F2-1A1BAB0025D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B33C8-D609-40C8-BD8F-1D7D15CF28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41484A3-217F-4F0C-B195-A9A721C97217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71C1012-BBE0-4A76-8E5E-B4083F0672B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F486811-377E-46C4-9831-F4465444B67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8B106F-4C3D-4FB9-86D4-15D6DE7FD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3402641</xdr:colOff>
      <xdr:row>0</xdr:row>
      <xdr:rowOff>0</xdr:rowOff>
    </xdr:from>
    <xdr:to>
      <xdr:col>9</xdr:col>
      <xdr:colOff>5014527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E862A781-94B2-427A-B37E-3617F3485AC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62B5F2E3-C4B0-4F88-A9D0-12B3B4D13A1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C4BD4BC4-2A09-44FF-ACFD-D9127E35663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3E4C5C2-B49C-420B-BE03-57D3AD9F6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1501691</xdr:colOff>
      <xdr:row>0</xdr:row>
      <xdr:rowOff>0</xdr:rowOff>
    </xdr:from>
    <xdr:to>
      <xdr:col>12</xdr:col>
      <xdr:colOff>271877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5D5EE58-80A5-4A04-AF74-5203E2273FEB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1452370</xdr:colOff>
      <xdr:row>2</xdr:row>
      <xdr:rowOff>384583</xdr:rowOff>
    </xdr:from>
    <xdr:to>
      <xdr:col>12</xdr:col>
      <xdr:colOff>358830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A98E6AC-04FD-455A-B794-0716AA30CB8D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397486</xdr:colOff>
      <xdr:row>0</xdr:row>
      <xdr:rowOff>136274</xdr:rowOff>
    </xdr:from>
    <xdr:to>
      <xdr:col>11</xdr:col>
      <xdr:colOff>976029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779E6A-34A1-4C9B-8346-FC256218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313006</xdr:colOff>
      <xdr:row>0</xdr:row>
      <xdr:rowOff>0</xdr:rowOff>
    </xdr:from>
    <xdr:to>
      <xdr:col>15</xdr:col>
      <xdr:colOff>318837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E9374132-33FB-4F43-9103-B6A626F802EE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263773</xdr:colOff>
      <xdr:row>2</xdr:row>
      <xdr:rowOff>384583</xdr:rowOff>
    </xdr:from>
    <xdr:to>
      <xdr:col>15</xdr:col>
      <xdr:colOff>405634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DA07DC8A-5607-4C49-ADCB-DFF9FEA12017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751066</xdr:colOff>
      <xdr:row>0</xdr:row>
      <xdr:rowOff>136274</xdr:rowOff>
    </xdr:from>
    <xdr:to>
      <xdr:col>14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D740E1-48AE-4B24-8E6E-24AF5F4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729678</xdr:colOff>
      <xdr:row>0</xdr:row>
      <xdr:rowOff>0</xdr:rowOff>
    </xdr:from>
    <xdr:to>
      <xdr:col>19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33B61557-F499-4D73-B0CC-DA21F1AC62D1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FF9A647-50C7-4457-A24A-770BDF21BF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92C8245-6449-4F7E-95CF-B74D738E30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CCF80D-CAA9-4926-8FB9-C1E13C93A1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861189</xdr:colOff>
      <xdr:row>0</xdr:row>
      <xdr:rowOff>0</xdr:rowOff>
    </xdr:from>
    <xdr:to>
      <xdr:col>23</xdr:col>
      <xdr:colOff>668658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AFF5D57-A6B0-467E-BE33-846B2A817891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9737AC46-D6FD-41E0-AF4C-1A9DAC474F4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D91A637-748B-4F15-91D6-5F7B9A572AA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013DE577-9588-4ED9-9F9C-CDCC32B7A6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3C48F96-81E5-426C-A172-329E6D6FDE0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B715594-02FE-4425-B946-77E26E6D604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166A1E7-5648-417E-9FBF-841BFA79F91C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5B3B3E5-4D35-4219-9B3E-E7B2B842B0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7F46F70-E375-41B5-BB7A-5203D29919D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F4E42B7-A80B-4FD7-A335-CA45BF4F170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0185D8E-5F07-4D29-B0AE-DD989633D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4D6C07F-90B2-4DFE-936A-8AC8995DC2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3E106B8E-E58A-4A57-92D6-DC997C74984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88EBB95-0D17-478F-8AF5-FD913AD7F48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E0DB9E-0B3D-4C80-9B70-0F82F55F8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3B40A0B-85C0-4256-B8CC-DA7F5544AC79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CA06381C-A5C6-401A-AA84-ADFFFF7EBBF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54B70EC0-A0B7-485F-88F9-4BA646C91E9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3C0C7A-7CA5-423F-8E10-1A1C56949E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173054</xdr:colOff>
      <xdr:row>0</xdr:row>
      <xdr:rowOff>0</xdr:rowOff>
    </xdr:from>
    <xdr:to>
      <xdr:col>9</xdr:col>
      <xdr:colOff>202048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A47596ED-173D-46BF-B2D3-4F48374A2A30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7ABF84A9-2276-49B6-8878-99B347A5BB5A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8D8E8C-1616-4044-9C8D-336DCFB3FF7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F4613A-06EF-4E05-AF91-557644EC3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2240591</xdr:colOff>
      <xdr:row>0</xdr:row>
      <xdr:rowOff>0</xdr:rowOff>
    </xdr:from>
    <xdr:to>
      <xdr:col>10</xdr:col>
      <xdr:colOff>461577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41291CF-8DA1-4237-B01D-335F86D8D9B5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DF283481-7767-4BDB-8EF1-8A9D12BC66E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7F5817F-89E3-4587-91FE-37BE887DE08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B85B961-DF66-4653-AC49-35E67DC00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1006391</xdr:colOff>
      <xdr:row>0</xdr:row>
      <xdr:rowOff>0</xdr:rowOff>
    </xdr:from>
    <xdr:to>
      <xdr:col>11</xdr:col>
      <xdr:colOff>2462627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16693DBD-CDE3-4BC7-828C-50E5A99B43CB}"/>
            </a:ext>
          </a:extLst>
        </xdr:cNvPr>
        <xdr:cNvSpPr/>
      </xdr:nvSpPr>
      <xdr:spPr>
        <a:xfrm>
          <a:off x="20505971" y="0"/>
          <a:ext cx="146004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957070</xdr:colOff>
      <xdr:row>2</xdr:row>
      <xdr:rowOff>384583</xdr:rowOff>
    </xdr:from>
    <xdr:to>
      <xdr:col>12</xdr:col>
      <xdr:colOff>34980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169AAEE-3230-4F73-AC67-BA5B038C9863}"/>
            </a:ext>
          </a:extLst>
        </xdr:cNvPr>
        <xdr:cNvSpPr txBox="1"/>
      </xdr:nvSpPr>
      <xdr:spPr>
        <a:xfrm rot="10800000" flipH="1" flipV="1">
          <a:off x="20456650" y="750343"/>
          <a:ext cx="159632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1437616</xdr:colOff>
      <xdr:row>0</xdr:row>
      <xdr:rowOff>136274</xdr:rowOff>
    </xdr:from>
    <xdr:to>
      <xdr:col>11</xdr:col>
      <xdr:colOff>2023779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DC1418-C221-417B-820D-8F5F6988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4100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674956</xdr:colOff>
      <xdr:row>0</xdr:row>
      <xdr:rowOff>0</xdr:rowOff>
    </xdr:from>
    <xdr:to>
      <xdr:col>14</xdr:col>
      <xdr:colOff>414087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2B7A5DA3-FE36-44C0-908F-C120CE42129F}"/>
            </a:ext>
          </a:extLst>
        </xdr:cNvPr>
        <xdr:cNvSpPr/>
      </xdr:nvSpPr>
      <xdr:spPr>
        <a:xfrm>
          <a:off x="24140746" y="0"/>
          <a:ext cx="14460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625723</xdr:colOff>
      <xdr:row>2</xdr:row>
      <xdr:rowOff>384583</xdr:rowOff>
    </xdr:from>
    <xdr:to>
      <xdr:col>14</xdr:col>
      <xdr:colOff>500884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45D329-2E81-47F0-9CDD-CB986B9940F3}"/>
            </a:ext>
          </a:extLst>
        </xdr:cNvPr>
        <xdr:cNvSpPr txBox="1"/>
      </xdr:nvSpPr>
      <xdr:spPr>
        <a:xfrm rot="10800000" flipH="1" flipV="1">
          <a:off x="24091513" y="750343"/>
          <a:ext cx="158204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1113016</xdr:colOff>
      <xdr:row>0</xdr:row>
      <xdr:rowOff>136274</xdr:rowOff>
    </xdr:from>
    <xdr:to>
      <xdr:col>13</xdr:col>
      <xdr:colOff>1690524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1133F-6310-4B18-82BB-CD9EEC71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17</xdr:col>
      <xdr:colOff>253428</xdr:colOff>
      <xdr:row>0</xdr:row>
      <xdr:rowOff>0</xdr:rowOff>
    </xdr:from>
    <xdr:to>
      <xdr:col>19</xdr:col>
      <xdr:colOff>632397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99439B75-78B4-4010-A988-663A8FD5037F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BD26C1A7-6EB8-4769-A077-B8E21DB498F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B17D1B80-FBF3-42C5-94F1-14FDD0EFD1C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C361DA8-FCCA-452E-A17F-9061C6B0D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880239</xdr:colOff>
      <xdr:row>0</xdr:row>
      <xdr:rowOff>0</xdr:rowOff>
    </xdr:from>
    <xdr:to>
      <xdr:col>21</xdr:col>
      <xdr:colOff>2478408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352797A2-96FB-4C2B-A935-856C8EEE2A8C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FF002289-51EE-4CF4-AABC-1880189BC1C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35AE527-2638-4328-BFEE-18E3BC8484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35200E4C-D202-4785-877B-1DE54C7987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22D6896-C1F8-4CA4-897C-C3121965F21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CCC91-87B4-47AC-B0C7-DB7937B4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14014CC-3ABB-4F44-9AE9-51BF34C3F24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95B8E7-0D0B-46BF-A35F-2647857251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7A95832-1235-4D53-92D1-D19BDF7F42F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E92EE9-B9D8-4264-838B-BECEE1F0220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C63393FA-DDD7-4288-94E3-9DA489DCEA7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2C5CF71-ABC0-40C2-ACA8-886593437DA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BD07B83-611B-4406-85AB-75F68C538C9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A01FB93-AC42-46FF-9914-006EF2EBE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7413D06B-76E4-4C2A-AD60-9844EABAB2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E333A52C-010B-4211-A2DA-B4633C8D20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507CC45A-EAD9-4A10-93EC-377E0DC5474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92A525-064E-4B3E-BB43-F6D6F506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ECAF027-CE3A-4041-A311-7640BC42D9B5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AD4FE20-3852-4F57-AED6-C1CA633B064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AF141FBC-BD6C-4EEF-B4FA-75A7D62E4669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02680A8-FAF7-449B-925E-43F5752CC2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2F1F2A1-C022-437D-90A7-CD881B5B6308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E2F2E785-0F8E-41B4-BE9B-9B486B4BFDEB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45696C5A-5FC4-49B1-95D3-0271276525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2BBFED1-7478-4F77-BF99-DD1592DB0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3C72147B-507E-4516-A069-9AB29FFA67AE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515E3B8-5000-40EB-9E31-5218BBC63D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42907940-6193-4A70-B156-AB127ABFDCCC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28863C-7EF4-4E1D-96AD-F5603DBAE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E44F146A-B31A-436A-9576-5618F99C6C90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2B770D0B-1329-4874-8001-4BB3A4B1B816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460404-EC98-49D0-BE0A-4C7F5E2F7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FC6C9ED7-1213-4360-A48A-FB41C883BA74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5E62309-5768-457E-B308-A8EDE1AA6F35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A96F19-CF5E-44AB-B068-296C1E8D9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7C56A230-F0F7-4201-A449-71A3E6816F01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390369C-8FAE-42B9-803A-628A1AB3F5C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EA95A5A-2A28-42ED-91C5-5579003958B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989076-EAD3-46D2-A634-1AFFC3002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3724DD14-0A71-4254-AE32-09F00B5E15A4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18F7B293-9725-4843-81B9-837D4A10FC7E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CB9C244-F667-44FF-B71F-3050A242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133350</xdr:colOff>
      <xdr:row>10</xdr:row>
      <xdr:rowOff>266700</xdr:rowOff>
    </xdr:from>
    <xdr:to>
      <xdr:col>14</xdr:col>
      <xdr:colOff>304800</xdr:colOff>
      <xdr:row>49</xdr:row>
      <xdr:rowOff>103672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6C1AD8FB-BCE7-4507-AD5A-E7C586B6050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>
          <a:alphaModFix amt="23000"/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382250" y="3676650"/>
          <a:ext cx="15449550" cy="13953022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3F7C3C8-490E-462C-A138-982214F78A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47A410-3D0A-4CE5-8DB7-33C5A97A04B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86A52C-80DF-4D8E-8C7F-98826CC76C2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58F679CA-9AD9-453D-87A8-711512B53C4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4BECF93-7C09-4009-B3BA-85E85622C19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505DB92E-B768-4E99-B22F-167E22C3040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B83B7C6-11A7-4AD7-A1F4-666569599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9BC12EC-E751-4049-8DDC-DECE1163A4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FFE27B25-81D8-4899-B652-3766BBA1AC41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CCFEB8D-9625-432D-97A8-96C34FEE60E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A6AD49-A42A-4D41-8649-F8B93E7F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0C03674-BFB1-4ED2-9F6A-FC5FDF54E5DA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2AAF0DE0-F166-42F8-830F-A6FA3EDBF6F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EA65F465-DEF0-4C00-8110-F47A417120E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9CD91B-E65B-4713-995A-C0CC32483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70EFC5-AE1D-4469-9437-7230ABCD170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1963D6E-AA69-48CF-B0A1-48CC9E1461C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1885FA6E-972D-4DB0-96CD-1A421AE8CF47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278226-39B5-42B6-B476-D7AED0245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074053C-88AD-4E17-83DC-3AF42B8C08DC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9C3B86A8-7BA6-4880-936D-047499D7605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4F48CD0-31E5-4C68-8A9B-A457172AFA0A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DC9249-0B43-478E-9CF2-3E09282AE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CE737BA-60FD-46A6-822F-D8891FBF95D8}"/>
            </a:ext>
          </a:extLst>
        </xdr:cNvPr>
        <xdr:cNvSpPr/>
      </xdr:nvSpPr>
      <xdr:spPr>
        <a:xfrm>
          <a:off x="2050597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A131F3F9-79C7-4D62-A06D-8E55DCE085C8}"/>
            </a:ext>
          </a:extLst>
        </xdr:cNvPr>
        <xdr:cNvSpPr txBox="1"/>
      </xdr:nvSpPr>
      <xdr:spPr>
        <a:xfrm rot="10800000" flipH="1" flipV="1">
          <a:off x="20456650" y="750343"/>
          <a:ext cx="158489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2A38EA-B108-477E-A01F-8BF05B10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1A3AD7A0-3D1D-4E47-A352-EFADA3483B0C}"/>
            </a:ext>
          </a:extLst>
        </xdr:cNvPr>
        <xdr:cNvSpPr/>
      </xdr:nvSpPr>
      <xdr:spPr>
        <a:xfrm>
          <a:off x="2412169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5567988-4ED8-4DBD-B172-211DDF5E39C8}"/>
            </a:ext>
          </a:extLst>
        </xdr:cNvPr>
        <xdr:cNvSpPr txBox="1"/>
      </xdr:nvSpPr>
      <xdr:spPr>
        <a:xfrm rot="10800000" flipH="1" flipV="1">
          <a:off x="2407246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F48ABA-335D-4110-B69B-34749E8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975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E86B25C2-4BEA-45BF-A0F6-FFEA4F41C446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D295160-6B32-4922-A3B0-3A0EA3E12DB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EFB990BC-471C-4951-8A3D-E56C90456DD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A370933-96C0-46F5-9134-D4B01208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4BF99EF-16C0-4BE5-A32F-D30B4246FEEB}"/>
            </a:ext>
          </a:extLst>
        </xdr:cNvPr>
        <xdr:cNvSpPr/>
      </xdr:nvSpPr>
      <xdr:spPr>
        <a:xfrm>
          <a:off x="3139068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FB2D9C36-EAC8-4495-ADB6-B52AC3CFDF03}"/>
            </a:ext>
          </a:extLst>
        </xdr:cNvPr>
        <xdr:cNvSpPr txBox="1"/>
      </xdr:nvSpPr>
      <xdr:spPr>
        <a:xfrm rot="10800000" flipH="1" flipV="1">
          <a:off x="31341189" y="76558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F4C38DBF-F69A-40F2-AB95-DEBCEB7E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3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absoluteAnchor>
    <xdr:pos x="0" y="1"/>
    <xdr:ext cx="1819224" cy="781370"/>
    <xdr:grpSp>
      <xdr:nvGrpSpPr>
        <xdr:cNvPr id="2" name="Agrupar 1">
          <a:extLst>
            <a:ext uri="{FF2B5EF4-FFF2-40B4-BE49-F238E27FC236}">
              <a16:creationId xmlns:a16="http://schemas.microsoft.com/office/drawing/2014/main" id="{EDC0CFCC-6BFB-4B9A-907A-AFDD5DC26400}"/>
            </a:ext>
          </a:extLst>
        </xdr:cNvPr>
        <xdr:cNvGrpSpPr/>
      </xdr:nvGrpSpPr>
      <xdr:grpSpPr>
        <a:xfrm>
          <a:off x="0" y="1"/>
          <a:ext cx="1819224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4A1AF65-239E-4BC3-ACB4-EE4BB601F1A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31D3A7A-CABC-4463-AB5A-365F153772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absoluteAnchor>
  <xdr:absoluteAnchor>
    <xdr:pos x="1969941" y="0"/>
    <xdr:ext cx="1094354" cy="781050"/>
    <xdr:grpSp>
      <xdr:nvGrpSpPr>
        <xdr:cNvPr id="5" name="Agrupar 4">
          <a:extLst>
            <a:ext uri="{FF2B5EF4-FFF2-40B4-BE49-F238E27FC236}">
              <a16:creationId xmlns:a16="http://schemas.microsoft.com/office/drawing/2014/main" id="{11474580-09C3-4A85-A50E-FB865EC252C6}"/>
            </a:ext>
          </a:extLst>
        </xdr:cNvPr>
        <xdr:cNvGrpSpPr/>
      </xdr:nvGrpSpPr>
      <xdr:grpSpPr>
        <a:xfrm>
          <a:off x="1969941" y="0"/>
          <a:ext cx="1094354" cy="781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AF88A7D-E5B8-4DA6-803D-395921E7FDA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D4E235-99E9-44D8-8A8F-F079B6E4D8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628133E-6B13-4588-9D9D-91FF7F60FBE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absoluteAnchor>
  <xdr:absoluteAnchor>
    <xdr:pos x="4437891" y="0"/>
    <xdr:ext cx="1055474" cy="781050"/>
    <xdr:grpSp>
      <xdr:nvGrpSpPr>
        <xdr:cNvPr id="9" name="Agrupar 8">
          <a:extLst>
            <a:ext uri="{FF2B5EF4-FFF2-40B4-BE49-F238E27FC236}">
              <a16:creationId xmlns:a16="http://schemas.microsoft.com/office/drawing/2014/main" id="{335DEBA5-FDD9-4317-967A-057464845958}"/>
            </a:ext>
          </a:extLst>
        </xdr:cNvPr>
        <xdr:cNvGrpSpPr/>
      </xdr:nvGrpSpPr>
      <xdr:grpSpPr>
        <a:xfrm>
          <a:off x="4437891" y="0"/>
          <a:ext cx="1055474" cy="781050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A90852B2-C958-4237-A4ED-B8D3ADFF684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59FA9FF-9037-452C-820F-7FE88C8906BB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1699034-88D6-4F83-B34F-633A91DA0F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absoluteAnchor>
  <xdr:absoluteAnchor>
    <xdr:pos x="5734823" y="0"/>
    <xdr:ext cx="990997" cy="781050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B42B4502-017E-42AF-ADDC-303097ADE49B}"/>
            </a:ext>
          </a:extLst>
        </xdr:cNvPr>
        <xdr:cNvSpPr/>
      </xdr:nvSpPr>
      <xdr:spPr>
        <a:xfrm>
          <a:off x="5734823" y="0"/>
          <a:ext cx="990997" cy="781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absoluteAnchor>
    <xdr:pos x="5708112" y="514894"/>
    <xdr:ext cx="1209853" cy="25443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4EE517E-ECEE-486C-BC81-097616AEBA58}"/>
            </a:ext>
          </a:extLst>
        </xdr:cNvPr>
        <xdr:cNvSpPr txBox="1"/>
      </xdr:nvSpPr>
      <xdr:spPr>
        <a:xfrm rot="10800000" flipH="1" flipV="1">
          <a:off x="5708112" y="514894"/>
          <a:ext cx="120985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absoluteAnchor>
  <xdr:absoluteAnchor>
    <xdr:pos x="6009519" y="91651"/>
    <xdr:ext cx="411125" cy="402850"/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2AE4AD-B941-4620-8EFA-7D6049DED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09519" y="91651"/>
          <a:ext cx="411125" cy="402850"/>
        </a:xfrm>
        <a:prstGeom prst="rect">
          <a:avLst/>
        </a:prstGeom>
      </xdr:spPr>
    </xdr:pic>
    <xdr:clientData/>
  </xdr:absoluteAnchor>
  <xdr:absoluteAnchor>
    <xdr:pos x="7130740" y="0"/>
    <xdr:ext cx="1050030" cy="781050"/>
    <xdr:grpSp>
      <xdr:nvGrpSpPr>
        <xdr:cNvPr id="16" name="Agrupar 15">
          <a:extLst>
            <a:ext uri="{FF2B5EF4-FFF2-40B4-BE49-F238E27FC236}">
              <a16:creationId xmlns:a16="http://schemas.microsoft.com/office/drawing/2014/main" id="{DBFCAD72-0CA3-4613-A2EA-4BE134E0160A}"/>
            </a:ext>
          </a:extLst>
        </xdr:cNvPr>
        <xdr:cNvGrpSpPr/>
      </xdr:nvGrpSpPr>
      <xdr:grpSpPr>
        <a:xfrm>
          <a:off x="7130740" y="0"/>
          <a:ext cx="1050030" cy="781050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56B09C5D-504C-42B9-82CE-84C7083F297E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72DAF5AE-DBD1-4DE8-88B2-9C236307D2B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DCAF9D9-9BCC-40B9-A75F-DBE866EF4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absoluteAnchor>
  <xdr:absoluteAnchor>
    <xdr:pos x="8428116" y="0"/>
    <xdr:ext cx="986173" cy="781050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712250DB-9DF8-4F7A-91BE-FB49F4CC78CD}"/>
            </a:ext>
          </a:extLst>
        </xdr:cNvPr>
        <xdr:cNvSpPr/>
      </xdr:nvSpPr>
      <xdr:spPr>
        <a:xfrm>
          <a:off x="8428116" y="0"/>
          <a:ext cx="986173" cy="781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absoluteAnchor>
  <xdr:absoluteAnchor>
    <xdr:pos x="8393543" y="509194"/>
    <xdr:ext cx="1081700" cy="251614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7DBD12FD-D3B1-42E2-A544-F2FCF831B5F8}"/>
            </a:ext>
          </a:extLst>
        </xdr:cNvPr>
        <xdr:cNvSpPr txBox="1"/>
      </xdr:nvSpPr>
      <xdr:spPr>
        <a:xfrm rot="10800000" flipH="1" flipV="1">
          <a:off x="8393543" y="509194"/>
          <a:ext cx="1081700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absoluteAnchor>
  <xdr:absoluteAnchor>
    <xdr:pos x="8735743" y="90636"/>
    <xdr:ext cx="405553" cy="398390"/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41C5CF-B635-4D9B-97B4-0C8D56209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35743" y="90636"/>
          <a:ext cx="405553" cy="398390"/>
        </a:xfrm>
        <a:prstGeom prst="rect">
          <a:avLst/>
        </a:prstGeom>
      </xdr:spPr>
    </xdr:pic>
    <xdr:clientData/>
  </xdr:absoluteAnchor>
  <xdr:absoluteAnchor>
    <xdr:pos x="9687041" y="0"/>
    <xdr:ext cx="1172730" cy="781050"/>
    <xdr:grpSp>
      <xdr:nvGrpSpPr>
        <xdr:cNvPr id="23" name="Agrupar 22">
          <a:extLst>
            <a:ext uri="{FF2B5EF4-FFF2-40B4-BE49-F238E27FC236}">
              <a16:creationId xmlns:a16="http://schemas.microsoft.com/office/drawing/2014/main" id="{87EB7914-7652-40E4-9F8C-B6A810FDFE02}"/>
            </a:ext>
          </a:extLst>
        </xdr:cNvPr>
        <xdr:cNvGrpSpPr/>
      </xdr:nvGrpSpPr>
      <xdr:grpSpPr>
        <a:xfrm>
          <a:off x="9687041" y="0"/>
          <a:ext cx="1172730" cy="781050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E32C819-820B-4AB9-A713-D4C1498669B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A721F74-5071-434B-B865-D47EA021E6F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6CD85B7-217D-400C-977A-5DCCF2859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absoluteAnchor>
  <xdr:absoluteAnchor>
    <xdr:pos x="11071559" y="0"/>
    <xdr:ext cx="1116336" cy="781050"/>
    <xdr:grpSp>
      <xdr:nvGrpSpPr>
        <xdr:cNvPr id="27" name="Agrupar 26">
          <a:extLst>
            <a:ext uri="{FF2B5EF4-FFF2-40B4-BE49-F238E27FC236}">
              <a16:creationId xmlns:a16="http://schemas.microsoft.com/office/drawing/2014/main" id="{D84E4C39-E9D5-459E-A554-2344B4425B51}"/>
            </a:ext>
          </a:extLst>
        </xdr:cNvPr>
        <xdr:cNvGrpSpPr/>
      </xdr:nvGrpSpPr>
      <xdr:grpSpPr>
        <a:xfrm>
          <a:off x="11071559" y="0"/>
          <a:ext cx="1116336" cy="781050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C63C406-63B7-4EBB-AA10-D99FE158BA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72D78A3-F1B6-48BA-B2F8-F85FA976024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0CF58B0-13D8-4B0D-BD72-A6F842CE27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absoluteAnchor>
  <xdr:absoluteAnchor>
    <xdr:pos x="3178397" y="0"/>
    <xdr:ext cx="1059915" cy="781050"/>
    <xdr:grpSp>
      <xdr:nvGrpSpPr>
        <xdr:cNvPr id="31" name="Agrupar 30">
          <a:extLst>
            <a:ext uri="{FF2B5EF4-FFF2-40B4-BE49-F238E27FC236}">
              <a16:creationId xmlns:a16="http://schemas.microsoft.com/office/drawing/2014/main" id="{14B9661D-B788-4449-BD55-3B90553E2A33}"/>
            </a:ext>
          </a:extLst>
        </xdr:cNvPr>
        <xdr:cNvGrpSpPr/>
      </xdr:nvGrpSpPr>
      <xdr:grpSpPr>
        <a:xfrm>
          <a:off x="3178397" y="0"/>
          <a:ext cx="1059915" cy="781050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084F55E-DF7D-438E-AECC-37A85ECBCD2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2C07A43-4D2B-4FE4-B006-4BCD03CC6ED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28823DE-74D5-47E4-B252-F90160BF01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absoluteAnchor>
  <xdr:absoluteAnchor>
    <xdr:pos x="0" y="1"/>
    <xdr:ext cx="1819741" cy="761999"/>
    <xdr:pic>
      <xdr:nvPicPr>
        <xdr:cNvPr id="35" name="Imagem 34">
          <a:extLst>
            <a:ext uri="{FF2B5EF4-FFF2-40B4-BE49-F238E27FC236}">
              <a16:creationId xmlns:a16="http://schemas.microsoft.com/office/drawing/2014/main" id="{A3C23A8C-8B96-40E7-B32A-548916CE61C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"/>
          <a:ext cx="1819741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absoluteAnchor>
  <xdr:absoluteAnchor>
    <xdr:pos x="12295413" y="10885"/>
    <xdr:ext cx="1052012" cy="781050"/>
    <xdr:grpSp>
      <xdr:nvGrpSpPr>
        <xdr:cNvPr id="36" name="Agrupar 35">
          <a:extLst>
            <a:ext uri="{FF2B5EF4-FFF2-40B4-BE49-F238E27FC236}">
              <a16:creationId xmlns:a16="http://schemas.microsoft.com/office/drawing/2014/main" id="{F6DE3206-C252-47C0-8290-6356459CBE67}"/>
            </a:ext>
          </a:extLst>
        </xdr:cNvPr>
        <xdr:cNvGrpSpPr/>
      </xdr:nvGrpSpPr>
      <xdr:grpSpPr>
        <a:xfrm>
          <a:off x="12295413" y="10885"/>
          <a:ext cx="1052012" cy="781050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132043F6-E5D7-49A9-9AAA-C2EB3F969E57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AFF3D456-7F28-4A24-A8EA-1C610326FAE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absoluteAnchor>
  <xdr:absoluteAnchor>
    <xdr:pos x="25327841" y="54429"/>
    <xdr:ext cx="413932" cy="431935"/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B4AE489E-3CA1-4EF2-B878-1158DD263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7841" y="54429"/>
          <a:ext cx="413932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609600" y="857252"/>
    <xdr:ext cx="1902849" cy="428400"/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EC6F226-3A04-4B5C-AB07-8943EAE4AC5F}"/>
            </a:ext>
          </a:extLst>
        </xdr:cNvPr>
        <xdr:cNvSpPr/>
      </xdr:nvSpPr>
      <xdr:spPr>
        <a:xfrm>
          <a:off x="609600" y="857252"/>
          <a:ext cx="1902849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absoluteAnchor>
  <xdr:absoluteAnchor>
    <xdr:pos x="3100792" y="857252"/>
    <xdr:ext cx="1793649" cy="428400"/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DB51C8C-4C97-4253-8271-D529C0F0666C}"/>
            </a:ext>
          </a:extLst>
        </xdr:cNvPr>
        <xdr:cNvSpPr/>
      </xdr:nvSpPr>
      <xdr:spPr>
        <a:xfrm>
          <a:off x="3100792" y="857252"/>
          <a:ext cx="1793649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absoluteAnchor>
  <xdr:absoluteAnchor>
    <xdr:pos x="22566829" y="87086"/>
    <xdr:ext cx="434714" cy="431935"/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CAB2C852-50B9-473B-AC1E-4544444C8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66829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5451761" y="850325"/>
    <xdr:ext cx="1987612" cy="428400"/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EB75970D-DAF7-4C0D-ABD0-537EB1246B8F}"/>
            </a:ext>
          </a:extLst>
        </xdr:cNvPr>
        <xdr:cNvSpPr/>
      </xdr:nvSpPr>
      <xdr:spPr>
        <a:xfrm>
          <a:off x="5451761" y="850325"/>
          <a:ext cx="198761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absoluteAnchor>
  <xdr:absoluteAnchor>
    <xdr:pos x="12569536" y="83125"/>
    <xdr:ext cx="434714" cy="431935"/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A3ED01CF-8A86-4A5B-A6B4-3ED5C5055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69536" y="83125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7E7ADAD-1763-4F65-A771-F79D394B2A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EDD665C-CCA9-42C7-928D-1BBC2F4F7DA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C7E303-AD3F-4A83-816E-BE178C80185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13F696E4-3464-496A-858E-E044DACD69F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82AD5F8-F59F-4212-AF1A-8962A208BDE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5824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6AD9B86-4D5D-421E-A725-9A34E240E18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BEA084-5FA0-406D-9095-643983902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273422D-606C-431C-AA21-B7F9C1A893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257DD2C-B53F-4BCB-83BB-572DF60B531E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71F12AA-76C3-4439-BC57-B9D95A8CC50F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8D3F6A-1048-4BEC-98F7-C014B01F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155843</xdr:colOff>
      <xdr:row>0</xdr:row>
      <xdr:rowOff>0</xdr:rowOff>
    </xdr:from>
    <xdr:to>
      <xdr:col>5</xdr:col>
      <xdr:colOff>1761630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F7CF2986-CB54-47CA-AD2F-D4E75EC6A048}"/>
            </a:ext>
          </a:extLst>
        </xdr:cNvPr>
        <xdr:cNvGrpSpPr/>
      </xdr:nvGrpSpPr>
      <xdr:grpSpPr>
        <a:xfrm>
          <a:off x="9543683" y="0"/>
          <a:ext cx="1605787" cy="115824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6F764039-0A6B-42C7-8162-CAF5E021BAA7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11DEB74-C27A-4764-A5AB-779D5F083BE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E96DF1-FC06-4F71-8F39-0B5F25918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1613234</xdr:colOff>
      <xdr:row>0</xdr:row>
      <xdr:rowOff>0</xdr:rowOff>
    </xdr:from>
    <xdr:to>
      <xdr:col>7</xdr:col>
      <xdr:colOff>1421248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8F5C8EC-65D9-4615-87E5-45104BB2FF52}"/>
            </a:ext>
          </a:extLst>
        </xdr:cNvPr>
        <xdr:cNvGrpSpPr/>
      </xdr:nvGrpSpPr>
      <xdr:grpSpPr>
        <a:xfrm>
          <a:off x="13195634" y="0"/>
          <a:ext cx="1606334" cy="115824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80658977-D034-46EF-BB96-04E42085B09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ACB6CB8-4AD5-4238-B4CC-876D97FE1C3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1E4F459-4DF3-458F-8CAF-015D4A54F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129851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7CE1A0E9-7C95-4EE0-A597-C68BEE870521}"/>
            </a:ext>
          </a:extLst>
        </xdr:cNvPr>
        <xdr:cNvGrpSpPr/>
      </xdr:nvGrpSpPr>
      <xdr:grpSpPr>
        <a:xfrm>
          <a:off x="16863371" y="0"/>
          <a:ext cx="1611886" cy="115824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6EAE028-6B35-4B0F-A931-4209EBE336C1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D5D9943-0608-4481-91EA-273CEA8BCE9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0C86D6-8E3F-4EA6-A449-C7721DCA9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629201</xdr:colOff>
      <xdr:row>0</xdr:row>
      <xdr:rowOff>0</xdr:rowOff>
    </xdr:from>
    <xdr:to>
      <xdr:col>10</xdr:col>
      <xdr:colOff>2093057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C2858333-36EF-4DEE-97E8-85937A0C8D17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579880</xdr:colOff>
      <xdr:row>2</xdr:row>
      <xdr:rowOff>384583</xdr:rowOff>
    </xdr:from>
    <xdr:to>
      <xdr:col>10</xdr:col>
      <xdr:colOff>2180010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7EA48A4-E94E-47FF-8EC5-DD95ABE74178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10</xdr:col>
      <xdr:colOff>1060426</xdr:colOff>
      <xdr:row>0</xdr:row>
      <xdr:rowOff>136274</xdr:rowOff>
    </xdr:from>
    <xdr:to>
      <xdr:col>10</xdr:col>
      <xdr:colOff>1654209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DE84D6-7F3A-4135-B7D1-91409E22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716866</xdr:colOff>
      <xdr:row>0</xdr:row>
      <xdr:rowOff>0</xdr:rowOff>
    </xdr:from>
    <xdr:to>
      <xdr:col>11</xdr:col>
      <xdr:colOff>2170497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8B8B60A5-D72D-4FC9-84CA-F534CA7B7939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667633</xdr:colOff>
      <xdr:row>2</xdr:row>
      <xdr:rowOff>384583</xdr:rowOff>
    </xdr:from>
    <xdr:to>
      <xdr:col>11</xdr:col>
      <xdr:colOff>2257294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AF5145C6-D0B0-4DA9-9829-21B33E6922EB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1154926</xdr:colOff>
      <xdr:row>0</xdr:row>
      <xdr:rowOff>136274</xdr:rowOff>
    </xdr:from>
    <xdr:to>
      <xdr:col>11</xdr:col>
      <xdr:colOff>1732434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411347-3E54-4FE4-B613-BBE2BD498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1933638</xdr:colOff>
      <xdr:row>0</xdr:row>
      <xdr:rowOff>0</xdr:rowOff>
    </xdr:from>
    <xdr:to>
      <xdr:col>13</xdr:col>
      <xdr:colOff>148527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F45FA45A-019E-4141-B6FD-B5447E2BDA41}"/>
            </a:ext>
          </a:extLst>
        </xdr:cNvPr>
        <xdr:cNvGrpSpPr/>
      </xdr:nvGrpSpPr>
      <xdr:grpSpPr>
        <a:xfrm>
          <a:off x="27780678" y="0"/>
          <a:ext cx="1598169" cy="115824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6C12769-97A3-46AC-9B4F-E56DC5757AD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10E09BE-A121-466C-9E27-11D2F93B68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FB10B8-8195-4302-85BE-9B56E17CFF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316324</xdr:colOff>
      <xdr:row>0</xdr:row>
      <xdr:rowOff>0</xdr:rowOff>
    </xdr:from>
    <xdr:to>
      <xdr:col>15</xdr:col>
      <xdr:colOff>619495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8935F22-5B2D-4D7E-88B0-4E6BD9BFB61F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266829</xdr:colOff>
      <xdr:row>2</xdr:row>
      <xdr:rowOff>384584</xdr:rowOff>
    </xdr:from>
    <xdr:to>
      <xdr:col>15</xdr:col>
      <xdr:colOff>706758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38BCE261-56E4-47B8-8D41-0329D4BBD2D6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14</xdr:col>
      <xdr:colOff>728514</xdr:colOff>
      <xdr:row>0</xdr:row>
      <xdr:rowOff>105753</xdr:rowOff>
    </xdr:from>
    <xdr:to>
      <xdr:col>15</xdr:col>
      <xdr:colOff>191517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F480987-EA78-4AA5-BB8E-49D33BAC0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BAB212F-0980-42A0-930A-C70A68D608C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E4085F1-78E9-49C2-A9F4-FFA379EEEA7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F100E9-AF45-4E06-BD7A-AFD11E68D38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C6A949E-7B38-47DE-A91F-CEA9BA0BD17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1554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E40B51D0-868E-4507-9CAE-E93AFEDAF80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1DF1B78-AD72-4265-A920-2F0A94CB9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A867CF-915D-4ABA-AEFC-D008DF8E4E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F1B2D2D-E072-4EF8-B617-B9755CB2D855}"/>
            </a:ext>
          </a:extLst>
        </xdr:cNvPr>
        <xdr:cNvSpPr/>
      </xdr:nvSpPr>
      <xdr:spPr>
        <a:xfrm>
          <a:off x="5980714" y="0"/>
          <a:ext cx="147778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03E6059-7D25-48D9-ADF7-5D59416ED970}"/>
            </a:ext>
          </a:extLst>
        </xdr:cNvPr>
        <xdr:cNvSpPr txBox="1"/>
      </xdr:nvSpPr>
      <xdr:spPr>
        <a:xfrm rot="10800000" flipH="1" flipV="1">
          <a:off x="5914063" y="750343"/>
          <a:ext cx="161393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D93C86-5905-4F34-94B2-6FF8C0B5C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28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1984643</xdr:colOff>
      <xdr:row>0</xdr:row>
      <xdr:rowOff>0</xdr:rowOff>
    </xdr:from>
    <xdr:to>
      <xdr:col>6</xdr:col>
      <xdr:colOff>466230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0A69682-5A17-4DDC-B1ED-08B2A1CD7D16}"/>
            </a:ext>
          </a:extLst>
        </xdr:cNvPr>
        <xdr:cNvGrpSpPr/>
      </xdr:nvGrpSpPr>
      <xdr:grpSpPr>
        <a:xfrm>
          <a:off x="9585593" y="0"/>
          <a:ext cx="160578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798FB27-BA09-4C7E-A61C-61E72744306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F0F65DE-BAF9-4D89-8FCD-5C72A87196C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D665BE3-08E4-4B9F-A53B-255FF7F6E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203534</xdr:colOff>
      <xdr:row>0</xdr:row>
      <xdr:rowOff>0</xdr:rowOff>
    </xdr:from>
    <xdr:to>
      <xdr:col>7</xdr:col>
      <xdr:colOff>1802248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C0E3149A-A117-44A4-8B9D-32F2058096A2}"/>
            </a:ext>
          </a:extLst>
        </xdr:cNvPr>
        <xdr:cNvGrpSpPr/>
      </xdr:nvGrpSpPr>
      <xdr:grpSpPr>
        <a:xfrm>
          <a:off x="13252784" y="0"/>
          <a:ext cx="159871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BF4DBF-43CC-40F4-8114-84D643FA82E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62FB686-8368-4296-8582-58C7384DFF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905419-9B87-441C-A586-4EDD0551F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396551</xdr:colOff>
      <xdr:row>0</xdr:row>
      <xdr:rowOff>0</xdr:rowOff>
    </xdr:from>
    <xdr:to>
      <xdr:col>8</xdr:col>
      <xdr:colOff>2023677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905F250D-E8D1-48E4-B39A-BD6D22555260}"/>
            </a:ext>
          </a:extLst>
        </xdr:cNvPr>
        <xdr:cNvGrpSpPr/>
      </xdr:nvGrpSpPr>
      <xdr:grpSpPr>
        <a:xfrm>
          <a:off x="16912901" y="0"/>
          <a:ext cx="162712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4A89563D-40EA-4046-9370-6D2376DD954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E0EFB8C0-366B-4BCD-B46A-A93A6B1FCBE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2025CA1-8391-4F49-9D7B-01848EFEA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953051</xdr:colOff>
      <xdr:row>0</xdr:row>
      <xdr:rowOff>0</xdr:rowOff>
    </xdr:from>
    <xdr:to>
      <xdr:col>9</xdr:col>
      <xdr:colOff>2416907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46DCFAAA-A048-44A3-A0BB-885C39266872}"/>
            </a:ext>
          </a:extLst>
        </xdr:cNvPr>
        <xdr:cNvSpPr/>
      </xdr:nvSpPr>
      <xdr:spPr>
        <a:xfrm>
          <a:off x="20608841" y="0"/>
          <a:ext cx="146385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903730</xdr:colOff>
      <xdr:row>2</xdr:row>
      <xdr:rowOff>384583</xdr:rowOff>
    </xdr:from>
    <xdr:to>
      <xdr:col>10</xdr:col>
      <xdr:colOff>65460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3F1A7044-AF45-4A29-B768-D2DF6DB772DF}"/>
            </a:ext>
          </a:extLst>
        </xdr:cNvPr>
        <xdr:cNvSpPr txBox="1"/>
      </xdr:nvSpPr>
      <xdr:spPr>
        <a:xfrm rot="10800000" flipH="1" flipV="1">
          <a:off x="2055952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1384276</xdr:colOff>
      <xdr:row>0</xdr:row>
      <xdr:rowOff>136274</xdr:rowOff>
    </xdr:from>
    <xdr:to>
      <xdr:col>9</xdr:col>
      <xdr:colOff>1978059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54C9E2-D2C7-415B-A345-91DF4EB75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040066" y="136274"/>
          <a:ext cx="593783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2145616</xdr:colOff>
      <xdr:row>0</xdr:row>
      <xdr:rowOff>0</xdr:rowOff>
    </xdr:from>
    <xdr:to>
      <xdr:col>11</xdr:col>
      <xdr:colOff>1122747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7F671BAF-7955-426B-93FC-449BAF8DC299}"/>
            </a:ext>
          </a:extLst>
        </xdr:cNvPr>
        <xdr:cNvSpPr/>
      </xdr:nvSpPr>
      <xdr:spPr>
        <a:xfrm>
          <a:off x="2423980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2096383</xdr:colOff>
      <xdr:row>2</xdr:row>
      <xdr:rowOff>384583</xdr:rowOff>
    </xdr:from>
    <xdr:to>
      <xdr:col>11</xdr:col>
      <xdr:colOff>1209544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BCDF315-B52A-4AAB-9BDF-87C2B3CDC366}"/>
            </a:ext>
          </a:extLst>
        </xdr:cNvPr>
        <xdr:cNvSpPr txBox="1"/>
      </xdr:nvSpPr>
      <xdr:spPr>
        <a:xfrm rot="10800000" flipH="1" flipV="1">
          <a:off x="2419057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107176</xdr:colOff>
      <xdr:row>0</xdr:row>
      <xdr:rowOff>136274</xdr:rowOff>
    </xdr:from>
    <xdr:to>
      <xdr:col>11</xdr:col>
      <xdr:colOff>684684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7DF8CC-BBB3-49E2-9E61-EE882AF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786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790638</xdr:colOff>
      <xdr:row>0</xdr:row>
      <xdr:rowOff>0</xdr:rowOff>
    </xdr:from>
    <xdr:to>
      <xdr:col>12</xdr:col>
      <xdr:colOff>2396427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47F532D-3EC0-4665-8C7E-B881AAB0D3AD}"/>
            </a:ext>
          </a:extLst>
        </xdr:cNvPr>
        <xdr:cNvGrpSpPr/>
      </xdr:nvGrpSpPr>
      <xdr:grpSpPr>
        <a:xfrm>
          <a:off x="27860688" y="0"/>
          <a:ext cx="160578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02AC463-C9F6-4B20-AF7F-B766127FF67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A2C2CA8-176A-4A2F-953E-D19651E479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CD60653-C8DC-4B3C-AC96-F659AF7DD8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1097374</xdr:colOff>
      <xdr:row>0</xdr:row>
      <xdr:rowOff>0</xdr:rowOff>
    </xdr:from>
    <xdr:to>
      <xdr:col>14</xdr:col>
      <xdr:colOff>638545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4A4665D-8BAC-434D-86A4-2D76A4E6200C}"/>
            </a:ext>
          </a:extLst>
        </xdr:cNvPr>
        <xdr:cNvSpPr/>
      </xdr:nvSpPr>
      <xdr:spPr>
        <a:xfrm>
          <a:off x="31543084" y="0"/>
          <a:ext cx="14690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1047879</xdr:colOff>
      <xdr:row>2</xdr:row>
      <xdr:rowOff>384584</xdr:rowOff>
    </xdr:from>
    <xdr:to>
      <xdr:col>14</xdr:col>
      <xdr:colOff>725808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9D9D9724-E8AE-4383-85B1-D68E39C235AA}"/>
            </a:ext>
          </a:extLst>
        </xdr:cNvPr>
        <xdr:cNvSpPr txBox="1"/>
      </xdr:nvSpPr>
      <xdr:spPr>
        <a:xfrm rot="10800000" flipH="1" flipV="1">
          <a:off x="31493589" y="750344"/>
          <a:ext cx="160578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1509564</xdr:colOff>
      <xdr:row>0</xdr:row>
      <xdr:rowOff>105753</xdr:rowOff>
    </xdr:from>
    <xdr:to>
      <xdr:col>14</xdr:col>
      <xdr:colOff>210567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69D10C77-8975-4A93-B429-0914DE89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55274" y="105753"/>
          <a:ext cx="62886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13_11(VBA)%20MacrosCompras4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T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/>
        </row>
        <row r="2">
          <cell r="J2"/>
        </row>
        <row r="7">
          <cell r="J7"/>
        </row>
        <row r="8">
          <cell r="J8"/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SOLICITAR"/>
      <sheetName val="N_CMP"/>
      <sheetName val="SOLICITAÇÕES"/>
      <sheetName val="N_CREALIZARP"/>
      <sheetName val="N_FINANÇAS"/>
      <sheetName val="N_FINANÇAS (2)"/>
      <sheetName val="N_FINANÇAS (3)"/>
      <sheetName val="BANCO DE DADOS"/>
      <sheetName val="BANCO DE DADOS (2)"/>
      <sheetName val="BANCO DE DADOS (3)"/>
      <sheetName val="BD_CADAS (2)"/>
    </sheetNames>
    <definedNames>
      <definedName name="CadastroFornCerto"/>
      <definedName name="COALHO"/>
      <definedName name="EnviarSolicitações"/>
      <definedName name="FERMENTO"/>
      <definedName name="LEITE"/>
      <definedName name="MaiorPmenorPreço"/>
      <definedName name="MenoPMaiorPreço"/>
      <definedName name="RealizarPedido"/>
      <definedName name="SAL"/>
      <definedName name="TODOSFORN"/>
      <definedName name="VINAGR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MP"/>
      <sheetName val="N_CSOLICITAR"/>
      <sheetName val="N_CREALIZARP"/>
      <sheetName val="N_FINANÇAS"/>
      <sheetName val="BANCO DE DADOS"/>
      <sheetName val="BD_CADAS (2)"/>
    </sheetNames>
    <definedNames>
      <definedName name="BotaoComLogin"/>
      <definedName name="cadastro_clientes"/>
      <definedName name="Controle_Vendas"/>
      <definedName name="me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12" Type="http://schemas.openxmlformats.org/officeDocument/2006/relationships/drawing" Target="../drawings/drawing42.xm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11" Type="http://schemas.openxmlformats.org/officeDocument/2006/relationships/printerSettings" Target="../printerSettings/printerSettings40.bin"/><Relationship Id="rId5" Type="http://schemas.openxmlformats.org/officeDocument/2006/relationships/hyperlink" Target="mailto:jaoa@email.com" TargetMode="External"/><Relationship Id="rId10" Type="http://schemas.openxmlformats.org/officeDocument/2006/relationships/hyperlink" Target="mailto:ana@email.com" TargetMode="Externa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hyperlink" Target="mailto:joquimsilva@email.com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43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W77"/>
  <sheetViews>
    <sheetView showGridLines="0" showRowColHeaders="0" zoomScale="40" zoomScaleNormal="40" workbookViewId="0">
      <selection activeCell="F23" sqref="F23"/>
    </sheetView>
  </sheetViews>
  <sheetFormatPr defaultColWidth="8.88671875" defaultRowHeight="14.4" zeroHeight="1" x14ac:dyDescent="0.3"/>
  <cols>
    <col min="1" max="25" width="8.88671875" customWidth="1"/>
    <col min="26" max="43" width="8.88671875" style="100" customWidth="1"/>
    <col min="44" max="48" width="8.88671875" customWidth="1"/>
    <col min="49" max="49" width="105.77734375" customWidth="1"/>
    <col min="50" max="16383" width="0" hidden="1" customWidth="1"/>
    <col min="16384" max="16384" width="84.77734375" customWidth="1"/>
  </cols>
  <sheetData>
    <row r="1" spans="1:49" ht="61.5" customHeigh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2" customHeight="1" x14ac:dyDescent="0.5">
      <c r="A2" s="247" t="s">
        <v>0</v>
      </c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</row>
    <row r="3" spans="1:49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00" customFormat="1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00" customFormat="1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00" customFormat="1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00" customFormat="1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00" customFormat="1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00" customFormat="1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00" customFormat="1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00" customFormat="1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00" customFormat="1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00" customFormat="1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00" customFormat="1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00" customFormat="1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00" customFormat="1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00" customFormat="1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00" customFormat="1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00" customFormat="1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00" customFormat="1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00" customFormat="1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00" customFormat="1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00" customFormat="1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00" customFormat="1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00" customFormat="1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00" customFormat="1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00" customFormat="1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00" customFormat="1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34AA4-B794-44DE-8DF4-9B58A2FE734B}">
  <sheetPr codeName="Planilha7">
    <tabColor rgb="FFFF0000"/>
  </sheetPr>
  <dimension ref="A1:BJ80"/>
  <sheetViews>
    <sheetView showGridLines="0" showRowColHeaders="0" zoomScale="40" zoomScaleNormal="40" workbookViewId="0">
      <selection activeCell="J40" sqref="J40"/>
    </sheetView>
  </sheetViews>
  <sheetFormatPr defaultRowHeight="14.4" x14ac:dyDescent="0.3"/>
  <cols>
    <col min="1" max="2" width="8.88671875" style="100"/>
    <col min="3" max="3" width="8.88671875" style="100" customWidth="1"/>
    <col min="4" max="4" width="8.88671875" style="100"/>
    <col min="5" max="5" width="28.88671875" style="100" customWidth="1"/>
    <col min="6" max="6" width="12.33203125" style="100" customWidth="1"/>
    <col min="7" max="7" width="15.6640625" style="100" bestFit="1" customWidth="1"/>
    <col min="8" max="8" width="16.6640625" style="100" bestFit="1" customWidth="1"/>
    <col min="9" max="9" width="10.33203125" style="100" customWidth="1"/>
    <col min="10" max="10" width="19.5546875" style="100" bestFit="1" customWidth="1"/>
    <col min="11" max="11" width="13.44140625" style="100" bestFit="1" customWidth="1"/>
    <col min="12" max="12" width="12.33203125" style="100" bestFit="1" customWidth="1"/>
    <col min="13" max="13" width="9.5546875" style="100" bestFit="1" customWidth="1"/>
    <col min="14" max="14" width="16.6640625" style="100" bestFit="1" customWidth="1"/>
    <col min="15" max="16" width="8.88671875" style="100"/>
    <col min="17" max="17" width="34" style="100" customWidth="1"/>
    <col min="18" max="18" width="15.6640625" style="100" customWidth="1"/>
    <col min="19" max="19" width="21.21875" style="100" customWidth="1"/>
    <col min="20" max="20" width="19.33203125" style="100" bestFit="1" customWidth="1"/>
    <col min="21" max="21" width="14.5546875" style="100" bestFit="1" customWidth="1"/>
    <col min="22" max="22" width="26.77734375" style="100" bestFit="1" customWidth="1"/>
    <col min="23" max="16384" width="8.88671875" style="100"/>
  </cols>
  <sheetData>
    <row r="1" spans="1:62" s="101" customFormat="1" x14ac:dyDescent="0.3"/>
    <row r="2" spans="1:62" s="101" customFormat="1" x14ac:dyDescent="0.3"/>
    <row r="3" spans="1:62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2" customHeight="1" x14ac:dyDescent="0.3">
      <c r="A4" s="248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248"/>
      <c r="AH4" s="248"/>
      <c r="AI4" s="248"/>
      <c r="AJ4" s="248"/>
      <c r="AK4" s="248"/>
      <c r="AL4" s="248"/>
      <c r="AM4" s="248"/>
      <c r="AN4" s="248"/>
      <c r="AO4" s="248"/>
      <c r="AP4" s="248"/>
      <c r="AQ4" s="248"/>
      <c r="AR4" s="248"/>
      <c r="AS4" s="248"/>
      <c r="AT4" s="248"/>
      <c r="AU4" s="248"/>
      <c r="AV4" s="248"/>
      <c r="AW4" s="248"/>
      <c r="AX4" s="248"/>
      <c r="AY4" s="248"/>
      <c r="AZ4" s="248"/>
      <c r="BA4" s="248"/>
      <c r="BB4" s="248"/>
      <c r="BC4" s="248"/>
      <c r="BD4" s="248"/>
      <c r="BE4" s="248"/>
      <c r="BF4" s="248"/>
      <c r="BG4" s="248"/>
      <c r="BH4" s="248"/>
      <c r="BI4" s="248"/>
      <c r="BJ4" s="248"/>
    </row>
    <row r="5" spans="1:62" x14ac:dyDescent="0.3">
      <c r="A5" s="248"/>
      <c r="B5" s="248"/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  <c r="AW5" s="248"/>
      <c r="AX5" s="248"/>
      <c r="AY5" s="248"/>
      <c r="AZ5" s="248"/>
      <c r="BA5" s="248"/>
      <c r="BB5" s="248"/>
      <c r="BC5" s="248"/>
      <c r="BD5" s="248"/>
      <c r="BE5" s="248"/>
      <c r="BF5" s="248"/>
      <c r="BG5" s="248"/>
      <c r="BH5" s="248"/>
      <c r="BI5" s="248"/>
      <c r="BJ5" s="248"/>
    </row>
    <row r="6" spans="1:62" x14ac:dyDescent="0.3">
      <c r="A6" s="248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8"/>
      <c r="AJ6" s="248"/>
      <c r="AK6" s="248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8"/>
      <c r="BB6" s="248"/>
      <c r="BC6" s="248"/>
      <c r="BD6" s="248"/>
      <c r="BE6" s="248"/>
      <c r="BF6" s="248"/>
      <c r="BG6" s="248"/>
      <c r="BH6" s="248"/>
      <c r="BI6" s="248"/>
      <c r="BJ6" s="248"/>
    </row>
    <row r="7" spans="1:62" x14ac:dyDescent="0.3">
      <c r="A7" s="248"/>
      <c r="B7" s="248"/>
      <c r="C7" s="248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248"/>
      <c r="AF7" s="248"/>
      <c r="AG7" s="248"/>
      <c r="AH7" s="248"/>
      <c r="AI7" s="248"/>
      <c r="AJ7" s="248"/>
      <c r="AK7" s="248"/>
      <c r="AL7" s="248"/>
      <c r="AM7" s="248"/>
      <c r="AN7" s="248"/>
      <c r="AO7" s="248"/>
      <c r="AP7" s="248"/>
      <c r="AQ7" s="248"/>
      <c r="AR7" s="248"/>
      <c r="AS7" s="248"/>
      <c r="AT7" s="248"/>
      <c r="AU7" s="248"/>
      <c r="AV7" s="248"/>
      <c r="AW7" s="248"/>
      <c r="AX7" s="248"/>
      <c r="AY7" s="248"/>
      <c r="AZ7" s="248"/>
      <c r="BA7" s="248"/>
      <c r="BB7" s="248"/>
      <c r="BC7" s="248"/>
      <c r="BD7" s="248"/>
      <c r="BE7" s="248"/>
      <c r="BF7" s="248"/>
      <c r="BG7" s="248"/>
      <c r="BH7" s="248"/>
      <c r="BI7" s="248"/>
      <c r="BJ7" s="248"/>
    </row>
    <row r="8" spans="1:62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</row>
    <row r="9" spans="1:62" ht="14.4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</row>
    <row r="10" spans="1:62" ht="14.4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</row>
    <row r="11" spans="1:62" ht="25.2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</row>
    <row r="12" spans="1:62" ht="25.2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</row>
    <row r="13" spans="1:62" ht="75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</row>
    <row r="14" spans="1:62" ht="60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</row>
    <row r="15" spans="1:62" ht="60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</row>
    <row r="16" spans="1:62" ht="60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</row>
    <row r="17" spans="1:44" ht="60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</row>
    <row r="18" spans="1:44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</row>
    <row r="19" spans="1:44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</row>
    <row r="20" spans="1:44" ht="14.4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</row>
    <row r="21" spans="1:44" ht="14.4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</row>
    <row r="22" spans="1:44" ht="25.5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</row>
    <row r="23" spans="1:44" ht="25.5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</row>
    <row r="24" spans="1:44" ht="37.5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</row>
    <row r="25" spans="1:44" ht="37.5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</row>
    <row r="26" spans="1:44" ht="15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</row>
    <row r="27" spans="1:44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</row>
    <row r="28" spans="1:44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</row>
    <row r="29" spans="1:44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</row>
    <row r="30" spans="1:44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</row>
    <row r="31" spans="1:44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</row>
    <row r="32" spans="1:44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</row>
    <row r="33" spans="1:44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</row>
    <row r="34" spans="1:44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</row>
    <row r="35" spans="1:44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</row>
    <row r="36" spans="1:44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</row>
    <row r="37" spans="1:44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</row>
    <row r="38" spans="1:44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</row>
    <row r="39" spans="1:44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</row>
    <row r="40" spans="1:44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</row>
    <row r="41" spans="1:44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</row>
    <row r="42" spans="1:44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</row>
    <row r="43" spans="1:44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</row>
    <row r="44" spans="1:44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</row>
    <row r="45" spans="1:44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</row>
    <row r="46" spans="1:44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</row>
    <row r="47" spans="1:44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</row>
    <row r="48" spans="1:44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</row>
    <row r="49" spans="1:44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</row>
    <row r="50" spans="1:44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</row>
    <row r="51" spans="1:44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</row>
    <row r="52" spans="1:44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</row>
    <row r="53" spans="1:44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</row>
    <row r="54" spans="1:44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</row>
    <row r="55" spans="1:44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</row>
    <row r="56" spans="1:44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</row>
    <row r="57" spans="1:44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</row>
    <row r="58" spans="1:44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</row>
    <row r="59" spans="1:44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</row>
    <row r="60" spans="1:44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</row>
    <row r="61" spans="1:44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</row>
    <row r="62" spans="1:44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</row>
    <row r="63" spans="1:44" x14ac:dyDescent="0.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</row>
    <row r="64" spans="1:44" x14ac:dyDescent="0.3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</row>
    <row r="65" spans="1:44" x14ac:dyDescent="0.3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</row>
    <row r="66" spans="1:44" x14ac:dyDescent="0.3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</row>
    <row r="67" spans="1:44" x14ac:dyDescent="0.3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</row>
    <row r="68" spans="1:44" x14ac:dyDescent="0.3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</row>
    <row r="69" spans="1:44" x14ac:dyDescent="0.3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</row>
    <row r="70" spans="1:44" x14ac:dyDescent="0.3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</row>
    <row r="71" spans="1:44" x14ac:dyDescent="0.3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</row>
    <row r="72" spans="1:44" x14ac:dyDescent="0.3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</row>
    <row r="73" spans="1:44" x14ac:dyDescent="0.3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</row>
    <row r="74" spans="1:44" x14ac:dyDescent="0.3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</row>
    <row r="75" spans="1:44" x14ac:dyDescent="0.3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</row>
    <row r="76" spans="1:44" x14ac:dyDescent="0.3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</row>
    <row r="77" spans="1:44" x14ac:dyDescent="0.3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</row>
    <row r="78" spans="1:44" x14ac:dyDescent="0.3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</row>
    <row r="79" spans="1:44" x14ac:dyDescent="0.3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</row>
    <row r="80" spans="1:44" x14ac:dyDescent="0.3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</row>
  </sheetData>
  <mergeCells count="8">
    <mergeCell ref="A7:AE7"/>
    <mergeCell ref="AF7:BJ7"/>
    <mergeCell ref="A4:AE4"/>
    <mergeCell ref="AF4:BJ4"/>
    <mergeCell ref="A5:AE5"/>
    <mergeCell ref="AF5:BJ5"/>
    <mergeCell ref="A6:AE6"/>
    <mergeCell ref="AF6:BJ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BJ40"/>
  <sheetViews>
    <sheetView topLeftCell="A10" zoomScale="40" zoomScaleNormal="40" workbookViewId="0">
      <selection activeCell="V41" sqref="V41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  <col min="17" max="17" width="34" customWidth="1"/>
    <col min="18" max="18" width="15.6640625" customWidth="1"/>
    <col min="19" max="19" width="21.21875" customWidth="1"/>
    <col min="20" max="20" width="19.33203125" bestFit="1" customWidth="1"/>
    <col min="21" max="21" width="14.5546875" bestFit="1" customWidth="1"/>
    <col min="22" max="22" width="26.77734375" bestFit="1" customWidth="1"/>
    <col min="52" max="53" width="8.88671875" style="100"/>
  </cols>
  <sheetData>
    <row r="1" spans="1:62" s="101" customFormat="1" x14ac:dyDescent="0.3"/>
    <row r="2" spans="1:62" s="101" customFormat="1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2" customHeight="1" x14ac:dyDescent="0.3">
      <c r="A4" s="248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248"/>
      <c r="AH4" s="248"/>
      <c r="AI4" s="248"/>
      <c r="AJ4" s="248"/>
      <c r="AK4" s="248"/>
      <c r="AL4" s="248"/>
      <c r="AM4" s="248"/>
      <c r="AN4" s="248"/>
      <c r="AO4" s="248"/>
      <c r="AP4" s="248"/>
      <c r="AQ4" s="248"/>
      <c r="AR4" s="248"/>
      <c r="AS4" s="248"/>
      <c r="AT4" s="248"/>
      <c r="AU4" s="248"/>
      <c r="AV4" s="248"/>
      <c r="AW4" s="248"/>
      <c r="AX4" s="248"/>
      <c r="AY4" s="248"/>
      <c r="AZ4" s="248"/>
      <c r="BA4" s="248"/>
      <c r="BB4" s="248"/>
      <c r="BC4" s="248"/>
      <c r="BD4" s="248"/>
      <c r="BE4" s="248"/>
      <c r="BF4" s="248"/>
      <c r="BG4" s="248"/>
      <c r="BH4" s="248"/>
      <c r="BI4" s="248"/>
      <c r="BJ4" s="248"/>
    </row>
    <row r="5" spans="1:62" x14ac:dyDescent="0.3">
      <c r="A5" s="248"/>
      <c r="B5" s="248"/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  <c r="AW5" s="248"/>
      <c r="AX5" s="248"/>
      <c r="AY5" s="248"/>
      <c r="AZ5" s="248"/>
      <c r="BA5" s="248"/>
      <c r="BB5" s="248"/>
      <c r="BC5" s="248"/>
      <c r="BD5" s="248"/>
      <c r="BE5" s="248"/>
      <c r="BF5" s="248"/>
      <c r="BG5" s="248"/>
      <c r="BH5" s="248"/>
      <c r="BI5" s="248"/>
      <c r="BJ5" s="248"/>
    </row>
    <row r="6" spans="1:62" x14ac:dyDescent="0.3">
      <c r="A6" s="248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8"/>
      <c r="AJ6" s="248"/>
      <c r="AK6" s="248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8"/>
      <c r="BB6" s="248"/>
      <c r="BC6" s="248"/>
      <c r="BD6" s="248"/>
      <c r="BE6" s="248"/>
      <c r="BF6" s="248"/>
      <c r="BG6" s="248"/>
      <c r="BH6" s="248"/>
      <c r="BI6" s="248"/>
      <c r="BJ6" s="248"/>
    </row>
    <row r="7" spans="1:62" x14ac:dyDescent="0.3">
      <c r="A7" s="248"/>
      <c r="B7" s="248"/>
      <c r="C7" s="248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248"/>
      <c r="AF7" s="248"/>
      <c r="AG7" s="248"/>
      <c r="AH7" s="248"/>
      <c r="AI7" s="248"/>
      <c r="AJ7" s="248"/>
      <c r="AK7" s="248"/>
      <c r="AL7" s="248"/>
      <c r="AM7" s="248"/>
      <c r="AN7" s="248"/>
      <c r="AO7" s="248"/>
      <c r="AP7" s="248"/>
      <c r="AQ7" s="248"/>
      <c r="AR7" s="248"/>
      <c r="AS7" s="248"/>
      <c r="AT7" s="248"/>
      <c r="AU7" s="248"/>
      <c r="AV7" s="248"/>
      <c r="AW7" s="248"/>
      <c r="AX7" s="248"/>
      <c r="AY7" s="248"/>
      <c r="AZ7" s="248"/>
      <c r="BA7" s="248"/>
      <c r="BB7" s="248"/>
      <c r="BC7" s="248"/>
      <c r="BD7" s="248"/>
      <c r="BE7" s="248"/>
      <c r="BF7" s="248"/>
      <c r="BG7" s="248"/>
      <c r="BH7" s="248"/>
      <c r="BI7" s="248"/>
      <c r="BJ7" s="248"/>
    </row>
    <row r="9" spans="1:62" ht="14.4" customHeight="1" x14ac:dyDescent="0.3"/>
    <row r="10" spans="1:62" ht="14.4" customHeight="1" thickBot="1" x14ac:dyDescent="0.35"/>
    <row r="11" spans="1:62" ht="25.2" customHeight="1" x14ac:dyDescent="0.3">
      <c r="Q11" s="259" t="s">
        <v>1</v>
      </c>
      <c r="R11" s="260"/>
      <c r="S11" s="260"/>
      <c r="T11" s="260"/>
      <c r="U11" s="260"/>
      <c r="V11" s="261"/>
    </row>
    <row r="12" spans="1:62" ht="25.2" customHeight="1" x14ac:dyDescent="0.3">
      <c r="Q12" s="262"/>
      <c r="R12" s="263"/>
      <c r="S12" s="263"/>
      <c r="T12" s="263"/>
      <c r="U12" s="263"/>
      <c r="V12" s="264"/>
    </row>
    <row r="13" spans="1:62" ht="75" customHeight="1" x14ac:dyDescent="0.3">
      <c r="Q13" s="103" t="s">
        <v>2</v>
      </c>
      <c r="R13" s="104" t="s">
        <v>3</v>
      </c>
      <c r="S13" s="104" t="s">
        <v>4</v>
      </c>
      <c r="T13" s="104" t="s">
        <v>5</v>
      </c>
      <c r="U13" s="105" t="s">
        <v>6</v>
      </c>
      <c r="V13" s="106" t="s">
        <v>7</v>
      </c>
    </row>
    <row r="14" spans="1:62" ht="60" customHeight="1" x14ac:dyDescent="0.3">
      <c r="Q14" s="116" t="s">
        <v>8</v>
      </c>
      <c r="R14" s="107">
        <v>2</v>
      </c>
      <c r="S14" s="108">
        <v>1</v>
      </c>
      <c r="T14" s="108">
        <v>0</v>
      </c>
      <c r="U14" s="108">
        <v>1</v>
      </c>
      <c r="V14" s="109">
        <v>2</v>
      </c>
    </row>
    <row r="15" spans="1:62" ht="60" customHeight="1" x14ac:dyDescent="0.3">
      <c r="Q15" s="116" t="s">
        <v>9</v>
      </c>
      <c r="R15" s="110">
        <v>2</v>
      </c>
      <c r="S15" s="111">
        <v>1</v>
      </c>
      <c r="T15" s="111">
        <v>0</v>
      </c>
      <c r="U15" s="111">
        <v>2</v>
      </c>
      <c r="V15" s="112">
        <v>1</v>
      </c>
    </row>
    <row r="16" spans="1:62" ht="60" customHeight="1" x14ac:dyDescent="0.3">
      <c r="Q16" s="116" t="s">
        <v>10</v>
      </c>
      <c r="R16" s="110">
        <v>1</v>
      </c>
      <c r="S16" s="111">
        <v>1</v>
      </c>
      <c r="T16" s="111">
        <v>5</v>
      </c>
      <c r="U16" s="111">
        <v>3</v>
      </c>
      <c r="V16" s="112">
        <v>2</v>
      </c>
    </row>
    <row r="17" spans="17:22" ht="60" customHeight="1" thickBot="1" x14ac:dyDescent="0.35">
      <c r="Q17" s="117" t="s">
        <v>11</v>
      </c>
      <c r="R17" s="113">
        <v>4</v>
      </c>
      <c r="S17" s="114">
        <v>1</v>
      </c>
      <c r="T17" s="114">
        <v>0</v>
      </c>
      <c r="U17" s="114">
        <v>4</v>
      </c>
      <c r="V17" s="115">
        <v>1</v>
      </c>
    </row>
    <row r="18" spans="17:22" x14ac:dyDescent="0.3">
      <c r="Q18" s="100"/>
      <c r="R18" s="100"/>
      <c r="S18" s="100"/>
      <c r="T18" s="100"/>
      <c r="U18" s="100"/>
      <c r="V18" s="100"/>
    </row>
    <row r="19" spans="17:22" x14ac:dyDescent="0.3">
      <c r="Q19" s="100"/>
      <c r="R19" s="100"/>
      <c r="S19" s="100"/>
      <c r="T19" s="100"/>
      <c r="U19" s="100"/>
      <c r="V19" s="100"/>
    </row>
    <row r="20" spans="17:22" ht="14.4" customHeight="1" x14ac:dyDescent="0.3">
      <c r="Q20" s="100"/>
      <c r="R20" s="100"/>
      <c r="S20" s="100"/>
      <c r="T20" s="100"/>
      <c r="U20" s="100"/>
      <c r="V20" s="100"/>
    </row>
    <row r="21" spans="17:22" ht="14.4" customHeight="1" thickBot="1" x14ac:dyDescent="0.35">
      <c r="Q21" s="100"/>
      <c r="R21" s="100"/>
      <c r="S21" s="100"/>
      <c r="T21" s="100"/>
      <c r="U21" s="100"/>
      <c r="V21" s="100"/>
    </row>
    <row r="22" spans="17:22" ht="25.5" customHeight="1" x14ac:dyDescent="0.3">
      <c r="Q22" s="100"/>
      <c r="R22" s="265" t="s">
        <v>10</v>
      </c>
      <c r="S22" s="266"/>
      <c r="T22" s="266"/>
      <c r="U22" s="267"/>
      <c r="V22" s="100"/>
    </row>
    <row r="23" spans="17:22" ht="25.5" customHeight="1" x14ac:dyDescent="0.3">
      <c r="Q23" s="100"/>
      <c r="R23" s="268"/>
      <c r="S23" s="269"/>
      <c r="T23" s="269"/>
      <c r="U23" s="270"/>
      <c r="V23" s="100"/>
    </row>
    <row r="24" spans="17:22" ht="37.5" customHeight="1" x14ac:dyDescent="0.3">
      <c r="Q24" s="100"/>
      <c r="R24" s="251" t="s">
        <v>12</v>
      </c>
      <c r="S24" s="252"/>
      <c r="T24" s="255">
        <v>1</v>
      </c>
      <c r="U24" s="257"/>
      <c r="V24" s="100"/>
    </row>
    <row r="25" spans="17:22" ht="37.5" customHeight="1" x14ac:dyDescent="0.3">
      <c r="Q25" s="100"/>
      <c r="R25" s="253"/>
      <c r="S25" s="254"/>
      <c r="T25" s="256"/>
      <c r="U25" s="258"/>
      <c r="V25" s="100"/>
    </row>
    <row r="26" spans="17:22" ht="15" customHeight="1" x14ac:dyDescent="0.3">
      <c r="Q26" s="100"/>
      <c r="R26" s="3"/>
      <c r="S26" s="4"/>
      <c r="T26" s="5" t="s">
        <v>13</v>
      </c>
      <c r="U26" s="6" t="s">
        <v>13</v>
      </c>
      <c r="V26" s="100"/>
    </row>
    <row r="27" spans="17:22" ht="22.8" x14ac:dyDescent="0.3">
      <c r="Q27" s="100"/>
      <c r="R27" s="249" t="s">
        <v>3</v>
      </c>
      <c r="S27" s="250"/>
      <c r="T27" s="118">
        <f>VLOOKUP(R22,Q14:V17,2,FALSE)*T24</f>
        <v>1</v>
      </c>
      <c r="U27" s="7"/>
      <c r="V27" s="100"/>
    </row>
    <row r="28" spans="17:22" ht="28.8" x14ac:dyDescent="0.4">
      <c r="Q28" s="100"/>
      <c r="R28" s="119"/>
      <c r="S28" s="120" t="s">
        <v>13</v>
      </c>
      <c r="T28" s="10" t="s">
        <v>13</v>
      </c>
      <c r="U28" s="6" t="s">
        <v>13</v>
      </c>
      <c r="V28" s="100"/>
    </row>
    <row r="29" spans="17:22" ht="22.8" x14ac:dyDescent="0.3">
      <c r="Q29" s="100"/>
      <c r="R29" s="249" t="s">
        <v>4</v>
      </c>
      <c r="S29" s="250"/>
      <c r="T29" s="118">
        <f>VLOOKUP(R22,Q14:V17,3,FALSE)*T24</f>
        <v>1</v>
      </c>
      <c r="U29" s="7"/>
      <c r="V29" s="100"/>
    </row>
    <row r="30" spans="17:22" ht="28.8" x14ac:dyDescent="0.3">
      <c r="Q30" s="100"/>
      <c r="R30" s="121"/>
      <c r="S30" s="120" t="s">
        <v>13</v>
      </c>
      <c r="T30" s="10" t="s">
        <v>13</v>
      </c>
      <c r="U30" s="6" t="s">
        <v>13</v>
      </c>
      <c r="V30" s="100"/>
    </row>
    <row r="31" spans="17:22" ht="22.8" x14ac:dyDescent="0.3">
      <c r="Q31" s="100"/>
      <c r="R31" s="249" t="s">
        <v>5</v>
      </c>
      <c r="S31" s="250"/>
      <c r="T31" s="118">
        <f>VLOOKUP(R22,Q14:V17,4,FALSE)*T24</f>
        <v>5</v>
      </c>
      <c r="U31" s="7"/>
      <c r="V31" s="100"/>
    </row>
    <row r="32" spans="17:22" ht="28.8" x14ac:dyDescent="0.4">
      <c r="Q32" s="100"/>
      <c r="R32" s="119"/>
      <c r="S32" s="120" t="s">
        <v>13</v>
      </c>
      <c r="T32" s="10" t="s">
        <v>13</v>
      </c>
      <c r="U32" s="6" t="s">
        <v>13</v>
      </c>
      <c r="V32" s="100"/>
    </row>
    <row r="33" spans="17:22" ht="22.8" x14ac:dyDescent="0.3">
      <c r="Q33" s="100"/>
      <c r="R33" s="249" t="s">
        <v>6</v>
      </c>
      <c r="S33" s="250"/>
      <c r="T33" s="118">
        <f>VLOOKUP(R22,Q14:V17,5,FALSE)*T24</f>
        <v>3</v>
      </c>
      <c r="U33" s="7"/>
      <c r="V33" s="100"/>
    </row>
    <row r="34" spans="17:22" ht="28.8" x14ac:dyDescent="0.3">
      <c r="Q34" s="100"/>
      <c r="R34" s="121"/>
      <c r="S34" s="120"/>
      <c r="T34" s="122"/>
      <c r="U34" s="6"/>
      <c r="V34" s="100"/>
    </row>
    <row r="35" spans="17:22" ht="22.8" x14ac:dyDescent="0.3">
      <c r="Q35" s="100"/>
      <c r="R35" s="249" t="s">
        <v>7</v>
      </c>
      <c r="S35" s="250"/>
      <c r="T35" s="118">
        <f>VLOOKUP(R22,Q14:V17,6,FALSE)*T24</f>
        <v>2</v>
      </c>
      <c r="U35" s="7"/>
      <c r="V35" s="100"/>
    </row>
    <row r="36" spans="17:22" ht="28.8" x14ac:dyDescent="0.3">
      <c r="Q36" s="100"/>
      <c r="R36" s="3"/>
      <c r="S36" s="10"/>
      <c r="T36" s="9"/>
      <c r="U36" s="11"/>
      <c r="V36" s="100"/>
    </row>
    <row r="37" spans="17:22" ht="28.8" x14ac:dyDescent="0.3">
      <c r="Q37" s="100"/>
      <c r="R37" s="3"/>
      <c r="S37" s="10"/>
      <c r="T37" s="9"/>
      <c r="U37" s="11"/>
      <c r="V37" s="100"/>
    </row>
    <row r="38" spans="17:22" ht="28.8" x14ac:dyDescent="0.55000000000000004">
      <c r="Q38" s="100"/>
      <c r="R38" s="3"/>
      <c r="S38" s="12"/>
      <c r="T38" s="12"/>
      <c r="U38" s="13"/>
      <c r="V38" s="100"/>
    </row>
    <row r="39" spans="17:22" ht="29.4" thickBot="1" x14ac:dyDescent="0.6">
      <c r="Q39" s="100"/>
      <c r="R39" s="14"/>
      <c r="S39" s="15"/>
      <c r="T39" s="15"/>
      <c r="U39" s="16"/>
      <c r="V39" s="100"/>
    </row>
    <row r="40" spans="17:22" x14ac:dyDescent="0.3">
      <c r="Q40" s="100"/>
      <c r="R40" s="100"/>
      <c r="S40" s="100"/>
      <c r="T40" s="100"/>
      <c r="U40" s="100"/>
      <c r="V40" s="100"/>
    </row>
  </sheetData>
  <mergeCells count="18">
    <mergeCell ref="AF4:BJ4"/>
    <mergeCell ref="A5:AE5"/>
    <mergeCell ref="A6:AE6"/>
    <mergeCell ref="A7:AE7"/>
    <mergeCell ref="AF5:BJ5"/>
    <mergeCell ref="AF6:BJ6"/>
    <mergeCell ref="AF7:BJ7"/>
    <mergeCell ref="A4:AE4"/>
    <mergeCell ref="U24:U25"/>
    <mergeCell ref="R27:S27"/>
    <mergeCell ref="R29:S29"/>
    <mergeCell ref="Q11:V12"/>
    <mergeCell ref="R22:U23"/>
    <mergeCell ref="R31:S31"/>
    <mergeCell ref="R33:S33"/>
    <mergeCell ref="R35:S35"/>
    <mergeCell ref="R24:S25"/>
    <mergeCell ref="T24:T25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:U23" xr:uid="{4AB7ECC7-8864-4172-B1B3-0C16A9D2D44C}">
      <formula1>$Q$14:$Q$17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BA63"/>
  <sheetViews>
    <sheetView showGridLines="0" showRowColHeaders="0" zoomScale="40" zoomScaleNormal="40" workbookViewId="0">
      <selection activeCell="J23" sqref="J23"/>
    </sheetView>
  </sheetViews>
  <sheetFormatPr defaultRowHeight="14.4" x14ac:dyDescent="0.3"/>
  <cols>
    <col min="8" max="8" width="8.88671875" customWidth="1"/>
    <col min="10" max="10" width="35.6640625" customWidth="1"/>
    <col min="14" max="14" width="23.44140625" bestFit="1" customWidth="1"/>
    <col min="16" max="16" width="11.44140625" customWidth="1"/>
    <col min="18" max="18" width="47.44140625" customWidth="1"/>
    <col min="23" max="23" width="17.33203125" customWidth="1"/>
    <col min="24" max="24" width="6.21875" customWidth="1"/>
    <col min="25" max="25" width="28.21875" customWidth="1"/>
    <col min="27" max="27" width="6.33203125" customWidth="1"/>
    <col min="28" max="28" width="10.5546875" customWidth="1"/>
    <col min="29" max="29" width="39.44140625" customWidth="1"/>
    <col min="30" max="30" width="8.88671875" customWidth="1"/>
    <col min="31" max="31" width="39.44140625" customWidth="1"/>
    <col min="32" max="32" width="8.88671875" customWidth="1"/>
    <col min="33" max="33" width="35.6640625" customWidth="1"/>
  </cols>
  <sheetData>
    <row r="1" spans="1:53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</row>
    <row r="2" spans="1:53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</row>
    <row r="3" spans="1:53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</row>
    <row r="4" spans="1:53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00" customFormat="1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8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8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8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8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76"/>
      <c r="P11" s="76"/>
      <c r="Q11" s="76"/>
      <c r="R11" s="76"/>
      <c r="S11" s="136"/>
      <c r="T11" s="140"/>
      <c r="U11" s="140"/>
      <c r="V11" s="140"/>
      <c r="W11" s="140"/>
      <c r="X11" s="140"/>
      <c r="Y11" s="140"/>
      <c r="Z11" s="140"/>
      <c r="AA11" s="140"/>
      <c r="AB11" s="76"/>
      <c r="AC11" s="76"/>
      <c r="AD11" s="76"/>
      <c r="AE11" s="76"/>
      <c r="AF11" s="76"/>
    </row>
    <row r="12" spans="1:53" ht="28.8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24"/>
      <c r="R12" s="280" t="s">
        <v>14</v>
      </c>
      <c r="S12" s="281"/>
      <c r="T12" s="281"/>
      <c r="U12" s="281"/>
      <c r="V12" s="281"/>
      <c r="W12" s="281"/>
      <c r="X12" s="281"/>
      <c r="Y12" s="281"/>
      <c r="Z12" s="281"/>
      <c r="AA12" s="282"/>
      <c r="AB12" s="1"/>
      <c r="AC12" s="1"/>
      <c r="AD12" s="1"/>
      <c r="AE12" s="76"/>
      <c r="AF12" s="76"/>
    </row>
    <row r="13" spans="1:53" ht="28.8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00"/>
      <c r="N13" s="100"/>
      <c r="O13" s="1"/>
      <c r="P13" s="1"/>
      <c r="Q13" s="124"/>
      <c r="R13" s="283"/>
      <c r="S13" s="284"/>
      <c r="T13" s="284"/>
      <c r="U13" s="284"/>
      <c r="V13" s="284"/>
      <c r="W13" s="284"/>
      <c r="X13" s="284"/>
      <c r="Y13" s="284"/>
      <c r="Z13" s="284"/>
      <c r="AA13" s="285"/>
      <c r="AB13" s="100"/>
      <c r="AC13" s="1"/>
      <c r="AD13" s="100"/>
      <c r="AE13" s="76"/>
      <c r="AF13" s="76"/>
    </row>
    <row r="14" spans="1:53" ht="28.8" customHeight="1" x14ac:dyDescent="0.3">
      <c r="A14" s="1"/>
      <c r="B14" s="1"/>
      <c r="C14" s="1"/>
      <c r="D14" s="1"/>
      <c r="M14" s="100"/>
      <c r="N14" s="100"/>
      <c r="O14" s="125"/>
      <c r="P14" s="125"/>
      <c r="Q14" s="124"/>
      <c r="R14" s="286" t="s">
        <v>15</v>
      </c>
      <c r="S14" s="287"/>
      <c r="T14" s="287"/>
      <c r="U14" s="287"/>
      <c r="V14" s="287"/>
      <c r="W14" s="287"/>
      <c r="X14" s="287"/>
      <c r="Y14" s="287"/>
      <c r="Z14" s="287"/>
      <c r="AA14" s="288"/>
      <c r="AB14" s="100"/>
      <c r="AC14" s="1"/>
      <c r="AD14" s="100"/>
      <c r="AE14" s="76"/>
      <c r="AF14" s="76"/>
    </row>
    <row r="15" spans="1:53" ht="28.8" customHeight="1" thickBot="1" x14ac:dyDescent="0.35">
      <c r="A15" s="1"/>
      <c r="B15" s="1"/>
      <c r="C15" s="1"/>
      <c r="D15" s="1"/>
      <c r="M15" s="100"/>
      <c r="N15" s="100"/>
      <c r="O15" s="125"/>
      <c r="P15" s="125"/>
      <c r="Q15" s="124"/>
      <c r="R15" s="289"/>
      <c r="S15" s="290"/>
      <c r="T15" s="290"/>
      <c r="U15" s="290"/>
      <c r="V15" s="290"/>
      <c r="W15" s="290"/>
      <c r="X15" s="290"/>
      <c r="Y15" s="290"/>
      <c r="Z15" s="290"/>
      <c r="AA15" s="291"/>
      <c r="AB15" s="100"/>
      <c r="AC15" s="1"/>
      <c r="AD15" s="100"/>
      <c r="AE15" s="76"/>
      <c r="AF15" s="76"/>
    </row>
    <row r="16" spans="1:53" ht="28.8" customHeight="1" x14ac:dyDescent="0.3">
      <c r="A16" s="1"/>
      <c r="B16" s="1"/>
      <c r="C16" s="1"/>
      <c r="D16" s="1"/>
      <c r="M16" s="100"/>
      <c r="N16" s="100"/>
      <c r="O16" s="125"/>
      <c r="P16" s="125"/>
      <c r="Q16" s="125"/>
      <c r="R16" s="125"/>
      <c r="S16" s="125"/>
      <c r="T16" s="125"/>
      <c r="U16" s="125"/>
      <c r="V16" s="125"/>
      <c r="W16" s="125"/>
      <c r="X16" s="1"/>
      <c r="Y16" s="1"/>
      <c r="Z16" s="1"/>
      <c r="AA16" s="1"/>
      <c r="AB16" s="1"/>
      <c r="AC16" s="1"/>
      <c r="AD16" s="100"/>
      <c r="AE16" s="76"/>
      <c r="AF16" s="76"/>
    </row>
    <row r="17" spans="1:32" ht="28.8" customHeight="1" thickBot="1" x14ac:dyDescent="0.35">
      <c r="A17" s="1"/>
      <c r="B17" s="1"/>
      <c r="C17" s="1"/>
      <c r="D17" s="1"/>
      <c r="M17" s="100"/>
      <c r="N17" s="100"/>
      <c r="O17" s="124"/>
      <c r="P17" s="124"/>
      <c r="Q17" s="124"/>
      <c r="R17" s="124"/>
      <c r="S17" s="124"/>
      <c r="T17" s="124"/>
      <c r="U17" s="125"/>
      <c r="V17" s="125"/>
      <c r="W17" s="125"/>
      <c r="X17" s="125"/>
      <c r="Y17" s="125"/>
      <c r="Z17" s="125"/>
      <c r="AA17" s="125"/>
      <c r="AB17" s="1"/>
      <c r="AC17" s="1"/>
      <c r="AD17" s="100"/>
      <c r="AE17" s="141"/>
      <c r="AF17" s="141"/>
    </row>
    <row r="18" spans="1:32" ht="28.8" customHeight="1" x14ac:dyDescent="0.3">
      <c r="A18" s="1"/>
      <c r="B18" s="1"/>
      <c r="C18" s="1"/>
      <c r="D18" s="1"/>
      <c r="M18" s="271" t="s">
        <v>16</v>
      </c>
      <c r="N18" s="272"/>
      <c r="O18" s="272"/>
      <c r="P18" s="272"/>
      <c r="Q18" s="272"/>
      <c r="R18" s="272"/>
      <c r="S18" s="273"/>
      <c r="T18" s="124"/>
      <c r="U18" s="124"/>
      <c r="V18" s="125"/>
      <c r="W18" s="124"/>
      <c r="X18" s="271" t="s">
        <v>16</v>
      </c>
      <c r="Y18" s="272"/>
      <c r="Z18" s="272"/>
      <c r="AA18" s="272"/>
      <c r="AB18" s="272"/>
      <c r="AC18" s="272"/>
      <c r="AD18" s="273"/>
      <c r="AE18" s="141"/>
      <c r="AF18" s="141"/>
    </row>
    <row r="19" spans="1:32" ht="28.8" customHeight="1" x14ac:dyDescent="0.3">
      <c r="A19" s="1"/>
      <c r="B19" s="1"/>
      <c r="C19" s="1"/>
      <c r="D19" s="1"/>
      <c r="M19" s="274"/>
      <c r="N19" s="275"/>
      <c r="O19" s="275"/>
      <c r="P19" s="275"/>
      <c r="Q19" s="275"/>
      <c r="R19" s="275"/>
      <c r="S19" s="276"/>
      <c r="T19" s="124"/>
      <c r="U19" s="124"/>
      <c r="V19" s="125"/>
      <c r="W19" s="124"/>
      <c r="X19" s="274"/>
      <c r="Y19" s="275"/>
      <c r="Z19" s="275"/>
      <c r="AA19" s="275"/>
      <c r="AB19" s="275"/>
      <c r="AC19" s="275"/>
      <c r="AD19" s="276"/>
      <c r="AE19" s="141"/>
      <c r="AF19" s="141"/>
    </row>
    <row r="20" spans="1:32" ht="28.8" customHeight="1" thickBot="1" x14ac:dyDescent="0.6">
      <c r="A20" s="1"/>
      <c r="B20" s="1"/>
      <c r="C20" s="1"/>
      <c r="D20" s="1"/>
      <c r="M20" s="277"/>
      <c r="N20" s="278"/>
      <c r="O20" s="278"/>
      <c r="P20" s="278"/>
      <c r="Q20" s="278"/>
      <c r="R20" s="278"/>
      <c r="S20" s="279"/>
      <c r="T20" s="124"/>
      <c r="U20" s="124"/>
      <c r="V20" s="125"/>
      <c r="W20" s="124"/>
      <c r="X20" s="277"/>
      <c r="Y20" s="278"/>
      <c r="Z20" s="278"/>
      <c r="AA20" s="278"/>
      <c r="AB20" s="278"/>
      <c r="AC20" s="278"/>
      <c r="AD20" s="279"/>
      <c r="AE20" s="42"/>
      <c r="AF20" s="42"/>
    </row>
    <row r="21" spans="1:32" ht="28.8" customHeight="1" x14ac:dyDescent="0.55000000000000004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28" t="s">
        <v>13</v>
      </c>
      <c r="T21" s="124"/>
      <c r="U21" s="124"/>
      <c r="V21" s="125"/>
      <c r="W21" s="124"/>
      <c r="X21" s="40" t="s">
        <v>13</v>
      </c>
      <c r="Y21" s="127" t="s">
        <v>13</v>
      </c>
      <c r="Z21" s="127" t="s">
        <v>13</v>
      </c>
      <c r="AA21" s="127" t="s">
        <v>13</v>
      </c>
      <c r="AB21" s="127" t="s">
        <v>13</v>
      </c>
      <c r="AC21" s="12" t="s">
        <v>13</v>
      </c>
      <c r="AD21" s="13" t="s">
        <v>13</v>
      </c>
      <c r="AE21" s="77"/>
      <c r="AF21" s="42"/>
    </row>
    <row r="22" spans="1:32" ht="28.8" customHeight="1" x14ac:dyDescent="0.55000000000000004">
      <c r="A22" s="1"/>
      <c r="B22" s="1"/>
      <c r="C22" s="1"/>
      <c r="D22" s="1"/>
      <c r="M22" s="17" t="s">
        <v>13</v>
      </c>
      <c r="N22" s="126" t="s">
        <v>17</v>
      </c>
      <c r="O22" s="18"/>
      <c r="P22" s="19" t="s">
        <v>13</v>
      </c>
      <c r="Q22" s="19" t="s">
        <v>13</v>
      </c>
      <c r="R22" s="123" t="s">
        <v>18</v>
      </c>
      <c r="S22" s="128" t="s">
        <v>13</v>
      </c>
      <c r="T22" s="124"/>
      <c r="U22" s="124"/>
      <c r="V22" s="125"/>
      <c r="W22" s="124"/>
      <c r="X22" s="40" t="s">
        <v>13</v>
      </c>
      <c r="Y22" s="129" t="s">
        <v>17</v>
      </c>
      <c r="Z22" s="130"/>
      <c r="AA22" s="127" t="s">
        <v>13</v>
      </c>
      <c r="AB22" s="127" t="s">
        <v>13</v>
      </c>
      <c r="AC22" s="123" t="s">
        <v>19</v>
      </c>
      <c r="AD22" s="13" t="s">
        <v>13</v>
      </c>
      <c r="AE22" s="42"/>
      <c r="AF22" s="42"/>
    </row>
    <row r="23" spans="1:32" ht="28.8" customHeight="1" x14ac:dyDescent="0.55000000000000004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00"/>
      <c r="U23" s="100"/>
      <c r="V23" s="1"/>
      <c r="W23" s="100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77"/>
      <c r="AF23" s="42"/>
    </row>
    <row r="24" spans="1:32" ht="28.8" customHeight="1" x14ac:dyDescent="0.55000000000000004">
      <c r="A24" s="1"/>
      <c r="B24" s="1"/>
      <c r="C24" s="1"/>
      <c r="D24" s="1"/>
      <c r="M24" s="17" t="s">
        <v>13</v>
      </c>
      <c r="N24" s="126" t="s">
        <v>20</v>
      </c>
      <c r="O24" s="18"/>
      <c r="P24" s="19" t="s">
        <v>13</v>
      </c>
      <c r="Q24" s="19" t="s">
        <v>13</v>
      </c>
      <c r="R24" s="123" t="s">
        <v>21</v>
      </c>
      <c r="S24" s="128" t="s">
        <v>13</v>
      </c>
      <c r="T24" s="124"/>
      <c r="U24" s="124"/>
      <c r="V24" s="125"/>
      <c r="W24" s="124"/>
      <c r="X24" s="40" t="s">
        <v>13</v>
      </c>
      <c r="Y24" s="129" t="s">
        <v>20</v>
      </c>
      <c r="Z24" s="18"/>
      <c r="AA24" s="19" t="s">
        <v>13</v>
      </c>
      <c r="AB24" s="19" t="s">
        <v>13</v>
      </c>
      <c r="AC24" s="123" t="s">
        <v>22</v>
      </c>
      <c r="AD24" s="13" t="s">
        <v>13</v>
      </c>
      <c r="AE24" s="42"/>
      <c r="AF24" s="42"/>
    </row>
    <row r="25" spans="1:32" ht="28.8" customHeight="1" x14ac:dyDescent="0.55000000000000004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31" t="s">
        <v>13</v>
      </c>
      <c r="S25" s="128" t="s">
        <v>13</v>
      </c>
      <c r="T25" s="124"/>
      <c r="U25" s="124"/>
      <c r="V25" s="125"/>
      <c r="W25" s="124"/>
      <c r="X25" s="40" t="s">
        <v>13</v>
      </c>
      <c r="Y25" s="127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42"/>
      <c r="AF25" s="42"/>
    </row>
    <row r="26" spans="1:32" ht="28.8" customHeight="1" thickBot="1" x14ac:dyDescent="0.6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32" t="s">
        <v>13</v>
      </c>
      <c r="S26" s="133" t="s">
        <v>13</v>
      </c>
      <c r="T26" s="124"/>
      <c r="U26" s="124"/>
      <c r="V26" s="125"/>
      <c r="W26" s="124"/>
      <c r="X26" s="134" t="s">
        <v>13</v>
      </c>
      <c r="Y26" s="135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76"/>
      <c r="AF26" s="76"/>
    </row>
    <row r="27" spans="1:32" ht="28.8" customHeight="1" x14ac:dyDescent="0.3">
      <c r="A27" s="1"/>
      <c r="B27" s="1"/>
      <c r="C27" s="1"/>
      <c r="D27" s="1"/>
      <c r="M27" s="100"/>
      <c r="N27" s="100"/>
      <c r="O27" s="100"/>
      <c r="P27" s="100"/>
      <c r="Q27" s="100"/>
      <c r="R27" s="124"/>
      <c r="S27" s="124"/>
      <c r="T27" s="124"/>
      <c r="U27" s="125"/>
      <c r="V27" s="125"/>
      <c r="W27" s="125"/>
      <c r="X27" s="125"/>
      <c r="Y27" s="125"/>
      <c r="Z27" s="1"/>
      <c r="AA27" s="1"/>
      <c r="AB27" s="1"/>
      <c r="AC27" s="1"/>
      <c r="AD27" s="100"/>
      <c r="AE27" s="76"/>
      <c r="AF27" s="76"/>
    </row>
    <row r="28" spans="1:32" ht="28.8" customHeight="1" thickBot="1" x14ac:dyDescent="0.35">
      <c r="A28" s="1"/>
      <c r="B28" s="1"/>
      <c r="C28" s="1"/>
      <c r="D28" s="1"/>
      <c r="M28" s="100"/>
      <c r="N28" s="100"/>
      <c r="O28" s="1"/>
      <c r="P28" s="1"/>
      <c r="Q28" s="1"/>
      <c r="R28" s="1"/>
      <c r="S28" s="1"/>
      <c r="T28" s="1"/>
      <c r="U28" s="125"/>
      <c r="V28" s="125"/>
      <c r="W28" s="125"/>
      <c r="X28" s="125"/>
      <c r="Y28" s="125"/>
      <c r="Z28" s="125"/>
      <c r="AA28" s="125"/>
      <c r="AB28" s="1"/>
      <c r="AC28" s="1"/>
      <c r="AD28" s="100"/>
      <c r="AE28" s="141"/>
      <c r="AF28" s="141"/>
    </row>
    <row r="29" spans="1:32" ht="28.8" customHeight="1" x14ac:dyDescent="0.3">
      <c r="A29" s="1"/>
      <c r="B29" s="1"/>
      <c r="C29" s="1"/>
      <c r="D29" s="1"/>
      <c r="M29" s="271" t="s">
        <v>16</v>
      </c>
      <c r="N29" s="272"/>
      <c r="O29" s="272"/>
      <c r="P29" s="272"/>
      <c r="Q29" s="272"/>
      <c r="R29" s="272"/>
      <c r="S29" s="273"/>
      <c r="T29" s="100"/>
      <c r="U29" s="124"/>
      <c r="V29" s="125"/>
      <c r="W29" s="124"/>
      <c r="X29" s="271" t="s">
        <v>16</v>
      </c>
      <c r="Y29" s="272"/>
      <c r="Z29" s="272"/>
      <c r="AA29" s="272"/>
      <c r="AB29" s="272"/>
      <c r="AC29" s="272"/>
      <c r="AD29" s="273"/>
      <c r="AE29" s="141"/>
      <c r="AF29" s="141"/>
    </row>
    <row r="30" spans="1:32" ht="28.8" customHeight="1" x14ac:dyDescent="0.3">
      <c r="A30" s="1"/>
      <c r="B30" s="1"/>
      <c r="C30" s="1"/>
      <c r="D30" s="1"/>
      <c r="M30" s="274"/>
      <c r="N30" s="275"/>
      <c r="O30" s="275"/>
      <c r="P30" s="275"/>
      <c r="Q30" s="275"/>
      <c r="R30" s="275"/>
      <c r="S30" s="276"/>
      <c r="T30" s="124"/>
      <c r="U30" s="124"/>
      <c r="V30" s="125"/>
      <c r="W30" s="124"/>
      <c r="X30" s="274"/>
      <c r="Y30" s="275"/>
      <c r="Z30" s="275"/>
      <c r="AA30" s="275"/>
      <c r="AB30" s="275"/>
      <c r="AC30" s="275"/>
      <c r="AD30" s="276"/>
      <c r="AE30" s="141"/>
      <c r="AF30" s="141"/>
    </row>
    <row r="31" spans="1:32" ht="28.8" customHeight="1" thickBot="1" x14ac:dyDescent="0.6">
      <c r="A31" s="1"/>
      <c r="B31" s="1"/>
      <c r="C31" s="1"/>
      <c r="D31" s="1"/>
      <c r="M31" s="277"/>
      <c r="N31" s="278"/>
      <c r="O31" s="278"/>
      <c r="P31" s="278"/>
      <c r="Q31" s="278"/>
      <c r="R31" s="278"/>
      <c r="S31" s="279"/>
      <c r="T31" s="124"/>
      <c r="U31" s="124"/>
      <c r="V31" s="125"/>
      <c r="W31" s="124"/>
      <c r="X31" s="277"/>
      <c r="Y31" s="278"/>
      <c r="Z31" s="278"/>
      <c r="AA31" s="278"/>
      <c r="AB31" s="278"/>
      <c r="AC31" s="278"/>
      <c r="AD31" s="279"/>
      <c r="AE31" s="42"/>
      <c r="AF31" s="42"/>
    </row>
    <row r="32" spans="1:32" ht="28.8" customHeight="1" x14ac:dyDescent="0.55000000000000004">
      <c r="A32" s="1"/>
      <c r="B32" s="1"/>
      <c r="C32" s="1"/>
      <c r="D32" s="1"/>
      <c r="M32" s="17" t="s">
        <v>13</v>
      </c>
      <c r="N32" s="43" t="s">
        <v>13</v>
      </c>
      <c r="O32" s="43" t="s">
        <v>13</v>
      </c>
      <c r="P32" s="43" t="s">
        <v>13</v>
      </c>
      <c r="Q32" s="43" t="s">
        <v>13</v>
      </c>
      <c r="R32" s="45" t="s">
        <v>13</v>
      </c>
      <c r="S32" s="128" t="s">
        <v>13</v>
      </c>
      <c r="T32" s="124"/>
      <c r="U32" s="124"/>
      <c r="V32" s="125"/>
      <c r="W32" s="124"/>
      <c r="X32" s="40" t="s">
        <v>13</v>
      </c>
      <c r="Y32" s="39" t="s">
        <v>13</v>
      </c>
      <c r="Z32" s="39" t="s">
        <v>13</v>
      </c>
      <c r="AA32" s="39" t="s">
        <v>13</v>
      </c>
      <c r="AB32" s="39" t="s">
        <v>13</v>
      </c>
      <c r="AC32" s="45" t="s">
        <v>13</v>
      </c>
      <c r="AD32" s="13" t="s">
        <v>13</v>
      </c>
      <c r="AE32" s="77"/>
      <c r="AF32" s="42"/>
    </row>
    <row r="33" spans="1:32" ht="28.8" customHeight="1" x14ac:dyDescent="0.55000000000000004">
      <c r="A33" s="1"/>
      <c r="B33" s="1"/>
      <c r="C33" s="1"/>
      <c r="D33" s="1"/>
      <c r="M33" s="17" t="s">
        <v>13</v>
      </c>
      <c r="N33" s="138" t="s">
        <v>17</v>
      </c>
      <c r="O33" s="44"/>
      <c r="P33" s="43" t="s">
        <v>13</v>
      </c>
      <c r="Q33" s="43" t="s">
        <v>13</v>
      </c>
      <c r="R33" s="123" t="s">
        <v>23</v>
      </c>
      <c r="S33" s="128" t="s">
        <v>13</v>
      </c>
      <c r="T33" s="124"/>
      <c r="U33" s="124"/>
      <c r="V33" s="125"/>
      <c r="W33" s="124"/>
      <c r="X33" s="40" t="s">
        <v>13</v>
      </c>
      <c r="Y33" s="139" t="s">
        <v>17</v>
      </c>
      <c r="Z33" s="78"/>
      <c r="AA33" s="39" t="s">
        <v>13</v>
      </c>
      <c r="AB33" s="39" t="s">
        <v>13</v>
      </c>
      <c r="AC33" s="123" t="s">
        <v>24</v>
      </c>
      <c r="AD33" s="13" t="s">
        <v>13</v>
      </c>
      <c r="AE33" s="42"/>
      <c r="AF33" s="42"/>
    </row>
    <row r="34" spans="1:32" ht="28.8" customHeight="1" x14ac:dyDescent="0.55000000000000004">
      <c r="A34" s="1"/>
      <c r="B34" s="1"/>
      <c r="C34" s="1"/>
      <c r="D34" s="1"/>
      <c r="M34" s="17" t="s">
        <v>13</v>
      </c>
      <c r="N34" s="43" t="s">
        <v>13</v>
      </c>
      <c r="O34" s="43" t="s">
        <v>13</v>
      </c>
      <c r="P34" s="43" t="s">
        <v>13</v>
      </c>
      <c r="Q34" s="43" t="s">
        <v>13</v>
      </c>
      <c r="R34" s="45" t="s">
        <v>13</v>
      </c>
      <c r="S34" s="13" t="s">
        <v>13</v>
      </c>
      <c r="T34" s="100"/>
      <c r="U34" s="100"/>
      <c r="V34" s="1"/>
      <c r="W34" s="100"/>
      <c r="X34" s="17" t="s">
        <v>13</v>
      </c>
      <c r="Y34" s="43" t="s">
        <v>13</v>
      </c>
      <c r="Z34" s="43" t="s">
        <v>13</v>
      </c>
      <c r="AA34" s="43" t="s">
        <v>13</v>
      </c>
      <c r="AB34" s="43" t="s">
        <v>13</v>
      </c>
      <c r="AC34" s="45" t="s">
        <v>13</v>
      </c>
      <c r="AD34" s="13" t="s">
        <v>13</v>
      </c>
      <c r="AE34" s="77"/>
      <c r="AF34" s="42"/>
    </row>
    <row r="35" spans="1:32" ht="28.8" customHeight="1" x14ac:dyDescent="0.55000000000000004">
      <c r="A35" s="1"/>
      <c r="B35" s="1"/>
      <c r="C35" s="1"/>
      <c r="D35" s="1"/>
      <c r="M35" s="17" t="s">
        <v>13</v>
      </c>
      <c r="N35" s="138" t="s">
        <v>20</v>
      </c>
      <c r="O35" s="44"/>
      <c r="P35" s="43" t="s">
        <v>13</v>
      </c>
      <c r="Q35" s="43" t="s">
        <v>13</v>
      </c>
      <c r="R35" s="123" t="s">
        <v>25</v>
      </c>
      <c r="S35" s="13" t="s">
        <v>13</v>
      </c>
      <c r="T35" s="100"/>
      <c r="U35" s="100"/>
      <c r="V35" s="1"/>
      <c r="W35" s="100"/>
      <c r="X35" s="17" t="s">
        <v>13</v>
      </c>
      <c r="Y35" s="138" t="s">
        <v>20</v>
      </c>
      <c r="Z35" s="44"/>
      <c r="AA35" s="43" t="s">
        <v>13</v>
      </c>
      <c r="AB35" s="43" t="s">
        <v>13</v>
      </c>
      <c r="AC35" s="123" t="s">
        <v>26</v>
      </c>
      <c r="AD35" s="13" t="s">
        <v>13</v>
      </c>
      <c r="AE35" s="42"/>
      <c r="AF35" s="42"/>
    </row>
    <row r="36" spans="1:32" ht="28.8" customHeight="1" x14ac:dyDescent="0.55000000000000004">
      <c r="A36" s="1"/>
      <c r="B36" s="1"/>
      <c r="C36" s="1"/>
      <c r="D36" s="1"/>
      <c r="M36" s="17" t="s">
        <v>13</v>
      </c>
      <c r="N36" s="43" t="s">
        <v>13</v>
      </c>
      <c r="O36" s="43" t="s">
        <v>13</v>
      </c>
      <c r="P36" s="43" t="s">
        <v>13</v>
      </c>
      <c r="Q36" s="43" t="s">
        <v>13</v>
      </c>
      <c r="R36" s="45" t="s">
        <v>13</v>
      </c>
      <c r="S36" s="13" t="s">
        <v>13</v>
      </c>
      <c r="T36" s="100"/>
      <c r="U36" s="100"/>
      <c r="V36" s="1"/>
      <c r="W36" s="100"/>
      <c r="X36" s="17" t="s">
        <v>13</v>
      </c>
      <c r="Y36" s="43" t="s">
        <v>13</v>
      </c>
      <c r="Z36" s="43" t="s">
        <v>13</v>
      </c>
      <c r="AA36" s="43" t="s">
        <v>13</v>
      </c>
      <c r="AB36" s="43" t="s">
        <v>13</v>
      </c>
      <c r="AC36" s="45" t="s">
        <v>13</v>
      </c>
      <c r="AD36" s="13" t="s">
        <v>13</v>
      </c>
      <c r="AE36" s="42"/>
      <c r="AF36" s="42"/>
    </row>
    <row r="37" spans="1:32" ht="28.8" customHeight="1" thickBot="1" x14ac:dyDescent="0.6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00"/>
      <c r="U37" s="100"/>
      <c r="V37" s="1"/>
      <c r="W37" s="100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8" customHeight="1" x14ac:dyDescent="0.3">
      <c r="A38" s="1"/>
      <c r="B38" s="1"/>
      <c r="C38" s="1"/>
      <c r="D38" s="1"/>
      <c r="O38" s="76"/>
      <c r="P38" s="76"/>
      <c r="Q38" s="76"/>
      <c r="R38" s="76"/>
      <c r="S38" s="136"/>
      <c r="T38" s="140"/>
      <c r="U38" s="140"/>
      <c r="V38" s="140"/>
      <c r="W38" s="140"/>
      <c r="X38" s="140"/>
      <c r="Y38" s="140"/>
      <c r="Z38" s="140"/>
      <c r="AA38" s="140"/>
      <c r="AB38" s="76"/>
      <c r="AC38" s="76"/>
      <c r="AD38" s="76"/>
      <c r="AE38" s="76"/>
      <c r="AF38" s="76"/>
    </row>
    <row r="39" spans="1:32" ht="28.8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76"/>
      <c r="P39" s="76"/>
      <c r="Q39" s="76"/>
      <c r="R39" s="76"/>
      <c r="S39" s="136"/>
      <c r="T39" s="140"/>
      <c r="U39" s="140"/>
      <c r="V39" s="140"/>
      <c r="W39" s="140"/>
      <c r="X39" s="140"/>
      <c r="Y39" s="140"/>
      <c r="Z39" s="140"/>
      <c r="AA39" s="140"/>
      <c r="AB39" s="76"/>
      <c r="AC39" s="76"/>
      <c r="AD39" s="76"/>
      <c r="AE39" s="76"/>
      <c r="AF39" s="76"/>
    </row>
    <row r="40" spans="1:32" ht="28.8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76"/>
      <c r="P40" s="76"/>
      <c r="Q40" s="136"/>
      <c r="R40" s="136"/>
      <c r="S40" s="136"/>
      <c r="T40" s="99"/>
      <c r="U40" s="99"/>
      <c r="V40" s="99"/>
      <c r="W40" s="99"/>
      <c r="X40" s="99"/>
      <c r="Y40" s="99"/>
      <c r="Z40" s="99"/>
      <c r="AA40" s="99"/>
      <c r="AB40" s="76"/>
      <c r="AC40" s="76"/>
      <c r="AD40" s="76"/>
      <c r="AE40" s="76"/>
      <c r="AF40" s="76"/>
    </row>
    <row r="41" spans="1:32" ht="28.8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76"/>
      <c r="P41" s="76"/>
      <c r="Q41" s="136"/>
      <c r="R41" s="136"/>
      <c r="S41" s="136"/>
      <c r="T41" s="99"/>
      <c r="U41" s="99"/>
      <c r="V41" s="99"/>
      <c r="W41" s="99"/>
      <c r="X41" s="99"/>
      <c r="Y41" s="99"/>
      <c r="Z41" s="99"/>
      <c r="AA41" s="99"/>
      <c r="AB41" s="76"/>
      <c r="AC41" s="76"/>
      <c r="AD41" s="76"/>
      <c r="AE41" s="76"/>
      <c r="AF41" s="76"/>
    </row>
    <row r="42" spans="1:32" ht="28.8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76"/>
      <c r="P42" s="76"/>
      <c r="Q42" s="136"/>
      <c r="R42" s="136"/>
      <c r="S42" s="136"/>
      <c r="T42" s="136"/>
      <c r="U42" s="136"/>
      <c r="V42" s="136"/>
      <c r="W42" s="136"/>
      <c r="X42" s="136"/>
      <c r="Y42" s="136"/>
      <c r="Z42" s="76"/>
      <c r="AA42" s="76"/>
      <c r="AB42" s="76"/>
      <c r="AC42" s="76"/>
      <c r="AD42" s="76"/>
      <c r="AE42" s="76"/>
      <c r="AF42" s="76"/>
    </row>
    <row r="43" spans="1:32" ht="28.8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76"/>
      <c r="P43" s="7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76"/>
      <c r="AE43" s="76"/>
      <c r="AF43" s="76"/>
    </row>
    <row r="44" spans="1:32" ht="24.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41"/>
      <c r="P44" s="141"/>
      <c r="Q44" s="141"/>
      <c r="R44" s="141"/>
      <c r="S44" s="141"/>
      <c r="T44" s="141"/>
      <c r="U44" s="141"/>
      <c r="V44" s="136"/>
      <c r="W44" s="136"/>
      <c r="X44" s="136"/>
      <c r="Y44" s="136"/>
      <c r="Z44" s="141"/>
      <c r="AA44" s="141"/>
      <c r="AB44" s="141"/>
      <c r="AC44" s="141"/>
      <c r="AD44" s="141"/>
      <c r="AE44" s="141"/>
      <c r="AF44" s="141"/>
    </row>
    <row r="45" spans="1:32" ht="24.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41"/>
      <c r="P45" s="141"/>
      <c r="Q45" s="141"/>
      <c r="R45" s="141"/>
      <c r="S45" s="141"/>
      <c r="T45" s="141"/>
      <c r="U45" s="141"/>
      <c r="V45" s="136"/>
      <c r="W45" s="136"/>
      <c r="X45" s="136"/>
      <c r="Y45" s="136"/>
      <c r="Z45" s="141"/>
      <c r="AA45" s="141"/>
      <c r="AB45" s="141"/>
      <c r="AC45" s="141"/>
      <c r="AD45" s="141"/>
      <c r="AE45" s="141"/>
      <c r="AF45" s="141"/>
    </row>
    <row r="46" spans="1:32" ht="24.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41"/>
      <c r="P46" s="141"/>
      <c r="Q46" s="141"/>
      <c r="R46" s="141"/>
      <c r="S46" s="141"/>
      <c r="T46" s="141"/>
      <c r="U46" s="141"/>
      <c r="V46" s="136"/>
      <c r="W46" s="136"/>
      <c r="X46" s="136"/>
      <c r="Y46" s="136"/>
      <c r="Z46" s="141"/>
      <c r="AA46" s="141"/>
      <c r="AB46" s="141"/>
      <c r="AC46" s="141"/>
      <c r="AD46" s="141"/>
      <c r="AE46" s="141"/>
      <c r="AF46" s="141"/>
    </row>
    <row r="47" spans="1:32" ht="28.8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42"/>
      <c r="P47" s="142"/>
      <c r="Q47" s="142"/>
      <c r="R47" s="142"/>
      <c r="S47" s="142"/>
      <c r="T47" s="42"/>
      <c r="U47" s="143"/>
      <c r="V47" s="136"/>
      <c r="W47" s="136"/>
      <c r="X47" s="136"/>
      <c r="Y47" s="136"/>
      <c r="Z47" s="79"/>
      <c r="AA47" s="79"/>
      <c r="AB47" s="79"/>
      <c r="AC47" s="79"/>
      <c r="AD47" s="79"/>
      <c r="AE47" s="42"/>
      <c r="AF47" s="42"/>
    </row>
    <row r="48" spans="1:32" ht="28.8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42"/>
      <c r="P48" s="144"/>
      <c r="Q48" s="145"/>
      <c r="R48" s="142"/>
      <c r="S48" s="142"/>
      <c r="T48" s="77"/>
      <c r="U48" s="143"/>
      <c r="V48" s="136"/>
      <c r="W48" s="136"/>
      <c r="X48" s="136"/>
      <c r="Y48" s="136"/>
      <c r="Z48" s="79"/>
      <c r="AA48" s="146"/>
      <c r="AB48" s="80"/>
      <c r="AC48" s="79"/>
      <c r="AD48" s="79"/>
      <c r="AE48" s="77"/>
      <c r="AF48" s="42"/>
    </row>
    <row r="49" spans="1:32" ht="28.8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42"/>
      <c r="P49" s="142"/>
      <c r="Q49" s="142"/>
      <c r="R49" s="142"/>
      <c r="S49" s="142"/>
      <c r="T49" s="42"/>
      <c r="U49" s="42"/>
      <c r="V49" s="76"/>
      <c r="W49" s="76"/>
      <c r="X49" s="76"/>
      <c r="Y49" s="76"/>
      <c r="Z49" s="142"/>
      <c r="AA49" s="142"/>
      <c r="AB49" s="142"/>
      <c r="AC49" s="142"/>
      <c r="AD49" s="142"/>
      <c r="AE49" s="42"/>
      <c r="AF49" s="42"/>
    </row>
    <row r="50" spans="1:32" ht="28.8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42"/>
      <c r="P50" s="144"/>
      <c r="Q50" s="145"/>
      <c r="R50" s="142"/>
      <c r="S50" s="142"/>
      <c r="T50" s="147"/>
      <c r="U50" s="143"/>
      <c r="V50" s="136"/>
      <c r="W50" s="136"/>
      <c r="X50" s="136"/>
      <c r="Y50" s="136"/>
      <c r="Z50" s="79"/>
      <c r="AA50" s="146"/>
      <c r="AB50" s="145"/>
      <c r="AC50" s="142"/>
      <c r="AD50" s="142"/>
      <c r="AE50" s="77"/>
      <c r="AF50" s="42"/>
    </row>
    <row r="51" spans="1:32" ht="28.8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42"/>
      <c r="P51" s="142"/>
      <c r="Q51" s="142"/>
      <c r="R51" s="142"/>
      <c r="S51" s="142"/>
      <c r="T51" s="143"/>
      <c r="U51" s="143"/>
      <c r="V51" s="136"/>
      <c r="W51" s="136"/>
      <c r="X51" s="136"/>
      <c r="Y51" s="136"/>
      <c r="Z51" s="79"/>
      <c r="AA51" s="79"/>
      <c r="AB51" s="142"/>
      <c r="AC51" s="142"/>
      <c r="AD51" s="142"/>
      <c r="AE51" s="42"/>
      <c r="AF51" s="42"/>
    </row>
    <row r="52" spans="1:32" ht="28.8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42"/>
      <c r="P52" s="142"/>
      <c r="Q52" s="142"/>
      <c r="R52" s="142"/>
      <c r="S52" s="142"/>
      <c r="T52" s="143"/>
      <c r="U52" s="143"/>
      <c r="V52" s="136"/>
      <c r="W52" s="136"/>
      <c r="X52" s="136"/>
      <c r="Y52" s="136"/>
      <c r="Z52" s="79"/>
      <c r="AA52" s="79"/>
      <c r="AB52" s="142"/>
      <c r="AC52" s="142"/>
      <c r="AD52" s="142"/>
      <c r="AE52" s="42"/>
      <c r="AF52" s="42"/>
    </row>
    <row r="53" spans="1:3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76"/>
      <c r="P53" s="76"/>
      <c r="Q53" s="76"/>
      <c r="R53" s="76"/>
      <c r="S53" s="76"/>
      <c r="T53" s="136"/>
      <c r="U53" s="136"/>
      <c r="V53" s="136"/>
      <c r="W53" s="136"/>
      <c r="X53" s="136"/>
      <c r="Y53" s="136"/>
      <c r="Z53" s="136"/>
      <c r="AA53" s="136"/>
      <c r="AB53" s="76"/>
      <c r="AC53" s="76"/>
      <c r="AD53" s="76"/>
      <c r="AE53" s="76"/>
      <c r="AF53" s="76"/>
    </row>
    <row r="54" spans="1:3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76"/>
      <c r="P54" s="76"/>
      <c r="Q54" s="76"/>
      <c r="R54" s="76"/>
      <c r="S54" s="76"/>
      <c r="T54" s="76"/>
      <c r="U54" s="76"/>
      <c r="V54" s="76"/>
      <c r="W54" s="136"/>
      <c r="X54" s="136"/>
      <c r="Y54" s="136"/>
      <c r="Z54" s="136"/>
      <c r="AA54" s="136"/>
      <c r="AB54" s="136"/>
      <c r="AC54" s="136"/>
      <c r="AD54" s="76"/>
      <c r="AE54" s="76"/>
      <c r="AF54" s="76"/>
    </row>
    <row r="55" spans="1:32" ht="24.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41"/>
      <c r="P55" s="141"/>
      <c r="Q55" s="141"/>
      <c r="R55" s="141"/>
      <c r="S55" s="141"/>
      <c r="T55" s="141"/>
      <c r="U55" s="141"/>
      <c r="V55" s="76"/>
      <c r="W55" s="136"/>
      <c r="X55" s="136"/>
      <c r="Y55" s="136"/>
      <c r="Z55" s="141"/>
      <c r="AA55" s="141"/>
      <c r="AB55" s="141"/>
      <c r="AC55" s="141"/>
      <c r="AD55" s="141"/>
      <c r="AE55" s="141"/>
      <c r="AF55" s="141"/>
    </row>
    <row r="56" spans="1:32" ht="24.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41"/>
      <c r="P56" s="141"/>
      <c r="Q56" s="141"/>
      <c r="R56" s="141"/>
      <c r="S56" s="141"/>
      <c r="T56" s="141"/>
      <c r="U56" s="141"/>
      <c r="V56" s="136"/>
      <c r="W56" s="136"/>
      <c r="X56" s="136"/>
      <c r="Y56" s="136"/>
      <c r="Z56" s="141"/>
      <c r="AA56" s="141"/>
      <c r="AB56" s="141"/>
      <c r="AC56" s="141"/>
      <c r="AD56" s="141"/>
      <c r="AE56" s="141"/>
      <c r="AF56" s="141"/>
    </row>
    <row r="57" spans="1:32" ht="24.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41"/>
      <c r="P57" s="141"/>
      <c r="Q57" s="141"/>
      <c r="R57" s="141"/>
      <c r="S57" s="141"/>
      <c r="T57" s="141"/>
      <c r="U57" s="141"/>
      <c r="V57" s="136"/>
      <c r="W57" s="136"/>
      <c r="X57" s="136"/>
      <c r="Y57" s="136"/>
      <c r="Z57" s="141"/>
      <c r="AA57" s="141"/>
      <c r="AB57" s="141"/>
      <c r="AC57" s="141"/>
      <c r="AD57" s="141"/>
      <c r="AE57" s="141"/>
      <c r="AF57" s="141"/>
    </row>
    <row r="58" spans="1:32" ht="28.8" x14ac:dyDescent="0.55000000000000004">
      <c r="O58" s="142"/>
      <c r="P58" s="142"/>
      <c r="Q58" s="142"/>
      <c r="R58" s="142"/>
      <c r="S58" s="142"/>
      <c r="T58" s="42"/>
      <c r="U58" s="143"/>
      <c r="V58" s="136"/>
      <c r="W58" s="136"/>
      <c r="X58" s="136"/>
      <c r="Y58" s="136"/>
      <c r="Z58" s="79"/>
      <c r="AA58" s="79"/>
      <c r="AB58" s="79"/>
      <c r="AC58" s="79"/>
      <c r="AD58" s="79"/>
      <c r="AE58" s="42"/>
      <c r="AF58" s="42"/>
    </row>
    <row r="59" spans="1:32" ht="28.8" x14ac:dyDescent="0.55000000000000004">
      <c r="O59" s="142"/>
      <c r="P59" s="144"/>
      <c r="Q59" s="145"/>
      <c r="R59" s="142"/>
      <c r="S59" s="142"/>
      <c r="T59" s="77"/>
      <c r="U59" s="143"/>
      <c r="V59" s="136"/>
      <c r="W59" s="136"/>
      <c r="X59" s="136"/>
      <c r="Y59" s="136"/>
      <c r="Z59" s="79"/>
      <c r="AA59" s="146"/>
      <c r="AB59" s="80"/>
      <c r="AC59" s="79"/>
      <c r="AD59" s="79"/>
      <c r="AE59" s="77"/>
      <c r="AF59" s="42"/>
    </row>
    <row r="60" spans="1:32" ht="28.8" x14ac:dyDescent="0.55000000000000004">
      <c r="O60" s="142"/>
      <c r="P60" s="142"/>
      <c r="Q60" s="142"/>
      <c r="R60" s="142"/>
      <c r="S60" s="142"/>
      <c r="T60" s="42"/>
      <c r="U60" s="42"/>
      <c r="V60" s="76"/>
      <c r="W60" s="76"/>
      <c r="X60" s="76"/>
      <c r="Y60" s="76"/>
      <c r="Z60" s="142"/>
      <c r="AA60" s="142"/>
      <c r="AB60" s="142"/>
      <c r="AC60" s="142"/>
      <c r="AD60" s="142"/>
      <c r="AE60" s="42"/>
      <c r="AF60" s="42"/>
    </row>
    <row r="61" spans="1:32" ht="28.8" x14ac:dyDescent="0.55000000000000004">
      <c r="O61" s="142"/>
      <c r="P61" s="144"/>
      <c r="Q61" s="145"/>
      <c r="R61" s="142"/>
      <c r="S61" s="142"/>
      <c r="T61" s="77"/>
      <c r="U61" s="42"/>
      <c r="V61" s="76"/>
      <c r="W61" s="76"/>
      <c r="X61" s="76"/>
      <c r="Y61" s="76"/>
      <c r="Z61" s="142"/>
      <c r="AA61" s="144"/>
      <c r="AB61" s="145"/>
      <c r="AC61" s="142"/>
      <c r="AD61" s="142"/>
      <c r="AE61" s="77"/>
      <c r="AF61" s="42"/>
    </row>
    <row r="62" spans="1:32" ht="28.8" x14ac:dyDescent="0.55000000000000004">
      <c r="O62" s="142"/>
      <c r="P62" s="142"/>
      <c r="Q62" s="142"/>
      <c r="R62" s="142"/>
      <c r="S62" s="142"/>
      <c r="T62" s="42"/>
      <c r="U62" s="42"/>
      <c r="V62" s="76"/>
      <c r="W62" s="76"/>
      <c r="X62" s="76"/>
      <c r="Y62" s="76"/>
      <c r="Z62" s="142"/>
      <c r="AA62" s="142"/>
      <c r="AB62" s="142"/>
      <c r="AC62" s="142"/>
      <c r="AD62" s="142"/>
      <c r="AE62" s="42"/>
      <c r="AF62" s="42"/>
    </row>
    <row r="63" spans="1:32" ht="28.8" x14ac:dyDescent="0.55000000000000004">
      <c r="O63" s="142"/>
      <c r="P63" s="142"/>
      <c r="Q63" s="142"/>
      <c r="R63" s="142"/>
      <c r="S63" s="142"/>
      <c r="T63" s="42"/>
      <c r="U63" s="42"/>
      <c r="V63" s="76"/>
      <c r="W63" s="76"/>
      <c r="X63" s="76"/>
      <c r="Y63" s="76"/>
      <c r="Z63" s="142"/>
      <c r="AA63" s="142"/>
      <c r="AB63" s="142"/>
      <c r="AC63" s="142"/>
      <c r="AD63" s="142"/>
      <c r="AE63" s="42"/>
      <c r="AF63" s="42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BB57"/>
  <sheetViews>
    <sheetView showGridLines="0" showRowColHeaders="0" zoomScale="40" zoomScaleNormal="40" workbookViewId="0"/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  <col min="19" max="19" width="47.6640625" bestFit="1" customWidth="1"/>
    <col min="21" max="21" width="11.44140625" customWidth="1"/>
    <col min="23" max="23" width="47.44140625" customWidth="1"/>
  </cols>
  <sheetData>
    <row r="1" spans="1:54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41"/>
      <c r="F9" s="41"/>
      <c r="G9" s="41"/>
      <c r="H9" s="41"/>
      <c r="I9" s="41"/>
      <c r="J9" s="41"/>
      <c r="K9" s="41"/>
    </row>
    <row r="10" spans="1:54" ht="28.8" customHeight="1" x14ac:dyDescent="0.3">
      <c r="E10" s="41"/>
      <c r="F10" s="41"/>
      <c r="G10" s="41"/>
      <c r="H10" s="41"/>
      <c r="I10" s="41"/>
      <c r="J10" s="41"/>
      <c r="K10" s="41"/>
    </row>
    <row r="11" spans="1:54" ht="28.8" customHeight="1" x14ac:dyDescent="0.3">
      <c r="E11" s="41"/>
      <c r="F11" s="41"/>
      <c r="G11" s="41"/>
      <c r="H11" s="41"/>
      <c r="I11" s="41"/>
      <c r="J11" s="41"/>
      <c r="K11" s="41"/>
    </row>
    <row r="12" spans="1:54" ht="28.8" customHeight="1" x14ac:dyDescent="0.55000000000000004">
      <c r="E12" s="142"/>
      <c r="F12" s="142"/>
      <c r="G12" s="142"/>
      <c r="H12" s="142"/>
      <c r="I12" s="142"/>
      <c r="J12" s="42"/>
      <c r="K12" s="42"/>
      <c r="R12" s="100"/>
      <c r="S12" s="100"/>
      <c r="T12" s="100"/>
      <c r="U12" s="100"/>
      <c r="V12" s="100"/>
      <c r="W12" s="100"/>
      <c r="X12" s="100"/>
    </row>
    <row r="13" spans="1:54" ht="28.8" customHeight="1" x14ac:dyDescent="0.55000000000000004">
      <c r="E13" s="142"/>
      <c r="F13" s="148"/>
      <c r="G13" s="145"/>
      <c r="H13" s="142"/>
      <c r="I13" s="142"/>
      <c r="J13" s="46"/>
      <c r="K13" s="42"/>
      <c r="R13" s="100"/>
      <c r="S13" s="100"/>
      <c r="T13" s="100"/>
      <c r="U13" s="100"/>
      <c r="V13" s="100"/>
      <c r="W13" s="100"/>
      <c r="X13" s="100"/>
    </row>
    <row r="14" spans="1:54" ht="28.8" customHeight="1" x14ac:dyDescent="0.55000000000000004">
      <c r="E14" s="142"/>
      <c r="F14" s="142"/>
      <c r="G14" s="142"/>
      <c r="H14" s="142"/>
      <c r="I14" s="142"/>
      <c r="J14" s="42"/>
      <c r="K14" s="42"/>
      <c r="R14" s="100"/>
      <c r="S14" s="100"/>
      <c r="T14" s="100"/>
      <c r="U14" s="100"/>
      <c r="V14" s="100"/>
      <c r="W14" s="100"/>
      <c r="X14" s="100"/>
    </row>
    <row r="15" spans="1:54" ht="28.8" customHeight="1" thickBot="1" x14ac:dyDescent="0.6">
      <c r="E15" s="142"/>
      <c r="F15" s="148"/>
      <c r="G15" s="145"/>
      <c r="H15" s="142"/>
      <c r="I15" s="142"/>
      <c r="J15" s="46"/>
      <c r="K15" s="42"/>
      <c r="R15" s="100"/>
      <c r="S15" s="100"/>
      <c r="T15" s="100"/>
      <c r="U15" s="100"/>
      <c r="V15" s="100"/>
      <c r="W15" s="100"/>
      <c r="X15" s="100"/>
    </row>
    <row r="16" spans="1:54" ht="28.8" customHeight="1" x14ac:dyDescent="0.55000000000000004">
      <c r="E16" s="142"/>
      <c r="F16" s="142"/>
      <c r="G16" s="142"/>
      <c r="H16" s="142"/>
      <c r="I16" s="142"/>
      <c r="J16" s="42"/>
      <c r="K16" s="42"/>
      <c r="R16" s="271" t="s">
        <v>27</v>
      </c>
      <c r="S16" s="272"/>
      <c r="T16" s="272"/>
      <c r="U16" s="272"/>
      <c r="V16" s="272"/>
      <c r="W16" s="272"/>
      <c r="X16" s="273"/>
    </row>
    <row r="17" spans="5:24" ht="28.8" customHeight="1" x14ac:dyDescent="0.55000000000000004">
      <c r="E17" s="142"/>
      <c r="F17" s="142"/>
      <c r="G17" s="142"/>
      <c r="H17" s="142"/>
      <c r="I17" s="142"/>
      <c r="J17" s="42"/>
      <c r="K17" s="42"/>
      <c r="R17" s="274"/>
      <c r="S17" s="275"/>
      <c r="T17" s="275"/>
      <c r="U17" s="275"/>
      <c r="V17" s="275"/>
      <c r="W17" s="275"/>
      <c r="X17" s="276"/>
    </row>
    <row r="18" spans="5:24" ht="28.8" customHeight="1" thickBot="1" x14ac:dyDescent="0.6">
      <c r="E18" s="42"/>
      <c r="F18" s="42"/>
      <c r="G18" s="42"/>
      <c r="H18" s="42"/>
      <c r="I18" s="42"/>
      <c r="J18" s="42"/>
      <c r="K18" s="42"/>
      <c r="R18" s="277"/>
      <c r="S18" s="278"/>
      <c r="T18" s="278"/>
      <c r="U18" s="278"/>
      <c r="V18" s="278"/>
      <c r="W18" s="278"/>
      <c r="X18" s="279"/>
    </row>
    <row r="19" spans="5:24" ht="28.8" customHeight="1" x14ac:dyDescent="0.55000000000000004">
      <c r="E19" s="42"/>
      <c r="F19" s="42"/>
      <c r="G19" s="42"/>
      <c r="H19" s="42"/>
      <c r="I19" s="42"/>
      <c r="J19" s="42"/>
      <c r="K19" s="42"/>
      <c r="R19" s="17" t="s">
        <v>13</v>
      </c>
      <c r="S19" s="43" t="s">
        <v>13</v>
      </c>
      <c r="T19" s="43" t="s">
        <v>13</v>
      </c>
      <c r="U19" s="43" t="s">
        <v>13</v>
      </c>
      <c r="V19" s="43" t="s">
        <v>13</v>
      </c>
      <c r="W19" s="45" t="s">
        <v>13</v>
      </c>
      <c r="X19" s="128" t="s">
        <v>13</v>
      </c>
    </row>
    <row r="20" spans="5:24" ht="28.8" customHeight="1" x14ac:dyDescent="0.55000000000000004">
      <c r="E20" s="42"/>
      <c r="F20" s="42"/>
      <c r="G20" s="42"/>
      <c r="H20" s="42"/>
      <c r="I20" s="42"/>
      <c r="J20" s="42"/>
      <c r="K20" s="42"/>
      <c r="R20" s="17" t="s">
        <v>13</v>
      </c>
      <c r="S20" s="138" t="s">
        <v>28</v>
      </c>
      <c r="T20" s="44"/>
      <c r="U20" s="43" t="s">
        <v>13</v>
      </c>
      <c r="V20" s="43" t="s">
        <v>13</v>
      </c>
      <c r="W20" s="165" t="s">
        <v>11</v>
      </c>
      <c r="X20" s="128" t="s">
        <v>13</v>
      </c>
    </row>
    <row r="21" spans="5:24" ht="28.8" customHeight="1" x14ac:dyDescent="0.55000000000000004">
      <c r="E21" s="42"/>
      <c r="F21" s="42"/>
      <c r="G21" s="42"/>
      <c r="H21" s="42"/>
      <c r="I21" s="42"/>
      <c r="J21" s="42"/>
      <c r="K21" s="42"/>
      <c r="R21" s="17" t="s">
        <v>13</v>
      </c>
      <c r="S21" s="43" t="s">
        <v>13</v>
      </c>
      <c r="T21" s="43" t="s">
        <v>13</v>
      </c>
      <c r="U21" s="43" t="s">
        <v>13</v>
      </c>
      <c r="V21" s="43" t="s">
        <v>13</v>
      </c>
      <c r="W21" s="45" t="s">
        <v>13</v>
      </c>
      <c r="X21" s="13" t="s">
        <v>13</v>
      </c>
    </row>
    <row r="22" spans="5:24" ht="28.8" customHeight="1" x14ac:dyDescent="0.55000000000000004">
      <c r="R22" s="17" t="s">
        <v>13</v>
      </c>
      <c r="S22" s="138" t="s">
        <v>29</v>
      </c>
      <c r="T22" s="44"/>
      <c r="U22" s="43" t="s">
        <v>13</v>
      </c>
      <c r="V22" s="43" t="s">
        <v>13</v>
      </c>
      <c r="W22" s="165">
        <v>100</v>
      </c>
      <c r="X22" s="128" t="s">
        <v>13</v>
      </c>
    </row>
    <row r="23" spans="5:24" ht="28.8" customHeight="1" x14ac:dyDescent="0.55000000000000004">
      <c r="R23" s="17" t="s">
        <v>13</v>
      </c>
      <c r="S23" s="43" t="s">
        <v>13</v>
      </c>
      <c r="T23" s="43" t="s">
        <v>13</v>
      </c>
      <c r="U23" s="43" t="s">
        <v>13</v>
      </c>
      <c r="V23" s="43" t="s">
        <v>13</v>
      </c>
      <c r="W23" s="137" t="s">
        <v>13</v>
      </c>
      <c r="X23" s="128" t="s">
        <v>13</v>
      </c>
    </row>
    <row r="24" spans="5:24" ht="28.8" customHeight="1" x14ac:dyDescent="0.55000000000000004">
      <c r="R24" s="17" t="s">
        <v>13</v>
      </c>
      <c r="S24" s="43" t="s">
        <v>13</v>
      </c>
      <c r="T24" s="43" t="s">
        <v>13</v>
      </c>
      <c r="U24" s="43" t="s">
        <v>13</v>
      </c>
      <c r="V24" s="43" t="s">
        <v>13</v>
      </c>
      <c r="W24" s="137" t="s">
        <v>13</v>
      </c>
      <c r="X24" s="128" t="s">
        <v>13</v>
      </c>
    </row>
    <row r="25" spans="5:24" ht="28.8" customHeight="1" x14ac:dyDescent="0.55000000000000004">
      <c r="R25" s="17" t="s">
        <v>13</v>
      </c>
      <c r="S25" s="43" t="s">
        <v>13</v>
      </c>
      <c r="T25" s="43" t="s">
        <v>13</v>
      </c>
      <c r="U25" s="43" t="s">
        <v>13</v>
      </c>
      <c r="V25" s="43" t="s">
        <v>13</v>
      </c>
      <c r="W25" s="137" t="s">
        <v>13</v>
      </c>
      <c r="X25" s="128" t="s">
        <v>13</v>
      </c>
    </row>
    <row r="26" spans="5:24" ht="28.8" customHeight="1" x14ac:dyDescent="0.55000000000000004">
      <c r="R26" s="17" t="s">
        <v>13</v>
      </c>
      <c r="S26" s="43" t="s">
        <v>13</v>
      </c>
      <c r="T26" s="43" t="s">
        <v>13</v>
      </c>
      <c r="U26" s="43" t="s">
        <v>13</v>
      </c>
      <c r="V26" s="43" t="s">
        <v>13</v>
      </c>
      <c r="W26" s="137" t="s">
        <v>13</v>
      </c>
      <c r="X26" s="128" t="s">
        <v>13</v>
      </c>
    </row>
    <row r="27" spans="5:24" ht="28.8" customHeight="1" thickBot="1" x14ac:dyDescent="0.6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32" t="s">
        <v>13</v>
      </c>
      <c r="X27" s="133" t="s">
        <v>13</v>
      </c>
    </row>
    <row r="28" spans="5:24" ht="28.8" customHeight="1" x14ac:dyDescent="0.3"/>
    <row r="29" spans="5:24" ht="28.8" customHeight="1" x14ac:dyDescent="0.3"/>
    <row r="30" spans="5:24" ht="28.8" customHeight="1" x14ac:dyDescent="0.3">
      <c r="E30" s="41"/>
      <c r="F30" s="41"/>
      <c r="G30" s="41"/>
      <c r="H30" s="41"/>
      <c r="I30" s="41"/>
      <c r="J30" s="41"/>
      <c r="K30" s="41"/>
    </row>
    <row r="31" spans="5:24" ht="28.8" customHeight="1" x14ac:dyDescent="0.3">
      <c r="E31" s="41"/>
      <c r="F31" s="41"/>
      <c r="G31" s="41"/>
      <c r="H31" s="41"/>
      <c r="I31" s="41"/>
      <c r="J31" s="41"/>
      <c r="K31" s="41"/>
    </row>
    <row r="32" spans="5:24" ht="28.8" customHeight="1" x14ac:dyDescent="0.3">
      <c r="E32" s="41"/>
      <c r="F32" s="41"/>
      <c r="G32" s="41"/>
      <c r="H32" s="41"/>
      <c r="I32" s="41"/>
      <c r="J32" s="41"/>
      <c r="K32" s="41"/>
    </row>
    <row r="33" spans="5:11" ht="28.8" customHeight="1" x14ac:dyDescent="0.55000000000000004">
      <c r="E33" s="142"/>
      <c r="F33" s="142"/>
      <c r="G33" s="142"/>
      <c r="H33" s="142"/>
      <c r="I33" s="142"/>
      <c r="J33" s="42"/>
      <c r="K33" s="42"/>
    </row>
    <row r="34" spans="5:11" ht="28.8" customHeight="1" x14ac:dyDescent="0.55000000000000004">
      <c r="E34" s="142"/>
      <c r="F34" s="148"/>
      <c r="G34" s="145"/>
      <c r="H34" s="142"/>
      <c r="I34" s="142"/>
      <c r="J34" s="46"/>
      <c r="K34" s="42"/>
    </row>
    <row r="35" spans="5:11" ht="28.8" customHeight="1" x14ac:dyDescent="0.55000000000000004">
      <c r="E35" s="142"/>
      <c r="F35" s="142"/>
      <c r="G35" s="142"/>
      <c r="H35" s="142"/>
      <c r="I35" s="142"/>
      <c r="J35" s="42"/>
      <c r="K35" s="42"/>
    </row>
    <row r="36" spans="5:11" ht="28.8" customHeight="1" x14ac:dyDescent="0.55000000000000004">
      <c r="E36" s="142"/>
      <c r="F36" s="148"/>
      <c r="G36" s="145"/>
      <c r="H36" s="142"/>
      <c r="I36" s="142"/>
      <c r="J36" s="46"/>
      <c r="K36" s="42"/>
    </row>
    <row r="37" spans="5:11" ht="28.8" customHeight="1" x14ac:dyDescent="0.55000000000000004">
      <c r="E37" s="142"/>
      <c r="F37" s="142"/>
      <c r="G37" s="142"/>
      <c r="H37" s="142"/>
      <c r="I37" s="142"/>
      <c r="J37" s="42"/>
      <c r="K37" s="42"/>
    </row>
    <row r="38" spans="5:11" ht="28.8" customHeight="1" x14ac:dyDescent="0.55000000000000004">
      <c r="E38" s="142"/>
      <c r="F38" s="148"/>
      <c r="G38" s="142"/>
      <c r="H38" s="142"/>
      <c r="I38" s="142"/>
      <c r="J38" s="42"/>
      <c r="K38" s="42"/>
    </row>
    <row r="39" spans="5:11" ht="28.8" customHeight="1" x14ac:dyDescent="0.55000000000000004">
      <c r="E39" s="142"/>
      <c r="F39" s="142"/>
      <c r="G39" s="142"/>
      <c r="H39" s="142"/>
      <c r="I39" s="142"/>
      <c r="J39" s="42"/>
      <c r="K39" s="42"/>
    </row>
    <row r="40" spans="5:11" ht="28.8" customHeight="1" x14ac:dyDescent="0.55000000000000004">
      <c r="E40" s="142"/>
      <c r="F40" s="148"/>
      <c r="G40" s="145"/>
      <c r="H40" s="142"/>
      <c r="I40" s="142"/>
      <c r="J40" s="46"/>
      <c r="K40" s="42"/>
    </row>
    <row r="41" spans="5:11" ht="28.8" customHeight="1" x14ac:dyDescent="0.3"/>
    <row r="42" spans="5:11" ht="28.8" customHeight="1" x14ac:dyDescent="0.3"/>
    <row r="43" spans="5:11" ht="28.8" customHeight="1" x14ac:dyDescent="0.3"/>
    <row r="44" spans="5:11" ht="28.8" customHeight="1" x14ac:dyDescent="0.3"/>
    <row r="45" spans="5:11" ht="28.8" customHeight="1" x14ac:dyDescent="0.3"/>
    <row r="46" spans="5:11" ht="28.8" customHeight="1" x14ac:dyDescent="0.3"/>
    <row r="47" spans="5:11" ht="28.8" customHeight="1" x14ac:dyDescent="0.3"/>
    <row r="48" spans="5:11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A79200-F749-45A2-B0D2-249B7A0735E0}">
          <x14:formula1>
            <xm:f>PRODUÇÃO_REQUISIÇÕES!$Q$14:$Q$17</xm:f>
          </x14:formula1>
          <xm:sqref>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BB69"/>
  <sheetViews>
    <sheetView showGridLines="0" showRowColHeaders="0" topLeftCell="A22" zoomScale="40" zoomScaleNormal="40" workbookViewId="0">
      <selection activeCell="AE21" sqref="AE21"/>
    </sheetView>
  </sheetViews>
  <sheetFormatPr defaultRowHeight="14.4" x14ac:dyDescent="0.3"/>
  <cols>
    <col min="1" max="5" width="8.88671875" style="82"/>
    <col min="6" max="6" width="23.5546875" style="82" bestFit="1" customWidth="1"/>
    <col min="7" max="9" width="8.88671875" style="82"/>
    <col min="10" max="10" width="34.6640625" style="82" customWidth="1"/>
    <col min="11" max="11" width="8.88671875" style="82" customWidth="1"/>
    <col min="12" max="19" width="8.88671875" style="82"/>
    <col min="20" max="20" width="47.6640625" style="82" bestFit="1" customWidth="1"/>
    <col min="21" max="21" width="8.88671875" style="82"/>
    <col min="22" max="22" width="11.44140625" style="82" customWidth="1"/>
    <col min="23" max="23" width="8.88671875" style="82"/>
    <col min="24" max="24" width="47.44140625" style="82" customWidth="1"/>
    <col min="25" max="16384" width="8.88671875" style="82"/>
  </cols>
  <sheetData>
    <row r="1" spans="1:54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292"/>
      <c r="F9" s="292"/>
      <c r="G9" s="292"/>
      <c r="H9" s="292"/>
      <c r="I9" s="292"/>
      <c r="J9" s="292"/>
      <c r="K9" s="292"/>
    </row>
    <row r="10" spans="1:54" ht="28.8" customHeight="1" thickBot="1" x14ac:dyDescent="0.35">
      <c r="E10" s="292"/>
      <c r="F10" s="292"/>
      <c r="G10" s="292"/>
      <c r="H10" s="292"/>
      <c r="I10" s="292"/>
      <c r="J10" s="292"/>
      <c r="K10" s="292"/>
    </row>
    <row r="11" spans="1:54" ht="28.8" customHeight="1" x14ac:dyDescent="0.3">
      <c r="E11" s="292"/>
      <c r="F11" s="292"/>
      <c r="G11" s="292"/>
      <c r="H11" s="292"/>
      <c r="I11" s="292"/>
      <c r="J11" s="292"/>
      <c r="K11" s="292"/>
      <c r="S11" s="271" t="s">
        <v>754</v>
      </c>
      <c r="T11" s="272"/>
      <c r="U11" s="272"/>
      <c r="V11" s="272"/>
      <c r="W11" s="272"/>
      <c r="X11" s="272"/>
      <c r="Y11" s="273"/>
    </row>
    <row r="12" spans="1:54" ht="28.8" customHeight="1" x14ac:dyDescent="0.55000000000000004">
      <c r="E12" s="142"/>
      <c r="F12" s="142"/>
      <c r="G12" s="142"/>
      <c r="H12" s="142"/>
      <c r="I12" s="142"/>
      <c r="J12" s="42"/>
      <c r="K12" s="42"/>
      <c r="S12" s="274"/>
      <c r="T12" s="275"/>
      <c r="U12" s="275"/>
      <c r="V12" s="275"/>
      <c r="W12" s="275"/>
      <c r="X12" s="275"/>
      <c r="Y12" s="276"/>
    </row>
    <row r="13" spans="1:54" ht="28.8" customHeight="1" x14ac:dyDescent="0.55000000000000004">
      <c r="E13" s="142"/>
      <c r="F13" s="148"/>
      <c r="G13" s="145"/>
      <c r="H13" s="142"/>
      <c r="I13" s="142"/>
      <c r="J13" s="46"/>
      <c r="K13" s="42"/>
      <c r="S13" s="274"/>
      <c r="T13" s="275"/>
      <c r="U13" s="275"/>
      <c r="V13" s="275"/>
      <c r="W13" s="275"/>
      <c r="X13" s="275"/>
      <c r="Y13" s="276"/>
    </row>
    <row r="14" spans="1:54" ht="28.8" customHeight="1" x14ac:dyDescent="0.55000000000000004">
      <c r="E14" s="142"/>
      <c r="F14" s="142"/>
      <c r="G14" s="142"/>
      <c r="H14" s="142"/>
      <c r="I14" s="142"/>
      <c r="J14" s="42"/>
      <c r="K14" s="42"/>
      <c r="S14" s="17" t="s">
        <v>13</v>
      </c>
      <c r="T14" s="43" t="s">
        <v>13</v>
      </c>
      <c r="U14" s="43" t="s">
        <v>13</v>
      </c>
      <c r="V14" s="43" t="s">
        <v>13</v>
      </c>
      <c r="W14" s="43" t="s">
        <v>13</v>
      </c>
      <c r="X14" s="45" t="s">
        <v>13</v>
      </c>
      <c r="Y14" s="128" t="s">
        <v>13</v>
      </c>
    </row>
    <row r="15" spans="1:54" ht="28.8" customHeight="1" x14ac:dyDescent="0.55000000000000004">
      <c r="E15" s="142"/>
      <c r="F15" s="148"/>
      <c r="G15" s="145"/>
      <c r="H15" s="142"/>
      <c r="I15" s="142"/>
      <c r="J15" s="46"/>
      <c r="K15" s="42"/>
      <c r="S15" s="17" t="s">
        <v>13</v>
      </c>
      <c r="T15" s="138" t="s">
        <v>28</v>
      </c>
      <c r="U15" s="44"/>
      <c r="V15" s="43" t="s">
        <v>13</v>
      </c>
      <c r="W15" s="43" t="s">
        <v>13</v>
      </c>
      <c r="X15" s="165" t="s">
        <v>9</v>
      </c>
      <c r="Y15" s="128" t="s">
        <v>13</v>
      </c>
    </row>
    <row r="16" spans="1:54" ht="28.8" customHeight="1" x14ac:dyDescent="0.55000000000000004">
      <c r="E16" s="142"/>
      <c r="F16" s="142"/>
      <c r="G16" s="142"/>
      <c r="H16" s="142"/>
      <c r="I16" s="142"/>
      <c r="J16" s="42"/>
      <c r="K16" s="42"/>
      <c r="S16" s="17" t="s">
        <v>13</v>
      </c>
      <c r="T16" s="43" t="s">
        <v>13</v>
      </c>
      <c r="U16" s="43" t="s">
        <v>13</v>
      </c>
      <c r="V16" s="43" t="s">
        <v>13</v>
      </c>
      <c r="W16" s="43" t="s">
        <v>13</v>
      </c>
      <c r="X16" s="45" t="s">
        <v>13</v>
      </c>
      <c r="Y16" s="13" t="s">
        <v>13</v>
      </c>
    </row>
    <row r="17" spans="5:25" ht="28.8" customHeight="1" x14ac:dyDescent="0.55000000000000004">
      <c r="E17" s="142"/>
      <c r="F17" s="148"/>
      <c r="G17" s="142"/>
      <c r="H17" s="142"/>
      <c r="I17" s="142"/>
      <c r="J17" s="42"/>
      <c r="K17" s="42"/>
      <c r="S17" s="17" t="s">
        <v>13</v>
      </c>
      <c r="T17" s="138" t="s">
        <v>29</v>
      </c>
      <c r="U17" s="44"/>
      <c r="V17" s="43" t="s">
        <v>13</v>
      </c>
      <c r="W17" s="43" t="s">
        <v>13</v>
      </c>
      <c r="X17" s="123"/>
      <c r="Y17" s="128" t="s">
        <v>13</v>
      </c>
    </row>
    <row r="18" spans="5:25" ht="28.8" customHeight="1" x14ac:dyDescent="0.55000000000000004">
      <c r="E18" s="142"/>
      <c r="F18" s="142"/>
      <c r="G18" s="142"/>
      <c r="H18" s="142"/>
      <c r="I18" s="142"/>
      <c r="J18" s="42"/>
      <c r="K18" s="42"/>
      <c r="S18" s="17" t="s">
        <v>13</v>
      </c>
      <c r="T18" s="43" t="s">
        <v>13</v>
      </c>
      <c r="U18" s="43" t="s">
        <v>13</v>
      </c>
      <c r="V18" s="43" t="s">
        <v>13</v>
      </c>
      <c r="W18" s="43" t="s">
        <v>13</v>
      </c>
      <c r="X18" s="137" t="s">
        <v>13</v>
      </c>
      <c r="Y18" s="128" t="s">
        <v>13</v>
      </c>
    </row>
    <row r="19" spans="5:25" ht="28.8" customHeight="1" x14ac:dyDescent="0.55000000000000004">
      <c r="E19" s="142"/>
      <c r="F19" s="148"/>
      <c r="G19" s="145"/>
      <c r="H19" s="142"/>
      <c r="I19" s="142"/>
      <c r="J19" s="46"/>
      <c r="K19" s="42"/>
      <c r="S19" s="17" t="s">
        <v>13</v>
      </c>
      <c r="T19" s="149" t="s">
        <v>30</v>
      </c>
      <c r="U19" s="43" t="s">
        <v>13</v>
      </c>
      <c r="V19" s="43" t="s">
        <v>13</v>
      </c>
      <c r="W19" s="43" t="s">
        <v>13</v>
      </c>
      <c r="X19" s="123"/>
      <c r="Y19" s="128" t="s">
        <v>13</v>
      </c>
    </row>
    <row r="20" spans="5:25" ht="28.8" customHeight="1" x14ac:dyDescent="0.55000000000000004">
      <c r="E20" s="42"/>
      <c r="F20" s="42"/>
      <c r="G20" s="42"/>
      <c r="H20" s="42"/>
      <c r="I20" s="42"/>
      <c r="J20" s="42"/>
      <c r="K20" s="42"/>
      <c r="S20" s="17" t="s">
        <v>13</v>
      </c>
      <c r="T20" s="43" t="s">
        <v>13</v>
      </c>
      <c r="U20" s="43" t="s">
        <v>13</v>
      </c>
      <c r="V20" s="43" t="s">
        <v>13</v>
      </c>
      <c r="W20" s="43" t="s">
        <v>13</v>
      </c>
      <c r="X20" s="137" t="s">
        <v>13</v>
      </c>
      <c r="Y20" s="128" t="s">
        <v>13</v>
      </c>
    </row>
    <row r="21" spans="5:25" ht="28.8" customHeight="1" thickBot="1" x14ac:dyDescent="0.6">
      <c r="E21" s="42"/>
      <c r="F21" s="42"/>
      <c r="G21" s="42"/>
      <c r="H21" s="42"/>
      <c r="I21" s="42"/>
      <c r="J21" s="42"/>
      <c r="K21" s="42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32" t="s">
        <v>13</v>
      </c>
      <c r="Y21" s="133" t="s">
        <v>13</v>
      </c>
    </row>
    <row r="22" spans="5:25" ht="28.8" customHeight="1" x14ac:dyDescent="0.55000000000000004">
      <c r="S22" s="142" t="s">
        <v>13</v>
      </c>
      <c r="T22" s="142" t="s">
        <v>13</v>
      </c>
      <c r="U22" s="142" t="s">
        <v>13</v>
      </c>
      <c r="V22" s="142" t="s">
        <v>13</v>
      </c>
      <c r="W22" s="142" t="s">
        <v>13</v>
      </c>
      <c r="X22" s="143" t="s">
        <v>13</v>
      </c>
      <c r="Y22" s="143" t="s">
        <v>13</v>
      </c>
    </row>
    <row r="23" spans="5:25" ht="28.8" customHeight="1" x14ac:dyDescent="0.3"/>
    <row r="24" spans="5:25" ht="28.8" customHeight="1" x14ac:dyDescent="0.3"/>
    <row r="25" spans="5:25" ht="28.8" customHeight="1" x14ac:dyDescent="0.3"/>
    <row r="26" spans="5:25" ht="28.8" customHeight="1" x14ac:dyDescent="0.3"/>
    <row r="27" spans="5:25" ht="28.8" customHeight="1" x14ac:dyDescent="0.3"/>
    <row r="28" spans="5:25" ht="28.8" customHeight="1" x14ac:dyDescent="0.3"/>
    <row r="29" spans="5:25" ht="28.8" customHeight="1" x14ac:dyDescent="0.3"/>
    <row r="30" spans="5:25" ht="28.8" customHeight="1" x14ac:dyDescent="0.3"/>
    <row r="31" spans="5:25" ht="28.8" customHeight="1" x14ac:dyDescent="0.3"/>
    <row r="32" spans="5:2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  <row r="68" ht="28.8" customHeight="1" x14ac:dyDescent="0.3"/>
    <row r="69" ht="28.8" customHeight="1" x14ac:dyDescent="0.3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E60889-2432-44FF-A233-4199733CE87B}">
          <x14:formula1>
            <xm:f>PRODUÇÃO_REQUISIÇÕES!$Q$14:$Q$17</xm:f>
          </x14:formula1>
          <xm:sqref>X15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CEE4-BF39-4462-9860-11B1D822B0A0}">
  <sheetPr codeName="Planilha8">
    <tabColor rgb="FFFFC000"/>
  </sheetPr>
  <dimension ref="A1:AY67"/>
  <sheetViews>
    <sheetView zoomScale="40" zoomScaleNormal="40" workbookViewId="0"/>
  </sheetViews>
  <sheetFormatPr defaultRowHeight="14.4" x14ac:dyDescent="0.3"/>
  <cols>
    <col min="1" max="4" width="8.88671875" style="100"/>
    <col min="5" max="5" width="5.6640625" style="100" bestFit="1" customWidth="1"/>
    <col min="6" max="6" width="29.88671875" style="100" bestFit="1" customWidth="1"/>
    <col min="7" max="7" width="49.88671875" style="100" customWidth="1"/>
    <col min="8" max="8" width="30.44140625" style="100" bestFit="1" customWidth="1"/>
    <col min="9" max="9" width="11.33203125" style="100" bestFit="1" customWidth="1"/>
    <col min="10" max="10" width="29.88671875" style="100" bestFit="1" customWidth="1"/>
    <col min="11" max="11" width="49.88671875" style="100" bestFit="1" customWidth="1"/>
    <col min="12" max="12" width="30.44140625" style="100" bestFit="1" customWidth="1"/>
    <col min="13" max="13" width="25.109375" style="100" bestFit="1" customWidth="1"/>
    <col min="14" max="14" width="51.21875" style="100" bestFit="1" customWidth="1"/>
    <col min="15" max="16" width="41.77734375" style="100" bestFit="1" customWidth="1"/>
    <col min="1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</row>
    <row r="9" spans="1:51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</row>
    <row r="10" spans="1:51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</row>
    <row r="11" spans="1:51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</row>
    <row r="12" spans="1:51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</row>
    <row r="13" spans="1:51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</row>
    <row r="14" spans="1:51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</row>
    <row r="15" spans="1:51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</row>
    <row r="16" spans="1:51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</row>
    <row r="17" spans="1:28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</row>
    <row r="18" spans="1:28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</row>
    <row r="19" spans="1:28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</row>
    <row r="20" spans="1:28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</row>
    <row r="21" spans="1:28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</row>
    <row r="22" spans="1:28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</row>
    <row r="23" spans="1:28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</row>
    <row r="24" spans="1:28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</row>
    <row r="25" spans="1:28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</row>
    <row r="26" spans="1:28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</row>
    <row r="27" spans="1:28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</row>
    <row r="28" spans="1:28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</row>
    <row r="29" spans="1:28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</row>
    <row r="30" spans="1:28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</row>
    <row r="31" spans="1:28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</row>
    <row r="32" spans="1:28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</row>
    <row r="33" spans="1:28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</row>
    <row r="34" spans="1:28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</row>
    <row r="35" spans="1:28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</row>
    <row r="36" spans="1:28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</row>
    <row r="37" spans="1:28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</row>
    <row r="38" spans="1:28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</row>
    <row r="39" spans="1:28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</row>
    <row r="40" spans="1:28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</row>
    <row r="41" spans="1:28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</row>
    <row r="42" spans="1:28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</row>
    <row r="43" spans="1:28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</row>
    <row r="44" spans="1:28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</row>
    <row r="45" spans="1:28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:28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</row>
    <row r="47" spans="1:28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</row>
    <row r="48" spans="1:28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</row>
    <row r="49" spans="1:28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</row>
    <row r="50" spans="1:28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</row>
    <row r="51" spans="1:28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</row>
    <row r="52" spans="1:28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</row>
    <row r="53" spans="1:28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</row>
    <row r="54" spans="1:28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</row>
    <row r="55" spans="1:28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</row>
    <row r="56" spans="1:28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</row>
    <row r="57" spans="1:28" ht="28.8" customHeight="1" x14ac:dyDescent="0.3"/>
    <row r="58" spans="1:28" ht="28.8" customHeight="1" x14ac:dyDescent="0.3"/>
    <row r="59" spans="1:28" ht="28.8" customHeight="1" x14ac:dyDescent="0.3"/>
    <row r="60" spans="1:28" ht="28.8" customHeight="1" x14ac:dyDescent="0.3"/>
    <row r="61" spans="1:28" ht="28.8" customHeight="1" x14ac:dyDescent="0.3"/>
    <row r="62" spans="1:28" ht="28.8" customHeight="1" x14ac:dyDescent="0.3"/>
    <row r="63" spans="1:28" ht="28.8" customHeight="1" x14ac:dyDescent="0.3"/>
    <row r="64" spans="1:28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4.4" x14ac:dyDescent="0.3"/>
  <cols>
    <col min="5" max="5" width="5.6640625" bestFit="1" customWidth="1"/>
    <col min="6" max="6" width="29.88671875" bestFit="1" customWidth="1"/>
    <col min="7" max="7" width="49.88671875" customWidth="1"/>
    <col min="8" max="8" width="30.44140625" bestFit="1" customWidth="1"/>
    <col min="9" max="9" width="11.33203125" bestFit="1" customWidth="1"/>
    <col min="10" max="10" width="29.88671875" bestFit="1" customWidth="1"/>
    <col min="11" max="11" width="49.88671875" bestFit="1" customWidth="1"/>
    <col min="12" max="12" width="30.44140625" bestFit="1" customWidth="1"/>
    <col min="13" max="13" width="25.109375" bestFit="1" customWidth="1"/>
    <col min="14" max="14" width="51.21875" bestFit="1" customWidth="1"/>
    <col min="15" max="16" width="41.77734375" bestFit="1" customWidth="1"/>
  </cols>
  <sheetData>
    <row r="1" spans="1:51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s="100" customFormat="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>
      <c r="I12" s="151" t="s">
        <v>400</v>
      </c>
      <c r="J12" s="151" t="s">
        <v>32</v>
      </c>
      <c r="K12" s="151" t="s">
        <v>33</v>
      </c>
      <c r="L12" s="151" t="s">
        <v>34</v>
      </c>
      <c r="M12" s="151" t="s">
        <v>35</v>
      </c>
      <c r="N12" s="151" t="s">
        <v>36</v>
      </c>
      <c r="O12" s="151" t="s">
        <v>37</v>
      </c>
    </row>
    <row r="13" spans="1:51" ht="28.8" customHeight="1" x14ac:dyDescent="0.3">
      <c r="I13" s="152">
        <v>1</v>
      </c>
      <c r="J13" s="152" t="s">
        <v>38</v>
      </c>
      <c r="K13" s="152" t="s">
        <v>39</v>
      </c>
      <c r="L13" s="152" t="s">
        <v>40</v>
      </c>
      <c r="M13" s="152" t="s">
        <v>41</v>
      </c>
      <c r="N13" s="152" t="s">
        <v>42</v>
      </c>
      <c r="O13" s="152" t="s">
        <v>43</v>
      </c>
    </row>
    <row r="14" spans="1:51" ht="28.8" customHeight="1" x14ac:dyDescent="0.3">
      <c r="I14" s="152">
        <f>I13+1</f>
        <v>2</v>
      </c>
      <c r="J14" s="152" t="s">
        <v>44</v>
      </c>
      <c r="K14" s="152" t="s">
        <v>45</v>
      </c>
      <c r="L14" s="152" t="s">
        <v>40</v>
      </c>
      <c r="M14" s="152" t="s">
        <v>46</v>
      </c>
      <c r="N14" s="152" t="s">
        <v>47</v>
      </c>
      <c r="O14" s="152" t="s">
        <v>48</v>
      </c>
    </row>
    <row r="15" spans="1:51" ht="28.8" customHeight="1" x14ac:dyDescent="0.3">
      <c r="I15" s="152">
        <f t="shared" ref="I15:I32" si="0">I14+1</f>
        <v>3</v>
      </c>
      <c r="J15" s="152" t="s">
        <v>49</v>
      </c>
      <c r="K15" s="152" t="s">
        <v>50</v>
      </c>
      <c r="L15" s="152" t="s">
        <v>51</v>
      </c>
      <c r="M15" s="152" t="s">
        <v>52</v>
      </c>
      <c r="N15" s="152" t="s">
        <v>53</v>
      </c>
      <c r="O15" s="152" t="s">
        <v>54</v>
      </c>
    </row>
    <row r="16" spans="1:51" ht="28.8" customHeight="1" x14ac:dyDescent="0.3">
      <c r="I16" s="152">
        <f t="shared" si="0"/>
        <v>4</v>
      </c>
      <c r="J16" s="152" t="s">
        <v>55</v>
      </c>
      <c r="K16" s="152" t="s">
        <v>56</v>
      </c>
      <c r="L16" s="152" t="s">
        <v>57</v>
      </c>
      <c r="M16" s="152" t="s">
        <v>58</v>
      </c>
      <c r="N16" s="152" t="s">
        <v>59</v>
      </c>
      <c r="O16" s="152" t="s">
        <v>60</v>
      </c>
    </row>
    <row r="17" spans="9:15" ht="28.8" customHeight="1" x14ac:dyDescent="0.3">
      <c r="I17" s="152">
        <f t="shared" si="0"/>
        <v>5</v>
      </c>
      <c r="J17" s="152" t="s">
        <v>61</v>
      </c>
      <c r="K17" s="152" t="s">
        <v>62</v>
      </c>
      <c r="L17" s="152" t="s">
        <v>63</v>
      </c>
      <c r="M17" s="152" t="s">
        <v>64</v>
      </c>
      <c r="N17" s="152" t="s">
        <v>65</v>
      </c>
      <c r="O17" s="152" t="s">
        <v>66</v>
      </c>
    </row>
    <row r="18" spans="9:15" ht="28.8" customHeight="1" x14ac:dyDescent="0.3">
      <c r="I18" s="152">
        <f t="shared" si="0"/>
        <v>6</v>
      </c>
      <c r="J18" s="152" t="s">
        <v>67</v>
      </c>
      <c r="K18" s="152" t="s">
        <v>68</v>
      </c>
      <c r="L18" s="152" t="s">
        <v>69</v>
      </c>
      <c r="M18" s="152" t="s">
        <v>70</v>
      </c>
      <c r="N18" s="152" t="s">
        <v>71</v>
      </c>
      <c r="O18" s="152" t="s">
        <v>72</v>
      </c>
    </row>
    <row r="19" spans="9:15" ht="28.8" customHeight="1" x14ac:dyDescent="0.3">
      <c r="I19" s="152">
        <f t="shared" si="0"/>
        <v>7</v>
      </c>
      <c r="J19" s="152" t="s">
        <v>73</v>
      </c>
      <c r="K19" s="152" t="s">
        <v>74</v>
      </c>
      <c r="L19" s="152" t="s">
        <v>75</v>
      </c>
      <c r="M19" s="152" t="s">
        <v>76</v>
      </c>
      <c r="N19" s="152" t="s">
        <v>77</v>
      </c>
      <c r="O19" s="152" t="s">
        <v>78</v>
      </c>
    </row>
    <row r="20" spans="9:15" ht="28.8" customHeight="1" x14ac:dyDescent="0.3">
      <c r="I20" s="152">
        <f t="shared" si="0"/>
        <v>8</v>
      </c>
      <c r="J20" s="152" t="s">
        <v>79</v>
      </c>
      <c r="K20" s="152" t="s">
        <v>80</v>
      </c>
      <c r="L20" s="152" t="s">
        <v>81</v>
      </c>
      <c r="M20" s="152" t="s">
        <v>82</v>
      </c>
      <c r="N20" s="152" t="s">
        <v>83</v>
      </c>
      <c r="O20" s="152" t="s">
        <v>84</v>
      </c>
    </row>
    <row r="21" spans="9:15" ht="28.8" customHeight="1" x14ac:dyDescent="0.3">
      <c r="I21" s="152">
        <f t="shared" si="0"/>
        <v>9</v>
      </c>
      <c r="J21" s="152" t="s">
        <v>85</v>
      </c>
      <c r="K21" s="152" t="s">
        <v>86</v>
      </c>
      <c r="L21" s="152" t="s">
        <v>87</v>
      </c>
      <c r="M21" s="152" t="s">
        <v>88</v>
      </c>
      <c r="N21" s="152" t="s">
        <v>89</v>
      </c>
      <c r="O21" s="152" t="s">
        <v>90</v>
      </c>
    </row>
    <row r="22" spans="9:15" ht="28.8" customHeight="1" x14ac:dyDescent="0.3">
      <c r="I22" s="152">
        <f t="shared" si="0"/>
        <v>10</v>
      </c>
      <c r="J22" s="152" t="s">
        <v>91</v>
      </c>
      <c r="K22" s="152" t="s">
        <v>92</v>
      </c>
      <c r="L22" s="152" t="s">
        <v>93</v>
      </c>
      <c r="M22" s="152" t="s">
        <v>94</v>
      </c>
      <c r="N22" s="152" t="s">
        <v>95</v>
      </c>
      <c r="O22" s="152" t="s">
        <v>96</v>
      </c>
    </row>
    <row r="23" spans="9:15" ht="28.8" customHeight="1" x14ac:dyDescent="0.3">
      <c r="I23" s="152">
        <f t="shared" si="0"/>
        <v>11</v>
      </c>
      <c r="J23" s="152" t="s">
        <v>97</v>
      </c>
      <c r="K23" s="152" t="s">
        <v>98</v>
      </c>
      <c r="L23" s="152" t="s">
        <v>99</v>
      </c>
      <c r="M23" s="152" t="s">
        <v>100</v>
      </c>
      <c r="N23" s="152" t="s">
        <v>101</v>
      </c>
      <c r="O23" s="152" t="s">
        <v>102</v>
      </c>
    </row>
    <row r="24" spans="9:15" ht="28.8" customHeight="1" x14ac:dyDescent="0.3">
      <c r="I24" s="152">
        <f t="shared" si="0"/>
        <v>12</v>
      </c>
      <c r="J24" s="152" t="s">
        <v>103</v>
      </c>
      <c r="K24" s="152" t="s">
        <v>104</v>
      </c>
      <c r="L24" s="152" t="s">
        <v>105</v>
      </c>
      <c r="M24" s="152" t="s">
        <v>106</v>
      </c>
      <c r="N24" s="152" t="s">
        <v>107</v>
      </c>
      <c r="O24" s="152" t="s">
        <v>108</v>
      </c>
    </row>
    <row r="25" spans="9:15" ht="28.8" customHeight="1" x14ac:dyDescent="0.3">
      <c r="I25" s="152">
        <f t="shared" si="0"/>
        <v>13</v>
      </c>
      <c r="J25" s="152" t="s">
        <v>109</v>
      </c>
      <c r="K25" s="152" t="s">
        <v>110</v>
      </c>
      <c r="L25" s="152" t="s">
        <v>111</v>
      </c>
      <c r="M25" s="152" t="s">
        <v>112</v>
      </c>
      <c r="N25" s="152" t="s">
        <v>113</v>
      </c>
      <c r="O25" s="152" t="s">
        <v>114</v>
      </c>
    </row>
    <row r="26" spans="9:15" ht="28.8" customHeight="1" x14ac:dyDescent="0.3">
      <c r="I26" s="152">
        <f t="shared" si="0"/>
        <v>14</v>
      </c>
      <c r="J26" s="152" t="s">
        <v>115</v>
      </c>
      <c r="K26" s="152" t="s">
        <v>116</v>
      </c>
      <c r="L26" s="152" t="s">
        <v>117</v>
      </c>
      <c r="M26" s="152" t="s">
        <v>118</v>
      </c>
      <c r="N26" s="152" t="s">
        <v>119</v>
      </c>
      <c r="O26" s="152" t="s">
        <v>120</v>
      </c>
    </row>
    <row r="27" spans="9:15" ht="28.8" customHeight="1" x14ac:dyDescent="0.3">
      <c r="I27" s="152">
        <f t="shared" si="0"/>
        <v>15</v>
      </c>
      <c r="J27" s="152" t="s">
        <v>121</v>
      </c>
      <c r="K27" s="152" t="s">
        <v>122</v>
      </c>
      <c r="L27" s="152" t="s">
        <v>123</v>
      </c>
      <c r="M27" s="152" t="s">
        <v>124</v>
      </c>
      <c r="N27" s="152" t="s">
        <v>125</v>
      </c>
      <c r="O27" s="152" t="s">
        <v>126</v>
      </c>
    </row>
    <row r="28" spans="9:15" ht="28.8" customHeight="1" x14ac:dyDescent="0.3">
      <c r="I28" s="152">
        <f t="shared" si="0"/>
        <v>16</v>
      </c>
      <c r="J28" s="152" t="s">
        <v>127</v>
      </c>
      <c r="K28" s="152" t="s">
        <v>128</v>
      </c>
      <c r="L28" s="152" t="s">
        <v>129</v>
      </c>
      <c r="M28" s="152" t="s">
        <v>130</v>
      </c>
      <c r="N28" s="152" t="s">
        <v>131</v>
      </c>
      <c r="O28" s="152" t="s">
        <v>102</v>
      </c>
    </row>
    <row r="29" spans="9:15" ht="28.8" customHeight="1" x14ac:dyDescent="0.3">
      <c r="I29" s="152">
        <f t="shared" si="0"/>
        <v>17</v>
      </c>
      <c r="J29" s="152" t="s">
        <v>132</v>
      </c>
      <c r="K29" s="152" t="s">
        <v>133</v>
      </c>
      <c r="L29" s="152" t="s">
        <v>134</v>
      </c>
      <c r="M29" s="152" t="s">
        <v>135</v>
      </c>
      <c r="N29" s="152" t="s">
        <v>136</v>
      </c>
      <c r="O29" s="152" t="s">
        <v>108</v>
      </c>
    </row>
    <row r="30" spans="9:15" ht="28.8" customHeight="1" x14ac:dyDescent="0.3">
      <c r="I30" s="152">
        <f t="shared" si="0"/>
        <v>18</v>
      </c>
      <c r="J30" s="152" t="s">
        <v>137</v>
      </c>
      <c r="K30" s="152" t="s">
        <v>138</v>
      </c>
      <c r="L30" s="152" t="s">
        <v>139</v>
      </c>
      <c r="M30" s="152" t="s">
        <v>140</v>
      </c>
      <c r="N30" s="152" t="s">
        <v>141</v>
      </c>
      <c r="O30" s="152" t="s">
        <v>142</v>
      </c>
    </row>
    <row r="31" spans="9:15" ht="28.8" customHeight="1" x14ac:dyDescent="0.3">
      <c r="I31" s="152">
        <f t="shared" si="0"/>
        <v>19</v>
      </c>
      <c r="J31" s="152" t="s">
        <v>143</v>
      </c>
      <c r="K31" s="152" t="s">
        <v>144</v>
      </c>
      <c r="L31" s="152" t="s">
        <v>145</v>
      </c>
      <c r="M31" s="152" t="s">
        <v>146</v>
      </c>
      <c r="N31" s="152" t="s">
        <v>147</v>
      </c>
      <c r="O31" s="152" t="s">
        <v>96</v>
      </c>
    </row>
    <row r="32" spans="9:15" ht="28.8" customHeight="1" x14ac:dyDescent="0.3">
      <c r="I32" s="152">
        <f t="shared" si="0"/>
        <v>20</v>
      </c>
      <c r="J32" s="152" t="s">
        <v>148</v>
      </c>
      <c r="K32" s="152" t="s">
        <v>149</v>
      </c>
      <c r="L32" s="152" t="s">
        <v>150</v>
      </c>
      <c r="M32" s="152" t="s">
        <v>151</v>
      </c>
      <c r="N32" s="152" t="s">
        <v>152</v>
      </c>
      <c r="O32" s="152" t="s">
        <v>78</v>
      </c>
    </row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8470-B281-4DE9-829E-052D86ED25D1}">
  <sheetPr codeName="Planilha29">
    <tabColor rgb="FFFFC000"/>
  </sheetPr>
  <dimension ref="A1:AY66"/>
  <sheetViews>
    <sheetView zoomScale="40" zoomScaleNormal="40" workbookViewId="0">
      <selection activeCell="H36" sqref="H36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6640625" style="100" bestFit="1" customWidth="1"/>
    <col min="12" max="12" width="31.77734375" style="100" bestFit="1" customWidth="1"/>
    <col min="13" max="13" width="26.5546875" style="100" bestFit="1" customWidth="1"/>
    <col min="14" max="14" width="44.33203125" style="100" bestFit="1" customWidth="1"/>
    <col min="15" max="15" width="28.77734375" style="100" bestFit="1" customWidth="1"/>
    <col min="16" max="16" width="32.6640625" style="100" bestFit="1" customWidth="1"/>
    <col min="17" max="17" width="37.33203125" style="100" bestFit="1" customWidth="1"/>
    <col min="18" max="18" width="30.44140625" style="100" bestFit="1" customWidth="1"/>
    <col min="19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1" t="s">
        <v>31</v>
      </c>
      <c r="L13" s="154" t="s">
        <v>153</v>
      </c>
      <c r="M13" s="154" t="s">
        <v>154</v>
      </c>
      <c r="N13" s="155" t="s">
        <v>155</v>
      </c>
      <c r="O13" s="154" t="s">
        <v>156</v>
      </c>
      <c r="P13" s="154" t="s">
        <v>157</v>
      </c>
      <c r="Q13" s="154" t="s">
        <v>158</v>
      </c>
      <c r="R13" s="154" t="s">
        <v>159</v>
      </c>
    </row>
    <row r="14" spans="1:51" ht="28.8" customHeight="1" x14ac:dyDescent="0.3">
      <c r="K14" s="152">
        <v>1</v>
      </c>
      <c r="L14" s="152" t="s">
        <v>160</v>
      </c>
      <c r="M14" s="152" t="s">
        <v>161</v>
      </c>
      <c r="N14" s="153">
        <v>10000</v>
      </c>
      <c r="O14" s="152" t="s">
        <v>162</v>
      </c>
      <c r="P14" s="152" t="s">
        <v>163</v>
      </c>
      <c r="Q14" s="152" t="s">
        <v>41</v>
      </c>
      <c r="R14" s="152" t="s">
        <v>164</v>
      </c>
    </row>
    <row r="15" spans="1:51" ht="28.8" customHeight="1" x14ac:dyDescent="0.3">
      <c r="K15" s="152">
        <f>K14+1</f>
        <v>2</v>
      </c>
      <c r="L15" s="152" t="s">
        <v>165</v>
      </c>
      <c r="M15" s="152" t="s">
        <v>166</v>
      </c>
      <c r="N15" s="153">
        <v>2000</v>
      </c>
      <c r="O15" s="152" t="s">
        <v>167</v>
      </c>
      <c r="P15" s="152" t="s">
        <v>168</v>
      </c>
      <c r="Q15" s="152" t="s">
        <v>169</v>
      </c>
      <c r="R15" s="152" t="s">
        <v>170</v>
      </c>
    </row>
    <row r="16" spans="1:51" ht="28.8" customHeight="1" x14ac:dyDescent="0.3">
      <c r="K16" s="152">
        <f t="shared" ref="K16:K33" si="0">K15+1</f>
        <v>3</v>
      </c>
      <c r="L16" s="152" t="s">
        <v>171</v>
      </c>
      <c r="M16" s="152" t="s">
        <v>161</v>
      </c>
      <c r="N16" s="153">
        <v>15000</v>
      </c>
      <c r="O16" s="152" t="s">
        <v>172</v>
      </c>
      <c r="P16" s="152" t="s">
        <v>173</v>
      </c>
      <c r="Q16" s="152" t="s">
        <v>174</v>
      </c>
      <c r="R16" s="152" t="s">
        <v>175</v>
      </c>
    </row>
    <row r="17" spans="11:18" ht="28.8" customHeight="1" x14ac:dyDescent="0.3">
      <c r="K17" s="152">
        <f t="shared" si="0"/>
        <v>4</v>
      </c>
      <c r="L17" s="152" t="s">
        <v>176</v>
      </c>
      <c r="M17" s="152" t="s">
        <v>177</v>
      </c>
      <c r="N17" s="153">
        <v>1200</v>
      </c>
      <c r="O17" s="152" t="s">
        <v>178</v>
      </c>
      <c r="P17" s="152" t="s">
        <v>179</v>
      </c>
      <c r="Q17" s="152" t="s">
        <v>58</v>
      </c>
      <c r="R17" s="152" t="s">
        <v>164</v>
      </c>
    </row>
    <row r="18" spans="11:18" ht="28.8" customHeight="1" x14ac:dyDescent="0.3">
      <c r="K18" s="152">
        <f t="shared" si="0"/>
        <v>5</v>
      </c>
      <c r="L18" s="152" t="s">
        <v>180</v>
      </c>
      <c r="M18" s="152" t="s">
        <v>161</v>
      </c>
      <c r="N18" s="153">
        <v>12500</v>
      </c>
      <c r="O18" s="152" t="s">
        <v>181</v>
      </c>
      <c r="P18" s="152" t="s">
        <v>61</v>
      </c>
      <c r="Q18" s="152" t="s">
        <v>182</v>
      </c>
      <c r="R18" s="152" t="s">
        <v>164</v>
      </c>
    </row>
    <row r="19" spans="11:18" ht="28.8" customHeight="1" x14ac:dyDescent="0.3">
      <c r="K19" s="152">
        <f t="shared" si="0"/>
        <v>6</v>
      </c>
      <c r="L19" s="152" t="s">
        <v>183</v>
      </c>
      <c r="M19" s="152" t="s">
        <v>161</v>
      </c>
      <c r="N19" s="153">
        <v>8000</v>
      </c>
      <c r="O19" s="152" t="s">
        <v>184</v>
      </c>
      <c r="P19" s="152" t="s">
        <v>185</v>
      </c>
      <c r="Q19" s="152" t="s">
        <v>186</v>
      </c>
      <c r="R19" s="152" t="s">
        <v>175</v>
      </c>
    </row>
    <row r="20" spans="11:18" ht="28.8" customHeight="1" x14ac:dyDescent="0.3">
      <c r="K20" s="152">
        <f t="shared" si="0"/>
        <v>7</v>
      </c>
      <c r="L20" s="152" t="s">
        <v>187</v>
      </c>
      <c r="M20" s="152" t="s">
        <v>166</v>
      </c>
      <c r="N20" s="153">
        <v>2500</v>
      </c>
      <c r="O20" s="152" t="s">
        <v>188</v>
      </c>
      <c r="P20" s="152" t="s">
        <v>189</v>
      </c>
      <c r="Q20" s="152" t="s">
        <v>190</v>
      </c>
      <c r="R20" s="152" t="s">
        <v>170</v>
      </c>
    </row>
    <row r="21" spans="11:18" ht="28.8" customHeight="1" x14ac:dyDescent="0.3">
      <c r="K21" s="152">
        <f t="shared" si="0"/>
        <v>8</v>
      </c>
      <c r="L21" s="152" t="s">
        <v>191</v>
      </c>
      <c r="M21" s="152" t="s">
        <v>177</v>
      </c>
      <c r="N21" s="153">
        <v>1800</v>
      </c>
      <c r="O21" s="152" t="s">
        <v>192</v>
      </c>
      <c r="P21" s="152" t="s">
        <v>193</v>
      </c>
      <c r="Q21" s="152" t="s">
        <v>82</v>
      </c>
      <c r="R21" s="152" t="s">
        <v>164</v>
      </c>
    </row>
    <row r="22" spans="11:18" ht="28.8" customHeight="1" x14ac:dyDescent="0.3">
      <c r="K22" s="152">
        <f t="shared" si="0"/>
        <v>9</v>
      </c>
      <c r="L22" s="152" t="s">
        <v>194</v>
      </c>
      <c r="M22" s="152" t="s">
        <v>161</v>
      </c>
      <c r="N22" s="153">
        <v>10500</v>
      </c>
      <c r="O22" s="152" t="s">
        <v>195</v>
      </c>
      <c r="P22" s="152" t="s">
        <v>85</v>
      </c>
      <c r="Q22" s="152" t="s">
        <v>88</v>
      </c>
      <c r="R22" s="152" t="s">
        <v>164</v>
      </c>
    </row>
    <row r="23" spans="11:18" ht="28.8" customHeight="1" x14ac:dyDescent="0.3">
      <c r="K23" s="152">
        <f t="shared" si="0"/>
        <v>10</v>
      </c>
      <c r="L23" s="152" t="s">
        <v>196</v>
      </c>
      <c r="M23" s="152" t="s">
        <v>166</v>
      </c>
      <c r="N23" s="153">
        <v>2200</v>
      </c>
      <c r="O23" s="152" t="s">
        <v>197</v>
      </c>
      <c r="P23" s="152" t="s">
        <v>198</v>
      </c>
      <c r="Q23" s="152" t="s">
        <v>94</v>
      </c>
      <c r="R23" s="152" t="s">
        <v>170</v>
      </c>
    </row>
    <row r="24" spans="11:18" ht="28.8" customHeight="1" x14ac:dyDescent="0.3">
      <c r="K24" s="152">
        <f t="shared" si="0"/>
        <v>11</v>
      </c>
      <c r="L24" s="152" t="s">
        <v>199</v>
      </c>
      <c r="M24" s="152" t="s">
        <v>161</v>
      </c>
      <c r="N24" s="153">
        <v>14000</v>
      </c>
      <c r="O24" s="152" t="s">
        <v>200</v>
      </c>
      <c r="P24" s="152" t="s">
        <v>97</v>
      </c>
      <c r="Q24" s="152" t="s">
        <v>100</v>
      </c>
      <c r="R24" s="152" t="s">
        <v>164</v>
      </c>
    </row>
    <row r="25" spans="11:18" ht="28.8" customHeight="1" x14ac:dyDescent="0.3">
      <c r="K25" s="152">
        <f t="shared" si="0"/>
        <v>12</v>
      </c>
      <c r="L25" s="152" t="s">
        <v>201</v>
      </c>
      <c r="M25" s="152" t="s">
        <v>177</v>
      </c>
      <c r="N25" s="153">
        <v>1000</v>
      </c>
      <c r="O25" s="152" t="s">
        <v>202</v>
      </c>
      <c r="P25" s="152" t="s">
        <v>203</v>
      </c>
      <c r="Q25" s="152" t="s">
        <v>106</v>
      </c>
      <c r="R25" s="152" t="s">
        <v>175</v>
      </c>
    </row>
    <row r="26" spans="11:18" ht="28.8" customHeight="1" x14ac:dyDescent="0.3">
      <c r="K26" s="152">
        <f t="shared" si="0"/>
        <v>13</v>
      </c>
      <c r="L26" s="152" t="s">
        <v>204</v>
      </c>
      <c r="M26" s="152" t="s">
        <v>161</v>
      </c>
      <c r="N26" s="153">
        <v>13000</v>
      </c>
      <c r="O26" s="152" t="s">
        <v>205</v>
      </c>
      <c r="P26" s="152" t="s">
        <v>109</v>
      </c>
      <c r="Q26" s="152" t="s">
        <v>112</v>
      </c>
      <c r="R26" s="152" t="s">
        <v>164</v>
      </c>
    </row>
    <row r="27" spans="11:18" ht="28.8" customHeight="1" x14ac:dyDescent="0.3">
      <c r="K27" s="152">
        <f t="shared" si="0"/>
        <v>14</v>
      </c>
      <c r="L27" s="152" t="s">
        <v>206</v>
      </c>
      <c r="M27" s="152" t="s">
        <v>166</v>
      </c>
      <c r="N27" s="153">
        <v>1900</v>
      </c>
      <c r="O27" s="152" t="s">
        <v>207</v>
      </c>
      <c r="P27" s="152" t="s">
        <v>115</v>
      </c>
      <c r="Q27" s="152" t="s">
        <v>118</v>
      </c>
      <c r="R27" s="152" t="s">
        <v>170</v>
      </c>
    </row>
    <row r="28" spans="11:18" ht="28.8" customHeight="1" x14ac:dyDescent="0.3">
      <c r="K28" s="152">
        <f t="shared" si="0"/>
        <v>15</v>
      </c>
      <c r="L28" s="152" t="s">
        <v>208</v>
      </c>
      <c r="M28" s="152" t="s">
        <v>161</v>
      </c>
      <c r="N28" s="153">
        <v>16000</v>
      </c>
      <c r="O28" s="152" t="s">
        <v>209</v>
      </c>
      <c r="P28" s="152" t="s">
        <v>121</v>
      </c>
      <c r="Q28" s="152" t="s">
        <v>124</v>
      </c>
      <c r="R28" s="152" t="s">
        <v>164</v>
      </c>
    </row>
    <row r="29" spans="11:18" ht="28.8" customHeight="1" x14ac:dyDescent="0.3">
      <c r="K29" s="152">
        <f t="shared" si="0"/>
        <v>16</v>
      </c>
      <c r="L29" s="152" t="s">
        <v>210</v>
      </c>
      <c r="M29" s="152" t="s">
        <v>177</v>
      </c>
      <c r="N29" s="153">
        <v>1500</v>
      </c>
      <c r="O29" s="152" t="s">
        <v>211</v>
      </c>
      <c r="P29" s="152" t="s">
        <v>127</v>
      </c>
      <c r="Q29" s="152" t="s">
        <v>130</v>
      </c>
      <c r="R29" s="152" t="s">
        <v>164</v>
      </c>
    </row>
    <row r="30" spans="11:18" ht="28.8" customHeight="1" x14ac:dyDescent="0.3">
      <c r="K30" s="152">
        <f t="shared" si="0"/>
        <v>17</v>
      </c>
      <c r="L30" s="152" t="s">
        <v>212</v>
      </c>
      <c r="M30" s="152" t="s">
        <v>166</v>
      </c>
      <c r="N30" s="153">
        <v>2300</v>
      </c>
      <c r="O30" s="152" t="s">
        <v>213</v>
      </c>
      <c r="P30" s="152" t="s">
        <v>132</v>
      </c>
      <c r="Q30" s="152" t="s">
        <v>135</v>
      </c>
      <c r="R30" s="152" t="s">
        <v>175</v>
      </c>
    </row>
    <row r="31" spans="11:18" ht="28.8" customHeight="1" x14ac:dyDescent="0.3">
      <c r="K31" s="152">
        <f t="shared" si="0"/>
        <v>18</v>
      </c>
      <c r="L31" s="152" t="s">
        <v>214</v>
      </c>
      <c r="M31" s="152" t="s">
        <v>161</v>
      </c>
      <c r="N31" s="153">
        <v>11000</v>
      </c>
      <c r="O31" s="152" t="s">
        <v>215</v>
      </c>
      <c r="P31" s="152" t="s">
        <v>137</v>
      </c>
      <c r="Q31" s="152" t="s">
        <v>140</v>
      </c>
      <c r="R31" s="152" t="s">
        <v>164</v>
      </c>
    </row>
    <row r="32" spans="11:18" ht="28.8" customHeight="1" x14ac:dyDescent="0.3">
      <c r="K32" s="152">
        <f t="shared" si="0"/>
        <v>19</v>
      </c>
      <c r="L32" s="152" t="s">
        <v>216</v>
      </c>
      <c r="M32" s="152" t="s">
        <v>166</v>
      </c>
      <c r="N32" s="153">
        <v>1700</v>
      </c>
      <c r="O32" s="152" t="s">
        <v>217</v>
      </c>
      <c r="P32" s="152" t="s">
        <v>143</v>
      </c>
      <c r="Q32" s="152" t="s">
        <v>146</v>
      </c>
      <c r="R32" s="152" t="s">
        <v>170</v>
      </c>
    </row>
    <row r="33" spans="11:18" ht="28.8" customHeight="1" x14ac:dyDescent="0.3">
      <c r="K33" s="152">
        <f t="shared" si="0"/>
        <v>20</v>
      </c>
      <c r="L33" s="152" t="s">
        <v>218</v>
      </c>
      <c r="M33" s="152" t="s">
        <v>177</v>
      </c>
      <c r="N33" s="153">
        <v>1300</v>
      </c>
      <c r="O33" s="152" t="s">
        <v>219</v>
      </c>
      <c r="P33" s="152" t="s">
        <v>148</v>
      </c>
      <c r="Q33" s="152" t="s">
        <v>151</v>
      </c>
      <c r="R33" s="152" t="s">
        <v>164</v>
      </c>
    </row>
    <row r="34" spans="11:18" ht="28.8" customHeight="1" x14ac:dyDescent="0.3"/>
    <row r="35" spans="11:18" ht="28.8" customHeight="1" x14ac:dyDescent="0.3"/>
    <row r="36" spans="11:18" ht="28.8" customHeight="1" x14ac:dyDescent="0.3"/>
    <row r="37" spans="11:18" ht="28.8" customHeight="1" x14ac:dyDescent="0.3"/>
    <row r="38" spans="11:18" ht="28.8" customHeight="1" x14ac:dyDescent="0.3"/>
    <row r="39" spans="11:18" ht="28.8" customHeight="1" x14ac:dyDescent="0.3"/>
    <row r="40" spans="11:18" ht="28.8" customHeight="1" x14ac:dyDescent="0.3"/>
    <row r="41" spans="11:18" ht="28.8" customHeight="1" x14ac:dyDescent="0.3"/>
    <row r="42" spans="11:18" ht="28.8" customHeight="1" x14ac:dyDescent="0.3"/>
    <row r="43" spans="11:18" ht="28.8" customHeight="1" x14ac:dyDescent="0.3"/>
    <row r="44" spans="11:18" ht="28.8" customHeight="1" x14ac:dyDescent="0.3"/>
    <row r="45" spans="11:18" ht="28.8" customHeight="1" x14ac:dyDescent="0.3"/>
    <row r="46" spans="11:18" ht="28.8" customHeight="1" x14ac:dyDescent="0.3"/>
    <row r="47" spans="11:18" ht="28.8" customHeight="1" x14ac:dyDescent="0.3"/>
    <row r="48" spans="11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AAE6-9E02-4DF5-A528-C6871DA6989C}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109375" style="100" bestFit="1" customWidth="1"/>
    <col min="12" max="12" width="27.6640625" style="100" bestFit="1" customWidth="1"/>
    <col min="13" max="13" width="24.33203125" style="100" bestFit="1" customWidth="1"/>
    <col min="14" max="14" width="29.88671875" style="100" bestFit="1" customWidth="1"/>
    <col min="15" max="15" width="52.33203125" style="100" bestFit="1" customWidth="1"/>
    <col min="16" max="16" width="27.66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1" t="s">
        <v>220</v>
      </c>
      <c r="L13" s="151" t="s">
        <v>221</v>
      </c>
      <c r="M13" s="155" t="s">
        <v>222</v>
      </c>
      <c r="N13" s="151" t="s">
        <v>32</v>
      </c>
      <c r="O13" s="151" t="s">
        <v>223</v>
      </c>
      <c r="P13" s="151" t="s">
        <v>224</v>
      </c>
      <c r="Q13" s="151" t="s">
        <v>225</v>
      </c>
      <c r="R13" s="151" t="s">
        <v>226</v>
      </c>
      <c r="S13" s="151" t="s">
        <v>227</v>
      </c>
    </row>
    <row r="14" spans="1:51" ht="28.8" customHeight="1" x14ac:dyDescent="0.3">
      <c r="K14" s="152">
        <v>1</v>
      </c>
      <c r="L14" s="156">
        <v>45604</v>
      </c>
      <c r="M14" s="157">
        <v>0.33333333333333331</v>
      </c>
      <c r="N14" s="152" t="s">
        <v>38</v>
      </c>
      <c r="O14" s="152" t="s">
        <v>228</v>
      </c>
      <c r="P14" s="152" t="s">
        <v>229</v>
      </c>
      <c r="Q14" s="152">
        <v>10</v>
      </c>
      <c r="R14" s="152" t="s">
        <v>161</v>
      </c>
      <c r="S14" s="152" t="s">
        <v>230</v>
      </c>
    </row>
    <row r="15" spans="1:51" ht="28.8" customHeight="1" x14ac:dyDescent="0.3">
      <c r="K15" s="152">
        <f>K14+1</f>
        <v>2</v>
      </c>
      <c r="L15" s="156">
        <v>45604</v>
      </c>
      <c r="M15" s="157">
        <v>0.39583333333333331</v>
      </c>
      <c r="N15" s="152" t="s">
        <v>44</v>
      </c>
      <c r="O15" s="152" t="s">
        <v>231</v>
      </c>
      <c r="P15" s="152" t="s">
        <v>232</v>
      </c>
      <c r="Q15" s="152">
        <v>2</v>
      </c>
      <c r="R15" s="152" t="s">
        <v>166</v>
      </c>
      <c r="S15" s="152" t="s">
        <v>233</v>
      </c>
    </row>
    <row r="16" spans="1:51" ht="28.8" customHeight="1" x14ac:dyDescent="0.3">
      <c r="K16" s="152">
        <f t="shared" ref="K16:K33" si="0">K15+1</f>
        <v>3</v>
      </c>
      <c r="L16" s="156">
        <v>45604</v>
      </c>
      <c r="M16" s="157">
        <v>0.32291666666666669</v>
      </c>
      <c r="N16" s="152" t="s">
        <v>49</v>
      </c>
      <c r="O16" s="152" t="s">
        <v>234</v>
      </c>
      <c r="P16" s="152" t="s">
        <v>235</v>
      </c>
      <c r="Q16" s="152">
        <v>50</v>
      </c>
      <c r="R16" s="152" t="s">
        <v>177</v>
      </c>
      <c r="S16" s="152" t="s">
        <v>230</v>
      </c>
    </row>
    <row r="17" spans="11:19" ht="28.8" customHeight="1" x14ac:dyDescent="0.3">
      <c r="K17" s="152">
        <f t="shared" si="0"/>
        <v>4</v>
      </c>
      <c r="L17" s="156">
        <v>45604</v>
      </c>
      <c r="M17" s="157">
        <v>0.41666666666666669</v>
      </c>
      <c r="N17" s="152" t="s">
        <v>55</v>
      </c>
      <c r="O17" s="152" t="s">
        <v>236</v>
      </c>
      <c r="P17" s="152" t="s">
        <v>237</v>
      </c>
      <c r="Q17" s="152">
        <v>15</v>
      </c>
      <c r="R17" s="152" t="s">
        <v>161</v>
      </c>
      <c r="S17" s="152" t="s">
        <v>230</v>
      </c>
    </row>
    <row r="18" spans="11:19" ht="28.8" customHeight="1" x14ac:dyDescent="0.3">
      <c r="K18" s="152">
        <f t="shared" si="0"/>
        <v>5</v>
      </c>
      <c r="L18" s="156">
        <v>45604</v>
      </c>
      <c r="M18" s="157">
        <v>0.34375</v>
      </c>
      <c r="N18" s="152" t="s">
        <v>61</v>
      </c>
      <c r="O18" s="152" t="s">
        <v>238</v>
      </c>
      <c r="P18" s="152" t="s">
        <v>229</v>
      </c>
      <c r="Q18" s="152">
        <v>100</v>
      </c>
      <c r="R18" s="152" t="s">
        <v>161</v>
      </c>
      <c r="S18" s="152" t="s">
        <v>239</v>
      </c>
    </row>
    <row r="19" spans="11:19" ht="28.8" customHeight="1" x14ac:dyDescent="0.3">
      <c r="K19" s="152">
        <f t="shared" si="0"/>
        <v>6</v>
      </c>
      <c r="L19" s="156">
        <v>45604</v>
      </c>
      <c r="M19" s="157">
        <v>0.375</v>
      </c>
      <c r="N19" s="152" t="s">
        <v>67</v>
      </c>
      <c r="O19" s="152" t="s">
        <v>240</v>
      </c>
      <c r="P19" s="152" t="s">
        <v>232</v>
      </c>
      <c r="Q19" s="152">
        <v>200</v>
      </c>
      <c r="R19" s="152" t="s">
        <v>166</v>
      </c>
      <c r="S19" s="152" t="s">
        <v>230</v>
      </c>
    </row>
    <row r="20" spans="11:19" ht="28.8" customHeight="1" x14ac:dyDescent="0.3">
      <c r="K20" s="152">
        <f t="shared" si="0"/>
        <v>7</v>
      </c>
      <c r="L20" s="156">
        <v>45604</v>
      </c>
      <c r="M20" s="157">
        <v>0.45833333333333331</v>
      </c>
      <c r="N20" s="152" t="s">
        <v>73</v>
      </c>
      <c r="O20" s="152" t="s">
        <v>241</v>
      </c>
      <c r="P20" s="152" t="s">
        <v>235</v>
      </c>
      <c r="Q20" s="152">
        <v>30</v>
      </c>
      <c r="R20" s="152" t="s">
        <v>177</v>
      </c>
      <c r="S20" s="152" t="s">
        <v>233</v>
      </c>
    </row>
    <row r="21" spans="11:19" ht="28.8" customHeight="1" x14ac:dyDescent="0.3">
      <c r="K21" s="152">
        <f t="shared" si="0"/>
        <v>8</v>
      </c>
      <c r="L21" s="156">
        <v>45604</v>
      </c>
      <c r="M21" s="157">
        <v>0.3125</v>
      </c>
      <c r="N21" s="152" t="s">
        <v>79</v>
      </c>
      <c r="O21" s="152" t="s">
        <v>242</v>
      </c>
      <c r="P21" s="152" t="s">
        <v>237</v>
      </c>
      <c r="Q21" s="152">
        <v>20</v>
      </c>
      <c r="R21" s="152" t="s">
        <v>161</v>
      </c>
      <c r="S21" s="152" t="s">
        <v>230</v>
      </c>
    </row>
    <row r="22" spans="11:19" ht="28.8" customHeight="1" x14ac:dyDescent="0.3">
      <c r="K22" s="152">
        <f t="shared" si="0"/>
        <v>9</v>
      </c>
      <c r="L22" s="156">
        <v>45604</v>
      </c>
      <c r="M22" s="157">
        <v>0.40625</v>
      </c>
      <c r="N22" s="152" t="s">
        <v>85</v>
      </c>
      <c r="O22" s="152" t="s">
        <v>243</v>
      </c>
      <c r="P22" s="152" t="s">
        <v>229</v>
      </c>
      <c r="Q22" s="152">
        <v>500</v>
      </c>
      <c r="R22" s="152" t="s">
        <v>161</v>
      </c>
      <c r="S22" s="152" t="s">
        <v>230</v>
      </c>
    </row>
    <row r="23" spans="11:19" ht="28.8" customHeight="1" x14ac:dyDescent="0.3">
      <c r="K23" s="152">
        <f t="shared" si="0"/>
        <v>10</v>
      </c>
      <c r="L23" s="156">
        <v>45604</v>
      </c>
      <c r="M23" s="157">
        <v>0.42708333333333331</v>
      </c>
      <c r="N23" s="152" t="s">
        <v>91</v>
      </c>
      <c r="O23" s="152" t="s">
        <v>244</v>
      </c>
      <c r="P23" s="152" t="s">
        <v>232</v>
      </c>
      <c r="Q23" s="152">
        <v>5</v>
      </c>
      <c r="R23" s="152" t="s">
        <v>166</v>
      </c>
      <c r="S23" s="152" t="s">
        <v>239</v>
      </c>
    </row>
    <row r="24" spans="11:19" ht="28.8" customHeight="1" x14ac:dyDescent="0.3">
      <c r="K24" s="152">
        <f t="shared" si="0"/>
        <v>11</v>
      </c>
      <c r="L24" s="156">
        <v>45604</v>
      </c>
      <c r="M24" s="157">
        <v>0.47916666666666669</v>
      </c>
      <c r="N24" s="152" t="s">
        <v>97</v>
      </c>
      <c r="O24" s="152" t="s">
        <v>245</v>
      </c>
      <c r="P24" s="152" t="s">
        <v>235</v>
      </c>
      <c r="Q24" s="152">
        <v>40</v>
      </c>
      <c r="R24" s="152" t="s">
        <v>161</v>
      </c>
      <c r="S24" s="152" t="s">
        <v>230</v>
      </c>
    </row>
    <row r="25" spans="11:19" ht="28.8" customHeight="1" x14ac:dyDescent="0.3">
      <c r="K25" s="152">
        <f t="shared" si="0"/>
        <v>12</v>
      </c>
      <c r="L25" s="156">
        <v>45604</v>
      </c>
      <c r="M25" s="157">
        <v>0.36458333333333331</v>
      </c>
      <c r="N25" s="152" t="s">
        <v>103</v>
      </c>
      <c r="O25" s="152" t="s">
        <v>246</v>
      </c>
      <c r="P25" s="152" t="s">
        <v>237</v>
      </c>
      <c r="Q25" s="152">
        <v>80</v>
      </c>
      <c r="R25" s="152" t="s">
        <v>177</v>
      </c>
      <c r="S25" s="152" t="s">
        <v>233</v>
      </c>
    </row>
    <row r="26" spans="11:19" ht="28.8" customHeight="1" x14ac:dyDescent="0.3">
      <c r="K26" s="152">
        <f t="shared" si="0"/>
        <v>13</v>
      </c>
      <c r="L26" s="156">
        <v>45604</v>
      </c>
      <c r="M26" s="157">
        <v>0.38541666666666669</v>
      </c>
      <c r="N26" s="152" t="s">
        <v>109</v>
      </c>
      <c r="O26" s="152" t="s">
        <v>247</v>
      </c>
      <c r="P26" s="152" t="s">
        <v>229</v>
      </c>
      <c r="Q26" s="152">
        <v>20</v>
      </c>
      <c r="R26" s="152" t="s">
        <v>161</v>
      </c>
      <c r="S26" s="152" t="s">
        <v>230</v>
      </c>
    </row>
    <row r="27" spans="11:19" ht="28.8" customHeight="1" x14ac:dyDescent="0.3">
      <c r="K27" s="152">
        <f t="shared" si="0"/>
        <v>14</v>
      </c>
      <c r="L27" s="156">
        <v>45604</v>
      </c>
      <c r="M27" s="157">
        <v>0.29166666666666669</v>
      </c>
      <c r="N27" s="152" t="s">
        <v>115</v>
      </c>
      <c r="O27" s="152" t="s">
        <v>248</v>
      </c>
      <c r="P27" s="152" t="s">
        <v>232</v>
      </c>
      <c r="Q27" s="152">
        <v>35</v>
      </c>
      <c r="R27" s="152" t="s">
        <v>166</v>
      </c>
      <c r="S27" s="152" t="s">
        <v>230</v>
      </c>
    </row>
    <row r="28" spans="11:19" ht="28.8" customHeight="1" x14ac:dyDescent="0.3">
      <c r="K28" s="152">
        <f t="shared" si="0"/>
        <v>15</v>
      </c>
      <c r="L28" s="156">
        <v>45604</v>
      </c>
      <c r="M28" s="157">
        <v>0.4375</v>
      </c>
      <c r="N28" s="152" t="s">
        <v>121</v>
      </c>
      <c r="O28" s="152" t="s">
        <v>249</v>
      </c>
      <c r="P28" s="152" t="s">
        <v>235</v>
      </c>
      <c r="Q28" s="152">
        <v>300</v>
      </c>
      <c r="R28" s="152" t="s">
        <v>161</v>
      </c>
      <c r="S28" s="152" t="s">
        <v>239</v>
      </c>
    </row>
    <row r="29" spans="11:19" ht="28.8" customHeight="1" x14ac:dyDescent="0.3">
      <c r="K29" s="152">
        <f t="shared" si="0"/>
        <v>16</v>
      </c>
      <c r="L29" s="156">
        <v>45604</v>
      </c>
      <c r="M29" s="157">
        <v>0.40972222222222221</v>
      </c>
      <c r="N29" s="152" t="s">
        <v>127</v>
      </c>
      <c r="O29" s="152" t="s">
        <v>250</v>
      </c>
      <c r="P29" s="152" t="s">
        <v>237</v>
      </c>
      <c r="Q29" s="152">
        <v>60</v>
      </c>
      <c r="R29" s="152" t="s">
        <v>177</v>
      </c>
      <c r="S29" s="152" t="s">
        <v>230</v>
      </c>
    </row>
    <row r="30" spans="11:19" ht="28.8" customHeight="1" x14ac:dyDescent="0.3">
      <c r="K30" s="152">
        <f t="shared" si="0"/>
        <v>17</v>
      </c>
      <c r="L30" s="156">
        <v>45604</v>
      </c>
      <c r="M30" s="157">
        <v>0.34722222222222221</v>
      </c>
      <c r="N30" s="152" t="s">
        <v>132</v>
      </c>
      <c r="O30" s="152" t="s">
        <v>251</v>
      </c>
      <c r="P30" s="152" t="s">
        <v>229</v>
      </c>
      <c r="Q30" s="152">
        <v>15</v>
      </c>
      <c r="R30" s="152" t="s">
        <v>166</v>
      </c>
      <c r="S30" s="152" t="s">
        <v>233</v>
      </c>
    </row>
    <row r="31" spans="11:19" ht="28.8" customHeight="1" x14ac:dyDescent="0.3">
      <c r="K31" s="152">
        <f t="shared" si="0"/>
        <v>18</v>
      </c>
      <c r="L31" s="156">
        <v>45604</v>
      </c>
      <c r="M31" s="157">
        <v>0.48958333333333331</v>
      </c>
      <c r="N31" s="152" t="s">
        <v>137</v>
      </c>
      <c r="O31" s="152" t="s">
        <v>252</v>
      </c>
      <c r="P31" s="152" t="s">
        <v>232</v>
      </c>
      <c r="Q31" s="152">
        <v>70</v>
      </c>
      <c r="R31" s="152" t="s">
        <v>161</v>
      </c>
      <c r="S31" s="152" t="s">
        <v>230</v>
      </c>
    </row>
    <row r="32" spans="11:19" ht="28.8" customHeight="1" x14ac:dyDescent="0.3">
      <c r="K32" s="152">
        <f t="shared" si="0"/>
        <v>19</v>
      </c>
      <c r="L32" s="156">
        <v>45604</v>
      </c>
      <c r="M32" s="157">
        <v>0.38194444444444442</v>
      </c>
      <c r="N32" s="152" t="s">
        <v>143</v>
      </c>
      <c r="O32" s="152" t="s">
        <v>253</v>
      </c>
      <c r="P32" s="152" t="s">
        <v>235</v>
      </c>
      <c r="Q32" s="152">
        <v>120</v>
      </c>
      <c r="R32" s="152" t="s">
        <v>166</v>
      </c>
      <c r="S32" s="152" t="s">
        <v>230</v>
      </c>
    </row>
    <row r="33" spans="11:19" ht="28.8" customHeight="1" x14ac:dyDescent="0.3">
      <c r="K33" s="152">
        <f t="shared" si="0"/>
        <v>20</v>
      </c>
      <c r="L33" s="156">
        <v>45604</v>
      </c>
      <c r="M33" s="157">
        <v>0.44444444444444442</v>
      </c>
      <c r="N33" s="152" t="s">
        <v>148</v>
      </c>
      <c r="O33" s="152" t="s">
        <v>254</v>
      </c>
      <c r="P33" s="152" t="s">
        <v>237</v>
      </c>
      <c r="Q33" s="152">
        <v>25</v>
      </c>
      <c r="R33" s="152" t="s">
        <v>177</v>
      </c>
      <c r="S33" s="152" t="s">
        <v>230</v>
      </c>
    </row>
    <row r="34" spans="11:19" ht="28.8" customHeight="1" x14ac:dyDescent="0.3"/>
    <row r="35" spans="11:19" ht="28.8" customHeight="1" x14ac:dyDescent="0.3"/>
    <row r="36" spans="11:19" ht="28.8" customHeight="1" x14ac:dyDescent="0.3"/>
    <row r="37" spans="11:19" ht="28.8" customHeight="1" x14ac:dyDescent="0.3"/>
    <row r="38" spans="11:19" ht="28.8" customHeight="1" x14ac:dyDescent="0.3"/>
    <row r="39" spans="11:19" ht="28.8" customHeight="1" x14ac:dyDescent="0.3"/>
    <row r="40" spans="11:19" ht="28.8" customHeight="1" x14ac:dyDescent="0.3"/>
    <row r="41" spans="11:19" ht="28.8" customHeight="1" x14ac:dyDescent="0.3"/>
    <row r="42" spans="11:19" ht="28.8" customHeight="1" x14ac:dyDescent="0.3"/>
    <row r="43" spans="11:19" ht="28.8" customHeight="1" x14ac:dyDescent="0.3"/>
    <row r="44" spans="11:19" ht="28.8" customHeight="1" x14ac:dyDescent="0.3"/>
    <row r="45" spans="11:19" ht="28.8" customHeight="1" x14ac:dyDescent="0.3"/>
    <row r="46" spans="11:19" ht="28.8" customHeight="1" x14ac:dyDescent="0.3"/>
    <row r="47" spans="11:19" ht="28.8" customHeight="1" x14ac:dyDescent="0.3"/>
    <row r="48" spans="11:19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2C99-C7C3-43E9-92CE-FE387B7BD4DB}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44140625" style="100" bestFit="1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8" customHeight="1" x14ac:dyDescent="0.3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8" customHeight="1" x14ac:dyDescent="0.3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8" customHeight="1" x14ac:dyDescent="0.3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8" customHeight="1" x14ac:dyDescent="0.3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8" customHeight="1" x14ac:dyDescent="0.3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8" customHeight="1" x14ac:dyDescent="0.3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8" customHeight="1" x14ac:dyDescent="0.3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8" customHeight="1" x14ac:dyDescent="0.3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8" customHeight="1" x14ac:dyDescent="0.3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8" customHeight="1" x14ac:dyDescent="0.3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8" customHeight="1" x14ac:dyDescent="0.3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8" customHeight="1" x14ac:dyDescent="0.3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8" customHeight="1" x14ac:dyDescent="0.3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8" customHeight="1" x14ac:dyDescent="0.3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8" customHeight="1" x14ac:dyDescent="0.3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8" customHeight="1" x14ac:dyDescent="0.3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8" customHeight="1" x14ac:dyDescent="0.3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8" customHeight="1" x14ac:dyDescent="0.3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8" customHeight="1" x14ac:dyDescent="0.3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8" customHeight="1" x14ac:dyDescent="0.3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82DA-602F-43A8-84A9-755032734479}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109375" style="100" bestFit="1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8" customHeight="1" x14ac:dyDescent="0.3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8" customHeight="1" x14ac:dyDescent="0.3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8" customHeight="1" x14ac:dyDescent="0.3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8" customHeight="1" x14ac:dyDescent="0.3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8" customHeight="1" x14ac:dyDescent="0.3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8" customHeight="1" x14ac:dyDescent="0.3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8" customHeight="1" x14ac:dyDescent="0.3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8" customHeight="1" x14ac:dyDescent="0.3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8" customHeight="1" x14ac:dyDescent="0.3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8" customHeight="1" x14ac:dyDescent="0.3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8" customHeight="1" x14ac:dyDescent="0.3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8" customHeight="1" x14ac:dyDescent="0.3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8" customHeight="1" x14ac:dyDescent="0.3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8" customHeight="1" x14ac:dyDescent="0.3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8" customHeight="1" x14ac:dyDescent="0.3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8" customHeight="1" x14ac:dyDescent="0.3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8" customHeight="1" x14ac:dyDescent="0.3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8" customHeight="1" x14ac:dyDescent="0.3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8" customHeight="1" x14ac:dyDescent="0.3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8" customHeight="1" x14ac:dyDescent="0.3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1C1C-4E7F-482C-BFF7-15473EC0951C}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8" customHeight="1" x14ac:dyDescent="0.3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8" customHeight="1" x14ac:dyDescent="0.3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8" customHeight="1" x14ac:dyDescent="0.3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8" customHeight="1" x14ac:dyDescent="0.3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8" customHeight="1" x14ac:dyDescent="0.3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8" customHeight="1" x14ac:dyDescent="0.3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8" customHeight="1" x14ac:dyDescent="0.3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8" customHeight="1" x14ac:dyDescent="0.3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8" customHeight="1" x14ac:dyDescent="0.3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8" customHeight="1" x14ac:dyDescent="0.3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8" customHeight="1" x14ac:dyDescent="0.3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8" customHeight="1" x14ac:dyDescent="0.3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8" customHeight="1" x14ac:dyDescent="0.3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8" customHeight="1" x14ac:dyDescent="0.3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8" customHeight="1" x14ac:dyDescent="0.3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8" customHeight="1" x14ac:dyDescent="0.3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8" customHeight="1" x14ac:dyDescent="0.3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8" customHeight="1" x14ac:dyDescent="0.3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8" customHeight="1" x14ac:dyDescent="0.3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8" customHeight="1" x14ac:dyDescent="0.3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AB1F-2926-4669-9EC2-12A373849C81}">
  <sheetPr codeName="Planilha34">
    <tabColor rgb="FFFFC000"/>
  </sheetPr>
  <dimension ref="A1:AY66"/>
  <sheetViews>
    <sheetView zoomScale="40" zoomScaleNormal="40" workbookViewId="0">
      <selection activeCell="O13" sqref="O13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8" customHeight="1" x14ac:dyDescent="0.3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8" customHeight="1" x14ac:dyDescent="0.3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8" customHeight="1" x14ac:dyDescent="0.3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8" customHeight="1" x14ac:dyDescent="0.3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8" customHeight="1" x14ac:dyDescent="0.3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8" customHeight="1" x14ac:dyDescent="0.3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8" customHeight="1" x14ac:dyDescent="0.3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8" customHeight="1" x14ac:dyDescent="0.3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8" customHeight="1" x14ac:dyDescent="0.3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8" customHeight="1" x14ac:dyDescent="0.3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8" customHeight="1" x14ac:dyDescent="0.3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8" customHeight="1" x14ac:dyDescent="0.3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8" customHeight="1" x14ac:dyDescent="0.3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8" customHeight="1" x14ac:dyDescent="0.3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8" customHeight="1" x14ac:dyDescent="0.3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8" customHeight="1" x14ac:dyDescent="0.3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8" customHeight="1" x14ac:dyDescent="0.3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8" customHeight="1" x14ac:dyDescent="0.3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8" customHeight="1" x14ac:dyDescent="0.3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8" customHeight="1" x14ac:dyDescent="0.3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9DCF-86B6-4F04-9FD0-451F4A5F58DB}">
  <sheetPr codeName="Planilha60">
    <tabColor rgb="FFC00000"/>
  </sheetPr>
  <dimension ref="A1:AY66"/>
  <sheetViews>
    <sheetView zoomScale="40" zoomScaleNormal="40" workbookViewId="0"/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46.8867187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</row>
    <row r="9" spans="1:51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</row>
    <row r="10" spans="1:51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</row>
    <row r="11" spans="1:51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</row>
    <row r="12" spans="1:51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</row>
    <row r="13" spans="1:51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</row>
    <row r="14" spans="1:51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</row>
    <row r="15" spans="1:51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</row>
    <row r="16" spans="1:51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</row>
    <row r="17" spans="1:4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</row>
    <row r="18" spans="1:4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</row>
    <row r="19" spans="1:4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</row>
    <row r="20" spans="1:4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</row>
    <row r="21" spans="1:4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</row>
    <row r="22" spans="1:4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</row>
    <row r="23" spans="1:4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</row>
    <row r="24" spans="1:4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</row>
    <row r="25" spans="1:4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</row>
    <row r="26" spans="1:4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</row>
    <row r="27" spans="1:4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</row>
    <row r="28" spans="1:4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</row>
    <row r="29" spans="1:4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</row>
    <row r="30" spans="1:4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</row>
    <row r="31" spans="1:4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</row>
    <row r="32" spans="1:4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</row>
    <row r="33" spans="1:4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</row>
    <row r="34" spans="1:4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</row>
    <row r="35" spans="1:4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</row>
    <row r="36" spans="1:4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</row>
    <row r="37" spans="1:4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</row>
    <row r="38" spans="1:4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</row>
    <row r="39" spans="1:4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</row>
    <row r="40" spans="1:4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</row>
    <row r="41" spans="1:4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</row>
    <row r="42" spans="1:4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</row>
    <row r="43" spans="1:4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1:4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</row>
    <row r="45" spans="1:4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</row>
    <row r="46" spans="1:4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</row>
    <row r="47" spans="1:4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</row>
    <row r="48" spans="1:4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</row>
    <row r="49" spans="1:4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</row>
    <row r="50" spans="1:4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</row>
    <row r="51" spans="1:4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</row>
    <row r="52" spans="1:4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</row>
    <row r="53" spans="1:4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</row>
    <row r="54" spans="1:4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</row>
    <row r="55" spans="1:4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</row>
    <row r="56" spans="1:4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</row>
    <row r="57" spans="1:4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</row>
    <row r="58" spans="1:42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</row>
    <row r="59" spans="1:42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</row>
    <row r="60" spans="1:42" ht="28.8" customHeight="1" x14ac:dyDescent="0.3"/>
    <row r="61" spans="1:42" ht="28.8" customHeight="1" x14ac:dyDescent="0.3"/>
    <row r="62" spans="1:42" ht="28.8" customHeight="1" x14ac:dyDescent="0.3"/>
    <row r="63" spans="1:42" ht="28.8" customHeight="1" x14ac:dyDescent="0.3"/>
    <row r="64" spans="1:4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7624-8143-4CFA-ABF8-6AB5E39AAA64}">
  <sheetPr codeName="Planilha35">
    <tabColor rgb="FFC00000"/>
  </sheetPr>
  <dimension ref="A1:AY66"/>
  <sheetViews>
    <sheetView zoomScale="40" zoomScaleNormal="40" workbookViewId="0">
      <selection activeCell="S33" sqref="S33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46.8867187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271" t="s">
        <v>280</v>
      </c>
      <c r="O14" s="272"/>
      <c r="P14" s="272"/>
      <c r="Q14" s="272"/>
      <c r="R14" s="272"/>
      <c r="S14" s="272"/>
      <c r="T14" s="273"/>
      <c r="W14" s="293" t="s">
        <v>281</v>
      </c>
      <c r="X14" s="294"/>
      <c r="Y14" s="294"/>
      <c r="Z14" s="294"/>
      <c r="AA14" s="295"/>
    </row>
    <row r="15" spans="1:51" ht="28.8" customHeight="1" x14ac:dyDescent="0.3">
      <c r="N15" s="274"/>
      <c r="O15" s="275"/>
      <c r="P15" s="275"/>
      <c r="Q15" s="275"/>
      <c r="R15" s="275"/>
      <c r="S15" s="275"/>
      <c r="T15" s="276"/>
      <c r="W15" s="296"/>
      <c r="X15" s="297"/>
      <c r="Y15" s="297"/>
      <c r="Z15" s="297"/>
      <c r="AA15" s="298"/>
    </row>
    <row r="16" spans="1:51" ht="28.8" customHeight="1" x14ac:dyDescent="0.3">
      <c r="N16" s="274"/>
      <c r="O16" s="275"/>
      <c r="P16" s="275"/>
      <c r="Q16" s="275"/>
      <c r="R16" s="275"/>
      <c r="S16" s="275"/>
      <c r="T16" s="276"/>
      <c r="W16" s="296"/>
      <c r="X16" s="297"/>
      <c r="Y16" s="297"/>
      <c r="Z16" s="297"/>
      <c r="AA16" s="298"/>
    </row>
    <row r="17" spans="14:27" ht="28.8" customHeight="1" x14ac:dyDescent="0.55000000000000004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28" t="s">
        <v>13</v>
      </c>
      <c r="W17" s="29" t="s">
        <v>13</v>
      </c>
      <c r="X17" s="26" t="s">
        <v>13</v>
      </c>
      <c r="Y17" s="27" t="s">
        <v>13</v>
      </c>
      <c r="Z17" s="27" t="s">
        <v>13</v>
      </c>
      <c r="AA17" s="30" t="s">
        <v>13</v>
      </c>
    </row>
    <row r="18" spans="14:27" ht="28.8" customHeight="1" x14ac:dyDescent="0.55000000000000004">
      <c r="N18" s="17" t="s">
        <v>13</v>
      </c>
      <c r="O18" s="138" t="s">
        <v>3</v>
      </c>
      <c r="P18" s="44"/>
      <c r="Q18" s="43" t="s">
        <v>13</v>
      </c>
      <c r="R18" s="43" t="s">
        <v>13</v>
      </c>
      <c r="S18" s="516">
        <v>1</v>
      </c>
      <c r="T18" s="128" t="s">
        <v>13</v>
      </c>
      <c r="W18" s="29" t="s">
        <v>13</v>
      </c>
      <c r="X18" s="164" t="s">
        <v>282</v>
      </c>
      <c r="Y18" s="28"/>
      <c r="Z18" s="102"/>
      <c r="AA18" s="31" t="s">
        <v>13</v>
      </c>
    </row>
    <row r="19" spans="14:27" ht="28.8" customHeight="1" x14ac:dyDescent="0.55000000000000004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517" t="s">
        <v>13</v>
      </c>
      <c r="T19" s="13" t="s">
        <v>13</v>
      </c>
      <c r="W19" s="29" t="s">
        <v>13</v>
      </c>
      <c r="X19" s="83"/>
      <c r="Y19" s="27"/>
      <c r="Z19" s="27"/>
      <c r="AA19" s="30" t="s">
        <v>13</v>
      </c>
    </row>
    <row r="20" spans="14:27" ht="28.8" customHeight="1" x14ac:dyDescent="0.55000000000000004">
      <c r="N20" s="17" t="s">
        <v>13</v>
      </c>
      <c r="O20" s="160" t="s">
        <v>4</v>
      </c>
      <c r="P20" s="44"/>
      <c r="Q20" s="43" t="s">
        <v>13</v>
      </c>
      <c r="R20" s="43" t="s">
        <v>13</v>
      </c>
      <c r="S20" s="516">
        <v>1</v>
      </c>
      <c r="T20" s="128" t="s">
        <v>13</v>
      </c>
      <c r="W20" s="29" t="s">
        <v>13</v>
      </c>
      <c r="X20" s="164" t="s">
        <v>283</v>
      </c>
      <c r="Y20" s="28"/>
      <c r="Z20" s="102"/>
      <c r="AA20" s="31" t="s">
        <v>13</v>
      </c>
    </row>
    <row r="21" spans="14:27" ht="28.8" customHeight="1" x14ac:dyDescent="0.55000000000000004">
      <c r="N21" s="17" t="s">
        <v>13</v>
      </c>
      <c r="O21" s="161"/>
      <c r="P21" s="43" t="s">
        <v>13</v>
      </c>
      <c r="Q21" s="43" t="s">
        <v>13</v>
      </c>
      <c r="R21" s="43" t="s">
        <v>13</v>
      </c>
      <c r="S21" s="517" t="s">
        <v>13</v>
      </c>
      <c r="T21" s="128" t="s">
        <v>13</v>
      </c>
      <c r="W21" s="29" t="s">
        <v>13</v>
      </c>
      <c r="X21" s="28"/>
      <c r="Y21" s="27"/>
      <c r="Z21" s="27"/>
      <c r="AA21" s="30" t="s">
        <v>13</v>
      </c>
    </row>
    <row r="22" spans="14:27" ht="28.8" customHeight="1" x14ac:dyDescent="0.55000000000000004">
      <c r="N22" s="17" t="s">
        <v>13</v>
      </c>
      <c r="O22" s="160" t="s">
        <v>5</v>
      </c>
      <c r="P22" s="43" t="s">
        <v>13</v>
      </c>
      <c r="Q22" s="43" t="s">
        <v>13</v>
      </c>
      <c r="R22" s="43" t="s">
        <v>13</v>
      </c>
      <c r="S22" s="518">
        <v>5</v>
      </c>
      <c r="T22" s="128" t="s">
        <v>13</v>
      </c>
      <c r="W22" s="29" t="s">
        <v>13</v>
      </c>
      <c r="X22" s="28"/>
      <c r="Y22" s="28"/>
      <c r="Z22" s="28"/>
      <c r="AA22" s="31" t="s">
        <v>13</v>
      </c>
    </row>
    <row r="23" spans="14:27" ht="28.8" customHeight="1" x14ac:dyDescent="0.55000000000000004">
      <c r="N23" s="17" t="s">
        <v>13</v>
      </c>
      <c r="O23" s="161"/>
      <c r="P23" s="43" t="s">
        <v>13</v>
      </c>
      <c r="Q23" s="43" t="s">
        <v>13</v>
      </c>
      <c r="R23" s="43" t="s">
        <v>13</v>
      </c>
      <c r="S23" s="517" t="s">
        <v>13</v>
      </c>
      <c r="T23" s="128" t="s">
        <v>13</v>
      </c>
      <c r="W23" s="29" t="s">
        <v>13</v>
      </c>
      <c r="X23" s="28"/>
      <c r="Y23" s="27"/>
      <c r="Z23" s="27"/>
      <c r="AA23" s="30" t="s">
        <v>13</v>
      </c>
    </row>
    <row r="24" spans="14:27" ht="28.8" customHeight="1" x14ac:dyDescent="0.55000000000000004">
      <c r="N24" s="17" t="s">
        <v>13</v>
      </c>
      <c r="O24" s="160" t="s">
        <v>6</v>
      </c>
      <c r="P24" s="43" t="s">
        <v>13</v>
      </c>
      <c r="Q24" s="43" t="s">
        <v>13</v>
      </c>
      <c r="R24" s="43" t="s">
        <v>13</v>
      </c>
      <c r="S24" s="518">
        <v>3</v>
      </c>
      <c r="T24" s="128" t="s">
        <v>13</v>
      </c>
      <c r="W24" s="29" t="s">
        <v>13</v>
      </c>
      <c r="X24" s="28"/>
      <c r="Y24" s="28"/>
      <c r="Z24" s="28"/>
      <c r="AA24" s="30" t="s">
        <v>13</v>
      </c>
    </row>
    <row r="25" spans="14:27" ht="28.8" customHeight="1" x14ac:dyDescent="0.55000000000000004">
      <c r="N25" s="17" t="s">
        <v>13</v>
      </c>
      <c r="O25" s="161"/>
      <c r="P25" s="43" t="s">
        <v>13</v>
      </c>
      <c r="Q25" s="43" t="s">
        <v>13</v>
      </c>
      <c r="R25" s="43" t="s">
        <v>13</v>
      </c>
      <c r="S25" s="517" t="s">
        <v>13</v>
      </c>
      <c r="T25" s="128" t="s">
        <v>13</v>
      </c>
      <c r="W25" s="29" t="s">
        <v>13</v>
      </c>
      <c r="X25" s="28"/>
      <c r="Y25" s="28"/>
      <c r="Z25" s="27"/>
      <c r="AA25" s="30" t="s">
        <v>13</v>
      </c>
    </row>
    <row r="26" spans="14:27" ht="28.8" customHeight="1" x14ac:dyDescent="0.55000000000000004">
      <c r="N26" s="61"/>
      <c r="O26" s="160" t="s">
        <v>7</v>
      </c>
      <c r="P26" s="72"/>
      <c r="Q26" s="72"/>
      <c r="R26" s="72"/>
      <c r="S26" s="519">
        <v>2</v>
      </c>
      <c r="T26" s="7"/>
      <c r="W26" s="29" t="s">
        <v>13</v>
      </c>
      <c r="X26" s="28"/>
      <c r="Y26" s="28"/>
      <c r="Z26" s="28"/>
      <c r="AA26" s="30" t="s">
        <v>13</v>
      </c>
    </row>
    <row r="27" spans="14:27" ht="28.8" customHeight="1" thickBot="1" x14ac:dyDescent="0.6">
      <c r="N27" s="61"/>
      <c r="O27" s="72"/>
      <c r="P27" s="72"/>
      <c r="Q27" s="72"/>
      <c r="R27" s="72"/>
      <c r="S27" s="72"/>
      <c r="T27" s="7"/>
      <c r="W27" s="32" t="s">
        <v>13</v>
      </c>
      <c r="X27" s="34" t="s">
        <v>13</v>
      </c>
      <c r="Y27" s="35" t="s">
        <v>13</v>
      </c>
      <c r="Z27" s="33" t="s">
        <v>13</v>
      </c>
      <c r="AA27" s="36" t="s">
        <v>13</v>
      </c>
    </row>
    <row r="28" spans="14:27" ht="28.8" customHeight="1" x14ac:dyDescent="0.3">
      <c r="N28" s="61"/>
      <c r="O28" s="72"/>
      <c r="P28" s="72"/>
      <c r="Q28" s="72"/>
      <c r="R28" s="72"/>
      <c r="S28" s="72"/>
      <c r="T28" s="7"/>
    </row>
    <row r="29" spans="14:27" ht="28.8" customHeight="1" x14ac:dyDescent="0.3">
      <c r="N29" s="61"/>
      <c r="O29" s="72"/>
      <c r="P29" s="72"/>
      <c r="Q29" s="72"/>
      <c r="R29" s="72"/>
      <c r="S29" s="72"/>
      <c r="T29" s="7"/>
    </row>
    <row r="30" spans="14:27" ht="28.8" customHeight="1" x14ac:dyDescent="0.3">
      <c r="N30" s="61"/>
      <c r="O30" s="72"/>
      <c r="P30" s="72"/>
      <c r="Q30" s="72"/>
      <c r="R30" s="72"/>
      <c r="S30" s="72"/>
      <c r="T30" s="7"/>
    </row>
    <row r="31" spans="14:27" ht="28.8" customHeight="1" thickBot="1" x14ac:dyDescent="0.35">
      <c r="N31" s="73"/>
      <c r="O31" s="74"/>
      <c r="P31" s="74"/>
      <c r="Q31" s="74"/>
      <c r="R31" s="74"/>
      <c r="S31" s="74"/>
      <c r="T31" s="75"/>
    </row>
    <row r="32" spans="14:27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D8A9E-38FA-4653-989A-67569D16AA89}">
  <sheetPr codeName="Planilha36">
    <tabColor rgb="FFC00000"/>
  </sheetPr>
  <dimension ref="A1:AY66"/>
  <sheetViews>
    <sheetView zoomScale="40" zoomScaleNormal="40" workbookViewId="0">
      <selection activeCell="X30" sqref="X30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31.3320312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271" t="s">
        <v>280</v>
      </c>
      <c r="O14" s="272"/>
      <c r="P14" s="272"/>
      <c r="Q14" s="272"/>
      <c r="R14" s="272"/>
      <c r="S14" s="272"/>
      <c r="T14" s="273"/>
    </row>
    <row r="15" spans="1:51" ht="28.8" customHeight="1" x14ac:dyDescent="0.3">
      <c r="N15" s="274"/>
      <c r="O15" s="275"/>
      <c r="P15" s="275"/>
      <c r="Q15" s="275"/>
      <c r="R15" s="275"/>
      <c r="S15" s="275"/>
      <c r="T15" s="276"/>
    </row>
    <row r="16" spans="1:51" ht="28.8" customHeight="1" x14ac:dyDescent="0.3">
      <c r="N16" s="274"/>
      <c r="O16" s="275"/>
      <c r="P16" s="275"/>
      <c r="Q16" s="275"/>
      <c r="R16" s="275"/>
      <c r="S16" s="275"/>
      <c r="T16" s="276"/>
    </row>
    <row r="17" spans="14:20" ht="28.8" customHeight="1" x14ac:dyDescent="0.55000000000000004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28" t="s">
        <v>13</v>
      </c>
    </row>
    <row r="18" spans="14:20" ht="28.8" customHeight="1" x14ac:dyDescent="0.55000000000000004">
      <c r="N18" s="17" t="s">
        <v>13</v>
      </c>
      <c r="O18" s="138" t="s">
        <v>3</v>
      </c>
      <c r="P18" s="44"/>
      <c r="Q18" s="43" t="s">
        <v>13</v>
      </c>
      <c r="R18" s="43" t="s">
        <v>13</v>
      </c>
      <c r="S18" s="123"/>
      <c r="T18" s="128" t="s">
        <v>13</v>
      </c>
    </row>
    <row r="19" spans="14:20" ht="28.8" customHeight="1" x14ac:dyDescent="0.55000000000000004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45" t="s">
        <v>13</v>
      </c>
      <c r="T19" s="13" t="s">
        <v>13</v>
      </c>
    </row>
    <row r="20" spans="14:20" ht="28.8" customHeight="1" x14ac:dyDescent="0.55000000000000004">
      <c r="N20" s="17" t="s">
        <v>13</v>
      </c>
      <c r="O20" s="160" t="s">
        <v>4</v>
      </c>
      <c r="P20" s="44"/>
      <c r="Q20" s="43" t="s">
        <v>13</v>
      </c>
      <c r="R20" s="43" t="s">
        <v>13</v>
      </c>
      <c r="S20" s="123"/>
      <c r="T20" s="128" t="s">
        <v>13</v>
      </c>
    </row>
    <row r="21" spans="14:20" ht="28.8" customHeight="1" x14ac:dyDescent="0.55000000000000004">
      <c r="N21" s="17" t="s">
        <v>13</v>
      </c>
      <c r="O21" s="161"/>
      <c r="P21" s="43" t="s">
        <v>13</v>
      </c>
      <c r="Q21" s="43" t="s">
        <v>13</v>
      </c>
      <c r="R21" s="43" t="s">
        <v>13</v>
      </c>
      <c r="S21" s="137" t="s">
        <v>13</v>
      </c>
      <c r="T21" s="128" t="s">
        <v>13</v>
      </c>
    </row>
    <row r="22" spans="14:20" ht="28.8" customHeight="1" x14ac:dyDescent="0.55000000000000004">
      <c r="N22" s="17" t="s">
        <v>13</v>
      </c>
      <c r="O22" s="160" t="s">
        <v>5</v>
      </c>
      <c r="P22" s="43" t="s">
        <v>13</v>
      </c>
      <c r="Q22" s="43" t="s">
        <v>13</v>
      </c>
      <c r="R22" s="43" t="s">
        <v>13</v>
      </c>
      <c r="S22" s="162" t="s">
        <v>13</v>
      </c>
      <c r="T22" s="128" t="s">
        <v>13</v>
      </c>
    </row>
    <row r="23" spans="14:20" ht="28.8" customHeight="1" x14ac:dyDescent="0.55000000000000004">
      <c r="N23" s="17" t="s">
        <v>13</v>
      </c>
      <c r="O23" s="161"/>
      <c r="P23" s="43" t="s">
        <v>13</v>
      </c>
      <c r="Q23" s="43" t="s">
        <v>13</v>
      </c>
      <c r="R23" s="43" t="s">
        <v>13</v>
      </c>
      <c r="S23" s="137" t="s">
        <v>13</v>
      </c>
      <c r="T23" s="128" t="s">
        <v>13</v>
      </c>
    </row>
    <row r="24" spans="14:20" ht="28.8" customHeight="1" x14ac:dyDescent="0.55000000000000004">
      <c r="N24" s="17" t="s">
        <v>13</v>
      </c>
      <c r="O24" s="160" t="s">
        <v>6</v>
      </c>
      <c r="P24" s="43" t="s">
        <v>13</v>
      </c>
      <c r="Q24" s="43" t="s">
        <v>13</v>
      </c>
      <c r="R24" s="43" t="s">
        <v>13</v>
      </c>
      <c r="S24" s="162" t="s">
        <v>13</v>
      </c>
      <c r="T24" s="128" t="s">
        <v>13</v>
      </c>
    </row>
    <row r="25" spans="14:20" ht="28.8" customHeight="1" x14ac:dyDescent="0.55000000000000004">
      <c r="N25" s="17" t="s">
        <v>13</v>
      </c>
      <c r="O25" s="161"/>
      <c r="P25" s="43" t="s">
        <v>13</v>
      </c>
      <c r="Q25" s="43" t="s">
        <v>13</v>
      </c>
      <c r="R25" s="43" t="s">
        <v>13</v>
      </c>
      <c r="S25" s="137" t="s">
        <v>13</v>
      </c>
      <c r="T25" s="128" t="s">
        <v>13</v>
      </c>
    </row>
    <row r="26" spans="14:20" ht="28.8" customHeight="1" x14ac:dyDescent="0.3">
      <c r="N26" s="61"/>
      <c r="O26" s="160" t="s">
        <v>7</v>
      </c>
      <c r="P26" s="72"/>
      <c r="Q26" s="72"/>
      <c r="R26" s="72"/>
      <c r="S26" s="163"/>
      <c r="T26" s="7"/>
    </row>
    <row r="27" spans="14:20" ht="28.8" customHeight="1" x14ac:dyDescent="0.3">
      <c r="N27" s="61"/>
      <c r="O27" s="72"/>
      <c r="P27" s="72"/>
      <c r="Q27" s="72"/>
      <c r="R27" s="72"/>
      <c r="S27" s="72"/>
      <c r="T27" s="7"/>
    </row>
    <row r="28" spans="14:20" ht="28.8" customHeight="1" x14ac:dyDescent="0.3">
      <c r="N28" s="61"/>
      <c r="O28" s="72"/>
      <c r="P28" s="72"/>
      <c r="Q28" s="72"/>
      <c r="R28" s="72"/>
      <c r="S28" s="72"/>
      <c r="T28" s="7"/>
    </row>
    <row r="29" spans="14:20" ht="28.8" customHeight="1" x14ac:dyDescent="0.3">
      <c r="N29" s="61"/>
      <c r="O29" s="72"/>
      <c r="P29" s="72"/>
      <c r="Q29" s="72"/>
      <c r="R29" s="72"/>
      <c r="S29" s="72"/>
      <c r="T29" s="7"/>
    </row>
    <row r="30" spans="14:20" ht="28.8" customHeight="1" x14ac:dyDescent="0.3">
      <c r="N30" s="61"/>
      <c r="O30" s="72"/>
      <c r="P30" s="72"/>
      <c r="Q30" s="72"/>
      <c r="R30" s="72"/>
      <c r="S30" s="72"/>
      <c r="T30" s="7"/>
    </row>
    <row r="31" spans="14:20" ht="28.8" customHeight="1" thickBot="1" x14ac:dyDescent="0.35">
      <c r="N31" s="73"/>
      <c r="O31" s="74"/>
      <c r="P31" s="74"/>
      <c r="Q31" s="74"/>
      <c r="R31" s="74"/>
      <c r="S31" s="74"/>
      <c r="T31" s="75"/>
    </row>
    <row r="32" spans="14:20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8E33B-D879-4247-9767-FBD5E77595A7}">
  <sheetPr codeName="Planilha61">
    <tabColor rgb="FF00B050"/>
  </sheetPr>
  <dimension ref="A1:AW66"/>
  <sheetViews>
    <sheetView zoomScale="40" zoomScaleNormal="40" workbookViewId="0">
      <selection activeCell="X35" sqref="X35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99.33203125" style="100" bestFit="1" customWidth="1"/>
    <col min="16" max="16" width="11.21875" style="100" customWidth="1"/>
    <col min="17" max="17" width="56.1093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</row>
    <row r="17" spans="1:37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</row>
    <row r="18" spans="1:37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</row>
    <row r="19" spans="1:37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</row>
    <row r="20" spans="1:37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</row>
    <row r="21" spans="1:37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</row>
    <row r="22" spans="1:37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</row>
    <row r="23" spans="1:37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</row>
    <row r="24" spans="1:37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</row>
    <row r="25" spans="1:37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</row>
    <row r="26" spans="1:37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</row>
    <row r="27" spans="1:37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</row>
    <row r="28" spans="1:37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</row>
    <row r="29" spans="1:37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</row>
    <row r="30" spans="1:37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</row>
    <row r="31" spans="1:37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</row>
    <row r="32" spans="1:37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</row>
    <row r="33" spans="1:37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</row>
    <row r="34" spans="1:37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</row>
    <row r="35" spans="1:37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</row>
    <row r="36" spans="1:37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</row>
    <row r="37" spans="1:37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</row>
    <row r="38" spans="1:37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</row>
    <row r="39" spans="1:37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</row>
    <row r="40" spans="1:37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</row>
    <row r="41" spans="1:37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</row>
    <row r="42" spans="1:37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</row>
    <row r="43" spans="1:37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</row>
    <row r="44" spans="1:37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</row>
    <row r="45" spans="1:37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</row>
    <row r="46" spans="1:37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</row>
    <row r="47" spans="1:37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</row>
    <row r="48" spans="1:37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</row>
    <row r="49" spans="1:37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</row>
    <row r="50" spans="1:37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</row>
    <row r="51" spans="1:37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</row>
    <row r="52" spans="1:37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</row>
    <row r="53" spans="1:37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</row>
    <row r="54" spans="1:37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</row>
    <row r="55" spans="1:37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</row>
    <row r="56" spans="1:37" ht="28.8" customHeight="1" x14ac:dyDescent="0.3"/>
    <row r="57" spans="1:37" ht="28.8" customHeight="1" x14ac:dyDescent="0.3"/>
    <row r="58" spans="1:37" ht="28.8" customHeight="1" x14ac:dyDescent="0.3"/>
    <row r="59" spans="1:37" ht="28.8" customHeight="1" x14ac:dyDescent="0.3"/>
    <row r="60" spans="1:37" ht="28.8" customHeight="1" x14ac:dyDescent="0.3"/>
    <row r="61" spans="1:37" ht="28.8" customHeight="1" x14ac:dyDescent="0.3"/>
    <row r="62" spans="1:37" ht="28.8" customHeight="1" x14ac:dyDescent="0.3"/>
    <row r="63" spans="1:37" ht="28.8" customHeight="1" x14ac:dyDescent="0.3"/>
    <row r="64" spans="1:37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C65B-976F-4821-8648-7AD25197BDE0}">
  <sheetPr codeName="Planilha37">
    <tabColor rgb="FF00B050"/>
  </sheetPr>
  <dimension ref="A1:AW66"/>
  <sheetViews>
    <sheetView zoomScale="40" zoomScaleNormal="40" workbookViewId="0">
      <selection activeCell="V24" sqref="V24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99.33203125" style="100" bestFit="1" customWidth="1"/>
    <col min="16" max="16" width="11.21875" style="100" customWidth="1"/>
    <col min="17" max="17" width="56.1093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x14ac:dyDescent="0.3"/>
    <row r="13" spans="1:49" ht="28.8" customHeight="1" thickBot="1" x14ac:dyDescent="0.35"/>
    <row r="14" spans="1:49" ht="28.8" customHeight="1" x14ac:dyDescent="0.3">
      <c r="N14" s="271" t="s">
        <v>654</v>
      </c>
      <c r="O14" s="272"/>
      <c r="P14" s="272"/>
      <c r="Q14" s="272"/>
      <c r="R14" s="273"/>
    </row>
    <row r="15" spans="1:49" ht="28.8" customHeight="1" x14ac:dyDescent="0.3">
      <c r="N15" s="274"/>
      <c r="O15" s="275"/>
      <c r="P15" s="275"/>
      <c r="Q15" s="275"/>
      <c r="R15" s="276"/>
    </row>
    <row r="16" spans="1:49" ht="28.8" customHeight="1" x14ac:dyDescent="0.3">
      <c r="N16" s="274"/>
      <c r="O16" s="275"/>
      <c r="P16" s="275"/>
      <c r="Q16" s="275"/>
      <c r="R16" s="276"/>
    </row>
    <row r="17" spans="14:18" ht="28.8" customHeight="1" x14ac:dyDescent="0.55000000000000004">
      <c r="N17" s="17" t="s">
        <v>13</v>
      </c>
      <c r="O17" s="43" t="s">
        <v>13</v>
      </c>
      <c r="P17" s="43" t="s">
        <v>13</v>
      </c>
      <c r="Q17" s="45" t="s">
        <v>13</v>
      </c>
      <c r="R17" s="128" t="s">
        <v>13</v>
      </c>
    </row>
    <row r="18" spans="14:18" ht="28.8" customHeight="1" x14ac:dyDescent="0.55000000000000004">
      <c r="N18" s="17" t="s">
        <v>13</v>
      </c>
      <c r="O18" s="138" t="s">
        <v>284</v>
      </c>
      <c r="P18" s="43" t="s">
        <v>13</v>
      </c>
      <c r="Q18" s="165"/>
      <c r="R18" s="128" t="s">
        <v>13</v>
      </c>
    </row>
    <row r="19" spans="14:18" ht="28.8" customHeight="1" x14ac:dyDescent="0.55000000000000004">
      <c r="N19" s="17" t="s">
        <v>13</v>
      </c>
      <c r="O19" s="43" t="s">
        <v>13</v>
      </c>
      <c r="P19" s="43" t="s">
        <v>13</v>
      </c>
      <c r="Q19" s="45" t="s">
        <v>13</v>
      </c>
      <c r="R19" s="13" t="s">
        <v>13</v>
      </c>
    </row>
    <row r="20" spans="14:18" ht="28.8" customHeight="1" x14ac:dyDescent="0.55000000000000004">
      <c r="N20" s="17" t="s">
        <v>13</v>
      </c>
      <c r="O20" s="160" t="s">
        <v>285</v>
      </c>
      <c r="P20" s="43" t="s">
        <v>13</v>
      </c>
      <c r="Q20" s="165"/>
      <c r="R20" s="128" t="s">
        <v>13</v>
      </c>
    </row>
    <row r="21" spans="14:18" ht="28.8" customHeight="1" x14ac:dyDescent="0.55000000000000004">
      <c r="N21" s="17" t="s">
        <v>13</v>
      </c>
      <c r="O21" s="161"/>
      <c r="P21" s="43" t="s">
        <v>13</v>
      </c>
      <c r="Q21" s="137" t="s">
        <v>13</v>
      </c>
      <c r="R21" s="128" t="s">
        <v>13</v>
      </c>
    </row>
    <row r="22" spans="14:18" ht="28.8" customHeight="1" x14ac:dyDescent="0.55000000000000004">
      <c r="N22" s="17" t="s">
        <v>13</v>
      </c>
      <c r="O22" s="72"/>
      <c r="P22" s="72"/>
      <c r="Q22" s="72"/>
      <c r="R22" s="128" t="s">
        <v>13</v>
      </c>
    </row>
    <row r="23" spans="14:18" ht="28.8" customHeight="1" x14ac:dyDescent="0.55000000000000004">
      <c r="N23" s="17" t="s">
        <v>13</v>
      </c>
      <c r="O23" s="72"/>
      <c r="P23" s="72"/>
      <c r="Q23" s="72"/>
      <c r="R23" s="128" t="s">
        <v>13</v>
      </c>
    </row>
    <row r="24" spans="14:18" ht="28.8" customHeight="1" x14ac:dyDescent="0.55000000000000004">
      <c r="N24" s="17" t="s">
        <v>13</v>
      </c>
      <c r="O24" s="72"/>
      <c r="P24" s="72"/>
      <c r="Q24" s="72"/>
      <c r="R24" s="128" t="s">
        <v>13</v>
      </c>
    </row>
    <row r="25" spans="14:18" ht="28.8" customHeight="1" x14ac:dyDescent="0.55000000000000004">
      <c r="N25" s="17" t="s">
        <v>13</v>
      </c>
      <c r="O25" s="72"/>
      <c r="P25" s="72"/>
      <c r="Q25" s="72"/>
      <c r="R25" s="128" t="s">
        <v>13</v>
      </c>
    </row>
    <row r="26" spans="14:18" ht="28.8" customHeight="1" thickBot="1" x14ac:dyDescent="0.35">
      <c r="N26" s="73"/>
      <c r="O26" s="74"/>
      <c r="P26" s="74"/>
      <c r="Q26" s="74"/>
      <c r="R26" s="75"/>
    </row>
    <row r="27" spans="14:18" ht="28.8" customHeight="1" x14ac:dyDescent="0.3"/>
    <row r="28" spans="14:18" ht="28.8" customHeight="1" thickBot="1" x14ac:dyDescent="0.35"/>
    <row r="29" spans="14:18" ht="28.8" customHeight="1" x14ac:dyDescent="0.3">
      <c r="N29" s="271" t="s">
        <v>651</v>
      </c>
      <c r="O29" s="272"/>
      <c r="P29" s="272"/>
      <c r="Q29" s="272"/>
      <c r="R29" s="273"/>
    </row>
    <row r="30" spans="14:18" ht="28.8" customHeight="1" x14ac:dyDescent="0.3">
      <c r="N30" s="274"/>
      <c r="O30" s="463"/>
      <c r="P30" s="463"/>
      <c r="Q30" s="463"/>
      <c r="R30" s="276"/>
    </row>
    <row r="31" spans="14:18" ht="28.8" customHeight="1" x14ac:dyDescent="0.3">
      <c r="N31" s="274"/>
      <c r="O31" s="463"/>
      <c r="P31" s="463"/>
      <c r="Q31" s="463"/>
      <c r="R31" s="276"/>
    </row>
    <row r="32" spans="14:18" ht="28.8" customHeight="1" x14ac:dyDescent="0.55000000000000004">
      <c r="N32" s="17" t="s">
        <v>13</v>
      </c>
      <c r="O32" s="19" t="s">
        <v>13</v>
      </c>
      <c r="P32" s="19" t="s">
        <v>13</v>
      </c>
      <c r="Q32" s="12" t="s">
        <v>13</v>
      </c>
      <c r="R32" s="13" t="s">
        <v>13</v>
      </c>
    </row>
    <row r="33" spans="14:18" ht="28.8" customHeight="1" x14ac:dyDescent="0.55000000000000004">
      <c r="N33" s="17" t="s">
        <v>13</v>
      </c>
      <c r="O33" s="126" t="s">
        <v>652</v>
      </c>
      <c r="P33" s="19" t="s">
        <v>13</v>
      </c>
      <c r="Q33" s="165"/>
      <c r="R33" s="13" t="s">
        <v>13</v>
      </c>
    </row>
    <row r="34" spans="14:18" ht="28.8" customHeight="1" x14ac:dyDescent="0.55000000000000004">
      <c r="N34" s="17" t="s">
        <v>13</v>
      </c>
      <c r="O34" s="19" t="s">
        <v>13</v>
      </c>
      <c r="P34" s="19" t="s">
        <v>13</v>
      </c>
      <c r="Q34" s="12" t="s">
        <v>13</v>
      </c>
      <c r="R34" s="13" t="s">
        <v>13</v>
      </c>
    </row>
    <row r="35" spans="14:18" ht="28.8" customHeight="1" x14ac:dyDescent="0.55000000000000004">
      <c r="N35" s="17" t="s">
        <v>13</v>
      </c>
      <c r="O35" s="464" t="s">
        <v>653</v>
      </c>
      <c r="P35" s="19" t="s">
        <v>13</v>
      </c>
      <c r="Q35" s="165"/>
      <c r="R35" s="13" t="s">
        <v>13</v>
      </c>
    </row>
    <row r="36" spans="14:18" ht="28.8" customHeight="1" x14ac:dyDescent="0.55000000000000004">
      <c r="N36" s="17" t="s">
        <v>13</v>
      </c>
      <c r="O36" s="465"/>
      <c r="P36" s="19" t="s">
        <v>13</v>
      </c>
      <c r="Q36" s="12" t="s">
        <v>13</v>
      </c>
      <c r="R36" s="13" t="s">
        <v>13</v>
      </c>
    </row>
    <row r="37" spans="14:18" ht="28.8" customHeight="1" x14ac:dyDescent="0.55000000000000004">
      <c r="N37" s="17" t="s">
        <v>13</v>
      </c>
      <c r="O37" s="314"/>
      <c r="P37" s="314"/>
      <c r="Q37" s="314"/>
      <c r="R37" s="13" t="s">
        <v>13</v>
      </c>
    </row>
    <row r="38" spans="14:18" ht="28.8" customHeight="1" x14ac:dyDescent="0.55000000000000004">
      <c r="N38" s="17" t="s">
        <v>13</v>
      </c>
      <c r="O38" s="314"/>
      <c r="P38" s="314"/>
      <c r="Q38" s="314"/>
      <c r="R38" s="13" t="s">
        <v>13</v>
      </c>
    </row>
    <row r="39" spans="14:18" ht="28.8" customHeight="1" x14ac:dyDescent="0.55000000000000004">
      <c r="N39" s="17" t="s">
        <v>13</v>
      </c>
      <c r="O39" s="314"/>
      <c r="P39" s="314"/>
      <c r="Q39" s="314"/>
      <c r="R39" s="13" t="s">
        <v>13</v>
      </c>
    </row>
    <row r="40" spans="14:18" ht="28.8" customHeight="1" x14ac:dyDescent="0.55000000000000004">
      <c r="N40" s="17" t="s">
        <v>13</v>
      </c>
      <c r="O40" s="314"/>
      <c r="P40" s="314"/>
      <c r="Q40" s="314"/>
      <c r="R40" s="13" t="s">
        <v>13</v>
      </c>
    </row>
    <row r="41" spans="14:18" ht="28.8" customHeight="1" thickBot="1" x14ac:dyDescent="0.35">
      <c r="N41" s="73"/>
      <c r="O41" s="74"/>
      <c r="P41" s="74"/>
      <c r="Q41" s="74"/>
      <c r="R41" s="75"/>
    </row>
    <row r="42" spans="14:18" ht="28.8" customHeight="1" x14ac:dyDescent="0.3"/>
    <row r="43" spans="14:18" ht="28.8" customHeight="1" x14ac:dyDescent="0.3"/>
    <row r="44" spans="14:18" ht="28.8" customHeight="1" x14ac:dyDescent="0.3"/>
    <row r="45" spans="14:18" ht="28.8" customHeight="1" x14ac:dyDescent="0.3"/>
    <row r="46" spans="14:18" ht="28.8" customHeight="1" x14ac:dyDescent="0.3"/>
    <row r="47" spans="14:18" ht="28.8" customHeight="1" x14ac:dyDescent="0.3"/>
    <row r="48" spans="14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R16"/>
    <mergeCell ref="N29:R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90F-34AD-404D-B4DA-B6EDB56960A3}">
  <sheetPr codeName="Planilha38">
    <tabColor rgb="FF00B050"/>
  </sheetPr>
  <dimension ref="A1:AW66"/>
  <sheetViews>
    <sheetView zoomScale="40" zoomScaleNormal="40" workbookViewId="0">
      <selection activeCell="I40" sqref="I40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9" style="100" customWidth="1"/>
    <col min="14" max="14" width="30.664062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thickBot="1" x14ac:dyDescent="0.35"/>
    <row r="13" spans="1:49" ht="28.8" customHeight="1" x14ac:dyDescent="0.3">
      <c r="M13" s="299" t="s">
        <v>286</v>
      </c>
      <c r="N13" s="300"/>
      <c r="O13" s="300"/>
      <c r="P13" s="300"/>
      <c r="Q13" s="301"/>
    </row>
    <row r="14" spans="1:49" ht="28.8" customHeight="1" thickBot="1" x14ac:dyDescent="0.35">
      <c r="M14" s="302"/>
      <c r="N14" s="303"/>
      <c r="O14" s="303"/>
      <c r="P14" s="303"/>
      <c r="Q14" s="304"/>
    </row>
    <row r="15" spans="1:49" ht="28.8" customHeight="1" thickBot="1" x14ac:dyDescent="0.35">
      <c r="M15" s="8"/>
      <c r="N15" s="49"/>
      <c r="O15" s="49"/>
      <c r="P15" s="49"/>
      <c r="Q15" s="50"/>
    </row>
    <row r="16" spans="1:49" ht="28.8" customHeight="1" thickBot="1" x14ac:dyDescent="0.35">
      <c r="M16" s="8"/>
      <c r="N16" s="166" t="s">
        <v>287</v>
      </c>
      <c r="O16" s="49"/>
      <c r="P16" s="47"/>
      <c r="Q16" s="50"/>
    </row>
    <row r="17" spans="13:17" ht="28.8" customHeight="1" thickBot="1" x14ac:dyDescent="0.35">
      <c r="M17" s="8"/>
      <c r="N17" s="166"/>
      <c r="O17" s="49"/>
      <c r="P17" s="49"/>
      <c r="Q17" s="50"/>
    </row>
    <row r="18" spans="13:17" ht="28.8" customHeight="1" thickBot="1" x14ac:dyDescent="0.35">
      <c r="M18" s="8"/>
      <c r="N18" s="166" t="s">
        <v>288</v>
      </c>
      <c r="O18" s="49"/>
      <c r="P18" s="47"/>
      <c r="Q18" s="50"/>
    </row>
    <row r="19" spans="13:17" ht="28.8" customHeight="1" thickBot="1" x14ac:dyDescent="0.35">
      <c r="M19" s="8"/>
      <c r="N19" s="166"/>
      <c r="O19" s="49"/>
      <c r="P19" s="49"/>
      <c r="Q19" s="50"/>
    </row>
    <row r="20" spans="13:17" ht="28.8" customHeight="1" thickBot="1" x14ac:dyDescent="0.35">
      <c r="M20" s="8"/>
      <c r="N20" s="166" t="s">
        <v>289</v>
      </c>
      <c r="O20" s="49"/>
      <c r="P20" s="47"/>
      <c r="Q20" s="50"/>
    </row>
    <row r="21" spans="13:17" ht="28.8" customHeight="1" thickBot="1" x14ac:dyDescent="0.35">
      <c r="M21" s="8"/>
      <c r="N21" s="166"/>
      <c r="O21" s="49"/>
      <c r="P21" s="49"/>
      <c r="Q21" s="50"/>
    </row>
    <row r="22" spans="13:17" ht="28.8" customHeight="1" thickBot="1" x14ac:dyDescent="0.35">
      <c r="M22" s="8"/>
      <c r="N22" s="166" t="s">
        <v>290</v>
      </c>
      <c r="O22" s="49"/>
      <c r="P22" s="47"/>
      <c r="Q22" s="50"/>
    </row>
    <row r="23" spans="13:17" ht="28.8" customHeight="1" thickBot="1" x14ac:dyDescent="0.35">
      <c r="M23" s="8"/>
      <c r="N23" s="166"/>
      <c r="O23" s="49"/>
      <c r="P23" s="49"/>
      <c r="Q23" s="50"/>
    </row>
    <row r="24" spans="13:17" ht="28.8" customHeight="1" thickBot="1" x14ac:dyDescent="0.35">
      <c r="M24" s="8"/>
      <c r="N24" s="166" t="s">
        <v>291</v>
      </c>
      <c r="O24" s="49"/>
      <c r="P24" s="47"/>
      <c r="Q24" s="50"/>
    </row>
    <row r="25" spans="13:17" ht="28.8" customHeight="1" thickBot="1" x14ac:dyDescent="0.35">
      <c r="M25" s="8"/>
      <c r="N25" s="166"/>
      <c r="O25" s="49"/>
      <c r="P25" s="49"/>
      <c r="Q25" s="50"/>
    </row>
    <row r="26" spans="13:17" ht="28.8" customHeight="1" thickBot="1" x14ac:dyDescent="0.35">
      <c r="M26" s="8"/>
      <c r="N26" s="166" t="s">
        <v>292</v>
      </c>
      <c r="O26" s="49"/>
      <c r="P26" s="47"/>
      <c r="Q26" s="50"/>
    </row>
    <row r="27" spans="13:17" ht="28.8" customHeight="1" thickBot="1" x14ac:dyDescent="0.35">
      <c r="M27" s="8"/>
      <c r="N27" s="166"/>
      <c r="O27" s="49"/>
      <c r="P27" s="49"/>
      <c r="Q27" s="50"/>
    </row>
    <row r="28" spans="13:17" ht="28.8" customHeight="1" thickBot="1" x14ac:dyDescent="0.35">
      <c r="M28" s="8"/>
      <c r="N28" s="166" t="s">
        <v>293</v>
      </c>
      <c r="O28" s="49"/>
      <c r="P28" s="47"/>
      <c r="Q28" s="50"/>
    </row>
    <row r="29" spans="13:17" ht="28.8" customHeight="1" thickBot="1" x14ac:dyDescent="0.35">
      <c r="M29" s="8"/>
      <c r="N29" s="166"/>
      <c r="O29" s="49"/>
      <c r="P29" s="49"/>
      <c r="Q29" s="50"/>
    </row>
    <row r="30" spans="13:17" ht="28.8" customHeight="1" thickBot="1" x14ac:dyDescent="0.35">
      <c r="M30" s="8"/>
      <c r="N30" s="166" t="s">
        <v>294</v>
      </c>
      <c r="O30" s="49"/>
      <c r="P30" s="47"/>
      <c r="Q30" s="50"/>
    </row>
    <row r="31" spans="13:17" ht="28.8" customHeight="1" thickBot="1" x14ac:dyDescent="0.35">
      <c r="M31" s="8"/>
      <c r="N31" s="166"/>
      <c r="O31" s="49"/>
      <c r="P31" s="49"/>
      <c r="Q31" s="50"/>
    </row>
    <row r="32" spans="13:17" ht="28.8" customHeight="1" thickBot="1" x14ac:dyDescent="0.35">
      <c r="M32" s="8"/>
      <c r="N32" s="166" t="s">
        <v>295</v>
      </c>
      <c r="O32" s="49"/>
      <c r="P32" s="47"/>
      <c r="Q32" s="50"/>
    </row>
    <row r="33" spans="13:17" ht="28.8" customHeight="1" thickBot="1" x14ac:dyDescent="0.35">
      <c r="M33" s="8"/>
      <c r="N33" s="167"/>
      <c r="O33" s="49"/>
      <c r="P33" s="49"/>
      <c r="Q33" s="50"/>
    </row>
    <row r="34" spans="13:17" ht="28.8" customHeight="1" thickBot="1" x14ac:dyDescent="0.35">
      <c r="M34" s="8"/>
      <c r="N34" s="166" t="s">
        <v>296</v>
      </c>
      <c r="O34" s="49"/>
      <c r="P34" s="47"/>
      <c r="Q34" s="50"/>
    </row>
    <row r="35" spans="13:17" ht="28.8" customHeight="1" thickBot="1" x14ac:dyDescent="0.35">
      <c r="M35" s="8"/>
      <c r="N35" s="167"/>
      <c r="O35" s="49"/>
      <c r="P35" s="49"/>
      <c r="Q35" s="50"/>
    </row>
    <row r="36" spans="13:17" ht="28.8" customHeight="1" thickBot="1" x14ac:dyDescent="0.35">
      <c r="M36" s="8"/>
      <c r="N36" s="166" t="s">
        <v>297</v>
      </c>
      <c r="O36" s="49"/>
      <c r="P36" s="48"/>
      <c r="Q36" s="50"/>
    </row>
    <row r="37" spans="13:17" ht="28.8" customHeight="1" thickBot="1" x14ac:dyDescent="0.35">
      <c r="M37" s="8"/>
      <c r="N37" s="167"/>
      <c r="O37" s="49"/>
      <c r="P37" s="49"/>
      <c r="Q37" s="50"/>
    </row>
    <row r="38" spans="13:17" ht="28.8" customHeight="1" thickBot="1" x14ac:dyDescent="0.45">
      <c r="M38" s="8"/>
      <c r="N38" s="166" t="s">
        <v>298</v>
      </c>
      <c r="O38" s="49"/>
      <c r="P38" s="168" t="s">
        <v>300</v>
      </c>
      <c r="Q38" s="50"/>
    </row>
    <row r="39" spans="13:17" ht="28.8" customHeight="1" thickBot="1" x14ac:dyDescent="0.35">
      <c r="M39" s="8"/>
      <c r="N39" s="167"/>
      <c r="O39" s="49"/>
      <c r="P39" s="49"/>
      <c r="Q39" s="50"/>
    </row>
    <row r="40" spans="13:17" ht="28.8" customHeight="1" thickBot="1" x14ac:dyDescent="0.35">
      <c r="M40" s="8"/>
      <c r="N40" s="166" t="s">
        <v>299</v>
      </c>
      <c r="O40" s="49"/>
      <c r="P40" s="47"/>
      <c r="Q40" s="50"/>
    </row>
    <row r="41" spans="13:17" ht="28.8" customHeight="1" x14ac:dyDescent="0.3">
      <c r="M41" s="8"/>
      <c r="N41" s="49"/>
      <c r="O41" s="49"/>
      <c r="P41" s="49"/>
      <c r="Q41" s="50"/>
    </row>
    <row r="42" spans="13:17" ht="28.8" customHeight="1" x14ac:dyDescent="0.3">
      <c r="M42" s="8"/>
      <c r="N42" s="49"/>
      <c r="O42" s="49"/>
      <c r="P42" s="49"/>
      <c r="Q42" s="50"/>
    </row>
    <row r="43" spans="13:17" ht="28.8" customHeight="1" x14ac:dyDescent="0.3">
      <c r="M43" s="8"/>
      <c r="N43" s="49"/>
      <c r="O43" s="49"/>
      <c r="P43" s="49"/>
      <c r="Q43" s="50"/>
    </row>
    <row r="44" spans="13:17" ht="28.8" customHeight="1" x14ac:dyDescent="0.3">
      <c r="M44" s="8"/>
      <c r="N44" s="49"/>
      <c r="O44" s="49"/>
      <c r="P44" s="49"/>
      <c r="Q44" s="50"/>
    </row>
    <row r="45" spans="13:17" ht="28.8" customHeight="1" x14ac:dyDescent="0.3">
      <c r="M45" s="8"/>
      <c r="N45" s="49"/>
      <c r="O45" s="49"/>
      <c r="P45" s="49"/>
      <c r="Q45" s="50"/>
    </row>
    <row r="46" spans="13:17" ht="28.8" customHeight="1" thickBot="1" x14ac:dyDescent="0.35">
      <c r="M46" s="51"/>
      <c r="N46" s="52"/>
      <c r="O46" s="52"/>
      <c r="P46" s="52"/>
      <c r="Q46" s="53"/>
    </row>
    <row r="47" spans="13:17" ht="28.8" customHeight="1" x14ac:dyDescent="0.3"/>
    <row r="48" spans="13:17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768-0A6B-464C-ADF2-C292B4AC449F}">
  <sheetPr codeName="Planilha39">
    <tabColor rgb="FF00B050"/>
  </sheetPr>
  <dimension ref="A1:AW66"/>
  <sheetViews>
    <sheetView zoomScale="40" zoomScaleNormal="40" workbookViewId="0">
      <selection activeCell="N47" sqref="N47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11.21875" style="100" customWidth="1"/>
    <col min="7" max="7" width="26" style="100" bestFit="1" customWidth="1"/>
    <col min="8" max="8" width="19.44140625" style="100" bestFit="1" customWidth="1"/>
    <col min="9" max="9" width="104.33203125" style="100" bestFit="1" customWidth="1"/>
    <col min="10" max="10" width="12.6640625" style="100" customWidth="1"/>
    <col min="11" max="11" width="4.5546875" style="100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thickBot="1" x14ac:dyDescent="0.35"/>
    <row r="10" spans="1:49" ht="28.8" customHeight="1" x14ac:dyDescent="0.3">
      <c r="D10" s="299" t="s">
        <v>301</v>
      </c>
      <c r="E10" s="300"/>
      <c r="F10" s="301"/>
      <c r="H10" s="173"/>
      <c r="I10" s="174"/>
      <c r="J10" s="174"/>
      <c r="K10" s="174"/>
      <c r="L10" s="174"/>
      <c r="M10" s="174"/>
      <c r="N10" s="174"/>
      <c r="O10" s="174"/>
      <c r="P10" s="175"/>
    </row>
    <row r="11" spans="1:49" ht="28.8" customHeight="1" x14ac:dyDescent="0.3">
      <c r="D11" s="305"/>
      <c r="E11" s="306"/>
      <c r="F11" s="307"/>
      <c r="H11" s="176"/>
      <c r="I11" s="170" t="s">
        <v>401</v>
      </c>
      <c r="J11" s="177"/>
      <c r="K11" s="177"/>
      <c r="L11" s="177"/>
      <c r="M11" s="177"/>
      <c r="N11" s="178" t="s">
        <v>306</v>
      </c>
      <c r="O11" s="177"/>
      <c r="P11" s="179"/>
    </row>
    <row r="12" spans="1:49" ht="28.8" customHeight="1" x14ac:dyDescent="0.5">
      <c r="D12" s="305"/>
      <c r="E12" s="306"/>
      <c r="F12" s="307"/>
      <c r="H12" s="176"/>
      <c r="I12" s="180" t="s">
        <v>307</v>
      </c>
      <c r="J12" s="177"/>
      <c r="K12" s="177"/>
      <c r="L12" s="177"/>
      <c r="M12" s="177"/>
      <c r="N12" s="172" t="s">
        <v>308</v>
      </c>
      <c r="O12" s="177"/>
      <c r="P12" s="179"/>
    </row>
    <row r="13" spans="1:49" ht="28.8" customHeight="1" x14ac:dyDescent="0.35">
      <c r="D13" s="65"/>
      <c r="E13" s="66"/>
      <c r="F13" s="67"/>
      <c r="H13" s="176"/>
      <c r="I13" s="180" t="s">
        <v>309</v>
      </c>
      <c r="J13" s="177"/>
      <c r="K13" s="177"/>
      <c r="L13" s="177"/>
      <c r="M13" s="177"/>
      <c r="N13" s="181"/>
      <c r="O13" s="177"/>
      <c r="P13" s="179"/>
    </row>
    <row r="14" spans="1:49" ht="28.8" customHeight="1" x14ac:dyDescent="0.3">
      <c r="D14" s="68"/>
      <c r="E14" s="169" t="s">
        <v>302</v>
      </c>
      <c r="F14" s="69"/>
      <c r="H14" s="182"/>
      <c r="I14" s="183"/>
      <c r="J14" s="183"/>
      <c r="K14" s="183"/>
      <c r="L14" s="183"/>
      <c r="M14" s="183"/>
      <c r="N14" s="183"/>
      <c r="O14" s="183"/>
      <c r="P14" s="184"/>
    </row>
    <row r="15" spans="1:49" ht="28.8" customHeight="1" thickBot="1" x14ac:dyDescent="0.35">
      <c r="D15" s="70"/>
      <c r="E15" s="71"/>
      <c r="F15" s="69"/>
      <c r="H15" s="185"/>
      <c r="I15" s="186"/>
      <c r="J15" s="186"/>
      <c r="K15" s="186"/>
      <c r="L15" s="186"/>
      <c r="M15" s="186"/>
      <c r="N15" s="186"/>
      <c r="O15" s="186"/>
      <c r="P15" s="187"/>
    </row>
    <row r="16" spans="1:49" ht="28.8" customHeight="1" thickBot="1" x14ac:dyDescent="0.55000000000000004">
      <c r="D16" s="64"/>
      <c r="E16" s="37"/>
      <c r="F16" s="7"/>
      <c r="H16" s="188"/>
      <c r="I16" s="211" t="s">
        <v>310</v>
      </c>
      <c r="J16" s="189"/>
      <c r="K16" s="189"/>
      <c r="L16" s="189"/>
      <c r="M16" s="189"/>
      <c r="N16" s="171" t="s">
        <v>311</v>
      </c>
      <c r="O16" s="189"/>
      <c r="P16" s="190"/>
    </row>
    <row r="17" spans="4:16" ht="28.8" customHeight="1" x14ac:dyDescent="0.3">
      <c r="D17" s="64"/>
      <c r="E17" s="63"/>
      <c r="F17" s="7"/>
      <c r="H17" s="188"/>
      <c r="I17" s="191"/>
      <c r="J17" s="189"/>
      <c r="K17" s="189"/>
      <c r="L17" s="189"/>
      <c r="M17" s="189"/>
      <c r="N17" s="191"/>
      <c r="O17" s="189"/>
      <c r="P17" s="190"/>
    </row>
    <row r="18" spans="4:16" ht="28.8" customHeight="1" x14ac:dyDescent="0.3">
      <c r="D18" s="61"/>
      <c r="E18" s="169" t="s">
        <v>303</v>
      </c>
      <c r="F18" s="7"/>
      <c r="H18" s="188"/>
      <c r="I18" s="192"/>
      <c r="J18" s="192"/>
      <c r="K18" s="192"/>
      <c r="L18" s="192"/>
      <c r="M18" s="192"/>
      <c r="N18" s="192"/>
      <c r="O18" s="192"/>
      <c r="P18" s="193"/>
    </row>
    <row r="19" spans="4:16" ht="28.8" customHeight="1" thickBot="1" x14ac:dyDescent="0.45">
      <c r="D19" s="61"/>
      <c r="E19" s="63"/>
      <c r="F19" s="7"/>
      <c r="H19" s="194"/>
      <c r="I19" s="212" t="s">
        <v>312</v>
      </c>
      <c r="J19" s="195"/>
      <c r="K19" s="195"/>
      <c r="L19" s="215" t="s">
        <v>313</v>
      </c>
      <c r="M19" s="215" t="s">
        <v>314</v>
      </c>
      <c r="N19" s="196"/>
      <c r="O19" s="212" t="s">
        <v>315</v>
      </c>
      <c r="P19" s="196"/>
    </row>
    <row r="20" spans="4:16" ht="28.8" customHeight="1" thickBot="1" x14ac:dyDescent="0.35">
      <c r="D20" s="61"/>
      <c r="E20" s="38"/>
      <c r="F20" s="7"/>
      <c r="H20" s="197"/>
      <c r="I20" s="213" t="s">
        <v>316</v>
      </c>
      <c r="J20" s="195"/>
      <c r="K20" s="195"/>
      <c r="L20" s="198"/>
      <c r="M20" s="198"/>
      <c r="N20" s="196"/>
      <c r="O20" s="195"/>
      <c r="P20" s="196"/>
    </row>
    <row r="21" spans="4:16" ht="28.8" customHeight="1" x14ac:dyDescent="0.3">
      <c r="D21" s="61"/>
      <c r="E21" s="63"/>
      <c r="F21" s="7"/>
      <c r="H21" s="197"/>
      <c r="I21" s="214" t="s">
        <v>317</v>
      </c>
      <c r="J21" s="199"/>
      <c r="K21" s="199"/>
      <c r="L21" s="197"/>
      <c r="M21" s="197"/>
      <c r="N21" s="200"/>
      <c r="O21" s="199"/>
      <c r="P21" s="200"/>
    </row>
    <row r="22" spans="4:16" ht="28.8" customHeight="1" x14ac:dyDescent="0.3">
      <c r="D22" s="61"/>
      <c r="E22" s="169" t="s">
        <v>304</v>
      </c>
      <c r="F22" s="57"/>
      <c r="H22" s="197"/>
      <c r="I22" s="213" t="s">
        <v>318</v>
      </c>
      <c r="J22" s="195"/>
      <c r="K22" s="195"/>
      <c r="L22" s="198"/>
      <c r="M22" s="198"/>
      <c r="N22" s="196"/>
      <c r="O22" s="195"/>
      <c r="P22" s="196"/>
    </row>
    <row r="23" spans="4:16" ht="28.8" customHeight="1" thickBot="1" x14ac:dyDescent="0.35">
      <c r="D23" s="61"/>
      <c r="E23" s="62"/>
      <c r="F23" s="57"/>
      <c r="H23" s="197"/>
      <c r="I23" s="214" t="s">
        <v>319</v>
      </c>
      <c r="J23" s="199"/>
      <c r="K23" s="199"/>
      <c r="L23" s="197"/>
      <c r="M23" s="197"/>
      <c r="N23" s="200"/>
      <c r="O23" s="199"/>
      <c r="P23" s="200"/>
    </row>
    <row r="24" spans="4:16" ht="28.8" customHeight="1" thickBot="1" x14ac:dyDescent="0.35">
      <c r="D24" s="61"/>
      <c r="E24" s="54"/>
      <c r="F24" s="57"/>
      <c r="H24" s="197"/>
      <c r="I24" s="213" t="s">
        <v>320</v>
      </c>
      <c r="J24" s="195"/>
      <c r="K24" s="195"/>
      <c r="L24" s="198"/>
      <c r="M24" s="198"/>
      <c r="N24" s="196"/>
      <c r="O24" s="195"/>
      <c r="P24" s="196"/>
    </row>
    <row r="25" spans="4:16" ht="28.8" customHeight="1" x14ac:dyDescent="0.3">
      <c r="D25" s="61"/>
      <c r="E25" s="62"/>
      <c r="F25" s="57"/>
      <c r="H25" s="201"/>
      <c r="I25" s="201"/>
      <c r="J25" s="202"/>
      <c r="K25" s="202"/>
      <c r="L25" s="201"/>
      <c r="M25" s="201"/>
      <c r="N25" s="203"/>
      <c r="O25" s="202"/>
      <c r="P25" s="203"/>
    </row>
    <row r="26" spans="4:16" ht="28.8" customHeight="1" x14ac:dyDescent="0.4">
      <c r="D26" s="61"/>
      <c r="E26" s="169" t="s">
        <v>305</v>
      </c>
      <c r="F26" s="57"/>
      <c r="H26" s="197"/>
      <c r="I26" s="216" t="s">
        <v>321</v>
      </c>
      <c r="J26" s="199"/>
      <c r="K26" s="199"/>
      <c r="L26" s="199"/>
      <c r="M26" s="216" t="s">
        <v>322</v>
      </c>
      <c r="N26" s="200"/>
      <c r="O26" s="219" t="s">
        <v>323</v>
      </c>
      <c r="P26" s="200"/>
    </row>
    <row r="27" spans="4:16" ht="28.8" customHeight="1" thickBot="1" x14ac:dyDescent="0.35">
      <c r="D27" s="61"/>
      <c r="E27" s="62"/>
      <c r="F27" s="57"/>
      <c r="H27" s="197"/>
      <c r="I27" s="197"/>
      <c r="J27" s="199"/>
      <c r="K27" s="199"/>
      <c r="L27" s="199"/>
      <c r="M27" s="197"/>
      <c r="N27" s="200"/>
      <c r="O27" s="199"/>
      <c r="P27" s="200"/>
    </row>
    <row r="28" spans="4:16" ht="28.8" customHeight="1" thickBot="1" x14ac:dyDescent="0.35">
      <c r="D28" s="61"/>
      <c r="E28" s="54"/>
      <c r="F28" s="57"/>
      <c r="H28" s="197"/>
      <c r="I28" s="197"/>
      <c r="J28" s="199"/>
      <c r="K28" s="199"/>
      <c r="L28" s="199"/>
      <c r="M28" s="197"/>
      <c r="N28" s="200"/>
      <c r="O28" s="199"/>
      <c r="P28" s="200"/>
    </row>
    <row r="29" spans="4:16" ht="28.8" customHeight="1" x14ac:dyDescent="0.3">
      <c r="D29" s="55"/>
      <c r="E29" s="56"/>
      <c r="F29" s="57"/>
      <c r="H29" s="197"/>
      <c r="I29" s="197"/>
      <c r="J29" s="199"/>
      <c r="K29" s="199"/>
      <c r="L29" s="199"/>
      <c r="M29" s="197"/>
      <c r="N29" s="200"/>
      <c r="O29" s="199"/>
      <c r="P29" s="200"/>
    </row>
    <row r="30" spans="4:16" ht="28.8" customHeight="1" x14ac:dyDescent="0.3">
      <c r="D30" s="55"/>
      <c r="E30" s="56"/>
      <c r="F30" s="57"/>
      <c r="H30" s="197"/>
      <c r="I30" s="201"/>
      <c r="J30" s="202"/>
      <c r="K30" s="202"/>
      <c r="L30" s="202"/>
      <c r="M30" s="197"/>
      <c r="N30" s="200"/>
      <c r="O30" s="199"/>
      <c r="P30" s="200"/>
    </row>
    <row r="31" spans="4:16" ht="28.8" customHeight="1" x14ac:dyDescent="0.3">
      <c r="D31" s="55"/>
      <c r="E31" s="56"/>
      <c r="F31" s="57"/>
      <c r="H31" s="185"/>
      <c r="I31" s="186"/>
      <c r="J31" s="186"/>
      <c r="K31" s="186"/>
      <c r="L31" s="186"/>
      <c r="M31" s="186"/>
      <c r="N31" s="186"/>
      <c r="O31" s="186"/>
      <c r="P31" s="187"/>
    </row>
    <row r="32" spans="4:16" ht="28.8" customHeight="1" x14ac:dyDescent="0.4">
      <c r="D32" s="55"/>
      <c r="E32" s="56"/>
      <c r="F32" s="57"/>
      <c r="H32" s="188"/>
      <c r="I32" s="220" t="s">
        <v>316</v>
      </c>
      <c r="J32" s="204"/>
      <c r="K32" s="205"/>
      <c r="L32" s="205"/>
      <c r="M32" s="205"/>
      <c r="N32" s="205"/>
      <c r="O32" s="206"/>
      <c r="P32" s="190"/>
    </row>
    <row r="33" spans="1:16" ht="28.8" customHeight="1" x14ac:dyDescent="0.4">
      <c r="D33" s="55"/>
      <c r="E33" s="56"/>
      <c r="F33" s="57"/>
      <c r="H33" s="188"/>
      <c r="I33" s="220" t="s">
        <v>324</v>
      </c>
      <c r="J33" s="204"/>
      <c r="K33" s="205"/>
      <c r="L33" s="205"/>
      <c r="M33" s="205"/>
      <c r="N33" s="205"/>
      <c r="O33" s="206"/>
      <c r="P33" s="190"/>
    </row>
    <row r="34" spans="1:16" ht="28.8" customHeight="1" thickBot="1" x14ac:dyDescent="0.45">
      <c r="D34" s="58"/>
      <c r="E34" s="59"/>
      <c r="F34" s="60"/>
      <c r="H34" s="188"/>
      <c r="I34" s="220" t="s">
        <v>325</v>
      </c>
      <c r="J34" s="204"/>
      <c r="K34" s="205"/>
      <c r="L34" s="205"/>
      <c r="M34" s="205"/>
      <c r="N34" s="205"/>
      <c r="O34" s="206"/>
      <c r="P34" s="190"/>
    </row>
    <row r="35" spans="1:16" ht="28.8" customHeight="1" x14ac:dyDescent="0.4">
      <c r="H35" s="188"/>
      <c r="I35" s="220" t="s">
        <v>326</v>
      </c>
      <c r="J35" s="204"/>
      <c r="K35" s="205"/>
      <c r="L35" s="205"/>
      <c r="M35" s="205"/>
      <c r="N35" s="205"/>
      <c r="O35" s="206"/>
      <c r="P35" s="190"/>
    </row>
    <row r="36" spans="1:16" ht="28.8" customHeight="1" x14ac:dyDescent="0.3">
      <c r="H36" s="207"/>
      <c r="I36" s="192"/>
      <c r="J36" s="192"/>
      <c r="K36" s="192"/>
      <c r="L36" s="192"/>
      <c r="M36" s="192"/>
      <c r="N36" s="192"/>
      <c r="O36" s="192"/>
      <c r="P36" s="193"/>
    </row>
    <row r="37" spans="1:16" ht="28.8" customHeight="1" x14ac:dyDescent="0.3">
      <c r="H37" s="208"/>
      <c r="I37" s="209"/>
      <c r="J37" s="209"/>
      <c r="K37" s="209"/>
      <c r="L37" s="209"/>
      <c r="M37" s="209"/>
      <c r="N37" s="209"/>
      <c r="O37" s="209"/>
      <c r="P37" s="210"/>
    </row>
    <row r="38" spans="1:16" ht="28.8" customHeight="1" x14ac:dyDescent="0.4">
      <c r="H38" s="197"/>
      <c r="I38" s="218" t="s">
        <v>327</v>
      </c>
      <c r="J38" s="199"/>
      <c r="K38" s="199"/>
      <c r="L38" s="199"/>
      <c r="M38" s="199"/>
      <c r="N38" s="199"/>
      <c r="O38" s="199"/>
      <c r="P38" s="200"/>
    </row>
    <row r="39" spans="1:16" ht="28.8" customHeight="1" x14ac:dyDescent="0.3">
      <c r="H39" s="197"/>
      <c r="I39" s="199"/>
      <c r="J39" s="199"/>
      <c r="K39" s="199"/>
      <c r="L39" s="199"/>
      <c r="M39" s="199"/>
      <c r="N39" s="199"/>
      <c r="O39" s="199"/>
      <c r="P39" s="200"/>
    </row>
    <row r="40" spans="1:16" ht="28.8" customHeight="1" x14ac:dyDescent="0.3">
      <c r="H40" s="197"/>
      <c r="I40" s="202"/>
      <c r="J40" s="202"/>
      <c r="K40" s="202"/>
      <c r="L40" s="199"/>
      <c r="M40" s="202"/>
      <c r="N40" s="202"/>
      <c r="O40" s="202"/>
      <c r="P40" s="200"/>
    </row>
    <row r="41" spans="1:16" ht="28.8" customHeight="1" x14ac:dyDescent="0.4">
      <c r="H41" s="197"/>
      <c r="I41" s="217" t="s">
        <v>328</v>
      </c>
      <c r="J41" s="199"/>
      <c r="K41" s="199"/>
      <c r="L41" s="199"/>
      <c r="M41" s="221" t="s">
        <v>329</v>
      </c>
      <c r="N41" s="199"/>
      <c r="O41" s="199"/>
      <c r="P41" s="200"/>
    </row>
    <row r="42" spans="1:16" ht="28.8" customHeight="1" x14ac:dyDescent="0.3">
      <c r="H42" s="201"/>
      <c r="I42" s="202"/>
      <c r="J42" s="202"/>
      <c r="K42" s="202"/>
      <c r="L42" s="202"/>
      <c r="M42" s="202"/>
      <c r="N42" s="202"/>
      <c r="O42" s="202"/>
      <c r="P42" s="203"/>
    </row>
    <row r="43" spans="1:16" ht="28.8" customHeight="1" x14ac:dyDescent="0.3"/>
    <row r="44" spans="1:16" ht="28.8" customHeight="1" x14ac:dyDescent="0.3"/>
    <row r="45" spans="1:16" ht="28.8" customHeight="1" x14ac:dyDescent="0.3"/>
    <row r="46" spans="1:16" ht="28.8" customHeight="1" x14ac:dyDescent="0.3"/>
    <row r="47" spans="1:16" ht="28.8" customHeight="1" x14ac:dyDescent="0.3"/>
    <row r="48" spans="1:16" ht="28.8" customHeight="1" x14ac:dyDescent="0.3">
      <c r="A48" s="100" t="s">
        <v>402</v>
      </c>
    </row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5B54-63D7-412B-AAD7-4CCFC6E91CA4}">
  <sheetPr codeName="Planilha40">
    <tabColor rgb="FF00B050"/>
  </sheetPr>
  <dimension ref="A1:AW66"/>
  <sheetViews>
    <sheetView zoomScale="40" zoomScaleNormal="40" workbookViewId="0">
      <selection activeCell="I31" sqref="I31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7773437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thickBot="1" x14ac:dyDescent="0.35"/>
    <row r="10" spans="1:49" ht="28.8" customHeight="1" x14ac:dyDescent="0.4">
      <c r="E10" s="224" t="s">
        <v>330</v>
      </c>
      <c r="F10" s="225" t="s">
        <v>297</v>
      </c>
      <c r="H10" s="308" t="s">
        <v>351</v>
      </c>
      <c r="I10" s="309"/>
      <c r="J10" s="309"/>
      <c r="K10" s="310"/>
    </row>
    <row r="11" spans="1:49" ht="28.8" customHeight="1" x14ac:dyDescent="0.3">
      <c r="E11" s="222" t="s">
        <v>331</v>
      </c>
      <c r="F11" s="226">
        <v>5000</v>
      </c>
      <c r="H11" s="311" t="s">
        <v>352</v>
      </c>
      <c r="I11" s="312"/>
      <c r="J11" s="228" t="s">
        <v>353</v>
      </c>
      <c r="K11" s="229" t="s">
        <v>354</v>
      </c>
    </row>
    <row r="12" spans="1:49" ht="28.8" customHeight="1" x14ac:dyDescent="0.35">
      <c r="E12" s="222" t="s">
        <v>332</v>
      </c>
      <c r="F12" s="226">
        <v>3000</v>
      </c>
      <c r="H12" s="231" t="s">
        <v>355</v>
      </c>
      <c r="I12" s="230">
        <v>2259.1999999999998</v>
      </c>
      <c r="J12" s="232">
        <v>0</v>
      </c>
      <c r="K12" s="233">
        <v>0</v>
      </c>
    </row>
    <row r="13" spans="1:49" ht="28.8" customHeight="1" x14ac:dyDescent="0.35">
      <c r="E13" s="222" t="s">
        <v>333</v>
      </c>
      <c r="F13" s="226">
        <v>2000</v>
      </c>
      <c r="H13" s="234">
        <f>I12</f>
        <v>2259.1999999999998</v>
      </c>
      <c r="I13" s="230">
        <v>2826.65</v>
      </c>
      <c r="J13" s="235">
        <v>7.4999999999999997E-2</v>
      </c>
      <c r="K13" s="233">
        <v>164.44</v>
      </c>
    </row>
    <row r="14" spans="1:49" ht="28.8" customHeight="1" x14ac:dyDescent="0.35">
      <c r="E14" s="222" t="s">
        <v>334</v>
      </c>
      <c r="F14" s="226">
        <v>5000</v>
      </c>
      <c r="H14" s="234">
        <f>I13</f>
        <v>2826.65</v>
      </c>
      <c r="I14" s="230">
        <v>3751.05</v>
      </c>
      <c r="J14" s="235">
        <v>0.15</v>
      </c>
      <c r="K14" s="233">
        <v>381.44</v>
      </c>
    </row>
    <row r="15" spans="1:49" ht="28.8" customHeight="1" x14ac:dyDescent="0.35">
      <c r="E15" s="222" t="s">
        <v>335</v>
      </c>
      <c r="F15" s="226">
        <v>3000</v>
      </c>
      <c r="H15" s="234">
        <f>I14</f>
        <v>3751.05</v>
      </c>
      <c r="I15" s="230">
        <v>4664.68</v>
      </c>
      <c r="J15" s="235">
        <v>0.22500000000000001</v>
      </c>
      <c r="K15" s="233">
        <v>662.77</v>
      </c>
    </row>
    <row r="16" spans="1:49" ht="28.8" customHeight="1" thickBot="1" x14ac:dyDescent="0.4">
      <c r="E16" s="222" t="s">
        <v>336</v>
      </c>
      <c r="F16" s="226">
        <v>2000</v>
      </c>
      <c r="H16" s="236" t="s">
        <v>356</v>
      </c>
      <c r="I16" s="237">
        <f>I15</f>
        <v>4664.68</v>
      </c>
      <c r="J16" s="238">
        <v>0.27500000000000002</v>
      </c>
      <c r="K16" s="239">
        <v>896</v>
      </c>
    </row>
    <row r="17" spans="5:11" ht="28.8" customHeight="1" thickBot="1" x14ac:dyDescent="0.35">
      <c r="E17" s="222" t="s">
        <v>337</v>
      </c>
      <c r="F17" s="226">
        <v>5000</v>
      </c>
    </row>
    <row r="18" spans="5:11" ht="28.8" customHeight="1" x14ac:dyDescent="0.3">
      <c r="E18" s="222" t="s">
        <v>338</v>
      </c>
      <c r="F18" s="226">
        <v>3000</v>
      </c>
      <c r="H18" s="308" t="s">
        <v>315</v>
      </c>
      <c r="I18" s="309"/>
      <c r="J18" s="309"/>
      <c r="K18" s="310"/>
    </row>
    <row r="19" spans="5:11" ht="28.8" customHeight="1" x14ac:dyDescent="0.3">
      <c r="E19" s="222" t="s">
        <v>14</v>
      </c>
      <c r="F19" s="226">
        <v>5000</v>
      </c>
      <c r="H19" s="222" t="s">
        <v>319</v>
      </c>
      <c r="I19" s="232">
        <v>0.11</v>
      </c>
      <c r="J19" s="240" t="s">
        <v>319</v>
      </c>
      <c r="K19" s="241">
        <v>0.11</v>
      </c>
    </row>
    <row r="20" spans="5:11" ht="28.8" customHeight="1" x14ac:dyDescent="0.3">
      <c r="E20" s="222" t="s">
        <v>339</v>
      </c>
      <c r="F20" s="226">
        <v>3000</v>
      </c>
      <c r="H20" s="222" t="s">
        <v>357</v>
      </c>
      <c r="I20" s="240" t="s">
        <v>358</v>
      </c>
      <c r="J20" s="240" t="s">
        <v>357</v>
      </c>
      <c r="K20" s="242" t="s">
        <v>358</v>
      </c>
    </row>
    <row r="21" spans="5:11" ht="28.8" customHeight="1" thickBot="1" x14ac:dyDescent="0.35">
      <c r="E21" s="222" t="s">
        <v>340</v>
      </c>
      <c r="F21" s="226">
        <v>2000</v>
      </c>
      <c r="H21" s="223" t="s">
        <v>359</v>
      </c>
      <c r="I21" s="238">
        <v>1.4999999999999999E-2</v>
      </c>
      <c r="J21" s="243" t="s">
        <v>359</v>
      </c>
      <c r="K21" s="244">
        <v>1.4999999999999999E-2</v>
      </c>
    </row>
    <row r="22" spans="5:11" ht="28.8" customHeight="1" thickBot="1" x14ac:dyDescent="0.35">
      <c r="E22" s="222" t="s">
        <v>341</v>
      </c>
      <c r="F22" s="226">
        <v>5000</v>
      </c>
    </row>
    <row r="23" spans="5:11" ht="28.8" customHeight="1" x14ac:dyDescent="0.4">
      <c r="E23" s="222" t="s">
        <v>342</v>
      </c>
      <c r="F23" s="226">
        <v>3000</v>
      </c>
      <c r="H23" s="245" t="s">
        <v>360</v>
      </c>
    </row>
    <row r="24" spans="5:11" ht="28.8" customHeight="1" thickBot="1" x14ac:dyDescent="0.4">
      <c r="E24" s="222" t="s">
        <v>343</v>
      </c>
      <c r="F24" s="226">
        <v>2000</v>
      </c>
      <c r="H24" s="246">
        <v>0.08</v>
      </c>
    </row>
    <row r="25" spans="5:11" ht="28.8" customHeight="1" x14ac:dyDescent="0.3">
      <c r="E25" s="222" t="s">
        <v>344</v>
      </c>
      <c r="F25" s="226">
        <v>5000</v>
      </c>
    </row>
    <row r="26" spans="5:11" ht="28.8" customHeight="1" x14ac:dyDescent="0.3">
      <c r="E26" s="222" t="s">
        <v>345</v>
      </c>
      <c r="F26" s="226">
        <v>4000</v>
      </c>
    </row>
    <row r="27" spans="5:11" ht="28.8" customHeight="1" x14ac:dyDescent="0.3">
      <c r="E27" s="222" t="s">
        <v>346</v>
      </c>
      <c r="F27" s="226">
        <v>3000</v>
      </c>
    </row>
    <row r="28" spans="5:11" ht="28.8" customHeight="1" x14ac:dyDescent="0.3">
      <c r="E28" s="222" t="s">
        <v>347</v>
      </c>
      <c r="F28" s="226">
        <v>2000</v>
      </c>
    </row>
    <row r="29" spans="5:11" ht="28.8" customHeight="1" x14ac:dyDescent="0.3">
      <c r="E29" s="222" t="s">
        <v>348</v>
      </c>
      <c r="F29" s="226">
        <v>5000</v>
      </c>
    </row>
    <row r="30" spans="5:11" ht="28.8" customHeight="1" x14ac:dyDescent="0.3">
      <c r="E30" s="222" t="s">
        <v>349</v>
      </c>
      <c r="F30" s="226">
        <v>3000</v>
      </c>
    </row>
    <row r="31" spans="5:11" ht="28.8" customHeight="1" thickBot="1" x14ac:dyDescent="0.35">
      <c r="E31" s="223" t="s">
        <v>350</v>
      </c>
      <c r="F31" s="227">
        <v>2000</v>
      </c>
    </row>
    <row r="32" spans="5:11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C7DF-70C3-45FB-8A0C-6117DF2FB04C}">
  <sheetPr codeName="Planilha62">
    <tabColor rgb="FF7030A0"/>
  </sheetPr>
  <dimension ref="A1:AW66"/>
  <sheetViews>
    <sheetView zoomScale="40" zoomScaleNormal="40" workbookViewId="0">
      <selection activeCell="E27" sqref="E27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7773437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8" customHeight="1" x14ac:dyDescent="0.3"/>
    <row r="59" spans="1:22" ht="28.8" customHeight="1" x14ac:dyDescent="0.3"/>
    <row r="60" spans="1:22" ht="28.8" customHeight="1" x14ac:dyDescent="0.3"/>
    <row r="61" spans="1:22" ht="28.8" customHeight="1" x14ac:dyDescent="0.3"/>
    <row r="62" spans="1:22" ht="28.8" customHeight="1" x14ac:dyDescent="0.3"/>
    <row r="63" spans="1:22" ht="28.8" customHeight="1" x14ac:dyDescent="0.3"/>
    <row r="64" spans="1:2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D2C6-E902-402F-9110-FAAF3CE33041}">
  <sheetPr codeName="Planilha41">
    <tabColor rgb="FF7030A0"/>
  </sheetPr>
  <dimension ref="A1:AW66"/>
  <sheetViews>
    <sheetView topLeftCell="E2" zoomScale="40" zoomScaleNormal="40" workbookViewId="0">
      <selection activeCell="K15" sqref="K1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664062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AW4" s="466"/>
    </row>
    <row r="5" spans="1:49" x14ac:dyDescent="0.3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</row>
    <row r="6" spans="1:49" x14ac:dyDescent="0.3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</row>
    <row r="7" spans="1:49" x14ac:dyDescent="0.3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404</v>
      </c>
      <c r="I12" s="300"/>
      <c r="J12" s="300"/>
      <c r="K12" s="300"/>
      <c r="L12" s="301"/>
    </row>
    <row r="13" spans="1:49" ht="28.95" customHeight="1" thickBot="1" x14ac:dyDescent="0.35">
      <c r="H13" s="302"/>
      <c r="I13" s="303"/>
      <c r="J13" s="303"/>
      <c r="K13" s="303"/>
      <c r="L13" s="304"/>
    </row>
    <row r="14" spans="1:49" ht="28.95" customHeight="1" thickBot="1" x14ac:dyDescent="0.35">
      <c r="H14" s="8"/>
      <c r="I14" s="497"/>
      <c r="J14" s="497"/>
      <c r="K14" s="497"/>
      <c r="L14" s="50"/>
    </row>
    <row r="15" spans="1:49" ht="28.95" customHeight="1" thickBot="1" x14ac:dyDescent="0.4">
      <c r="H15" s="8"/>
      <c r="I15" s="492" t="s">
        <v>362</v>
      </c>
      <c r="J15" s="498"/>
      <c r="K15" s="499"/>
      <c r="L15" s="50"/>
    </row>
    <row r="16" spans="1:49" ht="28.95" customHeight="1" thickBot="1" x14ac:dyDescent="0.35">
      <c r="H16" s="8"/>
      <c r="I16" s="492"/>
      <c r="J16" s="498"/>
      <c r="K16" s="498"/>
      <c r="L16" s="50"/>
    </row>
    <row r="17" spans="8:12" ht="28.95" customHeight="1" thickBot="1" x14ac:dyDescent="0.4">
      <c r="H17" s="8"/>
      <c r="I17" s="492" t="s">
        <v>287</v>
      </c>
      <c r="J17" s="498"/>
      <c r="K17" s="499"/>
      <c r="L17" s="50"/>
    </row>
    <row r="18" spans="8:12" ht="28.95" customHeight="1" thickBot="1" x14ac:dyDescent="0.35">
      <c r="H18" s="8"/>
      <c r="I18" s="492"/>
      <c r="J18" s="498"/>
      <c r="K18" s="498"/>
      <c r="L18" s="50"/>
    </row>
    <row r="19" spans="8:12" ht="28.95" customHeight="1" thickBot="1" x14ac:dyDescent="0.4">
      <c r="H19" s="8"/>
      <c r="I19" s="492" t="s">
        <v>293</v>
      </c>
      <c r="J19" s="498"/>
      <c r="K19" s="499"/>
      <c r="L19" s="50"/>
    </row>
    <row r="20" spans="8:12" ht="28.95" customHeight="1" thickBot="1" x14ac:dyDescent="0.35">
      <c r="H20" s="8"/>
      <c r="I20" s="492"/>
      <c r="J20" s="498"/>
      <c r="K20" s="498"/>
      <c r="L20" s="50"/>
    </row>
    <row r="21" spans="8:12" ht="28.95" customHeight="1" thickBot="1" x14ac:dyDescent="0.4">
      <c r="H21" s="8"/>
      <c r="I21" s="492" t="s">
        <v>403</v>
      </c>
      <c r="J21" s="498"/>
      <c r="K21" s="499"/>
      <c r="L21" s="50"/>
    </row>
    <row r="22" spans="8:12" ht="28.95" customHeight="1" thickBot="1" x14ac:dyDescent="0.35">
      <c r="H22" s="8"/>
      <c r="I22" s="492"/>
      <c r="J22" s="498"/>
      <c r="K22" s="498"/>
      <c r="L22" s="50"/>
    </row>
    <row r="23" spans="8:12" ht="28.95" customHeight="1" thickBot="1" x14ac:dyDescent="0.4">
      <c r="H23" s="8"/>
      <c r="I23" s="492" t="s">
        <v>408</v>
      </c>
      <c r="J23" s="498"/>
      <c r="K23" s="499"/>
      <c r="L23" s="50"/>
    </row>
    <row r="24" spans="8:12" ht="28.95" customHeight="1" thickBot="1" x14ac:dyDescent="0.35">
      <c r="H24" s="8"/>
      <c r="I24" s="492"/>
      <c r="J24" s="498"/>
      <c r="K24" s="498"/>
      <c r="L24" s="50"/>
    </row>
    <row r="25" spans="8:12" ht="28.95" customHeight="1" thickBot="1" x14ac:dyDescent="0.4">
      <c r="H25" s="8"/>
      <c r="I25" s="492" t="s">
        <v>407</v>
      </c>
      <c r="J25" s="498"/>
      <c r="K25" s="499"/>
      <c r="L25" s="50"/>
    </row>
    <row r="26" spans="8:12" ht="28.95" customHeight="1" thickBot="1" x14ac:dyDescent="0.35">
      <c r="H26" s="8"/>
      <c r="I26" s="492"/>
      <c r="J26" s="498"/>
      <c r="K26" s="498"/>
      <c r="L26" s="50"/>
    </row>
    <row r="27" spans="8:12" ht="28.95" customHeight="1" thickBot="1" x14ac:dyDescent="0.35">
      <c r="H27" s="8"/>
      <c r="I27" s="492" t="s">
        <v>294</v>
      </c>
      <c r="J27" s="498"/>
      <c r="K27" s="500"/>
      <c r="L27" s="50"/>
    </row>
    <row r="28" spans="8:12" ht="28.95" customHeight="1" x14ac:dyDescent="0.3">
      <c r="H28" s="61"/>
      <c r="I28" s="314"/>
      <c r="J28" s="314"/>
      <c r="K28" s="314"/>
      <c r="L28" s="7"/>
    </row>
    <row r="29" spans="8:12" ht="28.95" customHeight="1" x14ac:dyDescent="0.3">
      <c r="H29" s="61"/>
      <c r="I29" s="314"/>
      <c r="J29" s="314"/>
      <c r="K29" s="314"/>
      <c r="L29" s="7"/>
    </row>
    <row r="30" spans="8:12" ht="28.95" customHeight="1" x14ac:dyDescent="0.3">
      <c r="H30" s="61"/>
      <c r="I30" s="314"/>
      <c r="J30" s="314"/>
      <c r="K30" s="314"/>
      <c r="L30" s="7"/>
    </row>
    <row r="31" spans="8:12" ht="28.95" customHeight="1" x14ac:dyDescent="0.3">
      <c r="H31" s="61"/>
      <c r="I31" s="314"/>
      <c r="J31" s="314"/>
      <c r="K31" s="314"/>
      <c r="L31" s="7"/>
    </row>
    <row r="32" spans="8:12" ht="28.95" customHeight="1" x14ac:dyDescent="0.3">
      <c r="H32" s="61"/>
      <c r="I32" s="314"/>
      <c r="J32" s="314"/>
      <c r="K32" s="314"/>
      <c r="L32" s="7"/>
    </row>
    <row r="33" spans="8:12" ht="28.95" customHeight="1" x14ac:dyDescent="0.3">
      <c r="H33" s="61"/>
      <c r="I33" s="314"/>
      <c r="J33" s="314"/>
      <c r="K33" s="314"/>
      <c r="L33" s="7"/>
    </row>
    <row r="34" spans="8:12" ht="28.95" customHeight="1" thickBot="1" x14ac:dyDescent="0.35">
      <c r="H34" s="73"/>
      <c r="I34" s="74"/>
      <c r="J34" s="74"/>
      <c r="K34" s="74"/>
      <c r="L34" s="75"/>
    </row>
    <row r="35" spans="8:12" ht="28.95" customHeight="1" x14ac:dyDescent="0.3"/>
    <row r="36" spans="8:12" ht="28.95" customHeight="1" x14ac:dyDescent="0.3"/>
    <row r="37" spans="8:12" ht="28.95" customHeight="1" x14ac:dyDescent="0.3"/>
    <row r="38" spans="8:12" ht="28.95" customHeight="1" x14ac:dyDescent="0.3"/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37D3-57ED-43EA-9692-214AE70D6578}">
  <sheetPr codeName="Planilha42">
    <tabColor rgb="FF7030A0"/>
  </sheetPr>
  <dimension ref="A1:AW66"/>
  <sheetViews>
    <sheetView topLeftCell="E2" zoomScale="40" zoomScaleNormal="40" workbookViewId="0">
      <selection activeCell="P36" sqref="P36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54.6640625" style="100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AW4" s="466"/>
    </row>
    <row r="5" spans="1:49" x14ac:dyDescent="0.3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</row>
    <row r="6" spans="1:49" x14ac:dyDescent="0.3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</row>
    <row r="7" spans="1:49" x14ac:dyDescent="0.3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368</v>
      </c>
      <c r="I12" s="300"/>
      <c r="J12" s="300"/>
      <c r="K12" s="300"/>
      <c r="L12" s="301"/>
    </row>
    <row r="13" spans="1:49" ht="28.95" customHeight="1" thickBot="1" x14ac:dyDescent="0.35">
      <c r="H13" s="302"/>
      <c r="I13" s="303"/>
      <c r="J13" s="303"/>
      <c r="K13" s="303"/>
      <c r="L13" s="304"/>
    </row>
    <row r="14" spans="1:49" ht="28.95" customHeight="1" thickBot="1" x14ac:dyDescent="0.35">
      <c r="H14" s="8"/>
      <c r="I14" s="497"/>
      <c r="J14" s="497"/>
      <c r="K14" s="497"/>
      <c r="L14" s="50"/>
    </row>
    <row r="15" spans="1:49" ht="28.95" customHeight="1" thickBot="1" x14ac:dyDescent="0.4">
      <c r="H15" s="8"/>
      <c r="I15" s="501" t="s">
        <v>362</v>
      </c>
      <c r="J15" s="497"/>
      <c r="K15" s="499" t="s">
        <v>436</v>
      </c>
      <c r="L15" s="50"/>
    </row>
    <row r="16" spans="1:49" ht="28.95" customHeight="1" thickBot="1" x14ac:dyDescent="0.4">
      <c r="H16" s="8"/>
      <c r="I16" s="130" t="s">
        <v>13</v>
      </c>
      <c r="J16" s="497"/>
      <c r="K16" s="473"/>
      <c r="L16" s="50"/>
    </row>
    <row r="17" spans="8:12" ht="28.95" customHeight="1" thickBot="1" x14ac:dyDescent="0.4">
      <c r="H17" s="8"/>
      <c r="I17" s="501" t="s">
        <v>363</v>
      </c>
      <c r="J17" s="497"/>
      <c r="K17" s="499" t="str">
        <f>VLOOKUP(K15,BD_CADAS!C8:D30,2,0)</f>
        <v>Cruzilha Queijos</v>
      </c>
      <c r="L17" s="50"/>
    </row>
    <row r="18" spans="8:12" ht="28.95" customHeight="1" thickBot="1" x14ac:dyDescent="0.4">
      <c r="H18" s="8"/>
      <c r="I18" s="130" t="s">
        <v>13</v>
      </c>
      <c r="J18" s="497"/>
      <c r="K18" s="473"/>
      <c r="L18" s="50"/>
    </row>
    <row r="19" spans="8:12" ht="28.95" customHeight="1" thickBot="1" x14ac:dyDescent="0.4">
      <c r="H19" s="8"/>
      <c r="I19" s="501" t="s">
        <v>293</v>
      </c>
      <c r="J19" s="497"/>
      <c r="K19" s="499" t="str">
        <f>VLOOKUP(K15,BD_CADAS!C8:E30,3,0)</f>
        <v>Rua da Esperança, 34</v>
      </c>
      <c r="L19" s="50"/>
    </row>
    <row r="20" spans="8:12" ht="28.95" customHeight="1" thickBot="1" x14ac:dyDescent="0.4">
      <c r="H20" s="8"/>
      <c r="I20" s="130" t="s">
        <v>13</v>
      </c>
      <c r="J20" s="497"/>
      <c r="K20" s="473"/>
      <c r="L20" s="50"/>
    </row>
    <row r="21" spans="8:12" ht="28.95" customHeight="1" thickBot="1" x14ac:dyDescent="0.4">
      <c r="H21" s="8"/>
      <c r="I21" s="501" t="s">
        <v>282</v>
      </c>
      <c r="J21" s="497"/>
      <c r="K21" s="499" t="s">
        <v>232</v>
      </c>
      <c r="L21" s="50"/>
    </row>
    <row r="22" spans="8:12" ht="28.95" customHeight="1" thickBot="1" x14ac:dyDescent="0.4">
      <c r="H22" s="8"/>
      <c r="I22" s="130" t="s">
        <v>13</v>
      </c>
      <c r="J22" s="497"/>
      <c r="K22" s="473"/>
      <c r="L22" s="50"/>
    </row>
    <row r="23" spans="8:12" ht="28.95" customHeight="1" thickBot="1" x14ac:dyDescent="0.4">
      <c r="H23" s="8"/>
      <c r="I23" s="501" t="s">
        <v>283</v>
      </c>
      <c r="J23" s="497"/>
      <c r="K23" s="499">
        <v>400</v>
      </c>
      <c r="L23" s="50"/>
    </row>
    <row r="24" spans="8:12" ht="28.95" customHeight="1" thickBot="1" x14ac:dyDescent="0.4">
      <c r="H24" s="8"/>
      <c r="I24" s="130" t="s">
        <v>13</v>
      </c>
      <c r="J24" s="497"/>
      <c r="K24" s="473"/>
      <c r="L24" s="50"/>
    </row>
    <row r="25" spans="8:12" ht="28.95" customHeight="1" thickBot="1" x14ac:dyDescent="0.4">
      <c r="H25" s="8"/>
      <c r="I25" s="501" t="s">
        <v>364</v>
      </c>
      <c r="J25" s="497"/>
      <c r="K25" s="502">
        <f>N_VMETAS!O22</f>
        <v>20</v>
      </c>
      <c r="L25" s="50"/>
    </row>
    <row r="26" spans="8:12" ht="28.95" customHeight="1" thickBot="1" x14ac:dyDescent="0.4">
      <c r="H26" s="8"/>
      <c r="I26" s="130" t="s">
        <v>13</v>
      </c>
      <c r="J26" s="497"/>
      <c r="K26" s="473"/>
      <c r="L26" s="50"/>
    </row>
    <row r="27" spans="8:12" ht="28.95" customHeight="1" thickBot="1" x14ac:dyDescent="0.4">
      <c r="H27" s="8"/>
      <c r="I27" s="501" t="s">
        <v>365</v>
      </c>
      <c r="J27" s="497"/>
      <c r="K27" s="502">
        <f>K23*K25</f>
        <v>8000</v>
      </c>
      <c r="L27" s="50"/>
    </row>
    <row r="28" spans="8:12" ht="28.95" customHeight="1" thickBot="1" x14ac:dyDescent="0.4">
      <c r="H28" s="61"/>
      <c r="I28" s="130"/>
      <c r="J28" s="314"/>
      <c r="K28" s="473"/>
      <c r="L28" s="7"/>
    </row>
    <row r="29" spans="8:12" ht="28.95" customHeight="1" thickBot="1" x14ac:dyDescent="0.4">
      <c r="H29" s="61"/>
      <c r="I29" s="501" t="s">
        <v>366</v>
      </c>
      <c r="J29" s="314"/>
      <c r="K29" s="503"/>
      <c r="L29" s="7"/>
    </row>
    <row r="30" spans="8:12" ht="28.95" customHeight="1" thickBot="1" x14ac:dyDescent="0.4">
      <c r="H30" s="61"/>
      <c r="I30" s="130"/>
      <c r="J30" s="314"/>
      <c r="K30" s="473"/>
      <c r="L30" s="7"/>
    </row>
    <row r="31" spans="8:12" ht="28.95" customHeight="1" thickBot="1" x14ac:dyDescent="0.4">
      <c r="H31" s="61"/>
      <c r="I31" s="501" t="s">
        <v>367</v>
      </c>
      <c r="J31" s="314"/>
      <c r="K31" s="499" t="s">
        <v>744</v>
      </c>
      <c r="L31" s="7"/>
    </row>
    <row r="32" spans="8:12" ht="28.95" customHeight="1" x14ac:dyDescent="0.3">
      <c r="H32" s="61"/>
      <c r="I32" s="504"/>
      <c r="J32" s="314"/>
      <c r="K32" s="314"/>
      <c r="L32" s="7"/>
    </row>
    <row r="33" spans="8:12" ht="28.95" customHeight="1" x14ac:dyDescent="0.3">
      <c r="H33" s="61"/>
      <c r="I33" s="314"/>
      <c r="J33" s="314"/>
      <c r="K33" s="314"/>
      <c r="L33" s="7"/>
    </row>
    <row r="34" spans="8:12" ht="28.95" customHeight="1" x14ac:dyDescent="0.3">
      <c r="H34" s="61"/>
      <c r="I34" s="314"/>
      <c r="J34" s="314"/>
      <c r="K34" s="314"/>
      <c r="L34" s="7"/>
    </row>
    <row r="35" spans="8:12" ht="28.95" customHeight="1" x14ac:dyDescent="0.3">
      <c r="H35" s="61"/>
      <c r="I35" s="314"/>
      <c r="J35" s="314"/>
      <c r="K35" s="314"/>
      <c r="L35" s="7"/>
    </row>
    <row r="36" spans="8:12" ht="28.95" customHeight="1" x14ac:dyDescent="0.3">
      <c r="H36" s="61"/>
      <c r="I36" s="314"/>
      <c r="J36" s="314"/>
      <c r="K36" s="314"/>
      <c r="L36" s="7"/>
    </row>
    <row r="37" spans="8:12" ht="28.95" customHeight="1" x14ac:dyDescent="0.3">
      <c r="H37" s="61"/>
      <c r="I37" s="314"/>
      <c r="J37" s="314"/>
      <c r="K37" s="314"/>
      <c r="L37" s="7"/>
    </row>
    <row r="38" spans="8:12" ht="28.95" customHeight="1" thickBot="1" x14ac:dyDescent="0.35">
      <c r="H38" s="73"/>
      <c r="I38" s="74"/>
      <c r="J38" s="74"/>
      <c r="K38" s="74"/>
      <c r="L38" s="75"/>
    </row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dataConsolidate/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567BC99-1231-4D1E-B95A-BB751BF3AE71}">
          <x14:formula1>
            <xm:f>N_VMETAS!$N$22:$N$25</xm:f>
          </x14:formula1>
          <xm:sqref>K21</xm:sqref>
        </x14:dataValidation>
        <x14:dataValidation type="list" allowBlank="1" showInputMessage="1" showErrorMessage="1" xr:uid="{5F75004B-09C4-4126-9C99-67CB23115D0F}">
          <x14:formula1>
            <xm:f>BD_CADAS!$C$8:$C$30</xm:f>
          </x14:formula1>
          <xm:sqref>K15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7C2E0-F22E-4168-B43D-80B606AFEC7D}">
  <sheetPr codeName="Planilha43">
    <tabColor rgb="FF7030A0"/>
  </sheetPr>
  <dimension ref="A1:AW64"/>
  <sheetViews>
    <sheetView topLeftCell="F4" zoomScale="55" zoomScaleNormal="55" workbookViewId="0">
      <selection activeCell="K15" sqref="K1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42.44140625" style="100" customWidth="1"/>
    <col min="12" max="12" width="25.44140625" style="100" bestFit="1" customWidth="1"/>
    <col min="13" max="13" width="29" style="100" bestFit="1" customWidth="1"/>
    <col min="14" max="14" width="51.109375" style="100" customWidth="1"/>
    <col min="15" max="15" width="42.554687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AW4" s="466"/>
    </row>
    <row r="5" spans="1:49" x14ac:dyDescent="0.3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</row>
    <row r="6" spans="1:49" x14ac:dyDescent="0.3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</row>
    <row r="7" spans="1:49" x14ac:dyDescent="0.3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4">
      <c r="H12" s="299" t="s">
        <v>369</v>
      </c>
      <c r="I12" s="300"/>
      <c r="J12" s="300"/>
      <c r="K12" s="300"/>
      <c r="L12" s="301"/>
      <c r="N12" s="316" t="s">
        <v>370</v>
      </c>
      <c r="O12" s="316" t="s">
        <v>283</v>
      </c>
    </row>
    <row r="13" spans="1:49" ht="28.95" customHeight="1" thickBot="1" x14ac:dyDescent="0.4">
      <c r="H13" s="302"/>
      <c r="I13" s="303"/>
      <c r="J13" s="303"/>
      <c r="K13" s="303"/>
      <c r="L13" s="304"/>
      <c r="N13" s="317" t="s">
        <v>745</v>
      </c>
      <c r="O13" s="318">
        <v>1600</v>
      </c>
    </row>
    <row r="14" spans="1:49" ht="28.95" customHeight="1" thickBot="1" x14ac:dyDescent="0.4">
      <c r="H14" s="505"/>
      <c r="I14" s="506"/>
      <c r="J14" s="506"/>
      <c r="K14" s="507"/>
      <c r="L14" s="508"/>
      <c r="N14" s="473"/>
      <c r="O14" s="473"/>
    </row>
    <row r="15" spans="1:49" ht="28.95" customHeight="1" thickBot="1" x14ac:dyDescent="0.4">
      <c r="H15" s="8"/>
      <c r="I15" s="501" t="s">
        <v>746</v>
      </c>
      <c r="J15" s="497"/>
      <c r="K15" s="499">
        <f>SUM(N_VRELCOM!H10:H52)</f>
        <v>8000</v>
      </c>
      <c r="L15" s="50"/>
    </row>
    <row r="16" spans="1:49" ht="28.95" customHeight="1" thickBot="1" x14ac:dyDescent="0.4">
      <c r="H16" s="8"/>
      <c r="I16" s="501"/>
      <c r="J16" s="497"/>
      <c r="K16" s="473"/>
      <c r="L16" s="50"/>
    </row>
    <row r="17" spans="8:15" ht="28.95" customHeight="1" thickBot="1" x14ac:dyDescent="0.4">
      <c r="H17" s="8"/>
      <c r="I17" s="501" t="s">
        <v>747</v>
      </c>
      <c r="J17" s="497"/>
      <c r="K17" s="499">
        <f>O13</f>
        <v>1600</v>
      </c>
      <c r="L17" s="50"/>
    </row>
    <row r="18" spans="8:15" ht="28.95" customHeight="1" thickBot="1" x14ac:dyDescent="0.4">
      <c r="H18" s="8"/>
      <c r="I18" s="501"/>
      <c r="J18" s="497"/>
      <c r="K18" s="473"/>
      <c r="L18" s="50"/>
    </row>
    <row r="19" spans="8:15" ht="28.95" customHeight="1" thickBot="1" x14ac:dyDescent="0.4">
      <c r="H19" s="8"/>
      <c r="I19" s="501" t="s">
        <v>748</v>
      </c>
      <c r="J19" s="497"/>
      <c r="K19" s="499" t="str">
        <f>IF(K15&gt;K17,"META ATINGIDA","META NÃO ATINGIDA")</f>
        <v>META ATINGIDA</v>
      </c>
      <c r="L19" s="50"/>
    </row>
    <row r="20" spans="8:15" ht="28.95" customHeight="1" x14ac:dyDescent="0.35">
      <c r="H20" s="8"/>
      <c r="I20" s="501"/>
      <c r="J20" s="497"/>
      <c r="K20" s="488"/>
      <c r="L20" s="50"/>
    </row>
    <row r="21" spans="8:15" ht="28.95" customHeight="1" x14ac:dyDescent="0.4">
      <c r="H21" s="8"/>
      <c r="I21" s="314"/>
      <c r="J21" s="497"/>
      <c r="K21" s="497"/>
      <c r="L21" s="50"/>
      <c r="N21" s="316" t="s">
        <v>749</v>
      </c>
      <c r="O21" s="316" t="s">
        <v>405</v>
      </c>
    </row>
    <row r="22" spans="8:15" ht="28.95" customHeight="1" x14ac:dyDescent="0.35">
      <c r="H22" s="8"/>
      <c r="I22" s="314"/>
      <c r="J22" s="497"/>
      <c r="K22" s="497"/>
      <c r="L22" s="50"/>
      <c r="N22" s="509" t="s">
        <v>750</v>
      </c>
      <c r="O22" s="510">
        <v>20</v>
      </c>
    </row>
    <row r="23" spans="8:15" ht="28.95" customHeight="1" x14ac:dyDescent="0.35">
      <c r="H23" s="8"/>
      <c r="I23" s="314"/>
      <c r="J23" s="497"/>
      <c r="K23" s="497"/>
      <c r="L23" s="50"/>
      <c r="N23" s="509" t="s">
        <v>371</v>
      </c>
      <c r="O23" s="510">
        <v>20</v>
      </c>
    </row>
    <row r="24" spans="8:15" ht="28.95" customHeight="1" x14ac:dyDescent="0.35">
      <c r="H24" s="8"/>
      <c r="I24" s="314"/>
      <c r="J24" s="497"/>
      <c r="K24" s="497"/>
      <c r="L24" s="50"/>
      <c r="N24" s="509" t="s">
        <v>232</v>
      </c>
      <c r="O24" s="510">
        <v>20</v>
      </c>
    </row>
    <row r="25" spans="8:15" ht="28.95" customHeight="1" thickBot="1" x14ac:dyDescent="0.4">
      <c r="H25" s="51"/>
      <c r="I25" s="74"/>
      <c r="J25" s="52"/>
      <c r="K25" s="315"/>
      <c r="L25" s="53"/>
      <c r="N25" s="511" t="s">
        <v>372</v>
      </c>
      <c r="O25" s="510">
        <v>20</v>
      </c>
    </row>
    <row r="26" spans="8:15" ht="28.95" customHeight="1" x14ac:dyDescent="0.3"/>
    <row r="27" spans="8:15" ht="28.95" customHeight="1" x14ac:dyDescent="0.3"/>
    <row r="28" spans="8:15" ht="28.95" customHeight="1" x14ac:dyDescent="0.3"/>
    <row r="29" spans="8:15" ht="28.95" customHeight="1" x14ac:dyDescent="0.3"/>
    <row r="30" spans="8:15" ht="28.95" customHeight="1" x14ac:dyDescent="0.3"/>
    <row r="31" spans="8:15" ht="28.95" customHeight="1" x14ac:dyDescent="0.3"/>
    <row r="32" spans="8:1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48889-C73A-46ED-ABD3-5C0AE81875A0}">
  <sheetPr codeName="Planilha45">
    <tabColor rgb="FF7030A0"/>
  </sheetPr>
  <dimension ref="B1:AS66"/>
  <sheetViews>
    <sheetView zoomScale="55" zoomScaleNormal="55" workbookViewId="0">
      <selection activeCell="K15" sqref="K15"/>
    </sheetView>
  </sheetViews>
  <sheetFormatPr defaultColWidth="8.88671875" defaultRowHeight="14.4" x14ac:dyDescent="0.3"/>
  <cols>
    <col min="1" max="1" width="8.88671875" style="100"/>
    <col min="2" max="2" width="32.44140625" style="100" customWidth="1"/>
    <col min="3" max="3" width="37.88671875" style="100" customWidth="1"/>
    <col min="4" max="4" width="44.33203125" style="100" customWidth="1"/>
    <col min="5" max="5" width="49.5546875" style="100" customWidth="1"/>
    <col min="6" max="6" width="57.5546875" style="100" customWidth="1"/>
    <col min="7" max="7" width="39.88671875" style="100" customWidth="1"/>
    <col min="8" max="8" width="47.88671875" style="100" customWidth="1"/>
    <col min="9" max="9" width="43.33203125" style="100" customWidth="1"/>
    <col min="10" max="10" width="47.88671875" style="100" bestFit="1" customWidth="1"/>
    <col min="11" max="11" width="29.33203125" style="100" customWidth="1"/>
    <col min="12" max="12" width="73.44140625" style="100" customWidth="1"/>
    <col min="13" max="13" width="15.5546875" style="100" customWidth="1"/>
    <col min="14" max="17" width="8.88671875" style="100"/>
    <col min="18" max="18" width="23.44140625" style="100" bestFit="1" customWidth="1"/>
    <col min="19" max="19" width="2.6640625" style="100" bestFit="1" customWidth="1"/>
    <col min="20" max="20" width="51.109375" style="100" customWidth="1"/>
    <col min="21" max="16384" width="8.88671875" style="100"/>
  </cols>
  <sheetData>
    <row r="1" spans="2:45" x14ac:dyDescent="0.3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</row>
    <row r="2" spans="2:45" x14ac:dyDescent="0.3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</row>
    <row r="3" spans="2:45" ht="61.2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</row>
    <row r="4" spans="2:45" ht="46.2" customHeight="1" x14ac:dyDescent="0.3"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</row>
    <row r="5" spans="2:45" x14ac:dyDescent="0.3"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</row>
    <row r="6" spans="2:45" x14ac:dyDescent="0.3"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</row>
    <row r="7" spans="2:45" x14ac:dyDescent="0.3"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</row>
    <row r="8" spans="2:45" ht="28.95" customHeight="1" x14ac:dyDescent="0.3"/>
    <row r="9" spans="2:45" ht="28.95" customHeight="1" thickBot="1" x14ac:dyDescent="0.35">
      <c r="B9" s="512" t="s">
        <v>362</v>
      </c>
      <c r="C9" s="512" t="s">
        <v>363</v>
      </c>
      <c r="D9" s="512" t="s">
        <v>293</v>
      </c>
      <c r="E9" s="512" t="s">
        <v>282</v>
      </c>
      <c r="F9" s="512" t="s">
        <v>283</v>
      </c>
      <c r="G9" s="512" t="s">
        <v>364</v>
      </c>
      <c r="H9" s="512" t="s">
        <v>365</v>
      </c>
      <c r="I9" s="512" t="s">
        <v>366</v>
      </c>
      <c r="J9" s="512" t="s">
        <v>367</v>
      </c>
    </row>
    <row r="10" spans="2:45" ht="28.95" customHeight="1" thickBot="1" x14ac:dyDescent="0.4">
      <c r="B10" s="499" t="s">
        <v>496</v>
      </c>
      <c r="C10" s="513" t="s">
        <v>495</v>
      </c>
      <c r="D10" s="513" t="s">
        <v>498</v>
      </c>
      <c r="E10" s="499" t="s">
        <v>232</v>
      </c>
      <c r="F10" s="499">
        <v>400</v>
      </c>
      <c r="G10" s="513">
        <v>20</v>
      </c>
      <c r="H10" s="513">
        <v>8000</v>
      </c>
      <c r="I10" s="503"/>
      <c r="J10" s="499" t="s">
        <v>751</v>
      </c>
    </row>
    <row r="11" spans="2:45" ht="28.95" customHeight="1" thickBot="1" x14ac:dyDescent="0.4">
      <c r="B11" s="499"/>
      <c r="C11" s="513"/>
      <c r="D11" s="513"/>
      <c r="E11" s="499"/>
      <c r="F11" s="499"/>
      <c r="G11" s="513"/>
      <c r="H11" s="513"/>
      <c r="I11" s="503"/>
      <c r="J11" s="499"/>
    </row>
    <row r="12" spans="2:45" ht="28.95" customHeight="1" thickBot="1" x14ac:dyDescent="0.4">
      <c r="B12" s="499"/>
      <c r="C12" s="513"/>
      <c r="D12" s="513"/>
      <c r="E12" s="499"/>
      <c r="F12" s="499"/>
      <c r="G12" s="513"/>
      <c r="H12" s="513"/>
      <c r="I12" s="503"/>
      <c r="J12" s="499"/>
      <c r="K12" s="514"/>
    </row>
    <row r="13" spans="2:45" ht="28.95" customHeight="1" x14ac:dyDescent="0.35">
      <c r="B13" s="513"/>
      <c r="C13" s="513"/>
      <c r="D13" s="513"/>
      <c r="E13" s="513"/>
      <c r="F13" s="513"/>
      <c r="G13" s="513"/>
      <c r="H13" s="513"/>
      <c r="I13" s="513"/>
      <c r="J13" s="513"/>
    </row>
    <row r="14" spans="2:45" ht="28.95" customHeight="1" x14ac:dyDescent="0.35">
      <c r="B14" s="513"/>
      <c r="C14" s="513"/>
      <c r="D14" s="513"/>
      <c r="E14" s="513"/>
      <c r="F14" s="513"/>
      <c r="G14" s="513"/>
      <c r="H14" s="513"/>
      <c r="I14" s="513"/>
      <c r="J14" s="513"/>
    </row>
    <row r="15" spans="2:45" ht="28.95" customHeight="1" x14ac:dyDescent="0.35">
      <c r="B15" s="513"/>
      <c r="C15" s="513"/>
      <c r="D15" s="513"/>
      <c r="E15" s="513"/>
      <c r="F15" s="513"/>
      <c r="G15" s="513"/>
      <c r="H15" s="513"/>
      <c r="I15" s="513"/>
      <c r="J15" s="513"/>
    </row>
    <row r="16" spans="2:45" ht="28.95" customHeight="1" x14ac:dyDescent="0.35">
      <c r="B16" s="513"/>
      <c r="C16" s="513"/>
      <c r="D16" s="513"/>
      <c r="E16" s="513"/>
      <c r="F16" s="513"/>
      <c r="G16" s="513"/>
      <c r="H16" s="513"/>
      <c r="I16" s="513"/>
      <c r="J16" s="513"/>
    </row>
    <row r="17" spans="2:10" ht="28.95" customHeight="1" x14ac:dyDescent="0.35">
      <c r="B17" s="513"/>
      <c r="C17" s="513"/>
      <c r="D17" s="513"/>
      <c r="E17" s="513"/>
      <c r="F17" s="513"/>
      <c r="G17" s="513"/>
      <c r="H17" s="513"/>
      <c r="I17" s="513"/>
      <c r="J17" s="513"/>
    </row>
    <row r="18" spans="2:10" ht="28.95" customHeight="1" x14ac:dyDescent="0.35">
      <c r="B18" s="513"/>
      <c r="C18" s="513"/>
      <c r="D18" s="513"/>
      <c r="E18" s="513"/>
      <c r="F18" s="513"/>
      <c r="G18" s="513"/>
      <c r="H18" s="513"/>
      <c r="I18" s="513"/>
      <c r="J18" s="513"/>
    </row>
    <row r="19" spans="2:10" ht="28.95" customHeight="1" x14ac:dyDescent="0.35">
      <c r="B19" s="513"/>
      <c r="C19" s="513"/>
      <c r="D19" s="513"/>
      <c r="E19" s="513"/>
      <c r="F19" s="513"/>
      <c r="G19" s="513"/>
      <c r="H19" s="513"/>
      <c r="I19" s="513"/>
      <c r="J19" s="513"/>
    </row>
    <row r="20" spans="2:10" ht="28.95" customHeight="1" x14ac:dyDescent="0.35">
      <c r="B20" s="513"/>
      <c r="C20" s="513"/>
      <c r="D20" s="513"/>
      <c r="E20" s="513"/>
      <c r="F20" s="513"/>
      <c r="G20" s="513"/>
      <c r="H20" s="513"/>
      <c r="I20" s="513"/>
      <c r="J20" s="513"/>
    </row>
    <row r="21" spans="2:10" ht="28.95" customHeight="1" x14ac:dyDescent="0.35">
      <c r="B21" s="513"/>
      <c r="C21" s="513"/>
      <c r="D21" s="513"/>
      <c r="E21" s="513"/>
      <c r="F21" s="513"/>
      <c r="G21" s="513"/>
      <c r="H21" s="513"/>
      <c r="I21" s="513"/>
      <c r="J21" s="513"/>
    </row>
    <row r="22" spans="2:10" ht="28.95" customHeight="1" x14ac:dyDescent="0.35">
      <c r="B22" s="513"/>
      <c r="C22" s="513"/>
      <c r="D22" s="513"/>
      <c r="E22" s="513"/>
      <c r="F22" s="513"/>
      <c r="G22" s="513"/>
      <c r="H22" s="513"/>
      <c r="I22" s="513"/>
      <c r="J22" s="513"/>
    </row>
    <row r="23" spans="2:10" ht="28.95" customHeight="1" x14ac:dyDescent="0.35">
      <c r="B23" s="513"/>
      <c r="C23" s="513"/>
      <c r="D23" s="513"/>
      <c r="E23" s="513"/>
      <c r="F23" s="513"/>
      <c r="G23" s="513"/>
      <c r="H23" s="513"/>
      <c r="I23" s="513"/>
      <c r="J23" s="513"/>
    </row>
    <row r="24" spans="2:10" ht="28.95" customHeight="1" x14ac:dyDescent="0.35">
      <c r="B24" s="513"/>
      <c r="C24" s="513"/>
      <c r="D24" s="513"/>
      <c r="E24" s="513"/>
      <c r="F24" s="513"/>
      <c r="G24" s="513"/>
      <c r="H24" s="513"/>
      <c r="I24" s="513"/>
      <c r="J24" s="513"/>
    </row>
    <row r="25" spans="2:10" ht="28.95" customHeight="1" x14ac:dyDescent="0.35">
      <c r="B25" s="513"/>
      <c r="C25" s="513"/>
      <c r="D25" s="513"/>
      <c r="E25" s="513"/>
      <c r="F25" s="513"/>
      <c r="G25" s="513"/>
      <c r="H25" s="513"/>
      <c r="I25" s="513"/>
      <c r="J25" s="513"/>
    </row>
    <row r="26" spans="2:10" ht="28.95" customHeight="1" x14ac:dyDescent="0.35">
      <c r="B26" s="513"/>
      <c r="C26" s="513"/>
      <c r="D26" s="513"/>
      <c r="E26" s="513"/>
      <c r="F26" s="513"/>
      <c r="G26" s="513"/>
      <c r="H26" s="513"/>
      <c r="I26" s="513"/>
      <c r="J26" s="513"/>
    </row>
    <row r="27" spans="2:10" ht="28.95" customHeight="1" x14ac:dyDescent="0.35">
      <c r="B27" s="513"/>
      <c r="C27" s="513"/>
      <c r="D27" s="513"/>
      <c r="E27" s="513"/>
      <c r="F27" s="513"/>
      <c r="G27" s="513"/>
      <c r="H27" s="513"/>
      <c r="I27" s="513"/>
      <c r="J27" s="513"/>
    </row>
    <row r="28" spans="2:10" ht="28.95" customHeight="1" x14ac:dyDescent="0.35">
      <c r="B28" s="513"/>
      <c r="C28" s="513"/>
      <c r="D28" s="513"/>
      <c r="E28" s="513"/>
      <c r="F28" s="513"/>
      <c r="G28" s="513"/>
      <c r="H28" s="513"/>
      <c r="I28" s="513"/>
      <c r="J28" s="513"/>
    </row>
    <row r="29" spans="2:10" ht="28.95" customHeight="1" x14ac:dyDescent="0.35">
      <c r="B29" s="513"/>
      <c r="C29" s="513"/>
      <c r="D29" s="513"/>
      <c r="E29" s="513"/>
      <c r="F29" s="513"/>
      <c r="G29" s="513"/>
      <c r="H29" s="513"/>
      <c r="I29" s="513"/>
      <c r="J29" s="513"/>
    </row>
    <row r="30" spans="2:10" ht="28.95" customHeight="1" x14ac:dyDescent="0.35">
      <c r="B30" s="513"/>
      <c r="C30" s="513"/>
      <c r="D30" s="513"/>
      <c r="E30" s="513"/>
      <c r="F30" s="513"/>
      <c r="G30" s="513"/>
      <c r="H30" s="513"/>
      <c r="I30" s="513"/>
      <c r="J30" s="513"/>
    </row>
    <row r="31" spans="2:10" ht="28.95" customHeight="1" x14ac:dyDescent="0.35">
      <c r="B31" s="513"/>
      <c r="C31" s="513"/>
      <c r="D31" s="513"/>
      <c r="E31" s="513"/>
      <c r="F31" s="513"/>
      <c r="G31" s="513"/>
      <c r="H31" s="513"/>
      <c r="I31" s="513"/>
      <c r="J31" s="513"/>
    </row>
    <row r="32" spans="2:10" ht="28.95" customHeight="1" x14ac:dyDescent="0.35">
      <c r="B32" s="513"/>
      <c r="C32" s="513"/>
      <c r="D32" s="513"/>
      <c r="E32" s="513"/>
      <c r="F32" s="513"/>
      <c r="G32" s="513"/>
      <c r="H32" s="513"/>
      <c r="I32" s="513"/>
      <c r="J32" s="513"/>
    </row>
    <row r="33" spans="2:10" ht="28.95" customHeight="1" x14ac:dyDescent="0.35">
      <c r="B33" s="513"/>
      <c r="C33" s="513"/>
      <c r="D33" s="513"/>
      <c r="E33" s="513"/>
      <c r="F33" s="513"/>
      <c r="G33" s="513"/>
      <c r="H33" s="513"/>
      <c r="I33" s="513"/>
      <c r="J33" s="513"/>
    </row>
    <row r="34" spans="2:10" ht="28.95" customHeight="1" x14ac:dyDescent="0.35">
      <c r="B34" s="513"/>
      <c r="C34" s="513"/>
      <c r="D34" s="513"/>
      <c r="E34" s="513"/>
      <c r="F34" s="513"/>
      <c r="G34" s="513"/>
      <c r="H34" s="513"/>
      <c r="I34" s="513"/>
      <c r="J34" s="513"/>
    </row>
    <row r="35" spans="2:10" ht="28.95" customHeight="1" x14ac:dyDescent="0.35">
      <c r="B35" s="513"/>
      <c r="C35" s="513"/>
      <c r="D35" s="513"/>
      <c r="E35" s="513"/>
      <c r="F35" s="513"/>
      <c r="G35" s="513"/>
      <c r="H35" s="513"/>
      <c r="I35" s="513"/>
      <c r="J35" s="513"/>
    </row>
    <row r="36" spans="2:10" ht="28.95" customHeight="1" x14ac:dyDescent="0.35">
      <c r="B36" s="513"/>
      <c r="C36" s="513"/>
      <c r="D36" s="513"/>
      <c r="E36" s="513"/>
      <c r="F36" s="513"/>
      <c r="G36" s="513"/>
      <c r="H36" s="513"/>
      <c r="I36" s="513"/>
      <c r="J36" s="513"/>
    </row>
    <row r="37" spans="2:10" ht="28.95" customHeight="1" x14ac:dyDescent="0.35">
      <c r="B37" s="513"/>
      <c r="C37" s="513"/>
      <c r="D37" s="513"/>
      <c r="E37" s="513"/>
      <c r="F37" s="513"/>
      <c r="G37" s="513"/>
      <c r="H37" s="513"/>
      <c r="I37" s="513"/>
      <c r="J37" s="513"/>
    </row>
    <row r="38" spans="2:10" ht="28.95" customHeight="1" x14ac:dyDescent="0.35">
      <c r="B38" s="513"/>
      <c r="C38" s="513"/>
      <c r="D38" s="513"/>
      <c r="E38" s="513"/>
      <c r="F38" s="513"/>
      <c r="G38" s="513"/>
      <c r="H38" s="513"/>
      <c r="I38" s="513"/>
      <c r="J38" s="513"/>
    </row>
    <row r="39" spans="2:10" ht="28.95" customHeight="1" x14ac:dyDescent="0.35">
      <c r="B39" s="513"/>
      <c r="C39" s="513"/>
      <c r="D39" s="513"/>
      <c r="E39" s="513"/>
      <c r="F39" s="513"/>
      <c r="G39" s="513"/>
      <c r="H39" s="513"/>
      <c r="I39" s="513"/>
      <c r="J39" s="513"/>
    </row>
    <row r="40" spans="2:10" ht="28.95" customHeight="1" x14ac:dyDescent="0.35">
      <c r="B40" s="513"/>
      <c r="C40" s="513"/>
      <c r="D40" s="513"/>
      <c r="E40" s="513"/>
      <c r="F40" s="513"/>
      <c r="G40" s="513"/>
      <c r="H40" s="513"/>
      <c r="I40" s="513"/>
      <c r="J40" s="513"/>
    </row>
    <row r="41" spans="2:10" ht="28.95" customHeight="1" x14ac:dyDescent="0.35">
      <c r="B41" s="513"/>
      <c r="C41" s="513"/>
      <c r="D41" s="513"/>
      <c r="E41" s="513"/>
      <c r="F41" s="513"/>
      <c r="G41" s="513"/>
      <c r="H41" s="513"/>
      <c r="I41" s="513"/>
      <c r="J41" s="513"/>
    </row>
    <row r="42" spans="2:10" ht="28.95" customHeight="1" x14ac:dyDescent="0.35">
      <c r="B42" s="513"/>
      <c r="C42" s="513"/>
      <c r="D42" s="513"/>
      <c r="E42" s="513"/>
      <c r="F42" s="513"/>
      <c r="G42" s="513"/>
      <c r="H42" s="513"/>
      <c r="I42" s="513"/>
      <c r="J42" s="513"/>
    </row>
    <row r="43" spans="2:10" ht="28.95" customHeight="1" x14ac:dyDescent="0.35">
      <c r="B43" s="513"/>
      <c r="C43" s="513"/>
      <c r="D43" s="513"/>
      <c r="E43" s="513"/>
      <c r="F43" s="513"/>
      <c r="G43" s="513"/>
      <c r="H43" s="513"/>
      <c r="I43" s="513"/>
      <c r="J43" s="513"/>
    </row>
    <row r="44" spans="2:10" ht="28.95" customHeight="1" x14ac:dyDescent="0.35">
      <c r="B44" s="513"/>
      <c r="C44" s="513"/>
      <c r="D44" s="513"/>
      <c r="E44" s="513"/>
      <c r="F44" s="513"/>
      <c r="G44" s="513"/>
      <c r="H44" s="513"/>
      <c r="I44" s="513"/>
      <c r="J44" s="513"/>
    </row>
    <row r="45" spans="2:10" ht="28.95" customHeight="1" x14ac:dyDescent="0.35">
      <c r="B45" s="513"/>
      <c r="C45" s="513"/>
      <c r="D45" s="513"/>
      <c r="E45" s="513"/>
      <c r="F45" s="513"/>
      <c r="G45" s="513"/>
      <c r="H45" s="513"/>
      <c r="I45" s="513"/>
      <c r="J45" s="513"/>
    </row>
    <row r="46" spans="2:10" ht="28.95" customHeight="1" x14ac:dyDescent="0.35">
      <c r="B46" s="513"/>
      <c r="C46" s="513"/>
      <c r="D46" s="513"/>
      <c r="E46" s="513"/>
      <c r="F46" s="513"/>
      <c r="G46" s="513"/>
      <c r="H46" s="513"/>
      <c r="I46" s="513"/>
      <c r="J46" s="513"/>
    </row>
    <row r="47" spans="2:10" ht="28.95" customHeight="1" x14ac:dyDescent="0.35">
      <c r="B47" s="513"/>
      <c r="C47" s="513"/>
      <c r="D47" s="513"/>
      <c r="E47" s="513"/>
      <c r="F47" s="513"/>
      <c r="G47" s="513"/>
      <c r="H47" s="513"/>
      <c r="I47" s="513"/>
      <c r="J47" s="513"/>
    </row>
    <row r="48" spans="2:10" ht="28.95" customHeight="1" x14ac:dyDescent="0.35">
      <c r="B48" s="513"/>
      <c r="C48" s="513"/>
      <c r="D48" s="513"/>
      <c r="E48" s="513"/>
      <c r="F48" s="513"/>
      <c r="G48" s="513"/>
      <c r="H48" s="513"/>
      <c r="I48" s="513"/>
      <c r="J48" s="513"/>
    </row>
    <row r="49" spans="2:10" ht="28.95" customHeight="1" x14ac:dyDescent="0.35">
      <c r="B49" s="513"/>
      <c r="C49" s="513"/>
      <c r="D49" s="513"/>
      <c r="E49" s="513"/>
      <c r="F49" s="513"/>
      <c r="G49" s="513"/>
      <c r="H49" s="513"/>
      <c r="I49" s="513"/>
      <c r="J49" s="513"/>
    </row>
    <row r="50" spans="2:10" ht="28.95" customHeight="1" x14ac:dyDescent="0.35">
      <c r="B50" s="513"/>
      <c r="C50" s="513"/>
      <c r="D50" s="513"/>
      <c r="E50" s="513"/>
      <c r="F50" s="513"/>
      <c r="G50" s="513"/>
      <c r="H50" s="513"/>
      <c r="I50" s="513"/>
      <c r="J50" s="513"/>
    </row>
    <row r="51" spans="2:10" ht="28.95" customHeight="1" x14ac:dyDescent="0.35">
      <c r="B51" s="513"/>
      <c r="C51" s="323"/>
      <c r="D51" s="323"/>
      <c r="E51" s="513"/>
      <c r="F51" s="513"/>
      <c r="G51" s="513"/>
      <c r="H51" s="513"/>
      <c r="I51" s="513"/>
      <c r="J51" s="513"/>
    </row>
    <row r="52" spans="2:10" ht="28.95" customHeight="1" x14ac:dyDescent="0.35">
      <c r="B52" s="513"/>
      <c r="C52" s="323"/>
      <c r="D52" s="323"/>
      <c r="E52" s="513"/>
      <c r="F52" s="513"/>
      <c r="G52" s="513"/>
      <c r="H52" s="513"/>
      <c r="I52" s="513"/>
      <c r="J52" s="513"/>
    </row>
    <row r="53" spans="2:10" ht="28.95" customHeight="1" x14ac:dyDescent="0.35">
      <c r="B53" s="513"/>
      <c r="E53" s="513"/>
      <c r="F53" s="513"/>
      <c r="I53" s="323"/>
      <c r="J53" s="323"/>
    </row>
    <row r="54" spans="2:10" ht="28.95" customHeight="1" x14ac:dyDescent="0.35">
      <c r="B54" s="513"/>
      <c r="E54" s="323"/>
      <c r="F54" s="323"/>
      <c r="I54" s="323"/>
      <c r="J54" s="323"/>
    </row>
    <row r="55" spans="2:10" ht="28.95" customHeight="1" x14ac:dyDescent="0.3"/>
    <row r="56" spans="2:10" ht="28.95" customHeight="1" x14ac:dyDescent="0.3"/>
    <row r="57" spans="2:10" ht="28.95" customHeight="1" x14ac:dyDescent="0.3"/>
    <row r="58" spans="2:10" ht="28.95" customHeight="1" x14ac:dyDescent="0.3"/>
    <row r="59" spans="2:10" ht="28.95" customHeight="1" x14ac:dyDescent="0.3"/>
    <row r="60" spans="2:10" ht="28.95" customHeight="1" x14ac:dyDescent="0.3"/>
    <row r="61" spans="2:10" ht="28.95" customHeight="1" x14ac:dyDescent="0.3"/>
    <row r="62" spans="2:10" ht="28.95" customHeight="1" x14ac:dyDescent="0.3"/>
    <row r="63" spans="2:10" ht="28.95" customHeight="1" x14ac:dyDescent="0.3"/>
    <row r="64" spans="2:10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8F359B-1B65-416F-A43F-47313C2A72B4}">
          <x14:formula1>
            <xm:f>N_VMETAS!$N$22:$N$25</xm:f>
          </x14:formula1>
          <xm:sqref>E10:E12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926D-FC40-41E9-BF6A-2E546C49A236}">
  <sheetPr codeName="Planilha44">
    <tabColor rgb="FF7030A0"/>
  </sheetPr>
  <dimension ref="B1:AM66"/>
  <sheetViews>
    <sheetView topLeftCell="A4" zoomScale="55" zoomScaleNormal="55" workbookViewId="0">
      <selection activeCell="K15" sqref="K15"/>
    </sheetView>
  </sheetViews>
  <sheetFormatPr defaultColWidth="8.88671875" defaultRowHeight="14.4" x14ac:dyDescent="0.3"/>
  <cols>
    <col min="1" max="1" width="8.88671875" style="100"/>
    <col min="2" max="2" width="37.88671875" style="100" customWidth="1"/>
    <col min="3" max="3" width="40.44140625" style="100" customWidth="1"/>
    <col min="4" max="4" width="30.109375" style="100" customWidth="1"/>
    <col min="5" max="5" width="26" style="100" bestFit="1" customWidth="1"/>
    <col min="6" max="6" width="44.88671875" style="100" customWidth="1"/>
    <col min="7" max="7" width="15.5546875" style="100" customWidth="1"/>
    <col min="8" max="11" width="8.88671875" style="100"/>
    <col min="12" max="12" width="23.44140625" style="100" bestFit="1" customWidth="1"/>
    <col min="13" max="13" width="2.6640625" style="100" bestFit="1" customWidth="1"/>
    <col min="14" max="14" width="51.109375" style="100" customWidth="1"/>
    <col min="15" max="16384" width="8.88671875" style="100"/>
  </cols>
  <sheetData>
    <row r="1" spans="2:39" x14ac:dyDescent="0.3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</row>
    <row r="2" spans="2:39" x14ac:dyDescent="0.3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</row>
    <row r="3" spans="2:39" ht="61.2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</row>
    <row r="4" spans="2:39" ht="46.2" customHeight="1" x14ac:dyDescent="0.3"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</row>
    <row r="5" spans="2:39" x14ac:dyDescent="0.3"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</row>
    <row r="6" spans="2:39" x14ac:dyDescent="0.3"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</row>
    <row r="7" spans="2:39" x14ac:dyDescent="0.3"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</row>
    <row r="8" spans="2:39" ht="28.95" customHeight="1" x14ac:dyDescent="0.3"/>
    <row r="9" spans="2:39" ht="28.95" customHeight="1" x14ac:dyDescent="0.3">
      <c r="B9" s="515" t="s">
        <v>752</v>
      </c>
      <c r="C9" s="515" t="s">
        <v>747</v>
      </c>
      <c r="D9" s="515" t="s">
        <v>748</v>
      </c>
    </row>
    <row r="10" spans="2:39" ht="28.95" customHeight="1" x14ac:dyDescent="0.35">
      <c r="B10" s="513">
        <v>160</v>
      </c>
      <c r="C10" s="513">
        <v>1600</v>
      </c>
      <c r="D10" s="513" t="s">
        <v>753</v>
      </c>
    </row>
    <row r="11" spans="2:39" ht="28.95" customHeight="1" x14ac:dyDescent="0.35">
      <c r="B11" s="513"/>
      <c r="C11" s="513"/>
      <c r="D11" s="513"/>
    </row>
    <row r="12" spans="2:39" ht="28.95" customHeight="1" x14ac:dyDescent="0.35">
      <c r="B12" s="513"/>
      <c r="C12" s="513"/>
      <c r="D12" s="513"/>
    </row>
    <row r="13" spans="2:39" ht="28.95" customHeight="1" x14ac:dyDescent="0.35">
      <c r="B13" s="513"/>
      <c r="C13" s="513"/>
      <c r="D13" s="513"/>
    </row>
    <row r="14" spans="2:39" ht="28.95" customHeight="1" x14ac:dyDescent="0.35">
      <c r="B14" s="513"/>
      <c r="C14" s="513"/>
      <c r="D14" s="513"/>
    </row>
    <row r="15" spans="2:39" ht="28.95" customHeight="1" x14ac:dyDescent="0.35">
      <c r="B15" s="513"/>
      <c r="C15" s="513"/>
      <c r="D15" s="513"/>
    </row>
    <row r="16" spans="2:39" ht="28.95" customHeight="1" x14ac:dyDescent="0.35">
      <c r="B16" s="513"/>
      <c r="C16" s="513"/>
      <c r="D16" s="513"/>
    </row>
    <row r="17" spans="2:4" ht="28.95" customHeight="1" x14ac:dyDescent="0.35">
      <c r="B17" s="513"/>
      <c r="C17" s="513"/>
      <c r="D17" s="513"/>
    </row>
    <row r="18" spans="2:4" ht="28.95" customHeight="1" x14ac:dyDescent="0.35">
      <c r="B18" s="513"/>
      <c r="C18" s="513"/>
      <c r="D18" s="513"/>
    </row>
    <row r="19" spans="2:4" ht="28.95" customHeight="1" x14ac:dyDescent="0.35">
      <c r="B19" s="513"/>
      <c r="C19" s="513"/>
      <c r="D19" s="513"/>
    </row>
    <row r="20" spans="2:4" ht="28.95" customHeight="1" x14ac:dyDescent="0.35">
      <c r="B20" s="513"/>
      <c r="C20" s="513"/>
      <c r="D20" s="513"/>
    </row>
    <row r="21" spans="2:4" ht="28.95" customHeight="1" x14ac:dyDescent="0.35">
      <c r="B21" s="513"/>
      <c r="C21" s="513"/>
      <c r="D21" s="513"/>
    </row>
    <row r="22" spans="2:4" ht="28.95" customHeight="1" x14ac:dyDescent="0.35">
      <c r="B22" s="513"/>
      <c r="C22" s="513"/>
      <c r="D22" s="513"/>
    </row>
    <row r="23" spans="2:4" ht="28.95" customHeight="1" x14ac:dyDescent="0.35">
      <c r="B23" s="513"/>
      <c r="C23" s="513"/>
      <c r="D23" s="513"/>
    </row>
    <row r="24" spans="2:4" ht="28.95" customHeight="1" x14ac:dyDescent="0.35">
      <c r="B24" s="513"/>
      <c r="C24" s="513"/>
      <c r="D24" s="513"/>
    </row>
    <row r="25" spans="2:4" ht="28.95" customHeight="1" x14ac:dyDescent="0.35">
      <c r="B25" s="513"/>
      <c r="C25" s="513"/>
      <c r="D25" s="513"/>
    </row>
    <row r="26" spans="2:4" ht="28.95" customHeight="1" x14ac:dyDescent="0.35">
      <c r="B26" s="513"/>
      <c r="C26" s="513"/>
      <c r="D26" s="513"/>
    </row>
    <row r="27" spans="2:4" ht="28.95" customHeight="1" x14ac:dyDescent="0.35">
      <c r="B27" s="513"/>
      <c r="C27" s="513"/>
      <c r="D27" s="513"/>
    </row>
    <row r="28" spans="2:4" ht="28.95" customHeight="1" x14ac:dyDescent="0.35">
      <c r="B28" s="513"/>
      <c r="C28" s="513"/>
      <c r="D28" s="513"/>
    </row>
    <row r="29" spans="2:4" ht="28.95" customHeight="1" x14ac:dyDescent="0.35">
      <c r="B29" s="513"/>
      <c r="C29" s="513"/>
      <c r="D29" s="513"/>
    </row>
    <row r="30" spans="2:4" ht="28.95" customHeight="1" x14ac:dyDescent="0.35">
      <c r="B30" s="513"/>
      <c r="C30" s="513"/>
      <c r="D30" s="513"/>
    </row>
    <row r="31" spans="2:4" ht="28.95" customHeight="1" x14ac:dyDescent="0.35">
      <c r="B31" s="513"/>
      <c r="C31" s="513"/>
      <c r="D31" s="513"/>
    </row>
    <row r="32" spans="2:4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59F7-2AD5-4B66-9E3D-513BF5F4DA27}">
  <sheetPr codeName="Planilha63">
    <tabColor rgb="FFFF0000"/>
  </sheetPr>
  <dimension ref="A1:AW66"/>
  <sheetViews>
    <sheetView zoomScale="40" zoomScaleNormal="40" workbookViewId="0">
      <selection activeCell="P8" sqref="P8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77734375" style="100" customWidth="1"/>
    <col min="13" max="13" width="19.2187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</row>
    <row r="59" spans="1:22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</row>
    <row r="61" spans="1:22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</row>
    <row r="62" spans="1:22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</row>
    <row r="63" spans="1:22" ht="28.8" customHeight="1" x14ac:dyDescent="0.3"/>
    <row r="64" spans="1:2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338B-9DC6-443C-8FDD-576A1FC8E5AE}">
  <sheetPr codeName="Planilha48">
    <tabColor rgb="FFFF0000"/>
  </sheetPr>
  <dimension ref="A1:AW66"/>
  <sheetViews>
    <sheetView zoomScale="40" zoomScaleNormal="40" workbookViewId="0">
      <selection activeCell="H25" sqref="H2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66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AW4" s="466"/>
    </row>
    <row r="5" spans="1:49" x14ac:dyDescent="0.3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</row>
    <row r="6" spans="1:49" x14ac:dyDescent="0.3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</row>
    <row r="7" spans="1:49" x14ac:dyDescent="0.3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579</v>
      </c>
      <c r="I12" s="300"/>
      <c r="J12" s="300"/>
      <c r="K12" s="300"/>
      <c r="L12" s="300"/>
      <c r="M12" s="301"/>
    </row>
    <row r="13" spans="1:49" ht="28.95" customHeight="1" x14ac:dyDescent="0.3">
      <c r="G13" s="100" t="s">
        <v>655</v>
      </c>
      <c r="H13" s="305"/>
      <c r="I13" s="467"/>
      <c r="J13" s="467"/>
      <c r="K13" s="467"/>
      <c r="L13" s="467"/>
      <c r="M13" s="307"/>
    </row>
    <row r="14" spans="1:49" ht="28.95" customHeight="1" x14ac:dyDescent="0.3">
      <c r="H14" s="88"/>
      <c r="I14" s="339"/>
      <c r="J14" s="339"/>
      <c r="K14" s="339"/>
      <c r="L14" s="339"/>
      <c r="M14" s="89"/>
    </row>
    <row r="15" spans="1:49" ht="28.95" customHeight="1" x14ac:dyDescent="0.4">
      <c r="H15" s="90"/>
      <c r="I15" s="468" t="s">
        <v>373</v>
      </c>
      <c r="J15" s="340"/>
      <c r="K15" s="340"/>
      <c r="L15" s="469"/>
      <c r="M15" s="91"/>
    </row>
    <row r="16" spans="1:49" ht="28.95" customHeight="1" x14ac:dyDescent="0.4">
      <c r="H16" s="90"/>
      <c r="I16" s="470"/>
      <c r="J16" s="340"/>
      <c r="K16" s="340"/>
      <c r="L16" s="341"/>
      <c r="M16" s="91"/>
    </row>
    <row r="17" spans="8:13" ht="28.95" customHeight="1" x14ac:dyDescent="0.4">
      <c r="H17" s="92"/>
      <c r="I17" s="471" t="s">
        <v>375</v>
      </c>
      <c r="J17" s="342"/>
      <c r="K17" s="343"/>
      <c r="L17" s="472"/>
      <c r="M17" s="93"/>
    </row>
    <row r="18" spans="8:13" ht="28.95" customHeight="1" x14ac:dyDescent="0.4">
      <c r="H18" s="92"/>
      <c r="I18" s="471"/>
      <c r="J18" s="342"/>
      <c r="K18" s="343"/>
      <c r="L18" s="343"/>
      <c r="M18" s="93"/>
    </row>
    <row r="19" spans="8:13" ht="28.95" customHeight="1" x14ac:dyDescent="0.4">
      <c r="H19" s="92"/>
      <c r="I19" s="471" t="s">
        <v>362</v>
      </c>
      <c r="J19" s="342"/>
      <c r="K19" s="343"/>
      <c r="L19" s="472"/>
      <c r="M19" s="93"/>
    </row>
    <row r="20" spans="8:13" ht="28.95" customHeight="1" x14ac:dyDescent="0.35">
      <c r="H20" s="92"/>
      <c r="I20" s="473"/>
      <c r="J20" s="343"/>
      <c r="K20" s="343"/>
      <c r="L20" s="343"/>
      <c r="M20" s="93"/>
    </row>
    <row r="21" spans="8:13" ht="28.95" customHeight="1" x14ac:dyDescent="0.45">
      <c r="H21" s="92"/>
      <c r="I21" s="471" t="s">
        <v>36</v>
      </c>
      <c r="J21" s="343"/>
      <c r="K21" s="343"/>
      <c r="L21" s="474"/>
      <c r="M21" s="93"/>
    </row>
    <row r="22" spans="8:13" ht="28.95" customHeight="1" x14ac:dyDescent="0.35">
      <c r="H22" s="92"/>
      <c r="I22" s="473"/>
      <c r="J22" s="343"/>
      <c r="K22" s="343"/>
      <c r="L22" s="343"/>
      <c r="M22" s="93"/>
    </row>
    <row r="23" spans="8:13" ht="28.95" customHeight="1" x14ac:dyDescent="0.4">
      <c r="H23" s="92"/>
      <c r="I23" s="471" t="s">
        <v>35</v>
      </c>
      <c r="J23" s="343"/>
      <c r="K23" s="343"/>
      <c r="L23" s="472"/>
      <c r="M23" s="93"/>
    </row>
    <row r="24" spans="8:13" ht="28.95" customHeight="1" x14ac:dyDescent="0.35">
      <c r="H24" s="92"/>
      <c r="I24" s="473"/>
      <c r="J24" s="343"/>
      <c r="K24" s="343"/>
      <c r="L24" s="343"/>
      <c r="M24" s="93"/>
    </row>
    <row r="25" spans="8:13" ht="28.95" customHeight="1" x14ac:dyDescent="0.4">
      <c r="H25" s="92"/>
      <c r="I25" s="471" t="s">
        <v>380</v>
      </c>
      <c r="J25" s="343"/>
      <c r="K25" s="343"/>
      <c r="L25" s="472"/>
      <c r="M25" s="93"/>
    </row>
    <row r="26" spans="8:13" ht="28.95" customHeight="1" x14ac:dyDescent="0.35">
      <c r="H26" s="92"/>
      <c r="I26" s="473"/>
      <c r="J26" s="343"/>
      <c r="K26" s="344"/>
      <c r="L26" s="344"/>
      <c r="M26" s="94"/>
    </row>
    <row r="27" spans="8:13" ht="28.95" customHeight="1" x14ac:dyDescent="0.4">
      <c r="H27" s="92"/>
      <c r="I27" s="471" t="s">
        <v>382</v>
      </c>
      <c r="J27" s="343"/>
      <c r="K27" s="344"/>
      <c r="L27" s="475"/>
      <c r="M27" s="94"/>
    </row>
    <row r="28" spans="8:13" ht="28.95" customHeight="1" x14ac:dyDescent="0.4">
      <c r="H28" s="90"/>
      <c r="I28" s="470"/>
      <c r="J28" s="340"/>
      <c r="K28" s="340"/>
      <c r="L28" s="341"/>
      <c r="M28" s="91"/>
    </row>
    <row r="29" spans="8:13" ht="28.95" customHeight="1" x14ac:dyDescent="0.4">
      <c r="H29" s="92"/>
      <c r="I29" s="471" t="s">
        <v>384</v>
      </c>
      <c r="J29" s="343"/>
      <c r="K29" s="344"/>
      <c r="L29" s="475"/>
      <c r="M29" s="94"/>
    </row>
    <row r="30" spans="8:13" ht="28.95" customHeight="1" x14ac:dyDescent="0.35">
      <c r="H30" s="92"/>
      <c r="I30" s="473"/>
      <c r="J30" s="343"/>
      <c r="K30" s="344"/>
      <c r="L30" s="344"/>
      <c r="M30" s="94"/>
    </row>
    <row r="31" spans="8:13" ht="28.95" customHeight="1" x14ac:dyDescent="0.4">
      <c r="H31" s="92"/>
      <c r="I31" s="471" t="s">
        <v>386</v>
      </c>
      <c r="J31" s="343"/>
      <c r="K31" s="344"/>
      <c r="L31" s="476"/>
      <c r="M31" s="94"/>
    </row>
    <row r="32" spans="8:13" ht="28.95" customHeight="1" x14ac:dyDescent="0.3">
      <c r="H32" s="92"/>
      <c r="I32" s="343"/>
      <c r="J32" s="343"/>
      <c r="K32" s="344"/>
      <c r="L32" s="344"/>
      <c r="M32" s="94"/>
    </row>
    <row r="33" spans="8:13" ht="28.95" customHeight="1" x14ac:dyDescent="0.3">
      <c r="H33" s="92"/>
      <c r="I33" s="343"/>
      <c r="J33" s="343"/>
      <c r="K33" s="344"/>
      <c r="L33" s="344"/>
      <c r="M33" s="94"/>
    </row>
    <row r="34" spans="8:13" ht="28.95" customHeight="1" x14ac:dyDescent="0.3">
      <c r="H34" s="92"/>
      <c r="I34" s="343"/>
      <c r="J34" s="343"/>
      <c r="K34" s="344"/>
      <c r="L34" s="344" t="s">
        <v>655</v>
      </c>
      <c r="M34" s="94"/>
    </row>
    <row r="35" spans="8:13" ht="28.95" customHeight="1" x14ac:dyDescent="0.3">
      <c r="H35" s="92"/>
      <c r="I35" s="343"/>
      <c r="J35" s="343"/>
      <c r="K35" s="344"/>
      <c r="L35" s="344"/>
      <c r="M35" s="94"/>
    </row>
    <row r="36" spans="8:13" ht="28.95" customHeight="1" thickBot="1" x14ac:dyDescent="0.35">
      <c r="H36" s="95"/>
      <c r="I36" s="96"/>
      <c r="J36" s="96"/>
      <c r="K36" s="97"/>
      <c r="L36" s="97"/>
      <c r="M36" s="98"/>
    </row>
    <row r="37" spans="8:13" ht="28.95" customHeight="1" x14ac:dyDescent="0.3"/>
    <row r="38" spans="8:13" ht="28.95" customHeight="1" x14ac:dyDescent="0.3"/>
    <row r="39" spans="8:13" ht="28.95" customHeight="1" x14ac:dyDescent="0.3"/>
    <row r="40" spans="8:13" ht="28.95" customHeight="1" x14ac:dyDescent="0.3"/>
    <row r="41" spans="8:13" ht="28.95" customHeight="1" x14ac:dyDescent="0.3"/>
    <row r="42" spans="8:13" ht="28.95" customHeight="1" x14ac:dyDescent="0.3"/>
    <row r="43" spans="8:13" ht="28.95" customHeight="1" x14ac:dyDescent="0.3"/>
    <row r="44" spans="8:13" ht="28.95" customHeight="1" x14ac:dyDescent="0.3"/>
    <row r="45" spans="8:13" ht="28.95" customHeight="1" x14ac:dyDescent="0.3"/>
    <row r="46" spans="8:13" ht="28.95" customHeight="1" x14ac:dyDescent="0.3"/>
    <row r="47" spans="8:13" ht="28.95" customHeight="1" x14ac:dyDescent="0.3"/>
    <row r="48" spans="8:13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4116-7B07-4F8F-9624-A4EE7265FD2C}">
  <sheetPr codeName="Planilha49">
    <tabColor rgb="FFFF0000"/>
  </sheetPr>
  <dimension ref="A1:AW66"/>
  <sheetViews>
    <sheetView zoomScale="40" zoomScaleNormal="40" workbookViewId="0">
      <selection activeCell="H25" sqref="H2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50.5546875" style="100" bestFit="1" customWidth="1"/>
    <col min="9" max="9" width="38.6640625" style="100" bestFit="1" customWidth="1"/>
    <col min="10" max="10" width="70.5546875" style="100" bestFit="1" customWidth="1"/>
    <col min="11" max="11" width="28.6640625" style="100" bestFit="1" customWidth="1"/>
    <col min="12" max="12" width="63.44140625" style="100" bestFit="1" customWidth="1"/>
    <col min="13" max="13" width="34.33203125" style="100" customWidth="1"/>
    <col min="14" max="14" width="28.5546875" style="100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AW4" s="466"/>
    </row>
    <row r="5" spans="1:49" x14ac:dyDescent="0.3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</row>
    <row r="6" spans="1:49" x14ac:dyDescent="0.3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</row>
    <row r="7" spans="1:49" x14ac:dyDescent="0.3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/>
    <row r="12" spans="1:49" ht="28.95" customHeight="1" x14ac:dyDescent="0.3">
      <c r="G12" s="477" t="s">
        <v>220</v>
      </c>
      <c r="H12" s="477" t="s">
        <v>656</v>
      </c>
      <c r="I12" s="477" t="s">
        <v>362</v>
      </c>
      <c r="J12" s="477" t="s">
        <v>294</v>
      </c>
      <c r="K12" s="477" t="s">
        <v>407</v>
      </c>
      <c r="L12" s="477" t="s">
        <v>293</v>
      </c>
      <c r="M12" s="477" t="s">
        <v>657</v>
      </c>
      <c r="N12" s="477" t="s">
        <v>282</v>
      </c>
      <c r="O12" s="477" t="s">
        <v>658</v>
      </c>
    </row>
    <row r="13" spans="1:49" ht="28.95" customHeight="1" x14ac:dyDescent="0.3">
      <c r="G13" s="478" t="s">
        <v>659</v>
      </c>
      <c r="H13" s="478" t="s">
        <v>660</v>
      </c>
      <c r="I13" s="478" t="s">
        <v>661</v>
      </c>
      <c r="J13" s="478" t="s">
        <v>662</v>
      </c>
      <c r="K13" s="478" t="s">
        <v>663</v>
      </c>
      <c r="L13" s="478" t="s">
        <v>664</v>
      </c>
      <c r="M13" s="478" t="s">
        <v>665</v>
      </c>
      <c r="N13" s="478" t="s">
        <v>666</v>
      </c>
      <c r="O13" s="479">
        <v>2.5</v>
      </c>
    </row>
    <row r="14" spans="1:49" ht="28.95" customHeight="1" x14ac:dyDescent="0.3">
      <c r="G14" s="478" t="s">
        <v>667</v>
      </c>
      <c r="H14" s="480" t="s">
        <v>668</v>
      </c>
      <c r="I14" s="480" t="s">
        <v>669</v>
      </c>
      <c r="J14" s="480" t="s">
        <v>670</v>
      </c>
      <c r="K14" s="480" t="s">
        <v>671</v>
      </c>
      <c r="L14" s="480" t="s">
        <v>672</v>
      </c>
      <c r="M14" s="480" t="s">
        <v>665</v>
      </c>
      <c r="N14" s="480" t="s">
        <v>666</v>
      </c>
      <c r="O14" s="481">
        <v>2.5</v>
      </c>
    </row>
    <row r="15" spans="1:49" ht="28.95" customHeight="1" x14ac:dyDescent="0.3">
      <c r="G15" s="478" t="s">
        <v>673</v>
      </c>
      <c r="H15" s="480" t="s">
        <v>674</v>
      </c>
      <c r="I15" s="480" t="s">
        <v>675</v>
      </c>
      <c r="J15" s="480" t="s">
        <v>676</v>
      </c>
      <c r="K15" s="480" t="s">
        <v>677</v>
      </c>
      <c r="L15" s="480" t="s">
        <v>678</v>
      </c>
      <c r="M15" s="480" t="s">
        <v>383</v>
      </c>
      <c r="N15" s="480" t="s">
        <v>679</v>
      </c>
      <c r="O15" s="481">
        <v>3.85</v>
      </c>
    </row>
    <row r="16" spans="1:49" ht="28.95" customHeight="1" x14ac:dyDescent="0.3">
      <c r="G16" s="478" t="s">
        <v>680</v>
      </c>
      <c r="H16" s="480" t="s">
        <v>681</v>
      </c>
      <c r="I16" s="480" t="s">
        <v>682</v>
      </c>
      <c r="J16" s="480" t="s">
        <v>683</v>
      </c>
      <c r="K16" s="480" t="s">
        <v>684</v>
      </c>
      <c r="L16" s="480" t="s">
        <v>685</v>
      </c>
      <c r="M16" s="480" t="s">
        <v>383</v>
      </c>
      <c r="N16" s="480" t="s">
        <v>666</v>
      </c>
      <c r="O16" s="481">
        <v>2.5</v>
      </c>
    </row>
    <row r="17" spans="6:15" ht="28.95" customHeight="1" x14ac:dyDescent="0.3">
      <c r="G17" s="478" t="s">
        <v>686</v>
      </c>
      <c r="H17" s="478" t="s">
        <v>687</v>
      </c>
      <c r="I17" s="478" t="s">
        <v>688</v>
      </c>
      <c r="J17" s="478" t="s">
        <v>689</v>
      </c>
      <c r="K17" s="478" t="s">
        <v>690</v>
      </c>
      <c r="L17" s="478" t="s">
        <v>691</v>
      </c>
      <c r="M17" s="478" t="s">
        <v>665</v>
      </c>
      <c r="N17" s="478" t="s">
        <v>679</v>
      </c>
      <c r="O17" s="479">
        <v>3.25</v>
      </c>
    </row>
    <row r="18" spans="6:15" ht="28.95" customHeight="1" x14ac:dyDescent="0.3">
      <c r="G18" s="478" t="s">
        <v>692</v>
      </c>
      <c r="H18" s="480" t="s">
        <v>693</v>
      </c>
      <c r="I18" s="480" t="s">
        <v>694</v>
      </c>
      <c r="J18" s="480" t="s">
        <v>695</v>
      </c>
      <c r="K18" s="480" t="s">
        <v>696</v>
      </c>
      <c r="L18" s="480" t="s">
        <v>697</v>
      </c>
      <c r="M18" s="482" t="s">
        <v>665</v>
      </c>
      <c r="N18" s="482" t="s">
        <v>679</v>
      </c>
      <c r="O18" s="483">
        <v>2.75</v>
      </c>
    </row>
    <row r="19" spans="6:15" ht="28.95" customHeight="1" x14ac:dyDescent="0.3">
      <c r="G19" s="478" t="s">
        <v>374</v>
      </c>
      <c r="H19" s="478" t="s">
        <v>376</v>
      </c>
      <c r="I19" s="478" t="s">
        <v>377</v>
      </c>
      <c r="J19" s="478" t="s">
        <v>378</v>
      </c>
      <c r="K19" s="478" t="s">
        <v>379</v>
      </c>
      <c r="L19" s="478" t="s">
        <v>381</v>
      </c>
      <c r="M19" s="478" t="s">
        <v>383</v>
      </c>
      <c r="N19" s="478" t="s">
        <v>679</v>
      </c>
      <c r="O19" s="479">
        <v>2.5</v>
      </c>
    </row>
    <row r="20" spans="6:15" ht="28.95" customHeight="1" x14ac:dyDescent="0.3">
      <c r="G20" s="478" t="s">
        <v>698</v>
      </c>
      <c r="H20" s="480" t="s">
        <v>699</v>
      </c>
      <c r="I20" s="480" t="s">
        <v>700</v>
      </c>
      <c r="J20" s="480" t="s">
        <v>701</v>
      </c>
      <c r="K20" s="480" t="s">
        <v>702</v>
      </c>
      <c r="L20" s="480" t="s">
        <v>703</v>
      </c>
      <c r="M20" s="480" t="s">
        <v>383</v>
      </c>
      <c r="N20" s="480" t="s">
        <v>385</v>
      </c>
      <c r="O20" s="481">
        <v>4.3</v>
      </c>
    </row>
    <row r="21" spans="6:15" ht="28.95" customHeight="1" x14ac:dyDescent="0.3">
      <c r="G21" s="478" t="s">
        <v>374</v>
      </c>
      <c r="H21" s="478" t="s">
        <v>376</v>
      </c>
      <c r="I21" s="478" t="s">
        <v>377</v>
      </c>
      <c r="J21" s="478" t="s">
        <v>378</v>
      </c>
      <c r="K21" s="478" t="s">
        <v>379</v>
      </c>
      <c r="L21" s="478" t="s">
        <v>381</v>
      </c>
      <c r="M21" s="478" t="s">
        <v>383</v>
      </c>
      <c r="N21" s="478" t="s">
        <v>385</v>
      </c>
      <c r="O21" s="479">
        <v>4.5</v>
      </c>
    </row>
    <row r="22" spans="6:15" ht="28.95" customHeight="1" x14ac:dyDescent="0.3">
      <c r="G22" s="478" t="s">
        <v>704</v>
      </c>
      <c r="H22" s="480" t="s">
        <v>705</v>
      </c>
      <c r="I22" s="480" t="s">
        <v>706</v>
      </c>
      <c r="J22" s="480" t="s">
        <v>707</v>
      </c>
      <c r="K22" s="480" t="s">
        <v>708</v>
      </c>
      <c r="L22" s="480" t="s">
        <v>709</v>
      </c>
      <c r="M22" s="480" t="s">
        <v>665</v>
      </c>
      <c r="N22" s="480" t="s">
        <v>385</v>
      </c>
      <c r="O22" s="481">
        <v>5</v>
      </c>
    </row>
    <row r="23" spans="6:15" ht="28.95" customHeight="1" x14ac:dyDescent="0.3">
      <c r="G23" s="478" t="s">
        <v>710</v>
      </c>
      <c r="H23" s="480" t="s">
        <v>711</v>
      </c>
      <c r="I23" s="480" t="s">
        <v>712</v>
      </c>
      <c r="J23" s="480" t="s">
        <v>713</v>
      </c>
      <c r="K23" s="480" t="s">
        <v>714</v>
      </c>
      <c r="L23" s="480" t="s">
        <v>715</v>
      </c>
      <c r="M23" s="480" t="s">
        <v>383</v>
      </c>
      <c r="N23" s="480" t="s">
        <v>716</v>
      </c>
      <c r="O23" s="481">
        <v>11.5</v>
      </c>
    </row>
    <row r="24" spans="6:15" ht="28.95" customHeight="1" x14ac:dyDescent="0.3">
      <c r="G24" s="478" t="s">
        <v>717</v>
      </c>
      <c r="H24" s="480" t="s">
        <v>718</v>
      </c>
      <c r="I24" s="480" t="s">
        <v>719</v>
      </c>
      <c r="J24" s="480" t="s">
        <v>720</v>
      </c>
      <c r="K24" s="480" t="s">
        <v>721</v>
      </c>
      <c r="L24" s="480" t="s">
        <v>722</v>
      </c>
      <c r="M24" s="480" t="s">
        <v>665</v>
      </c>
      <c r="N24" s="480" t="s">
        <v>716</v>
      </c>
      <c r="O24" s="481">
        <v>11.75</v>
      </c>
    </row>
    <row r="25" spans="6:15" ht="28.95" customHeight="1" x14ac:dyDescent="0.3">
      <c r="F25" s="100" t="s">
        <v>743</v>
      </c>
      <c r="G25" s="478" t="s">
        <v>723</v>
      </c>
      <c r="H25" s="478" t="s">
        <v>724</v>
      </c>
      <c r="I25" s="478" t="s">
        <v>725</v>
      </c>
      <c r="J25" s="478" t="s">
        <v>726</v>
      </c>
      <c r="K25" s="478" t="s">
        <v>727</v>
      </c>
      <c r="L25" s="478" t="s">
        <v>728</v>
      </c>
      <c r="M25" s="478" t="s">
        <v>383</v>
      </c>
      <c r="N25" s="478" t="s">
        <v>716</v>
      </c>
      <c r="O25" s="479">
        <v>12</v>
      </c>
    </row>
    <row r="26" spans="6:15" ht="28.95" customHeight="1" x14ac:dyDescent="0.3">
      <c r="G26" s="478" t="s">
        <v>729</v>
      </c>
      <c r="H26" s="480" t="s">
        <v>730</v>
      </c>
      <c r="I26" s="480" t="s">
        <v>731</v>
      </c>
      <c r="J26" s="480" t="s">
        <v>732</v>
      </c>
      <c r="K26" s="480" t="s">
        <v>733</v>
      </c>
      <c r="L26" s="480" t="s">
        <v>734</v>
      </c>
      <c r="M26" s="480" t="s">
        <v>665</v>
      </c>
      <c r="N26" s="480" t="s">
        <v>735</v>
      </c>
      <c r="O26" s="481">
        <v>17</v>
      </c>
    </row>
    <row r="27" spans="6:15" ht="28.95" customHeight="1" x14ac:dyDescent="0.3">
      <c r="G27" s="478" t="s">
        <v>736</v>
      </c>
      <c r="H27" s="480" t="s">
        <v>737</v>
      </c>
      <c r="I27" s="480" t="s">
        <v>738</v>
      </c>
      <c r="J27" s="480" t="s">
        <v>739</v>
      </c>
      <c r="K27" s="480" t="s">
        <v>740</v>
      </c>
      <c r="L27" s="480" t="s">
        <v>741</v>
      </c>
      <c r="M27" s="480" t="s">
        <v>383</v>
      </c>
      <c r="N27" s="480" t="s">
        <v>735</v>
      </c>
      <c r="O27" s="481">
        <v>16.149999999999999</v>
      </c>
    </row>
    <row r="28" spans="6:15" ht="28.95" customHeight="1" x14ac:dyDescent="0.3">
      <c r="G28" s="478" t="s">
        <v>659</v>
      </c>
      <c r="H28" s="478" t="s">
        <v>660</v>
      </c>
      <c r="I28" s="478" t="s">
        <v>661</v>
      </c>
      <c r="J28" s="478" t="s">
        <v>662</v>
      </c>
      <c r="K28" s="478" t="s">
        <v>663</v>
      </c>
      <c r="L28" s="478" t="s">
        <v>664</v>
      </c>
      <c r="M28" s="478" t="s">
        <v>383</v>
      </c>
      <c r="N28" s="478" t="s">
        <v>735</v>
      </c>
      <c r="O28" s="479">
        <v>15.65</v>
      </c>
    </row>
    <row r="29" spans="6:15" ht="28.95" customHeight="1" x14ac:dyDescent="0.3"/>
    <row r="30" spans="6:15" ht="28.95" customHeight="1" x14ac:dyDescent="0.3"/>
    <row r="31" spans="6:15" ht="28.95" customHeight="1" x14ac:dyDescent="0.3"/>
    <row r="32" spans="6:1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autoFilter ref="G12:O28" xr:uid="{447C5C6A-8C0E-4405-A174-DC3F4C6123B9}">
    <sortState xmlns:xlrd2="http://schemas.microsoft.com/office/spreadsheetml/2017/richdata2" ref="G15:O19">
      <sortCondition descending="1" ref="O12:O28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822D3-A50A-481A-82FF-16DD330E6A10}">
  <sheetPr codeName="Planilha51">
    <tabColor rgb="FFFF0000"/>
  </sheetPr>
  <dimension ref="A1:AW66"/>
  <sheetViews>
    <sheetView zoomScale="40" zoomScaleNormal="40" workbookViewId="0"/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AW4" s="466"/>
    </row>
    <row r="5" spans="1:49" x14ac:dyDescent="0.3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</row>
    <row r="6" spans="1:49" x14ac:dyDescent="0.3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</row>
    <row r="7" spans="1:49" x14ac:dyDescent="0.3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394</v>
      </c>
      <c r="I12" s="300"/>
      <c r="J12" s="300"/>
      <c r="K12" s="300"/>
      <c r="L12" s="300"/>
      <c r="M12" s="301"/>
    </row>
    <row r="13" spans="1:49" ht="28.95" customHeight="1" x14ac:dyDescent="0.3">
      <c r="H13" s="305"/>
      <c r="I13" s="467"/>
      <c r="J13" s="467"/>
      <c r="K13" s="467"/>
      <c r="L13" s="467"/>
      <c r="M13" s="307"/>
    </row>
    <row r="14" spans="1:49" ht="28.95" customHeight="1" x14ac:dyDescent="0.3">
      <c r="H14" s="88"/>
      <c r="I14" s="339"/>
      <c r="J14" s="339"/>
      <c r="K14" s="339"/>
      <c r="L14" s="339"/>
      <c r="M14" s="89"/>
    </row>
    <row r="15" spans="1:49" ht="28.95" customHeight="1" x14ac:dyDescent="0.4">
      <c r="H15" s="90"/>
      <c r="I15" s="484" t="s">
        <v>392</v>
      </c>
      <c r="J15" s="470"/>
      <c r="K15" s="340"/>
      <c r="L15" s="469"/>
      <c r="M15" s="91"/>
    </row>
    <row r="16" spans="1:49" ht="28.95" customHeight="1" x14ac:dyDescent="0.4">
      <c r="H16" s="90"/>
      <c r="I16" s="485"/>
      <c r="J16" s="470"/>
      <c r="K16" s="340"/>
      <c r="L16" s="341"/>
      <c r="M16" s="91"/>
    </row>
    <row r="17" spans="8:13" ht="28.95" customHeight="1" x14ac:dyDescent="0.4">
      <c r="H17" s="92"/>
      <c r="I17" s="484" t="s">
        <v>393</v>
      </c>
      <c r="J17" s="471"/>
      <c r="K17" s="343"/>
      <c r="L17" s="472"/>
      <c r="M17" s="93"/>
    </row>
    <row r="18" spans="8:13" ht="28.95" customHeight="1" x14ac:dyDescent="0.4">
      <c r="H18" s="92"/>
      <c r="I18" s="486"/>
      <c r="J18" s="471"/>
      <c r="K18" s="343"/>
      <c r="L18" s="343"/>
      <c r="M18" s="93"/>
    </row>
    <row r="19" spans="8:13" ht="28.95" customHeight="1" x14ac:dyDescent="0.4">
      <c r="H19" s="92"/>
      <c r="I19" s="484" t="s">
        <v>384</v>
      </c>
      <c r="J19" s="471"/>
      <c r="K19" s="343"/>
      <c r="L19" s="472"/>
      <c r="M19" s="93"/>
    </row>
    <row r="20" spans="8:13" ht="28.95" customHeight="1" x14ac:dyDescent="0.35">
      <c r="H20" s="92"/>
      <c r="I20" s="486"/>
      <c r="J20" s="473"/>
      <c r="K20" s="343"/>
      <c r="L20" s="343"/>
      <c r="M20" s="93"/>
    </row>
    <row r="21" spans="8:13" ht="28.95" customHeight="1" x14ac:dyDescent="0.4">
      <c r="H21" s="92"/>
      <c r="I21" s="484" t="s">
        <v>225</v>
      </c>
      <c r="J21" s="473"/>
      <c r="K21" s="343"/>
      <c r="L21" s="487"/>
      <c r="M21" s="93"/>
    </row>
    <row r="22" spans="8:13" ht="28.95" customHeight="1" x14ac:dyDescent="0.35">
      <c r="H22" s="92"/>
      <c r="I22" s="488"/>
      <c r="J22" s="473"/>
      <c r="K22" s="343"/>
      <c r="L22" s="343"/>
      <c r="M22" s="93"/>
    </row>
    <row r="23" spans="8:13" ht="28.95" customHeight="1" x14ac:dyDescent="0.4">
      <c r="H23" s="92"/>
      <c r="I23" s="468"/>
      <c r="J23" s="473"/>
      <c r="K23" s="343"/>
      <c r="L23" s="343"/>
      <c r="M23" s="93"/>
    </row>
    <row r="24" spans="8:13" ht="28.95" customHeight="1" x14ac:dyDescent="0.35">
      <c r="H24" s="92"/>
      <c r="I24" s="473"/>
      <c r="J24" s="473"/>
      <c r="K24" s="343"/>
      <c r="L24" s="343"/>
      <c r="M24" s="93"/>
    </row>
    <row r="25" spans="8:13" ht="28.95" customHeight="1" x14ac:dyDescent="0.4">
      <c r="H25" s="92"/>
      <c r="I25" s="471"/>
      <c r="J25" s="473"/>
      <c r="K25" s="343"/>
      <c r="L25" s="343"/>
      <c r="M25" s="93"/>
    </row>
    <row r="26" spans="8:13" ht="28.95" customHeight="1" x14ac:dyDescent="0.35">
      <c r="H26" s="92"/>
      <c r="I26" s="473"/>
      <c r="J26" s="473"/>
      <c r="K26" s="344"/>
      <c r="L26" s="344"/>
      <c r="M26" s="94"/>
    </row>
    <row r="27" spans="8:13" ht="28.95" customHeight="1" thickBot="1" x14ac:dyDescent="0.45">
      <c r="H27" s="95"/>
      <c r="I27" s="350"/>
      <c r="J27" s="351"/>
      <c r="K27" s="97"/>
      <c r="L27" s="97"/>
      <c r="M27" s="98"/>
    </row>
    <row r="28" spans="8:13" ht="28.95" customHeight="1" x14ac:dyDescent="0.4">
      <c r="H28" s="489"/>
      <c r="I28" s="490"/>
      <c r="J28" s="489"/>
      <c r="K28" s="489"/>
      <c r="L28" s="491"/>
      <c r="M28" s="489"/>
    </row>
    <row r="29" spans="8:13" ht="28.95" customHeight="1" x14ac:dyDescent="0.3"/>
    <row r="30" spans="8:13" ht="28.95" customHeight="1" x14ac:dyDescent="0.3"/>
    <row r="31" spans="8:13" ht="28.95" customHeight="1" x14ac:dyDescent="0.3"/>
    <row r="32" spans="8:13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79E5-B22D-4F1E-8D48-67C3AA73FF89}">
  <sheetPr codeName="Planilha50">
    <tabColor rgb="FFFF0000"/>
  </sheetPr>
  <dimension ref="A1:AW66"/>
  <sheetViews>
    <sheetView zoomScale="40" zoomScaleNormal="40" workbookViewId="0">
      <selection activeCell="G30" sqref="G30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AW4" s="466"/>
    </row>
    <row r="5" spans="1:49" x14ac:dyDescent="0.3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</row>
    <row r="6" spans="1:49" x14ac:dyDescent="0.3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</row>
    <row r="7" spans="1:49" x14ac:dyDescent="0.3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580</v>
      </c>
      <c r="I12" s="300"/>
      <c r="J12" s="300"/>
      <c r="K12" s="300"/>
      <c r="L12" s="300"/>
      <c r="M12" s="301"/>
    </row>
    <row r="13" spans="1:49" ht="28.95" customHeight="1" x14ac:dyDescent="0.3">
      <c r="H13" s="305"/>
      <c r="I13" s="467"/>
      <c r="J13" s="467"/>
      <c r="K13" s="467"/>
      <c r="L13" s="467"/>
      <c r="M13" s="307"/>
    </row>
    <row r="14" spans="1:49" ht="28.95" customHeight="1" x14ac:dyDescent="0.3">
      <c r="H14" s="88"/>
      <c r="I14" s="339"/>
      <c r="J14" s="339"/>
      <c r="K14" s="339"/>
      <c r="L14" s="339"/>
      <c r="M14" s="89"/>
    </row>
    <row r="15" spans="1:49" ht="28.95" customHeight="1" x14ac:dyDescent="0.4">
      <c r="H15" s="90"/>
      <c r="I15" s="468" t="s">
        <v>387</v>
      </c>
      <c r="J15" s="470"/>
      <c r="K15" s="340"/>
      <c r="L15" s="84"/>
      <c r="M15" s="91"/>
    </row>
    <row r="16" spans="1:49" ht="28.95" customHeight="1" x14ac:dyDescent="0.4">
      <c r="H16" s="90"/>
      <c r="I16" s="468"/>
      <c r="J16" s="470"/>
      <c r="K16" s="340"/>
      <c r="L16" s="341"/>
      <c r="M16" s="91"/>
    </row>
    <row r="17" spans="8:13" ht="28.95" customHeight="1" x14ac:dyDescent="0.4">
      <c r="H17" s="92"/>
      <c r="I17" s="468" t="s">
        <v>388</v>
      </c>
      <c r="J17" s="471"/>
      <c r="K17" s="343"/>
      <c r="L17" s="85"/>
      <c r="M17" s="93"/>
    </row>
    <row r="18" spans="8:13" ht="28.95" customHeight="1" x14ac:dyDescent="0.4">
      <c r="H18" s="92"/>
      <c r="I18" s="468"/>
      <c r="J18" s="471"/>
      <c r="K18" s="343"/>
      <c r="L18" s="343"/>
      <c r="M18" s="93"/>
    </row>
    <row r="19" spans="8:13" ht="28.95" customHeight="1" x14ac:dyDescent="0.4">
      <c r="H19" s="92"/>
      <c r="I19" s="468" t="s">
        <v>389</v>
      </c>
      <c r="J19" s="471"/>
      <c r="K19" s="343"/>
      <c r="L19" s="85"/>
      <c r="M19" s="93"/>
    </row>
    <row r="20" spans="8:13" ht="28.95" customHeight="1" x14ac:dyDescent="0.4">
      <c r="H20" s="92"/>
      <c r="I20" s="468"/>
      <c r="J20" s="473"/>
      <c r="K20" s="343"/>
      <c r="L20" s="343"/>
      <c r="M20" s="93"/>
    </row>
    <row r="21" spans="8:13" ht="28.95" customHeight="1" x14ac:dyDescent="0.4">
      <c r="H21" s="92"/>
      <c r="I21" s="468" t="s">
        <v>390</v>
      </c>
      <c r="J21" s="473"/>
      <c r="K21" s="343"/>
      <c r="L21" s="86"/>
      <c r="M21" s="93"/>
    </row>
    <row r="22" spans="8:13" ht="28.95" customHeight="1" x14ac:dyDescent="0.35">
      <c r="H22" s="92"/>
      <c r="I22" s="488"/>
      <c r="J22" s="473"/>
      <c r="K22" s="343"/>
      <c r="L22" s="343"/>
      <c r="M22" s="93"/>
    </row>
    <row r="23" spans="8:13" ht="28.95" customHeight="1" x14ac:dyDescent="0.4">
      <c r="H23" s="92"/>
      <c r="I23" s="468" t="s">
        <v>391</v>
      </c>
      <c r="J23" s="473"/>
      <c r="K23" s="343"/>
      <c r="L23" s="85"/>
      <c r="M23" s="93"/>
    </row>
    <row r="24" spans="8:13" ht="28.95" customHeight="1" x14ac:dyDescent="0.35">
      <c r="H24" s="92"/>
      <c r="I24" s="473"/>
      <c r="J24" s="473"/>
      <c r="K24" s="343"/>
      <c r="L24" s="343"/>
      <c r="M24" s="93"/>
    </row>
    <row r="25" spans="8:13" ht="28.95" customHeight="1" x14ac:dyDescent="0.4">
      <c r="H25" s="92"/>
      <c r="I25" s="471"/>
      <c r="J25" s="473"/>
      <c r="K25" s="343"/>
      <c r="L25" s="343"/>
      <c r="M25" s="93"/>
    </row>
    <row r="26" spans="8:13" ht="28.95" customHeight="1" x14ac:dyDescent="0.35">
      <c r="H26" s="92"/>
      <c r="I26" s="473"/>
      <c r="J26" s="473"/>
      <c r="K26" s="344"/>
      <c r="L26" s="344"/>
      <c r="M26" s="94"/>
    </row>
    <row r="27" spans="8:13" ht="28.95" customHeight="1" x14ac:dyDescent="0.4">
      <c r="H27" s="92"/>
      <c r="I27" s="471"/>
      <c r="J27" s="473"/>
      <c r="K27" s="344"/>
      <c r="L27" s="344"/>
      <c r="M27" s="94"/>
    </row>
    <row r="28" spans="8:13" ht="28.95" customHeight="1" thickBot="1" x14ac:dyDescent="0.45">
      <c r="H28" s="345"/>
      <c r="I28" s="346"/>
      <c r="J28" s="347"/>
      <c r="K28" s="347"/>
      <c r="L28" s="348"/>
      <c r="M28" s="349"/>
    </row>
    <row r="29" spans="8:13" ht="28.95" customHeight="1" x14ac:dyDescent="0.3"/>
    <row r="30" spans="8:13" ht="28.95" customHeight="1" x14ac:dyDescent="0.3"/>
    <row r="31" spans="8:13" ht="28.95" customHeight="1" x14ac:dyDescent="0.3"/>
    <row r="32" spans="8:13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CD72E-1216-48CB-BFDD-756DE08954F9}">
  <sheetPr codeName="Planilha52">
    <tabColor rgb="FFFF0000"/>
  </sheetPr>
  <dimension ref="A1:AW66"/>
  <sheetViews>
    <sheetView zoomScale="40" zoomScaleNormal="40" workbookViewId="0"/>
  </sheetViews>
  <sheetFormatPr defaultColWidth="8.88671875" defaultRowHeight="14.4" x14ac:dyDescent="0.3"/>
  <cols>
    <col min="1" max="4" width="8.88671875" style="100"/>
    <col min="5" max="5" width="43" style="100" bestFit="1" customWidth="1"/>
    <col min="6" max="6" width="13.6640625" style="100" bestFit="1" customWidth="1"/>
    <col min="7" max="7" width="19.109375" style="100" customWidth="1"/>
    <col min="8" max="8" width="28" style="100" customWidth="1"/>
    <col min="9" max="9" width="22.88671875" style="100" bestFit="1" customWidth="1"/>
    <col min="10" max="10" width="25" style="100" customWidth="1"/>
    <col min="11" max="11" width="43" style="100" bestFit="1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AW4" s="466"/>
    </row>
    <row r="5" spans="1:49" x14ac:dyDescent="0.3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</row>
    <row r="6" spans="1:49" x14ac:dyDescent="0.3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</row>
    <row r="7" spans="1:49" x14ac:dyDescent="0.3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>
      <c r="K11" s="151" t="s">
        <v>392</v>
      </c>
      <c r="L11" s="151" t="s">
        <v>393</v>
      </c>
      <c r="M11" s="151" t="s">
        <v>384</v>
      </c>
      <c r="N11" s="151" t="s">
        <v>225</v>
      </c>
    </row>
    <row r="12" spans="1:49" ht="28.95" customHeight="1" x14ac:dyDescent="0.4">
      <c r="H12" s="489"/>
      <c r="I12" s="490"/>
      <c r="J12" s="489"/>
      <c r="K12" s="469" t="s">
        <v>742</v>
      </c>
      <c r="L12" s="472" t="s">
        <v>742</v>
      </c>
      <c r="M12" s="472" t="s">
        <v>742</v>
      </c>
      <c r="N12" s="487" t="s">
        <v>742</v>
      </c>
    </row>
    <row r="13" spans="1:49" ht="28.95" customHeight="1" x14ac:dyDescent="0.3">
      <c r="K13" s="84"/>
      <c r="L13" s="85"/>
      <c r="M13" s="85"/>
      <c r="N13" s="86"/>
    </row>
    <row r="14" spans="1:49" ht="28.95" customHeight="1" x14ac:dyDescent="0.3">
      <c r="K14" s="489"/>
      <c r="L14" s="491"/>
      <c r="M14" s="489"/>
    </row>
    <row r="15" spans="1:49" ht="28.95" customHeight="1" x14ac:dyDescent="0.3"/>
    <row r="16" spans="1:49" ht="28.95" customHeight="1" x14ac:dyDescent="0.3"/>
    <row r="17" ht="28.95" customHeight="1" x14ac:dyDescent="0.3"/>
    <row r="18" ht="28.95" customHeight="1" x14ac:dyDescent="0.3"/>
    <row r="19" ht="28.95" customHeight="1" x14ac:dyDescent="0.3"/>
    <row r="20" ht="28.95" customHeight="1" x14ac:dyDescent="0.3"/>
    <row r="21" ht="28.95" customHeight="1" x14ac:dyDescent="0.3"/>
    <row r="22" ht="28.95" customHeight="1" x14ac:dyDescent="0.3"/>
    <row r="23" ht="28.95" customHeight="1" x14ac:dyDescent="0.3"/>
    <row r="24" ht="28.95" customHeight="1" x14ac:dyDescent="0.3"/>
    <row r="25" ht="28.95" customHeight="1" x14ac:dyDescent="0.3"/>
    <row r="26" ht="28.95" customHeight="1" x14ac:dyDescent="0.3"/>
    <row r="27" ht="28.95" customHeight="1" x14ac:dyDescent="0.3"/>
    <row r="28" ht="28.95" customHeight="1" x14ac:dyDescent="0.3"/>
    <row r="29" ht="28.95" customHeight="1" x14ac:dyDescent="0.3"/>
    <row r="30" ht="28.95" customHeight="1" x14ac:dyDescent="0.3"/>
    <row r="31" ht="28.95" customHeight="1" x14ac:dyDescent="0.3"/>
    <row r="32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0E4CC-6104-488F-9AA4-70B2843E0C52}">
  <sheetPr codeName="Planilha53">
    <tabColor rgb="FFFF0000"/>
  </sheetPr>
  <dimension ref="A1:AW66"/>
  <sheetViews>
    <sheetView topLeftCell="A4" zoomScale="40" zoomScaleNormal="40" workbookViewId="0">
      <selection activeCell="G30" sqref="G30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66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AW4" s="466"/>
    </row>
    <row r="5" spans="1:49" x14ac:dyDescent="0.3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AW5" s="466"/>
    </row>
    <row r="6" spans="1:49" x14ac:dyDescent="0.3">
      <c r="A6" s="466"/>
      <c r="B6" s="466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6"/>
      <c r="AU6" s="466"/>
      <c r="AV6" s="466"/>
      <c r="AW6" s="466"/>
    </row>
    <row r="7" spans="1:49" x14ac:dyDescent="0.3">
      <c r="A7" s="466"/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6"/>
      <c r="R7" s="466"/>
      <c r="S7" s="466"/>
      <c r="T7" s="466"/>
      <c r="U7" s="466"/>
      <c r="V7" s="466"/>
      <c r="W7" s="466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6"/>
      <c r="AT7" s="466"/>
      <c r="AU7" s="466"/>
      <c r="AV7" s="466"/>
      <c r="AW7" s="466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399</v>
      </c>
      <c r="I12" s="300"/>
      <c r="J12" s="300"/>
      <c r="K12" s="300"/>
      <c r="L12" s="300"/>
      <c r="M12" s="301"/>
    </row>
    <row r="13" spans="1:49" ht="28.95" customHeight="1" x14ac:dyDescent="0.3">
      <c r="H13" s="305"/>
      <c r="I13" s="467"/>
      <c r="J13" s="467"/>
      <c r="K13" s="467"/>
      <c r="L13" s="467"/>
      <c r="M13" s="307"/>
    </row>
    <row r="14" spans="1:49" ht="28.95" customHeight="1" x14ac:dyDescent="0.3">
      <c r="H14" s="88"/>
      <c r="I14" s="339"/>
      <c r="J14" s="339"/>
      <c r="K14" s="339"/>
      <c r="L14" s="339"/>
      <c r="M14" s="89"/>
    </row>
    <row r="15" spans="1:49" ht="28.95" customHeight="1" x14ac:dyDescent="0.3">
      <c r="H15" s="90"/>
      <c r="I15" s="492" t="s">
        <v>395</v>
      </c>
      <c r="J15" s="340"/>
      <c r="K15" s="340"/>
      <c r="L15" s="84"/>
      <c r="M15" s="91"/>
    </row>
    <row r="16" spans="1:49" ht="28.95" customHeight="1" x14ac:dyDescent="0.3">
      <c r="H16" s="90"/>
      <c r="I16" s="492"/>
      <c r="J16" s="340"/>
      <c r="K16" s="340"/>
      <c r="L16" s="341"/>
      <c r="M16" s="91"/>
    </row>
    <row r="17" spans="8:13" ht="28.95" customHeight="1" x14ac:dyDescent="0.3">
      <c r="H17" s="92"/>
      <c r="I17" s="492" t="s">
        <v>373</v>
      </c>
      <c r="J17" s="342"/>
      <c r="K17" s="343"/>
      <c r="L17" s="85"/>
      <c r="M17" s="93"/>
    </row>
    <row r="18" spans="8:13" ht="28.95" customHeight="1" x14ac:dyDescent="0.3">
      <c r="H18" s="92"/>
      <c r="I18" s="492"/>
      <c r="J18" s="342"/>
      <c r="K18" s="343"/>
      <c r="L18" s="343"/>
      <c r="M18" s="93"/>
    </row>
    <row r="19" spans="8:13" ht="28.95" customHeight="1" x14ac:dyDescent="0.3">
      <c r="H19" s="92"/>
      <c r="I19" s="492" t="s">
        <v>396</v>
      </c>
      <c r="J19" s="342"/>
      <c r="K19" s="343"/>
      <c r="L19" s="85"/>
      <c r="M19" s="93"/>
    </row>
    <row r="20" spans="8:13" ht="28.95" customHeight="1" x14ac:dyDescent="0.3">
      <c r="H20" s="92"/>
      <c r="I20" s="492"/>
      <c r="J20" s="343"/>
      <c r="K20" s="343"/>
      <c r="L20" s="343"/>
      <c r="M20" s="93"/>
    </row>
    <row r="21" spans="8:13" ht="28.95" customHeight="1" x14ac:dyDescent="0.3">
      <c r="H21" s="92"/>
      <c r="I21" s="492" t="s">
        <v>35</v>
      </c>
      <c r="J21" s="343"/>
      <c r="K21" s="343"/>
      <c r="L21" s="86"/>
      <c r="M21" s="93"/>
    </row>
    <row r="22" spans="8:13" ht="28.95" customHeight="1" x14ac:dyDescent="0.3">
      <c r="H22" s="92"/>
      <c r="I22" s="492"/>
      <c r="J22" s="343"/>
      <c r="K22" s="343"/>
      <c r="L22" s="343"/>
      <c r="M22" s="93"/>
    </row>
    <row r="23" spans="8:13" ht="28.95" customHeight="1" x14ac:dyDescent="0.3">
      <c r="H23" s="92"/>
      <c r="I23" s="492" t="s">
        <v>384</v>
      </c>
      <c r="J23" s="343"/>
      <c r="K23" s="343"/>
      <c r="L23" s="85"/>
      <c r="M23" s="93"/>
    </row>
    <row r="24" spans="8:13" ht="28.95" customHeight="1" x14ac:dyDescent="0.3">
      <c r="H24" s="92"/>
      <c r="I24" s="493"/>
      <c r="J24" s="343"/>
      <c r="K24" s="343"/>
      <c r="L24" s="343"/>
      <c r="M24" s="93"/>
    </row>
    <row r="25" spans="8:13" ht="28.95" customHeight="1" x14ac:dyDescent="0.3">
      <c r="H25" s="92"/>
      <c r="I25" s="492" t="s">
        <v>397</v>
      </c>
      <c r="J25" s="343"/>
      <c r="K25" s="343"/>
      <c r="L25" s="85"/>
      <c r="M25" s="93"/>
    </row>
    <row r="26" spans="8:13" ht="28.95" customHeight="1" x14ac:dyDescent="0.3">
      <c r="H26" s="92"/>
      <c r="I26" s="492"/>
      <c r="J26" s="343"/>
      <c r="K26" s="344"/>
      <c r="L26" s="344"/>
      <c r="M26" s="94"/>
    </row>
    <row r="27" spans="8:13" ht="28.95" customHeight="1" x14ac:dyDescent="0.3">
      <c r="H27" s="92"/>
      <c r="I27" s="492" t="s">
        <v>225</v>
      </c>
      <c r="J27" s="343"/>
      <c r="K27" s="344"/>
      <c r="L27" s="87"/>
      <c r="M27" s="94"/>
    </row>
    <row r="28" spans="8:13" ht="28.95" customHeight="1" x14ac:dyDescent="0.3">
      <c r="H28" s="90"/>
      <c r="I28" s="492"/>
      <c r="J28" s="340"/>
      <c r="K28" s="340"/>
      <c r="L28" s="341"/>
      <c r="M28" s="91"/>
    </row>
    <row r="29" spans="8:13" ht="28.95" customHeight="1" x14ac:dyDescent="0.3">
      <c r="H29" s="92"/>
      <c r="I29" s="492" t="s">
        <v>398</v>
      </c>
      <c r="J29" s="343"/>
      <c r="K29" s="344"/>
      <c r="L29" s="87"/>
      <c r="M29" s="94"/>
    </row>
    <row r="30" spans="8:13" ht="28.95" customHeight="1" x14ac:dyDescent="0.35">
      <c r="H30" s="92"/>
      <c r="I30" s="473"/>
      <c r="J30" s="343"/>
      <c r="K30" s="344"/>
      <c r="L30" s="344"/>
      <c r="M30" s="94"/>
    </row>
    <row r="31" spans="8:13" ht="28.95" customHeight="1" x14ac:dyDescent="0.4">
      <c r="H31" s="92"/>
      <c r="I31" s="471"/>
      <c r="J31" s="343"/>
      <c r="K31" s="344"/>
      <c r="L31" s="494"/>
      <c r="M31" s="94"/>
    </row>
    <row r="32" spans="8:13" ht="28.95" customHeight="1" x14ac:dyDescent="0.3">
      <c r="H32" s="92"/>
      <c r="I32" s="343"/>
      <c r="J32" s="343"/>
      <c r="K32" s="344"/>
      <c r="L32" s="344"/>
      <c r="M32" s="94"/>
    </row>
    <row r="33" spans="8:13" ht="28.95" customHeight="1" x14ac:dyDescent="0.3">
      <c r="H33" s="92"/>
      <c r="I33" s="343"/>
      <c r="J33" s="343"/>
      <c r="K33" s="344"/>
      <c r="L33" s="344"/>
      <c r="M33" s="94"/>
    </row>
    <row r="34" spans="8:13" ht="28.95" customHeight="1" x14ac:dyDescent="0.3">
      <c r="H34" s="92"/>
      <c r="I34" s="343"/>
      <c r="J34" s="343"/>
      <c r="K34" s="344"/>
      <c r="L34" s="344"/>
      <c r="M34" s="94"/>
    </row>
    <row r="35" spans="8:13" ht="28.95" customHeight="1" thickBot="1" x14ac:dyDescent="0.35">
      <c r="H35" s="95"/>
      <c r="I35" s="96"/>
      <c r="J35" s="96"/>
      <c r="K35" s="97"/>
      <c r="L35" s="97"/>
      <c r="M35" s="98"/>
    </row>
    <row r="36" spans="8:13" ht="28.95" customHeight="1" x14ac:dyDescent="0.3">
      <c r="H36" s="495"/>
      <c r="I36" s="495"/>
      <c r="J36" s="495"/>
      <c r="K36" s="496"/>
      <c r="L36" s="496"/>
      <c r="M36" s="496"/>
    </row>
    <row r="37" spans="8:13" ht="28.95" customHeight="1" x14ac:dyDescent="0.3"/>
    <row r="38" spans="8:13" ht="28.95" customHeight="1" x14ac:dyDescent="0.3"/>
    <row r="39" spans="8:13" ht="28.95" customHeight="1" x14ac:dyDescent="0.3"/>
    <row r="40" spans="8:13" ht="28.95" customHeight="1" x14ac:dyDescent="0.3"/>
    <row r="41" spans="8:13" ht="28.95" customHeight="1" x14ac:dyDescent="0.3"/>
    <row r="42" spans="8:13" ht="28.95" customHeight="1" x14ac:dyDescent="0.3"/>
    <row r="43" spans="8:13" ht="28.95" customHeight="1" x14ac:dyDescent="0.3"/>
    <row r="44" spans="8:13" ht="28.95" customHeight="1" x14ac:dyDescent="0.3"/>
    <row r="45" spans="8:13" ht="28.95" customHeight="1" x14ac:dyDescent="0.3"/>
    <row r="46" spans="8:13" ht="28.95" customHeight="1" x14ac:dyDescent="0.3"/>
    <row r="47" spans="8:13" ht="28.95" customHeight="1" x14ac:dyDescent="0.3"/>
    <row r="48" spans="8:13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80B09-05C0-4DFA-99A0-5FFD8CCB78DA}">
  <sheetPr codeName="Planilha64">
    <tabColor rgb="FFF13FF5"/>
  </sheetPr>
  <dimension ref="A1:AW66"/>
  <sheetViews>
    <sheetView zoomScale="40" zoomScaleNormal="40" workbookViewId="0"/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10.109375" style="100" bestFit="1" customWidth="1"/>
    <col min="11" max="11" width="22.44140625" style="100" customWidth="1"/>
    <col min="12" max="12" width="15.33203125" style="100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</row>
    <row r="17" spans="1:34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</row>
    <row r="18" spans="1:34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</row>
    <row r="19" spans="1:34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</row>
    <row r="20" spans="1:34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</row>
    <row r="21" spans="1:34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</row>
    <row r="22" spans="1:34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</row>
    <row r="23" spans="1:34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</row>
    <row r="24" spans="1:34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</row>
    <row r="25" spans="1:34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</row>
    <row r="26" spans="1:34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</row>
    <row r="27" spans="1:34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</row>
    <row r="28" spans="1:34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</row>
    <row r="29" spans="1:34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</row>
    <row r="30" spans="1:34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</row>
    <row r="31" spans="1:34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</row>
    <row r="32" spans="1:34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</row>
    <row r="33" spans="1:34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</row>
    <row r="34" spans="1:34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</row>
    <row r="35" spans="1:34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</row>
    <row r="36" spans="1:34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</row>
    <row r="37" spans="1:34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</row>
    <row r="38" spans="1:34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4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4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</row>
    <row r="41" spans="1:34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</row>
    <row r="42" spans="1:34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</row>
    <row r="43" spans="1:34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</row>
    <row r="44" spans="1:34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</row>
    <row r="45" spans="1:34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</row>
    <row r="46" spans="1:34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</row>
    <row r="47" spans="1:34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</row>
    <row r="48" spans="1:34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</row>
    <row r="49" spans="1:34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</row>
    <row r="50" spans="1:34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</row>
    <row r="51" spans="1:34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</row>
    <row r="52" spans="1:34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</row>
    <row r="53" spans="1:34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</row>
    <row r="54" spans="1:34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</row>
    <row r="55" spans="1:34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</row>
    <row r="56" spans="1:34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</row>
    <row r="57" spans="1:34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</row>
    <row r="58" spans="1:34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</row>
    <row r="59" spans="1:34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</row>
    <row r="60" spans="1:34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</row>
    <row r="61" spans="1:34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</row>
    <row r="62" spans="1:34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</row>
    <row r="63" spans="1:34" ht="28.8" customHeight="1" x14ac:dyDescent="0.3"/>
    <row r="64" spans="1:3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7179-3184-45A2-ADFF-8DD1D6DB2E21}">
  <sheetPr codeName="Planilha54">
    <tabColor rgb="FFF13FF5"/>
  </sheetPr>
  <dimension ref="A1:AW66"/>
  <sheetViews>
    <sheetView zoomScale="40" zoomScaleNormal="40" workbookViewId="0">
      <selection activeCell="J30" sqref="J30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10.109375" style="100" bestFit="1" customWidth="1"/>
    <col min="11" max="11" width="14.88671875" style="100" bestFit="1" customWidth="1"/>
    <col min="12" max="12" width="15.33203125" style="100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x14ac:dyDescent="0.3"/>
    <row r="10" spans="1:49" ht="28.8" customHeight="1" x14ac:dyDescent="0.3">
      <c r="C10" s="364" t="s">
        <v>581</v>
      </c>
      <c r="D10" s="365"/>
      <c r="E10" s="365"/>
      <c r="F10" s="365"/>
      <c r="G10" s="366"/>
      <c r="I10" s="367" t="s">
        <v>596</v>
      </c>
      <c r="J10" s="151" t="s">
        <v>597</v>
      </c>
      <c r="K10" s="151" t="s">
        <v>598</v>
      </c>
      <c r="M10" s="368" t="s">
        <v>606</v>
      </c>
      <c r="N10" s="368" t="s">
        <v>597</v>
      </c>
      <c r="O10" s="151" t="s">
        <v>598</v>
      </c>
      <c r="Q10" s="373" t="s">
        <v>611</v>
      </c>
      <c r="R10" s="373"/>
      <c r="S10" s="373"/>
      <c r="T10" s="373"/>
      <c r="U10" s="373"/>
      <c r="V10" s="373"/>
      <c r="W10" s="373"/>
      <c r="X10" s="373"/>
    </row>
    <row r="11" spans="1:49" ht="28.8" customHeight="1" x14ac:dyDescent="0.4">
      <c r="C11" s="355" t="s">
        <v>582</v>
      </c>
      <c r="D11" s="355"/>
      <c r="E11" s="355"/>
      <c r="F11" s="355"/>
      <c r="G11" s="356" t="s">
        <v>583</v>
      </c>
      <c r="I11" s="360" t="s">
        <v>599</v>
      </c>
      <c r="J11" s="361">
        <v>1</v>
      </c>
      <c r="K11" s="362" t="e">
        <f>('[3]N_RHREF '!#REF!-'[3]N_RHREF '!#REF!-'[3]N_RHREF '!#REF!-'[3]N_RHREF '!#REF!-'[3]N_RHREF '!#REF!)</f>
        <v>#REF!</v>
      </c>
      <c r="M11" s="369" t="s">
        <v>599</v>
      </c>
      <c r="N11" s="369"/>
      <c r="O11" s="370" t="e">
        <f>'[3]N_RHREF '!#REF!</f>
        <v>#REF!</v>
      </c>
      <c r="Q11" s="374" t="s">
        <v>612</v>
      </c>
      <c r="R11" s="374"/>
      <c r="S11" s="374"/>
      <c r="T11" s="374"/>
      <c r="U11" s="374"/>
      <c r="V11" s="374"/>
      <c r="W11" s="375"/>
      <c r="X11" s="376"/>
    </row>
    <row r="12" spans="1:49" ht="28.8" customHeight="1" x14ac:dyDescent="0.35">
      <c r="C12" s="353" t="s">
        <v>584</v>
      </c>
      <c r="D12" s="353"/>
      <c r="E12" s="353"/>
      <c r="F12" s="353"/>
      <c r="G12" s="354">
        <v>450</v>
      </c>
      <c r="I12" s="360" t="s">
        <v>600</v>
      </c>
      <c r="J12" s="361">
        <v>4</v>
      </c>
      <c r="K12" s="362" t="e">
        <f>'[3]N_RHREF '!#REF!</f>
        <v>#REF!</v>
      </c>
      <c r="M12" s="369" t="s">
        <v>606</v>
      </c>
      <c r="N12" s="369"/>
      <c r="O12" s="370" t="e">
        <f>'[3]N_RHREF '!#REF!</f>
        <v>#REF!</v>
      </c>
      <c r="Q12" s="374" t="s">
        <v>613</v>
      </c>
      <c r="R12" s="374"/>
      <c r="S12" s="374"/>
      <c r="T12" s="374"/>
      <c r="U12" s="374"/>
      <c r="V12" s="374"/>
      <c r="W12" s="377">
        <f>(K29*L29)+(K30*L30)+(K31*L31)</f>
        <v>0</v>
      </c>
      <c r="X12" s="377"/>
    </row>
    <row r="13" spans="1:49" ht="28.8" customHeight="1" x14ac:dyDescent="0.35">
      <c r="C13" s="353" t="s">
        <v>585</v>
      </c>
      <c r="D13" s="353"/>
      <c r="E13" s="353"/>
      <c r="F13" s="353"/>
      <c r="G13" s="354">
        <v>4500</v>
      </c>
      <c r="I13" s="360" t="s">
        <v>601</v>
      </c>
      <c r="J13" s="361">
        <v>4</v>
      </c>
      <c r="K13" s="362" t="e">
        <f>'[3]N_RHREF '!#REF!</f>
        <v>#REF!</v>
      </c>
      <c r="Q13" s="374" t="s">
        <v>614</v>
      </c>
      <c r="R13" s="374"/>
      <c r="S13" s="374"/>
      <c r="T13" s="374"/>
      <c r="U13" s="374"/>
      <c r="V13" s="374"/>
      <c r="W13" s="377"/>
      <c r="X13" s="377"/>
    </row>
    <row r="14" spans="1:49" ht="28.8" customHeight="1" x14ac:dyDescent="0.35">
      <c r="C14" s="353" t="s">
        <v>586</v>
      </c>
      <c r="D14" s="353"/>
      <c r="E14" s="353"/>
      <c r="F14" s="353"/>
      <c r="G14" s="354">
        <v>37500</v>
      </c>
      <c r="J14" s="357"/>
      <c r="K14" s="358"/>
      <c r="M14" s="367" t="s">
        <v>607</v>
      </c>
      <c r="N14" s="151" t="s">
        <v>597</v>
      </c>
      <c r="O14" s="151" t="s">
        <v>598</v>
      </c>
      <c r="Q14" s="374" t="s">
        <v>615</v>
      </c>
      <c r="R14" s="374"/>
      <c r="S14" s="374"/>
      <c r="T14" s="374"/>
      <c r="U14" s="374"/>
      <c r="V14" s="374"/>
      <c r="W14" s="377"/>
      <c r="X14" s="377"/>
    </row>
    <row r="15" spans="1:49" ht="28.8" customHeight="1" x14ac:dyDescent="0.35">
      <c r="C15" s="353" t="s">
        <v>587</v>
      </c>
      <c r="D15" s="353"/>
      <c r="E15" s="353"/>
      <c r="F15" s="353"/>
      <c r="G15" s="354"/>
      <c r="I15" s="368" t="s">
        <v>602</v>
      </c>
      <c r="J15" s="368" t="s">
        <v>597</v>
      </c>
      <c r="K15" s="151" t="s">
        <v>598</v>
      </c>
      <c r="M15" s="360" t="s">
        <v>599</v>
      </c>
      <c r="N15" s="361"/>
      <c r="O15" s="362" t="e">
        <f>'[3]N_RHREF '!#REF!</f>
        <v>#REF!</v>
      </c>
    </row>
    <row r="16" spans="1:49" ht="28.8" customHeight="1" x14ac:dyDescent="0.35">
      <c r="C16" s="353" t="s">
        <v>588</v>
      </c>
      <c r="D16" s="353"/>
      <c r="E16" s="353"/>
      <c r="F16" s="353"/>
      <c r="G16" s="354"/>
      <c r="I16" s="369" t="s">
        <v>599</v>
      </c>
      <c r="J16" s="369"/>
      <c r="K16" s="370" t="e">
        <f>'[3]N_RHREF '!#REF!</f>
        <v>#REF!</v>
      </c>
      <c r="M16" s="360" t="s">
        <v>603</v>
      </c>
      <c r="N16" s="361"/>
      <c r="O16" s="362">
        <f>'[3]N_RHREF '!J1</f>
        <v>0</v>
      </c>
    </row>
    <row r="17" spans="3:15" ht="28.8" customHeight="1" x14ac:dyDescent="0.35">
      <c r="C17" s="353" t="s">
        <v>295</v>
      </c>
      <c r="D17" s="353"/>
      <c r="E17" s="353"/>
      <c r="F17" s="353"/>
      <c r="G17" s="354"/>
      <c r="I17" s="369" t="s">
        <v>603</v>
      </c>
      <c r="J17" s="369"/>
      <c r="K17" s="370" t="e">
        <f>'[3]N_RHREF '!#REF!</f>
        <v>#REF!</v>
      </c>
      <c r="M17" s="360" t="s">
        <v>601</v>
      </c>
      <c r="N17" s="361"/>
      <c r="O17" s="362">
        <f>'[3]N_RHREF '!J2</f>
        <v>0</v>
      </c>
    </row>
    <row r="18" spans="3:15" ht="28.8" customHeight="1" x14ac:dyDescent="0.35">
      <c r="C18" s="353" t="s">
        <v>589</v>
      </c>
      <c r="D18" s="353"/>
      <c r="E18" s="353"/>
      <c r="F18" s="353"/>
      <c r="G18" s="354">
        <v>130</v>
      </c>
      <c r="I18" s="369" t="s">
        <v>604</v>
      </c>
      <c r="J18" s="369"/>
      <c r="K18" s="370" t="e">
        <f>'[3]N_RHREF '!#REF!</f>
        <v>#REF!</v>
      </c>
    </row>
    <row r="19" spans="3:15" ht="28.8" customHeight="1" x14ac:dyDescent="0.35">
      <c r="C19" s="353" t="s">
        <v>590</v>
      </c>
      <c r="D19" s="353"/>
      <c r="E19" s="353"/>
      <c r="F19" s="353"/>
      <c r="G19" s="354">
        <v>45000</v>
      </c>
      <c r="J19" s="338"/>
      <c r="K19" s="359"/>
      <c r="M19" s="367" t="s">
        <v>608</v>
      </c>
      <c r="N19" s="151" t="s">
        <v>597</v>
      </c>
      <c r="O19" s="151" t="s">
        <v>598</v>
      </c>
    </row>
    <row r="20" spans="3:15" ht="28.8" customHeight="1" x14ac:dyDescent="0.35">
      <c r="C20" s="353" t="s">
        <v>591</v>
      </c>
      <c r="D20" s="353"/>
      <c r="E20" s="353"/>
      <c r="F20" s="353"/>
      <c r="G20" s="354"/>
      <c r="I20" s="368" t="s">
        <v>605</v>
      </c>
      <c r="J20" s="368" t="s">
        <v>597</v>
      </c>
      <c r="K20" s="151" t="s">
        <v>598</v>
      </c>
      <c r="M20" s="360" t="s">
        <v>599</v>
      </c>
      <c r="N20" s="361"/>
      <c r="O20" s="362">
        <f>'[3]N_RHREF '!J3</f>
        <v>0</v>
      </c>
    </row>
    <row r="21" spans="3:15" ht="28.8" customHeight="1" x14ac:dyDescent="0.35">
      <c r="C21" s="353" t="s">
        <v>592</v>
      </c>
      <c r="D21" s="353"/>
      <c r="E21" s="353"/>
      <c r="F21" s="353"/>
      <c r="G21" s="354"/>
      <c r="I21" s="369" t="s">
        <v>599</v>
      </c>
      <c r="J21" s="369"/>
      <c r="K21" s="370" t="e">
        <f>'[3]N_RHREF '!#REF!</f>
        <v>#REF!</v>
      </c>
      <c r="M21" s="360" t="s">
        <v>609</v>
      </c>
      <c r="N21" s="361"/>
      <c r="O21" s="362">
        <f>'[3]N_RHREF '!J4</f>
        <v>0</v>
      </c>
    </row>
    <row r="22" spans="3:15" ht="28.8" customHeight="1" x14ac:dyDescent="0.35">
      <c r="C22" s="353" t="s">
        <v>593</v>
      </c>
      <c r="D22" s="353"/>
      <c r="E22" s="353"/>
      <c r="F22" s="353"/>
      <c r="G22" s="354">
        <v>2500</v>
      </c>
      <c r="I22" s="369" t="s">
        <v>603</v>
      </c>
      <c r="J22" s="369"/>
      <c r="K22" s="370" t="e">
        <f>'[3]N_RHREF '!#REF!</f>
        <v>#REF!</v>
      </c>
      <c r="M22" s="360" t="s">
        <v>603</v>
      </c>
      <c r="N22" s="361"/>
      <c r="O22" s="362">
        <f>'[3]N_RHREF '!J5</f>
        <v>0</v>
      </c>
    </row>
    <row r="23" spans="3:15" ht="28.8" customHeight="1" x14ac:dyDescent="0.35">
      <c r="C23" s="353" t="s">
        <v>594</v>
      </c>
      <c r="D23" s="353"/>
      <c r="E23" s="353"/>
      <c r="F23" s="353"/>
      <c r="G23" s="354">
        <v>6000</v>
      </c>
      <c r="I23" s="369" t="s">
        <v>604</v>
      </c>
      <c r="J23" s="369"/>
      <c r="K23" s="370" t="e">
        <f>'[3]N_RHREF '!#REF!</f>
        <v>#REF!</v>
      </c>
      <c r="M23" s="369" t="s">
        <v>604</v>
      </c>
      <c r="N23" s="371"/>
      <c r="O23" s="372">
        <f>'[3]N_RHREF '!J6</f>
        <v>0</v>
      </c>
    </row>
    <row r="24" spans="3:15" ht="28.8" customHeight="1" x14ac:dyDescent="0.35">
      <c r="C24" s="353" t="s">
        <v>573</v>
      </c>
      <c r="D24" s="353"/>
      <c r="E24" s="353"/>
      <c r="F24" s="353"/>
      <c r="G24" s="354"/>
    </row>
    <row r="25" spans="3:15" ht="28.8" customHeight="1" x14ac:dyDescent="0.35">
      <c r="C25" s="353" t="s">
        <v>595</v>
      </c>
      <c r="D25" s="353"/>
      <c r="E25" s="353"/>
      <c r="F25" s="353"/>
      <c r="G25" s="354"/>
      <c r="M25" s="367" t="s">
        <v>610</v>
      </c>
      <c r="N25" s="151" t="s">
        <v>597</v>
      </c>
      <c r="O25" s="151" t="s">
        <v>598</v>
      </c>
    </row>
    <row r="26" spans="3:15" ht="28.8" customHeight="1" x14ac:dyDescent="0.35">
      <c r="M26" s="360" t="s">
        <v>599</v>
      </c>
      <c r="N26" s="361"/>
      <c r="O26" s="362">
        <f>'[3]N_RHREF '!J7</f>
        <v>0</v>
      </c>
    </row>
    <row r="27" spans="3:15" ht="28.8" customHeight="1" x14ac:dyDescent="0.35">
      <c r="M27" s="360" t="s">
        <v>609</v>
      </c>
      <c r="N27" s="361"/>
      <c r="O27" s="362">
        <f>'[3]N_RHREF '!J8</f>
        <v>0</v>
      </c>
    </row>
    <row r="28" spans="3:15" ht="28.8" customHeight="1" x14ac:dyDescent="0.35">
      <c r="M28" s="360" t="s">
        <v>601</v>
      </c>
      <c r="N28" s="361"/>
      <c r="O28" s="362">
        <f>'[3]N_RHREF '!J9</f>
        <v>2259.1999999999998</v>
      </c>
    </row>
    <row r="29" spans="3:15" ht="28.8" customHeight="1" x14ac:dyDescent="0.3"/>
    <row r="30" spans="3:15" ht="28.8" customHeight="1" x14ac:dyDescent="0.3"/>
    <row r="31" spans="3:15" ht="28.8" customHeight="1" x14ac:dyDescent="0.3"/>
    <row r="32" spans="3:1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5"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  <mergeCell ref="C21:F21"/>
    <mergeCell ref="C22:F22"/>
    <mergeCell ref="C23:F23"/>
    <mergeCell ref="C24:F24"/>
    <mergeCell ref="C25:F25"/>
    <mergeCell ref="C10:G10"/>
    <mergeCell ref="C15:F15"/>
    <mergeCell ref="C16:F16"/>
    <mergeCell ref="C17:F17"/>
    <mergeCell ref="C18:F18"/>
    <mergeCell ref="C19:F19"/>
    <mergeCell ref="C20:F20"/>
    <mergeCell ref="C11:F11"/>
    <mergeCell ref="C12:F12"/>
    <mergeCell ref="C13:F13"/>
    <mergeCell ref="C14:F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9231-4B36-4A98-85EA-46C9F1B9BF1E}">
  <sheetPr codeName="Planilha55">
    <tabColor rgb="FFF13FF5"/>
  </sheetPr>
  <dimension ref="A1:AW66"/>
  <sheetViews>
    <sheetView zoomScale="40" zoomScaleNormal="40" workbookViewId="0">
      <selection activeCell="P35" sqref="P35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81.77734375" style="100" bestFit="1" customWidth="1"/>
    <col min="11" max="11" width="22.44140625" style="100" customWidth="1"/>
    <col min="12" max="12" width="16.77734375" style="100" bestFit="1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x14ac:dyDescent="0.3"/>
    <row r="10" spans="1:49" ht="28.8" customHeight="1" x14ac:dyDescent="0.3">
      <c r="J10" s="367" t="s">
        <v>616</v>
      </c>
      <c r="K10" s="151" t="s">
        <v>617</v>
      </c>
      <c r="L10" s="151" t="s">
        <v>618</v>
      </c>
    </row>
    <row r="11" spans="1:49" ht="28.8" customHeight="1" x14ac:dyDescent="0.4">
      <c r="J11" s="369"/>
      <c r="K11" s="390"/>
      <c r="L11" s="391"/>
    </row>
    <row r="12" spans="1:49" ht="28.8" customHeight="1" x14ac:dyDescent="0.4">
      <c r="J12" s="392" t="s">
        <v>619</v>
      </c>
      <c r="K12" s="393"/>
      <c r="L12" s="394"/>
    </row>
    <row r="13" spans="1:49" ht="28.8" customHeight="1" x14ac:dyDescent="0.3">
      <c r="J13" s="379"/>
      <c r="K13" s="380"/>
      <c r="L13" s="381"/>
    </row>
    <row r="14" spans="1:49" ht="28.8" customHeight="1" x14ac:dyDescent="0.3">
      <c r="J14" s="382"/>
      <c r="K14" s="383"/>
      <c r="L14" s="384"/>
    </row>
    <row r="15" spans="1:49" ht="28.8" customHeight="1" x14ac:dyDescent="0.4">
      <c r="J15" s="395" t="s">
        <v>620</v>
      </c>
      <c r="K15" s="378"/>
      <c r="L15" s="352"/>
    </row>
    <row r="16" spans="1:49" ht="28.8" customHeight="1" x14ac:dyDescent="0.4">
      <c r="J16" s="395" t="s">
        <v>621</v>
      </c>
      <c r="K16" s="378"/>
      <c r="L16" s="352"/>
    </row>
    <row r="17" spans="10:12" ht="28.8" customHeight="1" x14ac:dyDescent="0.4">
      <c r="J17" s="396" t="s">
        <v>622</v>
      </c>
      <c r="K17" s="385"/>
      <c r="L17" s="386"/>
    </row>
    <row r="18" spans="10:12" ht="28.8" customHeight="1" x14ac:dyDescent="0.3">
      <c r="J18" s="387"/>
      <c r="K18" s="388"/>
      <c r="L18" s="389"/>
    </row>
    <row r="19" spans="10:12" ht="28.8" customHeight="1" x14ac:dyDescent="0.3">
      <c r="J19" s="397" t="s">
        <v>623</v>
      </c>
      <c r="K19" s="398"/>
      <c r="L19" s="399"/>
    </row>
    <row r="20" spans="10:12" ht="28.8" customHeight="1" x14ac:dyDescent="0.35">
      <c r="J20" s="369" t="s">
        <v>624</v>
      </c>
      <c r="K20" s="390">
        <f>[3]N_CUSTOFIXOEVARIAVEL!Q20</f>
        <v>0</v>
      </c>
      <c r="L20" s="390"/>
    </row>
    <row r="21" spans="10:12" ht="28.8" customHeight="1" x14ac:dyDescent="0.35">
      <c r="J21" s="369" t="s">
        <v>625</v>
      </c>
      <c r="K21" s="390">
        <f>[3]N_CUSTOFIXOEVARIAVEL!Q21</f>
        <v>0</v>
      </c>
      <c r="L21" s="390"/>
    </row>
    <row r="22" spans="10:12" ht="28.8" customHeight="1" x14ac:dyDescent="0.4">
      <c r="J22" s="369" t="s">
        <v>586</v>
      </c>
      <c r="K22" s="390">
        <f>[3]N_CUSTOFIXOEVARIAVEL!Q22</f>
        <v>0</v>
      </c>
      <c r="L22" s="391"/>
    </row>
    <row r="23" spans="10:12" ht="28.8" customHeight="1" x14ac:dyDescent="0.4">
      <c r="J23" s="369" t="s">
        <v>626</v>
      </c>
      <c r="K23" s="390"/>
      <c r="L23" s="391"/>
    </row>
    <row r="24" spans="10:12" ht="28.8" customHeight="1" x14ac:dyDescent="0.4">
      <c r="J24" s="369" t="s">
        <v>627</v>
      </c>
      <c r="K24" s="390"/>
      <c r="L24" s="391"/>
    </row>
    <row r="25" spans="10:12" ht="28.8" customHeight="1" x14ac:dyDescent="0.35">
      <c r="J25" s="369" t="s">
        <v>628</v>
      </c>
      <c r="K25" s="390"/>
      <c r="L25" s="390"/>
    </row>
    <row r="26" spans="10:12" ht="28.8" customHeight="1" x14ac:dyDescent="0.35">
      <c r="J26" s="369" t="s">
        <v>629</v>
      </c>
      <c r="K26" s="400">
        <f>[3]N_CUSTOFIXOEVARIAVEL!Q26</f>
        <v>0</v>
      </c>
      <c r="L26" s="390"/>
    </row>
    <row r="27" spans="10:12" ht="28.8" customHeight="1" x14ac:dyDescent="0.35">
      <c r="J27" s="369" t="s">
        <v>630</v>
      </c>
      <c r="K27" s="390">
        <f>[3]N_CUSTOFIXOEVARIAVEL!Q27</f>
        <v>0</v>
      </c>
      <c r="L27" s="390"/>
    </row>
    <row r="28" spans="10:12" ht="28.8" customHeight="1" x14ac:dyDescent="0.35">
      <c r="J28" s="369" t="s">
        <v>631</v>
      </c>
      <c r="K28" s="390"/>
      <c r="L28" s="390"/>
    </row>
    <row r="29" spans="10:12" ht="28.8" customHeight="1" x14ac:dyDescent="0.35">
      <c r="J29" s="369" t="s">
        <v>632</v>
      </c>
      <c r="K29" s="390"/>
      <c r="L29" s="390"/>
    </row>
    <row r="30" spans="10:12" ht="28.8" customHeight="1" x14ac:dyDescent="0.35">
      <c r="J30" s="369" t="s">
        <v>633</v>
      </c>
      <c r="K30" s="390">
        <f>[3]N_CUSTOFIXOEVARIAVEL!Q30</f>
        <v>0</v>
      </c>
      <c r="L30" s="390"/>
    </row>
    <row r="31" spans="10:12" ht="28.8" customHeight="1" x14ac:dyDescent="0.35">
      <c r="J31" s="369" t="s">
        <v>634</v>
      </c>
      <c r="K31" s="390">
        <f>[3]N_CUSTOFIXOEVARIAVEL!Q31</f>
        <v>0</v>
      </c>
      <c r="L31" s="390"/>
    </row>
    <row r="32" spans="10:12" ht="28.8" customHeight="1" x14ac:dyDescent="0.35">
      <c r="J32" s="369" t="s">
        <v>635</v>
      </c>
      <c r="K32" s="390"/>
      <c r="L32" s="390"/>
    </row>
    <row r="33" spans="10:12" ht="28.8" customHeight="1" x14ac:dyDescent="0.35">
      <c r="J33" s="369" t="s">
        <v>636</v>
      </c>
      <c r="K33" s="390"/>
      <c r="L33" s="390"/>
    </row>
    <row r="34" spans="10:12" ht="28.8" customHeight="1" x14ac:dyDescent="0.35">
      <c r="J34" s="369" t="s">
        <v>637</v>
      </c>
      <c r="K34" s="390"/>
      <c r="L34" s="390"/>
    </row>
    <row r="35" spans="10:12" ht="28.8" customHeight="1" x14ac:dyDescent="0.35">
      <c r="J35" s="369" t="s">
        <v>638</v>
      </c>
      <c r="K35" s="390"/>
      <c r="L35" s="390"/>
    </row>
    <row r="36" spans="10:12" ht="28.8" customHeight="1" x14ac:dyDescent="0.35">
      <c r="J36" s="369" t="s">
        <v>639</v>
      </c>
      <c r="K36" s="390"/>
      <c r="L36" s="390"/>
    </row>
    <row r="37" spans="10:12" ht="28.8" customHeight="1" x14ac:dyDescent="0.35">
      <c r="J37" s="369" t="s">
        <v>640</v>
      </c>
      <c r="K37" s="390"/>
      <c r="L37" s="390"/>
    </row>
    <row r="38" spans="10:12" ht="28.8" customHeight="1" x14ac:dyDescent="0.35">
      <c r="J38" s="369" t="s">
        <v>641</v>
      </c>
      <c r="K38" s="390"/>
      <c r="L38" s="390"/>
    </row>
    <row r="39" spans="10:12" ht="28.8" customHeight="1" x14ac:dyDescent="0.35">
      <c r="J39" s="369" t="s">
        <v>642</v>
      </c>
      <c r="K39" s="390"/>
      <c r="L39" s="390"/>
    </row>
    <row r="40" spans="10:12" ht="28.8" customHeight="1" x14ac:dyDescent="0.3"/>
    <row r="41" spans="10:12" ht="28.8" customHeight="1" x14ac:dyDescent="0.3"/>
    <row r="42" spans="10:12" ht="28.8" customHeight="1" x14ac:dyDescent="0.3"/>
    <row r="43" spans="10:12" ht="28.8" customHeight="1" x14ac:dyDescent="0.3"/>
    <row r="44" spans="10:12" ht="28.8" customHeight="1" x14ac:dyDescent="0.3"/>
    <row r="45" spans="10:12" ht="28.8" customHeight="1" x14ac:dyDescent="0.3"/>
    <row r="46" spans="10:12" ht="28.8" customHeight="1" x14ac:dyDescent="0.3"/>
    <row r="47" spans="10:12" ht="28.8" customHeight="1" x14ac:dyDescent="0.3"/>
    <row r="48" spans="10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F7299-CF97-4E05-A6F3-729CA59058C7}">
  <sheetPr codeName="Planilha56">
    <tabColor rgb="FFF13FF5"/>
  </sheetPr>
  <dimension ref="A1:AU66"/>
  <sheetViews>
    <sheetView zoomScale="40" zoomScaleNormal="40" workbookViewId="0">
      <selection activeCell="I12" sqref="I12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49.5546875" style="100" customWidth="1"/>
    <col min="11" max="11" width="22.44140625" style="100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H11" s="367" t="s">
        <v>9</v>
      </c>
      <c r="I11" s="151" t="s">
        <v>597</v>
      </c>
      <c r="J11" s="368" t="s">
        <v>643</v>
      </c>
      <c r="K11" s="402"/>
      <c r="L11" s="367" t="s">
        <v>11</v>
      </c>
      <c r="M11" s="151" t="s">
        <v>597</v>
      </c>
      <c r="N11" s="368" t="s">
        <v>643</v>
      </c>
    </row>
    <row r="12" spans="1:47" ht="28.8" customHeight="1" x14ac:dyDescent="0.4">
      <c r="H12" s="369" t="s">
        <v>3</v>
      </c>
      <c r="I12" s="403">
        <f>[3]N_PRODREQ!N31</f>
        <v>0</v>
      </c>
      <c r="J12" s="390"/>
      <c r="L12" s="369" t="s">
        <v>3</v>
      </c>
      <c r="M12" s="403"/>
      <c r="N12" s="390"/>
    </row>
    <row r="13" spans="1:47" ht="28.8" customHeight="1" x14ac:dyDescent="0.4">
      <c r="H13" s="369" t="s">
        <v>4</v>
      </c>
      <c r="I13" s="403">
        <f>[3]N_PRODREQ!N33</f>
        <v>0</v>
      </c>
      <c r="J13" s="390"/>
      <c r="L13" s="369" t="s">
        <v>4</v>
      </c>
      <c r="M13" s="403"/>
      <c r="N13" s="390"/>
    </row>
    <row r="14" spans="1:47" ht="28.8" customHeight="1" x14ac:dyDescent="0.4">
      <c r="H14" s="369" t="s">
        <v>644</v>
      </c>
      <c r="I14" s="403">
        <f>[3]N_PRODREQ!N35</f>
        <v>0</v>
      </c>
      <c r="J14" s="391"/>
      <c r="L14" s="369" t="s">
        <v>644</v>
      </c>
      <c r="M14" s="403"/>
      <c r="N14" s="391"/>
    </row>
    <row r="15" spans="1:47" ht="28.8" customHeight="1" x14ac:dyDescent="0.4">
      <c r="H15" s="369" t="s">
        <v>645</v>
      </c>
      <c r="I15" s="403">
        <f>[3]N_PRODREQ!N37</f>
        <v>0</v>
      </c>
      <c r="J15" s="391"/>
      <c r="L15" s="369" t="s">
        <v>645</v>
      </c>
      <c r="M15" s="403"/>
      <c r="N15" s="391"/>
    </row>
    <row r="16" spans="1:47" ht="28.8" customHeight="1" x14ac:dyDescent="0.4">
      <c r="H16" s="369" t="s">
        <v>646</v>
      </c>
      <c r="I16" s="403">
        <f>[3]N_PRODREQ!N39</f>
        <v>0</v>
      </c>
      <c r="J16" s="391"/>
      <c r="L16" s="369" t="s">
        <v>646</v>
      </c>
      <c r="M16" s="403"/>
      <c r="N16" s="391"/>
    </row>
    <row r="17" spans="8:14" ht="28.8" customHeight="1" x14ac:dyDescent="0.3"/>
    <row r="18" spans="8:14" ht="28.8" customHeight="1" x14ac:dyDescent="0.3"/>
    <row r="19" spans="8:14" ht="28.8" customHeight="1" x14ac:dyDescent="0.3">
      <c r="H19" s="367" t="s">
        <v>647</v>
      </c>
      <c r="I19" s="151" t="s">
        <v>597</v>
      </c>
      <c r="J19" s="368" t="s">
        <v>643</v>
      </c>
      <c r="K19" s="402"/>
      <c r="L19" s="367" t="s">
        <v>10</v>
      </c>
      <c r="M19" s="151" t="s">
        <v>597</v>
      </c>
      <c r="N19" s="368" t="s">
        <v>643</v>
      </c>
    </row>
    <row r="20" spans="8:14" ht="28.8" customHeight="1" x14ac:dyDescent="0.4">
      <c r="H20" s="369" t="s">
        <v>3</v>
      </c>
      <c r="I20" s="403"/>
      <c r="J20" s="390"/>
      <c r="L20" s="369" t="s">
        <v>3</v>
      </c>
      <c r="M20" s="403"/>
      <c r="N20" s="390"/>
    </row>
    <row r="21" spans="8:14" ht="28.8" customHeight="1" x14ac:dyDescent="0.4">
      <c r="H21" s="369" t="s">
        <v>4</v>
      </c>
      <c r="I21" s="403"/>
      <c r="J21" s="390"/>
      <c r="L21" s="369" t="s">
        <v>4</v>
      </c>
      <c r="M21" s="403"/>
      <c r="N21" s="390"/>
    </row>
    <row r="22" spans="8:14" ht="28.8" customHeight="1" x14ac:dyDescent="0.4">
      <c r="H22" s="369" t="s">
        <v>644</v>
      </c>
      <c r="I22" s="403"/>
      <c r="J22" s="391"/>
      <c r="L22" s="369" t="s">
        <v>644</v>
      </c>
      <c r="M22" s="403"/>
      <c r="N22" s="391"/>
    </row>
    <row r="23" spans="8:14" ht="28.8" customHeight="1" x14ac:dyDescent="0.4">
      <c r="H23" s="369" t="s">
        <v>645</v>
      </c>
      <c r="I23" s="403"/>
      <c r="J23" s="391"/>
      <c r="L23" s="369" t="s">
        <v>645</v>
      </c>
      <c r="M23" s="403"/>
      <c r="N23" s="391"/>
    </row>
    <row r="24" spans="8:14" ht="28.8" customHeight="1" x14ac:dyDescent="0.4">
      <c r="H24" s="369" t="s">
        <v>646</v>
      </c>
      <c r="I24" s="403"/>
      <c r="J24" s="391"/>
      <c r="L24" s="369" t="s">
        <v>646</v>
      </c>
      <c r="M24" s="403"/>
      <c r="N24" s="391"/>
    </row>
    <row r="25" spans="8:14" ht="28.8" customHeight="1" x14ac:dyDescent="0.3"/>
    <row r="26" spans="8:14" ht="28.8" customHeight="1" x14ac:dyDescent="0.3"/>
    <row r="27" spans="8:14" ht="28.8" customHeight="1" x14ac:dyDescent="0.3"/>
    <row r="28" spans="8:14" ht="28.8" customHeight="1" x14ac:dyDescent="0.3"/>
    <row r="29" spans="8:14" ht="28.8" customHeight="1" x14ac:dyDescent="0.3"/>
    <row r="30" spans="8:14" ht="28.8" customHeight="1" x14ac:dyDescent="0.3"/>
    <row r="31" spans="8:14" ht="28.8" customHeight="1" x14ac:dyDescent="0.3"/>
    <row r="32" spans="8:14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12C9-F24C-43CF-B842-FE55AFC41AE7}">
  <sheetPr codeName="Planilha65">
    <tabColor rgb="FF171717"/>
  </sheetPr>
  <dimension ref="A1:AU66"/>
  <sheetViews>
    <sheetView zoomScale="40" zoomScaleNormal="40" workbookViewId="0">
      <selection activeCell="F19" sqref="F19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41.5546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26.77734375" style="100" customWidth="1"/>
    <col min="11" max="11" width="32.109375" style="100" bestFit="1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1:47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1:47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1:47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1:47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1:47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1:47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47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1:47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1:26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1:26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1:26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1:26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spans="1:26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spans="1:26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spans="1:26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spans="1:26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26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spans="1:26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spans="1:26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spans="1:26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spans="1:26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spans="1:26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spans="1:26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spans="1:26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spans="1:26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spans="1:26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spans="1:26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spans="1:26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spans="1:26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spans="1:26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spans="1:26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spans="1:26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1:26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spans="1:26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spans="1:26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spans="1:26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spans="1:26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spans="1:26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spans="1:26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spans="1:26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spans="1:26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spans="1:26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spans="1:26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spans="1:26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spans="1:26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spans="1:26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spans="1:26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spans="1:26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spans="1:26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spans="1:26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spans="1:26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spans="1:26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spans="1:26" ht="28.8" customHeight="1" x14ac:dyDescent="0.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spans="1:26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5723-395D-4049-A718-9E36FFC302E7}">
  <sheetPr codeName="Planilha57">
    <tabColor rgb="FF171717"/>
  </sheetPr>
  <dimension ref="A1:AU66"/>
  <sheetViews>
    <sheetView zoomScale="40" zoomScaleNormal="40" workbookViewId="0"/>
  </sheetViews>
  <sheetFormatPr defaultRowHeight="14.4" x14ac:dyDescent="0.3"/>
  <cols>
    <col min="1" max="4" width="8.88671875" style="100"/>
    <col min="5" max="5" width="72.33203125" style="100" bestFit="1" customWidth="1"/>
    <col min="6" max="6" width="41.5546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26.77734375" style="100" customWidth="1"/>
    <col min="11" max="11" width="32.109375" style="100" bestFit="1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/>
    <row r="12" spans="1:47" ht="28.8" customHeight="1" x14ac:dyDescent="0.3">
      <c r="F12" s="404"/>
      <c r="G12" s="408" t="s">
        <v>283</v>
      </c>
      <c r="H12" s="408"/>
      <c r="K12" s="404"/>
      <c r="L12" s="408" t="s">
        <v>283</v>
      </c>
      <c r="M12" s="408"/>
    </row>
    <row r="13" spans="1:47" ht="28.8" customHeight="1" x14ac:dyDescent="0.3">
      <c r="F13" s="407" t="s">
        <v>282</v>
      </c>
      <c r="G13" s="409" t="s">
        <v>648</v>
      </c>
      <c r="H13" s="409" t="s">
        <v>649</v>
      </c>
      <c r="K13" s="407" t="s">
        <v>650</v>
      </c>
      <c r="L13" s="409" t="s">
        <v>648</v>
      </c>
      <c r="M13" s="409" t="s">
        <v>649</v>
      </c>
    </row>
    <row r="14" spans="1:47" ht="28.8" customHeight="1" x14ac:dyDescent="0.3">
      <c r="F14" s="406" t="s">
        <v>647</v>
      </c>
      <c r="G14" s="410"/>
      <c r="H14" s="411"/>
      <c r="K14" s="406" t="s">
        <v>3</v>
      </c>
      <c r="L14" s="405"/>
      <c r="M14" s="405"/>
    </row>
    <row r="15" spans="1:47" ht="28.8" customHeight="1" x14ac:dyDescent="0.3">
      <c r="F15" s="406" t="s">
        <v>9</v>
      </c>
      <c r="G15" s="411"/>
      <c r="H15" s="411"/>
      <c r="K15" s="406" t="s">
        <v>4</v>
      </c>
      <c r="L15" s="405"/>
      <c r="M15" s="405"/>
    </row>
    <row r="16" spans="1:47" ht="28.8" customHeight="1" x14ac:dyDescent="0.3">
      <c r="F16" s="406" t="s">
        <v>10</v>
      </c>
      <c r="G16" s="411"/>
      <c r="H16" s="411"/>
      <c r="K16" s="406" t="s">
        <v>5</v>
      </c>
      <c r="L16" s="405"/>
      <c r="M16" s="405"/>
    </row>
    <row r="17" spans="6:13" ht="28.8" customHeight="1" x14ac:dyDescent="0.3">
      <c r="F17" s="406" t="s">
        <v>11</v>
      </c>
      <c r="G17" s="411"/>
      <c r="H17" s="411"/>
      <c r="K17" s="406" t="s">
        <v>6</v>
      </c>
      <c r="L17" s="405"/>
      <c r="M17" s="405"/>
    </row>
    <row r="18" spans="6:13" ht="28.8" customHeight="1" x14ac:dyDescent="0.3">
      <c r="K18" s="406" t="s">
        <v>7</v>
      </c>
      <c r="L18" s="323"/>
      <c r="M18" s="323"/>
    </row>
    <row r="19" spans="6:13" ht="28.8" customHeight="1" x14ac:dyDescent="0.3"/>
    <row r="20" spans="6:13" ht="28.8" customHeight="1" x14ac:dyDescent="0.3"/>
    <row r="21" spans="6:13" ht="28.8" customHeight="1" x14ac:dyDescent="0.3"/>
    <row r="22" spans="6:13" ht="28.8" customHeight="1" x14ac:dyDescent="0.3"/>
    <row r="23" spans="6:13" ht="28.8" customHeight="1" x14ac:dyDescent="0.3"/>
    <row r="24" spans="6:13" ht="28.8" customHeight="1" x14ac:dyDescent="0.3"/>
    <row r="25" spans="6:13" ht="28.8" customHeight="1" x14ac:dyDescent="0.3"/>
    <row r="26" spans="6:13" ht="28.8" customHeight="1" x14ac:dyDescent="0.3"/>
    <row r="27" spans="6:13" ht="28.8" customHeight="1" x14ac:dyDescent="0.3"/>
    <row r="28" spans="6:13" ht="28.8" customHeight="1" x14ac:dyDescent="0.3"/>
    <row r="29" spans="6:13" ht="28.8" customHeight="1" x14ac:dyDescent="0.3"/>
    <row r="30" spans="6:13" ht="28.8" customHeight="1" x14ac:dyDescent="0.3"/>
    <row r="31" spans="6:13" ht="28.8" customHeight="1" x14ac:dyDescent="0.3"/>
    <row r="32" spans="6:13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1C8EE-79FD-42C7-8BD3-FBDDB6496E2E}">
  <sheetPr codeName="Planilha69">
    <tabColor rgb="FFFF0000"/>
  </sheetPr>
  <dimension ref="A1:AF40"/>
  <sheetViews>
    <sheetView showGridLines="0" zoomScale="40" zoomScaleNormal="40" workbookViewId="0">
      <selection activeCell="N30" sqref="N30"/>
    </sheetView>
  </sheetViews>
  <sheetFormatPr defaultColWidth="8.88671875" defaultRowHeight="14.4" x14ac:dyDescent="0.3"/>
  <cols>
    <col min="1" max="1" width="8.88671875" style="100"/>
    <col min="2" max="2" width="31" style="100" customWidth="1"/>
    <col min="3" max="3" width="59.88671875" style="100" customWidth="1"/>
    <col min="4" max="4" width="47.33203125" style="100" customWidth="1"/>
    <col min="5" max="5" width="52.109375" style="100" customWidth="1"/>
    <col min="6" max="6" width="41.5546875" style="100" customWidth="1"/>
    <col min="7" max="7" width="25.5546875" style="100" customWidth="1"/>
    <col min="8" max="8" width="27.5546875" style="100" customWidth="1"/>
    <col min="9" max="10" width="47.88671875" style="100" customWidth="1"/>
    <col min="11" max="11" width="33" style="100" customWidth="1"/>
    <col min="12" max="12" width="36" style="100" customWidth="1"/>
    <col min="13" max="13" width="28" style="100" bestFit="1" customWidth="1"/>
    <col min="14" max="14" width="30" style="100" customWidth="1"/>
    <col min="15" max="15" width="31" style="100" bestFit="1" customWidth="1"/>
    <col min="16" max="16" width="26.88671875" style="100" customWidth="1"/>
    <col min="17" max="17" width="14.5546875" style="100" customWidth="1"/>
    <col min="18" max="18" width="27" style="100" customWidth="1"/>
    <col min="19" max="19" width="13.33203125" style="100" customWidth="1"/>
    <col min="20" max="16384" width="8.88671875" style="100"/>
  </cols>
  <sheetData>
    <row r="1" spans="1:32" ht="61.5" customHeigh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</row>
    <row r="2" spans="1:32" ht="46.2" customHeight="1" x14ac:dyDescent="0.3">
      <c r="A2" s="313"/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  <c r="AE2" s="313"/>
      <c r="AF2" s="313"/>
    </row>
    <row r="4" spans="1:32" x14ac:dyDescent="0.3"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32" ht="21.6" thickBot="1" x14ac:dyDescent="0.4">
      <c r="B5" s="524"/>
      <c r="C5" s="528"/>
      <c r="D5" s="559"/>
      <c r="E5" s="559"/>
      <c r="F5" s="524"/>
      <c r="G5" s="524"/>
      <c r="H5" s="528"/>
      <c r="I5" s="559"/>
      <c r="J5" s="559"/>
      <c r="K5" s="559"/>
      <c r="L5" s="524"/>
      <c r="M5" s="520"/>
      <c r="N5" s="520"/>
      <c r="O5" s="520"/>
      <c r="P5" s="520"/>
      <c r="Q5" s="520"/>
      <c r="R5" s="520"/>
      <c r="S5" s="520"/>
      <c r="T5" s="520"/>
    </row>
    <row r="6" spans="1:32" ht="21" x14ac:dyDescent="0.4">
      <c r="C6" s="558" t="s">
        <v>361</v>
      </c>
      <c r="D6" s="558"/>
      <c r="E6" s="558"/>
      <c r="F6" s="558"/>
      <c r="G6" s="558"/>
      <c r="H6" s="558"/>
      <c r="I6" s="558"/>
      <c r="J6" s="557"/>
      <c r="K6" s="412"/>
      <c r="L6" s="413" t="s">
        <v>406</v>
      </c>
      <c r="M6" s="414"/>
      <c r="N6" s="414"/>
      <c r="O6" s="415"/>
      <c r="P6" s="556"/>
      <c r="Q6" s="520"/>
      <c r="R6" s="520"/>
      <c r="S6" s="520"/>
      <c r="T6" s="520"/>
    </row>
    <row r="7" spans="1:32" ht="21.6" thickBot="1" x14ac:dyDescent="0.45">
      <c r="C7" s="555" t="s">
        <v>362</v>
      </c>
      <c r="D7" s="555" t="s">
        <v>287</v>
      </c>
      <c r="E7" s="555" t="s">
        <v>293</v>
      </c>
      <c r="F7" s="555" t="s">
        <v>403</v>
      </c>
      <c r="G7" s="555" t="s">
        <v>408</v>
      </c>
      <c r="H7" s="555" t="s">
        <v>407</v>
      </c>
      <c r="I7" s="555" t="s">
        <v>409</v>
      </c>
      <c r="J7" s="554"/>
      <c r="K7" s="528"/>
      <c r="L7" s="438" t="s">
        <v>410</v>
      </c>
      <c r="M7" s="401" t="s">
        <v>362</v>
      </c>
      <c r="N7" s="401" t="s">
        <v>294</v>
      </c>
      <c r="O7" s="439" t="s">
        <v>407</v>
      </c>
      <c r="P7" s="514"/>
      <c r="Q7" s="520"/>
      <c r="R7" s="520"/>
      <c r="S7" s="520"/>
      <c r="T7" s="520"/>
    </row>
    <row r="8" spans="1:32" ht="21" thickBot="1" x14ac:dyDescent="0.4">
      <c r="C8" s="499" t="s">
        <v>767</v>
      </c>
      <c r="D8" s="499" t="s">
        <v>744</v>
      </c>
      <c r="E8" s="499" t="s">
        <v>766</v>
      </c>
      <c r="F8" s="499" t="s">
        <v>765</v>
      </c>
      <c r="G8" s="499" t="s">
        <v>759</v>
      </c>
      <c r="H8" s="499" t="s">
        <v>764</v>
      </c>
      <c r="I8" s="500" t="s">
        <v>556</v>
      </c>
      <c r="J8" s="337"/>
      <c r="K8" s="528"/>
      <c r="L8" s="547"/>
      <c r="M8" s="513"/>
      <c r="N8" s="513"/>
      <c r="O8" s="546"/>
      <c r="P8" s="514"/>
      <c r="Q8" s="520"/>
      <c r="R8" s="520"/>
      <c r="S8" s="520"/>
      <c r="T8" s="520"/>
    </row>
    <row r="9" spans="1:32" ht="21" x14ac:dyDescent="0.4">
      <c r="C9" s="543" t="s">
        <v>763</v>
      </c>
      <c r="D9" s="456" t="s">
        <v>762</v>
      </c>
      <c r="E9" s="456" t="s">
        <v>761</v>
      </c>
      <c r="F9" s="456" t="s">
        <v>760</v>
      </c>
      <c r="G9" s="456" t="s">
        <v>759</v>
      </c>
      <c r="H9" s="456" t="s">
        <v>758</v>
      </c>
      <c r="I9" s="553" t="s">
        <v>757</v>
      </c>
      <c r="J9" s="322"/>
      <c r="K9" s="528"/>
      <c r="L9" s="547"/>
      <c r="M9" s="513"/>
      <c r="N9" s="513"/>
      <c r="O9" s="546"/>
      <c r="P9" s="514"/>
      <c r="Q9" s="520"/>
      <c r="R9" s="520"/>
      <c r="S9" s="520"/>
      <c r="T9" s="520"/>
    </row>
    <row r="10" spans="1:32" ht="20.399999999999999" x14ac:dyDescent="0.35">
      <c r="C10" s="552" t="s">
        <v>412</v>
      </c>
      <c r="D10" s="427" t="s">
        <v>411</v>
      </c>
      <c r="E10" s="551" t="s">
        <v>414</v>
      </c>
      <c r="F10" s="427" t="s">
        <v>415</v>
      </c>
      <c r="G10" s="427" t="s">
        <v>416</v>
      </c>
      <c r="H10" s="427" t="s">
        <v>413</v>
      </c>
      <c r="I10" s="550" t="s">
        <v>417</v>
      </c>
      <c r="J10" s="514"/>
      <c r="K10" s="524"/>
      <c r="L10" s="547"/>
      <c r="M10" s="513"/>
      <c r="N10" s="513"/>
      <c r="O10" s="546"/>
      <c r="P10" s="514"/>
      <c r="Q10" s="520"/>
      <c r="R10" s="520"/>
      <c r="S10" s="520"/>
      <c r="T10" s="520"/>
    </row>
    <row r="11" spans="1:32" ht="20.399999999999999" x14ac:dyDescent="0.35">
      <c r="C11" s="543" t="s">
        <v>419</v>
      </c>
      <c r="D11" s="427" t="s">
        <v>418</v>
      </c>
      <c r="E11" s="428" t="s">
        <v>421</v>
      </c>
      <c r="F11" s="427" t="s">
        <v>422</v>
      </c>
      <c r="G11" s="427" t="s">
        <v>416</v>
      </c>
      <c r="H11" s="427" t="s">
        <v>420</v>
      </c>
      <c r="I11" s="430" t="s">
        <v>423</v>
      </c>
      <c r="J11" s="528"/>
      <c r="K11" s="524"/>
      <c r="L11" s="547"/>
      <c r="M11" s="513"/>
      <c r="N11" s="513"/>
      <c r="O11" s="546"/>
      <c r="P11" s="514"/>
      <c r="Q11" s="520"/>
      <c r="R11" s="520"/>
      <c r="S11" s="520"/>
      <c r="T11" s="520"/>
    </row>
    <row r="12" spans="1:32" ht="20.399999999999999" x14ac:dyDescent="0.35">
      <c r="C12" s="543" t="s">
        <v>425</v>
      </c>
      <c r="D12" s="427" t="s">
        <v>424</v>
      </c>
      <c r="E12" s="428" t="s">
        <v>427</v>
      </c>
      <c r="F12" s="427" t="s">
        <v>428</v>
      </c>
      <c r="G12" s="427" t="s">
        <v>416</v>
      </c>
      <c r="H12" s="427" t="s">
        <v>426</v>
      </c>
      <c r="I12" s="429" t="s">
        <v>429</v>
      </c>
      <c r="J12" s="545"/>
      <c r="K12" s="524"/>
      <c r="L12" s="547"/>
      <c r="M12" s="513"/>
      <c r="N12" s="513"/>
      <c r="O12" s="546"/>
      <c r="P12" s="514"/>
      <c r="Q12" s="520"/>
      <c r="R12" s="520"/>
      <c r="S12" s="520"/>
      <c r="T12" s="520"/>
    </row>
    <row r="13" spans="1:32" ht="20.399999999999999" x14ac:dyDescent="0.35">
      <c r="C13" s="543" t="s">
        <v>431</v>
      </c>
      <c r="D13" s="427" t="s">
        <v>430</v>
      </c>
      <c r="E13" s="428" t="s">
        <v>433</v>
      </c>
      <c r="F13" s="427" t="s">
        <v>416</v>
      </c>
      <c r="G13" s="427" t="s">
        <v>416</v>
      </c>
      <c r="H13" s="427" t="s">
        <v>432</v>
      </c>
      <c r="I13" s="544" t="s">
        <v>434</v>
      </c>
      <c r="J13" s="514"/>
      <c r="K13" s="520"/>
      <c r="L13" s="547"/>
      <c r="M13" s="513"/>
      <c r="N13" s="513"/>
      <c r="O13" s="546"/>
      <c r="P13" s="514"/>
      <c r="Q13" s="520"/>
      <c r="R13" s="520"/>
      <c r="S13" s="520"/>
      <c r="T13" s="520"/>
    </row>
    <row r="14" spans="1:32" ht="20.399999999999999" x14ac:dyDescent="0.35">
      <c r="C14" s="543" t="s">
        <v>436</v>
      </c>
      <c r="D14" s="427" t="s">
        <v>435</v>
      </c>
      <c r="E14" s="428" t="s">
        <v>438</v>
      </c>
      <c r="F14" s="427" t="s">
        <v>439</v>
      </c>
      <c r="G14" s="427" t="s">
        <v>416</v>
      </c>
      <c r="H14" s="427" t="s">
        <v>437</v>
      </c>
      <c r="I14" s="430" t="s">
        <v>440</v>
      </c>
      <c r="J14" s="528"/>
      <c r="K14" s="520"/>
      <c r="L14" s="547"/>
      <c r="M14" s="513"/>
      <c r="N14" s="513"/>
      <c r="O14" s="546"/>
      <c r="P14" s="514"/>
      <c r="Q14" s="520"/>
      <c r="R14" s="520"/>
      <c r="S14" s="520"/>
      <c r="T14" s="520"/>
    </row>
    <row r="15" spans="1:32" ht="20.399999999999999" x14ac:dyDescent="0.35">
      <c r="C15" s="543" t="s">
        <v>442</v>
      </c>
      <c r="D15" s="427" t="s">
        <v>441</v>
      </c>
      <c r="E15" s="428" t="s">
        <v>444</v>
      </c>
      <c r="F15" s="427" t="s">
        <v>445</v>
      </c>
      <c r="G15" s="427" t="s">
        <v>416</v>
      </c>
      <c r="H15" s="427" t="s">
        <v>443</v>
      </c>
      <c r="I15" s="429" t="s">
        <v>446</v>
      </c>
      <c r="J15" s="528"/>
      <c r="K15" s="520"/>
      <c r="L15" s="547"/>
      <c r="M15" s="513"/>
      <c r="N15" s="513"/>
      <c r="O15" s="546"/>
      <c r="P15" s="514"/>
      <c r="Q15" s="520"/>
      <c r="R15" s="520"/>
      <c r="S15" s="520"/>
      <c r="T15" s="520"/>
    </row>
    <row r="16" spans="1:32" ht="20.399999999999999" x14ac:dyDescent="0.35">
      <c r="C16" s="543" t="s">
        <v>448</v>
      </c>
      <c r="D16" s="427" t="s">
        <v>447</v>
      </c>
      <c r="E16" s="428" t="s">
        <v>450</v>
      </c>
      <c r="F16" s="427" t="s">
        <v>451</v>
      </c>
      <c r="G16" s="427" t="s">
        <v>416</v>
      </c>
      <c r="H16" s="427" t="s">
        <v>449</v>
      </c>
      <c r="I16" s="429" t="s">
        <v>452</v>
      </c>
      <c r="J16" s="549"/>
      <c r="K16" s="520"/>
      <c r="L16" s="547"/>
      <c r="M16" s="513"/>
      <c r="N16" s="513"/>
      <c r="O16" s="546"/>
      <c r="P16" s="514"/>
      <c r="Q16" s="520"/>
      <c r="R16" s="520"/>
      <c r="S16" s="520"/>
      <c r="T16" s="520"/>
    </row>
    <row r="17" spans="2:20" ht="20.399999999999999" x14ac:dyDescent="0.35">
      <c r="C17" s="543" t="s">
        <v>454</v>
      </c>
      <c r="D17" s="427" t="s">
        <v>453</v>
      </c>
      <c r="E17" s="428" t="s">
        <v>456</v>
      </c>
      <c r="F17" s="427" t="s">
        <v>457</v>
      </c>
      <c r="G17" s="427" t="s">
        <v>416</v>
      </c>
      <c r="H17" s="427" t="s">
        <v>455</v>
      </c>
      <c r="I17" s="548" t="s">
        <v>458</v>
      </c>
      <c r="J17" s="528"/>
      <c r="K17" s="520"/>
      <c r="L17" s="547"/>
      <c r="M17" s="513"/>
      <c r="N17" s="513"/>
      <c r="O17" s="546"/>
      <c r="P17" s="514"/>
      <c r="Q17" s="520"/>
      <c r="R17" s="520"/>
      <c r="S17" s="520"/>
      <c r="T17" s="520"/>
    </row>
    <row r="18" spans="2:20" ht="20.399999999999999" x14ac:dyDescent="0.35">
      <c r="C18" s="543" t="s">
        <v>460</v>
      </c>
      <c r="D18" s="427" t="s">
        <v>459</v>
      </c>
      <c r="E18" s="428" t="s">
        <v>462</v>
      </c>
      <c r="F18" s="427" t="s">
        <v>463</v>
      </c>
      <c r="G18" s="427" t="s">
        <v>464</v>
      </c>
      <c r="H18" s="427" t="s">
        <v>461</v>
      </c>
      <c r="I18" s="429" t="s">
        <v>465</v>
      </c>
      <c r="J18" s="514"/>
      <c r="K18" s="520"/>
      <c r="L18" s="547"/>
      <c r="M18" s="513"/>
      <c r="N18" s="513"/>
      <c r="O18" s="546"/>
      <c r="P18" s="514"/>
      <c r="Q18" s="520"/>
      <c r="R18" s="520"/>
      <c r="S18" s="520"/>
      <c r="T18" s="520"/>
    </row>
    <row r="19" spans="2:20" ht="21.6" thickBot="1" x14ac:dyDescent="0.4">
      <c r="C19" s="543" t="s">
        <v>467</v>
      </c>
      <c r="D19" s="427" t="s">
        <v>466</v>
      </c>
      <c r="E19" s="428" t="s">
        <v>469</v>
      </c>
      <c r="F19" s="427" t="s">
        <v>470</v>
      </c>
      <c r="G19" s="427" t="s">
        <v>464</v>
      </c>
      <c r="H19" s="427" t="s">
        <v>468</v>
      </c>
      <c r="I19" s="430" t="s">
        <v>471</v>
      </c>
      <c r="J19" s="514"/>
      <c r="K19" s="412"/>
      <c r="L19" s="523"/>
      <c r="M19" s="522"/>
      <c r="N19" s="522"/>
      <c r="O19" s="529"/>
      <c r="P19" s="520"/>
      <c r="Q19" s="520"/>
      <c r="R19" s="520"/>
      <c r="S19" s="520"/>
      <c r="T19" s="520"/>
    </row>
    <row r="20" spans="2:20" ht="20.399999999999999" x14ac:dyDescent="0.35">
      <c r="C20" s="543" t="s">
        <v>473</v>
      </c>
      <c r="D20" s="427" t="s">
        <v>472</v>
      </c>
      <c r="E20" s="428" t="s">
        <v>475</v>
      </c>
      <c r="F20" s="427" t="s">
        <v>476</v>
      </c>
      <c r="G20" s="427" t="s">
        <v>464</v>
      </c>
      <c r="H20" s="427" t="s">
        <v>474</v>
      </c>
      <c r="I20" s="430" t="s">
        <v>477</v>
      </c>
      <c r="J20" s="524"/>
      <c r="K20" s="520"/>
      <c r="L20" s="520"/>
      <c r="M20" s="520"/>
      <c r="N20" s="520"/>
      <c r="O20" s="520"/>
      <c r="P20" s="520"/>
      <c r="Q20" s="520"/>
      <c r="R20" s="520"/>
      <c r="S20" s="520"/>
      <c r="T20" s="520"/>
    </row>
    <row r="21" spans="2:20" ht="20.399999999999999" x14ac:dyDescent="0.35">
      <c r="C21" s="543" t="s">
        <v>479</v>
      </c>
      <c r="D21" s="427" t="s">
        <v>478</v>
      </c>
      <c r="E21" s="428" t="s">
        <v>481</v>
      </c>
      <c r="F21" s="427" t="s">
        <v>482</v>
      </c>
      <c r="G21" s="427" t="s">
        <v>464</v>
      </c>
      <c r="H21" s="427" t="s">
        <v>480</v>
      </c>
      <c r="I21" s="433" t="s">
        <v>483</v>
      </c>
      <c r="J21" s="528"/>
      <c r="K21" s="520"/>
      <c r="L21" s="520"/>
      <c r="M21" s="520"/>
      <c r="N21" s="520"/>
      <c r="O21" s="520"/>
      <c r="P21" s="520"/>
      <c r="Q21" s="520"/>
      <c r="R21" s="520"/>
      <c r="S21" s="520"/>
      <c r="T21" s="520"/>
    </row>
    <row r="22" spans="2:20" ht="20.399999999999999" x14ac:dyDescent="0.35">
      <c r="C22" s="543" t="s">
        <v>485</v>
      </c>
      <c r="D22" s="427" t="s">
        <v>484</v>
      </c>
      <c r="E22" s="428" t="s">
        <v>487</v>
      </c>
      <c r="F22" s="427" t="s">
        <v>470</v>
      </c>
      <c r="G22" s="427" t="s">
        <v>464</v>
      </c>
      <c r="H22" s="427" t="s">
        <v>486</v>
      </c>
      <c r="I22" s="429" t="s">
        <v>488</v>
      </c>
      <c r="J22" s="528"/>
      <c r="K22" s="520"/>
      <c r="L22" s="520"/>
      <c r="M22" s="520"/>
      <c r="N22" s="520"/>
      <c r="O22" s="520"/>
      <c r="P22" s="520"/>
      <c r="Q22" s="520"/>
      <c r="R22" s="520"/>
      <c r="S22" s="520"/>
      <c r="T22" s="520"/>
    </row>
    <row r="23" spans="2:20" ht="20.399999999999999" x14ac:dyDescent="0.35">
      <c r="C23" s="543" t="s">
        <v>490</v>
      </c>
      <c r="D23" s="427" t="s">
        <v>489</v>
      </c>
      <c r="E23" s="428" t="s">
        <v>492</v>
      </c>
      <c r="F23" s="427" t="s">
        <v>493</v>
      </c>
      <c r="G23" s="427" t="s">
        <v>464</v>
      </c>
      <c r="H23" s="427" t="s">
        <v>491</v>
      </c>
      <c r="I23" s="429" t="s">
        <v>494</v>
      </c>
      <c r="J23" s="545"/>
      <c r="K23" s="520"/>
      <c r="L23" s="520"/>
      <c r="M23" s="520"/>
      <c r="N23" s="520"/>
      <c r="O23" s="520"/>
      <c r="P23" s="520"/>
      <c r="Q23" s="520"/>
      <c r="R23" s="520"/>
      <c r="S23" s="520"/>
      <c r="T23" s="520"/>
    </row>
    <row r="24" spans="2:20" ht="20.399999999999999" x14ac:dyDescent="0.35">
      <c r="C24" s="543" t="s">
        <v>496</v>
      </c>
      <c r="D24" s="427" t="s">
        <v>495</v>
      </c>
      <c r="E24" s="428" t="s">
        <v>498</v>
      </c>
      <c r="F24" s="427" t="s">
        <v>499</v>
      </c>
      <c r="G24" s="427" t="s">
        <v>464</v>
      </c>
      <c r="H24" s="427" t="s">
        <v>497</v>
      </c>
      <c r="I24" s="544" t="s">
        <v>500</v>
      </c>
      <c r="J24" s="528"/>
      <c r="K24" s="520"/>
      <c r="L24" s="520"/>
      <c r="M24" s="520"/>
      <c r="N24" s="520"/>
      <c r="O24" s="520"/>
      <c r="P24" s="520"/>
      <c r="Q24" s="520"/>
      <c r="R24" s="520"/>
      <c r="S24" s="520"/>
      <c r="T24" s="520"/>
    </row>
    <row r="25" spans="2:20" ht="20.399999999999999" x14ac:dyDescent="0.35">
      <c r="C25" s="543" t="s">
        <v>502</v>
      </c>
      <c r="D25" s="427" t="s">
        <v>501</v>
      </c>
      <c r="E25" s="428" t="s">
        <v>504</v>
      </c>
      <c r="F25" s="427" t="s">
        <v>505</v>
      </c>
      <c r="G25" s="427" t="s">
        <v>464</v>
      </c>
      <c r="H25" s="427" t="s">
        <v>503</v>
      </c>
      <c r="I25" s="429" t="s">
        <v>506</v>
      </c>
      <c r="J25" s="528"/>
      <c r="K25" s="520"/>
      <c r="L25" s="520"/>
      <c r="M25" s="520"/>
      <c r="N25" s="520"/>
      <c r="O25" s="520"/>
      <c r="P25" s="520"/>
      <c r="Q25" s="520"/>
      <c r="R25" s="520"/>
      <c r="S25" s="520"/>
      <c r="T25" s="520"/>
    </row>
    <row r="26" spans="2:20" ht="20.399999999999999" x14ac:dyDescent="0.35">
      <c r="C26" s="543" t="s">
        <v>508</v>
      </c>
      <c r="D26" s="427" t="s">
        <v>507</v>
      </c>
      <c r="E26" s="428" t="s">
        <v>510</v>
      </c>
      <c r="F26" s="427" t="s">
        <v>511</v>
      </c>
      <c r="G26" s="427" t="s">
        <v>512</v>
      </c>
      <c r="H26" s="427" t="s">
        <v>509</v>
      </c>
      <c r="I26" s="429" t="s">
        <v>513</v>
      </c>
      <c r="J26" s="528"/>
      <c r="K26" s="520"/>
      <c r="L26" s="520"/>
      <c r="M26" s="520"/>
      <c r="N26" s="520"/>
      <c r="O26" s="520"/>
      <c r="P26" s="520"/>
      <c r="Q26" s="520"/>
      <c r="R26" s="520"/>
      <c r="S26" s="520"/>
      <c r="T26" s="520"/>
    </row>
    <row r="27" spans="2:20" ht="20.399999999999999" x14ac:dyDescent="0.35">
      <c r="C27" s="543" t="s">
        <v>515</v>
      </c>
      <c r="D27" s="427" t="s">
        <v>514</v>
      </c>
      <c r="E27" s="428" t="s">
        <v>517</v>
      </c>
      <c r="F27" s="427" t="s">
        <v>518</v>
      </c>
      <c r="G27" s="427" t="s">
        <v>512</v>
      </c>
      <c r="H27" s="427" t="s">
        <v>516</v>
      </c>
      <c r="I27" s="429" t="s">
        <v>519</v>
      </c>
      <c r="J27" s="528"/>
      <c r="K27" s="520"/>
      <c r="L27" s="520"/>
      <c r="M27" s="520"/>
      <c r="N27" s="520"/>
      <c r="O27" s="520"/>
      <c r="P27" s="520"/>
      <c r="Q27" s="520"/>
      <c r="R27" s="520"/>
      <c r="S27" s="520"/>
      <c r="T27" s="520"/>
    </row>
    <row r="28" spans="2:20" ht="20.399999999999999" x14ac:dyDescent="0.35">
      <c r="B28" s="520"/>
      <c r="C28" s="543" t="s">
        <v>521</v>
      </c>
      <c r="D28" s="427" t="s">
        <v>520</v>
      </c>
      <c r="E28" s="428" t="s">
        <v>523</v>
      </c>
      <c r="F28" s="427" t="s">
        <v>524</v>
      </c>
      <c r="G28" s="427" t="s">
        <v>512</v>
      </c>
      <c r="H28" s="427" t="s">
        <v>522</v>
      </c>
      <c r="I28" s="429" t="s">
        <v>525</v>
      </c>
      <c r="J28" s="528"/>
      <c r="K28" s="520"/>
      <c r="L28" s="520"/>
      <c r="M28" s="520"/>
      <c r="N28" s="520"/>
      <c r="O28" s="520"/>
      <c r="P28" s="520"/>
      <c r="Q28" s="520"/>
      <c r="R28" s="520"/>
      <c r="S28" s="520"/>
      <c r="T28" s="520"/>
    </row>
    <row r="29" spans="2:20" ht="21" thickBot="1" x14ac:dyDescent="0.4">
      <c r="B29" s="520"/>
      <c r="C29" s="543" t="s">
        <v>527</v>
      </c>
      <c r="D29" s="427" t="s">
        <v>526</v>
      </c>
      <c r="E29" s="428" t="s">
        <v>529</v>
      </c>
      <c r="F29" s="427" t="s">
        <v>530</v>
      </c>
      <c r="G29" s="427" t="s">
        <v>512</v>
      </c>
      <c r="H29" s="427" t="s">
        <v>528</v>
      </c>
      <c r="I29" s="429" t="s">
        <v>531</v>
      </c>
      <c r="J29" s="528"/>
      <c r="K29" s="520"/>
      <c r="L29" s="520"/>
      <c r="M29" s="520"/>
      <c r="N29" s="520"/>
      <c r="O29" s="520"/>
      <c r="P29" s="520"/>
      <c r="Q29" s="520"/>
      <c r="R29" s="520"/>
      <c r="S29" s="520"/>
      <c r="T29" s="520"/>
    </row>
    <row r="30" spans="2:20" ht="21" thickBot="1" x14ac:dyDescent="0.4">
      <c r="B30" s="520"/>
      <c r="C30" s="543" t="s">
        <v>533</v>
      </c>
      <c r="D30" s="435" t="s">
        <v>532</v>
      </c>
      <c r="E30" s="436" t="s">
        <v>535</v>
      </c>
      <c r="F30" s="435" t="s">
        <v>536</v>
      </c>
      <c r="G30" s="435" t="s">
        <v>512</v>
      </c>
      <c r="H30" s="435" t="s">
        <v>534</v>
      </c>
      <c r="I30" s="437" t="s">
        <v>537</v>
      </c>
      <c r="J30" s="520"/>
      <c r="K30" s="537"/>
      <c r="L30" s="538"/>
      <c r="M30" s="538"/>
      <c r="N30" s="538"/>
      <c r="O30" s="538"/>
      <c r="P30" s="538"/>
      <c r="Q30" s="538"/>
      <c r="R30" s="538"/>
      <c r="S30" s="538"/>
      <c r="T30" s="542"/>
    </row>
    <row r="31" spans="2:20" ht="21" x14ac:dyDescent="0.4">
      <c r="B31" s="520"/>
      <c r="C31" s="520"/>
      <c r="D31" s="520"/>
      <c r="E31" s="520"/>
      <c r="F31" s="520"/>
      <c r="G31" s="520"/>
      <c r="H31" s="520"/>
      <c r="I31" s="520"/>
      <c r="J31" s="524"/>
      <c r="K31" s="401" t="s">
        <v>294</v>
      </c>
      <c r="L31" s="541" t="s">
        <v>295</v>
      </c>
      <c r="M31" s="450" t="s">
        <v>311</v>
      </c>
      <c r="N31" s="451" t="s">
        <v>539</v>
      </c>
      <c r="O31" s="451" t="s">
        <v>540</v>
      </c>
      <c r="P31" s="451" t="s">
        <v>541</v>
      </c>
      <c r="Q31" s="451" t="s">
        <v>360</v>
      </c>
      <c r="R31" s="451" t="s">
        <v>542</v>
      </c>
      <c r="S31" s="451" t="s">
        <v>543</v>
      </c>
      <c r="T31" s="452" t="s">
        <v>319</v>
      </c>
    </row>
    <row r="32" spans="2:20" ht="21" thickBot="1" x14ac:dyDescent="0.4">
      <c r="B32" s="520"/>
      <c r="C32" s="520"/>
      <c r="D32" s="520"/>
      <c r="E32" s="520"/>
      <c r="F32" s="520"/>
      <c r="G32" s="520"/>
      <c r="H32" s="520"/>
      <c r="I32" s="520"/>
      <c r="J32" s="540"/>
      <c r="K32" s="534" t="s">
        <v>549</v>
      </c>
      <c r="L32" s="533" t="s">
        <v>550</v>
      </c>
      <c r="M32" s="513" t="s">
        <v>551</v>
      </c>
      <c r="N32" s="532">
        <v>3000</v>
      </c>
      <c r="O32" s="532"/>
      <c r="P32" s="532"/>
      <c r="Q32" s="532"/>
      <c r="R32" s="532"/>
      <c r="S32" s="532"/>
      <c r="T32" s="531"/>
    </row>
    <row r="33" spans="2:20" ht="21.6" thickBot="1" x14ac:dyDescent="0.45">
      <c r="B33" s="520"/>
      <c r="C33" s="539" t="s">
        <v>538</v>
      </c>
      <c r="D33" s="538"/>
      <c r="E33" s="538"/>
      <c r="F33" s="538"/>
      <c r="G33" s="538"/>
      <c r="H33" s="538"/>
      <c r="I33" s="537"/>
      <c r="J33" s="536"/>
      <c r="K33" s="534" t="s">
        <v>556</v>
      </c>
      <c r="L33" s="533" t="s">
        <v>557</v>
      </c>
      <c r="M33" s="513" t="s">
        <v>551</v>
      </c>
      <c r="N33" s="532">
        <v>3000</v>
      </c>
      <c r="O33" s="532"/>
      <c r="P33" s="532"/>
      <c r="Q33" s="532"/>
      <c r="R33" s="532"/>
      <c r="S33" s="532"/>
      <c r="T33" s="531"/>
    </row>
    <row r="34" spans="2:20" ht="21" x14ac:dyDescent="0.4">
      <c r="B34" s="520"/>
      <c r="C34" s="449" t="s">
        <v>287</v>
      </c>
      <c r="D34" s="450" t="s">
        <v>288</v>
      </c>
      <c r="E34" s="450" t="s">
        <v>289</v>
      </c>
      <c r="F34" s="450" t="s">
        <v>290</v>
      </c>
      <c r="G34" s="450" t="s">
        <v>291</v>
      </c>
      <c r="H34" s="535" t="s">
        <v>292</v>
      </c>
      <c r="I34" s="401" t="s">
        <v>293</v>
      </c>
      <c r="J34" s="528"/>
      <c r="K34" s="534" t="s">
        <v>560</v>
      </c>
      <c r="L34" s="533" t="s">
        <v>561</v>
      </c>
      <c r="M34" s="513" t="s">
        <v>551</v>
      </c>
      <c r="N34" s="532">
        <v>3000</v>
      </c>
      <c r="O34" s="532"/>
      <c r="P34" s="532"/>
      <c r="Q34" s="532"/>
      <c r="R34" s="532"/>
      <c r="S34" s="532"/>
      <c r="T34" s="531"/>
    </row>
    <row r="35" spans="2:20" ht="20.399999999999999" x14ac:dyDescent="0.35">
      <c r="B35" s="520"/>
      <c r="C35" s="527" t="s">
        <v>756</v>
      </c>
      <c r="D35" s="513" t="s">
        <v>545</v>
      </c>
      <c r="E35" s="513" t="s">
        <v>546</v>
      </c>
      <c r="F35" s="513" t="s">
        <v>547</v>
      </c>
      <c r="G35" s="513">
        <v>3336859865</v>
      </c>
      <c r="H35" s="526" t="s">
        <v>548</v>
      </c>
      <c r="I35" s="525" t="s">
        <v>444</v>
      </c>
      <c r="J35" s="528"/>
      <c r="K35" s="534" t="s">
        <v>565</v>
      </c>
      <c r="L35" s="533" t="s">
        <v>566</v>
      </c>
      <c r="M35" s="513" t="s">
        <v>551</v>
      </c>
      <c r="N35" s="532">
        <v>3000</v>
      </c>
      <c r="O35" s="532"/>
      <c r="P35" s="532"/>
      <c r="Q35" s="532"/>
      <c r="R35" s="532"/>
      <c r="S35" s="532"/>
      <c r="T35" s="531"/>
    </row>
    <row r="36" spans="2:20" ht="21" thickBot="1" x14ac:dyDescent="0.4">
      <c r="B36" s="520"/>
      <c r="C36" s="527" t="s">
        <v>744</v>
      </c>
      <c r="D36" s="513" t="s">
        <v>545</v>
      </c>
      <c r="E36" s="513" t="s">
        <v>553</v>
      </c>
      <c r="F36" s="513" t="s">
        <v>554</v>
      </c>
      <c r="G36" s="513">
        <v>3336859865</v>
      </c>
      <c r="H36" s="526" t="s">
        <v>555</v>
      </c>
      <c r="I36" s="525" t="s">
        <v>450</v>
      </c>
      <c r="J36" s="528"/>
      <c r="K36" s="513"/>
      <c r="L36" s="530"/>
      <c r="M36" s="522"/>
      <c r="N36" s="522"/>
      <c r="O36" s="522"/>
      <c r="P36" s="522"/>
      <c r="Q36" s="522"/>
      <c r="R36" s="522"/>
      <c r="S36" s="522"/>
      <c r="T36" s="529"/>
    </row>
    <row r="37" spans="2:20" ht="20.399999999999999" x14ac:dyDescent="0.35">
      <c r="B37" s="520"/>
      <c r="C37" s="527" t="s">
        <v>751</v>
      </c>
      <c r="D37" s="513" t="s">
        <v>545</v>
      </c>
      <c r="E37" s="513" t="s">
        <v>546</v>
      </c>
      <c r="F37" s="513" t="s">
        <v>547</v>
      </c>
      <c r="G37" s="513">
        <v>3336859865</v>
      </c>
      <c r="H37" s="526" t="s">
        <v>559</v>
      </c>
      <c r="I37" s="525" t="s">
        <v>456</v>
      </c>
      <c r="J37" s="528"/>
      <c r="K37" s="520"/>
      <c r="L37" s="520"/>
      <c r="M37" s="520"/>
      <c r="N37" s="520"/>
      <c r="O37" s="520"/>
      <c r="P37" s="520"/>
      <c r="Q37" s="520"/>
      <c r="R37" s="520"/>
      <c r="S37" s="520"/>
      <c r="T37" s="520"/>
    </row>
    <row r="38" spans="2:20" ht="20.399999999999999" x14ac:dyDescent="0.35">
      <c r="C38" s="527" t="s">
        <v>755</v>
      </c>
      <c r="D38" s="513" t="s">
        <v>545</v>
      </c>
      <c r="E38" s="513" t="s">
        <v>563</v>
      </c>
      <c r="F38" s="513" t="s">
        <v>554</v>
      </c>
      <c r="G38" s="513">
        <v>3336859865</v>
      </c>
      <c r="H38" s="526" t="s">
        <v>564</v>
      </c>
      <c r="I38" s="525" t="s">
        <v>462</v>
      </c>
      <c r="J38" s="524"/>
    </row>
    <row r="39" spans="2:20" ht="21" thickBot="1" x14ac:dyDescent="0.4">
      <c r="C39" s="523"/>
      <c r="D39" s="522"/>
      <c r="E39" s="522"/>
      <c r="F39" s="522"/>
      <c r="G39" s="522"/>
      <c r="H39" s="521"/>
      <c r="I39" s="513"/>
      <c r="J39" s="520"/>
    </row>
    <row r="40" spans="2:20" ht="20.399999999999999" x14ac:dyDescent="0.35">
      <c r="C40" s="520"/>
      <c r="D40" s="520"/>
      <c r="E40" s="520"/>
      <c r="F40" s="520"/>
      <c r="G40" s="520"/>
      <c r="H40" s="520"/>
      <c r="I40" s="520"/>
    </row>
  </sheetData>
  <mergeCells count="5">
    <mergeCell ref="A2:AF2"/>
    <mergeCell ref="D5:E5"/>
    <mergeCell ref="I5:K5"/>
    <mergeCell ref="C6:I6"/>
    <mergeCell ref="L6:O6"/>
  </mergeCells>
  <hyperlinks>
    <hyperlink ref="L23" r:id="rId1" display="andréa.melo29@email.com" xr:uid="{3E6E6D88-8373-40B2-A094-E2E3FF79BE3A}"/>
    <hyperlink ref="I13" r:id="rId2" xr:uid="{C19F64B0-4457-493C-8DAD-B015A6C3BD2C}"/>
    <hyperlink ref="I24" r:id="rId3" xr:uid="{0337DD4B-9EA2-456A-B024-62332E5C6FE6}"/>
    <hyperlink ref="I17" r:id="rId4" xr:uid="{1635CB75-03AA-4200-AA7B-E8213F3595E7}"/>
    <hyperlink ref="K32" r:id="rId5" xr:uid="{2181951C-1177-4727-A213-7FD0A5960232}"/>
    <hyperlink ref="K33" r:id="rId6" xr:uid="{C2ED6515-46D8-4AAA-886D-92E4E8853B03}"/>
    <hyperlink ref="K34" r:id="rId7" xr:uid="{DE8B071B-1526-47C5-BE0E-EFD8A0C34761}"/>
    <hyperlink ref="K35" r:id="rId8" xr:uid="{921CCA23-1B63-4E91-8EDA-4B0F4574F838}"/>
    <hyperlink ref="I9" r:id="rId9" xr:uid="{C8883ABB-7DBC-4AF2-8BD6-F3B6F291C3CD}"/>
    <hyperlink ref="I8" r:id="rId10" xr:uid="{6C83747D-CBD0-443E-BBCD-2DCACB0AA4CC}"/>
  </hyperlinks>
  <pageMargins left="0.511811024" right="0.511811024" top="0.78740157499999996" bottom="0.78740157499999996" header="0.31496062000000002" footer="0.31496062000000002"/>
  <pageSetup paperSize="9" orientation="portrait" r:id="rId11"/>
  <drawing r:id="rId1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CC7-3D80-40CF-B89A-6AE31FA636E0}">
  <sheetPr codeName="Planilha58">
    <tabColor rgb="FF171717"/>
  </sheetPr>
  <dimension ref="A1:AU66"/>
  <sheetViews>
    <sheetView tabSelected="1" zoomScale="25" zoomScaleNormal="25" workbookViewId="0"/>
  </sheetViews>
  <sheetFormatPr defaultRowHeight="14.4" x14ac:dyDescent="0.3"/>
  <cols>
    <col min="1" max="1" width="8.88671875" style="100"/>
    <col min="2" max="2" width="14.33203125" style="100" bestFit="1" customWidth="1"/>
    <col min="3" max="3" width="36.109375" style="100" customWidth="1"/>
    <col min="4" max="4" width="30.33203125" style="100" customWidth="1"/>
    <col min="5" max="5" width="47.6640625" style="100" customWidth="1"/>
    <col min="6" max="6" width="32.109375" style="100" bestFit="1" customWidth="1"/>
    <col min="7" max="7" width="26" style="100" customWidth="1"/>
    <col min="8" max="8" width="49" style="100" customWidth="1"/>
    <col min="9" max="9" width="25.44140625" style="100" bestFit="1" customWidth="1"/>
    <col min="10" max="10" width="21.44140625" style="100" bestFit="1" customWidth="1"/>
    <col min="11" max="11" width="51.6640625" style="100" customWidth="1"/>
    <col min="12" max="12" width="34.77734375" style="100" bestFit="1" customWidth="1"/>
    <col min="13" max="13" width="49.44140625" style="100" customWidth="1"/>
    <col min="14" max="14" width="28.109375" style="100" bestFit="1" customWidth="1"/>
    <col min="15" max="15" width="17" style="100" bestFit="1" customWidth="1"/>
    <col min="16" max="16" width="33" style="100" bestFit="1" customWidth="1"/>
    <col min="17" max="17" width="12.5546875" style="100" bestFit="1" customWidth="1"/>
    <col min="18" max="18" width="13" style="100" bestFit="1" customWidth="1"/>
    <col min="19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/>
    <row r="9" spans="1:47" ht="28.8" customHeight="1" thickBot="1" x14ac:dyDescent="0.35"/>
    <row r="10" spans="1:47" ht="28.8" customHeight="1" thickBot="1" x14ac:dyDescent="0.45">
      <c r="E10" s="416" t="s">
        <v>361</v>
      </c>
      <c r="F10" s="417"/>
      <c r="G10" s="417"/>
      <c r="H10" s="417"/>
      <c r="I10" s="417"/>
      <c r="J10" s="417"/>
      <c r="K10" s="418"/>
      <c r="L10" s="419"/>
      <c r="M10" s="420" t="s">
        <v>406</v>
      </c>
      <c r="N10" s="421"/>
      <c r="O10" s="421"/>
      <c r="P10" s="422"/>
      <c r="Q10" s="321"/>
    </row>
    <row r="11" spans="1:47" ht="28.8" customHeight="1" x14ac:dyDescent="0.4">
      <c r="E11" s="423" t="s">
        <v>287</v>
      </c>
      <c r="F11" s="424" t="s">
        <v>362</v>
      </c>
      <c r="G11" s="424" t="s">
        <v>407</v>
      </c>
      <c r="H11" s="424" t="s">
        <v>293</v>
      </c>
      <c r="I11" s="424" t="s">
        <v>403</v>
      </c>
      <c r="J11" s="424" t="s">
        <v>408</v>
      </c>
      <c r="K11" s="425" t="s">
        <v>409</v>
      </c>
      <c r="L11" s="319"/>
      <c r="M11" s="438" t="s">
        <v>410</v>
      </c>
      <c r="N11" s="401" t="s">
        <v>362</v>
      </c>
      <c r="O11" s="401" t="s">
        <v>294</v>
      </c>
      <c r="P11" s="439" t="s">
        <v>407</v>
      </c>
      <c r="Q11" s="322"/>
    </row>
    <row r="12" spans="1:47" ht="28.8" customHeight="1" x14ac:dyDescent="0.4">
      <c r="E12" s="426" t="s">
        <v>411</v>
      </c>
      <c r="F12" s="427" t="s">
        <v>412</v>
      </c>
      <c r="G12" s="427" t="s">
        <v>413</v>
      </c>
      <c r="H12" s="428" t="s">
        <v>414</v>
      </c>
      <c r="I12" s="427" t="s">
        <v>415</v>
      </c>
      <c r="J12" s="427" t="s">
        <v>416</v>
      </c>
      <c r="K12" s="429" t="s">
        <v>417</v>
      </c>
      <c r="L12" s="319"/>
      <c r="M12" s="440"/>
      <c r="N12" s="441"/>
      <c r="O12" s="441"/>
      <c r="P12" s="442"/>
      <c r="Q12" s="322"/>
    </row>
    <row r="13" spans="1:47" ht="28.8" customHeight="1" x14ac:dyDescent="0.4">
      <c r="E13" s="426" t="s">
        <v>418</v>
      </c>
      <c r="F13" s="427" t="s">
        <v>419</v>
      </c>
      <c r="G13" s="427" t="s">
        <v>420</v>
      </c>
      <c r="H13" s="428" t="s">
        <v>421</v>
      </c>
      <c r="I13" s="427" t="s">
        <v>422</v>
      </c>
      <c r="J13" s="427" t="s">
        <v>416</v>
      </c>
      <c r="K13" s="430" t="s">
        <v>423</v>
      </c>
      <c r="L13" s="319"/>
      <c r="M13" s="440"/>
      <c r="N13" s="441"/>
      <c r="O13" s="441"/>
      <c r="P13" s="442"/>
      <c r="Q13" s="322"/>
    </row>
    <row r="14" spans="1:47" ht="28.8" customHeight="1" x14ac:dyDescent="0.4">
      <c r="E14" s="426" t="s">
        <v>424</v>
      </c>
      <c r="F14" s="427" t="s">
        <v>425</v>
      </c>
      <c r="G14" s="427" t="s">
        <v>426</v>
      </c>
      <c r="H14" s="428" t="s">
        <v>427</v>
      </c>
      <c r="I14" s="427" t="s">
        <v>428</v>
      </c>
      <c r="J14" s="427" t="s">
        <v>416</v>
      </c>
      <c r="K14" s="429" t="s">
        <v>429</v>
      </c>
      <c r="L14" s="319"/>
      <c r="M14" s="440"/>
      <c r="N14" s="441"/>
      <c r="O14" s="441"/>
      <c r="P14" s="442"/>
      <c r="Q14" s="322"/>
    </row>
    <row r="15" spans="1:47" ht="28.8" customHeight="1" x14ac:dyDescent="0.4">
      <c r="E15" s="426" t="s">
        <v>430</v>
      </c>
      <c r="F15" s="427" t="s">
        <v>431</v>
      </c>
      <c r="G15" s="427" t="s">
        <v>432</v>
      </c>
      <c r="H15" s="428" t="s">
        <v>433</v>
      </c>
      <c r="I15" s="427" t="s">
        <v>416</v>
      </c>
      <c r="J15" s="427" t="s">
        <v>416</v>
      </c>
      <c r="K15" s="431" t="s">
        <v>434</v>
      </c>
      <c r="L15" s="1"/>
      <c r="M15" s="440"/>
      <c r="N15" s="441"/>
      <c r="O15" s="441"/>
      <c r="P15" s="442"/>
      <c r="Q15" s="322"/>
    </row>
    <row r="16" spans="1:47" ht="28.8" customHeight="1" x14ac:dyDescent="0.4">
      <c r="E16" s="426" t="s">
        <v>435</v>
      </c>
      <c r="F16" s="427" t="s">
        <v>436</v>
      </c>
      <c r="G16" s="427" t="s">
        <v>437</v>
      </c>
      <c r="H16" s="428" t="s">
        <v>438</v>
      </c>
      <c r="I16" s="427" t="s">
        <v>439</v>
      </c>
      <c r="J16" s="427" t="s">
        <v>416</v>
      </c>
      <c r="K16" s="430" t="s">
        <v>440</v>
      </c>
      <c r="L16" s="1"/>
      <c r="M16" s="440"/>
      <c r="N16" s="441"/>
      <c r="O16" s="441"/>
      <c r="P16" s="442"/>
      <c r="Q16" s="322"/>
    </row>
    <row r="17" spans="5:17" ht="28.8" customHeight="1" x14ac:dyDescent="0.4">
      <c r="E17" s="426" t="s">
        <v>441</v>
      </c>
      <c r="F17" s="427" t="s">
        <v>442</v>
      </c>
      <c r="G17" s="427" t="s">
        <v>443</v>
      </c>
      <c r="H17" s="428" t="s">
        <v>444</v>
      </c>
      <c r="I17" s="427" t="s">
        <v>445</v>
      </c>
      <c r="J17" s="427" t="s">
        <v>416</v>
      </c>
      <c r="K17" s="429" t="s">
        <v>446</v>
      </c>
      <c r="L17" s="1"/>
      <c r="M17" s="440"/>
      <c r="N17" s="441"/>
      <c r="O17" s="441"/>
      <c r="P17" s="442"/>
      <c r="Q17" s="322"/>
    </row>
    <row r="18" spans="5:17" ht="28.8" customHeight="1" x14ac:dyDescent="0.4">
      <c r="E18" s="426" t="s">
        <v>447</v>
      </c>
      <c r="F18" s="427" t="s">
        <v>448</v>
      </c>
      <c r="G18" s="427" t="s">
        <v>449</v>
      </c>
      <c r="H18" s="428" t="s">
        <v>450</v>
      </c>
      <c r="I18" s="427" t="s">
        <v>451</v>
      </c>
      <c r="J18" s="427" t="s">
        <v>416</v>
      </c>
      <c r="K18" s="429" t="s">
        <v>452</v>
      </c>
      <c r="M18" s="440"/>
      <c r="N18" s="441"/>
      <c r="O18" s="441"/>
      <c r="P18" s="442"/>
      <c r="Q18" s="322"/>
    </row>
    <row r="19" spans="5:17" ht="28.8" customHeight="1" x14ac:dyDescent="0.4">
      <c r="E19" s="426" t="s">
        <v>453</v>
      </c>
      <c r="F19" s="427" t="s">
        <v>454</v>
      </c>
      <c r="G19" s="427" t="s">
        <v>455</v>
      </c>
      <c r="H19" s="428" t="s">
        <v>456</v>
      </c>
      <c r="I19" s="427" t="s">
        <v>457</v>
      </c>
      <c r="J19" s="427" t="s">
        <v>416</v>
      </c>
      <c r="K19" s="432" t="s">
        <v>458</v>
      </c>
      <c r="M19" s="440"/>
      <c r="N19" s="441"/>
      <c r="O19" s="441"/>
      <c r="P19" s="442"/>
      <c r="Q19" s="322"/>
    </row>
    <row r="20" spans="5:17" ht="28.8" customHeight="1" x14ac:dyDescent="0.4">
      <c r="E20" s="426" t="s">
        <v>459</v>
      </c>
      <c r="F20" s="427" t="s">
        <v>460</v>
      </c>
      <c r="G20" s="427" t="s">
        <v>461</v>
      </c>
      <c r="H20" s="428" t="s">
        <v>462</v>
      </c>
      <c r="I20" s="427" t="s">
        <v>463</v>
      </c>
      <c r="J20" s="427" t="s">
        <v>464</v>
      </c>
      <c r="K20" s="429" t="s">
        <v>465</v>
      </c>
      <c r="M20" s="440"/>
      <c r="N20" s="441"/>
      <c r="O20" s="441"/>
      <c r="P20" s="442"/>
      <c r="Q20" s="322"/>
    </row>
    <row r="21" spans="5:17" ht="28.8" customHeight="1" x14ac:dyDescent="0.4">
      <c r="E21" s="426" t="s">
        <v>466</v>
      </c>
      <c r="F21" s="427" t="s">
        <v>467</v>
      </c>
      <c r="G21" s="427" t="s">
        <v>468</v>
      </c>
      <c r="H21" s="428" t="s">
        <v>469</v>
      </c>
      <c r="I21" s="427" t="s">
        <v>470</v>
      </c>
      <c r="J21" s="427" t="s">
        <v>464</v>
      </c>
      <c r="K21" s="430" t="s">
        <v>471</v>
      </c>
      <c r="M21" s="440"/>
      <c r="N21" s="441"/>
      <c r="O21" s="441"/>
      <c r="P21" s="442"/>
      <c r="Q21" s="322"/>
    </row>
    <row r="22" spans="5:17" ht="28.8" customHeight="1" x14ac:dyDescent="0.4">
      <c r="E22" s="426" t="s">
        <v>472</v>
      </c>
      <c r="F22" s="427" t="s">
        <v>473</v>
      </c>
      <c r="G22" s="427" t="s">
        <v>474</v>
      </c>
      <c r="H22" s="428" t="s">
        <v>475</v>
      </c>
      <c r="I22" s="427" t="s">
        <v>476</v>
      </c>
      <c r="J22" s="427" t="s">
        <v>464</v>
      </c>
      <c r="K22" s="430" t="s">
        <v>477</v>
      </c>
      <c r="M22" s="440"/>
      <c r="N22" s="441"/>
      <c r="O22" s="441"/>
      <c r="P22" s="442"/>
      <c r="Q22" s="322"/>
    </row>
    <row r="23" spans="5:17" ht="28.8" customHeight="1" x14ac:dyDescent="0.4">
      <c r="E23" s="426" t="s">
        <v>478</v>
      </c>
      <c r="F23" s="427" t="s">
        <v>479</v>
      </c>
      <c r="G23" s="427" t="s">
        <v>480</v>
      </c>
      <c r="H23" s="428" t="s">
        <v>481</v>
      </c>
      <c r="I23" s="427" t="s">
        <v>482</v>
      </c>
      <c r="J23" s="427" t="s">
        <v>464</v>
      </c>
      <c r="K23" s="433" t="s">
        <v>483</v>
      </c>
      <c r="M23" s="440"/>
      <c r="N23" s="441"/>
      <c r="O23" s="441"/>
      <c r="P23" s="442"/>
      <c r="Q23" s="322"/>
    </row>
    <row r="24" spans="5:17" ht="28.8" customHeight="1" thickBot="1" x14ac:dyDescent="0.45">
      <c r="E24" s="426" t="s">
        <v>484</v>
      </c>
      <c r="F24" s="427" t="s">
        <v>485</v>
      </c>
      <c r="G24" s="427" t="s">
        <v>486</v>
      </c>
      <c r="H24" s="428" t="s">
        <v>487</v>
      </c>
      <c r="I24" s="427" t="s">
        <v>470</v>
      </c>
      <c r="J24" s="427" t="s">
        <v>464</v>
      </c>
      <c r="K24" s="429" t="s">
        <v>488</v>
      </c>
      <c r="L24" s="324"/>
      <c r="M24" s="443"/>
      <c r="N24" s="444"/>
      <c r="O24" s="444"/>
      <c r="P24" s="445"/>
    </row>
    <row r="25" spans="5:17" ht="28.8" customHeight="1" x14ac:dyDescent="0.35">
      <c r="E25" s="426" t="s">
        <v>489</v>
      </c>
      <c r="F25" s="427" t="s">
        <v>490</v>
      </c>
      <c r="G25" s="427" t="s">
        <v>491</v>
      </c>
      <c r="H25" s="428" t="s">
        <v>492</v>
      </c>
      <c r="I25" s="427" t="s">
        <v>493</v>
      </c>
      <c r="J25" s="427" t="s">
        <v>464</v>
      </c>
      <c r="K25" s="429" t="s">
        <v>494</v>
      </c>
    </row>
    <row r="26" spans="5:17" ht="28.8" customHeight="1" x14ac:dyDescent="0.35">
      <c r="E26" s="426" t="s">
        <v>495</v>
      </c>
      <c r="F26" s="427" t="s">
        <v>496</v>
      </c>
      <c r="G26" s="427" t="s">
        <v>497</v>
      </c>
      <c r="H26" s="428" t="s">
        <v>498</v>
      </c>
      <c r="I26" s="427" t="s">
        <v>499</v>
      </c>
      <c r="J26" s="427" t="s">
        <v>464</v>
      </c>
      <c r="K26" s="431" t="s">
        <v>500</v>
      </c>
    </row>
    <row r="27" spans="5:17" ht="28.8" customHeight="1" x14ac:dyDescent="0.35">
      <c r="E27" s="426" t="s">
        <v>501</v>
      </c>
      <c r="F27" s="427" t="s">
        <v>502</v>
      </c>
      <c r="G27" s="427" t="s">
        <v>503</v>
      </c>
      <c r="H27" s="428" t="s">
        <v>504</v>
      </c>
      <c r="I27" s="427" t="s">
        <v>505</v>
      </c>
      <c r="J27" s="427" t="s">
        <v>464</v>
      </c>
      <c r="K27" s="429" t="s">
        <v>506</v>
      </c>
    </row>
    <row r="28" spans="5:17" ht="28.8" customHeight="1" x14ac:dyDescent="0.35">
      <c r="E28" s="426" t="s">
        <v>507</v>
      </c>
      <c r="F28" s="427" t="s">
        <v>508</v>
      </c>
      <c r="G28" s="427" t="s">
        <v>509</v>
      </c>
      <c r="H28" s="428" t="s">
        <v>510</v>
      </c>
      <c r="I28" s="427" t="s">
        <v>511</v>
      </c>
      <c r="J28" s="427" t="s">
        <v>512</v>
      </c>
      <c r="K28" s="429" t="s">
        <v>513</v>
      </c>
    </row>
    <row r="29" spans="5:17" ht="28.8" customHeight="1" x14ac:dyDescent="0.35">
      <c r="E29" s="426" t="s">
        <v>514</v>
      </c>
      <c r="F29" s="427" t="s">
        <v>515</v>
      </c>
      <c r="G29" s="427" t="s">
        <v>516</v>
      </c>
      <c r="H29" s="428" t="s">
        <v>517</v>
      </c>
      <c r="I29" s="427" t="s">
        <v>518</v>
      </c>
      <c r="J29" s="427" t="s">
        <v>512</v>
      </c>
      <c r="K29" s="429" t="s">
        <v>519</v>
      </c>
    </row>
    <row r="30" spans="5:17" ht="28.8" customHeight="1" x14ac:dyDescent="0.35">
      <c r="E30" s="426" t="s">
        <v>520</v>
      </c>
      <c r="F30" s="427" t="s">
        <v>521</v>
      </c>
      <c r="G30" s="427" t="s">
        <v>522</v>
      </c>
      <c r="H30" s="428" t="s">
        <v>523</v>
      </c>
      <c r="I30" s="427" t="s">
        <v>524</v>
      </c>
      <c r="J30" s="427" t="s">
        <v>512</v>
      </c>
      <c r="K30" s="429" t="s">
        <v>525</v>
      </c>
    </row>
    <row r="31" spans="5:17" ht="28.8" customHeight="1" x14ac:dyDescent="0.35">
      <c r="E31" s="426" t="s">
        <v>526</v>
      </c>
      <c r="F31" s="427" t="s">
        <v>527</v>
      </c>
      <c r="G31" s="427" t="s">
        <v>528</v>
      </c>
      <c r="H31" s="428" t="s">
        <v>529</v>
      </c>
      <c r="I31" s="427" t="s">
        <v>530</v>
      </c>
      <c r="J31" s="427" t="s">
        <v>512</v>
      </c>
      <c r="K31" s="429" t="s">
        <v>531</v>
      </c>
    </row>
    <row r="32" spans="5:17" ht="28.8" customHeight="1" thickBot="1" x14ac:dyDescent="0.4">
      <c r="E32" s="434" t="s">
        <v>532</v>
      </c>
      <c r="F32" s="435" t="s">
        <v>533</v>
      </c>
      <c r="G32" s="435" t="s">
        <v>534</v>
      </c>
      <c r="H32" s="436" t="s">
        <v>535</v>
      </c>
      <c r="I32" s="435" t="s">
        <v>536</v>
      </c>
      <c r="J32" s="435" t="s">
        <v>512</v>
      </c>
      <c r="K32" s="437" t="s">
        <v>537</v>
      </c>
    </row>
    <row r="33" spans="2:18" ht="28.8" customHeight="1" x14ac:dyDescent="0.3"/>
    <row r="34" spans="2:18" ht="28.8" customHeight="1" thickBot="1" x14ac:dyDescent="0.35"/>
    <row r="35" spans="2:18" ht="28.8" customHeight="1" thickBot="1" x14ac:dyDescent="0.45">
      <c r="B35" s="446" t="s">
        <v>538</v>
      </c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447"/>
      <c r="O35" s="447"/>
      <c r="P35" s="447"/>
      <c r="Q35" s="447"/>
      <c r="R35" s="448"/>
    </row>
    <row r="36" spans="2:18" ht="28.8" customHeight="1" x14ac:dyDescent="0.4">
      <c r="B36" s="449" t="s">
        <v>287</v>
      </c>
      <c r="C36" s="450" t="s">
        <v>288</v>
      </c>
      <c r="D36" s="450" t="s">
        <v>289</v>
      </c>
      <c r="E36" s="450" t="s">
        <v>290</v>
      </c>
      <c r="F36" s="450" t="s">
        <v>291</v>
      </c>
      <c r="G36" s="450" t="s">
        <v>292</v>
      </c>
      <c r="H36" s="450" t="s">
        <v>293</v>
      </c>
      <c r="I36" s="450" t="s">
        <v>294</v>
      </c>
      <c r="J36" s="450" t="s">
        <v>295</v>
      </c>
      <c r="K36" s="450" t="s">
        <v>311</v>
      </c>
      <c r="L36" s="451" t="s">
        <v>539</v>
      </c>
      <c r="M36" s="451" t="s">
        <v>540</v>
      </c>
      <c r="N36" s="451" t="s">
        <v>541</v>
      </c>
      <c r="O36" s="451" t="s">
        <v>360</v>
      </c>
      <c r="P36" s="451" t="s">
        <v>542</v>
      </c>
      <c r="Q36" s="451" t="s">
        <v>543</v>
      </c>
      <c r="R36" s="452" t="s">
        <v>319</v>
      </c>
    </row>
    <row r="37" spans="2:18" ht="28.8" customHeight="1" x14ac:dyDescent="0.3">
      <c r="B37" s="328" t="s">
        <v>544</v>
      </c>
      <c r="C37" s="323" t="s">
        <v>545</v>
      </c>
      <c r="D37" s="323" t="s">
        <v>546</v>
      </c>
      <c r="E37" s="323" t="s">
        <v>547</v>
      </c>
      <c r="F37" s="323">
        <v>3336859865</v>
      </c>
      <c r="G37" s="323" t="s">
        <v>548</v>
      </c>
      <c r="H37" s="329" t="s">
        <v>444</v>
      </c>
      <c r="I37" s="330" t="s">
        <v>549</v>
      </c>
      <c r="J37" s="323" t="s">
        <v>550</v>
      </c>
      <c r="K37" s="323" t="s">
        <v>551</v>
      </c>
      <c r="L37" s="331">
        <v>3000</v>
      </c>
      <c r="M37" s="331"/>
      <c r="N37" s="331"/>
      <c r="O37" s="331"/>
      <c r="P37" s="331"/>
      <c r="Q37" s="331"/>
      <c r="R37" s="332"/>
    </row>
    <row r="38" spans="2:18" ht="28.8" customHeight="1" x14ac:dyDescent="0.3">
      <c r="B38" s="328" t="s">
        <v>552</v>
      </c>
      <c r="C38" s="323" t="s">
        <v>545</v>
      </c>
      <c r="D38" s="323" t="s">
        <v>553</v>
      </c>
      <c r="E38" s="323" t="s">
        <v>554</v>
      </c>
      <c r="F38" s="323">
        <v>3336859865</v>
      </c>
      <c r="G38" s="323" t="s">
        <v>555</v>
      </c>
      <c r="H38" s="329" t="s">
        <v>450</v>
      </c>
      <c r="I38" s="330" t="s">
        <v>556</v>
      </c>
      <c r="J38" s="323" t="s">
        <v>557</v>
      </c>
      <c r="K38" s="323" t="s">
        <v>551</v>
      </c>
      <c r="L38" s="331">
        <v>3000</v>
      </c>
      <c r="M38" s="331"/>
      <c r="N38" s="331"/>
      <c r="O38" s="331"/>
      <c r="P38" s="331"/>
      <c r="Q38" s="331"/>
      <c r="R38" s="332"/>
    </row>
    <row r="39" spans="2:18" ht="28.8" customHeight="1" x14ac:dyDescent="0.3">
      <c r="B39" s="328" t="s">
        <v>558</v>
      </c>
      <c r="C39" s="323" t="s">
        <v>545</v>
      </c>
      <c r="D39" s="323" t="s">
        <v>546</v>
      </c>
      <c r="E39" s="323" t="s">
        <v>547</v>
      </c>
      <c r="F39" s="323">
        <v>3336859865</v>
      </c>
      <c r="G39" s="323" t="s">
        <v>559</v>
      </c>
      <c r="H39" s="329" t="s">
        <v>456</v>
      </c>
      <c r="I39" s="330" t="s">
        <v>560</v>
      </c>
      <c r="J39" s="323" t="s">
        <v>561</v>
      </c>
      <c r="K39" s="323" t="s">
        <v>551</v>
      </c>
      <c r="L39" s="331">
        <v>3000</v>
      </c>
      <c r="M39" s="331"/>
      <c r="N39" s="331"/>
      <c r="O39" s="331"/>
      <c r="P39" s="331"/>
      <c r="Q39" s="331"/>
      <c r="R39" s="332"/>
    </row>
    <row r="40" spans="2:18" ht="28.8" customHeight="1" x14ac:dyDescent="0.3">
      <c r="B40" s="328" t="s">
        <v>562</v>
      </c>
      <c r="C40" s="323" t="s">
        <v>545</v>
      </c>
      <c r="D40" s="323" t="s">
        <v>563</v>
      </c>
      <c r="E40" s="323" t="s">
        <v>554</v>
      </c>
      <c r="F40" s="323">
        <v>3336859865</v>
      </c>
      <c r="G40" s="323" t="s">
        <v>564</v>
      </c>
      <c r="H40" s="329" t="s">
        <v>462</v>
      </c>
      <c r="I40" s="330" t="s">
        <v>565</v>
      </c>
      <c r="J40" s="323" t="s">
        <v>566</v>
      </c>
      <c r="K40" s="323" t="s">
        <v>551</v>
      </c>
      <c r="L40" s="331">
        <v>3000</v>
      </c>
      <c r="M40" s="331"/>
      <c r="N40" s="331"/>
      <c r="O40" s="331"/>
      <c r="P40" s="331"/>
      <c r="Q40" s="331"/>
      <c r="R40" s="332"/>
    </row>
    <row r="41" spans="2:18" ht="28.8" customHeight="1" thickBot="1" x14ac:dyDescent="0.35">
      <c r="B41" s="325"/>
      <c r="C41" s="326"/>
      <c r="D41" s="326"/>
      <c r="E41" s="326"/>
      <c r="F41" s="326"/>
      <c r="G41" s="326"/>
      <c r="H41" s="326"/>
      <c r="I41" s="326"/>
      <c r="J41" s="326"/>
      <c r="K41" s="326"/>
      <c r="L41" s="326"/>
      <c r="M41" s="326"/>
      <c r="N41" s="326"/>
      <c r="O41" s="326"/>
      <c r="P41" s="326"/>
      <c r="Q41" s="326"/>
      <c r="R41" s="327"/>
    </row>
    <row r="42" spans="2:18" ht="28.8" customHeight="1" x14ac:dyDescent="0.3"/>
    <row r="43" spans="2:18" ht="28.8" customHeight="1" x14ac:dyDescent="0.3"/>
    <row r="44" spans="2:18" ht="28.8" customHeight="1" x14ac:dyDescent="0.3"/>
    <row r="45" spans="2:18" ht="28.8" customHeight="1" x14ac:dyDescent="0.3"/>
    <row r="46" spans="2:18" ht="28.8" customHeight="1" x14ac:dyDescent="0.3"/>
    <row r="47" spans="2:18" ht="28.8" customHeight="1" x14ac:dyDescent="0.3"/>
    <row r="48" spans="2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E10:K10"/>
    <mergeCell ref="M10:P10"/>
    <mergeCell ref="B35:R35"/>
  </mergeCells>
  <hyperlinks>
    <hyperlink ref="M28" r:id="rId1" display="andréa.melo29@email.com" xr:uid="{C4EA4A1B-26E0-42C9-BF70-66E6A36F238C}"/>
    <hyperlink ref="K15" r:id="rId2" xr:uid="{C21EECCD-46A6-4E2F-AC67-9E52B4A1B3D2}"/>
    <hyperlink ref="K26" r:id="rId3" xr:uid="{01799DF7-0412-4547-A33A-EA963AC7CC6F}"/>
    <hyperlink ref="K19" r:id="rId4" xr:uid="{9669162A-2754-450F-82E3-02FF3260D66E}"/>
    <hyperlink ref="I37" r:id="rId5" xr:uid="{7D8812B5-5549-4813-820A-E534AC0B5D92}"/>
    <hyperlink ref="I38" r:id="rId6" xr:uid="{25BE2819-D5BA-41F5-9755-92749E0ADFC9}"/>
    <hyperlink ref="I39" r:id="rId7" xr:uid="{949DFCA6-CB6D-4FA8-99CD-A6C4D233CD59}"/>
    <hyperlink ref="I40" r:id="rId8" xr:uid="{284D7F50-88EB-4A0B-94B5-EF2ACECCDABA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C82B-B2A8-4BD4-9508-2C22EEC577A0}">
  <sheetPr codeName="Planilha59">
    <tabColor rgb="FF171717"/>
  </sheetPr>
  <dimension ref="A1:AU66"/>
  <sheetViews>
    <sheetView zoomScale="40" zoomScaleNormal="40" workbookViewId="0"/>
  </sheetViews>
  <sheetFormatPr defaultRowHeight="14.4" x14ac:dyDescent="0.3"/>
  <cols>
    <col min="1" max="1" width="8.88671875" style="100"/>
    <col min="2" max="2" width="14.33203125" style="100" bestFit="1" customWidth="1"/>
    <col min="3" max="3" width="36.109375" style="100" customWidth="1"/>
    <col min="4" max="4" width="30.33203125" style="100" customWidth="1"/>
    <col min="5" max="5" width="21" style="100" bestFit="1" customWidth="1"/>
    <col min="6" max="6" width="45.44140625" style="100" bestFit="1" customWidth="1"/>
    <col min="7" max="7" width="34" style="100" bestFit="1" customWidth="1"/>
    <col min="8" max="8" width="50.44140625" style="100" bestFit="1" customWidth="1"/>
    <col min="9" max="9" width="46.21875" style="100" bestFit="1" customWidth="1"/>
    <col min="10" max="10" width="35.6640625" style="100" bestFit="1" customWidth="1"/>
    <col min="11" max="11" width="36.21875" style="100" bestFit="1" customWidth="1"/>
    <col min="12" max="12" width="36" style="100" bestFit="1" customWidth="1"/>
    <col min="13" max="13" width="49.44140625" style="100" customWidth="1"/>
    <col min="14" max="14" width="28.109375" style="100" bestFit="1" customWidth="1"/>
    <col min="15" max="15" width="17" style="100" bestFit="1" customWidth="1"/>
    <col min="16" max="16" width="33" style="100" bestFit="1" customWidth="1"/>
    <col min="17" max="17" width="12.5546875" style="100" bestFit="1" customWidth="1"/>
    <col min="18" max="18" width="13" style="100" bestFit="1" customWidth="1"/>
    <col min="19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E11" s="453" t="s">
        <v>567</v>
      </c>
      <c r="F11" s="453"/>
      <c r="G11" s="453"/>
      <c r="H11" s="453"/>
      <c r="I11" s="453"/>
      <c r="J11" s="333"/>
      <c r="K11" s="333"/>
      <c r="L11" s="320"/>
    </row>
    <row r="12" spans="1:47" ht="28.8" customHeight="1" x14ac:dyDescent="0.4">
      <c r="E12" s="454" t="s">
        <v>282</v>
      </c>
      <c r="F12" s="454" t="s">
        <v>568</v>
      </c>
      <c r="G12" s="455" t="s">
        <v>364</v>
      </c>
      <c r="H12" s="454" t="s">
        <v>365</v>
      </c>
      <c r="I12" s="454" t="s">
        <v>569</v>
      </c>
      <c r="J12" s="334"/>
      <c r="K12" s="334"/>
      <c r="L12" s="319"/>
    </row>
    <row r="13" spans="1:47" ht="28.8" customHeight="1" x14ac:dyDescent="0.4">
      <c r="E13" s="456"/>
      <c r="F13" s="456"/>
      <c r="G13" s="457">
        <v>20</v>
      </c>
      <c r="H13" s="456"/>
      <c r="I13" s="456" t="s">
        <v>570</v>
      </c>
      <c r="J13" s="81"/>
      <c r="K13" s="335"/>
      <c r="L13" s="319"/>
    </row>
    <row r="14" spans="1:47" ht="28.8" customHeight="1" x14ac:dyDescent="0.35">
      <c r="E14" s="456"/>
      <c r="F14" s="458"/>
      <c r="G14" s="459">
        <v>30</v>
      </c>
      <c r="H14" s="456"/>
      <c r="I14" s="456" t="s">
        <v>570</v>
      </c>
      <c r="J14" s="81"/>
      <c r="K14" s="322"/>
      <c r="L14" s="319"/>
    </row>
    <row r="15" spans="1:47" ht="28.8" customHeight="1" x14ac:dyDescent="0.35">
      <c r="E15" s="456"/>
      <c r="F15" s="456"/>
      <c r="G15" s="459">
        <v>23</v>
      </c>
      <c r="H15" s="456"/>
      <c r="I15" s="456" t="s">
        <v>570</v>
      </c>
      <c r="J15" s="81"/>
      <c r="K15" s="335"/>
      <c r="L15" s="319"/>
    </row>
    <row r="16" spans="1:47" ht="28.8" customHeight="1" x14ac:dyDescent="0.35">
      <c r="E16" s="456"/>
      <c r="F16" s="456"/>
      <c r="G16" s="459">
        <v>50</v>
      </c>
      <c r="H16" s="456"/>
      <c r="I16" s="456" t="s">
        <v>570</v>
      </c>
      <c r="J16" s="81"/>
      <c r="K16" s="336"/>
      <c r="L16" s="1"/>
    </row>
    <row r="17" spans="5:12" ht="28.8" customHeight="1" x14ac:dyDescent="0.35">
      <c r="E17" s="456"/>
      <c r="F17" s="456"/>
      <c r="G17" s="459">
        <v>77</v>
      </c>
      <c r="H17" s="456"/>
      <c r="I17" s="456" t="s">
        <v>570</v>
      </c>
      <c r="J17" s="81"/>
      <c r="K17" s="322"/>
      <c r="L17" s="1"/>
    </row>
    <row r="18" spans="5:12" ht="28.8" customHeight="1" x14ac:dyDescent="0.35">
      <c r="E18" s="456"/>
      <c r="F18" s="456"/>
      <c r="G18" s="459">
        <v>55</v>
      </c>
      <c r="H18" s="456"/>
      <c r="I18" s="456" t="s">
        <v>570</v>
      </c>
      <c r="J18" s="81"/>
      <c r="K18" s="335"/>
      <c r="L18" s="1"/>
    </row>
    <row r="19" spans="5:12" ht="28.8" customHeight="1" x14ac:dyDescent="0.35">
      <c r="E19" s="456"/>
      <c r="F19" s="456"/>
      <c r="G19" s="459">
        <v>130</v>
      </c>
      <c r="H19" s="456"/>
      <c r="I19" s="456" t="s">
        <v>570</v>
      </c>
      <c r="J19" s="81"/>
      <c r="K19" s="335"/>
    </row>
    <row r="20" spans="5:12" ht="28.8" customHeight="1" x14ac:dyDescent="0.35">
      <c r="E20" s="456"/>
      <c r="F20" s="456"/>
      <c r="G20" s="459">
        <v>62</v>
      </c>
      <c r="H20" s="456"/>
      <c r="I20" s="456" t="s">
        <v>570</v>
      </c>
      <c r="J20" s="81"/>
      <c r="K20" s="337"/>
    </row>
    <row r="21" spans="5:12" ht="28.8" customHeight="1" x14ac:dyDescent="0.35">
      <c r="E21" s="456"/>
      <c r="F21" s="456"/>
      <c r="G21" s="459">
        <v>8</v>
      </c>
      <c r="H21" s="456"/>
      <c r="I21" s="456" t="s">
        <v>570</v>
      </c>
      <c r="J21" s="81"/>
      <c r="K21" s="335"/>
    </row>
    <row r="22" spans="5:12" ht="28.8" customHeight="1" x14ac:dyDescent="0.35">
      <c r="E22" s="456"/>
      <c r="F22" s="456"/>
      <c r="G22" s="459">
        <v>54</v>
      </c>
      <c r="H22" s="456"/>
      <c r="I22" s="456" t="s">
        <v>570</v>
      </c>
      <c r="J22" s="81"/>
      <c r="K22" s="322"/>
    </row>
    <row r="23" spans="5:12" ht="28.8" customHeight="1" x14ac:dyDescent="0.35">
      <c r="E23" s="456"/>
      <c r="F23" s="456"/>
      <c r="G23" s="459">
        <v>4</v>
      </c>
      <c r="H23" s="456"/>
      <c r="I23" s="456" t="s">
        <v>570</v>
      </c>
      <c r="J23" s="81"/>
      <c r="K23" s="322"/>
    </row>
    <row r="24" spans="5:12" ht="28.8" customHeight="1" x14ac:dyDescent="0.35">
      <c r="E24" s="456"/>
      <c r="F24" s="456"/>
      <c r="G24" s="459">
        <v>64</v>
      </c>
      <c r="H24" s="456"/>
      <c r="I24" s="456" t="s">
        <v>570</v>
      </c>
      <c r="J24" s="81"/>
      <c r="K24" s="338"/>
    </row>
    <row r="25" spans="5:12" ht="28.8" customHeight="1" x14ac:dyDescent="0.35">
      <c r="E25" s="456"/>
      <c r="F25" s="456"/>
      <c r="G25" s="459">
        <v>78</v>
      </c>
      <c r="H25" s="456"/>
      <c r="I25" s="456" t="s">
        <v>570</v>
      </c>
      <c r="J25" s="81"/>
      <c r="K25" s="335"/>
      <c r="L25" s="324"/>
    </row>
    <row r="26" spans="5:12" ht="28.8" customHeight="1" thickBot="1" x14ac:dyDescent="0.35">
      <c r="E26" s="81"/>
      <c r="F26" s="81"/>
      <c r="G26" s="81"/>
      <c r="H26" s="335"/>
      <c r="I26" s="81"/>
      <c r="J26" s="81"/>
      <c r="K26" s="335"/>
    </row>
    <row r="27" spans="5:12" ht="28.8" customHeight="1" x14ac:dyDescent="0.4">
      <c r="E27" s="413" t="s">
        <v>571</v>
      </c>
      <c r="F27" s="414"/>
      <c r="G27" s="414"/>
      <c r="H27" s="414"/>
      <c r="I27" s="414"/>
      <c r="J27" s="414"/>
      <c r="K27" s="414"/>
      <c r="L27" s="415"/>
    </row>
    <row r="28" spans="5:12" ht="28.8" customHeight="1" x14ac:dyDescent="0.3">
      <c r="E28" s="460" t="s">
        <v>220</v>
      </c>
      <c r="F28" s="363" t="s">
        <v>572</v>
      </c>
      <c r="G28" s="363" t="s">
        <v>573</v>
      </c>
      <c r="H28" s="363" t="s">
        <v>574</v>
      </c>
      <c r="I28" s="363" t="s">
        <v>575</v>
      </c>
      <c r="J28" s="363" t="s">
        <v>576</v>
      </c>
      <c r="K28" s="363" t="s">
        <v>577</v>
      </c>
      <c r="L28" s="461" t="s">
        <v>578</v>
      </c>
    </row>
    <row r="29" spans="5:12" ht="28.8" customHeight="1" x14ac:dyDescent="0.4">
      <c r="E29" s="462"/>
      <c r="F29" s="411"/>
      <c r="G29" s="411"/>
      <c r="H29" s="411"/>
      <c r="I29" s="411"/>
      <c r="J29" s="441"/>
      <c r="K29" s="441"/>
      <c r="L29" s="442"/>
    </row>
    <row r="30" spans="5:12" ht="28.8" customHeight="1" x14ac:dyDescent="0.4">
      <c r="E30" s="462"/>
      <c r="F30" s="411"/>
      <c r="G30" s="411"/>
      <c r="H30" s="411"/>
      <c r="I30" s="411"/>
      <c r="J30" s="441"/>
      <c r="K30" s="441"/>
      <c r="L30" s="442"/>
    </row>
    <row r="31" spans="5:12" ht="28.8" customHeight="1" x14ac:dyDescent="0.4">
      <c r="E31" s="440"/>
      <c r="F31" s="441"/>
      <c r="G31" s="441"/>
      <c r="H31" s="441"/>
      <c r="I31" s="441"/>
      <c r="J31" s="441"/>
      <c r="K31" s="441"/>
      <c r="L31" s="442"/>
    </row>
    <row r="32" spans="5:12" ht="28.8" customHeight="1" x14ac:dyDescent="0.4">
      <c r="E32" s="440"/>
      <c r="F32" s="441"/>
      <c r="G32" s="441"/>
      <c r="H32" s="441"/>
      <c r="I32" s="441"/>
      <c r="J32" s="441"/>
      <c r="K32" s="441"/>
      <c r="L32" s="442"/>
    </row>
    <row r="33" spans="5:12" ht="28.8" customHeight="1" x14ac:dyDescent="0.4">
      <c r="E33" s="440"/>
      <c r="F33" s="441"/>
      <c r="G33" s="441"/>
      <c r="H33" s="441"/>
      <c r="I33" s="441"/>
      <c r="J33" s="441"/>
      <c r="K33" s="441"/>
      <c r="L33" s="442"/>
    </row>
    <row r="34" spans="5:12" ht="28.8" customHeight="1" thickBot="1" x14ac:dyDescent="0.45">
      <c r="E34" s="443"/>
      <c r="F34" s="444"/>
      <c r="G34" s="444"/>
      <c r="H34" s="444"/>
      <c r="I34" s="444"/>
      <c r="J34" s="444"/>
      <c r="K34" s="444"/>
      <c r="L34" s="445"/>
    </row>
    <row r="35" spans="5:12" ht="28.8" customHeight="1" x14ac:dyDescent="0.3"/>
    <row r="36" spans="5:12" ht="28.8" customHeight="1" x14ac:dyDescent="0.3"/>
    <row r="37" spans="5:12" ht="28.8" customHeight="1" x14ac:dyDescent="0.3"/>
    <row r="38" spans="5:12" ht="28.8" customHeight="1" x14ac:dyDescent="0.3"/>
    <row r="39" spans="5:12" ht="28.8" customHeight="1" x14ac:dyDescent="0.3"/>
    <row r="40" spans="5:12" ht="28.8" customHeight="1" x14ac:dyDescent="0.3"/>
    <row r="41" spans="5:12" ht="28.8" customHeight="1" x14ac:dyDescent="0.3"/>
    <row r="42" spans="5:12" ht="28.8" customHeight="1" x14ac:dyDescent="0.3"/>
    <row r="43" spans="5:12" ht="28.8" customHeight="1" x14ac:dyDescent="0.3"/>
    <row r="44" spans="5:12" ht="28.8" customHeight="1" x14ac:dyDescent="0.3"/>
    <row r="45" spans="5:12" ht="28.8" customHeight="1" x14ac:dyDescent="0.3"/>
    <row r="46" spans="5:12" ht="28.8" customHeight="1" x14ac:dyDescent="0.3"/>
    <row r="47" spans="5:12" ht="28.8" customHeight="1" x14ac:dyDescent="0.3"/>
    <row r="48" spans="5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44</vt:i4>
      </vt:variant>
    </vt:vector>
  </HeadingPairs>
  <TitlesOfParts>
    <vt:vector size="44" baseType="lpstr">
      <vt:lpstr>HOME</vt:lpstr>
      <vt:lpstr>PROD_HOME</vt:lpstr>
      <vt:lpstr>PRODUÇÃO_REQUISIÇÕES</vt:lpstr>
      <vt:lpstr>PRODUÇÃO_EQUIPES</vt:lpstr>
      <vt:lpstr>PRODUÇÃO_LANÇAMENTOS</vt:lpstr>
      <vt:lpstr>PRODUÇÃO_CONSULTA</vt:lpstr>
      <vt:lpstr>HOME_LOGISTICA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HOME_ESTOQUE</vt:lpstr>
      <vt:lpstr>N_ESTQSAÍDAS</vt:lpstr>
      <vt:lpstr>N_ESTQENTRAD</vt:lpstr>
      <vt:lpstr>HOME_RH</vt:lpstr>
      <vt:lpstr>N_RHCONTRATAÇÃO</vt:lpstr>
      <vt:lpstr>N_CADASTRAR</vt:lpstr>
      <vt:lpstr>N_RHFOLHA</vt:lpstr>
      <vt:lpstr>N_RHREF </vt:lpstr>
      <vt:lpstr>HOME_VENDAS</vt:lpstr>
      <vt:lpstr>N_VCLIENTES</vt:lpstr>
      <vt:lpstr>N_VCINTRL</vt:lpstr>
      <vt:lpstr>N_VMETAS</vt:lpstr>
      <vt:lpstr>N_VRELCOM</vt:lpstr>
      <vt:lpstr>N_VRELMET</vt:lpstr>
      <vt:lpstr>HOME_COMPRAS</vt:lpstr>
      <vt:lpstr>N_CCADASTROF</vt:lpstr>
      <vt:lpstr>N_PROCFOR</vt:lpstr>
      <vt:lpstr>N_CSOLICITAR</vt:lpstr>
      <vt:lpstr>N_CMP</vt:lpstr>
      <vt:lpstr>SOLICITAÇÕES</vt:lpstr>
      <vt:lpstr>N_CREALIZARP</vt:lpstr>
      <vt:lpstr>HOME_FINANCAS</vt:lpstr>
      <vt:lpstr>N_FINANÇAS</vt:lpstr>
      <vt:lpstr>N_FINANÇAS (2)</vt:lpstr>
      <vt:lpstr>N_FINANÇAS (3)</vt:lpstr>
      <vt:lpstr>HOME_BD</vt:lpstr>
      <vt:lpstr>B1</vt:lpstr>
      <vt:lpstr>BD_CADAS</vt:lpstr>
      <vt:lpstr>B2</vt:lpstr>
      <vt:lpstr>B3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2024-11-27T01:23:43Z</dcterms:modified>
  <cp:category/>
  <cp:contentStatus/>
</cp:coreProperties>
</file>